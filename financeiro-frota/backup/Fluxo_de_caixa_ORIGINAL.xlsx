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Nova pasta\"/>
    </mc:Choice>
  </mc:AlternateContent>
  <xr:revisionPtr revIDLastSave="0" documentId="13_ncr:1_{FBBBA5A2-2480-491E-B57F-41DFBA630AC8}" xr6:coauthVersionLast="47" xr6:coauthVersionMax="47" xr10:uidLastSave="{00000000-0000-0000-0000-000000000000}"/>
  <bookViews>
    <workbookView xWindow="-24120" yWindow="2610" windowWidth="24240" windowHeight="13020" xr2:uid="{6794C03F-A1E0-4457-B88D-E3CD0845C431}"/>
  </bookViews>
  <sheets>
    <sheet name="Relação de NF's" sheetId="2" r:id="rId1"/>
    <sheet name="Fornecedores" sheetId="1" r:id="rId2"/>
    <sheet name="Doc's Pagos | Rodopar 108" sheetId="4" r:id="rId3"/>
    <sheet name="Doc Há Pagar | Rodopar 1015" sheetId="3" r:id="rId4"/>
  </sheets>
  <definedNames>
    <definedName name="_xlnm._FilterDatabase" localSheetId="3" hidden="1">'Doc Há Pagar | Rodopar 1015'!$A$1:$L$1513</definedName>
    <definedName name="_xlnm._FilterDatabase" localSheetId="2" hidden="1">'Doc''s Pagos | Rodopar 108'!$A$1:$N$4550</definedName>
    <definedName name="_xlnm._FilterDatabase" localSheetId="1" hidden="1">Fornecedores!$A$1:$C$303</definedName>
    <definedName name="_xlnm._FilterDatabase" localSheetId="0" hidden="1">'Relação de NF''s'!$A$1:$AD$857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4" i="2" l="1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550" i="4"/>
  <c r="B4549" i="4"/>
  <c r="B4548" i="4"/>
  <c r="B4547" i="4"/>
  <c r="B4546" i="4"/>
  <c r="B4545" i="4"/>
  <c r="B4544" i="4"/>
  <c r="B4543" i="4"/>
  <c r="B4542" i="4"/>
  <c r="B4541" i="4"/>
  <c r="B4540" i="4"/>
  <c r="B4539" i="4"/>
  <c r="B4538" i="4"/>
  <c r="B4537" i="4"/>
  <c r="B4536" i="4"/>
  <c r="B4535" i="4"/>
  <c r="B4534" i="4"/>
  <c r="B4533" i="4"/>
  <c r="B4532" i="4"/>
  <c r="B4531" i="4"/>
  <c r="B4530" i="4"/>
  <c r="B4529" i="4"/>
  <c r="B4528" i="4"/>
  <c r="B4527" i="4"/>
  <c r="B4526" i="4"/>
  <c r="B4525" i="4"/>
  <c r="B4524" i="4"/>
  <c r="B4523" i="4"/>
  <c r="B4522" i="4"/>
  <c r="B4521" i="4"/>
  <c r="B4520" i="4"/>
  <c r="B4519" i="4"/>
  <c r="B4518" i="4"/>
  <c r="B4517" i="4"/>
  <c r="B4516" i="4"/>
  <c r="B4515" i="4"/>
  <c r="B4514" i="4"/>
  <c r="B4513" i="4"/>
  <c r="B4512" i="4"/>
  <c r="B4511" i="4"/>
  <c r="B4510" i="4"/>
  <c r="B4509" i="4"/>
  <c r="B4508" i="4"/>
  <c r="B4507" i="4"/>
  <c r="B4506" i="4"/>
  <c r="B4505" i="4"/>
  <c r="B4504" i="4"/>
  <c r="B4503" i="4"/>
  <c r="B4502" i="4"/>
  <c r="B4501" i="4"/>
  <c r="B4500" i="4"/>
  <c r="B4499" i="4"/>
  <c r="B4498" i="4"/>
  <c r="B4497" i="4"/>
  <c r="B4496" i="4"/>
  <c r="B4495" i="4"/>
  <c r="B4494" i="4"/>
  <c r="B4493" i="4"/>
  <c r="B4492" i="4"/>
  <c r="B4491" i="4"/>
  <c r="B4490" i="4"/>
  <c r="B4489" i="4"/>
  <c r="B4488" i="4"/>
  <c r="B4487" i="4"/>
  <c r="B4486" i="4"/>
  <c r="B4485" i="4"/>
  <c r="B4484" i="4"/>
  <c r="B4483" i="4"/>
  <c r="B4482" i="4"/>
  <c r="B4481" i="4"/>
  <c r="B4480" i="4"/>
  <c r="B4479" i="4"/>
  <c r="B4478" i="4"/>
  <c r="B4477" i="4"/>
  <c r="B4476" i="4"/>
  <c r="B4475" i="4"/>
  <c r="B4474" i="4"/>
  <c r="B4473" i="4"/>
  <c r="B4472" i="4"/>
  <c r="B4471" i="4"/>
  <c r="B4470" i="4"/>
  <c r="B4469" i="4"/>
  <c r="B4468" i="4"/>
  <c r="B4467" i="4"/>
  <c r="B4466" i="4"/>
  <c r="B4465" i="4"/>
  <c r="B4464" i="4"/>
  <c r="B4463" i="4"/>
  <c r="B4462" i="4"/>
  <c r="B4461" i="4"/>
  <c r="B4460" i="4"/>
  <c r="B4459" i="4"/>
  <c r="B4458" i="4"/>
  <c r="B4457" i="4"/>
  <c r="B4456" i="4"/>
  <c r="B4455" i="4"/>
  <c r="B4454" i="4"/>
  <c r="B4453" i="4"/>
  <c r="B4452" i="4"/>
  <c r="B4451" i="4"/>
  <c r="B4450" i="4"/>
  <c r="B4449" i="4"/>
  <c r="B4448" i="4"/>
  <c r="B4447" i="4"/>
  <c r="B4446" i="4"/>
  <c r="B4445" i="4"/>
  <c r="B4444" i="4"/>
  <c r="B4443" i="4"/>
  <c r="B4442" i="4"/>
  <c r="B4441" i="4"/>
  <c r="B4440" i="4"/>
  <c r="B4439" i="4"/>
  <c r="B4438" i="4"/>
  <c r="B4437" i="4"/>
  <c r="B4436" i="4"/>
  <c r="B4435" i="4"/>
  <c r="B4434" i="4"/>
  <c r="B4433" i="4"/>
  <c r="B4432" i="4"/>
  <c r="B4431" i="4"/>
  <c r="B4430" i="4"/>
  <c r="B4429" i="4"/>
  <c r="B4428" i="4"/>
  <c r="B4427" i="4"/>
  <c r="B4426" i="4"/>
  <c r="B4425" i="4"/>
  <c r="B4424" i="4"/>
  <c r="B4423" i="4"/>
  <c r="B4422" i="4"/>
  <c r="B4421" i="4"/>
  <c r="B4420" i="4"/>
  <c r="B4419" i="4"/>
  <c r="B4418" i="4"/>
  <c r="B4417" i="4"/>
  <c r="B4416" i="4"/>
  <c r="B4415" i="4"/>
  <c r="B4414" i="4"/>
  <c r="B4413" i="4"/>
  <c r="B4412" i="4"/>
  <c r="B4411" i="4"/>
  <c r="B4410" i="4"/>
  <c r="B4409" i="4"/>
  <c r="B4408" i="4"/>
  <c r="B4407" i="4"/>
  <c r="B4406" i="4"/>
  <c r="B4405" i="4"/>
  <c r="B4404" i="4"/>
  <c r="B4403" i="4"/>
  <c r="B4402" i="4"/>
  <c r="B4401" i="4"/>
  <c r="B4400" i="4"/>
  <c r="B4399" i="4"/>
  <c r="B4398" i="4"/>
  <c r="B4397" i="4"/>
  <c r="B4396" i="4"/>
  <c r="B4395" i="4"/>
  <c r="B4394" i="4"/>
  <c r="B4393" i="4"/>
  <c r="B4392" i="4"/>
  <c r="B4391" i="4"/>
  <c r="B4390" i="4"/>
  <c r="B4389" i="4"/>
  <c r="B4388" i="4"/>
  <c r="B4387" i="4"/>
  <c r="B4386" i="4"/>
  <c r="B4385" i="4"/>
  <c r="B4384" i="4"/>
  <c r="B4383" i="4"/>
  <c r="B4382" i="4"/>
  <c r="B4381" i="4"/>
  <c r="B4380" i="4"/>
  <c r="B4379" i="4"/>
  <c r="B4378" i="4"/>
  <c r="B4377" i="4"/>
  <c r="B4376" i="4"/>
  <c r="B4375" i="4"/>
  <c r="B4374" i="4"/>
  <c r="B4373" i="4"/>
  <c r="B4372" i="4"/>
  <c r="B4371" i="4"/>
  <c r="B4370" i="4"/>
  <c r="B4369" i="4"/>
  <c r="B4368" i="4"/>
  <c r="B4367" i="4"/>
  <c r="B4366" i="4"/>
  <c r="B4365" i="4"/>
  <c r="B4364" i="4"/>
  <c r="B4363" i="4"/>
  <c r="B4362" i="4"/>
  <c r="B4361" i="4"/>
  <c r="B4360" i="4"/>
  <c r="B4359" i="4"/>
  <c r="B4358" i="4"/>
  <c r="B4357" i="4"/>
  <c r="B4356" i="4"/>
  <c r="B4355" i="4"/>
  <c r="B4354" i="4"/>
  <c r="B4353" i="4"/>
  <c r="B4352" i="4"/>
  <c r="B4351" i="4"/>
  <c r="B4350" i="4"/>
  <c r="B4349" i="4"/>
  <c r="B4348" i="4"/>
  <c r="B4347" i="4"/>
  <c r="B4346" i="4"/>
  <c r="B4345" i="4"/>
  <c r="B4344" i="4"/>
  <c r="B4343" i="4"/>
  <c r="B4342" i="4"/>
  <c r="B4341" i="4"/>
  <c r="B4340" i="4"/>
  <c r="B4339" i="4"/>
  <c r="B4338" i="4"/>
  <c r="B4337" i="4"/>
  <c r="B4336" i="4"/>
  <c r="B4335" i="4"/>
  <c r="B4334" i="4"/>
  <c r="B4333" i="4"/>
  <c r="B4332" i="4"/>
  <c r="B4331" i="4"/>
  <c r="B4330" i="4"/>
  <c r="B4329" i="4"/>
  <c r="B4328" i="4"/>
  <c r="B4327" i="4"/>
  <c r="B4326" i="4"/>
  <c r="B4325" i="4"/>
  <c r="B4324" i="4"/>
  <c r="B4323" i="4"/>
  <c r="B4322" i="4"/>
  <c r="B4321" i="4"/>
  <c r="B4320" i="4"/>
  <c r="B4319" i="4"/>
  <c r="B4318" i="4"/>
  <c r="B4317" i="4"/>
  <c r="B4316" i="4"/>
  <c r="B4315" i="4"/>
  <c r="B4314" i="4"/>
  <c r="B4313" i="4"/>
  <c r="B4312" i="4"/>
  <c r="B4311" i="4"/>
  <c r="B4310" i="4"/>
  <c r="B4309" i="4"/>
  <c r="B4308" i="4"/>
  <c r="B4307" i="4"/>
  <c r="B4306" i="4"/>
  <c r="B4305" i="4"/>
  <c r="B4304" i="4"/>
  <c r="B4303" i="4"/>
  <c r="B4302" i="4"/>
  <c r="B4301" i="4"/>
  <c r="B4300" i="4"/>
  <c r="B4299" i="4"/>
  <c r="B4298" i="4"/>
  <c r="B4297" i="4"/>
  <c r="B4296" i="4"/>
  <c r="B4295" i="4"/>
  <c r="B4294" i="4"/>
  <c r="B4293" i="4"/>
  <c r="B4292" i="4"/>
  <c r="B4291" i="4"/>
  <c r="B4290" i="4"/>
  <c r="B4289" i="4"/>
  <c r="B4288" i="4"/>
  <c r="B4287" i="4"/>
  <c r="B4286" i="4"/>
  <c r="B4285" i="4"/>
  <c r="B4284" i="4"/>
  <c r="B4283" i="4"/>
  <c r="B4282" i="4"/>
  <c r="B4281" i="4"/>
  <c r="B4280" i="4"/>
  <c r="B4279" i="4"/>
  <c r="B4278" i="4"/>
  <c r="B4277" i="4"/>
  <c r="B4276" i="4"/>
  <c r="B4275" i="4"/>
  <c r="B4274" i="4"/>
  <c r="B4273" i="4"/>
  <c r="B4272" i="4"/>
  <c r="B4271" i="4"/>
  <c r="B4270" i="4"/>
  <c r="B4269" i="4"/>
  <c r="B4268" i="4"/>
  <c r="B4267" i="4"/>
  <c r="B4266" i="4"/>
  <c r="B4265" i="4"/>
  <c r="B4264" i="4"/>
  <c r="B4263" i="4"/>
  <c r="B4262" i="4"/>
  <c r="B4261" i="4"/>
  <c r="B4260" i="4"/>
  <c r="B4259" i="4"/>
  <c r="B4258" i="4"/>
  <c r="B4257" i="4"/>
  <c r="B4256" i="4"/>
  <c r="B4255" i="4"/>
  <c r="B4254" i="4"/>
  <c r="B4253" i="4"/>
  <c r="B4252" i="4"/>
  <c r="B4251" i="4"/>
  <c r="B4250" i="4"/>
  <c r="B4249" i="4"/>
  <c r="B4248" i="4"/>
  <c r="B4247" i="4"/>
  <c r="B4246" i="4"/>
  <c r="B4245" i="4"/>
  <c r="B4244" i="4"/>
  <c r="B4243" i="4"/>
  <c r="B4242" i="4"/>
  <c r="B4241" i="4"/>
  <c r="B4240" i="4"/>
  <c r="B4239" i="4"/>
  <c r="B4238" i="4"/>
  <c r="B4237" i="4"/>
  <c r="B4236" i="4"/>
  <c r="B4235" i="4"/>
  <c r="B4234" i="4"/>
  <c r="B4233" i="4"/>
  <c r="B4232" i="4"/>
  <c r="B4231" i="4"/>
  <c r="B4230" i="4"/>
  <c r="B4229" i="4"/>
  <c r="B4228" i="4"/>
  <c r="B4227" i="4"/>
  <c r="B4226" i="4"/>
  <c r="B4225" i="4"/>
  <c r="B4224" i="4"/>
  <c r="B4223" i="4"/>
  <c r="B4222" i="4"/>
  <c r="B4221" i="4"/>
  <c r="B4220" i="4"/>
  <c r="B4219" i="4"/>
  <c r="B4218" i="4"/>
  <c r="B4217" i="4"/>
  <c r="B4216" i="4"/>
  <c r="B4215" i="4"/>
  <c r="B4214" i="4"/>
  <c r="B4213" i="4"/>
  <c r="B4212" i="4"/>
  <c r="B4211" i="4"/>
  <c r="B4210" i="4"/>
  <c r="B4209" i="4"/>
  <c r="B4208" i="4"/>
  <c r="B4207" i="4"/>
  <c r="B4206" i="4"/>
  <c r="B4205" i="4"/>
  <c r="B4204" i="4"/>
  <c r="B4203" i="4"/>
  <c r="B4202" i="4"/>
  <c r="B4201" i="4"/>
  <c r="B4200" i="4"/>
  <c r="B4199" i="4"/>
  <c r="B4198" i="4"/>
  <c r="B4197" i="4"/>
  <c r="B4196" i="4"/>
  <c r="B4195" i="4"/>
  <c r="B4194" i="4"/>
  <c r="B4193" i="4"/>
  <c r="B4192" i="4"/>
  <c r="B4191" i="4"/>
  <c r="B4190" i="4"/>
  <c r="B4189" i="4"/>
  <c r="B4188" i="4"/>
  <c r="B4187" i="4"/>
  <c r="B4186" i="4"/>
  <c r="B4185" i="4"/>
  <c r="B4184" i="4"/>
  <c r="B4183" i="4"/>
  <c r="B4182" i="4"/>
  <c r="B4181" i="4"/>
  <c r="B4180" i="4"/>
  <c r="B4179" i="4"/>
  <c r="B4178" i="4"/>
  <c r="B4177" i="4"/>
  <c r="B4176" i="4"/>
  <c r="B4175" i="4"/>
  <c r="B4174" i="4"/>
  <c r="B4173" i="4"/>
  <c r="B4172" i="4"/>
  <c r="B4171" i="4"/>
  <c r="B4170" i="4"/>
  <c r="B4169" i="4"/>
  <c r="B4168" i="4"/>
  <c r="B4167" i="4"/>
  <c r="B4166" i="4"/>
  <c r="B4165" i="4"/>
  <c r="B4164" i="4"/>
  <c r="B4163" i="4"/>
  <c r="B4162" i="4"/>
  <c r="B4161" i="4"/>
  <c r="B4160" i="4"/>
  <c r="B4159" i="4"/>
  <c r="B4158" i="4"/>
  <c r="B4157" i="4"/>
  <c r="B4156" i="4"/>
  <c r="B4155" i="4"/>
  <c r="B4154" i="4"/>
  <c r="B4153" i="4"/>
  <c r="B4152" i="4"/>
  <c r="B4151" i="4"/>
  <c r="B4150" i="4"/>
  <c r="B4149" i="4"/>
  <c r="B4148" i="4"/>
  <c r="B4147" i="4"/>
  <c r="B4146" i="4"/>
  <c r="B4145" i="4"/>
  <c r="B4144" i="4"/>
  <c r="B4143" i="4"/>
  <c r="B4142" i="4"/>
  <c r="B4141" i="4"/>
  <c r="B4140" i="4"/>
  <c r="B4139" i="4"/>
  <c r="B4138" i="4"/>
  <c r="B4137" i="4"/>
  <c r="B4136" i="4"/>
  <c r="B4135" i="4"/>
  <c r="B4134" i="4"/>
  <c r="B4133" i="4"/>
  <c r="B4132" i="4"/>
  <c r="B4131" i="4"/>
  <c r="B4130" i="4"/>
  <c r="B4129" i="4"/>
  <c r="B4128" i="4"/>
  <c r="B4127" i="4"/>
  <c r="B4126" i="4"/>
  <c r="B4125" i="4"/>
  <c r="B4124" i="4"/>
  <c r="B4123" i="4"/>
  <c r="B4122" i="4"/>
  <c r="B4121" i="4"/>
  <c r="B4120" i="4"/>
  <c r="B4119" i="4"/>
  <c r="B4118" i="4"/>
  <c r="B4117" i="4"/>
  <c r="B4116" i="4"/>
  <c r="B4115" i="4"/>
  <c r="B4114" i="4"/>
  <c r="B4113" i="4"/>
  <c r="B4112" i="4"/>
  <c r="B4111" i="4"/>
  <c r="B4110" i="4"/>
  <c r="B4109" i="4"/>
  <c r="B4108" i="4"/>
  <c r="B4107" i="4"/>
  <c r="B4106" i="4"/>
  <c r="B4105" i="4"/>
  <c r="B4104" i="4"/>
  <c r="B4103" i="4"/>
  <c r="B4102" i="4"/>
  <c r="B4101" i="4"/>
  <c r="B4100" i="4"/>
  <c r="B4099" i="4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AA482" i="2"/>
  <c r="Y479" i="2"/>
  <c r="X479" i="2"/>
  <c r="W479" i="2"/>
  <c r="V479" i="2"/>
  <c r="U479" i="2"/>
  <c r="T479" i="2"/>
  <c r="S479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AD363" i="2"/>
  <c r="AC363" i="2"/>
  <c r="AB363" i="2"/>
  <c r="AA363" i="2"/>
  <c r="Z363" i="2"/>
  <c r="Y363" i="2"/>
  <c r="X363" i="2"/>
  <c r="W363" i="2"/>
  <c r="V363" i="2"/>
  <c r="U363" i="2"/>
  <c r="T363" i="2"/>
  <c r="S363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AB354" i="2"/>
  <c r="AA354" i="2"/>
  <c r="Z354" i="2"/>
  <c r="Y354" i="2"/>
  <c r="X354" i="2"/>
  <c r="W354" i="2"/>
  <c r="V354" i="2"/>
  <c r="U354" i="2"/>
  <c r="T354" i="2"/>
  <c r="S354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AD322" i="2"/>
  <c r="AC322" i="2"/>
  <c r="AB322" i="2"/>
  <c r="AA322" i="2"/>
  <c r="Z322" i="2"/>
  <c r="Y322" i="2"/>
  <c r="X322" i="2"/>
  <c r="W322" i="2"/>
  <c r="W311" i="2"/>
  <c r="V311" i="2"/>
  <c r="U311" i="2"/>
  <c r="T311" i="2"/>
  <c r="S311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AD176" i="2"/>
  <c r="AC176" i="2"/>
  <c r="AB176" i="2"/>
  <c r="AA176" i="2"/>
  <c r="Z176" i="2"/>
  <c r="Y176" i="2"/>
  <c r="X176" i="2"/>
  <c r="W176" i="2"/>
  <c r="V176" i="2"/>
  <c r="U176" i="2"/>
  <c r="S175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AD149" i="2"/>
  <c r="AC149" i="2"/>
  <c r="AB149" i="2"/>
  <c r="AA149" i="2"/>
  <c r="AB137" i="2"/>
  <c r="AA137" i="2"/>
  <c r="Z137" i="2"/>
  <c r="Y137" i="2"/>
  <c r="X137" i="2"/>
  <c r="W137" i="2"/>
  <c r="V137" i="2"/>
  <c r="U137" i="2"/>
  <c r="T137" i="2"/>
  <c r="S137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AD99" i="2"/>
  <c r="AC99" i="2"/>
  <c r="AB99" i="2"/>
  <c r="AA99" i="2"/>
  <c r="Z99" i="2"/>
  <c r="Y99" i="2"/>
  <c r="X99" i="2"/>
  <c r="W99" i="2"/>
  <c r="V99" i="2"/>
  <c r="U99" i="2"/>
  <c r="T99" i="2"/>
  <c r="S99" i="2"/>
  <c r="AD98" i="2"/>
  <c r="AC98" i="2"/>
  <c r="AB98" i="2"/>
  <c r="AA98" i="2"/>
  <c r="Z98" i="2"/>
  <c r="Y98" i="2"/>
  <c r="X98" i="2"/>
  <c r="W98" i="2"/>
  <c r="V98" i="2"/>
  <c r="U98" i="2"/>
  <c r="T98" i="2"/>
  <c r="S98" i="2"/>
  <c r="AD97" i="2"/>
  <c r="AC97" i="2"/>
  <c r="AB97" i="2"/>
  <c r="AA97" i="2"/>
  <c r="Z97" i="2"/>
  <c r="Y97" i="2"/>
  <c r="X97" i="2"/>
  <c r="W97" i="2"/>
  <c r="V97" i="2"/>
  <c r="U97" i="2"/>
  <c r="T97" i="2"/>
  <c r="S97" i="2"/>
  <c r="AD96" i="2"/>
  <c r="AC96" i="2"/>
  <c r="AB96" i="2"/>
  <c r="AA96" i="2"/>
  <c r="Z96" i="2"/>
  <c r="Y96" i="2"/>
  <c r="X96" i="2"/>
  <c r="W96" i="2"/>
  <c r="V96" i="2"/>
  <c r="U96" i="2"/>
  <c r="T96" i="2"/>
  <c r="S96" i="2"/>
  <c r="AD95" i="2"/>
  <c r="AC95" i="2"/>
  <c r="AB95" i="2"/>
  <c r="AA95" i="2"/>
  <c r="Z95" i="2"/>
  <c r="Y95" i="2"/>
  <c r="X95" i="2"/>
  <c r="W95" i="2"/>
  <c r="V95" i="2"/>
  <c r="U95" i="2"/>
  <c r="T95" i="2"/>
  <c r="S95" i="2"/>
  <c r="AD94" i="2"/>
  <c r="AC94" i="2"/>
  <c r="AB94" i="2"/>
  <c r="AA94" i="2"/>
  <c r="Z94" i="2"/>
  <c r="Y94" i="2"/>
  <c r="X94" i="2"/>
  <c r="W94" i="2"/>
  <c r="V94" i="2"/>
  <c r="U94" i="2"/>
  <c r="T94" i="2"/>
  <c r="S94" i="2"/>
  <c r="AD93" i="2"/>
  <c r="AC93" i="2"/>
  <c r="AB93" i="2"/>
  <c r="AA93" i="2"/>
  <c r="Z93" i="2"/>
  <c r="Y93" i="2"/>
  <c r="X93" i="2"/>
  <c r="W93" i="2"/>
  <c r="V93" i="2"/>
  <c r="U93" i="2"/>
  <c r="T93" i="2"/>
  <c r="S93" i="2"/>
  <c r="AD92" i="2"/>
  <c r="AC92" i="2"/>
  <c r="AB92" i="2"/>
  <c r="AA92" i="2"/>
  <c r="Z92" i="2"/>
  <c r="Y92" i="2"/>
  <c r="X92" i="2"/>
  <c r="W92" i="2"/>
  <c r="V92" i="2"/>
  <c r="U92" i="2"/>
  <c r="T92" i="2"/>
  <c r="S92" i="2"/>
  <c r="AD91" i="2"/>
  <c r="AC91" i="2"/>
  <c r="AB91" i="2"/>
  <c r="AA91" i="2"/>
  <c r="Z91" i="2"/>
  <c r="Y91" i="2"/>
  <c r="X91" i="2"/>
  <c r="W91" i="2"/>
  <c r="V91" i="2"/>
  <c r="U91" i="2"/>
  <c r="T91" i="2"/>
  <c r="S91" i="2"/>
  <c r="AD90" i="2"/>
  <c r="AC90" i="2"/>
  <c r="AB90" i="2"/>
  <c r="AA90" i="2"/>
  <c r="Z90" i="2"/>
  <c r="Y90" i="2"/>
  <c r="X90" i="2"/>
  <c r="W90" i="2"/>
  <c r="V90" i="2"/>
  <c r="U90" i="2"/>
  <c r="T90" i="2"/>
  <c r="S90" i="2"/>
  <c r="AD89" i="2"/>
  <c r="AC89" i="2"/>
  <c r="AB89" i="2"/>
  <c r="AA89" i="2"/>
  <c r="Z89" i="2"/>
  <c r="Y89" i="2"/>
  <c r="X89" i="2"/>
  <c r="W89" i="2"/>
  <c r="V89" i="2"/>
  <c r="U89" i="2"/>
  <c r="T89" i="2"/>
  <c r="S89" i="2"/>
  <c r="AD88" i="2"/>
  <c r="AC88" i="2"/>
  <c r="AB88" i="2"/>
  <c r="AA88" i="2"/>
  <c r="Z88" i="2"/>
  <c r="Y88" i="2"/>
  <c r="X88" i="2"/>
  <c r="W88" i="2"/>
  <c r="V88" i="2"/>
  <c r="U88" i="2"/>
  <c r="T88" i="2"/>
  <c r="S88" i="2"/>
  <c r="AD87" i="2"/>
  <c r="AC87" i="2"/>
  <c r="AB87" i="2"/>
  <c r="AA87" i="2"/>
  <c r="Z87" i="2"/>
  <c r="Y87" i="2"/>
  <c r="X87" i="2"/>
  <c r="W87" i="2"/>
  <c r="V87" i="2"/>
  <c r="U87" i="2"/>
  <c r="T87" i="2"/>
  <c r="S87" i="2"/>
  <c r="AD86" i="2"/>
  <c r="AC86" i="2"/>
  <c r="AB86" i="2"/>
  <c r="AA86" i="2"/>
  <c r="Z86" i="2"/>
  <c r="Y86" i="2"/>
  <c r="X86" i="2"/>
  <c r="W86" i="2"/>
  <c r="V86" i="2"/>
  <c r="U86" i="2"/>
  <c r="T86" i="2"/>
  <c r="S86" i="2"/>
  <c r="AD85" i="2"/>
  <c r="AC85" i="2"/>
  <c r="AB85" i="2"/>
  <c r="AA85" i="2"/>
  <c r="Z85" i="2"/>
  <c r="Y85" i="2"/>
  <c r="X85" i="2"/>
  <c r="W85" i="2"/>
  <c r="V85" i="2"/>
  <c r="U85" i="2"/>
  <c r="T85" i="2"/>
  <c r="S85" i="2"/>
  <c r="AD84" i="2"/>
  <c r="AC84" i="2"/>
  <c r="AB84" i="2"/>
  <c r="AA84" i="2"/>
  <c r="Z84" i="2"/>
  <c r="Y84" i="2"/>
  <c r="X84" i="2"/>
  <c r="W84" i="2"/>
  <c r="V84" i="2"/>
  <c r="U84" i="2"/>
  <c r="T84" i="2"/>
  <c r="S84" i="2"/>
  <c r="AD83" i="2"/>
  <c r="AC83" i="2"/>
  <c r="AB83" i="2"/>
  <c r="AA83" i="2"/>
  <c r="Z83" i="2"/>
  <c r="Y83" i="2"/>
  <c r="X83" i="2"/>
  <c r="W83" i="2"/>
  <c r="V83" i="2"/>
  <c r="U83" i="2"/>
  <c r="T83" i="2"/>
  <c r="S83" i="2"/>
  <c r="AD82" i="2"/>
  <c r="AC82" i="2"/>
  <c r="AB82" i="2"/>
  <c r="AA82" i="2"/>
  <c r="Z82" i="2"/>
  <c r="Y82" i="2"/>
  <c r="X82" i="2"/>
  <c r="W82" i="2"/>
  <c r="V82" i="2"/>
  <c r="U82" i="2"/>
  <c r="T82" i="2"/>
  <c r="S82" i="2"/>
  <c r="AD81" i="2"/>
  <c r="AC81" i="2"/>
  <c r="AB81" i="2"/>
  <c r="AA81" i="2"/>
  <c r="Z81" i="2"/>
  <c r="Y81" i="2"/>
  <c r="X81" i="2"/>
  <c r="W81" i="2"/>
  <c r="V81" i="2"/>
  <c r="U81" i="2"/>
  <c r="T81" i="2"/>
  <c r="S81" i="2"/>
  <c r="AD80" i="2"/>
  <c r="AC80" i="2"/>
  <c r="AB80" i="2"/>
  <c r="AA80" i="2"/>
  <c r="Z80" i="2"/>
  <c r="Y80" i="2"/>
  <c r="X80" i="2"/>
  <c r="W80" i="2"/>
  <c r="V80" i="2"/>
  <c r="U80" i="2"/>
  <c r="T80" i="2"/>
  <c r="S80" i="2"/>
  <c r="AD79" i="2"/>
  <c r="AC79" i="2"/>
  <c r="AB79" i="2"/>
  <c r="AA79" i="2"/>
  <c r="Z79" i="2"/>
  <c r="Y79" i="2"/>
  <c r="X79" i="2"/>
  <c r="W79" i="2"/>
  <c r="V79" i="2"/>
  <c r="U79" i="2"/>
  <c r="T79" i="2"/>
  <c r="S79" i="2"/>
  <c r="AD78" i="2"/>
  <c r="AC78" i="2"/>
  <c r="AB78" i="2"/>
  <c r="AA78" i="2"/>
  <c r="Z78" i="2"/>
  <c r="Y78" i="2"/>
  <c r="X78" i="2"/>
  <c r="W78" i="2"/>
  <c r="V78" i="2"/>
  <c r="U78" i="2"/>
  <c r="T78" i="2"/>
  <c r="S78" i="2"/>
  <c r="AD77" i="2"/>
  <c r="AC77" i="2"/>
  <c r="AB77" i="2"/>
  <c r="AA77" i="2"/>
  <c r="Z77" i="2"/>
  <c r="Y77" i="2"/>
  <c r="X77" i="2"/>
  <c r="W77" i="2"/>
  <c r="V77" i="2"/>
  <c r="U77" i="2"/>
  <c r="T77" i="2"/>
  <c r="S77" i="2"/>
  <c r="AD76" i="2"/>
  <c r="AC76" i="2"/>
  <c r="AB76" i="2"/>
  <c r="AA76" i="2"/>
  <c r="Z76" i="2"/>
  <c r="Y76" i="2"/>
  <c r="X76" i="2"/>
  <c r="W76" i="2"/>
  <c r="V76" i="2"/>
  <c r="U76" i="2"/>
  <c r="T76" i="2"/>
  <c r="S76" i="2"/>
  <c r="AD75" i="2"/>
  <c r="AC75" i="2"/>
  <c r="AB75" i="2"/>
  <c r="AA75" i="2"/>
  <c r="Z75" i="2"/>
  <c r="Y75" i="2"/>
  <c r="X75" i="2"/>
  <c r="W75" i="2"/>
  <c r="V75" i="2"/>
  <c r="U75" i="2"/>
  <c r="T75" i="2"/>
  <c r="S75" i="2"/>
  <c r="AD74" i="2"/>
  <c r="AC74" i="2"/>
  <c r="AB74" i="2"/>
  <c r="AA74" i="2"/>
  <c r="Z74" i="2"/>
  <c r="Y74" i="2"/>
  <c r="X74" i="2"/>
  <c r="W74" i="2"/>
  <c r="V74" i="2"/>
  <c r="U74" i="2"/>
  <c r="T74" i="2"/>
  <c r="S74" i="2"/>
  <c r="AD73" i="2"/>
  <c r="AC73" i="2"/>
  <c r="AB73" i="2"/>
  <c r="AA73" i="2"/>
  <c r="Z73" i="2"/>
  <c r="Y73" i="2"/>
  <c r="X73" i="2"/>
  <c r="W73" i="2"/>
  <c r="V73" i="2"/>
  <c r="U73" i="2"/>
  <c r="T73" i="2"/>
  <c r="S73" i="2"/>
  <c r="AD72" i="2"/>
  <c r="AC72" i="2"/>
  <c r="AB72" i="2"/>
  <c r="AA72" i="2"/>
  <c r="Z72" i="2"/>
  <c r="Y72" i="2"/>
  <c r="X72" i="2"/>
  <c r="W72" i="2"/>
  <c r="V72" i="2"/>
  <c r="U72" i="2"/>
  <c r="T72" i="2"/>
  <c r="S72" i="2"/>
  <c r="AD71" i="2"/>
  <c r="AC71" i="2"/>
  <c r="AB71" i="2"/>
  <c r="AA71" i="2"/>
  <c r="Z71" i="2"/>
  <c r="Y71" i="2"/>
  <c r="X71" i="2"/>
  <c r="W71" i="2"/>
  <c r="V71" i="2"/>
  <c r="U71" i="2"/>
  <c r="T71" i="2"/>
  <c r="S71" i="2"/>
  <c r="AD70" i="2"/>
  <c r="AC70" i="2"/>
  <c r="AB70" i="2"/>
  <c r="AA70" i="2"/>
  <c r="Z70" i="2"/>
  <c r="Y70" i="2"/>
  <c r="X70" i="2"/>
  <c r="W70" i="2"/>
  <c r="V70" i="2"/>
  <c r="U70" i="2"/>
  <c r="T70" i="2"/>
  <c r="S70" i="2"/>
  <c r="AD69" i="2"/>
  <c r="AC69" i="2"/>
  <c r="AB69" i="2"/>
  <c r="AA69" i="2"/>
  <c r="Z69" i="2"/>
  <c r="Y69" i="2"/>
  <c r="X69" i="2"/>
  <c r="W69" i="2"/>
  <c r="V69" i="2"/>
  <c r="U69" i="2"/>
  <c r="T69" i="2"/>
  <c r="S69" i="2"/>
  <c r="AD68" i="2"/>
  <c r="AC68" i="2"/>
  <c r="AB68" i="2"/>
  <c r="AA68" i="2"/>
  <c r="Z68" i="2"/>
  <c r="Y68" i="2"/>
  <c r="X68" i="2"/>
  <c r="W68" i="2"/>
  <c r="V68" i="2"/>
  <c r="U68" i="2"/>
  <c r="T68" i="2"/>
  <c r="S68" i="2"/>
  <c r="AD67" i="2"/>
  <c r="AC67" i="2"/>
  <c r="AB67" i="2"/>
  <c r="AA67" i="2"/>
  <c r="Z67" i="2"/>
  <c r="Y67" i="2"/>
  <c r="X67" i="2"/>
  <c r="W67" i="2"/>
  <c r="V67" i="2"/>
  <c r="U67" i="2"/>
  <c r="T67" i="2"/>
  <c r="S67" i="2"/>
  <c r="AD66" i="2"/>
  <c r="AC66" i="2"/>
  <c r="AB66" i="2"/>
  <c r="AA66" i="2"/>
  <c r="Z66" i="2"/>
  <c r="Y66" i="2"/>
  <c r="X66" i="2"/>
  <c r="W66" i="2"/>
  <c r="V66" i="2"/>
  <c r="U66" i="2"/>
  <c r="T66" i="2"/>
  <c r="S66" i="2"/>
  <c r="AD65" i="2"/>
  <c r="AC65" i="2"/>
  <c r="AB65" i="2"/>
  <c r="AA65" i="2"/>
  <c r="Z65" i="2"/>
  <c r="Y65" i="2"/>
  <c r="X65" i="2"/>
  <c r="W65" i="2"/>
  <c r="V65" i="2"/>
  <c r="U65" i="2"/>
  <c r="T65" i="2"/>
  <c r="S65" i="2"/>
  <c r="AD64" i="2"/>
  <c r="AC64" i="2"/>
  <c r="AB64" i="2"/>
  <c r="AA64" i="2"/>
  <c r="Z64" i="2"/>
  <c r="Y64" i="2"/>
  <c r="X64" i="2"/>
  <c r="W64" i="2"/>
  <c r="V64" i="2"/>
  <c r="U64" i="2"/>
  <c r="T64" i="2"/>
  <c r="S64" i="2"/>
  <c r="AD63" i="2"/>
  <c r="AC63" i="2"/>
  <c r="AB63" i="2"/>
  <c r="AA63" i="2"/>
  <c r="Z63" i="2"/>
  <c r="Y63" i="2"/>
  <c r="X63" i="2"/>
  <c r="W63" i="2"/>
  <c r="V63" i="2"/>
  <c r="U63" i="2"/>
  <c r="T63" i="2"/>
  <c r="S63" i="2"/>
  <c r="AD62" i="2"/>
  <c r="AC62" i="2"/>
  <c r="AB62" i="2"/>
  <c r="AA62" i="2"/>
  <c r="Z62" i="2"/>
  <c r="Y62" i="2"/>
  <c r="X62" i="2"/>
  <c r="W62" i="2"/>
  <c r="V62" i="2"/>
  <c r="U62" i="2"/>
  <c r="T62" i="2"/>
  <c r="S62" i="2"/>
  <c r="AD61" i="2"/>
  <c r="AC61" i="2"/>
  <c r="AB61" i="2"/>
  <c r="AA61" i="2"/>
  <c r="Z61" i="2"/>
  <c r="Y61" i="2"/>
  <c r="X61" i="2"/>
  <c r="W61" i="2"/>
  <c r="V61" i="2"/>
  <c r="U61" i="2"/>
  <c r="T61" i="2"/>
  <c r="S61" i="2"/>
  <c r="AD60" i="2"/>
  <c r="AC60" i="2"/>
  <c r="AB60" i="2"/>
  <c r="AA60" i="2"/>
  <c r="Z60" i="2"/>
  <c r="Y60" i="2"/>
  <c r="X60" i="2"/>
  <c r="W60" i="2"/>
  <c r="V60" i="2"/>
  <c r="U60" i="2"/>
  <c r="T60" i="2"/>
  <c r="S60" i="2"/>
  <c r="AD59" i="2"/>
  <c r="AC59" i="2"/>
  <c r="AB59" i="2"/>
  <c r="AA59" i="2"/>
  <c r="Z59" i="2"/>
  <c r="Y59" i="2"/>
  <c r="X59" i="2"/>
  <c r="W59" i="2"/>
  <c r="V59" i="2"/>
  <c r="U59" i="2"/>
  <c r="T59" i="2"/>
  <c r="S59" i="2"/>
  <c r="AD58" i="2"/>
  <c r="AC58" i="2"/>
  <c r="AB58" i="2"/>
  <c r="AA58" i="2"/>
  <c r="Z58" i="2"/>
  <c r="Y58" i="2"/>
  <c r="X58" i="2"/>
  <c r="W58" i="2"/>
  <c r="V58" i="2"/>
  <c r="U58" i="2"/>
  <c r="T58" i="2"/>
  <c r="S58" i="2"/>
  <c r="AD57" i="2"/>
  <c r="AC57" i="2"/>
  <c r="AB57" i="2"/>
  <c r="AA57" i="2"/>
  <c r="Z57" i="2"/>
  <c r="Y57" i="2"/>
  <c r="X57" i="2"/>
  <c r="W57" i="2"/>
  <c r="V57" i="2"/>
  <c r="U57" i="2"/>
  <c r="T57" i="2"/>
  <c r="S57" i="2"/>
  <c r="AD56" i="2"/>
  <c r="AC56" i="2"/>
  <c r="AB56" i="2"/>
  <c r="AA56" i="2"/>
  <c r="Z56" i="2"/>
  <c r="Y56" i="2"/>
  <c r="X56" i="2"/>
  <c r="W56" i="2"/>
  <c r="V56" i="2"/>
  <c r="U56" i="2"/>
  <c r="T56" i="2"/>
  <c r="S56" i="2"/>
  <c r="AD55" i="2"/>
  <c r="AC55" i="2"/>
  <c r="AB55" i="2"/>
  <c r="AA55" i="2"/>
  <c r="Z55" i="2"/>
  <c r="Y55" i="2"/>
  <c r="X55" i="2"/>
  <c r="W55" i="2"/>
  <c r="V55" i="2"/>
  <c r="U55" i="2"/>
  <c r="T55" i="2"/>
  <c r="S55" i="2"/>
  <c r="AD54" i="2"/>
  <c r="AC54" i="2"/>
  <c r="AB54" i="2"/>
  <c r="AA54" i="2"/>
  <c r="Z54" i="2"/>
  <c r="Y54" i="2"/>
  <c r="X54" i="2"/>
  <c r="W54" i="2"/>
  <c r="V54" i="2"/>
  <c r="U54" i="2"/>
  <c r="T54" i="2"/>
  <c r="S54" i="2"/>
  <c r="AD53" i="2"/>
  <c r="AC53" i="2"/>
  <c r="AB53" i="2"/>
  <c r="AA53" i="2"/>
  <c r="Z53" i="2"/>
  <c r="Y53" i="2"/>
  <c r="X53" i="2"/>
  <c r="W53" i="2"/>
  <c r="V53" i="2"/>
  <c r="U53" i="2"/>
  <c r="T53" i="2"/>
  <c r="S53" i="2"/>
  <c r="AD52" i="2"/>
  <c r="AC52" i="2"/>
  <c r="AB52" i="2"/>
  <c r="AA52" i="2"/>
  <c r="Z52" i="2"/>
  <c r="Y52" i="2"/>
  <c r="X52" i="2"/>
  <c r="W52" i="2"/>
  <c r="V52" i="2"/>
  <c r="U52" i="2"/>
  <c r="T52" i="2"/>
  <c r="S52" i="2"/>
  <c r="AD51" i="2"/>
  <c r="AC51" i="2"/>
  <c r="AB51" i="2"/>
  <c r="AA51" i="2"/>
  <c r="Z51" i="2"/>
  <c r="Y51" i="2"/>
  <c r="X51" i="2"/>
  <c r="W51" i="2"/>
  <c r="V51" i="2"/>
  <c r="U51" i="2"/>
  <c r="T51" i="2"/>
  <c r="S51" i="2"/>
  <c r="AD50" i="2"/>
  <c r="AC50" i="2"/>
  <c r="AB50" i="2"/>
  <c r="AA50" i="2"/>
  <c r="Z50" i="2"/>
  <c r="Y50" i="2"/>
  <c r="X50" i="2"/>
  <c r="W50" i="2"/>
  <c r="V50" i="2"/>
  <c r="U50" i="2"/>
  <c r="T50" i="2"/>
  <c r="S50" i="2"/>
  <c r="AD49" i="2"/>
  <c r="AC49" i="2"/>
  <c r="AB49" i="2"/>
  <c r="AA49" i="2"/>
  <c r="Z49" i="2"/>
  <c r="Y49" i="2"/>
  <c r="X49" i="2"/>
  <c r="W49" i="2"/>
  <c r="V49" i="2"/>
  <c r="U49" i="2"/>
  <c r="T49" i="2"/>
  <c r="S49" i="2"/>
  <c r="AD48" i="2"/>
  <c r="AC48" i="2"/>
  <c r="AB48" i="2"/>
  <c r="AA48" i="2"/>
  <c r="Z48" i="2"/>
  <c r="Y48" i="2"/>
  <c r="X48" i="2"/>
  <c r="W48" i="2"/>
  <c r="V48" i="2"/>
  <c r="U48" i="2"/>
  <c r="T48" i="2"/>
  <c r="S48" i="2"/>
  <c r="AD47" i="2"/>
  <c r="AC47" i="2"/>
  <c r="AB47" i="2"/>
  <c r="AA47" i="2"/>
  <c r="Z47" i="2"/>
  <c r="Y47" i="2"/>
  <c r="X47" i="2"/>
  <c r="W47" i="2"/>
  <c r="V47" i="2"/>
  <c r="U47" i="2"/>
  <c r="T47" i="2"/>
  <c r="S47" i="2"/>
  <c r="AD46" i="2"/>
  <c r="AC46" i="2"/>
  <c r="AB46" i="2"/>
  <c r="AA46" i="2"/>
  <c r="Z46" i="2"/>
  <c r="Y46" i="2"/>
  <c r="X46" i="2"/>
  <c r="W46" i="2"/>
  <c r="V46" i="2"/>
  <c r="U46" i="2"/>
  <c r="T46" i="2"/>
  <c r="S46" i="2"/>
  <c r="AD45" i="2"/>
  <c r="AC45" i="2"/>
  <c r="AB45" i="2"/>
  <c r="AA45" i="2"/>
  <c r="Z45" i="2"/>
  <c r="Y45" i="2"/>
  <c r="X45" i="2"/>
  <c r="W45" i="2"/>
  <c r="V45" i="2"/>
  <c r="U45" i="2"/>
  <c r="T45" i="2"/>
  <c r="S45" i="2"/>
  <c r="AD44" i="2"/>
  <c r="AC44" i="2"/>
  <c r="AB44" i="2"/>
  <c r="AA44" i="2"/>
  <c r="Z44" i="2"/>
  <c r="Y44" i="2"/>
  <c r="X44" i="2"/>
  <c r="W44" i="2"/>
  <c r="V44" i="2"/>
  <c r="U44" i="2"/>
  <c r="T44" i="2"/>
  <c r="S44" i="2"/>
  <c r="AD43" i="2"/>
  <c r="AC43" i="2"/>
  <c r="AB43" i="2"/>
  <c r="AA43" i="2"/>
  <c r="Z43" i="2"/>
  <c r="Y43" i="2"/>
  <c r="X43" i="2"/>
  <c r="W43" i="2"/>
  <c r="V43" i="2"/>
  <c r="U43" i="2"/>
  <c r="T43" i="2"/>
  <c r="S43" i="2"/>
  <c r="AD42" i="2"/>
  <c r="AC42" i="2"/>
  <c r="AB42" i="2"/>
  <c r="AA42" i="2"/>
  <c r="Z42" i="2"/>
  <c r="Y42" i="2"/>
  <c r="X42" i="2"/>
  <c r="W42" i="2"/>
  <c r="V42" i="2"/>
  <c r="U42" i="2"/>
  <c r="T42" i="2"/>
  <c r="S42" i="2"/>
  <c r="AD41" i="2"/>
  <c r="AC41" i="2"/>
  <c r="AB41" i="2"/>
  <c r="AA41" i="2"/>
  <c r="Z41" i="2"/>
  <c r="Y41" i="2"/>
  <c r="X41" i="2"/>
  <c r="W41" i="2"/>
  <c r="V41" i="2"/>
  <c r="U41" i="2"/>
  <c r="T41" i="2"/>
  <c r="S41" i="2"/>
  <c r="AD40" i="2"/>
  <c r="AC40" i="2"/>
  <c r="AB40" i="2"/>
  <c r="AA40" i="2"/>
  <c r="Z40" i="2"/>
  <c r="Y40" i="2"/>
  <c r="X40" i="2"/>
  <c r="W40" i="2"/>
  <c r="V40" i="2"/>
  <c r="U40" i="2"/>
  <c r="T40" i="2"/>
  <c r="S40" i="2"/>
  <c r="AD39" i="2"/>
  <c r="AC39" i="2"/>
  <c r="AB39" i="2"/>
  <c r="AA39" i="2"/>
  <c r="Z39" i="2"/>
  <c r="Y39" i="2"/>
  <c r="X39" i="2"/>
  <c r="W39" i="2"/>
  <c r="V39" i="2"/>
  <c r="U39" i="2"/>
  <c r="T39" i="2"/>
  <c r="S39" i="2"/>
  <c r="AD38" i="2"/>
  <c r="AC38" i="2"/>
  <c r="AB38" i="2"/>
  <c r="AA38" i="2"/>
  <c r="Z38" i="2"/>
  <c r="Y38" i="2"/>
  <c r="X38" i="2"/>
  <c r="W38" i="2"/>
  <c r="V38" i="2"/>
  <c r="U38" i="2"/>
  <c r="T38" i="2"/>
  <c r="S38" i="2"/>
  <c r="AD37" i="2"/>
  <c r="AC37" i="2"/>
  <c r="AB37" i="2"/>
  <c r="AA37" i="2"/>
  <c r="Z37" i="2"/>
  <c r="Y37" i="2"/>
  <c r="X37" i="2"/>
  <c r="W37" i="2"/>
  <c r="V37" i="2"/>
  <c r="U37" i="2"/>
  <c r="T37" i="2"/>
  <c r="S37" i="2"/>
  <c r="AD36" i="2"/>
  <c r="AC36" i="2"/>
  <c r="AB36" i="2"/>
  <c r="AA36" i="2"/>
  <c r="Z36" i="2"/>
  <c r="Y36" i="2"/>
  <c r="X36" i="2"/>
  <c r="W36" i="2"/>
  <c r="V36" i="2"/>
  <c r="U36" i="2"/>
  <c r="T36" i="2"/>
  <c r="S36" i="2"/>
  <c r="AD35" i="2"/>
  <c r="AC35" i="2"/>
  <c r="AB35" i="2"/>
  <c r="AA35" i="2"/>
  <c r="Z35" i="2"/>
  <c r="Y35" i="2"/>
  <c r="X35" i="2"/>
  <c r="W35" i="2"/>
  <c r="V35" i="2"/>
  <c r="U35" i="2"/>
  <c r="T35" i="2"/>
  <c r="S35" i="2"/>
  <c r="AD34" i="2"/>
  <c r="AC34" i="2"/>
  <c r="AB34" i="2"/>
  <c r="AA34" i="2"/>
  <c r="Z34" i="2"/>
  <c r="Y34" i="2"/>
  <c r="X34" i="2"/>
  <c r="W34" i="2"/>
  <c r="V34" i="2"/>
  <c r="U34" i="2"/>
  <c r="T34" i="2"/>
  <c r="S34" i="2"/>
  <c r="AD33" i="2"/>
  <c r="AC33" i="2"/>
  <c r="AB33" i="2"/>
  <c r="AA33" i="2"/>
  <c r="Z33" i="2"/>
  <c r="Y33" i="2"/>
  <c r="X33" i="2"/>
  <c r="W33" i="2"/>
  <c r="V33" i="2"/>
  <c r="U33" i="2"/>
  <c r="T33" i="2"/>
  <c r="S33" i="2"/>
  <c r="AD32" i="2"/>
  <c r="AC32" i="2"/>
  <c r="AB32" i="2"/>
  <c r="AA32" i="2"/>
  <c r="Z32" i="2"/>
  <c r="Y32" i="2"/>
  <c r="X32" i="2"/>
  <c r="W32" i="2"/>
  <c r="V32" i="2"/>
  <c r="U32" i="2"/>
  <c r="T32" i="2"/>
  <c r="S32" i="2"/>
  <c r="AD31" i="2"/>
  <c r="AC31" i="2"/>
  <c r="AB31" i="2"/>
  <c r="AA31" i="2"/>
  <c r="Z31" i="2"/>
  <c r="Y31" i="2"/>
  <c r="X31" i="2"/>
  <c r="W31" i="2"/>
  <c r="V31" i="2"/>
  <c r="U31" i="2"/>
  <c r="T31" i="2"/>
  <c r="S31" i="2"/>
  <c r="AD30" i="2"/>
  <c r="AC30" i="2"/>
  <c r="AB30" i="2"/>
  <c r="AA30" i="2"/>
  <c r="Z30" i="2"/>
  <c r="Y30" i="2"/>
  <c r="X30" i="2"/>
  <c r="W30" i="2"/>
  <c r="V30" i="2"/>
  <c r="U30" i="2"/>
  <c r="T30" i="2"/>
  <c r="S30" i="2"/>
  <c r="AD29" i="2"/>
  <c r="AC29" i="2"/>
  <c r="AB29" i="2"/>
  <c r="AA29" i="2"/>
  <c r="Z29" i="2"/>
  <c r="Y29" i="2"/>
  <c r="X29" i="2"/>
  <c r="W29" i="2"/>
  <c r="V29" i="2"/>
  <c r="U29" i="2"/>
  <c r="T29" i="2"/>
  <c r="S29" i="2"/>
  <c r="AD28" i="2"/>
  <c r="AC28" i="2"/>
  <c r="AB28" i="2"/>
  <c r="AA28" i="2"/>
  <c r="Z28" i="2"/>
  <c r="Y28" i="2"/>
  <c r="X28" i="2"/>
  <c r="W28" i="2"/>
  <c r="V28" i="2"/>
  <c r="U28" i="2"/>
  <c r="T28" i="2"/>
  <c r="S28" i="2"/>
  <c r="AD27" i="2"/>
  <c r="AC27" i="2"/>
  <c r="AB27" i="2"/>
  <c r="AA27" i="2"/>
  <c r="Z27" i="2"/>
  <c r="Y27" i="2"/>
  <c r="X27" i="2"/>
  <c r="W27" i="2"/>
  <c r="V27" i="2"/>
  <c r="U27" i="2"/>
  <c r="T27" i="2"/>
  <c r="S27" i="2"/>
  <c r="AD26" i="2"/>
  <c r="AC26" i="2"/>
  <c r="AB26" i="2"/>
  <c r="AA26" i="2"/>
  <c r="Z26" i="2"/>
  <c r="Y26" i="2"/>
  <c r="X26" i="2"/>
  <c r="W26" i="2"/>
  <c r="V26" i="2"/>
  <c r="U26" i="2"/>
  <c r="T26" i="2"/>
  <c r="S26" i="2"/>
  <c r="AD25" i="2"/>
  <c r="AC25" i="2"/>
  <c r="AB25" i="2"/>
  <c r="AA25" i="2"/>
  <c r="Z25" i="2"/>
  <c r="Y25" i="2"/>
  <c r="X25" i="2"/>
  <c r="W25" i="2"/>
  <c r="V25" i="2"/>
  <c r="U25" i="2"/>
  <c r="T25" i="2"/>
  <c r="S25" i="2"/>
  <c r="AD24" i="2"/>
  <c r="AC24" i="2"/>
  <c r="AB24" i="2"/>
  <c r="AA24" i="2"/>
  <c r="Z24" i="2"/>
  <c r="Y24" i="2"/>
  <c r="X24" i="2"/>
  <c r="W24" i="2"/>
  <c r="V24" i="2"/>
  <c r="U24" i="2"/>
  <c r="T24" i="2"/>
  <c r="S24" i="2"/>
  <c r="AD23" i="2"/>
  <c r="AC23" i="2"/>
  <c r="AB23" i="2"/>
  <c r="AA23" i="2"/>
  <c r="Z23" i="2"/>
  <c r="Y23" i="2"/>
  <c r="X23" i="2"/>
  <c r="W23" i="2"/>
  <c r="V23" i="2"/>
  <c r="U23" i="2"/>
  <c r="T23" i="2"/>
  <c r="S23" i="2"/>
  <c r="AD22" i="2"/>
  <c r="AC22" i="2"/>
  <c r="AB22" i="2"/>
  <c r="AA22" i="2"/>
  <c r="Z22" i="2"/>
  <c r="Y22" i="2"/>
  <c r="X22" i="2"/>
  <c r="W22" i="2"/>
  <c r="V22" i="2"/>
  <c r="U22" i="2"/>
  <c r="T22" i="2"/>
  <c r="S22" i="2"/>
  <c r="AD21" i="2"/>
  <c r="AC21" i="2"/>
  <c r="AB21" i="2"/>
  <c r="AA21" i="2"/>
  <c r="Z21" i="2"/>
  <c r="Y21" i="2"/>
  <c r="X21" i="2"/>
  <c r="W21" i="2"/>
  <c r="V21" i="2"/>
  <c r="U21" i="2"/>
  <c r="T21" i="2"/>
  <c r="S21" i="2"/>
  <c r="AD20" i="2"/>
  <c r="AC20" i="2"/>
  <c r="AB20" i="2"/>
  <c r="AA20" i="2"/>
  <c r="Z20" i="2"/>
  <c r="Y20" i="2"/>
  <c r="X20" i="2"/>
  <c r="W20" i="2"/>
  <c r="V20" i="2"/>
  <c r="U20" i="2"/>
  <c r="T20" i="2"/>
  <c r="S20" i="2"/>
  <c r="AD19" i="2"/>
  <c r="AC19" i="2"/>
  <c r="AB19" i="2"/>
  <c r="AA19" i="2"/>
  <c r="Z19" i="2"/>
  <c r="Y19" i="2"/>
  <c r="X19" i="2"/>
  <c r="W19" i="2"/>
  <c r="V19" i="2"/>
  <c r="U19" i="2"/>
  <c r="T19" i="2"/>
  <c r="S19" i="2"/>
  <c r="AD18" i="2"/>
  <c r="AC18" i="2"/>
  <c r="AB18" i="2"/>
  <c r="AA18" i="2"/>
  <c r="Z18" i="2"/>
  <c r="Y18" i="2"/>
  <c r="X18" i="2"/>
  <c r="W18" i="2"/>
  <c r="V18" i="2"/>
  <c r="U18" i="2"/>
  <c r="T18" i="2"/>
  <c r="S18" i="2"/>
  <c r="AD17" i="2"/>
  <c r="AC17" i="2"/>
  <c r="AB17" i="2"/>
  <c r="AA17" i="2"/>
  <c r="Z17" i="2"/>
  <c r="Y17" i="2"/>
  <c r="X17" i="2"/>
  <c r="W17" i="2"/>
  <c r="V17" i="2"/>
  <c r="U17" i="2"/>
  <c r="T17" i="2"/>
  <c r="S17" i="2"/>
  <c r="AD16" i="2"/>
  <c r="AC16" i="2"/>
  <c r="AB16" i="2"/>
  <c r="AA16" i="2"/>
  <c r="Z16" i="2"/>
  <c r="Y16" i="2"/>
  <c r="X16" i="2"/>
  <c r="W16" i="2"/>
  <c r="V16" i="2"/>
  <c r="U16" i="2"/>
  <c r="T16" i="2"/>
  <c r="S16" i="2"/>
  <c r="AD15" i="2"/>
  <c r="AC15" i="2"/>
  <c r="AB15" i="2"/>
  <c r="AA15" i="2"/>
  <c r="Z15" i="2"/>
  <c r="Y15" i="2"/>
  <c r="X15" i="2"/>
  <c r="W15" i="2"/>
  <c r="V15" i="2"/>
  <c r="U15" i="2"/>
  <c r="T15" i="2"/>
  <c r="S15" i="2"/>
  <c r="AD14" i="2"/>
  <c r="AC14" i="2"/>
  <c r="AB14" i="2"/>
  <c r="AA14" i="2"/>
  <c r="Z14" i="2"/>
  <c r="Y14" i="2"/>
  <c r="X14" i="2"/>
  <c r="W14" i="2"/>
  <c r="V14" i="2"/>
  <c r="U14" i="2"/>
  <c r="T14" i="2"/>
  <c r="S14" i="2"/>
  <c r="AD13" i="2"/>
  <c r="AC13" i="2"/>
  <c r="AB13" i="2"/>
  <c r="AA13" i="2"/>
  <c r="Z13" i="2"/>
  <c r="Y13" i="2"/>
  <c r="X13" i="2"/>
  <c r="W13" i="2"/>
  <c r="V13" i="2"/>
  <c r="U13" i="2"/>
  <c r="T13" i="2"/>
  <c r="S13" i="2"/>
  <c r="AD12" i="2"/>
  <c r="AC12" i="2"/>
  <c r="AB12" i="2"/>
  <c r="AA12" i="2"/>
  <c r="Z12" i="2"/>
  <c r="Y12" i="2"/>
  <c r="X12" i="2"/>
  <c r="W12" i="2"/>
  <c r="V12" i="2"/>
  <c r="U12" i="2"/>
  <c r="T12" i="2"/>
  <c r="S12" i="2"/>
  <c r="AD11" i="2"/>
  <c r="AC11" i="2"/>
  <c r="AB11" i="2"/>
  <c r="AA11" i="2"/>
  <c r="Z11" i="2"/>
  <c r="Y11" i="2"/>
  <c r="X11" i="2"/>
  <c r="W11" i="2"/>
  <c r="V11" i="2"/>
  <c r="U11" i="2"/>
  <c r="T11" i="2"/>
  <c r="S11" i="2"/>
  <c r="AD10" i="2"/>
  <c r="AC10" i="2"/>
  <c r="AB10" i="2"/>
  <c r="AA10" i="2"/>
  <c r="Z10" i="2"/>
  <c r="Y10" i="2"/>
  <c r="X10" i="2"/>
  <c r="W10" i="2"/>
  <c r="V10" i="2"/>
  <c r="U10" i="2"/>
  <c r="T10" i="2"/>
  <c r="S10" i="2"/>
  <c r="AD9" i="2"/>
  <c r="AC9" i="2"/>
  <c r="AB9" i="2"/>
  <c r="AA9" i="2"/>
  <c r="Z9" i="2"/>
  <c r="Y9" i="2"/>
  <c r="X9" i="2"/>
  <c r="W9" i="2"/>
  <c r="V9" i="2"/>
  <c r="U9" i="2"/>
  <c r="T9" i="2"/>
  <c r="S9" i="2"/>
  <c r="AD8" i="2"/>
  <c r="AC8" i="2"/>
  <c r="AB8" i="2"/>
  <c r="AA8" i="2"/>
  <c r="Z8" i="2"/>
  <c r="Y8" i="2"/>
  <c r="X8" i="2"/>
  <c r="W8" i="2"/>
  <c r="V8" i="2"/>
  <c r="U8" i="2"/>
  <c r="T8" i="2"/>
  <c r="S8" i="2"/>
  <c r="AD7" i="2"/>
  <c r="AC7" i="2"/>
  <c r="AB7" i="2"/>
  <c r="AA7" i="2"/>
  <c r="Z7" i="2"/>
  <c r="Y7" i="2"/>
  <c r="X7" i="2"/>
  <c r="W7" i="2"/>
  <c r="V7" i="2"/>
  <c r="U7" i="2"/>
  <c r="T7" i="2"/>
  <c r="S7" i="2"/>
  <c r="AD6" i="2"/>
  <c r="AC6" i="2"/>
  <c r="AB6" i="2"/>
  <c r="AA6" i="2"/>
  <c r="Z6" i="2"/>
  <c r="Y6" i="2"/>
  <c r="X6" i="2"/>
  <c r="W6" i="2"/>
  <c r="V6" i="2"/>
  <c r="U6" i="2"/>
  <c r="T6" i="2"/>
  <c r="S6" i="2"/>
  <c r="AD5" i="2"/>
  <c r="AC5" i="2"/>
  <c r="AB5" i="2"/>
  <c r="AA5" i="2"/>
  <c r="Z5" i="2"/>
  <c r="Y5" i="2"/>
  <c r="X5" i="2"/>
  <c r="W5" i="2"/>
  <c r="V5" i="2"/>
  <c r="U5" i="2"/>
  <c r="T5" i="2"/>
  <c r="S5" i="2"/>
  <c r="AD4" i="2"/>
  <c r="AC4" i="2"/>
  <c r="AB4" i="2"/>
  <c r="AA4" i="2"/>
  <c r="Z4" i="2"/>
  <c r="Y4" i="2"/>
  <c r="X4" i="2"/>
  <c r="W4" i="2"/>
  <c r="V4" i="2"/>
  <c r="U4" i="2"/>
  <c r="T4" i="2"/>
  <c r="S4" i="2"/>
  <c r="AD3" i="2"/>
  <c r="AC3" i="2"/>
  <c r="AB3" i="2"/>
  <c r="AA3" i="2"/>
  <c r="Z3" i="2"/>
  <c r="Y3" i="2"/>
  <c r="X3" i="2"/>
  <c r="W3" i="2"/>
  <c r="V3" i="2"/>
  <c r="U3" i="2"/>
  <c r="T3" i="2"/>
  <c r="S3" i="2"/>
  <c r="AD2" i="2"/>
  <c r="AC2" i="2"/>
  <c r="AB2" i="2"/>
  <c r="AA2" i="2"/>
  <c r="Z2" i="2"/>
  <c r="Y2" i="2"/>
  <c r="X2" i="2"/>
  <c r="W2" i="2"/>
  <c r="V2" i="2"/>
  <c r="U2" i="2"/>
  <c r="T2" i="2"/>
  <c r="S2" i="2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4550" i="4"/>
  <c r="A4549" i="4"/>
  <c r="A4548" i="4"/>
  <c r="A4547" i="4"/>
  <c r="A4546" i="4"/>
  <c r="A4545" i="4"/>
  <c r="A4544" i="4"/>
  <c r="A4543" i="4"/>
  <c r="A4542" i="4"/>
  <c r="A4541" i="4"/>
  <c r="A4540" i="4"/>
  <c r="A4539" i="4"/>
  <c r="A4538" i="4"/>
  <c r="A4537" i="4"/>
  <c r="A4536" i="4"/>
  <c r="A4535" i="4"/>
  <c r="A4534" i="4"/>
  <c r="A4533" i="4"/>
  <c r="A4532" i="4"/>
  <c r="A4531" i="4"/>
  <c r="A4530" i="4"/>
  <c r="A4529" i="4"/>
  <c r="A4528" i="4"/>
  <c r="A4527" i="4"/>
  <c r="A4526" i="4"/>
  <c r="A4525" i="4"/>
  <c r="A4524" i="4"/>
  <c r="A4523" i="4"/>
  <c r="A4522" i="4"/>
  <c r="A4521" i="4"/>
  <c r="A4520" i="4"/>
  <c r="A4519" i="4"/>
  <c r="A4518" i="4"/>
  <c r="A4517" i="4"/>
  <c r="A4516" i="4"/>
  <c r="A4515" i="4"/>
  <c r="A4514" i="4"/>
  <c r="A4513" i="4"/>
  <c r="A4512" i="4"/>
  <c r="A4511" i="4"/>
  <c r="A4510" i="4"/>
  <c r="A4509" i="4"/>
  <c r="A4508" i="4"/>
  <c r="A4507" i="4"/>
  <c r="A4506" i="4"/>
  <c r="A4505" i="4"/>
  <c r="A4504" i="4"/>
  <c r="A4503" i="4"/>
  <c r="A4502" i="4"/>
  <c r="A4501" i="4"/>
  <c r="A4500" i="4"/>
  <c r="A4499" i="4"/>
  <c r="A4498" i="4"/>
  <c r="A4497" i="4"/>
  <c r="A4496" i="4"/>
  <c r="A4495" i="4"/>
  <c r="A4494" i="4"/>
  <c r="A4493" i="4"/>
  <c r="A4492" i="4"/>
  <c r="A4491" i="4"/>
  <c r="A4490" i="4"/>
  <c r="A4489" i="4"/>
  <c r="A4488" i="4"/>
  <c r="A4487" i="4"/>
  <c r="A4486" i="4"/>
  <c r="A4485" i="4"/>
  <c r="A4484" i="4"/>
  <c r="A4483" i="4"/>
  <c r="A4482" i="4"/>
  <c r="A4481" i="4"/>
  <c r="A4480" i="4"/>
  <c r="A4479" i="4"/>
  <c r="A4478" i="4"/>
  <c r="A4477" i="4"/>
  <c r="A4476" i="4"/>
  <c r="A4475" i="4"/>
  <c r="A4474" i="4"/>
  <c r="A4473" i="4"/>
  <c r="A4472" i="4"/>
  <c r="A4471" i="4"/>
  <c r="A4470" i="4"/>
  <c r="A4469" i="4"/>
  <c r="A4468" i="4"/>
  <c r="A4467" i="4"/>
  <c r="A4466" i="4"/>
  <c r="A4465" i="4"/>
  <c r="A4464" i="4"/>
  <c r="A4463" i="4"/>
  <c r="A4462" i="4"/>
  <c r="A4461" i="4"/>
  <c r="A4460" i="4"/>
  <c r="A4459" i="4"/>
  <c r="A4458" i="4"/>
  <c r="A4457" i="4"/>
  <c r="A4456" i="4"/>
  <c r="A4455" i="4"/>
  <c r="A4454" i="4"/>
  <c r="A4453" i="4"/>
  <c r="A4452" i="4"/>
  <c r="A4451" i="4"/>
  <c r="A4450" i="4"/>
  <c r="A4449" i="4"/>
  <c r="A4448" i="4"/>
  <c r="A4447" i="4"/>
  <c r="A4446" i="4"/>
  <c r="A4445" i="4"/>
  <c r="A4444" i="4"/>
  <c r="A4443" i="4"/>
  <c r="A4442" i="4"/>
  <c r="A4441" i="4"/>
  <c r="A4440" i="4"/>
  <c r="A4439" i="4"/>
  <c r="A4438" i="4"/>
  <c r="A4437" i="4"/>
  <c r="A4436" i="4"/>
  <c r="A4435" i="4"/>
  <c r="A4434" i="4"/>
  <c r="A4433" i="4"/>
  <c r="A4432" i="4"/>
  <c r="A4431" i="4"/>
  <c r="A4430" i="4"/>
  <c r="A4429" i="4"/>
  <c r="A4428" i="4"/>
  <c r="A4427" i="4"/>
  <c r="A4426" i="4"/>
  <c r="A4425" i="4"/>
  <c r="A4424" i="4"/>
  <c r="A4423" i="4"/>
  <c r="A4422" i="4"/>
  <c r="A4421" i="4"/>
  <c r="A4420" i="4"/>
  <c r="A4419" i="4"/>
  <c r="A4418" i="4"/>
  <c r="A4417" i="4"/>
  <c r="A4416" i="4"/>
  <c r="A4415" i="4"/>
  <c r="A4414" i="4"/>
  <c r="A4413" i="4"/>
  <c r="A4412" i="4"/>
  <c r="A4411" i="4"/>
  <c r="A4410" i="4"/>
  <c r="A4409" i="4"/>
  <c r="A4408" i="4"/>
  <c r="A4407" i="4"/>
  <c r="A4406" i="4"/>
  <c r="A4405" i="4"/>
  <c r="A4404" i="4"/>
  <c r="A4403" i="4"/>
  <c r="A4402" i="4"/>
  <c r="A4401" i="4"/>
  <c r="A4400" i="4"/>
  <c r="A4399" i="4"/>
  <c r="A4398" i="4"/>
  <c r="A4397" i="4"/>
  <c r="A4396" i="4"/>
  <c r="A4395" i="4"/>
  <c r="A4394" i="4"/>
  <c r="A4393" i="4"/>
  <c r="A4392" i="4"/>
  <c r="A4391" i="4"/>
  <c r="A4390" i="4"/>
  <c r="A4389" i="4"/>
  <c r="A4388" i="4"/>
  <c r="A4387" i="4"/>
  <c r="A4386" i="4"/>
  <c r="A4385" i="4"/>
  <c r="A4384" i="4"/>
  <c r="A4383" i="4"/>
  <c r="A4382" i="4"/>
  <c r="A4381" i="4"/>
  <c r="A4380" i="4"/>
  <c r="A4379" i="4"/>
  <c r="A4378" i="4"/>
  <c r="A4377" i="4"/>
  <c r="A4376" i="4"/>
  <c r="A4375" i="4"/>
  <c r="A4374" i="4"/>
  <c r="A4373" i="4"/>
  <c r="A4372" i="4"/>
  <c r="A4371" i="4"/>
  <c r="A4370" i="4"/>
  <c r="A4369" i="4"/>
  <c r="A4368" i="4"/>
  <c r="A4367" i="4"/>
  <c r="A4366" i="4"/>
  <c r="A4365" i="4"/>
  <c r="A4364" i="4"/>
  <c r="A4363" i="4"/>
  <c r="A4362" i="4"/>
  <c r="A4361" i="4"/>
  <c r="A4360" i="4"/>
  <c r="A4359" i="4"/>
  <c r="A4358" i="4"/>
  <c r="A4357" i="4"/>
  <c r="A4356" i="4"/>
  <c r="A4355" i="4"/>
  <c r="A4354" i="4"/>
  <c r="A4353" i="4"/>
  <c r="A4352" i="4"/>
  <c r="A4351" i="4"/>
  <c r="A4350" i="4"/>
  <c r="A4349" i="4"/>
  <c r="A4348" i="4"/>
  <c r="A4347" i="4"/>
  <c r="A4346" i="4"/>
  <c r="A4345" i="4"/>
  <c r="A4344" i="4"/>
  <c r="A4343" i="4"/>
  <c r="A4342" i="4"/>
  <c r="A4341" i="4"/>
  <c r="A4340" i="4"/>
  <c r="A4339" i="4"/>
  <c r="A4338" i="4"/>
  <c r="A4337" i="4"/>
  <c r="A4336" i="4"/>
  <c r="A4335" i="4"/>
  <c r="A4334" i="4"/>
  <c r="A4333" i="4"/>
  <c r="A4332" i="4"/>
  <c r="A4331" i="4"/>
  <c r="A4330" i="4"/>
  <c r="A4329" i="4"/>
  <c r="A4328" i="4"/>
  <c r="A4327" i="4"/>
  <c r="A4326" i="4"/>
  <c r="A4325" i="4"/>
  <c r="A4324" i="4"/>
  <c r="A4323" i="4"/>
  <c r="A4322" i="4"/>
  <c r="A4321" i="4"/>
  <c r="A4320" i="4"/>
  <c r="A4319" i="4"/>
  <c r="A4318" i="4"/>
  <c r="A4317" i="4"/>
  <c r="A4316" i="4"/>
  <c r="A4315" i="4"/>
  <c r="A4314" i="4"/>
  <c r="A4313" i="4"/>
  <c r="A4312" i="4"/>
  <c r="A4311" i="4"/>
  <c r="A4310" i="4"/>
  <c r="A4309" i="4"/>
  <c r="A4308" i="4"/>
  <c r="A4307" i="4"/>
  <c r="A4306" i="4"/>
  <c r="A4305" i="4"/>
  <c r="A4304" i="4"/>
  <c r="A4303" i="4"/>
  <c r="A4302" i="4"/>
  <c r="A4301" i="4"/>
  <c r="A4300" i="4"/>
  <c r="A4299" i="4"/>
  <c r="A4298" i="4"/>
  <c r="A4297" i="4"/>
  <c r="A4296" i="4"/>
  <c r="A4295" i="4"/>
  <c r="A4294" i="4"/>
  <c r="A4293" i="4"/>
  <c r="A4292" i="4"/>
  <c r="A4291" i="4"/>
  <c r="A4290" i="4"/>
  <c r="A4289" i="4"/>
  <c r="A4288" i="4"/>
  <c r="A4287" i="4"/>
  <c r="A4286" i="4"/>
  <c r="A4285" i="4"/>
  <c r="A4284" i="4"/>
  <c r="A4283" i="4"/>
  <c r="A4282" i="4"/>
  <c r="A4281" i="4"/>
  <c r="A4280" i="4"/>
  <c r="A4279" i="4"/>
  <c r="A4278" i="4"/>
  <c r="A4277" i="4"/>
  <c r="A4276" i="4"/>
  <c r="A4275" i="4"/>
  <c r="A4274" i="4"/>
  <c r="A4273" i="4"/>
  <c r="A4272" i="4"/>
  <c r="A4271" i="4"/>
  <c r="A4270" i="4"/>
  <c r="A4269" i="4"/>
  <c r="A4268" i="4"/>
  <c r="A4267" i="4"/>
  <c r="A4266" i="4"/>
  <c r="A4265" i="4"/>
  <c r="A4264" i="4"/>
  <c r="A4263" i="4"/>
  <c r="A4262" i="4"/>
  <c r="A4261" i="4"/>
  <c r="A4260" i="4"/>
  <c r="A4259" i="4"/>
  <c r="A4258" i="4"/>
  <c r="A4257" i="4"/>
  <c r="A4256" i="4"/>
  <c r="A4255" i="4"/>
  <c r="A4254" i="4"/>
  <c r="A4253" i="4"/>
  <c r="A4252" i="4"/>
  <c r="A4251" i="4"/>
  <c r="A4250" i="4"/>
  <c r="A4249" i="4"/>
  <c r="A4248" i="4"/>
  <c r="A4247" i="4"/>
  <c r="A4246" i="4"/>
  <c r="A4245" i="4"/>
  <c r="A4244" i="4"/>
  <c r="A4243" i="4"/>
  <c r="A4242" i="4"/>
  <c r="A4241" i="4"/>
  <c r="A4240" i="4"/>
  <c r="A4239" i="4"/>
  <c r="A4238" i="4"/>
  <c r="A4237" i="4"/>
  <c r="A4236" i="4"/>
  <c r="A4235" i="4"/>
  <c r="A4234" i="4"/>
  <c r="A4233" i="4"/>
  <c r="A4232" i="4"/>
  <c r="A4231" i="4"/>
  <c r="A4230" i="4"/>
  <c r="A4229" i="4"/>
  <c r="A4228" i="4"/>
  <c r="A4227" i="4"/>
  <c r="A4226" i="4"/>
  <c r="A4225" i="4"/>
  <c r="A4224" i="4"/>
  <c r="A4223" i="4"/>
  <c r="A4222" i="4"/>
  <c r="A4221" i="4"/>
  <c r="A4220" i="4"/>
  <c r="A4219" i="4"/>
  <c r="A4218" i="4"/>
  <c r="A4217" i="4"/>
  <c r="A4216" i="4"/>
  <c r="A4215" i="4"/>
  <c r="A4214" i="4"/>
  <c r="A4213" i="4"/>
  <c r="A4212" i="4"/>
  <c r="A4211" i="4"/>
  <c r="A4210" i="4"/>
  <c r="A4209" i="4"/>
  <c r="A4208" i="4"/>
  <c r="A4207" i="4"/>
  <c r="A4206" i="4"/>
  <c r="A4205" i="4"/>
  <c r="A4204" i="4"/>
  <c r="A4203" i="4"/>
  <c r="A4202" i="4"/>
  <c r="A4201" i="4"/>
  <c r="A4200" i="4"/>
  <c r="A4199" i="4"/>
  <c r="A4198" i="4"/>
  <c r="A4197" i="4"/>
  <c r="A4196" i="4"/>
  <c r="A4195" i="4"/>
  <c r="A4194" i="4"/>
  <c r="A4193" i="4"/>
  <c r="A4192" i="4"/>
  <c r="A4191" i="4"/>
  <c r="A4190" i="4"/>
  <c r="A4189" i="4"/>
  <c r="A4188" i="4"/>
  <c r="A4187" i="4"/>
  <c r="A4186" i="4"/>
  <c r="A4185" i="4"/>
  <c r="A4184" i="4"/>
  <c r="A4183" i="4"/>
  <c r="A4182" i="4"/>
  <c r="A4181" i="4"/>
  <c r="A4180" i="4"/>
  <c r="A4179" i="4"/>
  <c r="A4178" i="4"/>
  <c r="A4177" i="4"/>
  <c r="A4176" i="4"/>
  <c r="A4175" i="4"/>
  <c r="A4174" i="4"/>
  <c r="A4173" i="4"/>
  <c r="A4172" i="4"/>
  <c r="A4171" i="4"/>
  <c r="A4170" i="4"/>
  <c r="A4169" i="4"/>
  <c r="A4168" i="4"/>
  <c r="A4167" i="4"/>
  <c r="A4166" i="4"/>
  <c r="A4165" i="4"/>
  <c r="A4164" i="4"/>
  <c r="A4163" i="4"/>
  <c r="A4162" i="4"/>
  <c r="A4161" i="4"/>
  <c r="A4160" i="4"/>
  <c r="A4159" i="4"/>
  <c r="A4158" i="4"/>
  <c r="A4157" i="4"/>
  <c r="A4156" i="4"/>
  <c r="A4155" i="4"/>
  <c r="A4154" i="4"/>
  <c r="A4153" i="4"/>
  <c r="A4152" i="4"/>
  <c r="A4151" i="4"/>
  <c r="A4150" i="4"/>
  <c r="A4149" i="4"/>
  <c r="A4148" i="4"/>
  <c r="A4147" i="4"/>
  <c r="A4146" i="4"/>
  <c r="A4145" i="4"/>
  <c r="A4144" i="4"/>
  <c r="A4143" i="4"/>
  <c r="A4142" i="4"/>
  <c r="A4141" i="4"/>
  <c r="A4140" i="4"/>
  <c r="A4139" i="4"/>
  <c r="A4138" i="4"/>
  <c r="A4137" i="4"/>
  <c r="A4136" i="4"/>
  <c r="A4135" i="4"/>
  <c r="A4134" i="4"/>
  <c r="A4133" i="4"/>
  <c r="A4132" i="4"/>
  <c r="A4131" i="4"/>
  <c r="A4130" i="4"/>
  <c r="A4129" i="4"/>
  <c r="A4128" i="4"/>
  <c r="A4127" i="4"/>
  <c r="A4126" i="4"/>
  <c r="A4125" i="4"/>
  <c r="A4124" i="4"/>
  <c r="A4123" i="4"/>
  <c r="A4122" i="4"/>
  <c r="A4121" i="4"/>
  <c r="A4120" i="4"/>
  <c r="A4119" i="4"/>
  <c r="A4118" i="4"/>
  <c r="A4117" i="4"/>
  <c r="A4116" i="4"/>
  <c r="A4115" i="4"/>
  <c r="A4114" i="4"/>
  <c r="A4113" i="4"/>
  <c r="A4112" i="4"/>
  <c r="A4111" i="4"/>
  <c r="A4110" i="4"/>
  <c r="A4109" i="4"/>
  <c r="A4108" i="4"/>
  <c r="A4107" i="4"/>
  <c r="A4106" i="4"/>
  <c r="A4105" i="4"/>
  <c r="A4104" i="4"/>
  <c r="A4103" i="4"/>
  <c r="A4102" i="4"/>
  <c r="A4101" i="4"/>
  <c r="A4100" i="4"/>
  <c r="A4099" i="4"/>
  <c r="A4098" i="4"/>
  <c r="A4097" i="4"/>
  <c r="A4096" i="4"/>
  <c r="A4095" i="4"/>
  <c r="A4094" i="4"/>
  <c r="A4093" i="4"/>
  <c r="A4092" i="4"/>
  <c r="A4091" i="4"/>
  <c r="A4090" i="4"/>
  <c r="A4089" i="4"/>
  <c r="A4088" i="4"/>
  <c r="A4087" i="4"/>
  <c r="A4086" i="4"/>
  <c r="A4085" i="4"/>
  <c r="A4084" i="4"/>
  <c r="A4083" i="4"/>
  <c r="A4082" i="4"/>
  <c r="A4081" i="4"/>
  <c r="A4080" i="4"/>
  <c r="A4079" i="4"/>
  <c r="A4078" i="4"/>
  <c r="A4077" i="4"/>
  <c r="A4076" i="4"/>
  <c r="A4075" i="4"/>
  <c r="A4074" i="4"/>
  <c r="A4073" i="4"/>
  <c r="A4072" i="4"/>
  <c r="A4071" i="4"/>
  <c r="A4070" i="4"/>
  <c r="A4069" i="4"/>
  <c r="A4068" i="4"/>
  <c r="A4067" i="4"/>
  <c r="A4066" i="4"/>
  <c r="A4065" i="4"/>
  <c r="A4064" i="4"/>
  <c r="A4063" i="4"/>
  <c r="A4062" i="4"/>
  <c r="A4061" i="4"/>
  <c r="A4060" i="4"/>
  <c r="A4059" i="4"/>
  <c r="A4058" i="4"/>
  <c r="A4057" i="4"/>
  <c r="A4056" i="4"/>
  <c r="A4055" i="4"/>
  <c r="A4054" i="4"/>
  <c r="A4053" i="4"/>
  <c r="A4052" i="4"/>
  <c r="A4051" i="4"/>
  <c r="A4050" i="4"/>
  <c r="A4049" i="4"/>
  <c r="A4048" i="4"/>
  <c r="A4047" i="4"/>
  <c r="A4046" i="4"/>
  <c r="A4045" i="4"/>
  <c r="A4044" i="4"/>
  <c r="A4043" i="4"/>
  <c r="A4042" i="4"/>
  <c r="A4041" i="4"/>
  <c r="A4040" i="4"/>
  <c r="A4039" i="4"/>
  <c r="A4038" i="4"/>
  <c r="A4037" i="4"/>
  <c r="A4036" i="4"/>
  <c r="A4035" i="4"/>
  <c r="A4034" i="4"/>
  <c r="A4033" i="4"/>
  <c r="A4032" i="4"/>
  <c r="A4031" i="4"/>
  <c r="A4030" i="4"/>
  <c r="A4029" i="4"/>
  <c r="A4028" i="4"/>
  <c r="A4027" i="4"/>
  <c r="A4026" i="4"/>
  <c r="A4025" i="4"/>
  <c r="A4024" i="4"/>
  <c r="A4023" i="4"/>
  <c r="A4022" i="4"/>
  <c r="A4021" i="4"/>
  <c r="A4020" i="4"/>
  <c r="A4019" i="4"/>
  <c r="A4018" i="4"/>
  <c r="A4017" i="4"/>
  <c r="A4016" i="4"/>
  <c r="A4015" i="4"/>
  <c r="A4014" i="4"/>
  <c r="A4013" i="4"/>
  <c r="A4012" i="4"/>
  <c r="A4011" i="4"/>
  <c r="A4010" i="4"/>
  <c r="A4009" i="4"/>
  <c r="A4008" i="4"/>
  <c r="A4007" i="4"/>
  <c r="A4006" i="4"/>
  <c r="A4005" i="4"/>
  <c r="A4004" i="4"/>
  <c r="A4003" i="4"/>
  <c r="A4002" i="4"/>
  <c r="A4001" i="4"/>
  <c r="A4000" i="4"/>
  <c r="A3999" i="4"/>
  <c r="A3998" i="4"/>
  <c r="A3997" i="4"/>
  <c r="A3996" i="4"/>
  <c r="A3995" i="4"/>
  <c r="A3994" i="4"/>
  <c r="A3993" i="4"/>
  <c r="A3992" i="4"/>
  <c r="A3991" i="4"/>
  <c r="A3990" i="4"/>
  <c r="A3989" i="4"/>
  <c r="A3988" i="4"/>
  <c r="A3987" i="4"/>
  <c r="A3986" i="4"/>
  <c r="A3985" i="4"/>
  <c r="A3984" i="4"/>
  <c r="A3983" i="4"/>
  <c r="A3982" i="4"/>
  <c r="A3981" i="4"/>
  <c r="A3980" i="4"/>
  <c r="A3979" i="4"/>
  <c r="A3978" i="4"/>
  <c r="A3977" i="4"/>
  <c r="A3976" i="4"/>
  <c r="A3975" i="4"/>
  <c r="A3974" i="4"/>
  <c r="A3973" i="4"/>
  <c r="A3972" i="4"/>
  <c r="A3971" i="4"/>
  <c r="A3970" i="4"/>
  <c r="A3969" i="4"/>
  <c r="A3968" i="4"/>
  <c r="A3967" i="4"/>
  <c r="A3966" i="4"/>
  <c r="A3965" i="4"/>
  <c r="A3964" i="4"/>
  <c r="A3963" i="4"/>
  <c r="A3962" i="4"/>
  <c r="A3961" i="4"/>
  <c r="A3960" i="4"/>
  <c r="A3959" i="4"/>
  <c r="A3958" i="4"/>
  <c r="A3957" i="4"/>
  <c r="A3956" i="4"/>
  <c r="A3955" i="4"/>
  <c r="A3954" i="4"/>
  <c r="A3953" i="4"/>
  <c r="A3952" i="4"/>
  <c r="A3951" i="4"/>
  <c r="A3950" i="4"/>
  <c r="A3949" i="4"/>
  <c r="A3948" i="4"/>
  <c r="A3947" i="4"/>
  <c r="A3946" i="4"/>
  <c r="A3945" i="4"/>
  <c r="A3944" i="4"/>
  <c r="A3943" i="4"/>
  <c r="A3942" i="4"/>
  <c r="A3941" i="4"/>
  <c r="A3940" i="4"/>
  <c r="A3939" i="4"/>
  <c r="A3938" i="4"/>
  <c r="A3937" i="4"/>
  <c r="A3936" i="4"/>
  <c r="A3935" i="4"/>
  <c r="A3934" i="4"/>
  <c r="A3933" i="4"/>
  <c r="A3932" i="4"/>
  <c r="A3931" i="4"/>
  <c r="A3930" i="4"/>
  <c r="A3929" i="4"/>
  <c r="A3928" i="4"/>
  <c r="A3927" i="4"/>
  <c r="A3926" i="4"/>
  <c r="A3925" i="4"/>
  <c r="A3924" i="4"/>
  <c r="A3923" i="4"/>
  <c r="A3922" i="4"/>
  <c r="A3921" i="4"/>
  <c r="A3920" i="4"/>
  <c r="A3919" i="4"/>
  <c r="A3918" i="4"/>
  <c r="A3917" i="4"/>
  <c r="A3916" i="4"/>
  <c r="A3915" i="4"/>
  <c r="A3914" i="4"/>
  <c r="A3913" i="4"/>
  <c r="A3912" i="4"/>
  <c r="A3911" i="4"/>
  <c r="A3910" i="4"/>
  <c r="A3909" i="4"/>
  <c r="A3908" i="4"/>
  <c r="A3907" i="4"/>
  <c r="A3906" i="4"/>
  <c r="A3905" i="4"/>
  <c r="A3904" i="4"/>
  <c r="A3903" i="4"/>
  <c r="A3902" i="4"/>
  <c r="A3901" i="4"/>
  <c r="A3900" i="4"/>
  <c r="A3899" i="4"/>
  <c r="A3898" i="4"/>
  <c r="A3897" i="4"/>
  <c r="A3896" i="4"/>
  <c r="A3895" i="4"/>
  <c r="A3894" i="4"/>
  <c r="A3893" i="4"/>
  <c r="A3892" i="4"/>
  <c r="A3891" i="4"/>
  <c r="A3890" i="4"/>
  <c r="A3889" i="4"/>
  <c r="A3888" i="4"/>
  <c r="A3887" i="4"/>
  <c r="A3886" i="4"/>
  <c r="A3885" i="4"/>
  <c r="A3884" i="4"/>
  <c r="A3883" i="4"/>
  <c r="A3882" i="4"/>
  <c r="A3881" i="4"/>
  <c r="A3880" i="4"/>
  <c r="A3879" i="4"/>
  <c r="A3878" i="4"/>
  <c r="A3877" i="4"/>
  <c r="A3876" i="4"/>
  <c r="A3875" i="4"/>
  <c r="A3874" i="4"/>
  <c r="A3873" i="4"/>
  <c r="A3872" i="4"/>
  <c r="A3871" i="4"/>
  <c r="A3870" i="4"/>
  <c r="A3869" i="4"/>
  <c r="A3868" i="4"/>
  <c r="A3867" i="4"/>
  <c r="A3866" i="4"/>
  <c r="A3865" i="4"/>
  <c r="A3864" i="4"/>
  <c r="A3863" i="4"/>
  <c r="A3862" i="4"/>
  <c r="A3861" i="4"/>
  <c r="A3860" i="4"/>
  <c r="A3859" i="4"/>
  <c r="A3858" i="4"/>
  <c r="A3857" i="4"/>
  <c r="A3856" i="4"/>
  <c r="A3855" i="4"/>
  <c r="A3854" i="4"/>
  <c r="A3853" i="4"/>
  <c r="A3852" i="4"/>
  <c r="A3851" i="4"/>
  <c r="A3850" i="4"/>
  <c r="A3849" i="4"/>
  <c r="A3848" i="4"/>
  <c r="A3847" i="4"/>
  <c r="A3846" i="4"/>
  <c r="A3845" i="4"/>
  <c r="A3844" i="4"/>
  <c r="A3843" i="4"/>
  <c r="A3842" i="4"/>
  <c r="A3841" i="4"/>
  <c r="A3840" i="4"/>
  <c r="A3839" i="4"/>
  <c r="A3838" i="4"/>
  <c r="A3837" i="4"/>
  <c r="A3836" i="4"/>
  <c r="A3835" i="4"/>
  <c r="A3834" i="4"/>
  <c r="A3833" i="4"/>
  <c r="A3832" i="4"/>
  <c r="A3831" i="4"/>
  <c r="A3830" i="4"/>
  <c r="A3829" i="4"/>
  <c r="A3828" i="4"/>
  <c r="A3827" i="4"/>
  <c r="A3826" i="4"/>
  <c r="A3825" i="4"/>
  <c r="A3824" i="4"/>
  <c r="A3823" i="4"/>
  <c r="A3822" i="4"/>
  <c r="A3821" i="4"/>
  <c r="A3820" i="4"/>
  <c r="A3819" i="4"/>
  <c r="A3818" i="4"/>
  <c r="A3817" i="4"/>
  <c r="A3816" i="4"/>
  <c r="A3815" i="4"/>
  <c r="A3814" i="4"/>
  <c r="A3813" i="4"/>
  <c r="A3812" i="4"/>
  <c r="A3811" i="4"/>
  <c r="A3810" i="4"/>
  <c r="A3809" i="4"/>
  <c r="A3808" i="4"/>
  <c r="A3807" i="4"/>
  <c r="A3806" i="4"/>
  <c r="A3805" i="4"/>
  <c r="A3804" i="4"/>
  <c r="A3803" i="4"/>
  <c r="A3802" i="4"/>
  <c r="A3801" i="4"/>
  <c r="A3800" i="4"/>
  <c r="A3799" i="4"/>
  <c r="A3798" i="4"/>
  <c r="A3797" i="4"/>
  <c r="A3796" i="4"/>
  <c r="A3795" i="4"/>
  <c r="A3794" i="4"/>
  <c r="A3793" i="4"/>
  <c r="A3792" i="4"/>
  <c r="A3791" i="4"/>
  <c r="A3790" i="4"/>
  <c r="A3789" i="4"/>
  <c r="A3788" i="4"/>
  <c r="A3787" i="4"/>
  <c r="A3786" i="4"/>
  <c r="A3785" i="4"/>
  <c r="A3784" i="4"/>
  <c r="A3783" i="4"/>
  <c r="A3782" i="4"/>
  <c r="A3781" i="4"/>
  <c r="A3780" i="4"/>
  <c r="A3779" i="4"/>
  <c r="A3778" i="4"/>
  <c r="A3777" i="4"/>
  <c r="A3776" i="4"/>
  <c r="A3775" i="4"/>
  <c r="A3774" i="4"/>
  <c r="A3773" i="4"/>
  <c r="A3772" i="4"/>
  <c r="A3771" i="4"/>
  <c r="A3770" i="4"/>
  <c r="A3769" i="4"/>
  <c r="A3768" i="4"/>
  <c r="A3767" i="4"/>
  <c r="A3766" i="4"/>
  <c r="A3765" i="4"/>
  <c r="A3764" i="4"/>
  <c r="A3763" i="4"/>
  <c r="A3762" i="4"/>
  <c r="A3761" i="4"/>
  <c r="A3760" i="4"/>
  <c r="A3759" i="4"/>
  <c r="A3758" i="4"/>
  <c r="A3757" i="4"/>
  <c r="A3756" i="4"/>
  <c r="A3755" i="4"/>
  <c r="A3754" i="4"/>
  <c r="A3753" i="4"/>
  <c r="A3752" i="4"/>
  <c r="A3751" i="4"/>
  <c r="A3750" i="4"/>
  <c r="A3749" i="4"/>
  <c r="A3748" i="4"/>
  <c r="A3747" i="4"/>
  <c r="A3746" i="4"/>
  <c r="A3745" i="4"/>
  <c r="A3744" i="4"/>
  <c r="A3743" i="4"/>
  <c r="A3742" i="4"/>
  <c r="A3741" i="4"/>
  <c r="A3740" i="4"/>
  <c r="A3739" i="4"/>
  <c r="A3738" i="4"/>
  <c r="A3737" i="4"/>
  <c r="A3736" i="4"/>
  <c r="A3735" i="4"/>
  <c r="A3734" i="4"/>
  <c r="A3733" i="4"/>
  <c r="A3732" i="4"/>
  <c r="A3731" i="4"/>
  <c r="A3730" i="4"/>
  <c r="A3729" i="4"/>
  <c r="A3728" i="4"/>
  <c r="A3727" i="4"/>
  <c r="A3726" i="4"/>
  <c r="A3725" i="4"/>
  <c r="A3724" i="4"/>
  <c r="A3723" i="4"/>
  <c r="A3722" i="4"/>
  <c r="A3721" i="4"/>
  <c r="A3720" i="4"/>
  <c r="A3719" i="4"/>
  <c r="A3718" i="4"/>
  <c r="A3717" i="4"/>
  <c r="A3716" i="4"/>
  <c r="A3715" i="4"/>
  <c r="A3714" i="4"/>
  <c r="A3713" i="4"/>
  <c r="A3712" i="4"/>
  <c r="A3711" i="4"/>
  <c r="A3710" i="4"/>
  <c r="A3709" i="4"/>
  <c r="A3708" i="4"/>
  <c r="A3707" i="4"/>
  <c r="A3706" i="4"/>
  <c r="A3705" i="4"/>
  <c r="A3704" i="4"/>
  <c r="A3703" i="4"/>
  <c r="A3702" i="4"/>
  <c r="A3701" i="4"/>
  <c r="A3700" i="4"/>
  <c r="A3699" i="4"/>
  <c r="A3698" i="4"/>
  <c r="A3697" i="4"/>
  <c r="A3696" i="4"/>
  <c r="A3695" i="4"/>
  <c r="A3694" i="4"/>
  <c r="A3693" i="4"/>
  <c r="A3692" i="4"/>
  <c r="A3691" i="4"/>
  <c r="A3690" i="4"/>
  <c r="A3689" i="4"/>
  <c r="A3688" i="4"/>
  <c r="A3687" i="4"/>
  <c r="A3686" i="4"/>
  <c r="A3685" i="4"/>
  <c r="A3684" i="4"/>
  <c r="A3683" i="4"/>
  <c r="A3682" i="4"/>
  <c r="A3681" i="4"/>
  <c r="A3680" i="4"/>
  <c r="A3679" i="4"/>
  <c r="A3678" i="4"/>
  <c r="A3677" i="4"/>
  <c r="A3676" i="4"/>
  <c r="A3675" i="4"/>
  <c r="A3674" i="4"/>
  <c r="A3673" i="4"/>
  <c r="A3672" i="4"/>
  <c r="A3671" i="4"/>
  <c r="A3670" i="4"/>
  <c r="A3669" i="4"/>
  <c r="A3668" i="4"/>
  <c r="A3667" i="4"/>
  <c r="A3666" i="4"/>
  <c r="A3665" i="4"/>
  <c r="A3664" i="4"/>
  <c r="A3663" i="4"/>
  <c r="A3662" i="4"/>
  <c r="A3661" i="4"/>
  <c r="A3660" i="4"/>
  <c r="A3659" i="4"/>
  <c r="A3658" i="4"/>
  <c r="A3657" i="4"/>
  <c r="A3656" i="4"/>
  <c r="A3655" i="4"/>
  <c r="A3654" i="4"/>
  <c r="A3653" i="4"/>
  <c r="A3652" i="4"/>
  <c r="A3651" i="4"/>
  <c r="A3650" i="4"/>
  <c r="A3649" i="4"/>
  <c r="A3648" i="4"/>
  <c r="A3647" i="4"/>
  <c r="A3646" i="4"/>
  <c r="A3645" i="4"/>
  <c r="A3644" i="4"/>
  <c r="A3643" i="4"/>
  <c r="A3642" i="4"/>
  <c r="A3641" i="4"/>
  <c r="A3640" i="4"/>
  <c r="A3639" i="4"/>
  <c r="A3638" i="4"/>
  <c r="A3637" i="4"/>
  <c r="A3636" i="4"/>
  <c r="A3635" i="4"/>
  <c r="A3634" i="4"/>
  <c r="A3633" i="4"/>
  <c r="A3632" i="4"/>
  <c r="A3631" i="4"/>
  <c r="A3630" i="4"/>
  <c r="A3629" i="4"/>
  <c r="A3628" i="4"/>
  <c r="A3627" i="4"/>
  <c r="A3626" i="4"/>
  <c r="A3625" i="4"/>
  <c r="A3624" i="4"/>
  <c r="A3623" i="4"/>
  <c r="A3622" i="4"/>
  <c r="A3621" i="4"/>
  <c r="A3620" i="4"/>
  <c r="A3619" i="4"/>
  <c r="A3618" i="4"/>
  <c r="A3617" i="4"/>
  <c r="A3616" i="4"/>
  <c r="A3615" i="4"/>
  <c r="A3614" i="4"/>
  <c r="A3613" i="4"/>
  <c r="A3612" i="4"/>
  <c r="A3611" i="4"/>
  <c r="A3610" i="4"/>
  <c r="A3609" i="4"/>
  <c r="A3608" i="4"/>
  <c r="A3607" i="4"/>
  <c r="A3606" i="4"/>
  <c r="A3605" i="4"/>
  <c r="A3604" i="4"/>
  <c r="A3603" i="4"/>
  <c r="A3602" i="4"/>
  <c r="A3601" i="4"/>
  <c r="A3600" i="4"/>
  <c r="A3599" i="4"/>
  <c r="A3598" i="4"/>
  <c r="A3597" i="4"/>
  <c r="A3596" i="4"/>
  <c r="A3595" i="4"/>
  <c r="A3594" i="4"/>
  <c r="A3593" i="4"/>
  <c r="A3592" i="4"/>
  <c r="A3591" i="4"/>
  <c r="A3590" i="4"/>
  <c r="A3589" i="4"/>
  <c r="A3588" i="4"/>
  <c r="A3587" i="4"/>
  <c r="A3586" i="4"/>
  <c r="A3585" i="4"/>
  <c r="A3584" i="4"/>
  <c r="A3583" i="4"/>
  <c r="A3582" i="4"/>
  <c r="A3581" i="4"/>
  <c r="A3580" i="4"/>
  <c r="A3579" i="4"/>
  <c r="A3578" i="4"/>
  <c r="A3577" i="4"/>
  <c r="A3576" i="4"/>
  <c r="A3575" i="4"/>
  <c r="A3574" i="4"/>
  <c r="A3573" i="4"/>
  <c r="A3572" i="4"/>
  <c r="A3571" i="4"/>
  <c r="A3570" i="4"/>
  <c r="A3569" i="4"/>
  <c r="A3568" i="4"/>
  <c r="A3567" i="4"/>
  <c r="A3566" i="4"/>
  <c r="A3565" i="4"/>
  <c r="A3564" i="4"/>
  <c r="A3563" i="4"/>
  <c r="A3562" i="4"/>
  <c r="A3561" i="4"/>
  <c r="A3560" i="4"/>
  <c r="A3559" i="4"/>
  <c r="A3558" i="4"/>
  <c r="A3557" i="4"/>
  <c r="A3556" i="4"/>
  <c r="A3555" i="4"/>
  <c r="A3554" i="4"/>
  <c r="A3553" i="4"/>
  <c r="A3552" i="4"/>
  <c r="A3551" i="4"/>
  <c r="A3550" i="4"/>
  <c r="A3549" i="4"/>
  <c r="A3548" i="4"/>
  <c r="A3547" i="4"/>
  <c r="A3546" i="4"/>
  <c r="A3545" i="4"/>
  <c r="A3544" i="4"/>
  <c r="A3543" i="4"/>
  <c r="A3542" i="4"/>
  <c r="A3541" i="4"/>
  <c r="A3540" i="4"/>
  <c r="A3539" i="4"/>
  <c r="A3538" i="4"/>
  <c r="A3537" i="4"/>
  <c r="A3536" i="4"/>
  <c r="A3535" i="4"/>
  <c r="A3534" i="4"/>
  <c r="A3533" i="4"/>
  <c r="A3532" i="4"/>
  <c r="A3531" i="4"/>
  <c r="A3530" i="4"/>
  <c r="A3529" i="4"/>
  <c r="A3528" i="4"/>
  <c r="A3527" i="4"/>
  <c r="A3526" i="4"/>
  <c r="A3525" i="4"/>
  <c r="A3524" i="4"/>
  <c r="A3523" i="4"/>
  <c r="A3522" i="4"/>
  <c r="A3521" i="4"/>
  <c r="A3520" i="4"/>
  <c r="A3519" i="4"/>
  <c r="A3518" i="4"/>
  <c r="A3517" i="4"/>
  <c r="A3516" i="4"/>
  <c r="A3515" i="4"/>
  <c r="A3514" i="4"/>
  <c r="A3513" i="4"/>
  <c r="A3512" i="4"/>
  <c r="A3511" i="4"/>
  <c r="A3510" i="4"/>
  <c r="A3509" i="4"/>
  <c r="A3508" i="4"/>
  <c r="A3507" i="4"/>
  <c r="A3506" i="4"/>
  <c r="A3505" i="4"/>
  <c r="A3504" i="4"/>
  <c r="A3503" i="4"/>
  <c r="A3502" i="4"/>
  <c r="A3501" i="4"/>
  <c r="A3500" i="4"/>
  <c r="A3499" i="4"/>
  <c r="A3498" i="4"/>
  <c r="A3497" i="4"/>
  <c r="A3496" i="4"/>
  <c r="A3495" i="4"/>
  <c r="A3494" i="4"/>
  <c r="A3493" i="4"/>
  <c r="A3492" i="4"/>
  <c r="A3491" i="4"/>
  <c r="A3490" i="4"/>
  <c r="A3489" i="4"/>
  <c r="A3488" i="4"/>
  <c r="A3487" i="4"/>
  <c r="A3486" i="4"/>
  <c r="A3485" i="4"/>
  <c r="A3484" i="4"/>
  <c r="A3483" i="4"/>
  <c r="A3482" i="4"/>
  <c r="A3481" i="4"/>
  <c r="A3480" i="4"/>
  <c r="A3479" i="4"/>
  <c r="A3478" i="4"/>
  <c r="A3477" i="4"/>
  <c r="A3476" i="4"/>
  <c r="A3475" i="4"/>
  <c r="A3474" i="4"/>
  <c r="A3473" i="4"/>
  <c r="A3472" i="4"/>
  <c r="A3471" i="4"/>
  <c r="A3470" i="4"/>
  <c r="A3469" i="4"/>
  <c r="A3468" i="4"/>
  <c r="A3467" i="4"/>
  <c r="A3466" i="4"/>
  <c r="A3465" i="4"/>
  <c r="A3464" i="4"/>
  <c r="A3463" i="4"/>
  <c r="A3462" i="4"/>
  <c r="A3461" i="4"/>
  <c r="A3460" i="4"/>
  <c r="A3459" i="4"/>
  <c r="A3458" i="4"/>
  <c r="A3457" i="4"/>
  <c r="A3456" i="4"/>
  <c r="A3455" i="4"/>
  <c r="A3454" i="4"/>
  <c r="A3453" i="4"/>
  <c r="A3452" i="4"/>
  <c r="A3451" i="4"/>
  <c r="A3450" i="4"/>
  <c r="A3449" i="4"/>
  <c r="A3448" i="4"/>
  <c r="A3447" i="4"/>
  <c r="A3446" i="4"/>
  <c r="A3445" i="4"/>
  <c r="A3444" i="4"/>
  <c r="A3443" i="4"/>
  <c r="A3442" i="4"/>
  <c r="A3441" i="4"/>
  <c r="A3440" i="4"/>
  <c r="A3439" i="4"/>
  <c r="A3438" i="4"/>
  <c r="A3437" i="4"/>
  <c r="A3436" i="4"/>
  <c r="A3435" i="4"/>
  <c r="A3434" i="4"/>
  <c r="A3433" i="4"/>
  <c r="A3432" i="4"/>
  <c r="A3431" i="4"/>
  <c r="A3430" i="4"/>
  <c r="A3429" i="4"/>
  <c r="A3428" i="4"/>
  <c r="A3427" i="4"/>
  <c r="A3426" i="4"/>
  <c r="A3425" i="4"/>
  <c r="A3424" i="4"/>
  <c r="A3423" i="4"/>
  <c r="A3422" i="4"/>
  <c r="A3421" i="4"/>
  <c r="A3420" i="4"/>
  <c r="A3419" i="4"/>
  <c r="A3418" i="4"/>
  <c r="A3417" i="4"/>
  <c r="A3416" i="4"/>
  <c r="A3415" i="4"/>
  <c r="A3414" i="4"/>
  <c r="A3413" i="4"/>
  <c r="A3412" i="4"/>
  <c r="A3411" i="4"/>
  <c r="A3410" i="4"/>
  <c r="A3409" i="4"/>
  <c r="A3408" i="4"/>
  <c r="A3407" i="4"/>
  <c r="A3406" i="4"/>
  <c r="A3405" i="4"/>
  <c r="A3404" i="4"/>
  <c r="A3403" i="4"/>
  <c r="A3402" i="4"/>
  <c r="A3401" i="4"/>
  <c r="A3400" i="4"/>
  <c r="A3399" i="4"/>
  <c r="A3398" i="4"/>
  <c r="A3397" i="4"/>
  <c r="A3396" i="4"/>
  <c r="A3395" i="4"/>
  <c r="A3394" i="4"/>
  <c r="A3393" i="4"/>
  <c r="A3392" i="4"/>
  <c r="A3391" i="4"/>
  <c r="A3390" i="4"/>
  <c r="A3389" i="4"/>
  <c r="A3388" i="4"/>
  <c r="A3387" i="4"/>
  <c r="A3386" i="4"/>
  <c r="A3385" i="4"/>
  <c r="A3384" i="4"/>
  <c r="A3383" i="4"/>
  <c r="A3382" i="4"/>
  <c r="A3381" i="4"/>
  <c r="A3380" i="4"/>
  <c r="A3379" i="4"/>
  <c r="A3378" i="4"/>
  <c r="A3377" i="4"/>
  <c r="A3376" i="4"/>
  <c r="A3375" i="4"/>
  <c r="A3374" i="4"/>
  <c r="A3373" i="4"/>
  <c r="A3372" i="4"/>
  <c r="A3371" i="4"/>
  <c r="A3370" i="4"/>
  <c r="A3369" i="4"/>
  <c r="A3368" i="4"/>
  <c r="A3367" i="4"/>
  <c r="A3366" i="4"/>
  <c r="A3365" i="4"/>
  <c r="A3364" i="4"/>
  <c r="A3363" i="4"/>
  <c r="A3362" i="4"/>
  <c r="A3361" i="4"/>
  <c r="A3360" i="4"/>
  <c r="A3359" i="4"/>
  <c r="A3358" i="4"/>
  <c r="A3357" i="4"/>
  <c r="A3356" i="4"/>
  <c r="A3355" i="4"/>
  <c r="A3354" i="4"/>
  <c r="A3353" i="4"/>
  <c r="A3352" i="4"/>
  <c r="A3351" i="4"/>
  <c r="A3350" i="4"/>
  <c r="A3349" i="4"/>
  <c r="A3348" i="4"/>
  <c r="A3347" i="4"/>
  <c r="A3346" i="4"/>
  <c r="A3345" i="4"/>
  <c r="A3344" i="4"/>
  <c r="A3343" i="4"/>
  <c r="A3342" i="4"/>
  <c r="A3341" i="4"/>
  <c r="A3340" i="4"/>
  <c r="A3339" i="4"/>
  <c r="A3338" i="4"/>
  <c r="A3337" i="4"/>
  <c r="A3336" i="4"/>
  <c r="A3335" i="4"/>
  <c r="A3334" i="4"/>
  <c r="A3333" i="4"/>
  <c r="A3332" i="4"/>
  <c r="A3331" i="4"/>
  <c r="A3330" i="4"/>
  <c r="A3329" i="4"/>
  <c r="A3328" i="4"/>
  <c r="A3327" i="4"/>
  <c r="A3326" i="4"/>
  <c r="A3325" i="4"/>
  <c r="A3324" i="4"/>
  <c r="A3323" i="4"/>
  <c r="A3322" i="4"/>
  <c r="A3321" i="4"/>
  <c r="A3320" i="4"/>
  <c r="A3319" i="4"/>
  <c r="A3318" i="4"/>
  <c r="A3317" i="4"/>
  <c r="A3316" i="4"/>
  <c r="A3315" i="4"/>
  <c r="A3314" i="4"/>
  <c r="A3313" i="4"/>
  <c r="A3312" i="4"/>
  <c r="A3311" i="4"/>
  <c r="A3310" i="4"/>
  <c r="A3309" i="4"/>
  <c r="A3308" i="4"/>
  <c r="A3307" i="4"/>
  <c r="A3306" i="4"/>
  <c r="A3305" i="4"/>
  <c r="A3304" i="4"/>
  <c r="A3303" i="4"/>
  <c r="A3302" i="4"/>
  <c r="A3301" i="4"/>
  <c r="A3300" i="4"/>
  <c r="A3299" i="4"/>
  <c r="A3298" i="4"/>
  <c r="A3297" i="4"/>
  <c r="A3296" i="4"/>
  <c r="A3295" i="4"/>
  <c r="A3294" i="4"/>
  <c r="A3293" i="4"/>
  <c r="A3292" i="4"/>
  <c r="A3291" i="4"/>
  <c r="A3290" i="4"/>
  <c r="A3289" i="4"/>
  <c r="A3288" i="4"/>
  <c r="A3287" i="4"/>
  <c r="A3286" i="4"/>
  <c r="A3285" i="4"/>
  <c r="A3284" i="4"/>
  <c r="A3283" i="4"/>
  <c r="A3282" i="4"/>
  <c r="A3281" i="4"/>
  <c r="A3280" i="4"/>
  <c r="A3279" i="4"/>
  <c r="A3278" i="4"/>
  <c r="A3277" i="4"/>
  <c r="A3276" i="4"/>
  <c r="A3275" i="4"/>
  <c r="A3274" i="4"/>
  <c r="A3273" i="4"/>
  <c r="A3272" i="4"/>
  <c r="A3271" i="4"/>
  <c r="A3270" i="4"/>
  <c r="A3269" i="4"/>
  <c r="A3268" i="4"/>
  <c r="A3267" i="4"/>
  <c r="A3266" i="4"/>
  <c r="A3265" i="4"/>
  <c r="A3264" i="4"/>
  <c r="A3263" i="4"/>
  <c r="A3262" i="4"/>
  <c r="A3261" i="4"/>
  <c r="A3260" i="4"/>
  <c r="A3259" i="4"/>
  <c r="A3258" i="4"/>
  <c r="A3257" i="4"/>
  <c r="A3256" i="4"/>
  <c r="A3255" i="4"/>
  <c r="A3254" i="4"/>
  <c r="A3253" i="4"/>
  <c r="A3252" i="4"/>
  <c r="A3251" i="4"/>
  <c r="A3250" i="4"/>
  <c r="A3249" i="4"/>
  <c r="A3248" i="4"/>
  <c r="A3247" i="4"/>
  <c r="A3246" i="4"/>
  <c r="A3245" i="4"/>
  <c r="A3244" i="4"/>
  <c r="A3243" i="4"/>
  <c r="A3242" i="4"/>
  <c r="A3241" i="4"/>
  <c r="A3240" i="4"/>
  <c r="A3239" i="4"/>
  <c r="A3238" i="4"/>
  <c r="A3237" i="4"/>
  <c r="A3236" i="4"/>
  <c r="A3235" i="4"/>
  <c r="A3234" i="4"/>
  <c r="A3233" i="4"/>
  <c r="A3232" i="4"/>
  <c r="A3231" i="4"/>
  <c r="A3230" i="4"/>
  <c r="A3229" i="4"/>
  <c r="A3228" i="4"/>
  <c r="A3227" i="4"/>
  <c r="A3226" i="4"/>
  <c r="A3225" i="4"/>
  <c r="A3224" i="4"/>
  <c r="A3223" i="4"/>
  <c r="A3222" i="4"/>
  <c r="A3221" i="4"/>
  <c r="A3220" i="4"/>
  <c r="A3219" i="4"/>
  <c r="A3218" i="4"/>
  <c r="A3217" i="4"/>
  <c r="A3216" i="4"/>
  <c r="A3215" i="4"/>
  <c r="A3214" i="4"/>
  <c r="A3213" i="4"/>
  <c r="A3212" i="4"/>
  <c r="A3211" i="4"/>
  <c r="A3210" i="4"/>
  <c r="A3209" i="4"/>
  <c r="A3208" i="4"/>
  <c r="A3207" i="4"/>
  <c r="A3206" i="4"/>
  <c r="A3205" i="4"/>
  <c r="A3204" i="4"/>
  <c r="A3203" i="4"/>
  <c r="A3202" i="4"/>
  <c r="A3201" i="4"/>
  <c r="A3200" i="4"/>
  <c r="A3199" i="4"/>
  <c r="A3198" i="4"/>
  <c r="A3197" i="4"/>
  <c r="A3196" i="4"/>
  <c r="A3195" i="4"/>
  <c r="A3194" i="4"/>
  <c r="A3193" i="4"/>
  <c r="A3192" i="4"/>
  <c r="A3191" i="4"/>
  <c r="A3190" i="4"/>
  <c r="A3189" i="4"/>
  <c r="A3188" i="4"/>
  <c r="A3187" i="4"/>
  <c r="A3186" i="4"/>
  <c r="A3185" i="4"/>
  <c r="A3184" i="4"/>
  <c r="A3183" i="4"/>
  <c r="A3182" i="4"/>
  <c r="A3181" i="4"/>
  <c r="A3180" i="4"/>
  <c r="A3179" i="4"/>
  <c r="A3178" i="4"/>
  <c r="A3177" i="4"/>
  <c r="A3176" i="4"/>
  <c r="A3175" i="4"/>
  <c r="A3174" i="4"/>
  <c r="A3173" i="4"/>
  <c r="A3172" i="4"/>
  <c r="A3171" i="4"/>
  <c r="A3170" i="4"/>
  <c r="A3169" i="4"/>
  <c r="A3168" i="4"/>
  <c r="A3167" i="4"/>
  <c r="A3166" i="4"/>
  <c r="A3165" i="4"/>
  <c r="A3164" i="4"/>
  <c r="A3163" i="4"/>
  <c r="A3162" i="4"/>
  <c r="A3161" i="4"/>
  <c r="A3160" i="4"/>
  <c r="A3159" i="4"/>
  <c r="A3158" i="4"/>
  <c r="A3157" i="4"/>
  <c r="A3156" i="4"/>
  <c r="A3155" i="4"/>
  <c r="A3154" i="4"/>
  <c r="A3153" i="4"/>
  <c r="A3152" i="4"/>
  <c r="A3151" i="4"/>
  <c r="A3150" i="4"/>
  <c r="A3149" i="4"/>
  <c r="A3148" i="4"/>
  <c r="A3147" i="4"/>
  <c r="A3146" i="4"/>
  <c r="A3145" i="4"/>
  <c r="A3144" i="4"/>
  <c r="A3143" i="4"/>
  <c r="A3142" i="4"/>
  <c r="A3141" i="4"/>
  <c r="A3140" i="4"/>
  <c r="A3139" i="4"/>
  <c r="A3138" i="4"/>
  <c r="A3137" i="4"/>
  <c r="A3136" i="4"/>
  <c r="A3135" i="4"/>
  <c r="A3134" i="4"/>
  <c r="A3133" i="4"/>
  <c r="A3132" i="4"/>
  <c r="A3131" i="4"/>
  <c r="A3130" i="4"/>
  <c r="A3129" i="4"/>
  <c r="A3128" i="4"/>
  <c r="A3127" i="4"/>
  <c r="A3126" i="4"/>
  <c r="A3125" i="4"/>
  <c r="A3124" i="4"/>
  <c r="A3123" i="4"/>
  <c r="A3122" i="4"/>
  <c r="A3121" i="4"/>
  <c r="A3120" i="4"/>
  <c r="A3119" i="4"/>
  <c r="A3118" i="4"/>
  <c r="A3117" i="4"/>
  <c r="A3116" i="4"/>
  <c r="A3115" i="4"/>
  <c r="A3114" i="4"/>
  <c r="A3113" i="4"/>
  <c r="A3112" i="4"/>
  <c r="A3111" i="4"/>
  <c r="A3110" i="4"/>
  <c r="A3109" i="4"/>
  <c r="A3108" i="4"/>
  <c r="A3107" i="4"/>
  <c r="A3106" i="4"/>
  <c r="A3105" i="4"/>
  <c r="A3104" i="4"/>
  <c r="A3103" i="4"/>
  <c r="A3102" i="4"/>
  <c r="A3101" i="4"/>
  <c r="A3100" i="4"/>
  <c r="A3099" i="4"/>
  <c r="A3098" i="4"/>
  <c r="A3097" i="4"/>
  <c r="A3096" i="4"/>
  <c r="A3095" i="4"/>
  <c r="A3094" i="4"/>
  <c r="A3093" i="4"/>
  <c r="A3092" i="4"/>
  <c r="A3091" i="4"/>
  <c r="A3090" i="4"/>
  <c r="A3089" i="4"/>
  <c r="A3088" i="4"/>
  <c r="A3087" i="4"/>
  <c r="A3086" i="4"/>
  <c r="A3085" i="4"/>
  <c r="A3084" i="4"/>
  <c r="A3083" i="4"/>
  <c r="A3082" i="4"/>
  <c r="A3081" i="4"/>
  <c r="A3080" i="4"/>
  <c r="A3079" i="4"/>
  <c r="A3078" i="4"/>
  <c r="A3077" i="4"/>
  <c r="A3076" i="4"/>
  <c r="A3075" i="4"/>
  <c r="A3074" i="4"/>
  <c r="A3073" i="4"/>
  <c r="A3072" i="4"/>
  <c r="A3071" i="4"/>
  <c r="A3070" i="4"/>
  <c r="A3069" i="4"/>
  <c r="A3068" i="4"/>
  <c r="A3067" i="4"/>
  <c r="A3066" i="4"/>
  <c r="A3065" i="4"/>
  <c r="A3064" i="4"/>
  <c r="A3063" i="4"/>
  <c r="A3062" i="4"/>
  <c r="A3061" i="4"/>
  <c r="A3060" i="4"/>
  <c r="A3059" i="4"/>
  <c r="A3058" i="4"/>
  <c r="A3057" i="4"/>
  <c r="A3056" i="4"/>
  <c r="A3055" i="4"/>
  <c r="A3054" i="4"/>
  <c r="A3053" i="4"/>
  <c r="A3052" i="4"/>
  <c r="A3051" i="4"/>
  <c r="A3050" i="4"/>
  <c r="A3049" i="4"/>
  <c r="A3048" i="4"/>
  <c r="A3047" i="4"/>
  <c r="A3046" i="4"/>
  <c r="A3045" i="4"/>
  <c r="A3044" i="4"/>
  <c r="A3043" i="4"/>
  <c r="A3042" i="4"/>
  <c r="A3041" i="4"/>
  <c r="A3040" i="4"/>
  <c r="A3039" i="4"/>
  <c r="A3038" i="4"/>
  <c r="A3037" i="4"/>
  <c r="A3036" i="4"/>
  <c r="A3035" i="4"/>
  <c r="A3034" i="4"/>
  <c r="A3033" i="4"/>
  <c r="A3032" i="4"/>
  <c r="A3031" i="4"/>
  <c r="A3030" i="4"/>
  <c r="A3029" i="4"/>
  <c r="A3028" i="4"/>
  <c r="A3027" i="4"/>
  <c r="A3026" i="4"/>
  <c r="A3025" i="4"/>
  <c r="A3024" i="4"/>
  <c r="A3023" i="4"/>
  <c r="A3022" i="4"/>
  <c r="A3021" i="4"/>
  <c r="A3020" i="4"/>
  <c r="A3019" i="4"/>
  <c r="A3018" i="4"/>
  <c r="A3017" i="4"/>
  <c r="A3016" i="4"/>
  <c r="A3015" i="4"/>
  <c r="A3014" i="4"/>
  <c r="A3013" i="4"/>
  <c r="A3012" i="4"/>
  <c r="A3011" i="4"/>
  <c r="A3010" i="4"/>
  <c r="A3009" i="4"/>
  <c r="A3008" i="4"/>
  <c r="A3007" i="4"/>
  <c r="A3006" i="4"/>
  <c r="A3005" i="4"/>
  <c r="A3004" i="4"/>
  <c r="A3003" i="4"/>
  <c r="A3002" i="4"/>
  <c r="A3001" i="4"/>
  <c r="A3000" i="4"/>
  <c r="A2999" i="4"/>
  <c r="A2998" i="4"/>
  <c r="A2997" i="4"/>
  <c r="A2996" i="4"/>
  <c r="A2995" i="4"/>
  <c r="A2994" i="4"/>
  <c r="A2993" i="4"/>
  <c r="A2992" i="4"/>
  <c r="A2991" i="4"/>
  <c r="A2990" i="4"/>
  <c r="A2989" i="4"/>
  <c r="A2988" i="4"/>
  <c r="A2987" i="4"/>
  <c r="A2986" i="4"/>
  <c r="A2985" i="4"/>
  <c r="A2984" i="4"/>
  <c r="A2983" i="4"/>
  <c r="A2982" i="4"/>
  <c r="A2981" i="4"/>
  <c r="A2980" i="4"/>
  <c r="A2979" i="4"/>
  <c r="A2978" i="4"/>
  <c r="A2977" i="4"/>
  <c r="A2976" i="4"/>
  <c r="A2975" i="4"/>
  <c r="A2974" i="4"/>
  <c r="A2973" i="4"/>
  <c r="A2972" i="4"/>
  <c r="A2971" i="4"/>
  <c r="A2970" i="4"/>
  <c r="A2969" i="4"/>
  <c r="A2968" i="4"/>
  <c r="A2967" i="4"/>
  <c r="A2966" i="4"/>
  <c r="A2965" i="4"/>
  <c r="A2964" i="4"/>
  <c r="A2963" i="4"/>
  <c r="A2962" i="4"/>
  <c r="A2961" i="4"/>
  <c r="A2960" i="4"/>
  <c r="A2959" i="4"/>
  <c r="A2958" i="4"/>
  <c r="A2957" i="4"/>
  <c r="A2956" i="4"/>
  <c r="A2955" i="4"/>
  <c r="A2954" i="4"/>
  <c r="A2953" i="4"/>
  <c r="A2952" i="4"/>
  <c r="A2951" i="4"/>
  <c r="A2950" i="4"/>
  <c r="A2949" i="4"/>
  <c r="A2948" i="4"/>
  <c r="A2947" i="4"/>
  <c r="A2946" i="4"/>
  <c r="A2945" i="4"/>
  <c r="A2944" i="4"/>
  <c r="A2943" i="4"/>
  <c r="A2942" i="4"/>
  <c r="A2941" i="4"/>
  <c r="A2940" i="4"/>
  <c r="A2939" i="4"/>
  <c r="A2938" i="4"/>
  <c r="A2937" i="4"/>
  <c r="A2936" i="4"/>
  <c r="A2935" i="4"/>
  <c r="A2934" i="4"/>
  <c r="A2933" i="4"/>
  <c r="A2932" i="4"/>
  <c r="A2931" i="4"/>
  <c r="A2930" i="4"/>
  <c r="A2929" i="4"/>
  <c r="A2928" i="4"/>
  <c r="A2927" i="4"/>
  <c r="A2926" i="4"/>
  <c r="A2925" i="4"/>
  <c r="A2924" i="4"/>
  <c r="A2923" i="4"/>
  <c r="A2922" i="4"/>
  <c r="A2921" i="4"/>
  <c r="A2920" i="4"/>
  <c r="A2919" i="4"/>
  <c r="A2918" i="4"/>
  <c r="A2917" i="4"/>
  <c r="A2916" i="4"/>
  <c r="A2915" i="4"/>
  <c r="A2914" i="4"/>
  <c r="A2913" i="4"/>
  <c r="A2912" i="4"/>
  <c r="A2911" i="4"/>
  <c r="A2910" i="4"/>
  <c r="A2909" i="4"/>
  <c r="A2908" i="4"/>
  <c r="A2907" i="4"/>
  <c r="A2906" i="4"/>
  <c r="A2905" i="4"/>
  <c r="A2904" i="4"/>
  <c r="A2903" i="4"/>
  <c r="A2902" i="4"/>
  <c r="A2901" i="4"/>
  <c r="A2900" i="4"/>
  <c r="A2899" i="4"/>
  <c r="A2898" i="4"/>
  <c r="A2897" i="4"/>
  <c r="A2896" i="4"/>
  <c r="A2895" i="4"/>
  <c r="A2894" i="4"/>
  <c r="A2893" i="4"/>
  <c r="A2892" i="4"/>
  <c r="A2891" i="4"/>
  <c r="A2890" i="4"/>
  <c r="A2889" i="4"/>
  <c r="A2888" i="4"/>
  <c r="A2887" i="4"/>
  <c r="A2886" i="4"/>
  <c r="A2885" i="4"/>
  <c r="A2884" i="4"/>
  <c r="A2883" i="4"/>
  <c r="A2882" i="4"/>
  <c r="A2881" i="4"/>
  <c r="A2880" i="4"/>
  <c r="A2879" i="4"/>
  <c r="A2878" i="4"/>
  <c r="A2877" i="4"/>
  <c r="A2876" i="4"/>
  <c r="A2875" i="4"/>
  <c r="A2874" i="4"/>
  <c r="A2873" i="4"/>
  <c r="A2872" i="4"/>
  <c r="A2871" i="4"/>
  <c r="A2870" i="4"/>
  <c r="A2869" i="4"/>
  <c r="A2868" i="4"/>
  <c r="A2867" i="4"/>
  <c r="A2866" i="4"/>
  <c r="A2865" i="4"/>
  <c r="A2864" i="4"/>
  <c r="A2863" i="4"/>
  <c r="A2862" i="4"/>
  <c r="A2861" i="4"/>
  <c r="A2860" i="4"/>
  <c r="A2859" i="4"/>
  <c r="A2858" i="4"/>
  <c r="A2857" i="4"/>
  <c r="A2856" i="4"/>
  <c r="A2855" i="4"/>
  <c r="A2854" i="4"/>
  <c r="A2853" i="4"/>
  <c r="A2852" i="4"/>
  <c r="A2851" i="4"/>
  <c r="A2850" i="4"/>
  <c r="A2849" i="4"/>
  <c r="A2848" i="4"/>
  <c r="A2847" i="4"/>
  <c r="A2846" i="4"/>
  <c r="A2845" i="4"/>
  <c r="A2844" i="4"/>
  <c r="A2843" i="4"/>
  <c r="A2842" i="4"/>
  <c r="A2841" i="4"/>
  <c r="A2840" i="4"/>
  <c r="A2839" i="4"/>
  <c r="A2838" i="4"/>
  <c r="A2837" i="4"/>
  <c r="A2836" i="4"/>
  <c r="A2835" i="4"/>
  <c r="A2834" i="4"/>
  <c r="A2833" i="4"/>
  <c r="A2832" i="4"/>
  <c r="A2831" i="4"/>
  <c r="A2830" i="4"/>
  <c r="A2829" i="4"/>
  <c r="A2828" i="4"/>
  <c r="A2827" i="4"/>
  <c r="A2826" i="4"/>
  <c r="A2825" i="4"/>
  <c r="A2824" i="4"/>
  <c r="A2823" i="4"/>
  <c r="A2822" i="4"/>
  <c r="A2821" i="4"/>
  <c r="A2820" i="4"/>
  <c r="A2819" i="4"/>
  <c r="A2818" i="4"/>
  <c r="A2817" i="4"/>
  <c r="A2816" i="4"/>
  <c r="A2815" i="4"/>
  <c r="A2814" i="4"/>
  <c r="A2813" i="4"/>
  <c r="A2812" i="4"/>
  <c r="A2811" i="4"/>
  <c r="A2810" i="4"/>
  <c r="A2809" i="4"/>
  <c r="A2808" i="4"/>
  <c r="A2807" i="4"/>
  <c r="A2806" i="4"/>
  <c r="A2805" i="4"/>
  <c r="A2804" i="4"/>
  <c r="A2803" i="4"/>
  <c r="A2802" i="4"/>
  <c r="A2801" i="4"/>
  <c r="A2800" i="4"/>
  <c r="A2799" i="4"/>
  <c r="A2798" i="4"/>
  <c r="A2797" i="4"/>
  <c r="A2796" i="4"/>
  <c r="A2795" i="4"/>
  <c r="A2794" i="4"/>
  <c r="A2793" i="4"/>
  <c r="A2792" i="4"/>
  <c r="A2791" i="4"/>
  <c r="A2790" i="4"/>
  <c r="A2789" i="4"/>
  <c r="A2788" i="4"/>
  <c r="A2787" i="4"/>
  <c r="A2786" i="4"/>
  <c r="A2785" i="4"/>
  <c r="A2784" i="4"/>
  <c r="A2783" i="4"/>
  <c r="A2782" i="4"/>
  <c r="A2781" i="4"/>
  <c r="A2780" i="4"/>
  <c r="A2779" i="4"/>
  <c r="A2778" i="4"/>
  <c r="A2777" i="4"/>
  <c r="A2776" i="4"/>
  <c r="A2775" i="4"/>
  <c r="A2774" i="4"/>
  <c r="A2773" i="4"/>
  <c r="A2772" i="4"/>
  <c r="A2771" i="4"/>
  <c r="A2770" i="4"/>
  <c r="A2769" i="4"/>
  <c r="A2768" i="4"/>
  <c r="A2767" i="4"/>
  <c r="A2766" i="4"/>
  <c r="A2765" i="4"/>
  <c r="A2764" i="4"/>
  <c r="A2763" i="4"/>
  <c r="A2762" i="4"/>
  <c r="A2761" i="4"/>
  <c r="A2760" i="4"/>
  <c r="A2759" i="4"/>
  <c r="A2758" i="4"/>
  <c r="A2757" i="4"/>
  <c r="A2756" i="4"/>
  <c r="A2755" i="4"/>
  <c r="A2754" i="4"/>
  <c r="A2753" i="4"/>
  <c r="A2752" i="4"/>
  <c r="A2751" i="4"/>
  <c r="A2750" i="4"/>
  <c r="A2749" i="4"/>
  <c r="A2748" i="4"/>
  <c r="A2747" i="4"/>
  <c r="A2746" i="4"/>
  <c r="A2745" i="4"/>
  <c r="A2744" i="4"/>
  <c r="A2743" i="4"/>
  <c r="A2742" i="4"/>
  <c r="A2741" i="4"/>
  <c r="A2740" i="4"/>
  <c r="A2739" i="4"/>
  <c r="A2738" i="4"/>
  <c r="A2737" i="4"/>
  <c r="A2736" i="4"/>
  <c r="A2735" i="4"/>
  <c r="A2734" i="4"/>
  <c r="A2733" i="4"/>
  <c r="A2732" i="4"/>
  <c r="A2731" i="4"/>
  <c r="A2730" i="4"/>
  <c r="A2729" i="4"/>
  <c r="A2728" i="4"/>
  <c r="A2727" i="4"/>
  <c r="A2726" i="4"/>
  <c r="A2725" i="4"/>
  <c r="A2724" i="4"/>
  <c r="A2723" i="4"/>
  <c r="A2722" i="4"/>
  <c r="A2721" i="4"/>
  <c r="A2720" i="4"/>
  <c r="A2719" i="4"/>
  <c r="A2718" i="4"/>
  <c r="A2717" i="4"/>
  <c r="A2716" i="4"/>
  <c r="A2715" i="4"/>
  <c r="A2713" i="4"/>
  <c r="A2712" i="4"/>
  <c r="A2711" i="4"/>
  <c r="A2710" i="4"/>
  <c r="A2709" i="4"/>
  <c r="A2708" i="4"/>
  <c r="A2707" i="4"/>
  <c r="A2706" i="4"/>
  <c r="A2705" i="4"/>
  <c r="A2704" i="4"/>
  <c r="A2703" i="4"/>
  <c r="A2702" i="4"/>
  <c r="A2701" i="4"/>
  <c r="A2700" i="4"/>
  <c r="A2699" i="4"/>
  <c r="A2698" i="4"/>
  <c r="A2697" i="4"/>
  <c r="A2696" i="4"/>
  <c r="A2695" i="4"/>
  <c r="A2694" i="4"/>
  <c r="A2693" i="4"/>
  <c r="A2692" i="4"/>
  <c r="A2691" i="4"/>
  <c r="A2690" i="4"/>
  <c r="A2689" i="4"/>
  <c r="A2688" i="4"/>
  <c r="A2687" i="4"/>
  <c r="A2686" i="4"/>
  <c r="A2685" i="4"/>
  <c r="A2684" i="4"/>
  <c r="A2683" i="4"/>
  <c r="A2682" i="4"/>
  <c r="A2681" i="4"/>
  <c r="A2680" i="4"/>
  <c r="A2679" i="4"/>
  <c r="A2678" i="4"/>
  <c r="A2677" i="4"/>
  <c r="A2676" i="4"/>
  <c r="A2675" i="4"/>
  <c r="A2674" i="4"/>
  <c r="A2673" i="4"/>
  <c r="A2672" i="4"/>
  <c r="A2671" i="4"/>
  <c r="A2670" i="4"/>
  <c r="A2669" i="4"/>
  <c r="A2668" i="4"/>
  <c r="A2667" i="4"/>
  <c r="A2666" i="4"/>
  <c r="A2665" i="4"/>
  <c r="A2664" i="4"/>
  <c r="A2663" i="4"/>
  <c r="A2662" i="4"/>
  <c r="A2661" i="4"/>
  <c r="A2660" i="4"/>
  <c r="A2659" i="4"/>
  <c r="A2658" i="4"/>
  <c r="A2657" i="4"/>
  <c r="A2656" i="4"/>
  <c r="A2655" i="4"/>
  <c r="A2654" i="4"/>
  <c r="A2653" i="4"/>
  <c r="A2652" i="4"/>
  <c r="A2651" i="4"/>
  <c r="A2650" i="4"/>
  <c r="A2649" i="4"/>
  <c r="A2648" i="4"/>
  <c r="A2647" i="4"/>
  <c r="A2646" i="4"/>
  <c r="A2645" i="4"/>
  <c r="A2644" i="4"/>
  <c r="A2643" i="4"/>
  <c r="A2642" i="4"/>
  <c r="A2641" i="4"/>
  <c r="A2640" i="4"/>
  <c r="A2639" i="4"/>
  <c r="A2638" i="4"/>
  <c r="A2637" i="4"/>
  <c r="A2636" i="4"/>
  <c r="A2635" i="4"/>
  <c r="A2634" i="4"/>
  <c r="A2633" i="4"/>
  <c r="A2632" i="4"/>
  <c r="A2631" i="4"/>
  <c r="A2630" i="4"/>
  <c r="A2629" i="4"/>
  <c r="A2628" i="4"/>
  <c r="A2627" i="4"/>
  <c r="A2626" i="4"/>
  <c r="A2625" i="4"/>
  <c r="A2624" i="4"/>
  <c r="A2623" i="4"/>
  <c r="A2622" i="4"/>
  <c r="A2621" i="4"/>
  <c r="A2620" i="4"/>
  <c r="A2619" i="4"/>
  <c r="A2618" i="4"/>
  <c r="A2617" i="4"/>
  <c r="A2616" i="4"/>
  <c r="A2615" i="4"/>
  <c r="A2614" i="4"/>
  <c r="A2613" i="4"/>
  <c r="A2612" i="4"/>
  <c r="A2611" i="4"/>
  <c r="A2610" i="4"/>
  <c r="A2609" i="4"/>
  <c r="A2608" i="4"/>
  <c r="A2607" i="4"/>
  <c r="A2606" i="4"/>
  <c r="A2605" i="4"/>
  <c r="A2604" i="4"/>
  <c r="A2603" i="4"/>
  <c r="A2602" i="4"/>
  <c r="A2601" i="4"/>
  <c r="A2600" i="4"/>
  <c r="A2599" i="4"/>
  <c r="A2598" i="4"/>
  <c r="A2597" i="4"/>
  <c r="A2596" i="4"/>
  <c r="A2595" i="4"/>
  <c r="A2594" i="4"/>
  <c r="A2593" i="4"/>
  <c r="A2592" i="4"/>
  <c r="A2591" i="4"/>
  <c r="A2590" i="4"/>
  <c r="A2589" i="4"/>
  <c r="A2588" i="4"/>
  <c r="A2587" i="4"/>
  <c r="A2586" i="4"/>
  <c r="A2585" i="4"/>
  <c r="A2584" i="4"/>
  <c r="A2583" i="4"/>
  <c r="A2582" i="4"/>
  <c r="A2581" i="4"/>
  <c r="A2580" i="4"/>
  <c r="A2579" i="4"/>
  <c r="A2578" i="4"/>
  <c r="A2577" i="4"/>
  <c r="A2576" i="4"/>
  <c r="A2575" i="4"/>
  <c r="A2574" i="4"/>
  <c r="A2573" i="4"/>
  <c r="A2572" i="4"/>
  <c r="A2571" i="4"/>
  <c r="A2570" i="4"/>
  <c r="A2569" i="4"/>
  <c r="A2568" i="4"/>
  <c r="A2567" i="4"/>
  <c r="A2566" i="4"/>
  <c r="A2565" i="4"/>
  <c r="A2564" i="4"/>
  <c r="A2563" i="4"/>
  <c r="A2562" i="4"/>
  <c r="A2561" i="4"/>
  <c r="A2560" i="4"/>
  <c r="A2559" i="4"/>
  <c r="A2558" i="4"/>
  <c r="A2557" i="4"/>
  <c r="A2556" i="4"/>
  <c r="A2555" i="4"/>
  <c r="A2554" i="4"/>
  <c r="A2553" i="4"/>
  <c r="A2552" i="4"/>
  <c r="A2551" i="4"/>
  <c r="A2550" i="4"/>
  <c r="A2549" i="4"/>
  <c r="A2548" i="4"/>
  <c r="A2547" i="4"/>
  <c r="A2546" i="4"/>
  <c r="A2545" i="4"/>
  <c r="A2544" i="4"/>
  <c r="A2543" i="4"/>
  <c r="A2542" i="4"/>
  <c r="A2541" i="4"/>
  <c r="A2540" i="4"/>
  <c r="A2539" i="4"/>
  <c r="A2538" i="4"/>
  <c r="A2537" i="4"/>
  <c r="A2536" i="4"/>
  <c r="A2535" i="4"/>
  <c r="A2534" i="4"/>
  <c r="A2533" i="4"/>
  <c r="A2532" i="4"/>
  <c r="A2531" i="4"/>
  <c r="A2530" i="4"/>
  <c r="A2529" i="4"/>
  <c r="A2528" i="4"/>
  <c r="A2527" i="4"/>
  <c r="A2526" i="4"/>
  <c r="A2525" i="4"/>
  <c r="A2524" i="4"/>
  <c r="A2523" i="4"/>
  <c r="A2522" i="4"/>
  <c r="A2521" i="4"/>
  <c r="A2520" i="4"/>
  <c r="A2519" i="4"/>
  <c r="A2518" i="4"/>
  <c r="A2517" i="4"/>
  <c r="A2516" i="4"/>
  <c r="A2515" i="4"/>
  <c r="A2514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500" i="4"/>
  <c r="A2499" i="4"/>
  <c r="A2498" i="4"/>
  <c r="A2497" i="4"/>
  <c r="A2496" i="4"/>
  <c r="A2495" i="4"/>
  <c r="A2494" i="4"/>
  <c r="A2493" i="4"/>
  <c r="A2492" i="4"/>
  <c r="A2491" i="4"/>
  <c r="A2490" i="4"/>
  <c r="A2489" i="4"/>
  <c r="A2488" i="4"/>
  <c r="A2487" i="4"/>
  <c r="A2486" i="4"/>
  <c r="A2485" i="4"/>
  <c r="A2484" i="4"/>
  <c r="A2483" i="4"/>
  <c r="A2482" i="4"/>
  <c r="A2481" i="4"/>
  <c r="A2480" i="4"/>
  <c r="A2479" i="4"/>
  <c r="A2478" i="4"/>
  <c r="A2477" i="4"/>
  <c r="A2476" i="4"/>
  <c r="A2475" i="4"/>
  <c r="A2474" i="4"/>
  <c r="A2473" i="4"/>
  <c r="A2472" i="4"/>
  <c r="A2471" i="4"/>
  <c r="A2470" i="4"/>
  <c r="A2469" i="4"/>
  <c r="A2468" i="4"/>
  <c r="A2467" i="4"/>
  <c r="A2466" i="4"/>
  <c r="A2465" i="4"/>
  <c r="A2464" i="4"/>
  <c r="A2463" i="4"/>
  <c r="A2462" i="4"/>
  <c r="A2461" i="4"/>
  <c r="A2460" i="4"/>
  <c r="A2459" i="4"/>
  <c r="A2458" i="4"/>
  <c r="A2457" i="4"/>
  <c r="A2456" i="4"/>
  <c r="A2455" i="4"/>
  <c r="A2454" i="4"/>
  <c r="A2453" i="4"/>
  <c r="A2452" i="4"/>
  <c r="A2451" i="4"/>
  <c r="A2450" i="4"/>
  <c r="A2449" i="4"/>
  <c r="A2448" i="4"/>
  <c r="A2447" i="4"/>
  <c r="A2446" i="4"/>
  <c r="A2445" i="4"/>
  <c r="A2444" i="4"/>
  <c r="A2443" i="4"/>
  <c r="A2442" i="4"/>
  <c r="A2441" i="4"/>
  <c r="A2440" i="4"/>
  <c r="A2439" i="4"/>
  <c r="A2438" i="4"/>
  <c r="A2437" i="4"/>
  <c r="A2436" i="4"/>
  <c r="A2435" i="4"/>
  <c r="A2434" i="4"/>
  <c r="A2433" i="4"/>
  <c r="A2432" i="4"/>
  <c r="A2431" i="4"/>
  <c r="A2430" i="4"/>
  <c r="A2429" i="4"/>
  <c r="A2428" i="4"/>
  <c r="A2427" i="4"/>
  <c r="A2426" i="4"/>
  <c r="A2425" i="4"/>
  <c r="A2424" i="4"/>
  <c r="A2423" i="4"/>
  <c r="A2422" i="4"/>
  <c r="A2421" i="4"/>
  <c r="A2420" i="4"/>
  <c r="A2419" i="4"/>
  <c r="A2418" i="4"/>
  <c r="A2417" i="4"/>
  <c r="A2416" i="4"/>
  <c r="A2415" i="4"/>
  <c r="A2414" i="4"/>
  <c r="A2413" i="4"/>
  <c r="A2412" i="4"/>
  <c r="A2411" i="4"/>
  <c r="A2410" i="4"/>
  <c r="A2409" i="4"/>
  <c r="A2408" i="4"/>
  <c r="A2407" i="4"/>
  <c r="A2406" i="4"/>
  <c r="A2405" i="4"/>
  <c r="A2404" i="4"/>
  <c r="A2403" i="4"/>
  <c r="A2402" i="4"/>
  <c r="A2401" i="4"/>
  <c r="A2400" i="4"/>
  <c r="A2399" i="4"/>
  <c r="A2398" i="4"/>
  <c r="A2397" i="4"/>
  <c r="A2396" i="4"/>
  <c r="A2395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6" i="4"/>
  <c r="A2375" i="4"/>
  <c r="A2374" i="4"/>
  <c r="A2373" i="4"/>
  <c r="A2372" i="4"/>
  <c r="A2371" i="4"/>
  <c r="A2370" i="4"/>
  <c r="A2369" i="4"/>
  <c r="A2368" i="4"/>
  <c r="A2367" i="4"/>
  <c r="A2366" i="4"/>
  <c r="A2365" i="4"/>
  <c r="A2364" i="4"/>
  <c r="A2363" i="4"/>
  <c r="A2362" i="4"/>
  <c r="A2361" i="4"/>
  <c r="A2360" i="4"/>
  <c r="A2359" i="4"/>
  <c r="A2358" i="4"/>
  <c r="A2357" i="4"/>
  <c r="A2356" i="4"/>
  <c r="A2355" i="4"/>
  <c r="A2354" i="4"/>
  <c r="A2353" i="4"/>
  <c r="A2352" i="4"/>
  <c r="A2351" i="4"/>
  <c r="A2350" i="4"/>
  <c r="A2349" i="4"/>
  <c r="A2348" i="4"/>
  <c r="A2347" i="4"/>
  <c r="A2346" i="4"/>
  <c r="A2345" i="4"/>
  <c r="A2344" i="4"/>
  <c r="A2343" i="4"/>
  <c r="A2342" i="4"/>
  <c r="A2341" i="4"/>
  <c r="A2340" i="4"/>
  <c r="A2339" i="4"/>
  <c r="A2338" i="4"/>
  <c r="A2337" i="4"/>
  <c r="A2336" i="4"/>
  <c r="A2335" i="4"/>
  <c r="A2334" i="4"/>
  <c r="A2333" i="4"/>
  <c r="A2332" i="4"/>
  <c r="A2331" i="4"/>
  <c r="A2330" i="4"/>
  <c r="A2329" i="4"/>
  <c r="A2328" i="4"/>
  <c r="A2327" i="4"/>
  <c r="A2326" i="4"/>
  <c r="A2325" i="4"/>
  <c r="A2324" i="4"/>
  <c r="A2323" i="4"/>
  <c r="A2322" i="4"/>
  <c r="A2321" i="4"/>
  <c r="A2320" i="4"/>
  <c r="A2319" i="4"/>
  <c r="A2318" i="4"/>
  <c r="A2317" i="4"/>
  <c r="A2316" i="4"/>
  <c r="A2315" i="4"/>
  <c r="A2314" i="4"/>
  <c r="A2313" i="4"/>
  <c r="A2312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714" i="4"/>
  <c r="B1" i="3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358" i="2"/>
  <c r="A493" i="2"/>
  <c r="A445" i="2"/>
  <c r="A371" i="2"/>
  <c r="A484" i="2"/>
  <c r="A263" i="2"/>
  <c r="A462" i="2"/>
  <c r="A461" i="2"/>
  <c r="A184" i="2"/>
  <c r="A280" i="2"/>
  <c r="A223" i="2"/>
  <c r="A368" i="2"/>
  <c r="A444" i="2"/>
  <c r="A59" i="2"/>
  <c r="A187" i="2"/>
  <c r="A443" i="2"/>
  <c r="A245" i="2"/>
  <c r="A183" i="2"/>
  <c r="A182" i="2"/>
  <c r="A139" i="2"/>
  <c r="A142" i="2"/>
  <c r="A91" i="2"/>
  <c r="A186" i="2"/>
  <c r="A348" i="2"/>
  <c r="A226" i="2"/>
  <c r="A487" i="2"/>
  <c r="A56" i="2"/>
  <c r="A147" i="2"/>
  <c r="A146" i="2"/>
  <c r="A145" i="2"/>
  <c r="A321" i="2"/>
  <c r="A336" i="2"/>
  <c r="A335" i="2"/>
  <c r="A424" i="2"/>
  <c r="A423" i="2"/>
  <c r="A422" i="2"/>
  <c r="A12" i="2"/>
  <c r="A320" i="2"/>
  <c r="A155" i="2"/>
  <c r="A395" i="2"/>
  <c r="A430" i="2"/>
  <c r="A260" i="2"/>
  <c r="A115" i="2"/>
  <c r="A370" i="2"/>
  <c r="A205" i="2"/>
  <c r="A385" i="2"/>
  <c r="A94" i="2"/>
  <c r="A90" i="2"/>
  <c r="A101" i="2"/>
  <c r="A455" i="2"/>
  <c r="A35" i="2"/>
  <c r="A256" i="2"/>
  <c r="A255" i="2"/>
  <c r="A93" i="2"/>
  <c r="A19" i="2"/>
  <c r="A107" i="2"/>
  <c r="A442" i="2"/>
  <c r="A66" i="2"/>
  <c r="A65" i="2"/>
  <c r="A232" i="2"/>
  <c r="A217" i="2"/>
  <c r="A367" i="2"/>
  <c r="A489" i="2"/>
  <c r="A175" i="2"/>
  <c r="A272" i="2"/>
  <c r="A235" i="2"/>
  <c r="A376" i="2"/>
  <c r="A193" i="2"/>
  <c r="A152" i="2"/>
  <c r="A478" i="2"/>
  <c r="A89" i="2"/>
  <c r="A55" i="2"/>
  <c r="A181" i="2"/>
  <c r="A180" i="2"/>
  <c r="A388" i="2"/>
  <c r="A357" i="2"/>
  <c r="A84" i="2"/>
  <c r="A171" i="2"/>
  <c r="A54" i="2"/>
  <c r="A11" i="2"/>
  <c r="A10" i="2"/>
  <c r="A167" i="2"/>
  <c r="A311" i="2"/>
  <c r="A310" i="2"/>
  <c r="A309" i="2"/>
  <c r="A81" i="2"/>
  <c r="A76" i="2"/>
  <c r="A75" i="2"/>
  <c r="A151" i="2"/>
  <c r="A6" i="2"/>
  <c r="A5" i="2"/>
  <c r="A450" i="2"/>
  <c r="A138" i="2"/>
  <c r="A67" i="2"/>
  <c r="A303" i="2"/>
  <c r="A477" i="2"/>
  <c r="A472" i="2"/>
  <c r="A429" i="2"/>
  <c r="A366" i="2"/>
  <c r="A144" i="2"/>
  <c r="A100" i="2"/>
  <c r="A457" i="2"/>
  <c r="A286" i="2"/>
  <c r="A375" i="2"/>
  <c r="A275" i="2"/>
  <c r="A365" i="2"/>
  <c r="A234" i="2"/>
  <c r="A231" i="2"/>
  <c r="A334" i="2"/>
  <c r="A196" i="2"/>
  <c r="A46" i="2"/>
  <c r="A141" i="2"/>
  <c r="A427" i="2"/>
  <c r="A18" i="2"/>
  <c r="A161" i="2"/>
  <c r="A179" i="2"/>
  <c r="A233" i="2"/>
  <c r="A104" i="2"/>
  <c r="A74" i="2"/>
  <c r="A154" i="2"/>
  <c r="A30" i="2"/>
  <c r="A189" i="2"/>
  <c r="A419" i="2"/>
  <c r="A418" i="2"/>
  <c r="A99" i="2"/>
  <c r="A153" i="2"/>
  <c r="A114" i="2"/>
  <c r="A45" i="2"/>
  <c r="A441" i="2"/>
  <c r="A58" i="2"/>
  <c r="A92" i="2"/>
  <c r="A243" i="2"/>
  <c r="A131" i="2"/>
  <c r="A103" i="2"/>
  <c r="A57" i="2"/>
  <c r="A48" i="2"/>
  <c r="A160" i="2"/>
  <c r="A34" i="2"/>
  <c r="A491" i="2"/>
  <c r="A124" i="2"/>
  <c r="A486" i="2"/>
  <c r="A356" i="2"/>
  <c r="A98" i="2"/>
  <c r="A42" i="2"/>
  <c r="A426" i="2"/>
  <c r="A17" i="2"/>
  <c r="A64" i="2"/>
  <c r="A250" i="2"/>
  <c r="A416" i="2"/>
  <c r="A415" i="2"/>
  <c r="A414" i="2"/>
  <c r="A333" i="2"/>
  <c r="A413" i="2"/>
  <c r="A44" i="2"/>
  <c r="A53" i="2"/>
  <c r="A425" i="2"/>
  <c r="A449" i="2"/>
  <c r="A259" i="2"/>
  <c r="A412" i="2"/>
  <c r="A392" i="2"/>
  <c r="A279" i="2"/>
  <c r="A178" i="2"/>
  <c r="A364" i="2"/>
  <c r="A347" i="2"/>
  <c r="A342" i="2"/>
  <c r="A340" i="2"/>
  <c r="A339" i="2"/>
  <c r="A482" i="2"/>
  <c r="A38" i="2"/>
  <c r="A332" i="2"/>
  <c r="A331" i="2"/>
  <c r="A330" i="2"/>
  <c r="A329" i="2"/>
  <c r="A476" i="2"/>
  <c r="A308" i="2"/>
  <c r="A448" i="2"/>
  <c r="A278" i="2"/>
  <c r="A456" i="2"/>
  <c r="A417" i="2"/>
  <c r="A374" i="2"/>
  <c r="A475" i="2"/>
  <c r="A274" i="2"/>
  <c r="A230" i="2"/>
  <c r="A195" i="2"/>
  <c r="A373" i="2"/>
  <c r="A80" i="2"/>
  <c r="A319" i="2"/>
  <c r="A289" i="2"/>
  <c r="A159" i="2"/>
  <c r="A302" i="2"/>
  <c r="A102" i="2"/>
  <c r="A281" i="2"/>
  <c r="A174" i="2"/>
  <c r="A73" i="2"/>
  <c r="A369" i="2"/>
  <c r="A7" i="2"/>
  <c r="A29" i="2"/>
  <c r="A285" i="2"/>
  <c r="A77" i="2"/>
  <c r="A97" i="2"/>
  <c r="A25" i="2"/>
  <c r="A284" i="2"/>
  <c r="A453" i="2"/>
  <c r="A241" i="2"/>
  <c r="A240" i="2"/>
  <c r="A239" i="2"/>
  <c r="A440" i="2"/>
  <c r="A363" i="2"/>
  <c r="A439" i="2"/>
  <c r="A150" i="2"/>
  <c r="A121" i="2"/>
  <c r="A204" i="2"/>
  <c r="A120" i="2"/>
  <c r="A399" i="2"/>
  <c r="A222" i="2"/>
  <c r="A201" i="2"/>
  <c r="A362" i="2"/>
  <c r="A361" i="2"/>
  <c r="A242" i="2"/>
  <c r="A82" i="2"/>
  <c r="A23" i="2"/>
  <c r="A192" i="2"/>
  <c r="A346" i="2"/>
  <c r="A211" i="2"/>
  <c r="A387" i="2"/>
  <c r="A88" i="2"/>
  <c r="A315" i="2"/>
  <c r="A125" i="2"/>
  <c r="A123" i="2"/>
  <c r="A238" i="2"/>
  <c r="A438" i="2"/>
  <c r="A225" i="2"/>
  <c r="A185" i="2"/>
  <c r="A47" i="2"/>
  <c r="A268" i="2"/>
  <c r="A267" i="2"/>
  <c r="A394" i="2"/>
  <c r="A403" i="2"/>
  <c r="A398" i="2"/>
  <c r="A216" i="2"/>
  <c r="A215" i="2"/>
  <c r="A300" i="2"/>
  <c r="A249" i="2"/>
  <c r="A372" i="2"/>
  <c r="A266" i="2"/>
  <c r="A411" i="2"/>
  <c r="A402" i="2"/>
  <c r="A401" i="2"/>
  <c r="A396" i="2"/>
  <c r="A16" i="2"/>
  <c r="A261" i="2"/>
  <c r="A410" i="2"/>
  <c r="A353" i="2"/>
  <c r="A314" i="2"/>
  <c r="A318" i="2"/>
  <c r="A307" i="2"/>
  <c r="A265" i="2"/>
  <c r="A228" i="2"/>
  <c r="A254" i="2"/>
  <c r="A258" i="2"/>
  <c r="A227" i="2"/>
  <c r="A229" i="2"/>
  <c r="A271" i="2"/>
  <c r="A270" i="2"/>
  <c r="A288" i="2"/>
  <c r="A41" i="2"/>
  <c r="A39" i="2"/>
  <c r="A31" i="2"/>
  <c r="A24" i="2"/>
  <c r="A22" i="2"/>
  <c r="A37" i="2"/>
  <c r="A168" i="2"/>
  <c r="A33" i="2"/>
  <c r="A85" i="2"/>
  <c r="A21" i="2"/>
  <c r="A379" i="2"/>
  <c r="A474" i="2"/>
  <c r="A447" i="2"/>
  <c r="A328" i="2"/>
  <c r="A306" i="2"/>
  <c r="A301" i="2"/>
  <c r="A283" i="2"/>
  <c r="A119" i="2"/>
  <c r="A118" i="2"/>
  <c r="A122" i="2"/>
  <c r="A116" i="2"/>
  <c r="A28" i="2"/>
  <c r="A428" i="2"/>
  <c r="A355" i="2"/>
  <c r="A351" i="2"/>
  <c r="A350" i="2"/>
  <c r="A345" i="2"/>
  <c r="A264" i="2"/>
  <c r="A209" i="2"/>
  <c r="A177" i="2"/>
  <c r="A96" i="2"/>
  <c r="A63" i="2"/>
  <c r="A62" i="2"/>
  <c r="A15" i="2"/>
  <c r="A130" i="2"/>
  <c r="A483" i="2"/>
  <c r="A393" i="2"/>
  <c r="A43" i="2"/>
  <c r="A32" i="2"/>
  <c r="A492" i="2"/>
  <c r="A490" i="2"/>
  <c r="A471" i="2"/>
  <c r="A409" i="2"/>
  <c r="A408" i="2"/>
  <c r="A407" i="2"/>
  <c r="A406" i="2"/>
  <c r="A405" i="2"/>
  <c r="A344" i="2"/>
  <c r="A341" i="2"/>
  <c r="A338" i="2"/>
  <c r="A337" i="2"/>
  <c r="A327" i="2"/>
  <c r="A326" i="2"/>
  <c r="A325" i="2"/>
  <c r="A324" i="2"/>
  <c r="A323" i="2"/>
  <c r="A451" i="2"/>
  <c r="A305" i="2"/>
  <c r="A304" i="2"/>
  <c r="A277" i="2"/>
  <c r="A273" i="2"/>
  <c r="A386" i="2"/>
  <c r="A287" i="2"/>
  <c r="A257" i="2"/>
  <c r="A219" i="2"/>
  <c r="A488" i="2"/>
  <c r="A203" i="2"/>
  <c r="A200" i="2"/>
  <c r="A191" i="2"/>
  <c r="A190" i="2"/>
  <c r="A460" i="2"/>
  <c r="A149" i="2"/>
  <c r="A459" i="2"/>
  <c r="A322" i="2"/>
  <c r="A317" i="2"/>
  <c r="A316" i="2"/>
  <c r="A106" i="2"/>
  <c r="A105" i="2"/>
  <c r="A210" i="2"/>
  <c r="A208" i="2"/>
  <c r="A202" i="2"/>
  <c r="A437" i="2"/>
  <c r="A61" i="2"/>
  <c r="A83" i="2"/>
  <c r="A52" i="2"/>
  <c r="A436" i="2"/>
  <c r="A40" i="2"/>
  <c r="A435" i="2"/>
  <c r="A434" i="2"/>
  <c r="A400" i="2"/>
  <c r="A360" i="2"/>
  <c r="A343" i="2"/>
  <c r="A313" i="2"/>
  <c r="A397" i="2"/>
  <c r="A214" i="2"/>
  <c r="A213" i="2"/>
  <c r="A207" i="2"/>
  <c r="A206" i="2"/>
  <c r="A169" i="2"/>
  <c r="A166" i="2"/>
  <c r="A137" i="2"/>
  <c r="A136" i="2"/>
  <c r="A135" i="2"/>
  <c r="A117" i="2"/>
  <c r="A95" i="2"/>
  <c r="A79" i="2"/>
  <c r="A78" i="2"/>
  <c r="A51" i="2"/>
  <c r="A50" i="2"/>
  <c r="A4" i="2"/>
  <c r="A3" i="2"/>
  <c r="A433" i="2"/>
  <c r="A20" i="2"/>
  <c r="A36" i="2"/>
  <c r="A485" i="2"/>
  <c r="A480" i="2"/>
  <c r="A479" i="2"/>
  <c r="A454" i="2"/>
  <c r="A452" i="2"/>
  <c r="A404" i="2"/>
  <c r="A391" i="2"/>
  <c r="A390" i="2"/>
  <c r="A389" i="2"/>
  <c r="A352" i="2"/>
  <c r="A312" i="2"/>
  <c r="A276" i="2"/>
  <c r="A251" i="2"/>
  <c r="A14" i="2"/>
  <c r="A188" i="2"/>
  <c r="A282" i="2"/>
  <c r="A354" i="2"/>
  <c r="A421" i="2"/>
  <c r="A420" i="2"/>
  <c r="A299" i="2"/>
  <c r="A298" i="2"/>
  <c r="A253" i="2"/>
  <c r="A252" i="2"/>
  <c r="A237" i="2"/>
  <c r="A236" i="2"/>
  <c r="A221" i="2"/>
  <c r="A212" i="2"/>
  <c r="A170" i="2"/>
  <c r="A112" i="2"/>
  <c r="A194" i="2"/>
  <c r="A378" i="2"/>
  <c r="A72" i="2"/>
  <c r="A481" i="2"/>
  <c r="A473" i="2"/>
  <c r="A446" i="2"/>
  <c r="A173" i="2"/>
  <c r="A377" i="2"/>
  <c r="A248" i="2"/>
  <c r="A247" i="2"/>
  <c r="A246" i="2"/>
  <c r="A148" i="2"/>
  <c r="A134" i="2"/>
  <c r="A113" i="2"/>
  <c r="A111" i="2"/>
  <c r="A470" i="2"/>
  <c r="A469" i="2"/>
  <c r="A468" i="2"/>
  <c r="A467" i="2"/>
  <c r="A466" i="2"/>
  <c r="A465" i="2"/>
  <c r="A464" i="2"/>
  <c r="A383" i="2"/>
  <c r="A382" i="2"/>
  <c r="A381" i="2"/>
  <c r="A297" i="2"/>
  <c r="A296" i="2"/>
  <c r="A295" i="2"/>
  <c r="A294" i="2"/>
  <c r="A293" i="2"/>
  <c r="A292" i="2"/>
  <c r="A199" i="2"/>
  <c r="A218" i="2"/>
  <c r="A198" i="2"/>
  <c r="A165" i="2"/>
  <c r="A164" i="2"/>
  <c r="A163" i="2"/>
  <c r="A162" i="2"/>
  <c r="A110" i="2"/>
  <c r="A109" i="2"/>
  <c r="A71" i="2"/>
  <c r="A70" i="2"/>
  <c r="A27" i="2"/>
  <c r="A2" i="2"/>
  <c r="A158" i="2"/>
  <c r="A157" i="2"/>
  <c r="A13" i="2"/>
  <c r="A463" i="2"/>
  <c r="A458" i="2"/>
  <c r="A384" i="2"/>
  <c r="A380" i="2"/>
  <c r="A291" i="2"/>
  <c r="A290" i="2"/>
  <c r="A244" i="2"/>
  <c r="A197" i="2"/>
  <c r="A156" i="2"/>
  <c r="A108" i="2"/>
  <c r="A69" i="2"/>
  <c r="A68" i="2"/>
  <c r="A26" i="2"/>
  <c r="A133" i="2"/>
  <c r="A132" i="2"/>
  <c r="A129" i="2"/>
  <c r="A128" i="2"/>
  <c r="A127" i="2"/>
  <c r="A126" i="2"/>
  <c r="A140" i="2"/>
  <c r="A87" i="2"/>
  <c r="A49" i="2"/>
  <c r="A494" i="2"/>
  <c r="A432" i="2"/>
  <c r="A349" i="2"/>
  <c r="A262" i="2"/>
  <c r="A220" i="2"/>
  <c r="A8" i="2"/>
  <c r="A172" i="2"/>
  <c r="A431" i="2"/>
  <c r="A359" i="2"/>
  <c r="A269" i="2"/>
  <c r="A224" i="2"/>
  <c r="A176" i="2"/>
  <c r="A143" i="2"/>
  <c r="A86" i="2"/>
  <c r="A60" i="2"/>
  <c r="A9" i="2"/>
  <c r="AD175" i="2" l="1"/>
  <c r="AC175" i="2"/>
  <c r="AB175" i="2"/>
  <c r="AA175" i="2"/>
  <c r="Z175" i="2"/>
  <c r="Y175" i="2"/>
  <c r="X175" i="2"/>
  <c r="W175" i="2"/>
  <c r="V175" i="2"/>
  <c r="U175" i="2"/>
  <c r="T175" i="2"/>
  <c r="AD354" i="2"/>
  <c r="AC354" i="2"/>
  <c r="T176" i="2"/>
  <c r="S176" i="2"/>
  <c r="AA483" i="2"/>
  <c r="W139" i="2"/>
  <c r="X139" i="2"/>
  <c r="Y139" i="2"/>
  <c r="Z139" i="2"/>
  <c r="AA139" i="2"/>
  <c r="S138" i="2"/>
  <c r="X311" i="2"/>
  <c r="Y311" i="2"/>
  <c r="S314" i="2"/>
  <c r="Z311" i="2"/>
  <c r="AA311" i="2"/>
  <c r="T480" i="2"/>
  <c r="X480" i="2"/>
  <c r="AA480" i="2"/>
  <c r="S481" i="2"/>
  <c r="V481" i="2"/>
  <c r="Y481" i="2"/>
  <c r="AB481" i="2"/>
  <c r="T482" i="2"/>
  <c r="X482" i="2"/>
  <c r="Z482" i="2"/>
  <c r="S483" i="2"/>
  <c r="T483" i="2"/>
  <c r="V483" i="2"/>
  <c r="X483" i="2"/>
  <c r="Z483" i="2"/>
  <c r="AB483" i="2"/>
  <c r="AD483" i="2"/>
  <c r="T484" i="2"/>
  <c r="V484" i="2"/>
  <c r="Y484" i="2"/>
  <c r="AA484" i="2"/>
  <c r="AC484" i="2"/>
  <c r="S485" i="2"/>
  <c r="U485" i="2"/>
  <c r="V485" i="2"/>
  <c r="X485" i="2"/>
  <c r="Z485" i="2"/>
  <c r="AB485" i="2"/>
  <c r="AD485" i="2"/>
  <c r="T486" i="2"/>
  <c r="V486" i="2"/>
  <c r="X486" i="2"/>
  <c r="Z486" i="2"/>
  <c r="AA486" i="2"/>
  <c r="AC486" i="2"/>
  <c r="T487" i="2"/>
  <c r="AB311" i="2"/>
  <c r="AC311" i="2"/>
  <c r="AD311" i="2"/>
  <c r="S312" i="2"/>
  <c r="T312" i="2"/>
  <c r="U312" i="2"/>
  <c r="U314" i="2"/>
  <c r="T314" i="2"/>
  <c r="V312" i="2"/>
  <c r="AC479" i="2"/>
  <c r="W312" i="2"/>
  <c r="X312" i="2"/>
  <c r="Y312" i="2"/>
  <c r="Z312" i="2"/>
  <c r="AA312" i="2"/>
  <c r="AB312" i="2"/>
  <c r="AC312" i="2"/>
  <c r="AD312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X488" i="2"/>
  <c r="W488" i="2"/>
  <c r="V488" i="2"/>
  <c r="U488" i="2"/>
  <c r="T488" i="2"/>
  <c r="S488" i="2"/>
  <c r="AD487" i="2"/>
  <c r="AC487" i="2"/>
  <c r="AB487" i="2"/>
  <c r="AA487" i="2"/>
  <c r="Z487" i="2"/>
  <c r="Y487" i="2"/>
  <c r="X487" i="2"/>
  <c r="W487" i="2"/>
  <c r="V487" i="2"/>
  <c r="U487" i="2"/>
  <c r="S487" i="2"/>
  <c r="AD486" i="2"/>
  <c r="AB486" i="2"/>
  <c r="Y486" i="2"/>
  <c r="W486" i="2"/>
  <c r="U486" i="2"/>
  <c r="S486" i="2"/>
  <c r="AC485" i="2"/>
  <c r="AA485" i="2"/>
  <c r="Y485" i="2"/>
  <c r="W485" i="2"/>
  <c r="T485" i="2"/>
  <c r="AD484" i="2"/>
  <c r="AB484" i="2"/>
  <c r="Z484" i="2"/>
  <c r="X484" i="2"/>
  <c r="W484" i="2"/>
  <c r="U484" i="2"/>
  <c r="S484" i="2"/>
  <c r="AC483" i="2"/>
  <c r="AA479" i="2"/>
  <c r="Y483" i="2"/>
  <c r="W483" i="2"/>
  <c r="U483" i="2"/>
  <c r="AD482" i="2"/>
  <c r="Y482" i="2"/>
  <c r="W482" i="2"/>
  <c r="S482" i="2"/>
  <c r="AA481" i="2"/>
  <c r="W481" i="2"/>
  <c r="AD480" i="2"/>
  <c r="Z480" i="2"/>
  <c r="V480" i="2"/>
  <c r="AD479" i="2"/>
  <c r="Z479" i="2"/>
  <c r="S480" i="2"/>
  <c r="W480" i="2"/>
  <c r="AB480" i="2"/>
  <c r="T481" i="2"/>
  <c r="X481" i="2"/>
  <c r="AD481" i="2"/>
  <c r="V482" i="2"/>
  <c r="AC482" i="2"/>
  <c r="AB479" i="2"/>
  <c r="U480" i="2"/>
  <c r="Y480" i="2"/>
  <c r="AC480" i="2"/>
  <c r="U481" i="2"/>
  <c r="Z481" i="2"/>
  <c r="AC481" i="2"/>
  <c r="U482" i="2"/>
  <c r="AB482" i="2"/>
  <c r="AC137" i="2"/>
  <c r="AD137" i="2"/>
  <c r="T138" i="2"/>
  <c r="U138" i="2"/>
  <c r="V138" i="2"/>
  <c r="W138" i="2"/>
  <c r="X138" i="2"/>
  <c r="Y138" i="2"/>
  <c r="Z138" i="2"/>
  <c r="AA138" i="2"/>
  <c r="AB138" i="2"/>
  <c r="AC138" i="2"/>
  <c r="AD138" i="2"/>
  <c r="S139" i="2"/>
  <c r="T139" i="2"/>
  <c r="U139" i="2"/>
  <c r="V139" i="2"/>
  <c r="AC144" i="2"/>
  <c r="AB144" i="2"/>
  <c r="AA144" i="2"/>
  <c r="Z144" i="2"/>
  <c r="Y144" i="2"/>
  <c r="X144" i="2"/>
  <c r="W144" i="2"/>
  <c r="V144" i="2"/>
  <c r="U144" i="2"/>
  <c r="T144" i="2"/>
  <c r="S144" i="2"/>
  <c r="AD490" i="2"/>
  <c r="AC490" i="2"/>
  <c r="AB490" i="2"/>
  <c r="AA490" i="2"/>
  <c r="Z490" i="2"/>
  <c r="Y490" i="2"/>
  <c r="X490" i="2"/>
  <c r="W490" i="2"/>
  <c r="V490" i="2"/>
  <c r="T490" i="2"/>
  <c r="S490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AD488" i="2"/>
  <c r="AC488" i="2"/>
  <c r="AB488" i="2"/>
  <c r="AA488" i="2"/>
  <c r="Z488" i="2"/>
  <c r="Y488" i="2"/>
  <c r="S318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U490" i="2"/>
  <c r="AA145" i="2"/>
  <c r="Z145" i="2"/>
  <c r="Y145" i="2"/>
  <c r="X145" i="2"/>
  <c r="W145" i="2"/>
  <c r="V145" i="2"/>
  <c r="U145" i="2"/>
  <c r="T145" i="2"/>
  <c r="S145" i="2"/>
  <c r="AD144" i="2"/>
  <c r="AC494" i="2"/>
  <c r="AB494" i="2"/>
  <c r="AA494" i="2"/>
  <c r="Z494" i="2"/>
  <c r="Y494" i="2"/>
  <c r="X494" i="2"/>
  <c r="W494" i="2"/>
  <c r="V494" i="2"/>
  <c r="U494" i="2"/>
  <c r="T494" i="2"/>
  <c r="S494" i="2"/>
  <c r="T318" i="2"/>
  <c r="U318" i="2"/>
  <c r="V318" i="2"/>
  <c r="W318" i="2"/>
  <c r="X318" i="2"/>
  <c r="Y318" i="2"/>
  <c r="Z318" i="2"/>
  <c r="AA318" i="2"/>
  <c r="AC318" i="2"/>
  <c r="AD318" i="2"/>
  <c r="Z149" i="2"/>
  <c r="Y149" i="2"/>
  <c r="X149" i="2"/>
  <c r="W149" i="2"/>
  <c r="V149" i="2"/>
  <c r="U149" i="2"/>
  <c r="T149" i="2"/>
  <c r="S149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AD145" i="2"/>
  <c r="AC145" i="2"/>
  <c r="AB145" i="2"/>
  <c r="S322" i="2"/>
  <c r="T322" i="2"/>
  <c r="U322" i="2"/>
  <c r="V322" i="2"/>
  <c r="AD494" i="2"/>
  <c r="S491" i="2"/>
  <c r="T491" i="2"/>
  <c r="U491" i="2"/>
  <c r="V491" i="2"/>
  <c r="W491" i="2"/>
  <c r="X491" i="2"/>
  <c r="Y491" i="2"/>
  <c r="Z491" i="2"/>
  <c r="AA491" i="2"/>
  <c r="AC491" i="2"/>
  <c r="AD491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S493" i="2"/>
  <c r="T493" i="2"/>
  <c r="U493" i="2"/>
  <c r="V493" i="2"/>
  <c r="W493" i="2"/>
  <c r="X493" i="2"/>
  <c r="Y493" i="2"/>
  <c r="S319" i="2"/>
  <c r="Z493" i="2"/>
  <c r="AA493" i="2"/>
  <c r="AB493" i="2"/>
  <c r="AC493" i="2"/>
  <c r="AD493" i="2"/>
  <c r="AB491" i="2"/>
  <c r="T319" i="2"/>
  <c r="U319" i="2"/>
  <c r="V319" i="2"/>
  <c r="W319" i="2"/>
  <c r="X319" i="2"/>
  <c r="Y319" i="2"/>
  <c r="Z319" i="2"/>
  <c r="AA319" i="2"/>
  <c r="AB319" i="2"/>
  <c r="AC319" i="2"/>
  <c r="AD319" i="2"/>
  <c r="S320" i="2"/>
  <c r="T320" i="2"/>
  <c r="U320" i="2"/>
  <c r="V320" i="2"/>
  <c r="W320" i="2"/>
  <c r="X320" i="2"/>
  <c r="Y320" i="2"/>
  <c r="Z320" i="2"/>
  <c r="AA320" i="2"/>
  <c r="AB318" i="2"/>
  <c r="AB320" i="2"/>
  <c r="AC320" i="2"/>
  <c r="AD320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V314" i="2"/>
  <c r="W314" i="2"/>
  <c r="X314" i="2"/>
  <c r="Y314" i="2"/>
  <c r="Z314" i="2"/>
  <c r="AA314" i="2"/>
  <c r="AB314" i="2"/>
  <c r="AC314" i="2"/>
  <c r="AD314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D142" i="2"/>
  <c r="AC142" i="2"/>
  <c r="AA142" i="2"/>
  <c r="S142" i="2"/>
  <c r="T142" i="2"/>
  <c r="U142" i="2"/>
  <c r="Z142" i="2"/>
  <c r="AB142" i="2"/>
  <c r="V142" i="2"/>
  <c r="W142" i="2"/>
  <c r="X142" i="2"/>
  <c r="Y142" i="2"/>
  <c r="U141" i="2"/>
  <c r="T141" i="2"/>
  <c r="S141" i="2"/>
  <c r="Z141" i="2"/>
  <c r="AD141" i="2"/>
  <c r="AC141" i="2"/>
  <c r="AB141" i="2"/>
  <c r="AA141" i="2"/>
  <c r="Y141" i="2"/>
  <c r="X141" i="2"/>
  <c r="W141" i="2"/>
  <c r="V141" i="2"/>
  <c r="AD143" i="2"/>
  <c r="AC143" i="2"/>
  <c r="AB143" i="2"/>
  <c r="W143" i="2"/>
  <c r="Y143" i="2"/>
  <c r="Z143" i="2"/>
  <c r="AA143" i="2"/>
  <c r="S143" i="2"/>
  <c r="T143" i="2"/>
  <c r="U143" i="2"/>
  <c r="X143" i="2"/>
  <c r="V143" i="2"/>
  <c r="AD139" i="2"/>
  <c r="AB139" i="2"/>
  <c r="AC139" i="2"/>
  <c r="V140" i="2"/>
  <c r="U140" i="2"/>
  <c r="T140" i="2"/>
  <c r="S140" i="2"/>
  <c r="AC140" i="2"/>
  <c r="AB140" i="2"/>
  <c r="AA140" i="2"/>
  <c r="Z140" i="2"/>
  <c r="Y140" i="2"/>
  <c r="X140" i="2"/>
  <c r="W140" i="2"/>
  <c r="AD140" i="2"/>
  <c r="Q283" i="2"/>
  <c r="Q168" i="2"/>
  <c r="Q275" i="2"/>
  <c r="Q175" i="2"/>
  <c r="Q58" i="2"/>
  <c r="Q282" i="2"/>
  <c r="Q34" i="2"/>
  <c r="Q54" i="2"/>
  <c r="Q289" i="2"/>
  <c r="Q293" i="2"/>
  <c r="Q188" i="2"/>
  <c r="Q277" i="2"/>
  <c r="Q208" i="2"/>
  <c r="Q71" i="2"/>
  <c r="Q91" i="2"/>
  <c r="Q90" i="2"/>
  <c r="Q114" i="2"/>
  <c r="Q88" i="2"/>
  <c r="Q68" i="2"/>
  <c r="Q63" i="2"/>
  <c r="Q87" i="2"/>
  <c r="Q62" i="2"/>
  <c r="Q50" i="2"/>
  <c r="Q49" i="2"/>
  <c r="Q171" i="2"/>
  <c r="Q85" i="2"/>
  <c r="Q52" i="2"/>
  <c r="Q32" i="2"/>
  <c r="Q82" i="2"/>
  <c r="Q228" i="2"/>
  <c r="Q80" i="2"/>
  <c r="Q78" i="2"/>
  <c r="Q257" i="2"/>
  <c r="Q76" i="2"/>
  <c r="Q280" i="2"/>
  <c r="Q271" i="2"/>
  <c r="Q33" i="2"/>
  <c r="Q273" i="2"/>
  <c r="Q276" i="2"/>
  <c r="Q269" i="2"/>
  <c r="Q281" i="2"/>
  <c r="Q284" i="2"/>
  <c r="Q74" i="2"/>
  <c r="Q288" i="2"/>
  <c r="Q294" i="2"/>
  <c r="Q46" i="2"/>
  <c r="Q221" i="2"/>
  <c r="Q67" i="2"/>
  <c r="Q47" i="2"/>
  <c r="Q65" i="2"/>
  <c r="Q64" i="2"/>
  <c r="Q61" i="2"/>
  <c r="Q59" i="2"/>
  <c r="Q381" i="2"/>
  <c r="Q106" i="2"/>
  <c r="Q255" i="2"/>
  <c r="Q104" i="2"/>
  <c r="Q29" i="2"/>
  <c r="Q332" i="2"/>
  <c r="Q365" i="2"/>
  <c r="Q292" i="2"/>
  <c r="Q383" i="2"/>
  <c r="Q285" i="2"/>
  <c r="Q469" i="2"/>
  <c r="Q202" i="2"/>
  <c r="Q27" i="2"/>
  <c r="Q287" i="2"/>
  <c r="Q18" i="2"/>
  <c r="Q84" i="2"/>
  <c r="Q26" i="2"/>
  <c r="Q25" i="2"/>
  <c r="Q215" i="2"/>
  <c r="Q279" i="2"/>
  <c r="Q37" i="2"/>
  <c r="Q66" i="2"/>
  <c r="Q48" i="2"/>
  <c r="Q53" i="2"/>
  <c r="Q55" i="2"/>
  <c r="Q70" i="2"/>
  <c r="Q72" i="2"/>
  <c r="Q86" i="2"/>
  <c r="Q20" i="2"/>
  <c r="Q95" i="2"/>
  <c r="Q118" i="2"/>
  <c r="Q60" i="2"/>
  <c r="Q123" i="2"/>
  <c r="Q212" i="2"/>
  <c r="Q286" i="2"/>
  <c r="Q39" i="2"/>
  <c r="Q35" i="2"/>
  <c r="Q272" i="2"/>
  <c r="Q75" i="2"/>
  <c r="Q291" i="2"/>
  <c r="Q81" i="2"/>
  <c r="Q92" i="2"/>
  <c r="Q40" i="2"/>
  <c r="Q83" i="2"/>
  <c r="Q133" i="2"/>
  <c r="Q134" i="2"/>
  <c r="Q231" i="2"/>
  <c r="Q170" i="2"/>
  <c r="Q270" i="2"/>
  <c r="Q232" i="2"/>
  <c r="Q256" i="2"/>
  <c r="Q24" i="2"/>
  <c r="Q89" i="2"/>
  <c r="Q77" i="2"/>
  <c r="Q73" i="2"/>
  <c r="Q44" i="2"/>
  <c r="Q182" i="2"/>
  <c r="Q190" i="2"/>
  <c r="Q268" i="2"/>
  <c r="Q30" i="2"/>
  <c r="Q22" i="2"/>
  <c r="Q57" i="2"/>
  <c r="Q362" i="2"/>
  <c r="Q79" i="2"/>
  <c r="Q93" i="2"/>
  <c r="Q105" i="2"/>
  <c r="Q94" i="2"/>
  <c r="Q8" i="2"/>
  <c r="Q366" i="2"/>
  <c r="Q51" i="2"/>
  <c r="Q31" i="2"/>
  <c r="Q12" i="2"/>
  <c r="Q69" i="2"/>
  <c r="Q21" i="2"/>
  <c r="Q28" i="2"/>
  <c r="Q41" i="2"/>
  <c r="Q42" i="2"/>
  <c r="Q290" i="2"/>
  <c r="Q56" i="2"/>
  <c r="Q10" i="2"/>
  <c r="Q274" i="2"/>
  <c r="Q278" i="2"/>
  <c r="Q329" i="2"/>
  <c r="Q148" i="2" l="1"/>
  <c r="Q489" i="2"/>
  <c r="Q487" i="2"/>
  <c r="Q485" i="2"/>
  <c r="Q488" i="2"/>
  <c r="Q492" i="2"/>
  <c r="Q483" i="2"/>
  <c r="Q400" i="2"/>
  <c r="Q378" i="2"/>
  <c r="Q377" i="2"/>
  <c r="Q376" i="2"/>
  <c r="Q375" i="2"/>
  <c r="Q374" i="2"/>
  <c r="Q373" i="2"/>
  <c r="Q372" i="2"/>
  <c r="Q364" i="2"/>
  <c r="Q355" i="2"/>
  <c r="Q354" i="2"/>
  <c r="Q347" i="2"/>
  <c r="Q340" i="2"/>
  <c r="Q339" i="2"/>
  <c r="Q336" i="2"/>
  <c r="Q335" i="2"/>
  <c r="Q334" i="2"/>
  <c r="Q312" i="2"/>
  <c r="Q311" i="2"/>
  <c r="Q310" i="2"/>
  <c r="Q306" i="2"/>
  <c r="Q299" i="2"/>
  <c r="Q265" i="2"/>
  <c r="Q262" i="2"/>
  <c r="Q258" i="2"/>
  <c r="Q253" i="2"/>
  <c r="Q248" i="2"/>
  <c r="Q247" i="2"/>
  <c r="Q243" i="2"/>
  <c r="Q240" i="2"/>
  <c r="Q239" i="2"/>
  <c r="Q238" i="2"/>
  <c r="Q237" i="2"/>
  <c r="Q236" i="2"/>
  <c r="Q235" i="2"/>
  <c r="Q234" i="2"/>
  <c r="Q230" i="2"/>
  <c r="Q229" i="2"/>
  <c r="Q223" i="2"/>
  <c r="Q217" i="2"/>
  <c r="Q216" i="2"/>
  <c r="Q201" i="2"/>
  <c r="Q200" i="2"/>
  <c r="Q199" i="2"/>
  <c r="Q196" i="2"/>
  <c r="Q195" i="2"/>
  <c r="Q194" i="2"/>
  <c r="Q193" i="2"/>
  <c r="Q192" i="2"/>
  <c r="Q191" i="2"/>
  <c r="Q185" i="2"/>
  <c r="Q180" i="2"/>
  <c r="Q165" i="2"/>
  <c r="Q145" i="2"/>
  <c r="Q138" i="2"/>
  <c r="Q125" i="2"/>
  <c r="Q117" i="2"/>
  <c r="Q267" i="2"/>
  <c r="Q266" i="2"/>
  <c r="Q264" i="2"/>
  <c r="Q263" i="2"/>
  <c r="Q261" i="2"/>
  <c r="Q259" i="2"/>
  <c r="Q254" i="2"/>
  <c r="Q252" i="2"/>
  <c r="Q249" i="2"/>
  <c r="Q245" i="2"/>
  <c r="Q244" i="2"/>
  <c r="Q222" i="2"/>
  <c r="Q219" i="2"/>
  <c r="Q218" i="2"/>
  <c r="Q213" i="2"/>
  <c r="Q210" i="2"/>
  <c r="Q209" i="2"/>
  <c r="Q206" i="2"/>
  <c r="Q205" i="2"/>
  <c r="Q204" i="2"/>
  <c r="Q203" i="2"/>
  <c r="Q198" i="2"/>
  <c r="Q197" i="2"/>
  <c r="Q184" i="2"/>
  <c r="Q178" i="2"/>
  <c r="Q163" i="2"/>
  <c r="Q157" i="2"/>
  <c r="Q155" i="2"/>
  <c r="Q151" i="2"/>
  <c r="Q141" i="2"/>
  <c r="Q124" i="2"/>
  <c r="Q122" i="2"/>
  <c r="Q115" i="2"/>
  <c r="Q3" i="2"/>
  <c r="Q173" i="2"/>
  <c r="Q169" i="2"/>
  <c r="Q159" i="2"/>
  <c r="Q154" i="2"/>
  <c r="Q149" i="2"/>
  <c r="Q142" i="2"/>
  <c r="Q139" i="2"/>
  <c r="Q136" i="2"/>
  <c r="Q45" i="2"/>
  <c r="Q43" i="2"/>
  <c r="Q23" i="2"/>
  <c r="Q346" i="2"/>
  <c r="Q345" i="2"/>
  <c r="Q344" i="2"/>
  <c r="Q343" i="2"/>
  <c r="Q342" i="2"/>
  <c r="Q341" i="2"/>
  <c r="Q338" i="2"/>
  <c r="Q337" i="2"/>
  <c r="Q333" i="2"/>
  <c r="Q331" i="2"/>
  <c r="Q330" i="2"/>
  <c r="Q327" i="2"/>
  <c r="Q325" i="2"/>
  <c r="Q324" i="2"/>
  <c r="Q319" i="2"/>
  <c r="Q316" i="2"/>
  <c r="Q315" i="2"/>
  <c r="Q314" i="2"/>
  <c r="Q313" i="2"/>
  <c r="Q305" i="2"/>
  <c r="Q304" i="2"/>
  <c r="Q303" i="2"/>
  <c r="Q302" i="2"/>
  <c r="Q301" i="2"/>
  <c r="Q300" i="2"/>
  <c r="Q297" i="2"/>
  <c r="Q295" i="2"/>
  <c r="Q260" i="2"/>
  <c r="Q251" i="2"/>
  <c r="Q250" i="2"/>
  <c r="Q246" i="2"/>
  <c r="Q242" i="2"/>
  <c r="Q241" i="2"/>
  <c r="Q233" i="2"/>
  <c r="Q227" i="2"/>
  <c r="Q226" i="2"/>
  <c r="Q225" i="2"/>
  <c r="Q224" i="2"/>
  <c r="Q220" i="2"/>
  <c r="Q214" i="2"/>
  <c r="Q211" i="2"/>
  <c r="Q207" i="2"/>
  <c r="Q189" i="2"/>
  <c r="Q186" i="2"/>
  <c r="Q179" i="2"/>
  <c r="Q176" i="2"/>
  <c r="Q172" i="2"/>
  <c r="Q167" i="2"/>
  <c r="Q162" i="2"/>
  <c r="Q156" i="2"/>
  <c r="Q152" i="2"/>
  <c r="Q150" i="2"/>
  <c r="Q146" i="2"/>
  <c r="Q143" i="2"/>
  <c r="Q135" i="2"/>
  <c r="Q132" i="2"/>
  <c r="Q126" i="2"/>
  <c r="Q116" i="2"/>
  <c r="Q102" i="2"/>
  <c r="Q101" i="2"/>
  <c r="Q96" i="2"/>
  <c r="Q14" i="2"/>
  <c r="Q13" i="2"/>
  <c r="Q11" i="2"/>
  <c r="Q9" i="2"/>
  <c r="Q7" i="2"/>
  <c r="Q137" i="2"/>
  <c r="Q131" i="2"/>
  <c r="Q130" i="2"/>
  <c r="Q129" i="2"/>
  <c r="Q128" i="2"/>
  <c r="Q127" i="2"/>
  <c r="Q119" i="2"/>
  <c r="Q111" i="2"/>
  <c r="Q110" i="2"/>
  <c r="Q19" i="2"/>
  <c r="Q17" i="2"/>
  <c r="Q15" i="2"/>
  <c r="Q6" i="2"/>
  <c r="Q4" i="2"/>
  <c r="Q471" i="2"/>
  <c r="Q470" i="2"/>
  <c r="Q462" i="2"/>
  <c r="Q459" i="2"/>
  <c r="Q448" i="2"/>
  <c r="Q447" i="2"/>
  <c r="Q442" i="2"/>
  <c r="Q441" i="2"/>
  <c r="Q440" i="2"/>
  <c r="Q439" i="2"/>
  <c r="Q433" i="2"/>
  <c r="Q428" i="2"/>
  <c r="Q427" i="2"/>
  <c r="Q426" i="2"/>
  <c r="Q423" i="2"/>
  <c r="Q421" i="2"/>
  <c r="Q418" i="2"/>
  <c r="Q417" i="2"/>
  <c r="Q414" i="2"/>
  <c r="Q413" i="2"/>
  <c r="Q412" i="2"/>
  <c r="Q411" i="2"/>
  <c r="Q410" i="2"/>
  <c r="Q409" i="2"/>
  <c r="Q408" i="2"/>
  <c r="Q405" i="2"/>
  <c r="Q404" i="2"/>
  <c r="Q403" i="2"/>
  <c r="Q402" i="2"/>
  <c r="Q187" i="2"/>
  <c r="Q183" i="2"/>
  <c r="Q181" i="2"/>
  <c r="Q177" i="2"/>
  <c r="Q174" i="2"/>
  <c r="Q166" i="2"/>
  <c r="Q161" i="2"/>
  <c r="Q160" i="2"/>
  <c r="Q158" i="2"/>
  <c r="Q153" i="2"/>
  <c r="Q147" i="2"/>
  <c r="Q140" i="2"/>
  <c r="Q38" i="2"/>
  <c r="Q98" i="2"/>
  <c r="Q16" i="2"/>
  <c r="Q5" i="2"/>
  <c r="Q473" i="2"/>
  <c r="Q468" i="2"/>
  <c r="Q466" i="2"/>
  <c r="Q465" i="2"/>
  <c r="Q464" i="2"/>
  <c r="Q461" i="2"/>
  <c r="Q457" i="2"/>
  <c r="Q452" i="2"/>
  <c r="Q451" i="2"/>
  <c r="Q450" i="2"/>
  <c r="Q438" i="2"/>
  <c r="Q437" i="2"/>
  <c r="Q436" i="2"/>
  <c r="Q435" i="2"/>
  <c r="Q432" i="2"/>
  <c r="Q431" i="2"/>
  <c r="Q429" i="2"/>
  <c r="Q416" i="2"/>
  <c r="Q407" i="2"/>
  <c r="Q406" i="2"/>
  <c r="Q401" i="2"/>
  <c r="Q399" i="2"/>
  <c r="Q398" i="2"/>
  <c r="Q397" i="2"/>
  <c r="Q396" i="2"/>
  <c r="Q395" i="2"/>
  <c r="Q394" i="2"/>
  <c r="Q393" i="2"/>
  <c r="Q390" i="2"/>
  <c r="Q389" i="2"/>
  <c r="Q386" i="2"/>
  <c r="Q384" i="2"/>
  <c r="Q371" i="2"/>
  <c r="Q370" i="2"/>
  <c r="Q369" i="2"/>
  <c r="Q360" i="2"/>
  <c r="Q121" i="2"/>
  <c r="Q120" i="2"/>
  <c r="Q113" i="2"/>
  <c r="Q107" i="2"/>
  <c r="Q2" i="2"/>
  <c r="Q456" i="2"/>
  <c r="Q454" i="2"/>
  <c r="Q453" i="2"/>
  <c r="Q449" i="2"/>
  <c r="Q446" i="2"/>
  <c r="Q445" i="2"/>
  <c r="Q444" i="2"/>
  <c r="Q443" i="2"/>
  <c r="Q434" i="2"/>
  <c r="Q430" i="2"/>
  <c r="Q425" i="2"/>
  <c r="Q424" i="2"/>
  <c r="Q422" i="2"/>
  <c r="Q420" i="2"/>
  <c r="Q419" i="2"/>
  <c r="Q415" i="2"/>
  <c r="Q392" i="2"/>
  <c r="Q391" i="2"/>
  <c r="Q388" i="2"/>
  <c r="Q387" i="2"/>
  <c r="Q385" i="2"/>
  <c r="Q382" i="2"/>
  <c r="Q380" i="2"/>
  <c r="Q379" i="2"/>
  <c r="Q368" i="2"/>
  <c r="Q367" i="2"/>
  <c r="Q363" i="2"/>
  <c r="Q361" i="2"/>
  <c r="Q359" i="2"/>
  <c r="Q358" i="2"/>
  <c r="Q357" i="2"/>
  <c r="Q356" i="2"/>
  <c r="Q353" i="2"/>
  <c r="Q352" i="2"/>
  <c r="Q351" i="2"/>
  <c r="Q350" i="2"/>
  <c r="Q349" i="2"/>
  <c r="Q348" i="2"/>
  <c r="Q328" i="2"/>
  <c r="Q326" i="2"/>
  <c r="Q323" i="2"/>
  <c r="Q322" i="2"/>
  <c r="Q321" i="2"/>
  <c r="Q320" i="2"/>
  <c r="Q318" i="2"/>
  <c r="Q309" i="2"/>
  <c r="Q307" i="2"/>
  <c r="Q164" i="2"/>
  <c r="Q36" i="2"/>
  <c r="Q144" i="2"/>
  <c r="Q484" i="2"/>
  <c r="Q308" i="2"/>
  <c r="Q97" i="2"/>
  <c r="Q296" i="2"/>
  <c r="Q476" i="2"/>
  <c r="Q463" i="2"/>
  <c r="Q474" i="2"/>
  <c r="Q472" i="2"/>
  <c r="Q460" i="2"/>
  <c r="Q493" i="2"/>
  <c r="Q112" i="2"/>
  <c r="Q99" i="2"/>
  <c r="Q100" i="2"/>
  <c r="Q298" i="2"/>
  <c r="Q494" i="2"/>
  <c r="Q109" i="2"/>
  <c r="Q491" i="2"/>
  <c r="Q475" i="2"/>
  <c r="Q467" i="2"/>
  <c r="Q458" i="2"/>
  <c r="Q455" i="2"/>
  <c r="Q103" i="2"/>
  <c r="Q486" i="2"/>
  <c r="Q490" i="2"/>
  <c r="Q477" i="2"/>
  <c r="Q108" i="2"/>
  <c r="Q482" i="2"/>
  <c r="Q317" i="2"/>
  <c r="Q478" i="2"/>
  <c r="Q479" i="2"/>
  <c r="Q480" i="2"/>
  <c r="Q481" i="2"/>
</calcChain>
</file>

<file path=xl/sharedStrings.xml><?xml version="1.0" encoding="utf-8"?>
<sst xmlns="http://schemas.openxmlformats.org/spreadsheetml/2006/main" count="24557" uniqueCount="3262">
  <si>
    <t>Fornecedor</t>
  </si>
  <si>
    <t>CNPJ</t>
  </si>
  <si>
    <t>Categoria</t>
  </si>
  <si>
    <t>35.680.088 SUELLEN LOPES TEIXEIRA</t>
  </si>
  <si>
    <t>Frota</t>
  </si>
  <si>
    <t>55.833.328 JOSUE MIRANDA DE SOUZA</t>
  </si>
  <si>
    <t>-</t>
  </si>
  <si>
    <t>55.833.328. JOSUE MIRANDA DE SOUZA</t>
  </si>
  <si>
    <t>ADRIANO ROBERTO</t>
  </si>
  <si>
    <t>AGF EXTRA MINAS SHOPPING</t>
  </si>
  <si>
    <t>ALAOR CANAVEZ DE MORAES NETO</t>
  </si>
  <si>
    <t>ANA LUIZA COSTA SILVA - EU OUVI PRESENTE?</t>
  </si>
  <si>
    <t>ANA PAULA DE ALMEIDA ARAUJO</t>
  </si>
  <si>
    <t>ANDERSON LUIS FROES DE JESUS</t>
  </si>
  <si>
    <t>ANDRE GOMES DA SILVA</t>
  </si>
  <si>
    <t>ANDRE LEONARDO DE ALMEIDA</t>
  </si>
  <si>
    <t>ANDRE LUIZ MAYER</t>
  </si>
  <si>
    <t>ANGEL JOSUE FERNANDEZ RODRIGUEZ</t>
  </si>
  <si>
    <t>ANTONIO ALCIDES AFONSO</t>
  </si>
  <si>
    <t>ANTONIO CARLOS DA COSTA</t>
  </si>
  <si>
    <t>ANTONIO SILVA DE SOUSA</t>
  </si>
  <si>
    <t>AP EXTINTORES DE INCENDIO E EQUIPAMENTOS DE SEGURANCA LTDA.</t>
  </si>
  <si>
    <t>AUTO CENTER RM LTDA</t>
  </si>
  <si>
    <t>AUTO DIESEL PECAS E SERVICOS LTDA</t>
  </si>
  <si>
    <t>AVANSAT TECNOLOGIAS E SERVS EM SEGURANCA LTDA</t>
  </si>
  <si>
    <t>BATERLAY LTDA</t>
  </si>
  <si>
    <t>BETIM TACOGRAFO LTDA</t>
  </si>
  <si>
    <t>BH ACESSORIOS E PECAS LTDA</t>
  </si>
  <si>
    <t>BRENDA LUIZA PEREIRA</t>
  </si>
  <si>
    <t>BRUNO HENRIQUE DA SILVA</t>
  </si>
  <si>
    <t>BRUNO LOPES SOARES</t>
  </si>
  <si>
    <t>BRUNO RAFAEL PEREIRA COSTA</t>
  </si>
  <si>
    <t>BRUNO RIBEIRO DOMINGUES</t>
  </si>
  <si>
    <t>BTT TELECOMUNICACOES S.A.</t>
  </si>
  <si>
    <t>CAM LANTERNAGEM E PINTURA LTDA</t>
  </si>
  <si>
    <t>CAMPOS VEICULOS LTDA - PRIME AUTO CENTER</t>
  </si>
  <si>
    <t>CARLOS ANTONIO PINTO</t>
  </si>
  <si>
    <t>CELIA APARECIDA DE OLIVIERA DEL PENHO</t>
  </si>
  <si>
    <t>CENTRO DE GESTÃO DE MEIOS DE PAGTOS. S/A</t>
  </si>
  <si>
    <t>CENTRO DE INTEGRACAO EMPRESA ESCOLA DE MINAS GERAIS</t>
  </si>
  <si>
    <t>CENTRO DE INTEGRACAO EMPRESA ESCOLA DE MINAS GERAIS - CIEE/MG</t>
  </si>
  <si>
    <t>CERCEAU TRANSPORTE E TURISMO LTDA</t>
  </si>
  <si>
    <t>CERTIFICAR INSPECAO VEICULAR LTDA</t>
  </si>
  <si>
    <t>CICERO ISRAEL DOS SANTOS</t>
  </si>
  <si>
    <t>CLAUDINEY ALMEIDA DE SOUZA</t>
  </si>
  <si>
    <t>CORREIOS AGUA BRANCA</t>
  </si>
  <si>
    <t>CRISTIAN ALVES MOREIRA</t>
  </si>
  <si>
    <t>DANIELA CHAVES MARIANO</t>
  </si>
  <si>
    <t>DANIELLE HEBERT CARVALHO PEREIRA</t>
  </si>
  <si>
    <t>DELL COMPUTADORES DO BRASIL LTDA</t>
  </si>
  <si>
    <t>DEMETRIO GRIGORIO DA SILVA</t>
  </si>
  <si>
    <t>DIEGO DA SILVA GOMES</t>
  </si>
  <si>
    <t>DIOGO BONELA TONHA</t>
  </si>
  <si>
    <t>DIONIZIO JOSE DE CASSIO PINTO</t>
  </si>
  <si>
    <t>DOCUSIGN BRASIL SOLUCOES EM TECNOLOGIA LTDA</t>
  </si>
  <si>
    <t>DOCUSIGN BRASIL SOLUCOES EM TECNOLOGIA LTDA.</t>
  </si>
  <si>
    <t>EDILSON RIBEIRO DA SILVA</t>
  </si>
  <si>
    <t>EDIVALDO SOUZA SANTOS</t>
  </si>
  <si>
    <t>EDUARDO GAUDENCIO ROSA</t>
  </si>
  <si>
    <t>ELIANA HENRIQUE MENDES BARBOSA</t>
  </si>
  <si>
    <t>ELITON ADRIANO DA SILVA</t>
  </si>
  <si>
    <t>EMILIO LUCAS DA ROCHA</t>
  </si>
  <si>
    <t>ENERGISA MINAS GERAIS DISTRIBUIDORA DE ENERGIA S.A.</t>
  </si>
  <si>
    <t>ENGENHARIA DOS UNIFORMES</t>
  </si>
  <si>
    <t>ENIO FERREIRA RUMAS</t>
  </si>
  <si>
    <t>ESAU DE ALMEIDA RAFAEL</t>
  </si>
  <si>
    <t>EXPRESSO TRANSPORTE LTDA</t>
  </si>
  <si>
    <t>FABIO ALVES PRATES</t>
  </si>
  <si>
    <t>FERNANDA SANTOS SOARES</t>
  </si>
  <si>
    <t>FLAVIANO LUCIO DOS SANTOS</t>
  </si>
  <si>
    <t>FR RODAS COMERCIO E SERVIÇOS</t>
  </si>
  <si>
    <t>FRANCIELE TEIXEIRA DOS SANTOS</t>
  </si>
  <si>
    <t>FRANCISCO MARCIO CESAR DE MATOS</t>
  </si>
  <si>
    <t>GABRIEL MOUTINHO ALBINO</t>
  </si>
  <si>
    <t>GEAN CORREA BENFICA</t>
  </si>
  <si>
    <t>GOODYEAR DO BRASIL PROD DE BORRACHA LT</t>
  </si>
  <si>
    <t>GRUPO CASAS BAHIA SA</t>
  </si>
  <si>
    <t>GSC AUTO CENTER E PECAS LTDA</t>
  </si>
  <si>
    <t>GUSTAVO DE OLIVEIRA SILVA</t>
  </si>
  <si>
    <t>GUSTAVO HENRIQUE DE SOUZA BARBOSA</t>
  </si>
  <si>
    <t>GW PNEUS LTDA</t>
  </si>
  <si>
    <t>GW REFORMADORA LTDA</t>
  </si>
  <si>
    <t>H G R DOS ANJOS TREINAMENTOS</t>
  </si>
  <si>
    <t>HAPVIDA ASSISTENCIA MEDICA LTDA</t>
  </si>
  <si>
    <t>HENRIQUE GALAMBA RODRIGUES DOS ANJOS</t>
  </si>
  <si>
    <t>HIGOR RODNEY CIMINI DA COSTA</t>
  </si>
  <si>
    <t>ILDEON FERREIRA SANTOS</t>
  </si>
  <si>
    <t>JAIME GOMES PARAGUAI</t>
  </si>
  <si>
    <t>JEAN CARLOS SANTANA RIBEIRO</t>
  </si>
  <si>
    <t>JEFFERSON DE JESUS FARIAS</t>
  </si>
  <si>
    <t>JESLEY WILLIAM MIRANDA DE SOUZA</t>
  </si>
  <si>
    <t>JESSE BATISTA DA COSTA</t>
  </si>
  <si>
    <t>JESSICA STEFANE DA COSTA LIMA</t>
  </si>
  <si>
    <t>JM MOVE CARGA E DESCARGA</t>
  </si>
  <si>
    <t>JOHNSON RAMOS DE CARVALHO</t>
  </si>
  <si>
    <t>JONAS SILVERIO DE OLIVEIRA</t>
  </si>
  <si>
    <t>JORDIMAR SOARES MARTINS</t>
  </si>
  <si>
    <t>JORGE MARTINS BORGES JUNIOR</t>
  </si>
  <si>
    <t>JOSE ADRIANO PEREIRA DA SILVA</t>
  </si>
  <si>
    <t>JOSE ANTONIO SILVA</t>
  </si>
  <si>
    <t>JOSE LUIZ DIAS SANTOS</t>
  </si>
  <si>
    <t>JOSE PAULEMI NOGUEIRA DA ROCHA</t>
  </si>
  <si>
    <t>KAIKY LION CANDIDO DE SOUZA</t>
  </si>
  <si>
    <t>KAIO CESAR DE CARVALHO</t>
  </si>
  <si>
    <t>KATHLEEN KRISLEY AMBROSIO LARA</t>
  </si>
  <si>
    <t>KELISON DINIZ LEMOS</t>
  </si>
  <si>
    <t>LAIENE LOPES TEIXEIRA</t>
  </si>
  <si>
    <t>LEANDRO CARVALHO SILVA</t>
  </si>
  <si>
    <t>LEANDRO RODRIGUES FERREIRA</t>
  </si>
  <si>
    <t>LEOCAR SERVICOS AUTOMOTIVOS LTDA</t>
  </si>
  <si>
    <t>LIDIANE ASSIS ROCHA</t>
  </si>
  <si>
    <t>LL BATERIAS E AUTO-ELETRICA LTDA</t>
  </si>
  <si>
    <t>LOCALIZA FLEET S/A</t>
  </si>
  <si>
    <t>LUIS FELIPE ALVES DE CASTRO LOPES</t>
  </si>
  <si>
    <t>LUIZ HENRIQUE CARVALHO DA SILVA</t>
  </si>
  <si>
    <t>MAGNO APARECIDO DE JESUS</t>
  </si>
  <si>
    <t>MAIKON FERREIRA DE OLIVEIRA CAMPOS</t>
  </si>
  <si>
    <t>MANFERRARI SERVICE LTDA</t>
  </si>
  <si>
    <t>MARAJO NAVEGACAO COMERCIO E TRANSPORTE DE PASSAGEIROS LTDA</t>
  </si>
  <si>
    <t>MARCELO ALVES FREITAS</t>
  </si>
  <si>
    <t>MARCELO JONATHAN COSTA SILVA 10351646639</t>
  </si>
  <si>
    <t>MARCELO MARTINS DE OLIVEIRA</t>
  </si>
  <si>
    <t>MARCOS TADEU GOMES FIDELIS</t>
  </si>
  <si>
    <t>MASTERCELL COMERCIO DE ELETRONICOS LTDA</t>
  </si>
  <si>
    <t>MAYNARTE SERVICOS DE SERRALHERIA E CONSERVACAO LIMITADA</t>
  </si>
  <si>
    <t>MECANICA CRISTO REI LTDA</t>
  </si>
  <si>
    <t>MECANICA DIESEL DE VANS LTDA</t>
  </si>
  <si>
    <t>MERCEDES-BENZ CARS &amp; VANS BRASIL LTDA</t>
  </si>
  <si>
    <t>MGS PRINTER</t>
  </si>
  <si>
    <t>MGS PRINTER, LOCACAO E SERVICOS DE IMPRESSAO LTDA</t>
  </si>
  <si>
    <t>MICHELOTTO COMERCIO E REPRESENTACOES LTDA</t>
  </si>
  <si>
    <t>MINAS MAQUINAS | UBÁ</t>
  </si>
  <si>
    <t>MINAS MAQUINAS SA | JUIZ DE FORA</t>
  </si>
  <si>
    <t>MINAS MAQUINAS SA | NOVA LIMA</t>
  </si>
  <si>
    <t>MOISES DA COSTA AZEVEDO</t>
  </si>
  <si>
    <t>NATANIELLE SILVA DE SOUZA MARQUES</t>
  </si>
  <si>
    <t>NAYARA REZENDE BARBOSA RODRIGUES DA CUNHA</t>
  </si>
  <si>
    <t>NELCIDES JOSE VIEIRA</t>
  </si>
  <si>
    <t>NELSON HENRIQUE FERNANDES DA COSTA</t>
  </si>
  <si>
    <t>NILTON BATISTA DA COSTA</t>
  </si>
  <si>
    <t>OCP EXAMES OCUPACIONAIS LTDA</t>
  </si>
  <si>
    <t>OCUPACIONAL - MEDICINA DO TRABALHO LTDA.</t>
  </si>
  <si>
    <t>OCUPACIONAL MEDICINA DO TRABALHO LTDA</t>
  </si>
  <si>
    <t>OFICINA DO LOIRO PECAS E SERVICOS LTDA</t>
  </si>
  <si>
    <t>OFICINA DO RENATO</t>
  </si>
  <si>
    <t>OPENSYSTECH SERVICOS DE MANUTENCAO DE SISTEMAS LTDA</t>
  </si>
  <si>
    <t>PANAMERICANA DISTRIBUIDORA LTDA</t>
  </si>
  <si>
    <t>PANAMERICANA SUPRIMENTOS PARA INFORMATICA LTDA</t>
  </si>
  <si>
    <t>PATRICIA JUSTINA DE ALMEIDA</t>
  </si>
  <si>
    <t>PATRICIA SOARES GERVASIO</t>
  </si>
  <si>
    <t>PAULA CHRISTINA PINTO GOULART</t>
  </si>
  <si>
    <t>PAULO CESAR ALCANTARA SILVA FRAUCHES</t>
  </si>
  <si>
    <t>PAULO HENRIQUE FERREIRA DA CRUZ</t>
  </si>
  <si>
    <t>PAULO RICARDO SILVA</t>
  </si>
  <si>
    <t>PAULO SILAS GOMES SOARES</t>
  </si>
  <si>
    <t>PERICOM COMERCIO DE EQUIPAMENTOS DE SEGURANCA LTDA</t>
  </si>
  <si>
    <t>PERICOM EQUIPAMENTOS DE PROTECAO INDIVIDUAL LTDA</t>
  </si>
  <si>
    <t>PLUXEE BENEFICIOS BRASIL S.A.</t>
  </si>
  <si>
    <t>POMPANO IND E COM DE CONFECCAO LTDA</t>
  </si>
  <si>
    <t>PREVCENTER MANUTENCAO LTDA</t>
  </si>
  <si>
    <t>PRODOESTE VEÍCULOS E SERVIÇOS</t>
  </si>
  <si>
    <t>RAFAEL RODRIGUES</t>
  </si>
  <si>
    <t>RAFAEL RODRIGUES FARIA</t>
  </si>
  <si>
    <t>RAISSA DE CARVALHO FIORINE</t>
  </si>
  <si>
    <t>RC TRUCK CENTER S/A</t>
  </si>
  <si>
    <t>REALGLASS ATACADO E VAREJO LTDA</t>
  </si>
  <si>
    <t>RECAPAGEM RECATEC LTDA.</t>
  </si>
  <si>
    <t>RG PNEUS LTDA</t>
  </si>
  <si>
    <t>RM FRANCO EMPREENDIMENTOS LTDA</t>
  </si>
  <si>
    <t>ROCHA POMBO ANDRADE E CAPETTI ADVOGADOS (FERNANDO CARNEIRO)</t>
  </si>
  <si>
    <t>ROCHA POMBO. ANDRADE. CAPETTI &amp; CARNEIRO ADVOGADOS</t>
  </si>
  <si>
    <t>RODOLFO GUILHERME BERNARDES NORBERTO</t>
  </si>
  <si>
    <t>RODRIGO CORREA</t>
  </si>
  <si>
    <t>RODRIGO DE SOUZA MANTOVANI</t>
  </si>
  <si>
    <t>RONICAR REPARACAO AUTOMOTIVA LTDA</t>
  </si>
  <si>
    <t>RUAN SMITH GARCIA CARDOSO</t>
  </si>
  <si>
    <t>SALUBRITA SAUDE E SEGURANÇA DO TRABALHO LTDA</t>
  </si>
  <si>
    <t>SALUBRITA SAUDE E SEGURANCA NO TRABALHO LTDA</t>
  </si>
  <si>
    <t>SAMUEL REZENDE SILVA</t>
  </si>
  <si>
    <t>SASCAR TECNOLOGIA E SEGURANÇA AUTOMOTICA S/A</t>
  </si>
  <si>
    <t>SEARA ALIMENTOS LTDA</t>
  </si>
  <si>
    <t>SIMONE DIAS LEANDRO</t>
  </si>
  <si>
    <t>SUELLEN LOPES TEIXEIRA 01663559686</t>
  </si>
  <si>
    <t>SUELLEN LOPES TEIXEIXA 01663559686</t>
  </si>
  <si>
    <t>TAGUS-TEC SERVICOS TECNOLOGICOS LTDA</t>
  </si>
  <si>
    <t>TELECELL TELEFONIA LTDA</t>
  </si>
  <si>
    <t>TELERISCO - INFORMACOES INTEGRADAS DE RISCOS S.A</t>
  </si>
  <si>
    <t>TELERISCO - INFORMACOES INTEGRADAS DE RISCOS S.A.</t>
  </si>
  <si>
    <t>TIAGO FERNANDO DOS SANTOS SILVA</t>
  </si>
  <si>
    <t>TICKET SOLUCOES HDFGT S/A</t>
  </si>
  <si>
    <t>TREVISO BETIM VEICULOS LTDA</t>
  </si>
  <si>
    <t>TRUCKS COM. E TEC. DE RASTREAD. COMUNICAÇÕES LTDA</t>
  </si>
  <si>
    <t>TRUCKS CONTROL - SERVIÇOS DE LOGISTICA LTDA</t>
  </si>
  <si>
    <t>VALDECI TONIM</t>
  </si>
  <si>
    <t>VANDIEGO MARQUES DA SILVA SANTOS</t>
  </si>
  <si>
    <t>VIA TRUCK COMERCIO E SERVICOS LTDA</t>
  </si>
  <si>
    <t>VIA VAREJÃO/SA</t>
  </si>
  <si>
    <t>VIA VAREJO S/A</t>
  </si>
  <si>
    <t>VICTOR HUGO SILVA BALBINO</t>
  </si>
  <si>
    <t>VITOR SOUZA SILVA</t>
  </si>
  <si>
    <t>WALACE ROCHA DE SOUZA</t>
  </si>
  <si>
    <t>WEDERSON LUIZ DE OLIVEIRA</t>
  </si>
  <si>
    <t>WESLLEY FRANCO CALVIS</t>
  </si>
  <si>
    <t>WILSON VERGILIO DA SILVA</t>
  </si>
  <si>
    <t>ZAMBALDI AUTO CENTER LTDA</t>
  </si>
  <si>
    <t>CASA DA SPRINTER LTDA</t>
  </si>
  <si>
    <t>47.409.392 DIRCEU NUNES JUNIOR</t>
  </si>
  <si>
    <t>SOLUCOES DIESEL PEQUENOS UTILITARIOS LTDA</t>
  </si>
  <si>
    <t>MINAS MAQUINAS SA | DIVINOPOLIS</t>
  </si>
  <si>
    <t>L CASTRO BORRACHARIA MOVEL 24 HRS LTDA</t>
  </si>
  <si>
    <t>HAPVIDA ASSISTENCIA MEDICA S.A.</t>
  </si>
  <si>
    <t>GFP AUTO ELETRICA LTDA</t>
  </si>
  <si>
    <t>MARCELO JONATHAN COSTA SILVA</t>
  </si>
  <si>
    <t>RODRIGO ALVES DA CUNHA</t>
  </si>
  <si>
    <t>DANIELA DE PAULA SILVA</t>
  </si>
  <si>
    <t>DUPLASUL RECUPERADORA DE PNEUS</t>
  </si>
  <si>
    <t>AUTOS ALINHAMENTO LTDA</t>
  </si>
  <si>
    <t>ANTONIO PNEUS LTDA</t>
  </si>
  <si>
    <t>FERNANDO TOMAS DA SILVA</t>
  </si>
  <si>
    <t>KETLENY DAIANE RODRIGUES PEREIRA</t>
  </si>
  <si>
    <t>PADARIA E CONFEITARIA GIRASSOL LTDA</t>
  </si>
  <si>
    <t>Bendito Chocolate da Carol</t>
  </si>
  <si>
    <t>AUTO BITTS LTDA - FILIAL 1</t>
  </si>
  <si>
    <t>RUBEN RODRIGUES CARDOSO</t>
  </si>
  <si>
    <t>JONATHAN PEREIRA SANTOS</t>
  </si>
  <si>
    <t>27.776.941 MARCIO RUBENS DO NASCIMENTO MARTINS</t>
  </si>
  <si>
    <t>GLEYDSON DE SOUZA PEREIRA</t>
  </si>
  <si>
    <t>COMPORTAMENTO - CONSULTORIA EM RECURSOS HUMANOS LTDA</t>
  </si>
  <si>
    <t>GLOBAL SERVICOS LTDA</t>
  </si>
  <si>
    <t>46.206.745 NAYARA REZENDE BARBOSA RODRIGUES DA CUNHA</t>
  </si>
  <si>
    <t>57.980.846 JESSICA STEFANE DA COSTA LIMA</t>
  </si>
  <si>
    <t>14192260</t>
  </si>
  <si>
    <t>FT</t>
  </si>
  <si>
    <t>BELO HORIZONTE</t>
  </si>
  <si>
    <t>MG</t>
  </si>
  <si>
    <t>14192261</t>
  </si>
  <si>
    <t>14192262</t>
  </si>
  <si>
    <t>1420</t>
  </si>
  <si>
    <t>02.602.115/0001-81</t>
  </si>
  <si>
    <t>PORTO ALEGRE</t>
  </si>
  <si>
    <t>RS</t>
  </si>
  <si>
    <t>GABRIEL.ALBINO</t>
  </si>
  <si>
    <t>14366382</t>
  </si>
  <si>
    <t>1443</t>
  </si>
  <si>
    <t>14446105</t>
  </si>
  <si>
    <t>1466</t>
  </si>
  <si>
    <t>1487</t>
  </si>
  <si>
    <t>1503</t>
  </si>
  <si>
    <t>1531</t>
  </si>
  <si>
    <t>1558</t>
  </si>
  <si>
    <t>daniel.riciere</t>
  </si>
  <si>
    <t>1580</t>
  </si>
  <si>
    <t>1596</t>
  </si>
  <si>
    <t>17210679</t>
  </si>
  <si>
    <t>17503180</t>
  </si>
  <si>
    <t>17754721</t>
  </si>
  <si>
    <t>253074</t>
  </si>
  <si>
    <t>RAYANE.AMORIM</t>
  </si>
  <si>
    <t>253078</t>
  </si>
  <si>
    <t>259350</t>
  </si>
  <si>
    <t>26100527919</t>
  </si>
  <si>
    <t>04.088.208/0001-65</t>
  </si>
  <si>
    <t>OSASCO</t>
  </si>
  <si>
    <t>SP</t>
  </si>
  <si>
    <t>2611814548</t>
  </si>
  <si>
    <t>26126749495</t>
  </si>
  <si>
    <t>26150382362</t>
  </si>
  <si>
    <t>261690</t>
  </si>
  <si>
    <t>26171417312</t>
  </si>
  <si>
    <t>26197748748</t>
  </si>
  <si>
    <t>26222581471</t>
  </si>
  <si>
    <t>2634155507</t>
  </si>
  <si>
    <t>263920</t>
  </si>
  <si>
    <t>265556642</t>
  </si>
  <si>
    <t>266314</t>
  </si>
  <si>
    <t>2678024538</t>
  </si>
  <si>
    <t>268871</t>
  </si>
  <si>
    <t>6160941</t>
  </si>
  <si>
    <t>6523</t>
  </si>
  <si>
    <t>ACCON-284245</t>
  </si>
  <si>
    <t>LOCALIZA RENT A CAR SA - CONTAGEM</t>
  </si>
  <si>
    <t>16.670.085/0137-29</t>
  </si>
  <si>
    <t>CONTAGEM</t>
  </si>
  <si>
    <t>ACCON-284246</t>
  </si>
  <si>
    <t>ACCON-284247</t>
  </si>
  <si>
    <t>ACCON-284248</t>
  </si>
  <si>
    <t>ACCON-284287</t>
  </si>
  <si>
    <t>ACCON-284310</t>
  </si>
  <si>
    <t>AFMTZ-2993231</t>
  </si>
  <si>
    <t>02.286.479/0001-08</t>
  </si>
  <si>
    <t>AFMTZ-3075578</t>
  </si>
  <si>
    <t>AFMTZ-3076696</t>
  </si>
  <si>
    <t>AFMTZ-3157195</t>
  </si>
  <si>
    <t>AFMTZ-3240753</t>
  </si>
  <si>
    <t>AFMTZ-3324745</t>
  </si>
  <si>
    <t>AFMTZ-3411176</t>
  </si>
  <si>
    <t>AFMTZ-3496731</t>
  </si>
  <si>
    <t>AFMTZ-3498123</t>
  </si>
  <si>
    <t>AFMTZ-3597995</t>
  </si>
  <si>
    <t>AFMTZ-3608035</t>
  </si>
  <si>
    <t>AFMTZ-3694869</t>
  </si>
  <si>
    <t>AGMTZ</t>
  </si>
  <si>
    <t>AGMTZ-10840198</t>
  </si>
  <si>
    <t>LOCALIZA RENT A CAR SA</t>
  </si>
  <si>
    <t>16.670.085/0001-55</t>
  </si>
  <si>
    <t>AGMTZ-11272187</t>
  </si>
  <si>
    <t>AGMTZ-11272203</t>
  </si>
  <si>
    <t>AGMTZ-2883681</t>
  </si>
  <si>
    <t>AGMTZ-2948485</t>
  </si>
  <si>
    <t>AGMTZ-3004225</t>
  </si>
  <si>
    <t>AGMTZ-3006710</t>
  </si>
  <si>
    <t>AGMTZ-3060870</t>
  </si>
  <si>
    <t>AGMTZ-3060911</t>
  </si>
  <si>
    <t>AGMTZ-311569</t>
  </si>
  <si>
    <t>AGMTZ-3115882</t>
  </si>
  <si>
    <t>AGMTZ-3115892</t>
  </si>
  <si>
    <t>AGMTZ-3115897</t>
  </si>
  <si>
    <t>AGMTZ-3180769</t>
  </si>
  <si>
    <t>AGMTZ3180793</t>
  </si>
  <si>
    <t>AGMTZ-3180929</t>
  </si>
  <si>
    <t>AGMTZ-3305839</t>
  </si>
  <si>
    <t>AGMTZ-3305849</t>
  </si>
  <si>
    <t>AGMTZ-3305862</t>
  </si>
  <si>
    <t>AGMTZ-3305878</t>
  </si>
  <si>
    <t>AGMTZ-3305907</t>
  </si>
  <si>
    <t>AGMTZ-3305927</t>
  </si>
  <si>
    <t>AGMTZ-3372876</t>
  </si>
  <si>
    <t>AGMTZ-3372877</t>
  </si>
  <si>
    <t>AGMTZ-3372878</t>
  </si>
  <si>
    <t>AGMTZ-3431673</t>
  </si>
  <si>
    <t>AGMTZ-3431676</t>
  </si>
  <si>
    <t>AGMTZ-3431682</t>
  </si>
  <si>
    <t>AGMTZ-3431700</t>
  </si>
  <si>
    <t>AGMTZ-3431709</t>
  </si>
  <si>
    <t>AGMTZ-3431722</t>
  </si>
  <si>
    <t>AGMTZ-3431737</t>
  </si>
  <si>
    <t>AMGTZ-3060899</t>
  </si>
  <si>
    <t>6867640</t>
  </si>
  <si>
    <t>ND</t>
  </si>
  <si>
    <t>SAO PAULO</t>
  </si>
  <si>
    <t>6967993</t>
  </si>
  <si>
    <t>6967999</t>
  </si>
  <si>
    <t>6968005</t>
  </si>
  <si>
    <t>6968028</t>
  </si>
  <si>
    <t>7197767</t>
  </si>
  <si>
    <t>7198312</t>
  </si>
  <si>
    <t>7198355</t>
  </si>
  <si>
    <t>7198572</t>
  </si>
  <si>
    <t>7426547</t>
  </si>
  <si>
    <t>7426559</t>
  </si>
  <si>
    <t>7426561</t>
  </si>
  <si>
    <t>7426568</t>
  </si>
  <si>
    <t>7634578</t>
  </si>
  <si>
    <t>7634582</t>
  </si>
  <si>
    <t>7634592</t>
  </si>
  <si>
    <t>7634666</t>
  </si>
  <si>
    <t>7870408</t>
  </si>
  <si>
    <t>7870410</t>
  </si>
  <si>
    <t>7870413</t>
  </si>
  <si>
    <t>7870507</t>
  </si>
  <si>
    <t>8093350</t>
  </si>
  <si>
    <t>8107496</t>
  </si>
  <si>
    <t>8107498</t>
  </si>
  <si>
    <t>8107510</t>
  </si>
  <si>
    <t>8137098</t>
  </si>
  <si>
    <t>8377614</t>
  </si>
  <si>
    <t>8377620</t>
  </si>
  <si>
    <t>8377755</t>
  </si>
  <si>
    <t>8377762</t>
  </si>
  <si>
    <t>8494995</t>
  </si>
  <si>
    <t>8495030</t>
  </si>
  <si>
    <t>8597353</t>
  </si>
  <si>
    <t>8597356</t>
  </si>
  <si>
    <t>8597357</t>
  </si>
  <si>
    <t>8606095</t>
  </si>
  <si>
    <t>8835261</t>
  </si>
  <si>
    <t>8865932</t>
  </si>
  <si>
    <t>8865938</t>
  </si>
  <si>
    <t>8865941</t>
  </si>
  <si>
    <t>1004593</t>
  </si>
  <si>
    <t>NFE</t>
  </si>
  <si>
    <t>21.014.220/0001-44</t>
  </si>
  <si>
    <t>BETIM</t>
  </si>
  <si>
    <t>1007751</t>
  </si>
  <si>
    <t>1008420</t>
  </si>
  <si>
    <t>1020378</t>
  </si>
  <si>
    <t>1020379</t>
  </si>
  <si>
    <t>1020380</t>
  </si>
  <si>
    <t>1030041</t>
  </si>
  <si>
    <t>1033</t>
  </si>
  <si>
    <t>17.556.192/0001-10</t>
  </si>
  <si>
    <t>1034598</t>
  </si>
  <si>
    <t>1036753</t>
  </si>
  <si>
    <t>1037473</t>
  </si>
  <si>
    <t>10664</t>
  </si>
  <si>
    <t>108</t>
  </si>
  <si>
    <t>55.012.105/0001-52</t>
  </si>
  <si>
    <t>10889</t>
  </si>
  <si>
    <t>11</t>
  </si>
  <si>
    <t>43.792.799/0001-09</t>
  </si>
  <si>
    <t>11134</t>
  </si>
  <si>
    <t>1116</t>
  </si>
  <si>
    <t>1200</t>
  </si>
  <si>
    <t>1202</t>
  </si>
  <si>
    <t>1225</t>
  </si>
  <si>
    <t>1245</t>
  </si>
  <si>
    <t>1321</t>
  </si>
  <si>
    <t>136211</t>
  </si>
  <si>
    <t>64.419.393/0008-21</t>
  </si>
  <si>
    <t>136578</t>
  </si>
  <si>
    <t>dayane.vicente</t>
  </si>
  <si>
    <t>1414</t>
  </si>
  <si>
    <t>21.042.890/0001-74</t>
  </si>
  <si>
    <t>1423</t>
  </si>
  <si>
    <t>1432</t>
  </si>
  <si>
    <t>1433</t>
  </si>
  <si>
    <t>1438</t>
  </si>
  <si>
    <t>14784</t>
  </si>
  <si>
    <t>02.558.853/0001-79</t>
  </si>
  <si>
    <t>14803</t>
  </si>
  <si>
    <t>14804</t>
  </si>
  <si>
    <t>14897</t>
  </si>
  <si>
    <t>14898</t>
  </si>
  <si>
    <t>158566</t>
  </si>
  <si>
    <t>160136</t>
  </si>
  <si>
    <t>161710</t>
  </si>
  <si>
    <t>1618</t>
  </si>
  <si>
    <t>10.768.043/0001-75</t>
  </si>
  <si>
    <t>VARGINHA</t>
  </si>
  <si>
    <t>16788</t>
  </si>
  <si>
    <t>179</t>
  </si>
  <si>
    <t>183</t>
  </si>
  <si>
    <t>16.782.369/0001-33</t>
  </si>
  <si>
    <t>183264</t>
  </si>
  <si>
    <t>21.549.423/0001-35</t>
  </si>
  <si>
    <t>JUIZ DE FORA</t>
  </si>
  <si>
    <t>18624</t>
  </si>
  <si>
    <t>189462</t>
  </si>
  <si>
    <t>189831</t>
  </si>
  <si>
    <t>190245</t>
  </si>
  <si>
    <t>19030</t>
  </si>
  <si>
    <t>19031</t>
  </si>
  <si>
    <t>190796</t>
  </si>
  <si>
    <t>191085</t>
  </si>
  <si>
    <t>19124</t>
  </si>
  <si>
    <t>191540</t>
  </si>
  <si>
    <t>191825</t>
  </si>
  <si>
    <t>19237</t>
  </si>
  <si>
    <t>19286</t>
  </si>
  <si>
    <t>205156</t>
  </si>
  <si>
    <t>207202</t>
  </si>
  <si>
    <t>210928</t>
  </si>
  <si>
    <t>21131311</t>
  </si>
  <si>
    <t>21435125</t>
  </si>
  <si>
    <t>2163849</t>
  </si>
  <si>
    <t>Cpx Distribuidora S.A.</t>
  </si>
  <si>
    <t>10.158.356/0001-01</t>
  </si>
  <si>
    <t>ITAJAI</t>
  </si>
  <si>
    <t>SC</t>
  </si>
  <si>
    <t>222247</t>
  </si>
  <si>
    <t>A C FARIAS COM. DE PEÇAS E SERVIÇOS. EIRELI EPP</t>
  </si>
  <si>
    <t>11.384.025/0001-52</t>
  </si>
  <si>
    <t>ANANINDEUA</t>
  </si>
  <si>
    <t>PA</t>
  </si>
  <si>
    <t>24757</t>
  </si>
  <si>
    <t>08.594.268/0004-53</t>
  </si>
  <si>
    <t>2631</t>
  </si>
  <si>
    <t>71.299.614/0001-64</t>
  </si>
  <si>
    <t>2632</t>
  </si>
  <si>
    <t>2695</t>
  </si>
  <si>
    <t>2702</t>
  </si>
  <si>
    <t>2707</t>
  </si>
  <si>
    <t>2708</t>
  </si>
  <si>
    <t>2725</t>
  </si>
  <si>
    <t>2729</t>
  </si>
  <si>
    <t>2762</t>
  </si>
  <si>
    <t>2763</t>
  </si>
  <si>
    <t>2764</t>
  </si>
  <si>
    <t>2772</t>
  </si>
  <si>
    <t>2790</t>
  </si>
  <si>
    <t>2807</t>
  </si>
  <si>
    <t>2808</t>
  </si>
  <si>
    <t>2853</t>
  </si>
  <si>
    <t>2856</t>
  </si>
  <si>
    <t>29</t>
  </si>
  <si>
    <t>49.353.383/0001-70</t>
  </si>
  <si>
    <t>2914</t>
  </si>
  <si>
    <t>2927</t>
  </si>
  <si>
    <t>2942</t>
  </si>
  <si>
    <t>30</t>
  </si>
  <si>
    <t>32</t>
  </si>
  <si>
    <t>33</t>
  </si>
  <si>
    <t>33585</t>
  </si>
  <si>
    <t>17.161.241/0014-30</t>
  </si>
  <si>
    <t>NOVA LIMA</t>
  </si>
  <si>
    <t>34</t>
  </si>
  <si>
    <t>34029</t>
  </si>
  <si>
    <t>34646</t>
  </si>
  <si>
    <t>34911</t>
  </si>
  <si>
    <t>ROMANY COMERCIO DE VIDROS PARA AUTOS LTDA</t>
  </si>
  <si>
    <t>41.810.094/0001-41</t>
  </si>
  <si>
    <t>UBERLANDIA</t>
  </si>
  <si>
    <t>35</t>
  </si>
  <si>
    <t>3513392</t>
  </si>
  <si>
    <t>60.500.246/0016-30</t>
  </si>
  <si>
    <t>AMERICANA</t>
  </si>
  <si>
    <t>JEFFERSON.LIRA</t>
  </si>
  <si>
    <t>3514160</t>
  </si>
  <si>
    <t>3515063</t>
  </si>
  <si>
    <t>35252</t>
  </si>
  <si>
    <t>35253</t>
  </si>
  <si>
    <t>3539909</t>
  </si>
  <si>
    <t>IARA.SANTOS</t>
  </si>
  <si>
    <t>3539917</t>
  </si>
  <si>
    <t>3541003</t>
  </si>
  <si>
    <t>36</t>
  </si>
  <si>
    <t>36144</t>
  </si>
  <si>
    <t>37</t>
  </si>
  <si>
    <t>37363</t>
  </si>
  <si>
    <t>37377</t>
  </si>
  <si>
    <t>37533</t>
  </si>
  <si>
    <t>37687</t>
  </si>
  <si>
    <t>38</t>
  </si>
  <si>
    <t>38216</t>
  </si>
  <si>
    <t>3863</t>
  </si>
  <si>
    <t>50.781.695/0001-64</t>
  </si>
  <si>
    <t>3899</t>
  </si>
  <si>
    <t>39</t>
  </si>
  <si>
    <t>35.069.484/0001-00</t>
  </si>
  <si>
    <t>39535</t>
  </si>
  <si>
    <t>39618</t>
  </si>
  <si>
    <t>39823831</t>
  </si>
  <si>
    <t>39849</t>
  </si>
  <si>
    <t>39850</t>
  </si>
  <si>
    <t>40</t>
  </si>
  <si>
    <t>40111</t>
  </si>
  <si>
    <t>40113</t>
  </si>
  <si>
    <t>40161</t>
  </si>
  <si>
    <t>40162</t>
  </si>
  <si>
    <t>40163</t>
  </si>
  <si>
    <t>40260</t>
  </si>
  <si>
    <t>40262</t>
  </si>
  <si>
    <t>40352</t>
  </si>
  <si>
    <t>40425</t>
  </si>
  <si>
    <t>41486</t>
  </si>
  <si>
    <t>41488</t>
  </si>
  <si>
    <t>41499</t>
  </si>
  <si>
    <t>41500</t>
  </si>
  <si>
    <t>41502</t>
  </si>
  <si>
    <t>42152</t>
  </si>
  <si>
    <t>42634</t>
  </si>
  <si>
    <t>42699</t>
  </si>
  <si>
    <t>45651</t>
  </si>
  <si>
    <t>CENTRAL DOS PARA-BRISAS LTDA</t>
  </si>
  <si>
    <t>20.590.353/0001-04</t>
  </si>
  <si>
    <t>45843</t>
  </si>
  <si>
    <t>5244</t>
  </si>
  <si>
    <t>19.369.820/0001-83</t>
  </si>
  <si>
    <t>5358</t>
  </si>
  <si>
    <t>5359</t>
  </si>
  <si>
    <t>PREVCENTER MANUTENÇAÕ E COMERCIO LTDA</t>
  </si>
  <si>
    <t>33.190.461/0001-23</t>
  </si>
  <si>
    <t>6120</t>
  </si>
  <si>
    <t>12.118.555/0001-11</t>
  </si>
  <si>
    <t>6164</t>
  </si>
  <si>
    <t>6165</t>
  </si>
  <si>
    <t>6207</t>
  </si>
  <si>
    <t>6308</t>
  </si>
  <si>
    <t>6333</t>
  </si>
  <si>
    <t>6420</t>
  </si>
  <si>
    <t>6709882</t>
  </si>
  <si>
    <t>6745898</t>
  </si>
  <si>
    <t>71000</t>
  </si>
  <si>
    <t>25.074.470/0001-20</t>
  </si>
  <si>
    <t>71018</t>
  </si>
  <si>
    <t>71022</t>
  </si>
  <si>
    <t>71119</t>
  </si>
  <si>
    <t>71728</t>
  </si>
  <si>
    <t>7447</t>
  </si>
  <si>
    <t>24.117.344/0001-43</t>
  </si>
  <si>
    <t>7814</t>
  </si>
  <si>
    <t>DISTRIBUIDORA IDEAL PECAS LTDA</t>
  </si>
  <si>
    <t>53.649.555/0001-25</t>
  </si>
  <si>
    <t>7884</t>
  </si>
  <si>
    <t>8085</t>
  </si>
  <si>
    <t>11.047.672/0001-79</t>
  </si>
  <si>
    <t>8086</t>
  </si>
  <si>
    <t>8102</t>
  </si>
  <si>
    <t>30.782.530/0001-08</t>
  </si>
  <si>
    <t>8134</t>
  </si>
  <si>
    <t>8139</t>
  </si>
  <si>
    <t>8298</t>
  </si>
  <si>
    <t>8580</t>
  </si>
  <si>
    <t>8710</t>
  </si>
  <si>
    <t>9</t>
  </si>
  <si>
    <t>90</t>
  </si>
  <si>
    <t>9135</t>
  </si>
  <si>
    <t>TOTAL PECAS E SERVICOS LTDA</t>
  </si>
  <si>
    <t>36.396.525/0001-35</t>
  </si>
  <si>
    <t>92</t>
  </si>
  <si>
    <t>978</t>
  </si>
  <si>
    <t>98</t>
  </si>
  <si>
    <t>993983</t>
  </si>
  <si>
    <t>994241</t>
  </si>
  <si>
    <t>994920</t>
  </si>
  <si>
    <t>996217</t>
  </si>
  <si>
    <t>996390</t>
  </si>
  <si>
    <t>20.495.149/0012-59</t>
  </si>
  <si>
    <t>POUSO ALEGRE</t>
  </si>
  <si>
    <t>17.161.241/0017-82</t>
  </si>
  <si>
    <t>UBA</t>
  </si>
  <si>
    <t>42.993.214/0001-56</t>
  </si>
  <si>
    <t>12.412.333/0001-07</t>
  </si>
  <si>
    <t>1011</t>
  </si>
  <si>
    <t>NFS</t>
  </si>
  <si>
    <t>1128</t>
  </si>
  <si>
    <t>1129</t>
  </si>
  <si>
    <t>114</t>
  </si>
  <si>
    <t>132</t>
  </si>
  <si>
    <t>1445445</t>
  </si>
  <si>
    <t>1445447</t>
  </si>
  <si>
    <t>1460024</t>
  </si>
  <si>
    <t>1460028</t>
  </si>
  <si>
    <t>1478329</t>
  </si>
  <si>
    <t>1478332</t>
  </si>
  <si>
    <t>148</t>
  </si>
  <si>
    <t>1500993</t>
  </si>
  <si>
    <t>1500996</t>
  </si>
  <si>
    <t>1515691</t>
  </si>
  <si>
    <t>1515695</t>
  </si>
  <si>
    <t>154</t>
  </si>
  <si>
    <t>16</t>
  </si>
  <si>
    <t>17</t>
  </si>
  <si>
    <t>29.524.404/0001-66</t>
  </si>
  <si>
    <t>18</t>
  </si>
  <si>
    <t>1832</t>
  </si>
  <si>
    <t>2026/3178</t>
  </si>
  <si>
    <t>03.176.117/0001-19</t>
  </si>
  <si>
    <t>202600000024767</t>
  </si>
  <si>
    <t>202600000024868</t>
  </si>
  <si>
    <t>2274</t>
  </si>
  <si>
    <t>28</t>
  </si>
  <si>
    <t>14.186.734/0001-11</t>
  </si>
  <si>
    <t>2805</t>
  </si>
  <si>
    <t>23.756.723/0001-10</t>
  </si>
  <si>
    <t>354</t>
  </si>
  <si>
    <t>47.409.392/0001-00</t>
  </si>
  <si>
    <t>355</t>
  </si>
  <si>
    <t>356</t>
  </si>
  <si>
    <t>358</t>
  </si>
  <si>
    <t>13.707.932/0001-10</t>
  </si>
  <si>
    <t>4370</t>
  </si>
  <si>
    <t>48</t>
  </si>
  <si>
    <t>5</t>
  </si>
  <si>
    <t>13.892.258/0001-91</t>
  </si>
  <si>
    <t>514546</t>
  </si>
  <si>
    <t>525446</t>
  </si>
  <si>
    <t>651</t>
  </si>
  <si>
    <t>66</t>
  </si>
  <si>
    <t>74</t>
  </si>
  <si>
    <t>75</t>
  </si>
  <si>
    <t>80</t>
  </si>
  <si>
    <t>81</t>
  </si>
  <si>
    <t>846</t>
  </si>
  <si>
    <t>1</t>
  </si>
  <si>
    <t>NSE</t>
  </si>
  <si>
    <t>55.435.120/0001-03</t>
  </si>
  <si>
    <t>10</t>
  </si>
  <si>
    <t>1005286</t>
  </si>
  <si>
    <t>101</t>
  </si>
  <si>
    <t>57.980.846/0001-52</t>
  </si>
  <si>
    <t>1019</t>
  </si>
  <si>
    <t>1020084</t>
  </si>
  <si>
    <t>03.112.879/0001-51</t>
  </si>
  <si>
    <t>SANTANA DE PARNAIBA</t>
  </si>
  <si>
    <t>103</t>
  </si>
  <si>
    <t>10376</t>
  </si>
  <si>
    <t>1040</t>
  </si>
  <si>
    <t>105</t>
  </si>
  <si>
    <t>56.339.795/0001-11</t>
  </si>
  <si>
    <t>1060</t>
  </si>
  <si>
    <t>109</t>
  </si>
  <si>
    <t>112</t>
  </si>
  <si>
    <t>1134</t>
  </si>
  <si>
    <t>PR</t>
  </si>
  <si>
    <t>11428</t>
  </si>
  <si>
    <t>115</t>
  </si>
  <si>
    <t>117</t>
  </si>
  <si>
    <t>1199</t>
  </si>
  <si>
    <t>12</t>
  </si>
  <si>
    <t>120</t>
  </si>
  <si>
    <t>65.306.599/0001-31</t>
  </si>
  <si>
    <t>123</t>
  </si>
  <si>
    <t>1234</t>
  </si>
  <si>
    <t>1235</t>
  </si>
  <si>
    <t>1250</t>
  </si>
  <si>
    <t>126</t>
  </si>
  <si>
    <t>12628</t>
  </si>
  <si>
    <t>1268</t>
  </si>
  <si>
    <t>127</t>
  </si>
  <si>
    <t>1271</t>
  </si>
  <si>
    <t>1278</t>
  </si>
  <si>
    <t>12797</t>
  </si>
  <si>
    <t>12798</t>
  </si>
  <si>
    <t>128</t>
  </si>
  <si>
    <t>13</t>
  </si>
  <si>
    <t>1318</t>
  </si>
  <si>
    <t>1320</t>
  </si>
  <si>
    <t>134</t>
  </si>
  <si>
    <t>136</t>
  </si>
  <si>
    <t>137</t>
  </si>
  <si>
    <t>1371</t>
  </si>
  <si>
    <t>1376</t>
  </si>
  <si>
    <t>138</t>
  </si>
  <si>
    <t>14</t>
  </si>
  <si>
    <t>141</t>
  </si>
  <si>
    <t>142</t>
  </si>
  <si>
    <t>HAMILTON AUTO SOCORRO LTDA</t>
  </si>
  <si>
    <t>53.633.121/0001-37</t>
  </si>
  <si>
    <t>1422</t>
  </si>
  <si>
    <t>144</t>
  </si>
  <si>
    <t>1449758</t>
  </si>
  <si>
    <t>27.755.427/0007-41</t>
  </si>
  <si>
    <t>IBIPORA</t>
  </si>
  <si>
    <t>145</t>
  </si>
  <si>
    <t>146</t>
  </si>
  <si>
    <t>31.648.084/0001-06</t>
  </si>
  <si>
    <t>1468</t>
  </si>
  <si>
    <t>1486122</t>
  </si>
  <si>
    <t>15</t>
  </si>
  <si>
    <t>150</t>
  </si>
  <si>
    <t>21.402.050/0001-75</t>
  </si>
  <si>
    <t>MARIANA</t>
  </si>
  <si>
    <t>1521964</t>
  </si>
  <si>
    <t>1558567</t>
  </si>
  <si>
    <t>15632</t>
  </si>
  <si>
    <t>15633</t>
  </si>
  <si>
    <t>1574</t>
  </si>
  <si>
    <t>158</t>
  </si>
  <si>
    <t>1581</t>
  </si>
  <si>
    <t>160</t>
  </si>
  <si>
    <t>1609679</t>
  </si>
  <si>
    <t>1647065</t>
  </si>
  <si>
    <t>167</t>
  </si>
  <si>
    <t>1684727</t>
  </si>
  <si>
    <t>1685</t>
  </si>
  <si>
    <t>172</t>
  </si>
  <si>
    <t>1723539</t>
  </si>
  <si>
    <t>1726</t>
  </si>
  <si>
    <t>17.161.241/0010-06</t>
  </si>
  <si>
    <t>DIVINOPOLIS</t>
  </si>
  <si>
    <t>1763318</t>
  </si>
  <si>
    <t>1779</t>
  </si>
  <si>
    <t>17967</t>
  </si>
  <si>
    <t>1831</t>
  </si>
  <si>
    <t>1853</t>
  </si>
  <si>
    <t>18803</t>
  </si>
  <si>
    <t>1889</t>
  </si>
  <si>
    <t>1896</t>
  </si>
  <si>
    <t>1897</t>
  </si>
  <si>
    <t>1898</t>
  </si>
  <si>
    <t>19</t>
  </si>
  <si>
    <t>19013</t>
  </si>
  <si>
    <t>1924</t>
  </si>
  <si>
    <t>1925</t>
  </si>
  <si>
    <t>19318</t>
  </si>
  <si>
    <t>19319</t>
  </si>
  <si>
    <t>1964</t>
  </si>
  <si>
    <t>1983</t>
  </si>
  <si>
    <t>2</t>
  </si>
  <si>
    <t>20</t>
  </si>
  <si>
    <t>201</t>
  </si>
  <si>
    <t>202600000024724</t>
  </si>
  <si>
    <t>202600000024965</t>
  </si>
  <si>
    <t>20260000025019</t>
  </si>
  <si>
    <t>2038</t>
  </si>
  <si>
    <t>2073</t>
  </si>
  <si>
    <t>21</t>
  </si>
  <si>
    <t>21349</t>
  </si>
  <si>
    <t>215</t>
  </si>
  <si>
    <t>219</t>
  </si>
  <si>
    <t>RONALDO VAZ DE OLIVEIRA</t>
  </si>
  <si>
    <t>11.543.764/0001-40</t>
  </si>
  <si>
    <t>2203</t>
  </si>
  <si>
    <t>2246</t>
  </si>
  <si>
    <t>227</t>
  </si>
  <si>
    <t>2273</t>
  </si>
  <si>
    <t>2275</t>
  </si>
  <si>
    <t>2276</t>
  </si>
  <si>
    <t>2278</t>
  </si>
  <si>
    <t>2279</t>
  </si>
  <si>
    <t>2283</t>
  </si>
  <si>
    <t>23</t>
  </si>
  <si>
    <t>2343</t>
  </si>
  <si>
    <t>2344</t>
  </si>
  <si>
    <t>23645</t>
  </si>
  <si>
    <t>237</t>
  </si>
  <si>
    <t>63.327.149/0001-08</t>
  </si>
  <si>
    <t>23753</t>
  </si>
  <si>
    <t>24355</t>
  </si>
  <si>
    <t>24356</t>
  </si>
  <si>
    <t>245</t>
  </si>
  <si>
    <t>25</t>
  </si>
  <si>
    <t>2538</t>
  </si>
  <si>
    <t>256</t>
  </si>
  <si>
    <t>26</t>
  </si>
  <si>
    <t>262</t>
  </si>
  <si>
    <t>2645</t>
  </si>
  <si>
    <t>27381</t>
  </si>
  <si>
    <t>31.715.616/0005-04</t>
  </si>
  <si>
    <t>LIMEIRA</t>
  </si>
  <si>
    <t>275</t>
  </si>
  <si>
    <t>MYRELLE ALVES RIBEIRO</t>
  </si>
  <si>
    <t>34.872.658/0001-05</t>
  </si>
  <si>
    <t>276</t>
  </si>
  <si>
    <t>27754</t>
  </si>
  <si>
    <t>2785</t>
  </si>
  <si>
    <t>279</t>
  </si>
  <si>
    <t>28193</t>
  </si>
  <si>
    <t>28194</t>
  </si>
  <si>
    <t>285</t>
  </si>
  <si>
    <t>28967</t>
  </si>
  <si>
    <t>2909</t>
  </si>
  <si>
    <t>292</t>
  </si>
  <si>
    <t>3</t>
  </si>
  <si>
    <t>JOAO PEDRO ALENCAR PEREIRA COSTA</t>
  </si>
  <si>
    <t>59.483.605/0001-23</t>
  </si>
  <si>
    <t>3009</t>
  </si>
  <si>
    <t>30149</t>
  </si>
  <si>
    <t>3021</t>
  </si>
  <si>
    <t>303</t>
  </si>
  <si>
    <t>29.178.619/0001-72</t>
  </si>
  <si>
    <t>304</t>
  </si>
  <si>
    <t>30749</t>
  </si>
  <si>
    <t>30750</t>
  </si>
  <si>
    <t>31018</t>
  </si>
  <si>
    <t>3125842</t>
  </si>
  <si>
    <t>09.110.913/0027-74</t>
  </si>
  <si>
    <t>3131</t>
  </si>
  <si>
    <t>3168757</t>
  </si>
  <si>
    <t>3210329</t>
  </si>
  <si>
    <t>32127</t>
  </si>
  <si>
    <t>3235</t>
  </si>
  <si>
    <t>3253199</t>
  </si>
  <si>
    <t>326</t>
  </si>
  <si>
    <t>LAURISNEIDE VIEIRA DA SILVA 02793491306</t>
  </si>
  <si>
    <t>41.736.221/0001-00</t>
  </si>
  <si>
    <t>3295</t>
  </si>
  <si>
    <t>53.733.586/0001-60</t>
  </si>
  <si>
    <t>330</t>
  </si>
  <si>
    <t>3311036</t>
  </si>
  <si>
    <t>335</t>
  </si>
  <si>
    <t>3354415</t>
  </si>
  <si>
    <t>3364</t>
  </si>
  <si>
    <t>3393</t>
  </si>
  <si>
    <t>3397413</t>
  </si>
  <si>
    <t>3444044</t>
  </si>
  <si>
    <t>34700</t>
  </si>
  <si>
    <t>34701</t>
  </si>
  <si>
    <t>3478</t>
  </si>
  <si>
    <t>3490795</t>
  </si>
  <si>
    <t>350</t>
  </si>
  <si>
    <t>3585</t>
  </si>
  <si>
    <t>3596</t>
  </si>
  <si>
    <t>363</t>
  </si>
  <si>
    <t>365</t>
  </si>
  <si>
    <t>366</t>
  </si>
  <si>
    <t>367</t>
  </si>
  <si>
    <t>368</t>
  </si>
  <si>
    <t>EXXCELENCIA CONSULTORIA EM SOLUCOES EMPRESARIAIS LTDA</t>
  </si>
  <si>
    <t>13.937.011/0001-44</t>
  </si>
  <si>
    <t>3706</t>
  </si>
  <si>
    <t>3780</t>
  </si>
  <si>
    <t>3781</t>
  </si>
  <si>
    <t>3882</t>
  </si>
  <si>
    <t>403</t>
  </si>
  <si>
    <t>INGA VEICULOS LTDA - UBERLANDIA</t>
  </si>
  <si>
    <t>01.994.951/0019-15</t>
  </si>
  <si>
    <t>4038</t>
  </si>
  <si>
    <t>412</t>
  </si>
  <si>
    <t>33.791.107/0001-54</t>
  </si>
  <si>
    <t>413</t>
  </si>
  <si>
    <t>414</t>
  </si>
  <si>
    <t>42</t>
  </si>
  <si>
    <t>421</t>
  </si>
  <si>
    <t>422</t>
  </si>
  <si>
    <t>43</t>
  </si>
  <si>
    <t>436</t>
  </si>
  <si>
    <t>442</t>
  </si>
  <si>
    <t>444</t>
  </si>
  <si>
    <t>4477</t>
  </si>
  <si>
    <t>4499</t>
  </si>
  <si>
    <t>45</t>
  </si>
  <si>
    <t>453</t>
  </si>
  <si>
    <t>455</t>
  </si>
  <si>
    <t>4653</t>
  </si>
  <si>
    <t>466</t>
  </si>
  <si>
    <t>469</t>
  </si>
  <si>
    <t>47</t>
  </si>
  <si>
    <t>54.842.236/0001-02</t>
  </si>
  <si>
    <t>489</t>
  </si>
  <si>
    <t>49</t>
  </si>
  <si>
    <t>4970</t>
  </si>
  <si>
    <t>50911361</t>
  </si>
  <si>
    <t>5103</t>
  </si>
  <si>
    <t>52</t>
  </si>
  <si>
    <t>52248997</t>
  </si>
  <si>
    <t>53</t>
  </si>
  <si>
    <t>5318</t>
  </si>
  <si>
    <t>54</t>
  </si>
  <si>
    <t>541</t>
  </si>
  <si>
    <t>542</t>
  </si>
  <si>
    <t>546</t>
  </si>
  <si>
    <t>Comportamento - Consultoria em Recursos Humanos LTDA</t>
  </si>
  <si>
    <t>56</t>
  </si>
  <si>
    <t>5676</t>
  </si>
  <si>
    <t>57</t>
  </si>
  <si>
    <t>5708</t>
  </si>
  <si>
    <t>580</t>
  </si>
  <si>
    <t>581</t>
  </si>
  <si>
    <t>582</t>
  </si>
  <si>
    <t>59</t>
  </si>
  <si>
    <t>590</t>
  </si>
  <si>
    <t>6</t>
  </si>
  <si>
    <t>60</t>
  </si>
  <si>
    <t>627</t>
  </si>
  <si>
    <t>630</t>
  </si>
  <si>
    <t>64</t>
  </si>
  <si>
    <t>65</t>
  </si>
  <si>
    <t>6680</t>
  </si>
  <si>
    <t>67</t>
  </si>
  <si>
    <t>58.595.014/0001-85</t>
  </si>
  <si>
    <t>IBIRITE</t>
  </si>
  <si>
    <t>670</t>
  </si>
  <si>
    <t>671</t>
  </si>
  <si>
    <t>686</t>
  </si>
  <si>
    <t>14.624.119/0001-40</t>
  </si>
  <si>
    <t>69</t>
  </si>
  <si>
    <t>695</t>
  </si>
  <si>
    <t>7084</t>
  </si>
  <si>
    <t>709</t>
  </si>
  <si>
    <t>59.320.123/0001-52</t>
  </si>
  <si>
    <t>712</t>
  </si>
  <si>
    <t>23.075.832/0001-72</t>
  </si>
  <si>
    <t>714</t>
  </si>
  <si>
    <t>716</t>
  </si>
  <si>
    <t>744</t>
  </si>
  <si>
    <t>746021</t>
  </si>
  <si>
    <t>754</t>
  </si>
  <si>
    <t>755</t>
  </si>
  <si>
    <t>756</t>
  </si>
  <si>
    <t>764</t>
  </si>
  <si>
    <t>766</t>
  </si>
  <si>
    <t>7724</t>
  </si>
  <si>
    <t>78</t>
  </si>
  <si>
    <t>780</t>
  </si>
  <si>
    <t>781</t>
  </si>
  <si>
    <t>784275</t>
  </si>
  <si>
    <t>790</t>
  </si>
  <si>
    <t>792</t>
  </si>
  <si>
    <t>7947</t>
  </si>
  <si>
    <t>8053</t>
  </si>
  <si>
    <t>817947</t>
  </si>
  <si>
    <t>82534268</t>
  </si>
  <si>
    <t>82545113</t>
  </si>
  <si>
    <t>82569598</t>
  </si>
  <si>
    <t>829188</t>
  </si>
  <si>
    <t>831595</t>
  </si>
  <si>
    <t>833514</t>
  </si>
  <si>
    <t>835888</t>
  </si>
  <si>
    <t>83675821</t>
  </si>
  <si>
    <t>83686555</t>
  </si>
  <si>
    <t>83709757</t>
  </si>
  <si>
    <t>838129</t>
  </si>
  <si>
    <t>839885</t>
  </si>
  <si>
    <t>842624</t>
  </si>
  <si>
    <t>845019</t>
  </si>
  <si>
    <t>848145</t>
  </si>
  <si>
    <t>84889118</t>
  </si>
  <si>
    <t>84912223</t>
  </si>
  <si>
    <t>84930587</t>
  </si>
  <si>
    <t>849369</t>
  </si>
  <si>
    <t>8574</t>
  </si>
  <si>
    <t>86087539</t>
  </si>
  <si>
    <t>86107838</t>
  </si>
  <si>
    <t>86172901</t>
  </si>
  <si>
    <t>868</t>
  </si>
  <si>
    <t>869</t>
  </si>
  <si>
    <t>87</t>
  </si>
  <si>
    <t>87173814</t>
  </si>
  <si>
    <t>87192905</t>
  </si>
  <si>
    <t>87211902</t>
  </si>
  <si>
    <t>88</t>
  </si>
  <si>
    <t>881973</t>
  </si>
  <si>
    <t>88272330</t>
  </si>
  <si>
    <t>88284830</t>
  </si>
  <si>
    <t>88300901</t>
  </si>
  <si>
    <t>89</t>
  </si>
  <si>
    <t>89409579</t>
  </si>
  <si>
    <t>89419128</t>
  </si>
  <si>
    <t>89433813</t>
  </si>
  <si>
    <t>897</t>
  </si>
  <si>
    <t>901</t>
  </si>
  <si>
    <t>90547068</t>
  </si>
  <si>
    <t>90559720</t>
  </si>
  <si>
    <t>90600090</t>
  </si>
  <si>
    <t>908</t>
  </si>
  <si>
    <t>9091</t>
  </si>
  <si>
    <t>909152</t>
  </si>
  <si>
    <t>91</t>
  </si>
  <si>
    <t>91721027</t>
  </si>
  <si>
    <t>93</t>
  </si>
  <si>
    <t>94</t>
  </si>
  <si>
    <t>9434</t>
  </si>
  <si>
    <t>947399</t>
  </si>
  <si>
    <t>949</t>
  </si>
  <si>
    <t>95</t>
  </si>
  <si>
    <t>96</t>
  </si>
  <si>
    <t>97</t>
  </si>
  <si>
    <t>996795</t>
  </si>
  <si>
    <t>Documento</t>
  </si>
  <si>
    <t>Razão Social</t>
  </si>
  <si>
    <t>Tipo</t>
  </si>
  <si>
    <t>CNPJ/CPF</t>
  </si>
  <si>
    <t>Filial</t>
  </si>
  <si>
    <t>Valor Doc</t>
  </si>
  <si>
    <t>Emissão</t>
  </si>
  <si>
    <t>Referência</t>
  </si>
  <si>
    <t>Munícipio</t>
  </si>
  <si>
    <t>UF</t>
  </si>
  <si>
    <t>CFOP</t>
  </si>
  <si>
    <t>Atualizado Por</t>
  </si>
  <si>
    <t>Parcela</t>
  </si>
  <si>
    <t>Vencimento</t>
  </si>
  <si>
    <t>5005249</t>
  </si>
  <si>
    <t>CT</t>
  </si>
  <si>
    <t>GRF2971</t>
  </si>
  <si>
    <t>FOL</t>
  </si>
  <si>
    <t>RES11563</t>
  </si>
  <si>
    <t>RES11564</t>
  </si>
  <si>
    <t>BNFNVT01/10MG</t>
  </si>
  <si>
    <t>BNF</t>
  </si>
  <si>
    <t>DIANVT01/10/26</t>
  </si>
  <si>
    <t>DEP</t>
  </si>
  <si>
    <t>VTNVT01/10/26MG</t>
  </si>
  <si>
    <t>RCB</t>
  </si>
  <si>
    <t>8</t>
  </si>
  <si>
    <t>50053181T</t>
  </si>
  <si>
    <t>50053191T</t>
  </si>
  <si>
    <t>50053221T</t>
  </si>
  <si>
    <t>50053641T</t>
  </si>
  <si>
    <t>50053751T</t>
  </si>
  <si>
    <t>50053141T</t>
  </si>
  <si>
    <t>5005364</t>
  </si>
  <si>
    <t>5005508</t>
  </si>
  <si>
    <t>5005510</t>
  </si>
  <si>
    <t>5005509</t>
  </si>
  <si>
    <t>5005530</t>
  </si>
  <si>
    <t>5005528</t>
  </si>
  <si>
    <t>5005529</t>
  </si>
  <si>
    <t>5005531</t>
  </si>
  <si>
    <t>5005533</t>
  </si>
  <si>
    <t>5005535</t>
  </si>
  <si>
    <t>5005534</t>
  </si>
  <si>
    <t>5005536</t>
  </si>
  <si>
    <t>5005539</t>
  </si>
  <si>
    <t>5005538</t>
  </si>
  <si>
    <t>5005540</t>
  </si>
  <si>
    <t>5005542</t>
  </si>
  <si>
    <t>5005541</t>
  </si>
  <si>
    <t>5005543</t>
  </si>
  <si>
    <t>5005551</t>
  </si>
  <si>
    <t>5005544</t>
  </si>
  <si>
    <t>5005547</t>
  </si>
  <si>
    <t>5005549</t>
  </si>
  <si>
    <t>5005552</t>
  </si>
  <si>
    <t>5005553</t>
  </si>
  <si>
    <t>5005561</t>
  </si>
  <si>
    <t>5005558</t>
  </si>
  <si>
    <t>5005557</t>
  </si>
  <si>
    <t>5005559</t>
  </si>
  <si>
    <t>5005562</t>
  </si>
  <si>
    <t>5005555</t>
  </si>
  <si>
    <t>5005560</t>
  </si>
  <si>
    <t>5005554</t>
  </si>
  <si>
    <t>5005563</t>
  </si>
  <si>
    <t>5005566</t>
  </si>
  <si>
    <t>5005564</t>
  </si>
  <si>
    <t>5005565</t>
  </si>
  <si>
    <t>5005567</t>
  </si>
  <si>
    <t>5005726</t>
  </si>
  <si>
    <t>5005737</t>
  </si>
  <si>
    <t>5005729</t>
  </si>
  <si>
    <t>5005743</t>
  </si>
  <si>
    <t>5005739</t>
  </si>
  <si>
    <t>5005741</t>
  </si>
  <si>
    <t>5005732</t>
  </si>
  <si>
    <t>5005727</t>
  </si>
  <si>
    <t>5005733</t>
  </si>
  <si>
    <t>5005738</t>
  </si>
  <si>
    <t>5005735</t>
  </si>
  <si>
    <t>5005734</t>
  </si>
  <si>
    <t>5005742</t>
  </si>
  <si>
    <t>5005736</t>
  </si>
  <si>
    <t>5005725</t>
  </si>
  <si>
    <t>5005740</t>
  </si>
  <si>
    <t>5005731</t>
  </si>
  <si>
    <t>5005728</t>
  </si>
  <si>
    <t>5005730</t>
  </si>
  <si>
    <t>5005750</t>
  </si>
  <si>
    <t>5005756</t>
  </si>
  <si>
    <t>5005746</t>
  </si>
  <si>
    <t>5005745</t>
  </si>
  <si>
    <t>5005753</t>
  </si>
  <si>
    <t>5005758</t>
  </si>
  <si>
    <t>5005747</t>
  </si>
  <si>
    <t>5005748</t>
  </si>
  <si>
    <t>5005749</t>
  </si>
  <si>
    <t>5005751</t>
  </si>
  <si>
    <t>5005744</t>
  </si>
  <si>
    <t>5005596</t>
  </si>
  <si>
    <t>5005752</t>
  </si>
  <si>
    <t>5005754</t>
  </si>
  <si>
    <t>5005755</t>
  </si>
  <si>
    <t>5005757</t>
  </si>
  <si>
    <t>5005759</t>
  </si>
  <si>
    <t>5005760</t>
  </si>
  <si>
    <t>5005761</t>
  </si>
  <si>
    <t>5005762</t>
  </si>
  <si>
    <t>5005763</t>
  </si>
  <si>
    <t>5005764</t>
  </si>
  <si>
    <t>5005765</t>
  </si>
  <si>
    <t>5005599</t>
  </si>
  <si>
    <t>5005600</t>
  </si>
  <si>
    <t>5005597</t>
  </si>
  <si>
    <t>5005598</t>
  </si>
  <si>
    <t>5005601</t>
  </si>
  <si>
    <t>5005602</t>
  </si>
  <si>
    <t>5005603</t>
  </si>
  <si>
    <t>5005605</t>
  </si>
  <si>
    <t>5005604</t>
  </si>
  <si>
    <t>1094542026</t>
  </si>
  <si>
    <t>IM</t>
  </si>
  <si>
    <t>IVA1262026</t>
  </si>
  <si>
    <t>IPV</t>
  </si>
  <si>
    <t>IVA1272026</t>
  </si>
  <si>
    <t>IVA1302026</t>
  </si>
  <si>
    <t>IVA1312026</t>
  </si>
  <si>
    <t>IVA1492026</t>
  </si>
  <si>
    <t>IVA1512026</t>
  </si>
  <si>
    <t>IVA1542026</t>
  </si>
  <si>
    <t>IVA1562026</t>
  </si>
  <si>
    <t>IVA1572026</t>
  </si>
  <si>
    <t>IVA1582026</t>
  </si>
  <si>
    <t>IVA1592026</t>
  </si>
  <si>
    <t>IVA1602026</t>
  </si>
  <si>
    <t>IVA1612026</t>
  </si>
  <si>
    <t>IVA1622026</t>
  </si>
  <si>
    <t>IVA1652026</t>
  </si>
  <si>
    <t>IVA1662026</t>
  </si>
  <si>
    <t>IVA1682026</t>
  </si>
  <si>
    <t>IVA1712026</t>
  </si>
  <si>
    <t>IVA1722026</t>
  </si>
  <si>
    <t>53434742</t>
  </si>
  <si>
    <t>5005607</t>
  </si>
  <si>
    <t>5005608</t>
  </si>
  <si>
    <t>5005606</t>
  </si>
  <si>
    <t>I38972026</t>
  </si>
  <si>
    <t>I38982026</t>
  </si>
  <si>
    <t>I38992026</t>
  </si>
  <si>
    <t>I39002026</t>
  </si>
  <si>
    <t>I39012026</t>
  </si>
  <si>
    <t>I39022026</t>
  </si>
  <si>
    <t>I39032026</t>
  </si>
  <si>
    <t>IFL1432026</t>
  </si>
  <si>
    <t>IFL1442026</t>
  </si>
  <si>
    <t>IFL1452026</t>
  </si>
  <si>
    <t>IFL322026</t>
  </si>
  <si>
    <t>IFL332026</t>
  </si>
  <si>
    <t>IFL342026</t>
  </si>
  <si>
    <t>IFL352026</t>
  </si>
  <si>
    <t>IFL362026</t>
  </si>
  <si>
    <t>IPDG92962026</t>
  </si>
  <si>
    <t>IVA1132026</t>
  </si>
  <si>
    <t>IVA1142026</t>
  </si>
  <si>
    <t>IVA1162026</t>
  </si>
  <si>
    <t>IVA1172026</t>
  </si>
  <si>
    <t>IVA1182026</t>
  </si>
  <si>
    <t>IVA1192026</t>
  </si>
  <si>
    <t>IVA1202026</t>
  </si>
  <si>
    <t>IVA1212026</t>
  </si>
  <si>
    <t>IVA1222026</t>
  </si>
  <si>
    <t>IVA1232026</t>
  </si>
  <si>
    <t>IVA1242026</t>
  </si>
  <si>
    <t>IVA1252026</t>
  </si>
  <si>
    <t>IVA1282026</t>
  </si>
  <si>
    <t>IVA1292026</t>
  </si>
  <si>
    <t>IVA1322026</t>
  </si>
  <si>
    <t>IVA1332026</t>
  </si>
  <si>
    <t>IVA1342026</t>
  </si>
  <si>
    <t>IVA1352026</t>
  </si>
  <si>
    <t>IVA1362026</t>
  </si>
  <si>
    <t>IVA1372026</t>
  </si>
  <si>
    <t>IVA1382026</t>
  </si>
  <si>
    <t>IVA1392026</t>
  </si>
  <si>
    <t>IVA1402026</t>
  </si>
  <si>
    <t>IVA1412026</t>
  </si>
  <si>
    <t>IVA1422026</t>
  </si>
  <si>
    <t>IVA1432026</t>
  </si>
  <si>
    <t>IVA1452026</t>
  </si>
  <si>
    <t>IVA1462026</t>
  </si>
  <si>
    <t>IVA1472026</t>
  </si>
  <si>
    <t>IVA1482026</t>
  </si>
  <si>
    <t>IVA1502026</t>
  </si>
  <si>
    <t>IVA1522026</t>
  </si>
  <si>
    <t>IVA1532026</t>
  </si>
  <si>
    <t>IVA1552026</t>
  </si>
  <si>
    <t>IVA1642026</t>
  </si>
  <si>
    <t>IVA1672026</t>
  </si>
  <si>
    <t>IVA1692026</t>
  </si>
  <si>
    <t>IVA1732026</t>
  </si>
  <si>
    <t>5005611</t>
  </si>
  <si>
    <t>5005609</t>
  </si>
  <si>
    <t>5005610</t>
  </si>
  <si>
    <t>5005616</t>
  </si>
  <si>
    <t>5005617</t>
  </si>
  <si>
    <t>5005614</t>
  </si>
  <si>
    <t>5005618</t>
  </si>
  <si>
    <t>5005613</t>
  </si>
  <si>
    <t>5005623</t>
  </si>
  <si>
    <t>5005619</t>
  </si>
  <si>
    <t>5005625</t>
  </si>
  <si>
    <t>5005622</t>
  </si>
  <si>
    <t>5005624</t>
  </si>
  <si>
    <t>5005620</t>
  </si>
  <si>
    <t>5005621</t>
  </si>
  <si>
    <t>12628-1708-87</t>
  </si>
  <si>
    <t>12628-5952-87</t>
  </si>
  <si>
    <t>1320-1708-87</t>
  </si>
  <si>
    <t>1320-5952-87</t>
  </si>
  <si>
    <t>2246-1708-87</t>
  </si>
  <si>
    <t>2246-5952-87</t>
  </si>
  <si>
    <t>34700-1708-87</t>
  </si>
  <si>
    <t>34700-5952-87</t>
  </si>
  <si>
    <t>34701-1708-87</t>
  </si>
  <si>
    <t>34701-5952-87</t>
  </si>
  <si>
    <t>525446-5952-87</t>
  </si>
  <si>
    <t>848145-1708-87</t>
  </si>
  <si>
    <t>im</t>
  </si>
  <si>
    <t>848145-5952-87</t>
  </si>
  <si>
    <t>INSS09/26MG</t>
  </si>
  <si>
    <t>IRR222</t>
  </si>
  <si>
    <t>IRR246</t>
  </si>
  <si>
    <t>IFL1152026</t>
  </si>
  <si>
    <t>IFL1162026</t>
  </si>
  <si>
    <t>IFL1172026</t>
  </si>
  <si>
    <t>IFL1182026</t>
  </si>
  <si>
    <t>IVA1442026</t>
  </si>
  <si>
    <t>5005629</t>
  </si>
  <si>
    <t>5005631</t>
  </si>
  <si>
    <t>5005627</t>
  </si>
  <si>
    <t>5005628</t>
  </si>
  <si>
    <t>5005626</t>
  </si>
  <si>
    <t>5005630</t>
  </si>
  <si>
    <t>5005633</t>
  </si>
  <si>
    <t>5005634</t>
  </si>
  <si>
    <t>5005637</t>
  </si>
  <si>
    <t>5005635</t>
  </si>
  <si>
    <t>5005632</t>
  </si>
  <si>
    <t>5005636</t>
  </si>
  <si>
    <t>5005660</t>
  </si>
  <si>
    <t>5005665</t>
  </si>
  <si>
    <t>5005662</t>
  </si>
  <si>
    <t>5005661</t>
  </si>
  <si>
    <t>5005664</t>
  </si>
  <si>
    <t>5005663</t>
  </si>
  <si>
    <t>5005659</t>
  </si>
  <si>
    <t>5005674</t>
  </si>
  <si>
    <t>5005673</t>
  </si>
  <si>
    <t>5005670</t>
  </si>
  <si>
    <t>5005672</t>
  </si>
  <si>
    <t>5005671</t>
  </si>
  <si>
    <t>5005669</t>
  </si>
  <si>
    <t>5005677</t>
  </si>
  <si>
    <t>5005676</t>
  </si>
  <si>
    <t>5005675</t>
  </si>
  <si>
    <t>5005678</t>
  </si>
  <si>
    <t>IVA1742026</t>
  </si>
  <si>
    <t>5005683</t>
  </si>
  <si>
    <t>5005697</t>
  </si>
  <si>
    <t>5005687</t>
  </si>
  <si>
    <t>5005686</t>
  </si>
  <si>
    <t>5005684</t>
  </si>
  <si>
    <t>5005685</t>
  </si>
  <si>
    <t>5005689</t>
  </si>
  <si>
    <t>5005692</t>
  </si>
  <si>
    <t>5005682</t>
  </si>
  <si>
    <t>5005696</t>
  </si>
  <si>
    <t>5005699</t>
  </si>
  <si>
    <t>5005702</t>
  </si>
  <si>
    <t>5005700</t>
  </si>
  <si>
    <t>5005703</t>
  </si>
  <si>
    <t>5005698</t>
  </si>
  <si>
    <t>5005707</t>
  </si>
  <si>
    <t>5005701</t>
  </si>
  <si>
    <t>5005695</t>
  </si>
  <si>
    <t>5005705</t>
  </si>
  <si>
    <t>5005704</t>
  </si>
  <si>
    <t>5005709</t>
  </si>
  <si>
    <t>5005721</t>
  </si>
  <si>
    <t>5005718</t>
  </si>
  <si>
    <t>5005719</t>
  </si>
  <si>
    <t>5005710</t>
  </si>
  <si>
    <t>5005713</t>
  </si>
  <si>
    <t>5005717</t>
  </si>
  <si>
    <t>5005715</t>
  </si>
  <si>
    <t>5005716</t>
  </si>
  <si>
    <t>5005712</t>
  </si>
  <si>
    <t>5005714</t>
  </si>
  <si>
    <t>5005708</t>
  </si>
  <si>
    <t>5005711</t>
  </si>
  <si>
    <t>5005723</t>
  </si>
  <si>
    <t>5005722</t>
  </si>
  <si>
    <t>5005724</t>
  </si>
  <si>
    <t>000021655ME0001</t>
  </si>
  <si>
    <t>53668660</t>
  </si>
  <si>
    <t>2304479</t>
  </si>
  <si>
    <t>IRR245</t>
  </si>
  <si>
    <t>000021655ME0002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</si>
  <si>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</si>
  <si>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</si>
  <si>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</si>
  <si>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</si>
  <si>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</si>
  <si>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</si>
  <si>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</si>
  <si>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</si>
  <si>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</si>
  <si>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</si>
  <si>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</si>
  <si>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</si>
  <si>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Ref Pesquisa</t>
  </si>
  <si>
    <t>Série</t>
  </si>
  <si>
    <t>Vencto</t>
  </si>
  <si>
    <t>Data Ref.</t>
  </si>
  <si>
    <t>Vlr. Parc.</t>
  </si>
  <si>
    <t>Vlr. Desco.</t>
  </si>
  <si>
    <t>Vlr. Juros</t>
  </si>
  <si>
    <t>Vlr. Total</t>
  </si>
  <si>
    <t>DIARES12/25MG</t>
  </si>
  <si>
    <t>HORIZONTE EXPRESS TRANSPORTES LTDA</t>
  </si>
  <si>
    <t>2608</t>
  </si>
  <si>
    <t>2609</t>
  </si>
  <si>
    <t>3774</t>
  </si>
  <si>
    <t>E</t>
  </si>
  <si>
    <t>3775</t>
  </si>
  <si>
    <t>48292</t>
  </si>
  <si>
    <t>48321</t>
  </si>
  <si>
    <t>44</t>
  </si>
  <si>
    <t>33968</t>
  </si>
  <si>
    <t>Total do Dia :</t>
  </si>
  <si>
    <t>Doc. Pago em :</t>
  </si>
  <si>
    <t>05/01/2026</t>
  </si>
  <si>
    <t>AGMTZ-10775101</t>
  </si>
  <si>
    <t>81374924</t>
  </si>
  <si>
    <t>AFMTZ 2912938</t>
  </si>
  <si>
    <t>AUXCOM01/25MG</t>
  </si>
  <si>
    <t>DIA01/26MG</t>
  </si>
  <si>
    <t>FER1780</t>
  </si>
  <si>
    <t>INT</t>
  </si>
  <si>
    <t>FPG3824</t>
  </si>
  <si>
    <t>PEN3277</t>
  </si>
  <si>
    <t>AILTON ALVES DE OLIVEIRA</t>
  </si>
  <si>
    <t>PEN3276</t>
  </si>
  <si>
    <t>6068</t>
  </si>
  <si>
    <t>PEN3275</t>
  </si>
  <si>
    <t>THAYNARA MARTINS DA COSTA DE MENEZES</t>
  </si>
  <si>
    <t>06/01/2026</t>
  </si>
  <si>
    <t>12026-87</t>
  </si>
  <si>
    <t>3083631</t>
  </si>
  <si>
    <t>38208</t>
  </si>
  <si>
    <t>1314087</t>
  </si>
  <si>
    <t>5004892</t>
  </si>
  <si>
    <t>RENILSON DIAS DE BRITO</t>
  </si>
  <si>
    <t>5004894</t>
  </si>
  <si>
    <t>MARCOS FILIPE DE ALCANTARA PEREIRA</t>
  </si>
  <si>
    <t>5004896</t>
  </si>
  <si>
    <t>5004897</t>
  </si>
  <si>
    <t>2698</t>
  </si>
  <si>
    <t>5004792</t>
  </si>
  <si>
    <t>ADILSON VIANA DO SACRAMENTO</t>
  </si>
  <si>
    <t>1393</t>
  </si>
  <si>
    <t>302</t>
  </si>
  <si>
    <t>5004898</t>
  </si>
  <si>
    <t>5004899</t>
  </si>
  <si>
    <t>5004900</t>
  </si>
  <si>
    <t>5004901</t>
  </si>
  <si>
    <t>5004902</t>
  </si>
  <si>
    <t>5004905</t>
  </si>
  <si>
    <t>248424</t>
  </si>
  <si>
    <t>0</t>
  </si>
  <si>
    <t>248425</t>
  </si>
  <si>
    <t>5004904</t>
  </si>
  <si>
    <t>26694</t>
  </si>
  <si>
    <t>18623</t>
  </si>
  <si>
    <t>5004906</t>
  </si>
  <si>
    <t>5004908</t>
  </si>
  <si>
    <t>HUDSON CESAR DA SILVA</t>
  </si>
  <si>
    <t>5004910</t>
  </si>
  <si>
    <t>RENAN ELTON DIVINO</t>
  </si>
  <si>
    <t>5004912</t>
  </si>
  <si>
    <t>5004913</t>
  </si>
  <si>
    <t>5004915</t>
  </si>
  <si>
    <t>ADRIANA DA SILVA SANTOS FERREIRA</t>
  </si>
  <si>
    <t>86</t>
  </si>
  <si>
    <t>5004917</t>
  </si>
  <si>
    <t>JOAQUINA DE FATIMA BERTOLDO</t>
  </si>
  <si>
    <t>5004919</t>
  </si>
  <si>
    <t>5004921</t>
  </si>
  <si>
    <t>5004893</t>
  </si>
  <si>
    <t>7937</t>
  </si>
  <si>
    <t>9200</t>
  </si>
  <si>
    <t>5004895</t>
  </si>
  <si>
    <t>rcb</t>
  </si>
  <si>
    <t>CHAYENE AMARAL</t>
  </si>
  <si>
    <t>2375</t>
  </si>
  <si>
    <t>PREVCENTER REPARACAO E MANUTENCAO LTDA</t>
  </si>
  <si>
    <t>2831</t>
  </si>
  <si>
    <t>5004903</t>
  </si>
  <si>
    <t>ARTUR SILVA VIANA</t>
  </si>
  <si>
    <t>5004907</t>
  </si>
  <si>
    <t>5004909</t>
  </si>
  <si>
    <t>5004911</t>
  </si>
  <si>
    <t>KETLEN KAREM SILVA BARROS</t>
  </si>
  <si>
    <t>5004914</t>
  </si>
  <si>
    <t>10284</t>
  </si>
  <si>
    <t>5004916</t>
  </si>
  <si>
    <t>5004918</t>
  </si>
  <si>
    <t>5004920</t>
  </si>
  <si>
    <t>ELIO BENEDITO NASCIMENTO JUNIOR</t>
  </si>
  <si>
    <t>000021382ME0003</t>
  </si>
  <si>
    <t>RITA CÂNDIDA DOS SANTOS</t>
  </si>
  <si>
    <t>7</t>
  </si>
  <si>
    <t>FERNANDO GONÇALVES DE SOUZA</t>
  </si>
  <si>
    <t>JOAO BRAGA BATISTA</t>
  </si>
  <si>
    <t>07/01/2026</t>
  </si>
  <si>
    <t>711427</t>
  </si>
  <si>
    <t>31</t>
  </si>
  <si>
    <t>CHARLES DUTRA SOBREIRO</t>
  </si>
  <si>
    <t>WALISON MILLER BARROZA DE ABREU</t>
  </si>
  <si>
    <t>LUCAS FRANCO DE SOUZA</t>
  </si>
  <si>
    <t>4</t>
  </si>
  <si>
    <t>08/01/2026</t>
  </si>
  <si>
    <t>122025-87</t>
  </si>
  <si>
    <t>SECRETARIA DE ESTADO DA FAZENDA DE MINAS GERAIS</t>
  </si>
  <si>
    <t>BNFNVT02/01/26</t>
  </si>
  <si>
    <t>6867640/87</t>
  </si>
  <si>
    <t>OTAVIO OLIVEIRA ALVES</t>
  </si>
  <si>
    <t>LIOMAR NUNES LINO</t>
  </si>
  <si>
    <t>WILLIAM FLAVIO DE SOUZA</t>
  </si>
  <si>
    <t>09/01/2026</t>
  </si>
  <si>
    <t>26002958</t>
  </si>
  <si>
    <t>GOLDCERT CERTIFICADO DIGITAL EIRELI</t>
  </si>
  <si>
    <t>BL</t>
  </si>
  <si>
    <t>VTNVT02/01/26</t>
  </si>
  <si>
    <t>RES10622</t>
  </si>
  <si>
    <t>12/01/2026</t>
  </si>
  <si>
    <t>81405867</t>
  </si>
  <si>
    <t>81412652</t>
  </si>
  <si>
    <t>4019583825569</t>
  </si>
  <si>
    <t>PREFEITURA MUNICIPAL DE CONTAGEM</t>
  </si>
  <si>
    <t>EDMILSON FERREIRA VIDAL</t>
  </si>
  <si>
    <t>5004935</t>
  </si>
  <si>
    <t>2623</t>
  </si>
  <si>
    <t>3777</t>
  </si>
  <si>
    <t>5004946</t>
  </si>
  <si>
    <t>14129844</t>
  </si>
  <si>
    <t>5004962</t>
  </si>
  <si>
    <t>JESSE PREIRA LIMA</t>
  </si>
  <si>
    <t>TIAGO RODRIGUES RIBEIRO</t>
  </si>
  <si>
    <t>13/01/2026</t>
  </si>
  <si>
    <t>51226</t>
  </si>
  <si>
    <t>14/01/2026</t>
  </si>
  <si>
    <t>GRF2627</t>
  </si>
  <si>
    <t>CAIXA ECONÔMICA FEDERAL</t>
  </si>
  <si>
    <t>BNFNVT08/01/26</t>
  </si>
  <si>
    <t>VTNVT08/01/26</t>
  </si>
  <si>
    <t>RES10630</t>
  </si>
  <si>
    <t>RYAN CAMPOS OLIVEIRA</t>
  </si>
  <si>
    <t>15/01/2026</t>
  </si>
  <si>
    <t>S046440790</t>
  </si>
  <si>
    <t>MUL</t>
  </si>
  <si>
    <t>DEPTO NACIONAL INFRAESTRUTURA DE TRANSP.</t>
  </si>
  <si>
    <t>mul</t>
  </si>
  <si>
    <t>DIACOMP01/26MG</t>
  </si>
  <si>
    <t>AH13047822</t>
  </si>
  <si>
    <t>NIC0000451</t>
  </si>
  <si>
    <t>MUNICIPIO DE GOVERNADOR VALADARES</t>
  </si>
  <si>
    <t>16/01/2026</t>
  </si>
  <si>
    <t>E-CON12/25MG</t>
  </si>
  <si>
    <t>FGT1611</t>
  </si>
  <si>
    <t>FGT1612</t>
  </si>
  <si>
    <t>1156-5952-87</t>
  </si>
  <si>
    <t>MINISTERIO DA FAZENDA</t>
  </si>
  <si>
    <t>1157-1708-87</t>
  </si>
  <si>
    <t>1157-5952-87</t>
  </si>
  <si>
    <t>26096-5952-87</t>
  </si>
  <si>
    <t>2692-5952-87</t>
  </si>
  <si>
    <t>303-1708-87</t>
  </si>
  <si>
    <t>303-5952-87</t>
  </si>
  <si>
    <t>530-1708-87</t>
  </si>
  <si>
    <t>530-5952-87</t>
  </si>
  <si>
    <t>827507-1708-87</t>
  </si>
  <si>
    <t>827507-5952-87</t>
  </si>
  <si>
    <t>IRRF13MG</t>
  </si>
  <si>
    <t>IRRFFE12/25MG</t>
  </si>
  <si>
    <t>IRRFO11/25MG</t>
  </si>
  <si>
    <t>IRRFRES12/25MG</t>
  </si>
  <si>
    <t>5004922</t>
  </si>
  <si>
    <t>5004923</t>
  </si>
  <si>
    <t>FABIO LUIZ TEIXEIRA DE ARRUDA</t>
  </si>
  <si>
    <t>5004924</t>
  </si>
  <si>
    <t>5004925</t>
  </si>
  <si>
    <t>CLAUDIONOR GERALDO DE SOUZA</t>
  </si>
  <si>
    <t>5004926</t>
  </si>
  <si>
    <t>5004927</t>
  </si>
  <si>
    <t>5004928</t>
  </si>
  <si>
    <t>KASUO HENRIQUE SOUSA BARBOSA</t>
  </si>
  <si>
    <t>5004929</t>
  </si>
  <si>
    <t>5004930</t>
  </si>
  <si>
    <t>ACACIUS HENRIQUE SOUZA BARBOSA</t>
  </si>
  <si>
    <t>5004931</t>
  </si>
  <si>
    <t>5004932</t>
  </si>
  <si>
    <t>5004933</t>
  </si>
  <si>
    <t>5004934</t>
  </si>
  <si>
    <t>5004936</t>
  </si>
  <si>
    <t>5004937</t>
  </si>
  <si>
    <t>5004938</t>
  </si>
  <si>
    <t>5004939</t>
  </si>
  <si>
    <t>LIDEMBERG RAMOS GABRIEL</t>
  </si>
  <si>
    <t>5004940</t>
  </si>
  <si>
    <t>5004941</t>
  </si>
  <si>
    <t>WILLIAM DE SOUZA VIEIRA</t>
  </si>
  <si>
    <t>5004969</t>
  </si>
  <si>
    <t>JOAO MARCOS DE SOUZA PINTO</t>
  </si>
  <si>
    <t>5004968</t>
  </si>
  <si>
    <t>5004943</t>
  </si>
  <si>
    <t>KAYO BOTELHO</t>
  </si>
  <si>
    <t>5004944</t>
  </si>
  <si>
    <t>5004945</t>
  </si>
  <si>
    <t>5004947</t>
  </si>
  <si>
    <t>DARLAN DIEGO OLIVEIRA SOARES</t>
  </si>
  <si>
    <t>5004948</t>
  </si>
  <si>
    <t>5004949</t>
  </si>
  <si>
    <t>5004950</t>
  </si>
  <si>
    <t>RONIERE DE OLIVEIRA MENDES</t>
  </si>
  <si>
    <t>5004951</t>
  </si>
  <si>
    <t>5004952</t>
  </si>
  <si>
    <t>5004953</t>
  </si>
  <si>
    <t>5004954</t>
  </si>
  <si>
    <t>WARLEI GOMES</t>
  </si>
  <si>
    <t>5004955</t>
  </si>
  <si>
    <t>MAURILIO PAULINO DA SILVA</t>
  </si>
  <si>
    <t>5004956</t>
  </si>
  <si>
    <t>PAULO SERGIO FERREIRA VAZ</t>
  </si>
  <si>
    <t>5004957</t>
  </si>
  <si>
    <t>5004958</t>
  </si>
  <si>
    <t>5004959</t>
  </si>
  <si>
    <t>5004960</t>
  </si>
  <si>
    <t>5004961</t>
  </si>
  <si>
    <t>KARINE KEILE DA SILVA BRAGA</t>
  </si>
  <si>
    <t>5004963</t>
  </si>
  <si>
    <t>5004964</t>
  </si>
  <si>
    <t>1110120240064</t>
  </si>
  <si>
    <t>WILLIAM DE JESUS BOMFIM</t>
  </si>
  <si>
    <t>5004965</t>
  </si>
  <si>
    <t>JOSE MARCIO DA SILVA</t>
  </si>
  <si>
    <t>5004966</t>
  </si>
  <si>
    <t>5004967</t>
  </si>
  <si>
    <t>JOSE ANSELMO SILVA DE OLIVEIRA JUNIOR</t>
  </si>
  <si>
    <t>19/01/2026</t>
  </si>
  <si>
    <t>INSS12/25MG</t>
  </si>
  <si>
    <t>51240832</t>
  </si>
  <si>
    <t>T00</t>
  </si>
  <si>
    <t>MAURO CAVALCANTE RODRIGUES</t>
  </si>
  <si>
    <t>PETERSON HENRIQUE PEREIRA ROCHA</t>
  </si>
  <si>
    <t>5004868</t>
  </si>
  <si>
    <t>DANILO ROSA NUNES</t>
  </si>
  <si>
    <t>47769</t>
  </si>
  <si>
    <t>50232</t>
  </si>
  <si>
    <t>138290</t>
  </si>
  <si>
    <t>006</t>
  </si>
  <si>
    <t>876</t>
  </si>
  <si>
    <t>020</t>
  </si>
  <si>
    <t>8870</t>
  </si>
  <si>
    <t>016</t>
  </si>
  <si>
    <t>61855</t>
  </si>
  <si>
    <t>008</t>
  </si>
  <si>
    <t>ANSELMO A. OLIVEIRA</t>
  </si>
  <si>
    <t>20/01/2026</t>
  </si>
  <si>
    <t>FGT122025SCMG</t>
  </si>
  <si>
    <t>FPG3841</t>
  </si>
  <si>
    <t>82626</t>
  </si>
  <si>
    <t>VIA S/A</t>
  </si>
  <si>
    <t>168182</t>
  </si>
  <si>
    <t>173476</t>
  </si>
  <si>
    <t>173477</t>
  </si>
  <si>
    <t>OTONIEL EVARISTO DA SILVA</t>
  </si>
  <si>
    <t>54679</t>
  </si>
  <si>
    <t>Grupo Casas Bahia S.A</t>
  </si>
  <si>
    <t>21/01/2026</t>
  </si>
  <si>
    <t>GRF2638</t>
  </si>
  <si>
    <t>DIACOMJAN/26</t>
  </si>
  <si>
    <t>RES10696</t>
  </si>
  <si>
    <t>KLEBER FERREIRA DA SILVA</t>
  </si>
  <si>
    <t>MAKWELL HERMINIO TAVARES</t>
  </si>
  <si>
    <t>22/01/2026</t>
  </si>
  <si>
    <t>23/01/2026</t>
  </si>
  <si>
    <t>01</t>
  </si>
  <si>
    <t>26/01/2026</t>
  </si>
  <si>
    <t>DIAMERC01/26</t>
  </si>
  <si>
    <t>REAJVTMG</t>
  </si>
  <si>
    <t>RES10701</t>
  </si>
  <si>
    <t>5004977</t>
  </si>
  <si>
    <t>5004986</t>
  </si>
  <si>
    <t>25370</t>
  </si>
  <si>
    <t>26096</t>
  </si>
  <si>
    <t>5004997</t>
  </si>
  <si>
    <t>27/01/2026</t>
  </si>
  <si>
    <t>3448559</t>
  </si>
  <si>
    <t>NIPPON AUTO ELÉTRICA</t>
  </si>
  <si>
    <t>28/01/2026</t>
  </si>
  <si>
    <t>6967993/87</t>
  </si>
  <si>
    <t>6967999/87</t>
  </si>
  <si>
    <t>6968005/87</t>
  </si>
  <si>
    <t>6968028/87</t>
  </si>
  <si>
    <t>530</t>
  </si>
  <si>
    <t>ND29575</t>
  </si>
  <si>
    <t>29/01/2026</t>
  </si>
  <si>
    <t>GRF2643</t>
  </si>
  <si>
    <t>RES10706</t>
  </si>
  <si>
    <t>RAYANE LOPES AMORIM</t>
  </si>
  <si>
    <t>30/01/2026</t>
  </si>
  <si>
    <t>S046499202</t>
  </si>
  <si>
    <t>VT02/26MG</t>
  </si>
  <si>
    <t>RDV140</t>
  </si>
  <si>
    <t>5004973</t>
  </si>
  <si>
    <t>5004975</t>
  </si>
  <si>
    <t>5004981</t>
  </si>
  <si>
    <t>RDV105,00</t>
  </si>
  <si>
    <t>AG10220755</t>
  </si>
  <si>
    <t>MUNICIPIO DE RIBEIRAO DAS NEVES</t>
  </si>
  <si>
    <t>46</t>
  </si>
  <si>
    <t>S200087426</t>
  </si>
  <si>
    <t>MUNICIPIO DE SAO JOAO DEL REI</t>
  </si>
  <si>
    <t>Total do Mês:</t>
  </si>
  <si>
    <t xml:space="preserve">Filial </t>
  </si>
  <si>
    <t>HORIZONTE EXPRESS TRANSPORTE LTDA</t>
  </si>
  <si>
    <t>02/02/2026</t>
  </si>
  <si>
    <t>5004978</t>
  </si>
  <si>
    <t>5004987</t>
  </si>
  <si>
    <t>5004990</t>
  </si>
  <si>
    <t>5004998</t>
  </si>
  <si>
    <t>03/02/2026</t>
  </si>
  <si>
    <t>5004988</t>
  </si>
  <si>
    <t>5005001</t>
  </si>
  <si>
    <t>99</t>
  </si>
  <si>
    <t>5005004</t>
  </si>
  <si>
    <t>Wallace de Souza Santos</t>
  </si>
  <si>
    <t>04/02/2026</t>
  </si>
  <si>
    <t>05/02/2026</t>
  </si>
  <si>
    <t>DIA02/26MG</t>
  </si>
  <si>
    <t>VTREDES02/26</t>
  </si>
  <si>
    <t>FPG3879</t>
  </si>
  <si>
    <t>PEN3319</t>
  </si>
  <si>
    <t>PEN3318</t>
  </si>
  <si>
    <t>PEN3317</t>
  </si>
  <si>
    <t>06/02/2026</t>
  </si>
  <si>
    <t>22026-87</t>
  </si>
  <si>
    <t>BNFNVT02/02/26</t>
  </si>
  <si>
    <t>DIANVT02/02/26M</t>
  </si>
  <si>
    <t>VTCOMP02/26MG</t>
  </si>
  <si>
    <t>VTNVT02/02/26</t>
  </si>
  <si>
    <t>FER1802</t>
  </si>
  <si>
    <t>202623</t>
  </si>
  <si>
    <t>38853</t>
  </si>
  <si>
    <t>5004970</t>
  </si>
  <si>
    <t>PENFER7040</t>
  </si>
  <si>
    <t>5004971</t>
  </si>
  <si>
    <t>5004972</t>
  </si>
  <si>
    <t>RAMON BATISTA FURTUOSO</t>
  </si>
  <si>
    <t>5004974</t>
  </si>
  <si>
    <t>5004976</t>
  </si>
  <si>
    <t>250822</t>
  </si>
  <si>
    <t>250823</t>
  </si>
  <si>
    <t>2692</t>
  </si>
  <si>
    <t>1156</t>
  </si>
  <si>
    <t>1157</t>
  </si>
  <si>
    <t>5004979</t>
  </si>
  <si>
    <t>5004980</t>
  </si>
  <si>
    <t>5004982</t>
  </si>
  <si>
    <t>5004983</t>
  </si>
  <si>
    <t>5004984</t>
  </si>
  <si>
    <t>5004985</t>
  </si>
  <si>
    <t>5004989</t>
  </si>
  <si>
    <t>5004991</t>
  </si>
  <si>
    <t>5004992</t>
  </si>
  <si>
    <t>5004993</t>
  </si>
  <si>
    <t>5004994</t>
  </si>
  <si>
    <t>5004995</t>
  </si>
  <si>
    <t>5004996</t>
  </si>
  <si>
    <t>5004999</t>
  </si>
  <si>
    <t>5005000</t>
  </si>
  <si>
    <t>000021382ME0004</t>
  </si>
  <si>
    <t>5005002</t>
  </si>
  <si>
    <t>5005003</t>
  </si>
  <si>
    <t>BUFFET SILVANA FESTAS</t>
  </si>
  <si>
    <t>09/02/2026</t>
  </si>
  <si>
    <t>5005013</t>
  </si>
  <si>
    <t>5005039</t>
  </si>
  <si>
    <t>10/02/2026</t>
  </si>
  <si>
    <t>GRF2655</t>
  </si>
  <si>
    <t>LVA1262026</t>
  </si>
  <si>
    <t>CPO</t>
  </si>
  <si>
    <t>DEPARTAMENTO ESTADUAL DE TRANSITO DE PERNAMBUCO</t>
  </si>
  <si>
    <t>BOM</t>
  </si>
  <si>
    <t>LVA1272026</t>
  </si>
  <si>
    <t>LVA1302026</t>
  </si>
  <si>
    <t>LVA1312026</t>
  </si>
  <si>
    <t>LVA1492026</t>
  </si>
  <si>
    <t>LVA1512026</t>
  </si>
  <si>
    <t>LVA1542026</t>
  </si>
  <si>
    <t>LVA1562026</t>
  </si>
  <si>
    <t>LVA1572026</t>
  </si>
  <si>
    <t>LVA1582026</t>
  </si>
  <si>
    <t>LVA1592026</t>
  </si>
  <si>
    <t>LVA1602026</t>
  </si>
  <si>
    <t>LVA1612026</t>
  </si>
  <si>
    <t>LVA1622026</t>
  </si>
  <si>
    <t>LVA1652026</t>
  </si>
  <si>
    <t>LVA1662026</t>
  </si>
  <si>
    <t>LVA1682026</t>
  </si>
  <si>
    <t>LVA1712026</t>
  </si>
  <si>
    <t>LVA1722026</t>
  </si>
  <si>
    <t>SECRETARIA DE ADMINISTRAÇÃO DO GOVERNO DO ESTADO DE PERNAMBUCO</t>
  </si>
  <si>
    <t>RES10735</t>
  </si>
  <si>
    <t>26192026</t>
  </si>
  <si>
    <t>LUCAS VINICIUS RIBEIRO CUNHA</t>
  </si>
  <si>
    <t>11/02/2026</t>
  </si>
  <si>
    <t>GRF2657</t>
  </si>
  <si>
    <t>GRF2664</t>
  </si>
  <si>
    <t>RES10740</t>
  </si>
  <si>
    <t>RES10759</t>
  </si>
  <si>
    <t>5005040</t>
  </si>
  <si>
    <t>5005043</t>
  </si>
  <si>
    <t>5005046</t>
  </si>
  <si>
    <t>12/02/2026</t>
  </si>
  <si>
    <t>GRF2661</t>
  </si>
  <si>
    <t>DIACOMFEV-26</t>
  </si>
  <si>
    <t>RES10746</t>
  </si>
  <si>
    <t>RES10747</t>
  </si>
  <si>
    <t>13/02/2026</t>
  </si>
  <si>
    <t>18/02/2026</t>
  </si>
  <si>
    <t>2343-5952-87</t>
  </si>
  <si>
    <t>2344-1708-87</t>
  </si>
  <si>
    <t>2344-5952-87</t>
  </si>
  <si>
    <t>27381-5952-87</t>
  </si>
  <si>
    <t>422-1708-87</t>
  </si>
  <si>
    <t>422-5952-87</t>
  </si>
  <si>
    <t>4970-5952-87</t>
  </si>
  <si>
    <t>714-1708-87</t>
  </si>
  <si>
    <t>714-5952-87</t>
  </si>
  <si>
    <t>829188-1708-87</t>
  </si>
  <si>
    <t>829188-5952-87</t>
  </si>
  <si>
    <t>INSS01/26MG</t>
  </si>
  <si>
    <t>ATV0666734</t>
  </si>
  <si>
    <t>SECRETARIA DE ESTADO DA FAZENDA</t>
  </si>
  <si>
    <t>CP00005764</t>
  </si>
  <si>
    <t>DEPARTAMENTO ESTADUAL DE TRANSITO DE MINAS GERAIS</t>
  </si>
  <si>
    <t>BNFNVT09/02/26</t>
  </si>
  <si>
    <t>DIANVT09/02/26</t>
  </si>
  <si>
    <t>5005005</t>
  </si>
  <si>
    <t>5005006</t>
  </si>
  <si>
    <t>5005007</t>
  </si>
  <si>
    <t>5005008</t>
  </si>
  <si>
    <t>5005009</t>
  </si>
  <si>
    <t>5005010</t>
  </si>
  <si>
    <t>5005011</t>
  </si>
  <si>
    <t>5005012</t>
  </si>
  <si>
    <t>5005014</t>
  </si>
  <si>
    <t>5005015</t>
  </si>
  <si>
    <t>5005016</t>
  </si>
  <si>
    <t>5005017</t>
  </si>
  <si>
    <t>5005018</t>
  </si>
  <si>
    <t>5005019</t>
  </si>
  <si>
    <t>5005020</t>
  </si>
  <si>
    <t>5005021</t>
  </si>
  <si>
    <t>5005022</t>
  </si>
  <si>
    <t>5005024</t>
  </si>
  <si>
    <t>5005023</t>
  </si>
  <si>
    <t>5005025</t>
  </si>
  <si>
    <t>5005026</t>
  </si>
  <si>
    <t>5005027</t>
  </si>
  <si>
    <t>5005028</t>
  </si>
  <si>
    <t>5005029</t>
  </si>
  <si>
    <t>5005030</t>
  </si>
  <si>
    <t>5005031</t>
  </si>
  <si>
    <t>5005032</t>
  </si>
  <si>
    <t>5005033</t>
  </si>
  <si>
    <t>5005034</t>
  </si>
  <si>
    <t>5005035</t>
  </si>
  <si>
    <t>5005036</t>
  </si>
  <si>
    <t>5005037</t>
  </si>
  <si>
    <t>5005038</t>
  </si>
  <si>
    <t>AG08769793</t>
  </si>
  <si>
    <t>MUNICIPIO DE POUSO ALEGRE</t>
  </si>
  <si>
    <t>N800013011</t>
  </si>
  <si>
    <t>P300089437</t>
  </si>
  <si>
    <t>5005041</t>
  </si>
  <si>
    <t>5005042</t>
  </si>
  <si>
    <t>5005044</t>
  </si>
  <si>
    <t>5005045</t>
  </si>
  <si>
    <t>NIC0000924</t>
  </si>
  <si>
    <t>MUNICIPIO DE JOAO MONLEVADE</t>
  </si>
  <si>
    <t>19/02/2026</t>
  </si>
  <si>
    <t>GRF2666</t>
  </si>
  <si>
    <t>VA1212026</t>
  </si>
  <si>
    <t>L38972026</t>
  </si>
  <si>
    <t>L38982026</t>
  </si>
  <si>
    <t>L38992026</t>
  </si>
  <si>
    <t>L39002026</t>
  </si>
  <si>
    <t>L39012026</t>
  </si>
  <si>
    <t>L39022026</t>
  </si>
  <si>
    <t>L39032026</t>
  </si>
  <si>
    <t>LFL1432026</t>
  </si>
  <si>
    <t>LFL1442026</t>
  </si>
  <si>
    <t>LFL1452026</t>
  </si>
  <si>
    <t>LFL322026</t>
  </si>
  <si>
    <t>LFL332026</t>
  </si>
  <si>
    <t>LFL342026</t>
  </si>
  <si>
    <t>LFL352026</t>
  </si>
  <si>
    <t>LFL362026</t>
  </si>
  <si>
    <t>LPDG92962026</t>
  </si>
  <si>
    <t>LVA1132026</t>
  </si>
  <si>
    <t>LVA1142026</t>
  </si>
  <si>
    <t>LVA1162026</t>
  </si>
  <si>
    <t>LVA1172026</t>
  </si>
  <si>
    <t>LVA1182026</t>
  </si>
  <si>
    <t>LVA1192026</t>
  </si>
  <si>
    <t>LVA1202026</t>
  </si>
  <si>
    <t>LVA1212026</t>
  </si>
  <si>
    <t>LVA1222026</t>
  </si>
  <si>
    <t>LVA1232026</t>
  </si>
  <si>
    <t>LVA1242026</t>
  </si>
  <si>
    <t>LVA1252026</t>
  </si>
  <si>
    <t>LVA1282026</t>
  </si>
  <si>
    <t>LVA1292026</t>
  </si>
  <si>
    <t>LVA1322026</t>
  </si>
  <si>
    <t>LVA1332026</t>
  </si>
  <si>
    <t>LVA1342026</t>
  </si>
  <si>
    <t>LVA1352026</t>
  </si>
  <si>
    <t>LVA1362026</t>
  </si>
  <si>
    <t>LVA1372026</t>
  </si>
  <si>
    <t>LVA1382026</t>
  </si>
  <si>
    <t>LVA1392026</t>
  </si>
  <si>
    <t>LVA1402026</t>
  </si>
  <si>
    <t>LVA1412026</t>
  </si>
  <si>
    <t>LVA1422026</t>
  </si>
  <si>
    <t>LVA1432026</t>
  </si>
  <si>
    <t>LVA1452026</t>
  </si>
  <si>
    <t>LVA1462026</t>
  </si>
  <si>
    <t>LVA1472026</t>
  </si>
  <si>
    <t>LVA1482026</t>
  </si>
  <si>
    <t>LVA1502026</t>
  </si>
  <si>
    <t>LVA1522026</t>
  </si>
  <si>
    <t>LVA1532026</t>
  </si>
  <si>
    <t>LVA1552026</t>
  </si>
  <si>
    <t>LVA1642026</t>
  </si>
  <si>
    <t>LVA1672026</t>
  </si>
  <si>
    <t>LVA1692026</t>
  </si>
  <si>
    <t>LVA1732026</t>
  </si>
  <si>
    <t>IRRFCOMPMG</t>
  </si>
  <si>
    <t>IRRFFOP12/25MG</t>
  </si>
  <si>
    <t>51471993</t>
  </si>
  <si>
    <t>VTNVT09/02/26</t>
  </si>
  <si>
    <t>RES10763</t>
  </si>
  <si>
    <t>RES10764</t>
  </si>
  <si>
    <t>20/02/2026</t>
  </si>
  <si>
    <t>FGT012026SCMG</t>
  </si>
  <si>
    <t>FGT1641</t>
  </si>
  <si>
    <t>FPG3893</t>
  </si>
  <si>
    <t>LFL1152026</t>
  </si>
  <si>
    <t>LFL1162026</t>
  </si>
  <si>
    <t>LFL1172026</t>
  </si>
  <si>
    <t>LFL1182026</t>
  </si>
  <si>
    <t>LVA1442026</t>
  </si>
  <si>
    <t>BNFNVT18/02/26</t>
  </si>
  <si>
    <t>DIACOMFEVMG</t>
  </si>
  <si>
    <t>FPG3914</t>
  </si>
  <si>
    <t>RES10768</t>
  </si>
  <si>
    <t>23/02/2026</t>
  </si>
  <si>
    <t>GRF2669</t>
  </si>
  <si>
    <t>39002026</t>
  </si>
  <si>
    <t>39022026</t>
  </si>
  <si>
    <t>bl</t>
  </si>
  <si>
    <t>VTNVT18-02-26</t>
  </si>
  <si>
    <t>RES10774</t>
  </si>
  <si>
    <t>RES10775</t>
  </si>
  <si>
    <t>5005051</t>
  </si>
  <si>
    <t>5005052</t>
  </si>
  <si>
    <t>5005053</t>
  </si>
  <si>
    <t>5005055</t>
  </si>
  <si>
    <t>5005065</t>
  </si>
  <si>
    <t>5005074</t>
  </si>
  <si>
    <t>JAMES MICHEL PORTO PIMENTA</t>
  </si>
  <si>
    <t>5005079</t>
  </si>
  <si>
    <t>24/02/2026</t>
  </si>
  <si>
    <t>25/02/2026</t>
  </si>
  <si>
    <t>LVA1742026</t>
  </si>
  <si>
    <t>1106520220149</t>
  </si>
  <si>
    <t>WANDERLEI GOMES DE OLIVEIRA</t>
  </si>
  <si>
    <t>LAVA JATO FIRMINOS LTDA</t>
  </si>
  <si>
    <t>26/02/2026</t>
  </si>
  <si>
    <t>RES10795</t>
  </si>
  <si>
    <t>RES10796</t>
  </si>
  <si>
    <t>7197767/87</t>
  </si>
  <si>
    <t>7198312/87</t>
  </si>
  <si>
    <t>7198355/87</t>
  </si>
  <si>
    <t>7198572/87</t>
  </si>
  <si>
    <t>27/02/2026</t>
  </si>
  <si>
    <t>VT03/26MG</t>
  </si>
  <si>
    <t>MARCO VIEIRA DOS SANTOS</t>
  </si>
  <si>
    <t>PAULO JOSE MAIA CORDEIRO</t>
  </si>
  <si>
    <t>HORIZONTE DA AMAZÔNIA LOGÍSTICA LTDA</t>
  </si>
  <si>
    <t>01/03/2026</t>
  </si>
  <si>
    <t>FGT1657</t>
  </si>
  <si>
    <t>FGT1697</t>
  </si>
  <si>
    <t>02/03/2026</t>
  </si>
  <si>
    <t>AG09941972</t>
  </si>
  <si>
    <t>AH13479542</t>
  </si>
  <si>
    <t>MUNICIPIO DE BELO HORIZONTE</t>
  </si>
  <si>
    <t>AG10460113</t>
  </si>
  <si>
    <t>MUNICIPIO DE ITABIRITO</t>
  </si>
  <si>
    <t>03/03/2026</t>
  </si>
  <si>
    <t>VA1432026</t>
  </si>
  <si>
    <t>04/03/2026</t>
  </si>
  <si>
    <t>DANILO SANTOS BARBOSA</t>
  </si>
  <si>
    <t>5005054</t>
  </si>
  <si>
    <t>5005056</t>
  </si>
  <si>
    <t>5005057</t>
  </si>
  <si>
    <t>5005060</t>
  </si>
  <si>
    <t>5005066</t>
  </si>
  <si>
    <t>5005069</t>
  </si>
  <si>
    <t>5005072</t>
  </si>
  <si>
    <t>5005075</t>
  </si>
  <si>
    <t>CATIA MARIA ALVES MOREIRA</t>
  </si>
  <si>
    <t>5005130</t>
  </si>
  <si>
    <t>05/03/2026</t>
  </si>
  <si>
    <t>32026-87</t>
  </si>
  <si>
    <t>AUXCOM03/26MG</t>
  </si>
  <si>
    <t>DIAMG03/26</t>
  </si>
  <si>
    <t>VENDAFE03/26MG</t>
  </si>
  <si>
    <t>FER1827</t>
  </si>
  <si>
    <t>FPG3940</t>
  </si>
  <si>
    <t>PEN3376</t>
  </si>
  <si>
    <t>PEN3375</t>
  </si>
  <si>
    <t>5005097</t>
  </si>
  <si>
    <t>5005117</t>
  </si>
  <si>
    <t>5005124</t>
  </si>
  <si>
    <t>000021382ME0005</t>
  </si>
  <si>
    <t>PEN3374</t>
  </si>
  <si>
    <t>5005131</t>
  </si>
  <si>
    <t>06/03/2026</t>
  </si>
  <si>
    <t>5005085</t>
  </si>
  <si>
    <t>5005108</t>
  </si>
  <si>
    <t>09/03/2026</t>
  </si>
  <si>
    <t>38992026</t>
  </si>
  <si>
    <t>39032026</t>
  </si>
  <si>
    <t>5005048</t>
  </si>
  <si>
    <t>5005049</t>
  </si>
  <si>
    <t>5005050</t>
  </si>
  <si>
    <t>5005058</t>
  </si>
  <si>
    <t>5005059</t>
  </si>
  <si>
    <t>5005061</t>
  </si>
  <si>
    <t>5005062</t>
  </si>
  <si>
    <t>5005063</t>
  </si>
  <si>
    <t>5005064</t>
  </si>
  <si>
    <t>5005107</t>
  </si>
  <si>
    <t>5005067</t>
  </si>
  <si>
    <t>5005068</t>
  </si>
  <si>
    <t>5005070</t>
  </si>
  <si>
    <t>5005071</t>
  </si>
  <si>
    <t>5005120</t>
  </si>
  <si>
    <t>5005073</t>
  </si>
  <si>
    <t>5005121</t>
  </si>
  <si>
    <t>5005076</t>
  </si>
  <si>
    <t>5005077</t>
  </si>
  <si>
    <t>5005127</t>
  </si>
  <si>
    <t>5005078</t>
  </si>
  <si>
    <t>5005128</t>
  </si>
  <si>
    <t>5005081</t>
  </si>
  <si>
    <t>10/03/2026</t>
  </si>
  <si>
    <t>122382026</t>
  </si>
  <si>
    <t>49789554</t>
  </si>
  <si>
    <t>5005095</t>
  </si>
  <si>
    <t>PAULO HENRIQUE MACHADO RIBEIRO</t>
  </si>
  <si>
    <t>DANIEL WANDERSON DOS SANTOS BATISTA</t>
  </si>
  <si>
    <t>11/03/2026</t>
  </si>
  <si>
    <t>38972026</t>
  </si>
  <si>
    <t>390026</t>
  </si>
  <si>
    <t>39012026</t>
  </si>
  <si>
    <t>390226</t>
  </si>
  <si>
    <t>BNFNVT02/03/26</t>
  </si>
  <si>
    <t>DIANVT02/03/26</t>
  </si>
  <si>
    <t>JUIZDEFORA03/26</t>
  </si>
  <si>
    <t>RES10832</t>
  </si>
  <si>
    <t>Andre Leonardo de Almeida</t>
  </si>
  <si>
    <t>WADSON PEREIRA DE JESUS</t>
  </si>
  <si>
    <t>12/03/2026</t>
  </si>
  <si>
    <t>GRF2697</t>
  </si>
  <si>
    <t>VTNVT02/03/26MG</t>
  </si>
  <si>
    <t>RES10844</t>
  </si>
  <si>
    <t>RES10845</t>
  </si>
  <si>
    <t>RES10846</t>
  </si>
  <si>
    <t>13/03/2026</t>
  </si>
  <si>
    <t>BNFNVT02/03MG</t>
  </si>
  <si>
    <t>DIACOM03/26MG</t>
  </si>
  <si>
    <t>VTNVT02/03/26</t>
  </si>
  <si>
    <t>RDV200</t>
  </si>
  <si>
    <t>RDV105</t>
  </si>
  <si>
    <t>RDV350,00</t>
  </si>
  <si>
    <t>RDV210</t>
  </si>
  <si>
    <t>LEANDRO DOS SANTOS MAIA</t>
  </si>
  <si>
    <t>RDV35,00</t>
  </si>
  <si>
    <t>16/03/2026</t>
  </si>
  <si>
    <t>DIANVT09/03/26</t>
  </si>
  <si>
    <t>5005082</t>
  </si>
  <si>
    <t>5005083</t>
  </si>
  <si>
    <t>5005084</t>
  </si>
  <si>
    <t>AH13494177</t>
  </si>
  <si>
    <t>5005086</t>
  </si>
  <si>
    <t>5005087</t>
  </si>
  <si>
    <t>5005088</t>
  </si>
  <si>
    <t>5005089</t>
  </si>
  <si>
    <t>5005090</t>
  </si>
  <si>
    <t>5005091</t>
  </si>
  <si>
    <t>5005092</t>
  </si>
  <si>
    <t>5005093</t>
  </si>
  <si>
    <t>5005094</t>
  </si>
  <si>
    <t>5005096</t>
  </si>
  <si>
    <t>5005098</t>
  </si>
  <si>
    <t>5005099</t>
  </si>
  <si>
    <t>5005100</t>
  </si>
  <si>
    <t>5005101</t>
  </si>
  <si>
    <t>5005104</t>
  </si>
  <si>
    <t>5005105</t>
  </si>
  <si>
    <t>5005106</t>
  </si>
  <si>
    <t>5005109</t>
  </si>
  <si>
    <t>5005110</t>
  </si>
  <si>
    <t>5005111</t>
  </si>
  <si>
    <t>5005113</t>
  </si>
  <si>
    <t>5005114</t>
  </si>
  <si>
    <t>5005115</t>
  </si>
  <si>
    <t>5005116</t>
  </si>
  <si>
    <t>5005118</t>
  </si>
  <si>
    <t>5005119</t>
  </si>
  <si>
    <t>5005122</t>
  </si>
  <si>
    <t>CHRISTOPHER VENANCIO DE OLIVEIRA</t>
  </si>
  <si>
    <t>5005123</t>
  </si>
  <si>
    <t>5005125</t>
  </si>
  <si>
    <t>WEVERSON RODRIGO DA SILVA CARDOSO</t>
  </si>
  <si>
    <t>5005126</t>
  </si>
  <si>
    <t>5005129</t>
  </si>
  <si>
    <t>ADRIANO LIANDO DE SOUZA</t>
  </si>
  <si>
    <t>17/03/2026</t>
  </si>
  <si>
    <t>27754-5952-87</t>
  </si>
  <si>
    <t>368-1708-87</t>
  </si>
  <si>
    <t>368-5952-87</t>
  </si>
  <si>
    <t>582-1708-87</t>
  </si>
  <si>
    <t>582-5952-87</t>
  </si>
  <si>
    <t>831595-1708-87</t>
  </si>
  <si>
    <t>831595-5952-87</t>
  </si>
  <si>
    <t>897-1708-87</t>
  </si>
  <si>
    <t>897-5952-87</t>
  </si>
  <si>
    <t>INSSFEV/26MG</t>
  </si>
  <si>
    <t>NICOLAS PEREIRA DE BRITO</t>
  </si>
  <si>
    <t>18/03/2026</t>
  </si>
  <si>
    <t>19/03/2026</t>
  </si>
  <si>
    <t>RES10862</t>
  </si>
  <si>
    <t>RES10863</t>
  </si>
  <si>
    <t>50</t>
  </si>
  <si>
    <t>20/03/2026</t>
  </si>
  <si>
    <t>FGTS0226SCMG</t>
  </si>
  <si>
    <t>IRRFO01/26MG</t>
  </si>
  <si>
    <t>DIANVT16/03/26</t>
  </si>
  <si>
    <t>FPG3966</t>
  </si>
  <si>
    <t>DIONES MARTINS FALEIRO</t>
  </si>
  <si>
    <t>23/03/2026</t>
  </si>
  <si>
    <t>51753082</t>
  </si>
  <si>
    <t>BNFNVT16/03/26</t>
  </si>
  <si>
    <t>DIACOMP03/2026</t>
  </si>
  <si>
    <t>VTNVT16/03/26MG</t>
  </si>
  <si>
    <t>24/03/2026</t>
  </si>
  <si>
    <t>5005139</t>
  </si>
  <si>
    <t>5005161</t>
  </si>
  <si>
    <t>5005150</t>
  </si>
  <si>
    <t>5005151</t>
  </si>
  <si>
    <t>5005154</t>
  </si>
  <si>
    <t>5005156</t>
  </si>
  <si>
    <t>5005159</t>
  </si>
  <si>
    <t>Reginaldo Gomes da Silva</t>
  </si>
  <si>
    <t>25/03/2026</t>
  </si>
  <si>
    <t>BNFNVT20/03/26</t>
  </si>
  <si>
    <t>DIANVT20/03/26</t>
  </si>
  <si>
    <t>VTNVT20/03/26</t>
  </si>
  <si>
    <t>ADILSON PEREIRA DA SILVA</t>
  </si>
  <si>
    <t>26/03/2026</t>
  </si>
  <si>
    <t>27/03/2026</t>
  </si>
  <si>
    <t>RES10902</t>
  </si>
  <si>
    <t>LIRIOBERTON FERREIRA COSTA</t>
  </si>
  <si>
    <t>JOSE TEIXEIRA DE JESUS</t>
  </si>
  <si>
    <t>GUSTAVO MATIAS DOS SANTOS ROSALINO</t>
  </si>
  <si>
    <t>30/03/2026</t>
  </si>
  <si>
    <t>RES10906</t>
  </si>
  <si>
    <t>7426547/87</t>
  </si>
  <si>
    <t>nse</t>
  </si>
  <si>
    <t>7426559/87</t>
  </si>
  <si>
    <t>7426561/87</t>
  </si>
  <si>
    <t>7426568/87</t>
  </si>
  <si>
    <t>AH13285487</t>
  </si>
  <si>
    <t>AL02920113</t>
  </si>
  <si>
    <t>AL02930118</t>
  </si>
  <si>
    <t>5005134</t>
  </si>
  <si>
    <t>5005135</t>
  </si>
  <si>
    <t>5005137</t>
  </si>
  <si>
    <t>5005140</t>
  </si>
  <si>
    <t>5005142</t>
  </si>
  <si>
    <t>5005047</t>
  </si>
  <si>
    <t>THIAGO AUGUSTO DE MEIRA</t>
  </si>
  <si>
    <t>5005080</t>
  </si>
  <si>
    <t>31/03/2026</t>
  </si>
  <si>
    <t>22</t>
  </si>
  <si>
    <t>01/04/2026</t>
  </si>
  <si>
    <t>GRF2715</t>
  </si>
  <si>
    <t>VTMEN04/26MG</t>
  </si>
  <si>
    <t>RES10914</t>
  </si>
  <si>
    <t>ELISIO CERQUEIRA DE NOVAIS</t>
  </si>
  <si>
    <t>JR COMERCIO DE DOCES, BISCOITOS E FRIOS LTDA</t>
  </si>
  <si>
    <t>02/04/2026</t>
  </si>
  <si>
    <t>A.EX.J SUELY</t>
  </si>
  <si>
    <t>PORTO SEGURO CIA DE SEGUROS GERAIS</t>
  </si>
  <si>
    <t>06/04/2026</t>
  </si>
  <si>
    <t>42026-87</t>
  </si>
  <si>
    <t>AUXCOM04/2016MG</t>
  </si>
  <si>
    <t>DIA04/2026MG</t>
  </si>
  <si>
    <t>FER1843</t>
  </si>
  <si>
    <t>FPG3989</t>
  </si>
  <si>
    <t>PEN3412</t>
  </si>
  <si>
    <t>5005132</t>
  </si>
  <si>
    <t>PEN3411</t>
  </si>
  <si>
    <t>5005133</t>
  </si>
  <si>
    <t>CARLA EDUARDA MACHADO GONCALVES</t>
  </si>
  <si>
    <t>5005136</t>
  </si>
  <si>
    <t>5005173</t>
  </si>
  <si>
    <t>5005138</t>
  </si>
  <si>
    <t>EDSON DE OLIVEIRA DOS SANTOS</t>
  </si>
  <si>
    <t>5005102</t>
  </si>
  <si>
    <t>5005160</t>
  </si>
  <si>
    <t>5005141</t>
  </si>
  <si>
    <t>5005185</t>
  </si>
  <si>
    <t>5005143</t>
  </si>
  <si>
    <t>5005144</t>
  </si>
  <si>
    <t>5005145</t>
  </si>
  <si>
    <t>5005146</t>
  </si>
  <si>
    <t>5005147</t>
  </si>
  <si>
    <t>5005148</t>
  </si>
  <si>
    <t>5005149</t>
  </si>
  <si>
    <t>5005198</t>
  </si>
  <si>
    <t>RDV 350,00</t>
  </si>
  <si>
    <t>5005152</t>
  </si>
  <si>
    <t>5005200</t>
  </si>
  <si>
    <t>5005153</t>
  </si>
  <si>
    <t>RDV210,00</t>
  </si>
  <si>
    <t>000021382ME0006</t>
  </si>
  <si>
    <t>PEN3410</t>
  </si>
  <si>
    <t>5005155</t>
  </si>
  <si>
    <t>5005157</t>
  </si>
  <si>
    <t>6042026</t>
  </si>
  <si>
    <t>5005158</t>
  </si>
  <si>
    <t>A.EX.JC_LUIZ G</t>
  </si>
  <si>
    <t>LUIZ GUSTAVO BARBOSA</t>
  </si>
  <si>
    <t>A.EX.JC_USO VEI</t>
  </si>
  <si>
    <t>USO ALUGUEL DE VEICULOS LTDA</t>
  </si>
  <si>
    <t>07/04/2026</t>
  </si>
  <si>
    <t>BNFNVT01/04/26</t>
  </si>
  <si>
    <t>VTNVT01/04/26</t>
  </si>
  <si>
    <t>08/04/2026</t>
  </si>
  <si>
    <t>09/04/2026</t>
  </si>
  <si>
    <t>GRF2719</t>
  </si>
  <si>
    <t>DIANVT01/04/26</t>
  </si>
  <si>
    <t>RES10918</t>
  </si>
  <si>
    <t>RES10919</t>
  </si>
  <si>
    <t>RES10920</t>
  </si>
  <si>
    <t>RES10921</t>
  </si>
  <si>
    <t>RES10922</t>
  </si>
  <si>
    <t>5005165</t>
  </si>
  <si>
    <t>5005186</t>
  </si>
  <si>
    <t>5005189</t>
  </si>
  <si>
    <t>5005196</t>
  </si>
  <si>
    <t>10/04/2026</t>
  </si>
  <si>
    <t>253302026</t>
  </si>
  <si>
    <t>13/04/2026</t>
  </si>
  <si>
    <t>BNFNVT08/04/26</t>
  </si>
  <si>
    <t>VTNVT08/04/26</t>
  </si>
  <si>
    <t>PANIFICADORA HALEY LTDA</t>
  </si>
  <si>
    <t>5005174</t>
  </si>
  <si>
    <t>5005197</t>
  </si>
  <si>
    <t>5005199</t>
  </si>
  <si>
    <t>14/04/2026</t>
  </si>
  <si>
    <t>DIACOM04/26MG</t>
  </si>
  <si>
    <t>15/04/2026</t>
  </si>
  <si>
    <t>TVM0196994</t>
  </si>
  <si>
    <t>RES10957</t>
  </si>
  <si>
    <t>AH13620381</t>
  </si>
  <si>
    <t>AH13299498</t>
  </si>
  <si>
    <t>AH13299499</t>
  </si>
  <si>
    <t>AH13299500</t>
  </si>
  <si>
    <t>R100244519</t>
  </si>
  <si>
    <t>AG07660477</t>
  </si>
  <si>
    <t>MUNICIPIO DE JUIZ DE FORA</t>
  </si>
  <si>
    <t>J100107937</t>
  </si>
  <si>
    <t>16/04/2026</t>
  </si>
  <si>
    <t>1134-1708-87</t>
  </si>
  <si>
    <t>1134-5952-87</t>
  </si>
  <si>
    <t>28967-5952-87</t>
  </si>
  <si>
    <t>4477-1708-87</t>
  </si>
  <si>
    <t>4477-5952-87</t>
  </si>
  <si>
    <t>4499-5952-87</t>
  </si>
  <si>
    <t>670-1708-87</t>
  </si>
  <si>
    <t>670-5952-87</t>
  </si>
  <si>
    <t>833514-1708-87</t>
  </si>
  <si>
    <t>833514-5952-87</t>
  </si>
  <si>
    <t>9434-5952-87</t>
  </si>
  <si>
    <t>INSS03/26MG</t>
  </si>
  <si>
    <t>IRRFFEV/26MG</t>
  </si>
  <si>
    <t>5005162</t>
  </si>
  <si>
    <t>5005163</t>
  </si>
  <si>
    <t>5005164</t>
  </si>
  <si>
    <t>5005166</t>
  </si>
  <si>
    <t>5005167</t>
  </si>
  <si>
    <t>5005168</t>
  </si>
  <si>
    <t>5005169</t>
  </si>
  <si>
    <t>5005170</t>
  </si>
  <si>
    <t>5005171</t>
  </si>
  <si>
    <t>5005172</t>
  </si>
  <si>
    <t>5005175</t>
  </si>
  <si>
    <t>5005176</t>
  </si>
  <si>
    <t>5005177</t>
  </si>
  <si>
    <t>5005178</t>
  </si>
  <si>
    <t>5005179</t>
  </si>
  <si>
    <t>5005180</t>
  </si>
  <si>
    <t>5005181</t>
  </si>
  <si>
    <t>5005182</t>
  </si>
  <si>
    <t>5005183</t>
  </si>
  <si>
    <t>5005184</t>
  </si>
  <si>
    <t>5005187</t>
  </si>
  <si>
    <t>5005188</t>
  </si>
  <si>
    <t>5005190</t>
  </si>
  <si>
    <t>5005191</t>
  </si>
  <si>
    <t>5005192</t>
  </si>
  <si>
    <t>5005193</t>
  </si>
  <si>
    <t>5005194</t>
  </si>
  <si>
    <t>5005195</t>
  </si>
  <si>
    <t>5005201</t>
  </si>
  <si>
    <t>51</t>
  </si>
  <si>
    <t>5005203</t>
  </si>
  <si>
    <t>5005204</t>
  </si>
  <si>
    <t>5005205</t>
  </si>
  <si>
    <t>5005206</t>
  </si>
  <si>
    <t>5005207</t>
  </si>
  <si>
    <t>17/04/2026</t>
  </si>
  <si>
    <t>RES10985</t>
  </si>
  <si>
    <t>GERSON JUNIOR MENDES DIAS</t>
  </si>
  <si>
    <t>20/04/2026</t>
  </si>
  <si>
    <t>FGT032026SCMG</t>
  </si>
  <si>
    <t>FGT1736</t>
  </si>
  <si>
    <t>FGT1740</t>
  </si>
  <si>
    <t>FPG4019</t>
  </si>
  <si>
    <t>22/04/2026</t>
  </si>
  <si>
    <t>51977031</t>
  </si>
  <si>
    <t>RES10999</t>
  </si>
  <si>
    <t>5005214</t>
  </si>
  <si>
    <t>5005223</t>
  </si>
  <si>
    <t>5005224</t>
  </si>
  <si>
    <t>5005230</t>
  </si>
  <si>
    <t>5005232</t>
  </si>
  <si>
    <t>MAX BREDER VARGAS</t>
  </si>
  <si>
    <t>23/04/2026</t>
  </si>
  <si>
    <t>24</t>
  </si>
  <si>
    <t>24/04/2026</t>
  </si>
  <si>
    <t>5005229</t>
  </si>
  <si>
    <t>ANTONIO DA LUZ SILVA</t>
  </si>
  <si>
    <t>27/04/2026</t>
  </si>
  <si>
    <t>5005215</t>
  </si>
  <si>
    <t>5005221</t>
  </si>
  <si>
    <t>5005231</t>
  </si>
  <si>
    <t>EVERTON NATAL DA SILVA</t>
  </si>
  <si>
    <t>MARIANGELA DE PAULA FERREIRA</t>
  </si>
  <si>
    <t>28/04/2026</t>
  </si>
  <si>
    <t>389726</t>
  </si>
  <si>
    <t>389926</t>
  </si>
  <si>
    <t>390126</t>
  </si>
  <si>
    <t>390326</t>
  </si>
  <si>
    <t>7634578/87</t>
  </si>
  <si>
    <t>7634582/87</t>
  </si>
  <si>
    <t>7634666/87</t>
  </si>
  <si>
    <t>29/04/2026</t>
  </si>
  <si>
    <t>30/04/2026</t>
  </si>
  <si>
    <t>VT05/2026MG</t>
  </si>
  <si>
    <t>RES11050</t>
  </si>
  <si>
    <t>AH00916579</t>
  </si>
  <si>
    <t>AH13648054</t>
  </si>
  <si>
    <t>AL02961297</t>
  </si>
  <si>
    <t>AG10551376</t>
  </si>
  <si>
    <t>MUNICIPIO DE SANTA LUZIA</t>
  </si>
  <si>
    <t>AI07731322</t>
  </si>
  <si>
    <t>DEPARTAMENTO DE ESTRADAS DE RODAGEM DO ESTADO DE MINAS GERAIS</t>
  </si>
  <si>
    <t>AT01295010</t>
  </si>
  <si>
    <t>AG07666000</t>
  </si>
  <si>
    <t>AG06856223</t>
  </si>
  <si>
    <t>MUNICIPIO DE PONTE NOVA</t>
  </si>
  <si>
    <t>AG09798428</t>
  </si>
  <si>
    <t>MUNICIPIO DE ITAUNA</t>
  </si>
  <si>
    <t>MANOEL CALISTO DE FREITAS</t>
  </si>
  <si>
    <t>04/05/2026</t>
  </si>
  <si>
    <t>GRF2758</t>
  </si>
  <si>
    <t>FER1869</t>
  </si>
  <si>
    <t>RES11055</t>
  </si>
  <si>
    <t>RDV70</t>
  </si>
  <si>
    <t>5005212</t>
  </si>
  <si>
    <t>5005216</t>
  </si>
  <si>
    <t>5005218</t>
  </si>
  <si>
    <t>5005222</t>
  </si>
  <si>
    <t>5005227</t>
  </si>
  <si>
    <t>05/05/2026</t>
  </si>
  <si>
    <t>GRF2759</t>
  </si>
  <si>
    <t>AUXCOM05/26MG</t>
  </si>
  <si>
    <t>BNFCOMP05/26MG</t>
  </si>
  <si>
    <t>DIA05/26MG</t>
  </si>
  <si>
    <t>VENDAFE05-26MG</t>
  </si>
  <si>
    <t>VTCOMP05/26MG</t>
  </si>
  <si>
    <t>FPG4045</t>
  </si>
  <si>
    <t>RES11056</t>
  </si>
  <si>
    <t>PEN3470</t>
  </si>
  <si>
    <t>PEN3469</t>
  </si>
  <si>
    <t>PEN3468</t>
  </si>
  <si>
    <t>06/05/2026</t>
  </si>
  <si>
    <t>RES11061</t>
  </si>
  <si>
    <t>73</t>
  </si>
  <si>
    <t>5005208</t>
  </si>
  <si>
    <t>5005209</t>
  </si>
  <si>
    <t>5005210</t>
  </si>
  <si>
    <t>5005211</t>
  </si>
  <si>
    <t>5005213</t>
  </si>
  <si>
    <t>5005217</t>
  </si>
  <si>
    <t>5005219</t>
  </si>
  <si>
    <t>5005220</t>
  </si>
  <si>
    <t>5005225</t>
  </si>
  <si>
    <t>5005226</t>
  </si>
  <si>
    <t>5005228</t>
  </si>
  <si>
    <t>000021382ME0007</t>
  </si>
  <si>
    <t>5005202</t>
  </si>
  <si>
    <t>5005233</t>
  </si>
  <si>
    <t>5005234</t>
  </si>
  <si>
    <t>5005235</t>
  </si>
  <si>
    <t>5005236</t>
  </si>
  <si>
    <t>5005237</t>
  </si>
  <si>
    <t>5005238</t>
  </si>
  <si>
    <t>001</t>
  </si>
  <si>
    <t>07/05/2026</t>
  </si>
  <si>
    <t>BNFNVT04/05/26</t>
  </si>
  <si>
    <t>DIANVT04/05/26</t>
  </si>
  <si>
    <t>VTNVT04/05/26</t>
  </si>
  <si>
    <t>08/05/2026</t>
  </si>
  <si>
    <t>5005248</t>
  </si>
  <si>
    <t>5005268</t>
  </si>
  <si>
    <t>5005271</t>
  </si>
  <si>
    <t>5005275</t>
  </si>
  <si>
    <t>5005277</t>
  </si>
  <si>
    <t>5005279</t>
  </si>
  <si>
    <t>CARD EDITORAÇÃO ELETRONICA LTDA</t>
  </si>
  <si>
    <t>09/05/2026</t>
  </si>
  <si>
    <t>11/05/2026</t>
  </si>
  <si>
    <t>390572026</t>
  </si>
  <si>
    <t>5005247</t>
  </si>
  <si>
    <t>5005258</t>
  </si>
  <si>
    <t>5005272</t>
  </si>
  <si>
    <t>12/05/2026</t>
  </si>
  <si>
    <t>RES11075</t>
  </si>
  <si>
    <t>RES11076</t>
  </si>
  <si>
    <t>13/05/2026</t>
  </si>
  <si>
    <t>14/05/2026</t>
  </si>
  <si>
    <t>52026-87</t>
  </si>
  <si>
    <t>GRF2774</t>
  </si>
  <si>
    <t>RES11089</t>
  </si>
  <si>
    <t>RES11090</t>
  </si>
  <si>
    <t>55</t>
  </si>
  <si>
    <t>15/05/2026</t>
  </si>
  <si>
    <t>BNFNVT08/05/26M</t>
  </si>
  <si>
    <t>VTNVT08/05/26MG</t>
  </si>
  <si>
    <t>AL02987452</t>
  </si>
  <si>
    <t>AL03016993</t>
  </si>
  <si>
    <t>AL03022087</t>
  </si>
  <si>
    <t>AG09554233</t>
  </si>
  <si>
    <t>PREFEITURA MUNICIPAL DE BARBACENA</t>
  </si>
  <si>
    <t>AI07785711</t>
  </si>
  <si>
    <t>AH13653993</t>
  </si>
  <si>
    <t>AH13658834</t>
  </si>
  <si>
    <t>N300036540</t>
  </si>
  <si>
    <t>PN00003345</t>
  </si>
  <si>
    <t>AG09798696</t>
  </si>
  <si>
    <t>18/05/2026</t>
  </si>
  <si>
    <t>GRF2783</t>
  </si>
  <si>
    <t>1271-1708-87</t>
  </si>
  <si>
    <t>1271-5952-87</t>
  </si>
  <si>
    <t>12797-5952-87</t>
  </si>
  <si>
    <t>12798-5952-87</t>
  </si>
  <si>
    <t>1376-1708-87</t>
  </si>
  <si>
    <t>1376-5952-87</t>
  </si>
  <si>
    <t>15632-5952-87</t>
  </si>
  <si>
    <t>15633-5952-87</t>
  </si>
  <si>
    <t>30149-5952-87</t>
  </si>
  <si>
    <t>5676-1708-87</t>
  </si>
  <si>
    <t>5676-5952-87</t>
  </si>
  <si>
    <t>6680-1708-87</t>
  </si>
  <si>
    <t>6680-5952-87</t>
  </si>
  <si>
    <t>781-1708-87</t>
  </si>
  <si>
    <t>781-5952-87</t>
  </si>
  <si>
    <t>835888-1708-87</t>
  </si>
  <si>
    <t>835888-5952-87</t>
  </si>
  <si>
    <t>INSS04/26MG</t>
  </si>
  <si>
    <t>RES11121</t>
  </si>
  <si>
    <t>5005239</t>
  </si>
  <si>
    <t>5005240</t>
  </si>
  <si>
    <t>5005241</t>
  </si>
  <si>
    <t>5005242</t>
  </si>
  <si>
    <t>5005243</t>
  </si>
  <si>
    <t>5005244</t>
  </si>
  <si>
    <t>5005245</t>
  </si>
  <si>
    <t>5005246</t>
  </si>
  <si>
    <t>5005250</t>
  </si>
  <si>
    <t>5005251</t>
  </si>
  <si>
    <t>5005252</t>
  </si>
  <si>
    <t>5005253</t>
  </si>
  <si>
    <t>5005254</t>
  </si>
  <si>
    <t>5005255</t>
  </si>
  <si>
    <t>5005256</t>
  </si>
  <si>
    <t>5005257</t>
  </si>
  <si>
    <t>5005259</t>
  </si>
  <si>
    <t>5005260</t>
  </si>
  <si>
    <t>5005261</t>
  </si>
  <si>
    <t>5005262</t>
  </si>
  <si>
    <t>5005263</t>
  </si>
  <si>
    <t>5005264</t>
  </si>
  <si>
    <t>5005265</t>
  </si>
  <si>
    <t>5005266</t>
  </si>
  <si>
    <t>5005267</t>
  </si>
  <si>
    <t>5005269</t>
  </si>
  <si>
    <t>5005270</t>
  </si>
  <si>
    <t>5005273</t>
  </si>
  <si>
    <t>5005274</t>
  </si>
  <si>
    <t>5005276</t>
  </si>
  <si>
    <t>5005278</t>
  </si>
  <si>
    <t>19/05/2026</t>
  </si>
  <si>
    <t>SULAMITHA GABRIELA ALMEIDA FERREIRA</t>
  </si>
  <si>
    <t>20/05/2026</t>
  </si>
  <si>
    <t>FGT042026SCMG</t>
  </si>
  <si>
    <t>FGT1793</t>
  </si>
  <si>
    <t>FGT1794</t>
  </si>
  <si>
    <t>IRRF03/26MG</t>
  </si>
  <si>
    <t>IRRFRES04/26MG</t>
  </si>
  <si>
    <t>52204638</t>
  </si>
  <si>
    <t>FPG4075</t>
  </si>
  <si>
    <t>21/05/2026</t>
  </si>
  <si>
    <t>PEDRO HENRIQUE FERREIRA SANTOS BARBOSA</t>
  </si>
  <si>
    <t>22/05/2026</t>
  </si>
  <si>
    <t>BNFNVT18/05/26M</t>
  </si>
  <si>
    <t>DIANVT18/05/26</t>
  </si>
  <si>
    <t>VTNVT18/05/26MG</t>
  </si>
  <si>
    <t>23/05/2026</t>
  </si>
  <si>
    <t>25/05/2026</t>
  </si>
  <si>
    <t>5005288</t>
  </si>
  <si>
    <t>5005294</t>
  </si>
  <si>
    <t>5005296</t>
  </si>
  <si>
    <t>26/05/2026</t>
  </si>
  <si>
    <t>SOY7F552026</t>
  </si>
  <si>
    <t>27/05/2026</t>
  </si>
  <si>
    <t>GRF2792</t>
  </si>
  <si>
    <t>RES11144</t>
  </si>
  <si>
    <t>RES11145</t>
  </si>
  <si>
    <t>28/05/2026</t>
  </si>
  <si>
    <t>MARTINS FERNANDES LANCHONETE LTDA M E</t>
  </si>
  <si>
    <t>7870408/87</t>
  </si>
  <si>
    <t>7870410/87</t>
  </si>
  <si>
    <t>7870413/87</t>
  </si>
  <si>
    <t>7870507/87</t>
  </si>
  <si>
    <t>27</t>
  </si>
  <si>
    <t>5005292</t>
  </si>
  <si>
    <t>5005298</t>
  </si>
  <si>
    <t>5005300</t>
  </si>
  <si>
    <t>29/05/2026</t>
  </si>
  <si>
    <t>ESDRAS CAMARGO DOS SANTOS</t>
  </si>
  <si>
    <t>30/05/2026</t>
  </si>
  <si>
    <t>HORIZONTE LOGÍSTICA LTDA</t>
  </si>
  <si>
    <t>01/06/2026</t>
  </si>
  <si>
    <t>N003642663</t>
  </si>
  <si>
    <t>DEPARTAMENTO DE POLICIA RODOVIARIA FEDERAL</t>
  </si>
  <si>
    <t>VT06/26MG</t>
  </si>
  <si>
    <t>RES11162</t>
  </si>
  <si>
    <t>AH13666932</t>
  </si>
  <si>
    <t>AH13673330</t>
  </si>
  <si>
    <t>AH13685776</t>
  </si>
  <si>
    <t>AL03029162</t>
  </si>
  <si>
    <t>IA00027131</t>
  </si>
  <si>
    <t>MUNICIPIO DE ITABIRA</t>
  </si>
  <si>
    <t>JM00016853</t>
  </si>
  <si>
    <t>02/06/2026</t>
  </si>
  <si>
    <t>5005289</t>
  </si>
  <si>
    <t>5005295</t>
  </si>
  <si>
    <t>5005303</t>
  </si>
  <si>
    <t>5005310</t>
  </si>
  <si>
    <t>03/06/2026</t>
  </si>
  <si>
    <t>05/06/2026</t>
  </si>
  <si>
    <t>AUXCOM06/2026MG</t>
  </si>
  <si>
    <t>COMPFERIA05/26</t>
  </si>
  <si>
    <t>DIAJUNHO/26MG</t>
  </si>
  <si>
    <t>FER1898</t>
  </si>
  <si>
    <t>FPG4117</t>
  </si>
  <si>
    <t>PEN3562</t>
  </si>
  <si>
    <t>PEN3561</t>
  </si>
  <si>
    <t>PEN3560</t>
  </si>
  <si>
    <t>AGF Extra Minas Shopping</t>
  </si>
  <si>
    <t>08/06/2026</t>
  </si>
  <si>
    <t>62026-87</t>
  </si>
  <si>
    <t>GRF2802</t>
  </si>
  <si>
    <t>BNFNVT01/06/26</t>
  </si>
  <si>
    <t>DIANVT01/06/26</t>
  </si>
  <si>
    <t>VTNVT01/06/26</t>
  </si>
  <si>
    <t>RES11174</t>
  </si>
  <si>
    <t>RES11175</t>
  </si>
  <si>
    <t>5005311</t>
  </si>
  <si>
    <t>5005312</t>
  </si>
  <si>
    <t>5005313</t>
  </si>
  <si>
    <t>5005284</t>
  </si>
  <si>
    <t>5005286</t>
  </si>
  <si>
    <t>5005287</t>
  </si>
  <si>
    <t>5005290</t>
  </si>
  <si>
    <t>5005291</t>
  </si>
  <si>
    <t>5005293</t>
  </si>
  <si>
    <t>5005297</t>
  </si>
  <si>
    <t>5005299</t>
  </si>
  <si>
    <t>5005301</t>
  </si>
  <si>
    <t>5005302</t>
  </si>
  <si>
    <t>5005304</t>
  </si>
  <si>
    <t>000021382ME0008</t>
  </si>
  <si>
    <t>5005305</t>
  </si>
  <si>
    <t>5005306</t>
  </si>
  <si>
    <t>5005307</t>
  </si>
  <si>
    <t>5005308</t>
  </si>
  <si>
    <t>5005309</t>
  </si>
  <si>
    <t>09/06/2026</t>
  </si>
  <si>
    <t>10/06/2026</t>
  </si>
  <si>
    <t>502892026</t>
  </si>
  <si>
    <t>11/06/2026</t>
  </si>
  <si>
    <t>900</t>
  </si>
  <si>
    <t>12/06/2026</t>
  </si>
  <si>
    <t>GRF2812</t>
  </si>
  <si>
    <t>RES11196</t>
  </si>
  <si>
    <t>RDV175</t>
  </si>
  <si>
    <t>JAMILLY LOPES SANTOS</t>
  </si>
  <si>
    <t>RDV245</t>
  </si>
  <si>
    <t>15/06/2026</t>
  </si>
  <si>
    <t>1468-1708-87</t>
  </si>
  <si>
    <t>1468-5952-87</t>
  </si>
  <si>
    <t>19318-5952-87</t>
  </si>
  <si>
    <t>19319-5952-87</t>
  </si>
  <si>
    <t>31018-5952-87</t>
  </si>
  <si>
    <t>8053-1708-87</t>
  </si>
  <si>
    <t>8053-5952-87</t>
  </si>
  <si>
    <t>838129-1708-87</t>
  </si>
  <si>
    <t>838129-5952-87</t>
  </si>
  <si>
    <t>869-1708-87</t>
  </si>
  <si>
    <t>869-5952-87</t>
  </si>
  <si>
    <t>INSS06/26MG</t>
  </si>
  <si>
    <t>IRRFFE05/26MG</t>
  </si>
  <si>
    <t>IRRFFO04/26MG</t>
  </si>
  <si>
    <t>N004049779</t>
  </si>
  <si>
    <t>AH13529972</t>
  </si>
  <si>
    <t>AH13535533</t>
  </si>
  <si>
    <t>AH13699315</t>
  </si>
  <si>
    <t>AH13711731</t>
  </si>
  <si>
    <t>AH13724789</t>
  </si>
  <si>
    <t>AH13748395</t>
  </si>
  <si>
    <t>AI07858003</t>
  </si>
  <si>
    <t>5005340</t>
  </si>
  <si>
    <t>5005342</t>
  </si>
  <si>
    <t>RA00005294</t>
  </si>
  <si>
    <t>MUNICIPIO DE PATOS DE MINAS</t>
  </si>
  <si>
    <t>AG10241061</t>
  </si>
  <si>
    <t>R100265522</t>
  </si>
  <si>
    <t>5005366</t>
  </si>
  <si>
    <t>NIC0000591</t>
  </si>
  <si>
    <t>AEJX_RAYNNER</t>
  </si>
  <si>
    <t>RAYNNER ACACIO DA CONCEICAO</t>
  </si>
  <si>
    <t>190755</t>
  </si>
  <si>
    <t>AUTO MAIS CLUBE DE BENEFICIOS E PROTECAO VEICULAR DE IBIRITE</t>
  </si>
  <si>
    <t>E200008555</t>
  </si>
  <si>
    <t>16/06/2026</t>
  </si>
  <si>
    <t>RES11206</t>
  </si>
  <si>
    <t>5005324</t>
  </si>
  <si>
    <t>5005325</t>
  </si>
  <si>
    <t>5005318</t>
  </si>
  <si>
    <t>5005326</t>
  </si>
  <si>
    <t>5005328</t>
  </si>
  <si>
    <t>5005329</t>
  </si>
  <si>
    <t>5005330</t>
  </si>
  <si>
    <t>5005331</t>
  </si>
  <si>
    <t>5005332</t>
  </si>
  <si>
    <t>5005333</t>
  </si>
  <si>
    <t>5005334</t>
  </si>
  <si>
    <t>5005335</t>
  </si>
  <si>
    <t>5005336</t>
  </si>
  <si>
    <t>5005337</t>
  </si>
  <si>
    <t>5005339</t>
  </si>
  <si>
    <t>5005341</t>
  </si>
  <si>
    <t>5005343</t>
  </si>
  <si>
    <t>5005344</t>
  </si>
  <si>
    <t>5005362</t>
  </si>
  <si>
    <t>5005363</t>
  </si>
  <si>
    <t>5005348</t>
  </si>
  <si>
    <t>5005349</t>
  </si>
  <si>
    <t>5005350</t>
  </si>
  <si>
    <t>5005351</t>
  </si>
  <si>
    <t>5005353</t>
  </si>
  <si>
    <t>PENRES140608</t>
  </si>
  <si>
    <t>5005322</t>
  </si>
  <si>
    <t>5005355</t>
  </si>
  <si>
    <t>5005356</t>
  </si>
  <si>
    <t>5005357</t>
  </si>
  <si>
    <t>17/06/2026</t>
  </si>
  <si>
    <t>DIACOM06/26</t>
  </si>
  <si>
    <t>5005319</t>
  </si>
  <si>
    <t>5005327</t>
  </si>
  <si>
    <t>5005314</t>
  </si>
  <si>
    <t>5005360</t>
  </si>
  <si>
    <t>5005345</t>
  </si>
  <si>
    <t>5005358</t>
  </si>
  <si>
    <t>5005347</t>
  </si>
  <si>
    <t>5005352</t>
  </si>
  <si>
    <t>5005354</t>
  </si>
  <si>
    <t>18/06/2026</t>
  </si>
  <si>
    <t>RES11219</t>
  </si>
  <si>
    <t>19/06/2026</t>
  </si>
  <si>
    <t>FGT052026SCMG</t>
  </si>
  <si>
    <t>FGT1827</t>
  </si>
  <si>
    <t>FGT1828</t>
  </si>
  <si>
    <t>20/06/2026</t>
  </si>
  <si>
    <t>22/06/2026</t>
  </si>
  <si>
    <t>52450397</t>
  </si>
  <si>
    <t>DIACOM06/26MG</t>
  </si>
  <si>
    <t>FPG4119</t>
  </si>
  <si>
    <t>ND ROCHA</t>
  </si>
  <si>
    <t>5005367</t>
  </si>
  <si>
    <t>23/06/2026</t>
  </si>
  <si>
    <t>24/06/2026</t>
  </si>
  <si>
    <t>25/06/2026</t>
  </si>
  <si>
    <t>26/06/2026</t>
  </si>
  <si>
    <t>BNFNVT22/06/26</t>
  </si>
  <si>
    <t>DIANVT22/06/26</t>
  </si>
  <si>
    <t>VTNVT22/06/26</t>
  </si>
  <si>
    <t>29/06/2026</t>
  </si>
  <si>
    <t>8093350/87</t>
  </si>
  <si>
    <t>8107496/87</t>
  </si>
  <si>
    <t>8107498/87</t>
  </si>
  <si>
    <t>8107510/87</t>
  </si>
  <si>
    <t>RDV300</t>
  </si>
  <si>
    <t>5005386</t>
  </si>
  <si>
    <t>5005392</t>
  </si>
  <si>
    <t>5005400</t>
  </si>
  <si>
    <t>5005406</t>
  </si>
  <si>
    <t>30/06/2026</t>
  </si>
  <si>
    <t>N000046022</t>
  </si>
  <si>
    <t>8137098/87</t>
  </si>
  <si>
    <t>5005338</t>
  </si>
  <si>
    <t>AH13777274</t>
  </si>
  <si>
    <t>AH13784278</t>
  </si>
  <si>
    <t>AH13784361</t>
  </si>
  <si>
    <t>01/07/2026</t>
  </si>
  <si>
    <t>VTJULHO/26MG</t>
  </si>
  <si>
    <t>5005401</t>
  </si>
  <si>
    <t>02/07/2026</t>
  </si>
  <si>
    <t>68</t>
  </si>
  <si>
    <t>03/07/2026</t>
  </si>
  <si>
    <t>RES11256</t>
  </si>
  <si>
    <t>RES11257</t>
  </si>
  <si>
    <t>06/07/2026</t>
  </si>
  <si>
    <t>72026-87</t>
  </si>
  <si>
    <t>AUXCOM07/26</t>
  </si>
  <si>
    <t>DIARIA07/26</t>
  </si>
  <si>
    <t>VENDAFERI07/26</t>
  </si>
  <si>
    <t>FER1925</t>
  </si>
  <si>
    <t>FPG4152</t>
  </si>
  <si>
    <t>FPG4153</t>
  </si>
  <si>
    <t>5005380</t>
  </si>
  <si>
    <t>PEN3584</t>
  </si>
  <si>
    <t>PEN3585</t>
  </si>
  <si>
    <t>PEN3582</t>
  </si>
  <si>
    <t>PEN3583</t>
  </si>
  <si>
    <t>5005382</t>
  </si>
  <si>
    <t>5005383</t>
  </si>
  <si>
    <t>5005375</t>
  </si>
  <si>
    <t>5005384</t>
  </si>
  <si>
    <t>5005385</t>
  </si>
  <si>
    <t>5005387</t>
  </si>
  <si>
    <t>5005388</t>
  </si>
  <si>
    <t>5005389</t>
  </si>
  <si>
    <t>5005390</t>
  </si>
  <si>
    <t>5005391</t>
  </si>
  <si>
    <t>5005393</t>
  </si>
  <si>
    <t>5005410</t>
  </si>
  <si>
    <t>5005394</t>
  </si>
  <si>
    <t>5005395</t>
  </si>
  <si>
    <t>5005396</t>
  </si>
  <si>
    <t>5005397</t>
  </si>
  <si>
    <t>5005407</t>
  </si>
  <si>
    <t>5005398</t>
  </si>
  <si>
    <t>5005365</t>
  </si>
  <si>
    <t>5005399</t>
  </si>
  <si>
    <t>000021382ME0009</t>
  </si>
  <si>
    <t>5005402</t>
  </si>
  <si>
    <t>5005403</t>
  </si>
  <si>
    <t>5005404</t>
  </si>
  <si>
    <t>5005405</t>
  </si>
  <si>
    <t>07/07/2026</t>
  </si>
  <si>
    <t>5005418</t>
  </si>
  <si>
    <t>08/07/2026</t>
  </si>
  <si>
    <t>BNFNVT01/07/26</t>
  </si>
  <si>
    <t>DIANVT01/07/26</t>
  </si>
  <si>
    <t>VTNVT01/07/26</t>
  </si>
  <si>
    <t>09/07/2026</t>
  </si>
  <si>
    <t>GRF2838</t>
  </si>
  <si>
    <t>RES11272</t>
  </si>
  <si>
    <t>10/07/2026</t>
  </si>
  <si>
    <t>642322026</t>
  </si>
  <si>
    <t>70</t>
  </si>
  <si>
    <t>13/07/2026</t>
  </si>
  <si>
    <t>5005433</t>
  </si>
  <si>
    <t>5005440</t>
  </si>
  <si>
    <t>5005450</t>
  </si>
  <si>
    <t>14/07/2026</t>
  </si>
  <si>
    <t>2026</t>
  </si>
  <si>
    <t>5005439</t>
  </si>
  <si>
    <t>5005442</t>
  </si>
  <si>
    <t>5005444</t>
  </si>
  <si>
    <t>15/07/2026</t>
  </si>
  <si>
    <t>GRF2848</t>
  </si>
  <si>
    <t>S048730734</t>
  </si>
  <si>
    <t>1040-1708-87</t>
  </si>
  <si>
    <t>1040-5952-87</t>
  </si>
  <si>
    <t>1685-1708-87</t>
  </si>
  <si>
    <t>1685-5952-87</t>
  </si>
  <si>
    <t>24355-5952-87</t>
  </si>
  <si>
    <t>24356-5952-87</t>
  </si>
  <si>
    <t>32127-5952-87</t>
  </si>
  <si>
    <t>839885-1708-87</t>
  </si>
  <si>
    <t>839885-5952-87</t>
  </si>
  <si>
    <t>9091-1708-87</t>
  </si>
  <si>
    <t>9091-5952-87</t>
  </si>
  <si>
    <t>INSS06/26SCMG</t>
  </si>
  <si>
    <t>INSSDIS0626SCMG</t>
  </si>
  <si>
    <t>BNFNVT08/07MG</t>
  </si>
  <si>
    <t>VTNVT08/07MG</t>
  </si>
  <si>
    <t>RES11295</t>
  </si>
  <si>
    <t>RES11300</t>
  </si>
  <si>
    <t>AH13546172</t>
  </si>
  <si>
    <t>AH13572763</t>
  </si>
  <si>
    <t>AH13803759</t>
  </si>
  <si>
    <t>AH13809811</t>
  </si>
  <si>
    <t>AH13815412</t>
  </si>
  <si>
    <t>AH13832639</t>
  </si>
  <si>
    <t>N300044753</t>
  </si>
  <si>
    <t>N300044972</t>
  </si>
  <si>
    <t>N300045666</t>
  </si>
  <si>
    <t>16/07/2026</t>
  </si>
  <si>
    <t>17/07/2026</t>
  </si>
  <si>
    <t>BNFNVT13/07/26</t>
  </si>
  <si>
    <t>VTNVT13/07/26</t>
  </si>
  <si>
    <t>RES11305</t>
  </si>
  <si>
    <t>5005419</t>
  </si>
  <si>
    <t>5005420</t>
  </si>
  <si>
    <t>5005421</t>
  </si>
  <si>
    <t>5005422</t>
  </si>
  <si>
    <t>5005423</t>
  </si>
  <si>
    <t>5005424</t>
  </si>
  <si>
    <t>5005425</t>
  </si>
  <si>
    <t>5005426</t>
  </si>
  <si>
    <t>5005427</t>
  </si>
  <si>
    <t>5005428</t>
  </si>
  <si>
    <t>5005429</t>
  </si>
  <si>
    <t>5005430</t>
  </si>
  <si>
    <t>5005431</t>
  </si>
  <si>
    <t>5005432</t>
  </si>
  <si>
    <t>5005434</t>
  </si>
  <si>
    <t>5005435</t>
  </si>
  <si>
    <t>5005436</t>
  </si>
  <si>
    <t>5005437</t>
  </si>
  <si>
    <t>5005438</t>
  </si>
  <si>
    <t>5005441</t>
  </si>
  <si>
    <t>RDV350</t>
  </si>
  <si>
    <t>5005443</t>
  </si>
  <si>
    <t>5005445</t>
  </si>
  <si>
    <t>5005446</t>
  </si>
  <si>
    <t>5005447</t>
  </si>
  <si>
    <t>20/07/2026</t>
  </si>
  <si>
    <t>FGT062026SCMG</t>
  </si>
  <si>
    <t>FGT1882</t>
  </si>
  <si>
    <t>FGT1883</t>
  </si>
  <si>
    <t>IRRFFO05/26MG</t>
  </si>
  <si>
    <t>IRR147</t>
  </si>
  <si>
    <t>52708611</t>
  </si>
  <si>
    <t>FPG4174</t>
  </si>
  <si>
    <t>21/07/2026</t>
  </si>
  <si>
    <t>5005457</t>
  </si>
  <si>
    <t>5005470</t>
  </si>
  <si>
    <t>5005476</t>
  </si>
  <si>
    <t>71</t>
  </si>
  <si>
    <t>22/07/2026</t>
  </si>
  <si>
    <t>GRF2858</t>
  </si>
  <si>
    <t>BNFNVT16/07/26</t>
  </si>
  <si>
    <t>DIACOM07/26</t>
  </si>
  <si>
    <t>DIANVT16/07/26</t>
  </si>
  <si>
    <t>VTNVT16/07/26</t>
  </si>
  <si>
    <t>RES11314</t>
  </si>
  <si>
    <t>23/07/2026</t>
  </si>
  <si>
    <t>72</t>
  </si>
  <si>
    <t>24/07/2026</t>
  </si>
  <si>
    <t>GRF2863</t>
  </si>
  <si>
    <t>BNFNVT20/07/26</t>
  </si>
  <si>
    <t>DIANVT07/26</t>
  </si>
  <si>
    <t>VTNVT20/07/26MG</t>
  </si>
  <si>
    <t>RES11323</t>
  </si>
  <si>
    <t>RES11324</t>
  </si>
  <si>
    <t>5005456</t>
  </si>
  <si>
    <t>5005479</t>
  </si>
  <si>
    <t>27/07/2026</t>
  </si>
  <si>
    <t>5005475</t>
  </si>
  <si>
    <t>5005484</t>
  </si>
  <si>
    <t>28/07/2026</t>
  </si>
  <si>
    <t>GRF2866</t>
  </si>
  <si>
    <t>RES11328</t>
  </si>
  <si>
    <t>29/07/2026</t>
  </si>
  <si>
    <t>GRF2868</t>
  </si>
  <si>
    <t>RES11330</t>
  </si>
  <si>
    <t>RES11331</t>
  </si>
  <si>
    <t>8377614/87</t>
  </si>
  <si>
    <t>8377620/87</t>
  </si>
  <si>
    <t>8377755/87</t>
  </si>
  <si>
    <t>8377762/87</t>
  </si>
  <si>
    <t>30/07/2026</t>
  </si>
  <si>
    <t>AH13839060</t>
  </si>
  <si>
    <t>AH13852825</t>
  </si>
  <si>
    <t>AH13868119</t>
  </si>
  <si>
    <t>AH13983388</t>
  </si>
  <si>
    <t>AH13988904</t>
  </si>
  <si>
    <t>AH13997260</t>
  </si>
  <si>
    <t>AH13997262</t>
  </si>
  <si>
    <t>AH14009240</t>
  </si>
  <si>
    <t>AI09321050</t>
  </si>
  <si>
    <t>AG10249574</t>
  </si>
  <si>
    <t>NIC0007978</t>
  </si>
  <si>
    <t>PN00005485</t>
  </si>
  <si>
    <t>31/07/2026</t>
  </si>
  <si>
    <t>VT08/26MG</t>
  </si>
  <si>
    <t>RDV480</t>
  </si>
  <si>
    <t>AG07680817</t>
  </si>
  <si>
    <t>03/08/2026</t>
  </si>
  <si>
    <t>04/08/2026</t>
  </si>
  <si>
    <t>38982026</t>
  </si>
  <si>
    <t>05/08/2026</t>
  </si>
  <si>
    <t>AUXCOMB08/26MG</t>
  </si>
  <si>
    <t>COMPFER140490</t>
  </si>
  <si>
    <t>DIA08/26MG</t>
  </si>
  <si>
    <t>FPG4198</t>
  </si>
  <si>
    <t>06/08/2026</t>
  </si>
  <si>
    <t>5005451</t>
  </si>
  <si>
    <t>5005452</t>
  </si>
  <si>
    <t>PEN3629</t>
  </si>
  <si>
    <t>5005453</t>
  </si>
  <si>
    <t>PEN3628</t>
  </si>
  <si>
    <t>5005455</t>
  </si>
  <si>
    <t>5005458</t>
  </si>
  <si>
    <t>5005459</t>
  </si>
  <si>
    <t>5005460</t>
  </si>
  <si>
    <t>5005461</t>
  </si>
  <si>
    <t>5005462</t>
  </si>
  <si>
    <t>5005463</t>
  </si>
  <si>
    <t>5005464</t>
  </si>
  <si>
    <t>5005465</t>
  </si>
  <si>
    <t>5005466</t>
  </si>
  <si>
    <t>5005467</t>
  </si>
  <si>
    <t>5005468</t>
  </si>
  <si>
    <t>5005469</t>
  </si>
  <si>
    <t>5005471</t>
  </si>
  <si>
    <t>5005472</t>
  </si>
  <si>
    <t>5005473</t>
  </si>
  <si>
    <t>5005474</t>
  </si>
  <si>
    <t>5005477</t>
  </si>
  <si>
    <t>5005478</t>
  </si>
  <si>
    <t>5005480</t>
  </si>
  <si>
    <t>5005482</t>
  </si>
  <si>
    <t>5005483</t>
  </si>
  <si>
    <t>5005481</t>
  </si>
  <si>
    <t>RAPHAEL PRAIS COSTA OLIVEIRA</t>
  </si>
  <si>
    <t>07/08/2026</t>
  </si>
  <si>
    <t>82026-87</t>
  </si>
  <si>
    <t>FER1950</t>
  </si>
  <si>
    <t>5005491</t>
  </si>
  <si>
    <t>5005504</t>
  </si>
  <si>
    <t>000021382ME0010</t>
  </si>
  <si>
    <t>5005506</t>
  </si>
  <si>
    <t>10/08/2026</t>
  </si>
  <si>
    <t>BNFNVT03/08/26</t>
  </si>
  <si>
    <t>VTNVT08/2026</t>
  </si>
  <si>
    <t>769792026</t>
  </si>
  <si>
    <t>5005502</t>
  </si>
  <si>
    <t>11/08/2026</t>
  </si>
  <si>
    <t>DIANVT030826</t>
  </si>
  <si>
    <t>41</t>
  </si>
  <si>
    <t>12/08/2026</t>
  </si>
  <si>
    <t>13/08/2026</t>
  </si>
  <si>
    <t>GRF2881</t>
  </si>
  <si>
    <t>RES11383</t>
  </si>
  <si>
    <t>RES11384</t>
  </si>
  <si>
    <t>8494995/87</t>
  </si>
  <si>
    <t>8495030/87</t>
  </si>
  <si>
    <t>14/08/2026</t>
  </si>
  <si>
    <t>GRF2885</t>
  </si>
  <si>
    <t>RES11395</t>
  </si>
  <si>
    <t>RES11396</t>
  </si>
  <si>
    <t>RDV204</t>
  </si>
  <si>
    <t>17/08/2026</t>
  </si>
  <si>
    <t>GRF2887</t>
  </si>
  <si>
    <t>AG10473105</t>
  </si>
  <si>
    <t>RES11402</t>
  </si>
  <si>
    <t>5005485</t>
  </si>
  <si>
    <t>AL03101526</t>
  </si>
  <si>
    <t>5005486</t>
  </si>
  <si>
    <t>5005487</t>
  </si>
  <si>
    <t>5005488</t>
  </si>
  <si>
    <t>5005489</t>
  </si>
  <si>
    <t>AH14023385</t>
  </si>
  <si>
    <t>AH14033241</t>
  </si>
  <si>
    <t>5005490</t>
  </si>
  <si>
    <t>5005492</t>
  </si>
  <si>
    <t>5005493</t>
  </si>
  <si>
    <t>5005494</t>
  </si>
  <si>
    <t>NIC0010315</t>
  </si>
  <si>
    <t>5005495</t>
  </si>
  <si>
    <t>5005496</t>
  </si>
  <si>
    <t>5005497</t>
  </si>
  <si>
    <t>5005498</t>
  </si>
  <si>
    <t>5005500</t>
  </si>
  <si>
    <t>P300109784</t>
  </si>
  <si>
    <t>N300051713</t>
  </si>
  <si>
    <t>N300051775</t>
  </si>
  <si>
    <t>5005501</t>
  </si>
  <si>
    <t>5005503</t>
  </si>
  <si>
    <t>5005505</t>
  </si>
  <si>
    <t>5005507</t>
  </si>
  <si>
    <t>AEXJ_19/06/2026</t>
  </si>
  <si>
    <t>NILSON ALMEIDA DE FARIA</t>
  </si>
  <si>
    <t>AEXJ_23/07/2026</t>
  </si>
  <si>
    <t>Wallyson Ferreira de Almeida</t>
  </si>
  <si>
    <t>AEXJ_SNT0A96_13</t>
  </si>
  <si>
    <t>SERGIO CAETANO GOMES</t>
  </si>
  <si>
    <t>18/08/2026</t>
  </si>
  <si>
    <t>10376-1708-87</t>
  </si>
  <si>
    <t>1129-1708-87</t>
  </si>
  <si>
    <t>1853-1708-87</t>
  </si>
  <si>
    <t>4370-1708-87</t>
  </si>
  <si>
    <t>842624-1708-87</t>
  </si>
  <si>
    <t>INSSSC07/2026</t>
  </si>
  <si>
    <t>DIARETROATIVAMG</t>
  </si>
  <si>
    <t>19/08/2026</t>
  </si>
  <si>
    <t>20/08/2026</t>
  </si>
  <si>
    <t>FGT072026SCMG</t>
  </si>
  <si>
    <t>FGT1918</t>
  </si>
  <si>
    <t>FGT1922</t>
  </si>
  <si>
    <t>GRF2895</t>
  </si>
  <si>
    <t>10376-5952-87</t>
  </si>
  <si>
    <t>1129-5952-87</t>
  </si>
  <si>
    <t>1853-5952-87</t>
  </si>
  <si>
    <t>28193-5952-87</t>
  </si>
  <si>
    <t>28194-5952-87</t>
  </si>
  <si>
    <t>4370-5952-87</t>
  </si>
  <si>
    <t>842624-5952-87</t>
  </si>
  <si>
    <t>IRR146</t>
  </si>
  <si>
    <t>IRR175</t>
  </si>
  <si>
    <t>52940333</t>
  </si>
  <si>
    <t>FPG4226</t>
  </si>
  <si>
    <t>RES11416</t>
  </si>
  <si>
    <t>5005454</t>
  </si>
  <si>
    <t>5005514</t>
  </si>
  <si>
    <t>5005527</t>
  </si>
  <si>
    <t>21/08/2026</t>
  </si>
  <si>
    <t>GRF2900</t>
  </si>
  <si>
    <t>RES11423</t>
  </si>
  <si>
    <t>RES11424</t>
  </si>
  <si>
    <t>24/08/2026</t>
  </si>
  <si>
    <t>5005526</t>
  </si>
  <si>
    <t>25/08/2026</t>
  </si>
  <si>
    <t>26/08/2026</t>
  </si>
  <si>
    <t>DIA08/26MERCHAN</t>
  </si>
  <si>
    <t>5005522</t>
  </si>
  <si>
    <t>27/08/2026</t>
  </si>
  <si>
    <t>28/08/2026</t>
  </si>
  <si>
    <t>8597353/87</t>
  </si>
  <si>
    <t>8597356/87</t>
  </si>
  <si>
    <t>8597357/87</t>
  </si>
  <si>
    <t>8606095/87</t>
  </si>
  <si>
    <t>RDV172</t>
  </si>
  <si>
    <t>31/08/2026</t>
  </si>
  <si>
    <t>AG10538106</t>
  </si>
  <si>
    <t>AI09571589</t>
  </si>
  <si>
    <t>5005520</t>
  </si>
  <si>
    <t>IA00028538</t>
  </si>
  <si>
    <t>AH13574933</t>
  </si>
  <si>
    <t>AH14101668</t>
  </si>
  <si>
    <t>AH14107288</t>
  </si>
  <si>
    <t>AH14108073</t>
  </si>
  <si>
    <t>AH14108400</t>
  </si>
  <si>
    <t>AH14117519</t>
  </si>
  <si>
    <t>AH14122939</t>
  </si>
  <si>
    <t>N200025542</t>
  </si>
  <si>
    <t>N800016852</t>
  </si>
  <si>
    <t>N300053354</t>
  </si>
  <si>
    <t>01/09/2026</t>
  </si>
  <si>
    <t>VT09/2026MG</t>
  </si>
  <si>
    <t>02/09/2026</t>
  </si>
  <si>
    <t>03/09/2026</t>
  </si>
  <si>
    <t>04/09/2026</t>
  </si>
  <si>
    <t>AUXCOMB09/26MG</t>
  </si>
  <si>
    <t>DIA09/26MG</t>
  </si>
  <si>
    <t>DIACOMPLMG0826</t>
  </si>
  <si>
    <t>FER1981</t>
  </si>
  <si>
    <t>FPG4259</t>
  </si>
  <si>
    <t>PEN3710</t>
  </si>
  <si>
    <t>PEN3709</t>
  </si>
  <si>
    <t>08/09/2026</t>
  </si>
  <si>
    <t>92026-87</t>
  </si>
  <si>
    <t>BNFNVT01/09/26</t>
  </si>
  <si>
    <t>5005511</t>
  </si>
  <si>
    <t>5005512</t>
  </si>
  <si>
    <t>5005513</t>
  </si>
  <si>
    <t>5005515</t>
  </si>
  <si>
    <t>5005516</t>
  </si>
  <si>
    <t>5005517</t>
  </si>
  <si>
    <t>5005518</t>
  </si>
  <si>
    <t>5005519</t>
  </si>
  <si>
    <t>5005521</t>
  </si>
  <si>
    <t>5005523</t>
  </si>
  <si>
    <t>5005524</t>
  </si>
  <si>
    <t>5005525</t>
  </si>
  <si>
    <t>000021382ME0011</t>
  </si>
  <si>
    <t>52.395.444. ADRIANO ROBERTO</t>
  </si>
  <si>
    <t>09/09/2026</t>
  </si>
  <si>
    <t>10/09/2026</t>
  </si>
  <si>
    <t>GRF2928</t>
  </si>
  <si>
    <t>RES11475</t>
  </si>
  <si>
    <t>RES11476</t>
  </si>
  <si>
    <t>962692026</t>
  </si>
  <si>
    <t>PENRES140265</t>
  </si>
  <si>
    <t>11/09/2026</t>
  </si>
  <si>
    <t>14/09/2026</t>
  </si>
  <si>
    <t>5005580</t>
  </si>
  <si>
    <t>5005589</t>
  </si>
  <si>
    <t>5005595</t>
  </si>
  <si>
    <t>15/09/2026</t>
  </si>
  <si>
    <t>N002951843</t>
  </si>
  <si>
    <t>VTNVT01/09/2026</t>
  </si>
  <si>
    <t>RES11497</t>
  </si>
  <si>
    <t>AH14243961</t>
  </si>
  <si>
    <t>AH14246723</t>
  </si>
  <si>
    <t>AH14250804</t>
  </si>
  <si>
    <t>AH14256937</t>
  </si>
  <si>
    <t>16/09/2026</t>
  </si>
  <si>
    <t>INSS08/26MG</t>
  </si>
  <si>
    <t>BNFNVT08/09/26</t>
  </si>
  <si>
    <t>DIACOMP09/26</t>
  </si>
  <si>
    <t>DIARIANVT080926</t>
  </si>
  <si>
    <t>5005568</t>
  </si>
  <si>
    <t>5005569</t>
  </si>
  <si>
    <t>5005570</t>
  </si>
  <si>
    <t>5005571</t>
  </si>
  <si>
    <t>5005572</t>
  </si>
  <si>
    <t>5005573</t>
  </si>
  <si>
    <t>5005574</t>
  </si>
  <si>
    <t>5005575</t>
  </si>
  <si>
    <t>5005576</t>
  </si>
  <si>
    <t>5005577</t>
  </si>
  <si>
    <t>5005578</t>
  </si>
  <si>
    <t>5005579</t>
  </si>
  <si>
    <t>5005581</t>
  </si>
  <si>
    <t>5005582</t>
  </si>
  <si>
    <t>5005583</t>
  </si>
  <si>
    <t>5005584</t>
  </si>
  <si>
    <t>5005585</t>
  </si>
  <si>
    <t>5005586</t>
  </si>
  <si>
    <t>5005587</t>
  </si>
  <si>
    <t>5005588</t>
  </si>
  <si>
    <t>5005590</t>
  </si>
  <si>
    <t>5005591</t>
  </si>
  <si>
    <t>5005592</t>
  </si>
  <si>
    <t>5005593</t>
  </si>
  <si>
    <t>5005594</t>
  </si>
  <si>
    <t>17/09/2026</t>
  </si>
  <si>
    <t>11428-1708-87</t>
  </si>
  <si>
    <t>11428-5952-87</t>
  </si>
  <si>
    <t>1235-1708-87</t>
  </si>
  <si>
    <t>1235-5952-87</t>
  </si>
  <si>
    <t>2038-1708-87</t>
  </si>
  <si>
    <t>2038-5952-87</t>
  </si>
  <si>
    <t>30749-1708-87</t>
  </si>
  <si>
    <t>30749-5952-87</t>
  </si>
  <si>
    <t>30750-1708-87</t>
  </si>
  <si>
    <t>30750-5952-87</t>
  </si>
  <si>
    <t>514546-1708-87</t>
  </si>
  <si>
    <t>514546-5952-87</t>
  </si>
  <si>
    <t>845019-1708-87</t>
  </si>
  <si>
    <t>845019-5952-87</t>
  </si>
  <si>
    <t>RES11505</t>
  </si>
  <si>
    <t>5005615</t>
  </si>
  <si>
    <t>18/09/2026</t>
  </si>
  <si>
    <t>FGT082026SCMG</t>
  </si>
  <si>
    <t>IRR174</t>
  </si>
  <si>
    <t>BNFNVT14E16/09</t>
  </si>
  <si>
    <t>VTNVT08/09/2026</t>
  </si>
  <si>
    <t>19/09/2026</t>
  </si>
  <si>
    <t>20/09/2026</t>
  </si>
  <si>
    <t>FGT1965</t>
  </si>
  <si>
    <t>FGT1971</t>
  </si>
  <si>
    <t>21/09/2026</t>
  </si>
  <si>
    <t>FPG4283</t>
  </si>
  <si>
    <t>22/09/2026</t>
  </si>
  <si>
    <t>DIANVT19/09MG</t>
  </si>
  <si>
    <t>DIARIANVT08/09</t>
  </si>
  <si>
    <t>VTNVT16/09MG</t>
  </si>
  <si>
    <t>23/09/2026</t>
  </si>
  <si>
    <t>GRF2954</t>
  </si>
  <si>
    <t>RES11521</t>
  </si>
  <si>
    <t>RES11522</t>
  </si>
  <si>
    <t>RES11523</t>
  </si>
  <si>
    <t>24/09/2026</t>
  </si>
  <si>
    <t>RES11529</t>
  </si>
  <si>
    <t>RENATO MARTINS DA CONCEICAO</t>
  </si>
  <si>
    <t>25/09/2026</t>
  </si>
  <si>
    <t>52248998</t>
  </si>
  <si>
    <t>26/09/2026</t>
  </si>
  <si>
    <t>28/09/2026</t>
  </si>
  <si>
    <t>53262356</t>
  </si>
  <si>
    <t>9979</t>
  </si>
  <si>
    <t>G PENTA LTDA</t>
  </si>
  <si>
    <t>WESLEY FLAVIO ALVES NOGUEIRA</t>
  </si>
  <si>
    <t>29/09/2026</t>
  </si>
  <si>
    <t>GRF2964</t>
  </si>
  <si>
    <t>RES11545</t>
  </si>
  <si>
    <t>8835261/87</t>
  </si>
  <si>
    <t>8865932/87</t>
  </si>
  <si>
    <t>8865938/87</t>
  </si>
  <si>
    <t>8865941/87</t>
  </si>
  <si>
    <t>PENRES140178</t>
  </si>
  <si>
    <t>30/09/2026</t>
  </si>
  <si>
    <t>AG08363486</t>
  </si>
  <si>
    <t>P300113238</t>
  </si>
  <si>
    <t>J100187494</t>
  </si>
  <si>
    <t>01/10/2026</t>
  </si>
  <si>
    <t>VT10/26MG</t>
  </si>
  <si>
    <t>02/10/2026</t>
  </si>
  <si>
    <t>DIACOM08/26MG</t>
  </si>
  <si>
    <t>ANA CAROLINA BORGES</t>
  </si>
  <si>
    <t>05/10/2026</t>
  </si>
  <si>
    <t>AUXCOM10/26MG</t>
  </si>
  <si>
    <t>COMFERSET/26</t>
  </si>
  <si>
    <t>DIARIAS10/26MG</t>
  </si>
  <si>
    <t>FER2001</t>
  </si>
  <si>
    <t>FPG4305</t>
  </si>
  <si>
    <t>5005647</t>
  </si>
  <si>
    <t>06/10/2026</t>
  </si>
  <si>
    <t>102026-87</t>
  </si>
  <si>
    <t>5005658</t>
  </si>
  <si>
    <t>5005639</t>
  </si>
  <si>
    <t>5005640</t>
  </si>
  <si>
    <t>5005641</t>
  </si>
  <si>
    <t>5005642</t>
  </si>
  <si>
    <t>5005643</t>
  </si>
  <si>
    <t>5005644</t>
  </si>
  <si>
    <t>5005645</t>
  </si>
  <si>
    <t>5005646</t>
  </si>
  <si>
    <t>5005657</t>
  </si>
  <si>
    <t>5005648</t>
  </si>
  <si>
    <t>5005649</t>
  </si>
  <si>
    <t>000021382ME0012</t>
  </si>
  <si>
    <t>5005650</t>
  </si>
  <si>
    <t>5005651</t>
  </si>
  <si>
    <t>5005652</t>
  </si>
  <si>
    <t>60.167.550 MARCELO MARTINS DE OLIVEIRA</t>
  </si>
  <si>
    <t>5005653</t>
  </si>
  <si>
    <t>5005655</t>
  </si>
  <si>
    <t>52.081.532 ANTONIO CARLOS DA COSTA</t>
  </si>
  <si>
    <t>5005656</t>
  </si>
  <si>
    <t>ISIS MARIA DE CARVALHO FIORINE</t>
  </si>
  <si>
    <t>5005638</t>
  </si>
  <si>
    <t>15.312.878 ELIANA HENRIQUE MENDES BARBOSA</t>
  </si>
  <si>
    <t>Lavagem</t>
  </si>
  <si>
    <t>Pneus</t>
  </si>
  <si>
    <t>57.091.288 JOHNSON RAMOS DE CARVALHO</t>
  </si>
  <si>
    <t>5005654</t>
  </si>
  <si>
    <t>66.226.661 JOSE MARCIO DA SILVA</t>
  </si>
  <si>
    <t>47.852.136 LIDEMBERG RAMOS GABRIEL</t>
  </si>
  <si>
    <t>1522859-2026</t>
  </si>
  <si>
    <t>ALELO - COMPANHIA  BRASILEIRA DE SOLUCOES E SERVICOS</t>
  </si>
  <si>
    <t>Doc.</t>
  </si>
  <si>
    <t>Vlr. Parcela</t>
  </si>
  <si>
    <t>Acumulado</t>
  </si>
  <si>
    <t>Mês</t>
  </si>
  <si>
    <t>OPE Merchandising</t>
  </si>
  <si>
    <t>Lanternagem</t>
  </si>
  <si>
    <t>Telemetria</t>
  </si>
  <si>
    <t>MTSR</t>
  </si>
  <si>
    <t>Pedagios</t>
  </si>
  <si>
    <t>Pacote</t>
  </si>
  <si>
    <t>Tecnologia</t>
  </si>
  <si>
    <t>Manutenção</t>
  </si>
  <si>
    <t>Vans</t>
  </si>
  <si>
    <t>Caminhão</t>
  </si>
  <si>
    <t>Documentação</t>
  </si>
  <si>
    <t>Tacografos</t>
  </si>
  <si>
    <t>Contrato</t>
  </si>
  <si>
    <t>Locação</t>
  </si>
  <si>
    <t>Peças E Serviços</t>
  </si>
  <si>
    <t>Sinistro</t>
  </si>
  <si>
    <t>Frota Leve OPE</t>
  </si>
  <si>
    <t>Guincho</t>
  </si>
  <si>
    <t>Ressolagem</t>
  </si>
  <si>
    <t>Compra</t>
  </si>
  <si>
    <t>Parabrisa</t>
  </si>
  <si>
    <t>Serviços Gerais</t>
  </si>
  <si>
    <t>Segurança</t>
  </si>
  <si>
    <t>Extintores</t>
  </si>
  <si>
    <t>Vistoria Inmetro</t>
  </si>
  <si>
    <t>Area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</si>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</sst>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\ dd\/mm\/yyyy"/>
    <numFmt numFmtId="165" formatCode="\ dd\/mm\/yy"/>
    <numFmt numFmtId="166" formatCode="[$R$ -416]#,##0.00"/>
    <numFmt numFmtId="167" formatCode="[$R$ -416]#,##0.00;[$R$ -416]\-#,##0.00"/>
    <numFmt numFmtId="168" formatCode="[$R$ -416]* #,##0.00"/>
    <numFmt numFmtId="169" formatCode="[$R$ -416]* #,##0.00;[$R$ -416]* \-#,##0.00"/>
  </numFmts>
  <fonts count="10" x14ac:knownFonts="1">
    <font>
      <sz val="9"/>
      <color theme="1"/>
      <name val="Aptos Narrow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</font>
    <font>
      <b/>
      <sz val="9"/>
      <color rgb="FFFFFFFF"/>
      <name val="Aptos Narrow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8"/>
      <name val="Aptos Narrow"/>
      <family val="2"/>
    </font>
    <font>
      <b/>
      <sz val="9"/>
      <color theme="0"/>
      <name val="Aptos Narrow"/>
      <family val="2"/>
    </font>
    <font>
      <b/>
      <sz val="9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478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3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5" fillId="0" borderId="0" xfId="0" applyFont="1"/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1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vertical="top"/>
    </xf>
    <xf numFmtId="166" fontId="6" fillId="0" borderId="0" xfId="0" applyNumberFormat="1" applyFont="1" applyAlignment="1">
      <alignment vertical="top"/>
    </xf>
    <xf numFmtId="167" fontId="6" fillId="0" borderId="0" xfId="0" applyNumberFormat="1" applyFont="1" applyAlignment="1">
      <alignment vertical="top"/>
    </xf>
    <xf numFmtId="44" fontId="0" fillId="0" borderId="0" xfId="1" applyFont="1" applyAlignment="1">
      <alignment horizontal="center"/>
    </xf>
    <xf numFmtId="44" fontId="6" fillId="0" borderId="0" xfId="1" applyFont="1" applyAlignment="1">
      <alignment vertical="top"/>
    </xf>
    <xf numFmtId="44" fontId="5" fillId="0" borderId="0" xfId="1" applyFont="1"/>
    <xf numFmtId="14" fontId="6" fillId="0" borderId="0" xfId="0" applyNumberFormat="1" applyFont="1" applyAlignment="1">
      <alignment vertical="top"/>
    </xf>
    <xf numFmtId="168" fontId="6" fillId="0" borderId="0" xfId="0" applyNumberFormat="1" applyFont="1" applyAlignment="1">
      <alignment vertical="top"/>
    </xf>
    <xf numFmtId="169" fontId="6" fillId="0" borderId="0" xfId="0" applyNumberFormat="1" applyFont="1" applyAlignment="1">
      <alignment vertical="top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vertical="top"/>
    </xf>
    <xf numFmtId="44" fontId="9" fillId="3" borderId="0" xfId="1" applyFont="1" applyFill="1" applyAlignment="1">
      <alignment vertical="top"/>
    </xf>
    <xf numFmtId="44" fontId="8" fillId="3" borderId="0" xfId="1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vertical="top"/>
    </xf>
    <xf numFmtId="3" fontId="6" fillId="4" borderId="0" xfId="0" applyNumberFormat="1" applyFont="1" applyFill="1" applyAlignment="1">
      <alignment vertical="top"/>
    </xf>
    <xf numFmtId="44" fontId="6" fillId="4" borderId="0" xfId="1" applyFont="1" applyFill="1" applyAlignment="1">
      <alignment vertical="top"/>
    </xf>
    <xf numFmtId="164" fontId="6" fillId="4" borderId="0" xfId="0" applyNumberFormat="1" applyFont="1" applyFill="1" applyAlignment="1">
      <alignment vertical="top"/>
    </xf>
    <xf numFmtId="1" fontId="6" fillId="4" borderId="0" xfId="0" applyNumberFormat="1" applyFont="1" applyFill="1" applyAlignment="1">
      <alignment horizontal="center" vertical="top"/>
    </xf>
    <xf numFmtId="44" fontId="0" fillId="4" borderId="0" xfId="1" applyFont="1" applyFill="1" applyAlignment="1">
      <alignment horizontal="center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584B-8976-432B-8F70-77D4F9A474BB}">
  <dimension ref="A1:AD494"/>
  <sheetViews>
    <sheetView tabSelected="1" zoomScaleNormal="100" workbookViewId="0">
      <selection activeCell="E20" sqref="E20"/>
    </sheetView>
  </sheetViews>
  <sheetFormatPr defaultRowHeight="12" x14ac:dyDescent="0.25"/>
  <cols>
    <col min="1" max="1" width="15.140625" style="1" bestFit="1" customWidth="1"/>
    <col min="2" max="2" width="17" style="15" bestFit="1" customWidth="1"/>
    <col min="3" max="4" width="17" style="15" customWidth="1"/>
    <col min="5" max="5" width="63.140625" style="12" bestFit="1" customWidth="1"/>
    <col min="6" max="6" width="10.28515625" style="15" bestFit="1" customWidth="1"/>
    <col min="7" max="7" width="19.140625" style="12" bestFit="1" customWidth="1"/>
    <col min="8" max="8" width="8" style="12" bestFit="1" customWidth="1"/>
    <col min="9" max="9" width="13.7109375" style="22" bestFit="1" customWidth="1"/>
    <col min="10" max="10" width="11.28515625" style="12" bestFit="1" customWidth="1"/>
    <col min="11" max="11" width="13.5703125" style="12" bestFit="1" customWidth="1"/>
    <col min="12" max="12" width="21.7109375" style="12" bestFit="1" customWidth="1"/>
    <col min="13" max="13" width="8.7109375" style="15" bestFit="1" customWidth="1"/>
    <col min="14" max="14" width="11.42578125" style="15" bestFit="1" customWidth="1"/>
    <col min="15" max="15" width="19.28515625" style="15" bestFit="1" customWidth="1"/>
    <col min="16" max="16" width="0.5703125" style="15" customWidth="1"/>
    <col min="17" max="17" width="13.85546875" style="20" bestFit="1" customWidth="1"/>
    <col min="18" max="18" width="0.5703125" style="20" customWidth="1"/>
    <col min="19" max="30" width="15.7109375" customWidth="1"/>
  </cols>
  <sheetData>
    <row r="1" spans="1:30" x14ac:dyDescent="0.25">
      <c r="A1" s="26" t="s">
        <v>3260</v>
      </c>
      <c r="B1" s="27" t="s">
        <v>1020</v>
      </c>
      <c r="C1" s="27" t="s">
        <v>3240</v>
      </c>
      <c r="D1" s="27" t="s">
        <v>2</v>
      </c>
      <c r="E1" s="28" t="s">
        <v>1021</v>
      </c>
      <c r="F1" s="27" t="s">
        <v>1022</v>
      </c>
      <c r="G1" s="28" t="s">
        <v>1023</v>
      </c>
      <c r="H1" s="28" t="s">
        <v>1024</v>
      </c>
      <c r="I1" s="29" t="s">
        <v>1025</v>
      </c>
      <c r="J1" s="28" t="s">
        <v>1026</v>
      </c>
      <c r="K1" s="28" t="s">
        <v>1027</v>
      </c>
      <c r="L1" s="28" t="s">
        <v>1028</v>
      </c>
      <c r="M1" s="27" t="s">
        <v>1029</v>
      </c>
      <c r="N1" s="27" t="s">
        <v>1030</v>
      </c>
      <c r="O1" s="27" t="s">
        <v>1031</v>
      </c>
      <c r="P1" s="27"/>
      <c r="Q1" s="30"/>
      <c r="R1" s="30"/>
      <c r="S1" s="27" t="s">
        <v>1329</v>
      </c>
      <c r="T1" s="27" t="s">
        <v>1330</v>
      </c>
      <c r="U1" s="27" t="s">
        <v>1331</v>
      </c>
      <c r="V1" s="27" t="s">
        <v>1332</v>
      </c>
      <c r="W1" s="27" t="s">
        <v>1333</v>
      </c>
      <c r="X1" s="27" t="s">
        <v>1334</v>
      </c>
      <c r="Y1" s="27" t="s">
        <v>1335</v>
      </c>
      <c r="Z1" s="27" t="s">
        <v>1336</v>
      </c>
      <c r="AA1" s="27" t="s">
        <v>1337</v>
      </c>
      <c r="AB1" s="27" t="s">
        <v>1338</v>
      </c>
      <c r="AC1" s="27" t="s">
        <v>1339</v>
      </c>
      <c r="AD1" s="27" t="s">
        <v>1340</v>
      </c>
    </row>
    <row r="2" spans="1:30" x14ac:dyDescent="0.25">
      <c r="A2" s="1" t="str">
        <f>VLOOKUP($E2,Fornecedores!$A:$C,3,0)</f>
        <v>Frota</v>
      </c>
      <c r="B2" s="14" t="s">
        <v>307</v>
      </c>
      <c r="C2" s="14" t="str">
        <f>IFERROR(VLOOKUP($E2,Fornecedores!$A:$E,4,0),"")</f>
        <v>OPE Merchandising</v>
      </c>
      <c r="D2" s="14" t="str">
        <f>IFERROR(VLOOKUP($E2,Fornecedores!$A:$E,5,0),"")</f>
        <v>Locação</v>
      </c>
      <c r="E2" s="8" t="s">
        <v>112</v>
      </c>
      <c r="F2" s="14" t="s">
        <v>232</v>
      </c>
      <c r="G2" s="8" t="s">
        <v>289</v>
      </c>
      <c r="H2" s="9">
        <v>87</v>
      </c>
      <c r="I2" s="21">
        <v>34.5</v>
      </c>
      <c r="J2" s="11">
        <v>46006</v>
      </c>
      <c r="K2" s="11">
        <v>46028</v>
      </c>
      <c r="L2" s="8" t="s">
        <v>233</v>
      </c>
      <c r="M2" s="14" t="s">
        <v>234</v>
      </c>
      <c r="N2" s="16">
        <v>1556</v>
      </c>
      <c r="O2" s="14" t="s">
        <v>241</v>
      </c>
      <c r="P2" s="14"/>
      <c r="Q2" s="20">
        <f t="shared" ref="Q2:Q65" si="0">SUM(R2:AD2)-I2</f>
        <v>0</v>
      </c>
      <c r="S2" s="20">
        <f>SUMIFS('Doc''s Pagos | Rodopar 108'!$J:$J,'Doc''s Pagos | Rodopar 108'!$A:$A,$B2&amp;$E2&amp;$F2&amp;$J2,'Doc''s Pagos | Rodopar 108'!$B:$B,S$1)+SUMIFS('Doc Há Pagar | Rodopar 1015'!$J:$J,'Doc Há Pagar | Rodopar 1015'!$A:$A,$B2&amp;$E2&amp;$F2,'Doc Há Pagar | Rodopar 1015'!$B:$B,S$1)</f>
        <v>34.5</v>
      </c>
      <c r="T2" s="20">
        <f>SUMIFS('Doc''s Pagos | Rodopar 108'!$J:$J,'Doc''s Pagos | Rodopar 108'!$A:$A,$B2&amp;$E2&amp;$F2&amp;$J2,'Doc''s Pagos | Rodopar 108'!$B:$B,T$1)+SUMIFS('Doc Há Pagar | Rodopar 1015'!$J:$J,'Doc Há Pagar | Rodopar 1015'!$A:$A,$B2&amp;$E2&amp;$F2,'Doc Há Pagar | Rodopar 1015'!$B:$B,T$1)</f>
        <v>0</v>
      </c>
      <c r="U2" s="20">
        <f>SUMIFS('Doc''s Pagos | Rodopar 108'!$J:$J,'Doc''s Pagos | Rodopar 108'!$A:$A,$B2&amp;$E2&amp;$F2&amp;$J2,'Doc''s Pagos | Rodopar 108'!$B:$B,U$1)+SUMIFS('Doc Há Pagar | Rodopar 1015'!$J:$J,'Doc Há Pagar | Rodopar 1015'!$A:$A,$B2&amp;$E2&amp;$F2,'Doc Há Pagar | Rodopar 1015'!$B:$B,U$1)</f>
        <v>0</v>
      </c>
      <c r="V2" s="20">
        <f>SUMIFS('Doc''s Pagos | Rodopar 108'!$J:$J,'Doc''s Pagos | Rodopar 108'!$A:$A,$B2&amp;$E2&amp;$F2&amp;$J2,'Doc''s Pagos | Rodopar 108'!$B:$B,V$1)+SUMIFS('Doc Há Pagar | Rodopar 1015'!$J:$J,'Doc Há Pagar | Rodopar 1015'!$A:$A,$B2&amp;$E2&amp;$F2,'Doc Há Pagar | Rodopar 1015'!$B:$B,V$1)</f>
        <v>0</v>
      </c>
      <c r="W2" s="20">
        <f>SUMIFS('Doc''s Pagos | Rodopar 108'!$J:$J,'Doc''s Pagos | Rodopar 108'!$A:$A,$B2&amp;$E2&amp;$F2&amp;$J2,'Doc''s Pagos | Rodopar 108'!$B:$B,W$1)+SUMIFS('Doc Há Pagar | Rodopar 1015'!$J:$J,'Doc Há Pagar | Rodopar 1015'!$A:$A,$B2&amp;$E2&amp;$F2,'Doc Há Pagar | Rodopar 1015'!$B:$B,W$1)</f>
        <v>0</v>
      </c>
      <c r="X2" s="20">
        <f>SUMIFS('Doc''s Pagos | Rodopar 108'!$J:$J,'Doc''s Pagos | Rodopar 108'!$A:$A,$B2&amp;$E2&amp;$F2&amp;$J2,'Doc''s Pagos | Rodopar 108'!$B:$B,X$1)+SUMIFS('Doc Há Pagar | Rodopar 1015'!$J:$J,'Doc Há Pagar | Rodopar 1015'!$A:$A,$B2&amp;$E2&amp;$F2,'Doc Há Pagar | Rodopar 1015'!$B:$B,X$1)</f>
        <v>0</v>
      </c>
      <c r="Y2" s="20">
        <f>SUMIFS('Doc''s Pagos | Rodopar 108'!$J:$J,'Doc''s Pagos | Rodopar 108'!$A:$A,$B2&amp;$E2&amp;$F2&amp;$J2,'Doc''s Pagos | Rodopar 108'!$B:$B,Y$1)+SUMIFS('Doc Há Pagar | Rodopar 1015'!$J:$J,'Doc Há Pagar | Rodopar 1015'!$A:$A,$B2&amp;$E2&amp;$F2,'Doc Há Pagar | Rodopar 1015'!$B:$B,Y$1)</f>
        <v>0</v>
      </c>
      <c r="Z2" s="20">
        <f>SUMIFS('Doc''s Pagos | Rodopar 108'!$J:$J,'Doc''s Pagos | Rodopar 108'!$A:$A,$B2&amp;$E2&amp;$F2&amp;$J2,'Doc''s Pagos | Rodopar 108'!$B:$B,Z$1)+SUMIFS('Doc Há Pagar | Rodopar 1015'!$J:$J,'Doc Há Pagar | Rodopar 1015'!$A:$A,$B2&amp;$E2&amp;$F2,'Doc Há Pagar | Rodopar 1015'!$B:$B,Z$1)</f>
        <v>0</v>
      </c>
      <c r="AA2" s="20">
        <f>SUMIFS('Doc''s Pagos | Rodopar 108'!$J:$J,'Doc''s Pagos | Rodopar 108'!$A:$A,$B2&amp;$E2&amp;$F2&amp;$J2,'Doc''s Pagos | Rodopar 108'!$B:$B,AA$1)+SUMIFS('Doc Há Pagar | Rodopar 1015'!$J:$J,'Doc Há Pagar | Rodopar 1015'!$A:$A,$B2&amp;$E2&amp;$F2,'Doc Há Pagar | Rodopar 1015'!$B:$B,AA$1)</f>
        <v>0</v>
      </c>
      <c r="AB2" s="20">
        <f>SUMIFS('Doc''s Pagos | Rodopar 108'!$J:$J,'Doc''s Pagos | Rodopar 108'!$A:$A,$B2&amp;$E2&amp;$F2&amp;$J2,'Doc''s Pagos | Rodopar 108'!$B:$B,AB$1)+SUMIFS('Doc Há Pagar | Rodopar 1015'!$J:$J,'Doc Há Pagar | Rodopar 1015'!$A:$A,$B2&amp;$E2&amp;$F2,'Doc Há Pagar | Rodopar 1015'!$B:$B,AB$1)</f>
        <v>0</v>
      </c>
      <c r="AC2" s="20">
        <f>SUMIFS('Doc''s Pagos | Rodopar 108'!$J:$J,'Doc''s Pagos | Rodopar 108'!$A:$A,$B2&amp;$E2&amp;$F2&amp;$J2,'Doc''s Pagos | Rodopar 108'!$B:$B,AC$1)+SUMIFS('Doc Há Pagar | Rodopar 1015'!$J:$J,'Doc Há Pagar | Rodopar 1015'!$A:$A,$B2&amp;$E2&amp;$F2,'Doc Há Pagar | Rodopar 1015'!$B:$B,AC$1)</f>
        <v>0</v>
      </c>
      <c r="AD2" s="20">
        <f>SUMIFS('Doc''s Pagos | Rodopar 108'!$J:$J,'Doc''s Pagos | Rodopar 108'!$A:$A,$B2&amp;$E2&amp;$F2&amp;$J2,'Doc''s Pagos | Rodopar 108'!$B:$B,AD$1)+SUMIFS('Doc Há Pagar | Rodopar 1015'!$J:$J,'Doc Há Pagar | Rodopar 1015'!$A:$A,$B2&amp;$E2&amp;$F2,'Doc Há Pagar | Rodopar 1015'!$B:$B,AD$1)</f>
        <v>0</v>
      </c>
    </row>
    <row r="3" spans="1:30" x14ac:dyDescent="0.25">
      <c r="A3" s="1" t="str">
        <f>VLOOKUP($E3,Fornecedores!$A:$C,3,0)</f>
        <v>Frota</v>
      </c>
      <c r="B3" s="14">
        <v>2631</v>
      </c>
      <c r="C3" s="14" t="str">
        <f>IFERROR(VLOOKUP($E3,Fornecedores!$A:$E,4,0),"")</f>
        <v>Manutenção</v>
      </c>
      <c r="D3" s="14" t="str">
        <f>IFERROR(VLOOKUP($E3,Fornecedores!$A:$E,5,0),"")</f>
        <v>Frota Leve OPE</v>
      </c>
      <c r="E3" s="8" t="s">
        <v>125</v>
      </c>
      <c r="F3" s="14" t="s">
        <v>380</v>
      </c>
      <c r="G3" s="8" t="s">
        <v>467</v>
      </c>
      <c r="H3" s="9">
        <v>87</v>
      </c>
      <c r="I3" s="21">
        <v>898</v>
      </c>
      <c r="J3" s="11">
        <v>46013</v>
      </c>
      <c r="K3" s="11">
        <v>46028</v>
      </c>
      <c r="L3" s="8" t="s">
        <v>282</v>
      </c>
      <c r="M3" s="14" t="s">
        <v>234</v>
      </c>
      <c r="N3" s="16">
        <v>1556</v>
      </c>
      <c r="O3" s="14" t="s">
        <v>241</v>
      </c>
      <c r="P3" s="14"/>
      <c r="Q3" s="20">
        <f t="shared" si="0"/>
        <v>0</v>
      </c>
      <c r="S3" s="20">
        <f>SUMIFS('Doc''s Pagos | Rodopar 108'!$J:$J,'Doc''s Pagos | Rodopar 108'!$A:$A,$B3&amp;$E3&amp;$F3&amp;$J3,'Doc''s Pagos | Rodopar 108'!$B:$B,S$1)+SUMIFS('Doc Há Pagar | Rodopar 1015'!$J:$J,'Doc Há Pagar | Rodopar 1015'!$A:$A,$B3&amp;$E3&amp;$F3,'Doc Há Pagar | Rodopar 1015'!$B:$B,S$1)</f>
        <v>898</v>
      </c>
      <c r="T3" s="20">
        <f>SUMIFS('Doc''s Pagos | Rodopar 108'!$J:$J,'Doc''s Pagos | Rodopar 108'!$A:$A,$B3&amp;$E3&amp;$F3&amp;$J3,'Doc''s Pagos | Rodopar 108'!$B:$B,T$1)+SUMIFS('Doc Há Pagar | Rodopar 1015'!$J:$J,'Doc Há Pagar | Rodopar 1015'!$A:$A,$B3&amp;$E3&amp;$F3,'Doc Há Pagar | Rodopar 1015'!$B:$B,T$1)</f>
        <v>0</v>
      </c>
      <c r="U3" s="20">
        <f>SUMIFS('Doc''s Pagos | Rodopar 108'!$J:$J,'Doc''s Pagos | Rodopar 108'!$A:$A,$B3&amp;$E3&amp;$F3&amp;$J3,'Doc''s Pagos | Rodopar 108'!$B:$B,U$1)+SUMIFS('Doc Há Pagar | Rodopar 1015'!$J:$J,'Doc Há Pagar | Rodopar 1015'!$A:$A,$B3&amp;$E3&amp;$F3,'Doc Há Pagar | Rodopar 1015'!$B:$B,U$1)</f>
        <v>0</v>
      </c>
      <c r="V3" s="20">
        <f>SUMIFS('Doc''s Pagos | Rodopar 108'!$J:$J,'Doc''s Pagos | Rodopar 108'!$A:$A,$B3&amp;$E3&amp;$F3&amp;$J3,'Doc''s Pagos | Rodopar 108'!$B:$B,V$1)+SUMIFS('Doc Há Pagar | Rodopar 1015'!$J:$J,'Doc Há Pagar | Rodopar 1015'!$A:$A,$B3&amp;$E3&amp;$F3,'Doc Há Pagar | Rodopar 1015'!$B:$B,V$1)</f>
        <v>0</v>
      </c>
      <c r="W3" s="20">
        <f>SUMIFS('Doc''s Pagos | Rodopar 108'!$J:$J,'Doc''s Pagos | Rodopar 108'!$A:$A,$B3&amp;$E3&amp;$F3&amp;$J3,'Doc''s Pagos | Rodopar 108'!$B:$B,W$1)+SUMIFS('Doc Há Pagar | Rodopar 1015'!$J:$J,'Doc Há Pagar | Rodopar 1015'!$A:$A,$B3&amp;$E3&amp;$F3,'Doc Há Pagar | Rodopar 1015'!$B:$B,W$1)</f>
        <v>0</v>
      </c>
      <c r="X3" s="20">
        <f>SUMIFS('Doc''s Pagos | Rodopar 108'!$J:$J,'Doc''s Pagos | Rodopar 108'!$A:$A,$B3&amp;$E3&amp;$F3&amp;$J3,'Doc''s Pagos | Rodopar 108'!$B:$B,X$1)+SUMIFS('Doc Há Pagar | Rodopar 1015'!$J:$J,'Doc Há Pagar | Rodopar 1015'!$A:$A,$B3&amp;$E3&amp;$F3,'Doc Há Pagar | Rodopar 1015'!$B:$B,X$1)</f>
        <v>0</v>
      </c>
      <c r="Y3" s="20">
        <f>SUMIFS('Doc''s Pagos | Rodopar 108'!$J:$J,'Doc''s Pagos | Rodopar 108'!$A:$A,$B3&amp;$E3&amp;$F3&amp;$J3,'Doc''s Pagos | Rodopar 108'!$B:$B,Y$1)+SUMIFS('Doc Há Pagar | Rodopar 1015'!$J:$J,'Doc Há Pagar | Rodopar 1015'!$A:$A,$B3&amp;$E3&amp;$F3,'Doc Há Pagar | Rodopar 1015'!$B:$B,Y$1)</f>
        <v>0</v>
      </c>
      <c r="Z3" s="20">
        <f>SUMIFS('Doc''s Pagos | Rodopar 108'!$J:$J,'Doc''s Pagos | Rodopar 108'!$A:$A,$B3&amp;$E3&amp;$F3&amp;$J3,'Doc''s Pagos | Rodopar 108'!$B:$B,Z$1)+SUMIFS('Doc Há Pagar | Rodopar 1015'!$J:$J,'Doc Há Pagar | Rodopar 1015'!$A:$A,$B3&amp;$E3&amp;$F3,'Doc Há Pagar | Rodopar 1015'!$B:$B,Z$1)</f>
        <v>0</v>
      </c>
      <c r="AA3" s="20">
        <f>SUMIFS('Doc''s Pagos | Rodopar 108'!$J:$J,'Doc''s Pagos | Rodopar 108'!$A:$A,$B3&amp;$E3&amp;$F3&amp;$J3,'Doc''s Pagos | Rodopar 108'!$B:$B,AA$1)+SUMIFS('Doc Há Pagar | Rodopar 1015'!$J:$J,'Doc Há Pagar | Rodopar 1015'!$A:$A,$B3&amp;$E3&amp;$F3,'Doc Há Pagar | Rodopar 1015'!$B:$B,AA$1)</f>
        <v>0</v>
      </c>
      <c r="AB3" s="20">
        <f>SUMIFS('Doc''s Pagos | Rodopar 108'!$J:$J,'Doc''s Pagos | Rodopar 108'!$A:$A,$B3&amp;$E3&amp;$F3&amp;$J3,'Doc''s Pagos | Rodopar 108'!$B:$B,AB$1)+SUMIFS('Doc Há Pagar | Rodopar 1015'!$J:$J,'Doc Há Pagar | Rodopar 1015'!$A:$A,$B3&amp;$E3&amp;$F3,'Doc Há Pagar | Rodopar 1015'!$B:$B,AB$1)</f>
        <v>0</v>
      </c>
      <c r="AC3" s="20">
        <f>SUMIFS('Doc''s Pagos | Rodopar 108'!$J:$J,'Doc''s Pagos | Rodopar 108'!$A:$A,$B3&amp;$E3&amp;$F3&amp;$J3,'Doc''s Pagos | Rodopar 108'!$B:$B,AC$1)+SUMIFS('Doc Há Pagar | Rodopar 1015'!$J:$J,'Doc Há Pagar | Rodopar 1015'!$A:$A,$B3&amp;$E3&amp;$F3,'Doc Há Pagar | Rodopar 1015'!$B:$B,AC$1)</f>
        <v>0</v>
      </c>
      <c r="AD3" s="20">
        <f>SUMIFS('Doc''s Pagos | Rodopar 108'!$J:$J,'Doc''s Pagos | Rodopar 108'!$A:$A,$B3&amp;$E3&amp;$F3&amp;$J3,'Doc''s Pagos | Rodopar 108'!$B:$B,AD$1)+SUMIFS('Doc Há Pagar | Rodopar 1015'!$J:$J,'Doc Há Pagar | Rodopar 1015'!$A:$A,$B3&amp;$E3&amp;$F3,'Doc Há Pagar | Rodopar 1015'!$B:$B,AD$1)</f>
        <v>0</v>
      </c>
    </row>
    <row r="4" spans="1:30" x14ac:dyDescent="0.25">
      <c r="A4" s="1" t="str">
        <f>VLOOKUP($E4,Fornecedores!$A:$C,3,0)</f>
        <v>Frota</v>
      </c>
      <c r="B4" s="14">
        <v>2632</v>
      </c>
      <c r="C4" s="14" t="str">
        <f>IFERROR(VLOOKUP($E4,Fornecedores!$A:$E,4,0),"")</f>
        <v>Manutenção</v>
      </c>
      <c r="D4" s="14" t="str">
        <f>IFERROR(VLOOKUP($E4,Fornecedores!$A:$E,5,0),"")</f>
        <v>Frota Leve OPE</v>
      </c>
      <c r="E4" s="8" t="s">
        <v>125</v>
      </c>
      <c r="F4" s="14" t="s">
        <v>380</v>
      </c>
      <c r="G4" s="8" t="s">
        <v>467</v>
      </c>
      <c r="H4" s="9">
        <v>87</v>
      </c>
      <c r="I4" s="21">
        <v>1338</v>
      </c>
      <c r="J4" s="11">
        <v>46013</v>
      </c>
      <c r="K4" s="11">
        <v>46028</v>
      </c>
      <c r="L4" s="8" t="s">
        <v>282</v>
      </c>
      <c r="M4" s="14" t="s">
        <v>234</v>
      </c>
      <c r="N4" s="16">
        <v>1556</v>
      </c>
      <c r="O4" s="14" t="s">
        <v>241</v>
      </c>
      <c r="P4" s="14"/>
      <c r="Q4" s="20">
        <f t="shared" si="0"/>
        <v>0</v>
      </c>
      <c r="S4" s="20">
        <f>SUMIFS('Doc''s Pagos | Rodopar 108'!$J:$J,'Doc''s Pagos | Rodopar 108'!$A:$A,$B4&amp;$E4&amp;$F4&amp;$J4,'Doc''s Pagos | Rodopar 108'!$B:$B,S$1)+SUMIFS('Doc Há Pagar | Rodopar 1015'!$J:$J,'Doc Há Pagar | Rodopar 1015'!$A:$A,$B4&amp;$E4&amp;$F4,'Doc Há Pagar | Rodopar 1015'!$B:$B,S$1)</f>
        <v>1338</v>
      </c>
      <c r="T4" s="20">
        <f>SUMIFS('Doc''s Pagos | Rodopar 108'!$J:$J,'Doc''s Pagos | Rodopar 108'!$A:$A,$B4&amp;$E4&amp;$F4&amp;$J4,'Doc''s Pagos | Rodopar 108'!$B:$B,T$1)+SUMIFS('Doc Há Pagar | Rodopar 1015'!$J:$J,'Doc Há Pagar | Rodopar 1015'!$A:$A,$B4&amp;$E4&amp;$F4,'Doc Há Pagar | Rodopar 1015'!$B:$B,T$1)</f>
        <v>0</v>
      </c>
      <c r="U4" s="20">
        <f>SUMIFS('Doc''s Pagos | Rodopar 108'!$J:$J,'Doc''s Pagos | Rodopar 108'!$A:$A,$B4&amp;$E4&amp;$F4&amp;$J4,'Doc''s Pagos | Rodopar 108'!$B:$B,U$1)+SUMIFS('Doc Há Pagar | Rodopar 1015'!$J:$J,'Doc Há Pagar | Rodopar 1015'!$A:$A,$B4&amp;$E4&amp;$F4,'Doc Há Pagar | Rodopar 1015'!$B:$B,U$1)</f>
        <v>0</v>
      </c>
      <c r="V4" s="20">
        <f>SUMIFS('Doc''s Pagos | Rodopar 108'!$J:$J,'Doc''s Pagos | Rodopar 108'!$A:$A,$B4&amp;$E4&amp;$F4&amp;$J4,'Doc''s Pagos | Rodopar 108'!$B:$B,V$1)+SUMIFS('Doc Há Pagar | Rodopar 1015'!$J:$J,'Doc Há Pagar | Rodopar 1015'!$A:$A,$B4&amp;$E4&amp;$F4,'Doc Há Pagar | Rodopar 1015'!$B:$B,V$1)</f>
        <v>0</v>
      </c>
      <c r="W4" s="20">
        <f>SUMIFS('Doc''s Pagos | Rodopar 108'!$J:$J,'Doc''s Pagos | Rodopar 108'!$A:$A,$B4&amp;$E4&amp;$F4&amp;$J4,'Doc''s Pagos | Rodopar 108'!$B:$B,W$1)+SUMIFS('Doc Há Pagar | Rodopar 1015'!$J:$J,'Doc Há Pagar | Rodopar 1015'!$A:$A,$B4&amp;$E4&amp;$F4,'Doc Há Pagar | Rodopar 1015'!$B:$B,W$1)</f>
        <v>0</v>
      </c>
      <c r="X4" s="20">
        <f>SUMIFS('Doc''s Pagos | Rodopar 108'!$J:$J,'Doc''s Pagos | Rodopar 108'!$A:$A,$B4&amp;$E4&amp;$F4&amp;$J4,'Doc''s Pagos | Rodopar 108'!$B:$B,X$1)+SUMIFS('Doc Há Pagar | Rodopar 1015'!$J:$J,'Doc Há Pagar | Rodopar 1015'!$A:$A,$B4&amp;$E4&amp;$F4,'Doc Há Pagar | Rodopar 1015'!$B:$B,X$1)</f>
        <v>0</v>
      </c>
      <c r="Y4" s="20">
        <f>SUMIFS('Doc''s Pagos | Rodopar 108'!$J:$J,'Doc''s Pagos | Rodopar 108'!$A:$A,$B4&amp;$E4&amp;$F4&amp;$J4,'Doc''s Pagos | Rodopar 108'!$B:$B,Y$1)+SUMIFS('Doc Há Pagar | Rodopar 1015'!$J:$J,'Doc Há Pagar | Rodopar 1015'!$A:$A,$B4&amp;$E4&amp;$F4,'Doc Há Pagar | Rodopar 1015'!$B:$B,Y$1)</f>
        <v>0</v>
      </c>
      <c r="Z4" s="20">
        <f>SUMIFS('Doc''s Pagos | Rodopar 108'!$J:$J,'Doc''s Pagos | Rodopar 108'!$A:$A,$B4&amp;$E4&amp;$F4&amp;$J4,'Doc''s Pagos | Rodopar 108'!$B:$B,Z$1)+SUMIFS('Doc Há Pagar | Rodopar 1015'!$J:$J,'Doc Há Pagar | Rodopar 1015'!$A:$A,$B4&amp;$E4&amp;$F4,'Doc Há Pagar | Rodopar 1015'!$B:$B,Z$1)</f>
        <v>0</v>
      </c>
      <c r="AA4" s="20">
        <f>SUMIFS('Doc''s Pagos | Rodopar 108'!$J:$J,'Doc''s Pagos | Rodopar 108'!$A:$A,$B4&amp;$E4&amp;$F4&amp;$J4,'Doc''s Pagos | Rodopar 108'!$B:$B,AA$1)+SUMIFS('Doc Há Pagar | Rodopar 1015'!$J:$J,'Doc Há Pagar | Rodopar 1015'!$A:$A,$B4&amp;$E4&amp;$F4,'Doc Há Pagar | Rodopar 1015'!$B:$B,AA$1)</f>
        <v>0</v>
      </c>
      <c r="AB4" s="20">
        <f>SUMIFS('Doc''s Pagos | Rodopar 108'!$J:$J,'Doc''s Pagos | Rodopar 108'!$A:$A,$B4&amp;$E4&amp;$F4&amp;$J4,'Doc''s Pagos | Rodopar 108'!$B:$B,AB$1)+SUMIFS('Doc Há Pagar | Rodopar 1015'!$J:$J,'Doc Há Pagar | Rodopar 1015'!$A:$A,$B4&amp;$E4&amp;$F4,'Doc Há Pagar | Rodopar 1015'!$B:$B,AB$1)</f>
        <v>0</v>
      </c>
      <c r="AC4" s="20">
        <f>SUMIFS('Doc''s Pagos | Rodopar 108'!$J:$J,'Doc''s Pagos | Rodopar 108'!$A:$A,$B4&amp;$E4&amp;$F4&amp;$J4,'Doc''s Pagos | Rodopar 108'!$B:$B,AC$1)+SUMIFS('Doc Há Pagar | Rodopar 1015'!$J:$J,'Doc Há Pagar | Rodopar 1015'!$A:$A,$B4&amp;$E4&amp;$F4,'Doc Há Pagar | Rodopar 1015'!$B:$B,AC$1)</f>
        <v>0</v>
      </c>
      <c r="AD4" s="20">
        <f>SUMIFS('Doc''s Pagos | Rodopar 108'!$J:$J,'Doc''s Pagos | Rodopar 108'!$A:$A,$B4&amp;$E4&amp;$F4&amp;$J4,'Doc''s Pagos | Rodopar 108'!$B:$B,AD$1)+SUMIFS('Doc Há Pagar | Rodopar 1015'!$J:$J,'Doc Há Pagar | Rodopar 1015'!$A:$A,$B4&amp;$E4&amp;$F4,'Doc Há Pagar | Rodopar 1015'!$B:$B,AD$1)</f>
        <v>0</v>
      </c>
    </row>
    <row r="5" spans="1:30" x14ac:dyDescent="0.25">
      <c r="A5" s="1" t="str">
        <f>VLOOKUP($E5,Fornecedores!$A:$C,3,0)</f>
        <v>Frota</v>
      </c>
      <c r="B5" s="14">
        <v>3780</v>
      </c>
      <c r="C5" s="14" t="str">
        <f>IFERROR(VLOOKUP($E5,Fornecedores!$A:$E,4,0),"")</f>
        <v>Manutenção</v>
      </c>
      <c r="D5" s="14" t="str">
        <f>IFERROR(VLOOKUP($E5,Fornecedores!$A:$E,5,0),"")</f>
        <v>Frota Leve OPE</v>
      </c>
      <c r="E5" s="8" t="s">
        <v>125</v>
      </c>
      <c r="F5" s="14" t="s">
        <v>665</v>
      </c>
      <c r="G5" s="8" t="s">
        <v>467</v>
      </c>
      <c r="H5" s="9">
        <v>87</v>
      </c>
      <c r="I5" s="21">
        <v>490</v>
      </c>
      <c r="J5" s="11">
        <v>46013</v>
      </c>
      <c r="K5" s="11">
        <v>46027</v>
      </c>
      <c r="L5" s="8" t="s">
        <v>282</v>
      </c>
      <c r="M5" s="14" t="s">
        <v>234</v>
      </c>
      <c r="N5" s="16">
        <v>1556</v>
      </c>
      <c r="O5" s="14" t="s">
        <v>241</v>
      </c>
      <c r="P5" s="14"/>
      <c r="Q5" s="20">
        <f t="shared" si="0"/>
        <v>0</v>
      </c>
      <c r="S5" s="20">
        <f>SUMIFS('Doc''s Pagos | Rodopar 108'!$J:$J,'Doc''s Pagos | Rodopar 108'!$A:$A,$B5&amp;$E5&amp;$F5&amp;$J5,'Doc''s Pagos | Rodopar 108'!$B:$B,S$1)+SUMIFS('Doc Há Pagar | Rodopar 1015'!$J:$J,'Doc Há Pagar | Rodopar 1015'!$A:$A,$B5&amp;$E5&amp;$F5,'Doc Há Pagar | Rodopar 1015'!$B:$B,S$1)</f>
        <v>490</v>
      </c>
      <c r="T5" s="20">
        <f>SUMIFS('Doc''s Pagos | Rodopar 108'!$J:$J,'Doc''s Pagos | Rodopar 108'!$A:$A,$B5&amp;$E5&amp;$F5&amp;$J5,'Doc''s Pagos | Rodopar 108'!$B:$B,T$1)+SUMIFS('Doc Há Pagar | Rodopar 1015'!$J:$J,'Doc Há Pagar | Rodopar 1015'!$A:$A,$B5&amp;$E5&amp;$F5,'Doc Há Pagar | Rodopar 1015'!$B:$B,T$1)</f>
        <v>0</v>
      </c>
      <c r="U5" s="20">
        <f>SUMIFS('Doc''s Pagos | Rodopar 108'!$J:$J,'Doc''s Pagos | Rodopar 108'!$A:$A,$B5&amp;$E5&amp;$F5&amp;$J5,'Doc''s Pagos | Rodopar 108'!$B:$B,U$1)+SUMIFS('Doc Há Pagar | Rodopar 1015'!$J:$J,'Doc Há Pagar | Rodopar 1015'!$A:$A,$B5&amp;$E5&amp;$F5,'Doc Há Pagar | Rodopar 1015'!$B:$B,U$1)</f>
        <v>0</v>
      </c>
      <c r="V5" s="20">
        <f>SUMIFS('Doc''s Pagos | Rodopar 108'!$J:$J,'Doc''s Pagos | Rodopar 108'!$A:$A,$B5&amp;$E5&amp;$F5&amp;$J5,'Doc''s Pagos | Rodopar 108'!$B:$B,V$1)+SUMIFS('Doc Há Pagar | Rodopar 1015'!$J:$J,'Doc Há Pagar | Rodopar 1015'!$A:$A,$B5&amp;$E5&amp;$F5,'Doc Há Pagar | Rodopar 1015'!$B:$B,V$1)</f>
        <v>0</v>
      </c>
      <c r="W5" s="20">
        <f>SUMIFS('Doc''s Pagos | Rodopar 108'!$J:$J,'Doc''s Pagos | Rodopar 108'!$A:$A,$B5&amp;$E5&amp;$F5&amp;$J5,'Doc''s Pagos | Rodopar 108'!$B:$B,W$1)+SUMIFS('Doc Há Pagar | Rodopar 1015'!$J:$J,'Doc Há Pagar | Rodopar 1015'!$A:$A,$B5&amp;$E5&amp;$F5,'Doc Há Pagar | Rodopar 1015'!$B:$B,W$1)</f>
        <v>0</v>
      </c>
      <c r="X5" s="20">
        <f>SUMIFS('Doc''s Pagos | Rodopar 108'!$J:$J,'Doc''s Pagos | Rodopar 108'!$A:$A,$B5&amp;$E5&amp;$F5&amp;$J5,'Doc''s Pagos | Rodopar 108'!$B:$B,X$1)+SUMIFS('Doc Há Pagar | Rodopar 1015'!$J:$J,'Doc Há Pagar | Rodopar 1015'!$A:$A,$B5&amp;$E5&amp;$F5,'Doc Há Pagar | Rodopar 1015'!$B:$B,X$1)</f>
        <v>0</v>
      </c>
      <c r="Y5" s="20">
        <f>SUMIFS('Doc''s Pagos | Rodopar 108'!$J:$J,'Doc''s Pagos | Rodopar 108'!$A:$A,$B5&amp;$E5&amp;$F5&amp;$J5,'Doc''s Pagos | Rodopar 108'!$B:$B,Y$1)+SUMIFS('Doc Há Pagar | Rodopar 1015'!$J:$J,'Doc Há Pagar | Rodopar 1015'!$A:$A,$B5&amp;$E5&amp;$F5,'Doc Há Pagar | Rodopar 1015'!$B:$B,Y$1)</f>
        <v>0</v>
      </c>
      <c r="Z5" s="20">
        <f>SUMIFS('Doc''s Pagos | Rodopar 108'!$J:$J,'Doc''s Pagos | Rodopar 108'!$A:$A,$B5&amp;$E5&amp;$F5&amp;$J5,'Doc''s Pagos | Rodopar 108'!$B:$B,Z$1)+SUMIFS('Doc Há Pagar | Rodopar 1015'!$J:$J,'Doc Há Pagar | Rodopar 1015'!$A:$A,$B5&amp;$E5&amp;$F5,'Doc Há Pagar | Rodopar 1015'!$B:$B,Z$1)</f>
        <v>0</v>
      </c>
      <c r="AA5" s="20">
        <f>SUMIFS('Doc''s Pagos | Rodopar 108'!$J:$J,'Doc''s Pagos | Rodopar 108'!$A:$A,$B5&amp;$E5&amp;$F5&amp;$J5,'Doc''s Pagos | Rodopar 108'!$B:$B,AA$1)+SUMIFS('Doc Há Pagar | Rodopar 1015'!$J:$J,'Doc Há Pagar | Rodopar 1015'!$A:$A,$B5&amp;$E5&amp;$F5,'Doc Há Pagar | Rodopar 1015'!$B:$B,AA$1)</f>
        <v>0</v>
      </c>
      <c r="AB5" s="20">
        <f>SUMIFS('Doc''s Pagos | Rodopar 108'!$J:$J,'Doc''s Pagos | Rodopar 108'!$A:$A,$B5&amp;$E5&amp;$F5&amp;$J5,'Doc''s Pagos | Rodopar 108'!$B:$B,AB$1)+SUMIFS('Doc Há Pagar | Rodopar 1015'!$J:$J,'Doc Há Pagar | Rodopar 1015'!$A:$A,$B5&amp;$E5&amp;$F5,'Doc Há Pagar | Rodopar 1015'!$B:$B,AB$1)</f>
        <v>0</v>
      </c>
      <c r="AC5" s="20">
        <f>SUMIFS('Doc''s Pagos | Rodopar 108'!$J:$J,'Doc''s Pagos | Rodopar 108'!$A:$A,$B5&amp;$E5&amp;$F5&amp;$J5,'Doc''s Pagos | Rodopar 108'!$B:$B,AC$1)+SUMIFS('Doc Há Pagar | Rodopar 1015'!$J:$J,'Doc Há Pagar | Rodopar 1015'!$A:$A,$B5&amp;$E5&amp;$F5,'Doc Há Pagar | Rodopar 1015'!$B:$B,AC$1)</f>
        <v>0</v>
      </c>
      <c r="AD5" s="20">
        <f>SUMIFS('Doc''s Pagos | Rodopar 108'!$J:$J,'Doc''s Pagos | Rodopar 108'!$A:$A,$B5&amp;$E5&amp;$F5&amp;$J5,'Doc''s Pagos | Rodopar 108'!$B:$B,AD$1)+SUMIFS('Doc Há Pagar | Rodopar 1015'!$J:$J,'Doc Há Pagar | Rodopar 1015'!$A:$A,$B5&amp;$E5&amp;$F5,'Doc Há Pagar | Rodopar 1015'!$B:$B,AD$1)</f>
        <v>0</v>
      </c>
    </row>
    <row r="6" spans="1:30" x14ac:dyDescent="0.25">
      <c r="A6" s="1" t="str">
        <f>VLOOKUP($E6,Fornecedores!$A:$C,3,0)</f>
        <v>Frota</v>
      </c>
      <c r="B6" s="14">
        <v>3781</v>
      </c>
      <c r="C6" s="14" t="str">
        <f>IFERROR(VLOOKUP($E6,Fornecedores!$A:$E,4,0),"")</f>
        <v>Manutenção</v>
      </c>
      <c r="D6" s="14" t="str">
        <f>IFERROR(VLOOKUP($E6,Fornecedores!$A:$E,5,0),"")</f>
        <v>Frota Leve OPE</v>
      </c>
      <c r="E6" s="8" t="s">
        <v>125</v>
      </c>
      <c r="F6" s="14" t="s">
        <v>665</v>
      </c>
      <c r="G6" s="8" t="s">
        <v>467</v>
      </c>
      <c r="H6" s="9">
        <v>87</v>
      </c>
      <c r="I6" s="21">
        <v>430</v>
      </c>
      <c r="J6" s="11">
        <v>46013</v>
      </c>
      <c r="K6" s="11">
        <v>46027</v>
      </c>
      <c r="L6" s="8" t="s">
        <v>282</v>
      </c>
      <c r="M6" s="14" t="s">
        <v>234</v>
      </c>
      <c r="N6" s="16">
        <v>1556</v>
      </c>
      <c r="O6" s="14" t="s">
        <v>241</v>
      </c>
      <c r="P6" s="14"/>
      <c r="Q6" s="20">
        <f t="shared" si="0"/>
        <v>0</v>
      </c>
      <c r="S6" s="20">
        <f>SUMIFS('Doc''s Pagos | Rodopar 108'!$J:$J,'Doc''s Pagos | Rodopar 108'!$A:$A,$B6&amp;$E6&amp;$F6&amp;$J6,'Doc''s Pagos | Rodopar 108'!$B:$B,S$1)+SUMIFS('Doc Há Pagar | Rodopar 1015'!$J:$J,'Doc Há Pagar | Rodopar 1015'!$A:$A,$B6&amp;$E6&amp;$F6,'Doc Há Pagar | Rodopar 1015'!$B:$B,S$1)</f>
        <v>430</v>
      </c>
      <c r="T6" s="20">
        <f>SUMIFS('Doc''s Pagos | Rodopar 108'!$J:$J,'Doc''s Pagos | Rodopar 108'!$A:$A,$B6&amp;$E6&amp;$F6&amp;$J6,'Doc''s Pagos | Rodopar 108'!$B:$B,T$1)+SUMIFS('Doc Há Pagar | Rodopar 1015'!$J:$J,'Doc Há Pagar | Rodopar 1015'!$A:$A,$B6&amp;$E6&amp;$F6,'Doc Há Pagar | Rodopar 1015'!$B:$B,T$1)</f>
        <v>0</v>
      </c>
      <c r="U6" s="20">
        <f>SUMIFS('Doc''s Pagos | Rodopar 108'!$J:$J,'Doc''s Pagos | Rodopar 108'!$A:$A,$B6&amp;$E6&amp;$F6&amp;$J6,'Doc''s Pagos | Rodopar 108'!$B:$B,U$1)+SUMIFS('Doc Há Pagar | Rodopar 1015'!$J:$J,'Doc Há Pagar | Rodopar 1015'!$A:$A,$B6&amp;$E6&amp;$F6,'Doc Há Pagar | Rodopar 1015'!$B:$B,U$1)</f>
        <v>0</v>
      </c>
      <c r="V6" s="20">
        <f>SUMIFS('Doc''s Pagos | Rodopar 108'!$J:$J,'Doc''s Pagos | Rodopar 108'!$A:$A,$B6&amp;$E6&amp;$F6&amp;$J6,'Doc''s Pagos | Rodopar 108'!$B:$B,V$1)+SUMIFS('Doc Há Pagar | Rodopar 1015'!$J:$J,'Doc Há Pagar | Rodopar 1015'!$A:$A,$B6&amp;$E6&amp;$F6,'Doc Há Pagar | Rodopar 1015'!$B:$B,V$1)</f>
        <v>0</v>
      </c>
      <c r="W6" s="20">
        <f>SUMIFS('Doc''s Pagos | Rodopar 108'!$J:$J,'Doc''s Pagos | Rodopar 108'!$A:$A,$B6&amp;$E6&amp;$F6&amp;$J6,'Doc''s Pagos | Rodopar 108'!$B:$B,W$1)+SUMIFS('Doc Há Pagar | Rodopar 1015'!$J:$J,'Doc Há Pagar | Rodopar 1015'!$A:$A,$B6&amp;$E6&amp;$F6,'Doc Há Pagar | Rodopar 1015'!$B:$B,W$1)</f>
        <v>0</v>
      </c>
      <c r="X6" s="20">
        <f>SUMIFS('Doc''s Pagos | Rodopar 108'!$J:$J,'Doc''s Pagos | Rodopar 108'!$A:$A,$B6&amp;$E6&amp;$F6&amp;$J6,'Doc''s Pagos | Rodopar 108'!$B:$B,X$1)+SUMIFS('Doc Há Pagar | Rodopar 1015'!$J:$J,'Doc Há Pagar | Rodopar 1015'!$A:$A,$B6&amp;$E6&amp;$F6,'Doc Há Pagar | Rodopar 1015'!$B:$B,X$1)</f>
        <v>0</v>
      </c>
      <c r="Y6" s="20">
        <f>SUMIFS('Doc''s Pagos | Rodopar 108'!$J:$J,'Doc''s Pagos | Rodopar 108'!$A:$A,$B6&amp;$E6&amp;$F6&amp;$J6,'Doc''s Pagos | Rodopar 108'!$B:$B,Y$1)+SUMIFS('Doc Há Pagar | Rodopar 1015'!$J:$J,'Doc Há Pagar | Rodopar 1015'!$A:$A,$B6&amp;$E6&amp;$F6,'Doc Há Pagar | Rodopar 1015'!$B:$B,Y$1)</f>
        <v>0</v>
      </c>
      <c r="Z6" s="20">
        <f>SUMIFS('Doc''s Pagos | Rodopar 108'!$J:$J,'Doc''s Pagos | Rodopar 108'!$A:$A,$B6&amp;$E6&amp;$F6&amp;$J6,'Doc''s Pagos | Rodopar 108'!$B:$B,Z$1)+SUMIFS('Doc Há Pagar | Rodopar 1015'!$J:$J,'Doc Há Pagar | Rodopar 1015'!$A:$A,$B6&amp;$E6&amp;$F6,'Doc Há Pagar | Rodopar 1015'!$B:$B,Z$1)</f>
        <v>0</v>
      </c>
      <c r="AA6" s="20">
        <f>SUMIFS('Doc''s Pagos | Rodopar 108'!$J:$J,'Doc''s Pagos | Rodopar 108'!$A:$A,$B6&amp;$E6&amp;$F6&amp;$J6,'Doc''s Pagos | Rodopar 108'!$B:$B,AA$1)+SUMIFS('Doc Há Pagar | Rodopar 1015'!$J:$J,'Doc Há Pagar | Rodopar 1015'!$A:$A,$B6&amp;$E6&amp;$F6,'Doc Há Pagar | Rodopar 1015'!$B:$B,AA$1)</f>
        <v>0</v>
      </c>
      <c r="AB6" s="20">
        <f>SUMIFS('Doc''s Pagos | Rodopar 108'!$J:$J,'Doc''s Pagos | Rodopar 108'!$A:$A,$B6&amp;$E6&amp;$F6&amp;$J6,'Doc''s Pagos | Rodopar 108'!$B:$B,AB$1)+SUMIFS('Doc Há Pagar | Rodopar 1015'!$J:$J,'Doc Há Pagar | Rodopar 1015'!$A:$A,$B6&amp;$E6&amp;$F6,'Doc Há Pagar | Rodopar 1015'!$B:$B,AB$1)</f>
        <v>0</v>
      </c>
      <c r="AC6" s="20">
        <f>SUMIFS('Doc''s Pagos | Rodopar 108'!$J:$J,'Doc''s Pagos | Rodopar 108'!$A:$A,$B6&amp;$E6&amp;$F6&amp;$J6,'Doc''s Pagos | Rodopar 108'!$B:$B,AC$1)+SUMIFS('Doc Há Pagar | Rodopar 1015'!$J:$J,'Doc Há Pagar | Rodopar 1015'!$A:$A,$B6&amp;$E6&amp;$F6,'Doc Há Pagar | Rodopar 1015'!$B:$B,AC$1)</f>
        <v>0</v>
      </c>
      <c r="AD6" s="20">
        <f>SUMIFS('Doc''s Pagos | Rodopar 108'!$J:$J,'Doc''s Pagos | Rodopar 108'!$A:$A,$B6&amp;$E6&amp;$F6&amp;$J6,'Doc''s Pagos | Rodopar 108'!$B:$B,AD$1)+SUMIFS('Doc Há Pagar | Rodopar 1015'!$J:$J,'Doc Há Pagar | Rodopar 1015'!$A:$A,$B6&amp;$E6&amp;$F6,'Doc Há Pagar | Rodopar 1015'!$B:$B,AD$1)</f>
        <v>0</v>
      </c>
    </row>
    <row r="7" spans="1:30" x14ac:dyDescent="0.25">
      <c r="A7" s="1" t="str">
        <f>VLOOKUP($E7,Fornecedores!$A:$C,3,0)</f>
        <v>Frota</v>
      </c>
      <c r="B7" s="14">
        <v>145</v>
      </c>
      <c r="C7" s="14" t="str">
        <f>IFERROR(VLOOKUP($E7,Fornecedores!$A:$E,4,0),"")</f>
        <v>Sinistro</v>
      </c>
      <c r="D7" s="14" t="str">
        <f>IFERROR(VLOOKUP($E7,Fornecedores!$A:$E,5,0),"")</f>
        <v>Lanternagem</v>
      </c>
      <c r="E7" s="8" t="s">
        <v>35</v>
      </c>
      <c r="F7" s="14" t="s">
        <v>665</v>
      </c>
      <c r="G7" s="8" t="s">
        <v>399</v>
      </c>
      <c r="H7" s="9">
        <v>87</v>
      </c>
      <c r="I7" s="21">
        <v>1000</v>
      </c>
      <c r="J7" s="11">
        <v>46017</v>
      </c>
      <c r="K7" s="11">
        <v>46027</v>
      </c>
      <c r="L7" s="8" t="s">
        <v>282</v>
      </c>
      <c r="M7" s="14" t="s">
        <v>234</v>
      </c>
      <c r="N7" s="16">
        <v>1556</v>
      </c>
      <c r="O7" s="14" t="s">
        <v>241</v>
      </c>
      <c r="P7" s="14"/>
      <c r="Q7" s="20">
        <f t="shared" si="0"/>
        <v>0</v>
      </c>
      <c r="S7" s="20">
        <f>SUMIFS('Doc''s Pagos | Rodopar 108'!$J:$J,'Doc''s Pagos | Rodopar 108'!$A:$A,$B7&amp;$E7&amp;$F7&amp;$J7,'Doc''s Pagos | Rodopar 108'!$B:$B,S$1)+SUMIFS('Doc Há Pagar | Rodopar 1015'!$J:$J,'Doc Há Pagar | Rodopar 1015'!$A:$A,$B7&amp;$E7&amp;$F7,'Doc Há Pagar | Rodopar 1015'!$B:$B,S$1)</f>
        <v>1000</v>
      </c>
      <c r="T7" s="20">
        <f>SUMIFS('Doc''s Pagos | Rodopar 108'!$J:$J,'Doc''s Pagos | Rodopar 108'!$A:$A,$B7&amp;$E7&amp;$F7&amp;$J7,'Doc''s Pagos | Rodopar 108'!$B:$B,T$1)+SUMIFS('Doc Há Pagar | Rodopar 1015'!$J:$J,'Doc Há Pagar | Rodopar 1015'!$A:$A,$B7&amp;$E7&amp;$F7,'Doc Há Pagar | Rodopar 1015'!$B:$B,T$1)</f>
        <v>0</v>
      </c>
      <c r="U7" s="20">
        <f>SUMIFS('Doc''s Pagos | Rodopar 108'!$J:$J,'Doc''s Pagos | Rodopar 108'!$A:$A,$B7&amp;$E7&amp;$F7&amp;$J7,'Doc''s Pagos | Rodopar 108'!$B:$B,U$1)+SUMIFS('Doc Há Pagar | Rodopar 1015'!$J:$J,'Doc Há Pagar | Rodopar 1015'!$A:$A,$B7&amp;$E7&amp;$F7,'Doc Há Pagar | Rodopar 1015'!$B:$B,U$1)</f>
        <v>0</v>
      </c>
      <c r="V7" s="20">
        <f>SUMIFS('Doc''s Pagos | Rodopar 108'!$J:$J,'Doc''s Pagos | Rodopar 108'!$A:$A,$B7&amp;$E7&amp;$F7&amp;$J7,'Doc''s Pagos | Rodopar 108'!$B:$B,V$1)+SUMIFS('Doc Há Pagar | Rodopar 1015'!$J:$J,'Doc Há Pagar | Rodopar 1015'!$A:$A,$B7&amp;$E7&amp;$F7,'Doc Há Pagar | Rodopar 1015'!$B:$B,V$1)</f>
        <v>0</v>
      </c>
      <c r="W7" s="20">
        <f>SUMIFS('Doc''s Pagos | Rodopar 108'!$J:$J,'Doc''s Pagos | Rodopar 108'!$A:$A,$B7&amp;$E7&amp;$F7&amp;$J7,'Doc''s Pagos | Rodopar 108'!$B:$B,W$1)+SUMIFS('Doc Há Pagar | Rodopar 1015'!$J:$J,'Doc Há Pagar | Rodopar 1015'!$A:$A,$B7&amp;$E7&amp;$F7,'Doc Há Pagar | Rodopar 1015'!$B:$B,W$1)</f>
        <v>0</v>
      </c>
      <c r="X7" s="20">
        <f>SUMIFS('Doc''s Pagos | Rodopar 108'!$J:$J,'Doc''s Pagos | Rodopar 108'!$A:$A,$B7&amp;$E7&amp;$F7&amp;$J7,'Doc''s Pagos | Rodopar 108'!$B:$B,X$1)+SUMIFS('Doc Há Pagar | Rodopar 1015'!$J:$J,'Doc Há Pagar | Rodopar 1015'!$A:$A,$B7&amp;$E7&amp;$F7,'Doc Há Pagar | Rodopar 1015'!$B:$B,X$1)</f>
        <v>0</v>
      </c>
      <c r="Y7" s="20">
        <f>SUMIFS('Doc''s Pagos | Rodopar 108'!$J:$J,'Doc''s Pagos | Rodopar 108'!$A:$A,$B7&amp;$E7&amp;$F7&amp;$J7,'Doc''s Pagos | Rodopar 108'!$B:$B,Y$1)+SUMIFS('Doc Há Pagar | Rodopar 1015'!$J:$J,'Doc Há Pagar | Rodopar 1015'!$A:$A,$B7&amp;$E7&amp;$F7,'Doc Há Pagar | Rodopar 1015'!$B:$B,Y$1)</f>
        <v>0</v>
      </c>
      <c r="Z7" s="20">
        <f>SUMIFS('Doc''s Pagos | Rodopar 108'!$J:$J,'Doc''s Pagos | Rodopar 108'!$A:$A,$B7&amp;$E7&amp;$F7&amp;$J7,'Doc''s Pagos | Rodopar 108'!$B:$B,Z$1)+SUMIFS('Doc Há Pagar | Rodopar 1015'!$J:$J,'Doc Há Pagar | Rodopar 1015'!$A:$A,$B7&amp;$E7&amp;$F7,'Doc Há Pagar | Rodopar 1015'!$B:$B,Z$1)</f>
        <v>0</v>
      </c>
      <c r="AA7" s="20">
        <f>SUMIFS('Doc''s Pagos | Rodopar 108'!$J:$J,'Doc''s Pagos | Rodopar 108'!$A:$A,$B7&amp;$E7&amp;$F7&amp;$J7,'Doc''s Pagos | Rodopar 108'!$B:$B,AA$1)+SUMIFS('Doc Há Pagar | Rodopar 1015'!$J:$J,'Doc Há Pagar | Rodopar 1015'!$A:$A,$B7&amp;$E7&amp;$F7,'Doc Há Pagar | Rodopar 1015'!$B:$B,AA$1)</f>
        <v>0</v>
      </c>
      <c r="AB7" s="20">
        <f>SUMIFS('Doc''s Pagos | Rodopar 108'!$J:$J,'Doc''s Pagos | Rodopar 108'!$A:$A,$B7&amp;$E7&amp;$F7&amp;$J7,'Doc''s Pagos | Rodopar 108'!$B:$B,AB$1)+SUMIFS('Doc Há Pagar | Rodopar 1015'!$J:$J,'Doc Há Pagar | Rodopar 1015'!$A:$A,$B7&amp;$E7&amp;$F7,'Doc Há Pagar | Rodopar 1015'!$B:$B,AB$1)</f>
        <v>0</v>
      </c>
      <c r="AC7" s="20">
        <f>SUMIFS('Doc''s Pagos | Rodopar 108'!$J:$J,'Doc''s Pagos | Rodopar 108'!$A:$A,$B7&amp;$E7&amp;$F7&amp;$J7,'Doc''s Pagos | Rodopar 108'!$B:$B,AC$1)+SUMIFS('Doc Há Pagar | Rodopar 1015'!$J:$J,'Doc Há Pagar | Rodopar 1015'!$A:$A,$B7&amp;$E7&amp;$F7,'Doc Há Pagar | Rodopar 1015'!$B:$B,AC$1)</f>
        <v>0</v>
      </c>
      <c r="AD7" s="20">
        <f>SUMIFS('Doc''s Pagos | Rodopar 108'!$J:$J,'Doc''s Pagos | Rodopar 108'!$A:$A,$B7&amp;$E7&amp;$F7&amp;$J7,'Doc''s Pagos | Rodopar 108'!$B:$B,AD$1)+SUMIFS('Doc Há Pagar | Rodopar 1015'!$J:$J,'Doc Há Pagar | Rodopar 1015'!$A:$A,$B7&amp;$E7&amp;$F7,'Doc Há Pagar | Rodopar 1015'!$B:$B,AD$1)</f>
        <v>0</v>
      </c>
    </row>
    <row r="8" spans="1:30" x14ac:dyDescent="0.25">
      <c r="A8" s="1" t="str">
        <f>VLOOKUP($E8,Fornecedores!$A:$C,3,0)</f>
        <v>Frota</v>
      </c>
      <c r="B8" s="14">
        <v>2611814548</v>
      </c>
      <c r="C8" s="14" t="str">
        <f>IFERROR(VLOOKUP($E8,Fornecedores!$A:$E,4,0),"")</f>
        <v>Pedagios</v>
      </c>
      <c r="D8" s="14" t="str">
        <f>IFERROR(VLOOKUP($E8,Fornecedores!$A:$E,5,0),"")</f>
        <v>Pedagios</v>
      </c>
      <c r="E8" s="8" t="s">
        <v>38</v>
      </c>
      <c r="F8" s="14" t="s">
        <v>232</v>
      </c>
      <c r="G8" s="8" t="s">
        <v>261</v>
      </c>
      <c r="H8" s="9">
        <v>87</v>
      </c>
      <c r="I8" s="21">
        <v>23342.83</v>
      </c>
      <c r="J8" s="11">
        <v>46025</v>
      </c>
      <c r="K8" s="11">
        <v>46029</v>
      </c>
      <c r="L8" s="8" t="s">
        <v>262</v>
      </c>
      <c r="M8" s="14" t="s">
        <v>263</v>
      </c>
      <c r="N8" s="16">
        <v>2556</v>
      </c>
      <c r="O8" s="14" t="s">
        <v>241</v>
      </c>
      <c r="P8" s="14"/>
      <c r="Q8" s="20">
        <f t="shared" si="0"/>
        <v>0</v>
      </c>
      <c r="S8" s="20">
        <f>SUMIFS('Doc''s Pagos | Rodopar 108'!$J:$J,'Doc''s Pagos | Rodopar 108'!$A:$A,$B8&amp;$E8&amp;$F8&amp;$J8,'Doc''s Pagos | Rodopar 108'!$B:$B,S$1)+SUMIFS('Doc Há Pagar | Rodopar 1015'!$J:$J,'Doc Há Pagar | Rodopar 1015'!$A:$A,$B8&amp;$E8&amp;$F8,'Doc Há Pagar | Rodopar 1015'!$B:$B,S$1)</f>
        <v>23342.83</v>
      </c>
      <c r="T8" s="20">
        <f>SUMIFS('Doc''s Pagos | Rodopar 108'!$J:$J,'Doc''s Pagos | Rodopar 108'!$A:$A,$B8&amp;$E8&amp;$F8&amp;$J8,'Doc''s Pagos | Rodopar 108'!$B:$B,T$1)+SUMIFS('Doc Há Pagar | Rodopar 1015'!$J:$J,'Doc Há Pagar | Rodopar 1015'!$A:$A,$B8&amp;$E8&amp;$F8,'Doc Há Pagar | Rodopar 1015'!$B:$B,T$1)</f>
        <v>0</v>
      </c>
      <c r="U8" s="20">
        <f>SUMIFS('Doc''s Pagos | Rodopar 108'!$J:$J,'Doc''s Pagos | Rodopar 108'!$A:$A,$B8&amp;$E8&amp;$F8&amp;$J8,'Doc''s Pagos | Rodopar 108'!$B:$B,U$1)+SUMIFS('Doc Há Pagar | Rodopar 1015'!$J:$J,'Doc Há Pagar | Rodopar 1015'!$A:$A,$B8&amp;$E8&amp;$F8,'Doc Há Pagar | Rodopar 1015'!$B:$B,U$1)</f>
        <v>0</v>
      </c>
      <c r="V8" s="20">
        <f>SUMIFS('Doc''s Pagos | Rodopar 108'!$J:$J,'Doc''s Pagos | Rodopar 108'!$A:$A,$B8&amp;$E8&amp;$F8&amp;$J8,'Doc''s Pagos | Rodopar 108'!$B:$B,V$1)+SUMIFS('Doc Há Pagar | Rodopar 1015'!$J:$J,'Doc Há Pagar | Rodopar 1015'!$A:$A,$B8&amp;$E8&amp;$F8,'Doc Há Pagar | Rodopar 1015'!$B:$B,V$1)</f>
        <v>0</v>
      </c>
      <c r="W8" s="20">
        <f>SUMIFS('Doc''s Pagos | Rodopar 108'!$J:$J,'Doc''s Pagos | Rodopar 108'!$A:$A,$B8&amp;$E8&amp;$F8&amp;$J8,'Doc''s Pagos | Rodopar 108'!$B:$B,W$1)+SUMIFS('Doc Há Pagar | Rodopar 1015'!$J:$J,'Doc Há Pagar | Rodopar 1015'!$A:$A,$B8&amp;$E8&amp;$F8,'Doc Há Pagar | Rodopar 1015'!$B:$B,W$1)</f>
        <v>0</v>
      </c>
      <c r="X8" s="20">
        <f>SUMIFS('Doc''s Pagos | Rodopar 108'!$J:$J,'Doc''s Pagos | Rodopar 108'!$A:$A,$B8&amp;$E8&amp;$F8&amp;$J8,'Doc''s Pagos | Rodopar 108'!$B:$B,X$1)+SUMIFS('Doc Há Pagar | Rodopar 1015'!$J:$J,'Doc Há Pagar | Rodopar 1015'!$A:$A,$B8&amp;$E8&amp;$F8,'Doc Há Pagar | Rodopar 1015'!$B:$B,X$1)</f>
        <v>0</v>
      </c>
      <c r="Y8" s="20">
        <f>SUMIFS('Doc''s Pagos | Rodopar 108'!$J:$J,'Doc''s Pagos | Rodopar 108'!$A:$A,$B8&amp;$E8&amp;$F8&amp;$J8,'Doc''s Pagos | Rodopar 108'!$B:$B,Y$1)+SUMIFS('Doc Há Pagar | Rodopar 1015'!$J:$J,'Doc Há Pagar | Rodopar 1015'!$A:$A,$B8&amp;$E8&amp;$F8,'Doc Há Pagar | Rodopar 1015'!$B:$B,Y$1)</f>
        <v>0</v>
      </c>
      <c r="Z8" s="20">
        <f>SUMIFS('Doc''s Pagos | Rodopar 108'!$J:$J,'Doc''s Pagos | Rodopar 108'!$A:$A,$B8&amp;$E8&amp;$F8&amp;$J8,'Doc''s Pagos | Rodopar 108'!$B:$B,Z$1)+SUMIFS('Doc Há Pagar | Rodopar 1015'!$J:$J,'Doc Há Pagar | Rodopar 1015'!$A:$A,$B8&amp;$E8&amp;$F8,'Doc Há Pagar | Rodopar 1015'!$B:$B,Z$1)</f>
        <v>0</v>
      </c>
      <c r="AA8" s="20">
        <f>SUMIFS('Doc''s Pagos | Rodopar 108'!$J:$J,'Doc''s Pagos | Rodopar 108'!$A:$A,$B8&amp;$E8&amp;$F8&amp;$J8,'Doc''s Pagos | Rodopar 108'!$B:$B,AA$1)+SUMIFS('Doc Há Pagar | Rodopar 1015'!$J:$J,'Doc Há Pagar | Rodopar 1015'!$A:$A,$B8&amp;$E8&amp;$F8,'Doc Há Pagar | Rodopar 1015'!$B:$B,AA$1)</f>
        <v>0</v>
      </c>
      <c r="AB8" s="20">
        <f>SUMIFS('Doc''s Pagos | Rodopar 108'!$J:$J,'Doc''s Pagos | Rodopar 108'!$A:$A,$B8&amp;$E8&amp;$F8&amp;$J8,'Doc''s Pagos | Rodopar 108'!$B:$B,AB$1)+SUMIFS('Doc Há Pagar | Rodopar 1015'!$J:$J,'Doc Há Pagar | Rodopar 1015'!$A:$A,$B8&amp;$E8&amp;$F8,'Doc Há Pagar | Rodopar 1015'!$B:$B,AB$1)</f>
        <v>0</v>
      </c>
      <c r="AC8" s="20">
        <f>SUMIFS('Doc''s Pagos | Rodopar 108'!$J:$J,'Doc''s Pagos | Rodopar 108'!$A:$A,$B8&amp;$E8&amp;$F8&amp;$J8,'Doc''s Pagos | Rodopar 108'!$B:$B,AC$1)+SUMIFS('Doc Há Pagar | Rodopar 1015'!$J:$J,'Doc Há Pagar | Rodopar 1015'!$A:$A,$B8&amp;$E8&amp;$F8,'Doc Há Pagar | Rodopar 1015'!$B:$B,AC$1)</f>
        <v>0</v>
      </c>
      <c r="AD8" s="20">
        <f>SUMIFS('Doc''s Pagos | Rodopar 108'!$J:$J,'Doc''s Pagos | Rodopar 108'!$A:$A,$B8&amp;$E8&amp;$F8&amp;$J8,'Doc''s Pagos | Rodopar 108'!$B:$B,AD$1)+SUMIFS('Doc Há Pagar | Rodopar 1015'!$J:$J,'Doc Há Pagar | Rodopar 1015'!$A:$A,$B8&amp;$E8&amp;$F8,'Doc Há Pagar | Rodopar 1015'!$B:$B,AD$1)</f>
        <v>0</v>
      </c>
    </row>
    <row r="9" spans="1:30" x14ac:dyDescent="0.25">
      <c r="A9" s="1" t="str">
        <f>VLOOKUP($E9,Fornecedores!$A:$C,3,0)</f>
        <v>Frota</v>
      </c>
      <c r="B9" s="14">
        <v>1420</v>
      </c>
      <c r="C9" s="14" t="str">
        <f>IFERROR(VLOOKUP($E9,Fornecedores!$A:$E,4,0),"")</f>
        <v>MTSR</v>
      </c>
      <c r="D9" s="14" t="str">
        <f>IFERROR(VLOOKUP($E9,Fornecedores!$A:$E,5,0),"")</f>
        <v>Tecnologia</v>
      </c>
      <c r="E9" s="8" t="s">
        <v>24</v>
      </c>
      <c r="F9" s="14" t="s">
        <v>232</v>
      </c>
      <c r="G9" s="8" t="s">
        <v>238</v>
      </c>
      <c r="H9" s="9">
        <v>87</v>
      </c>
      <c r="I9" s="21">
        <v>59176.89</v>
      </c>
      <c r="J9" s="11">
        <v>46029</v>
      </c>
      <c r="K9" s="11">
        <v>46030</v>
      </c>
      <c r="L9" s="8" t="s">
        <v>239</v>
      </c>
      <c r="M9" s="14" t="s">
        <v>240</v>
      </c>
      <c r="N9" s="16">
        <v>2556</v>
      </c>
      <c r="O9" s="14" t="s">
        <v>241</v>
      </c>
      <c r="P9" s="14"/>
      <c r="Q9" s="20">
        <f t="shared" si="0"/>
        <v>0</v>
      </c>
      <c r="S9" s="20">
        <f>SUMIFS('Doc''s Pagos | Rodopar 108'!$J:$J,'Doc''s Pagos | Rodopar 108'!$A:$A,$B9&amp;$E9&amp;$F9&amp;$J9,'Doc''s Pagos | Rodopar 108'!$B:$B,S$1)+SUMIFS('Doc Há Pagar | Rodopar 1015'!$J:$J,'Doc Há Pagar | Rodopar 1015'!$A:$A,$B9&amp;$E9&amp;$F9,'Doc Há Pagar | Rodopar 1015'!$B:$B,S$1)</f>
        <v>0</v>
      </c>
      <c r="T9" s="20">
        <f>SUMIFS('Doc''s Pagos | Rodopar 108'!$J:$J,'Doc''s Pagos | Rodopar 108'!$A:$A,$B9&amp;$E9&amp;$F9&amp;$J9,'Doc''s Pagos | Rodopar 108'!$B:$B,T$1)+SUMIFS('Doc Há Pagar | Rodopar 1015'!$J:$J,'Doc Há Pagar | Rodopar 1015'!$A:$A,$B9&amp;$E9&amp;$F9,'Doc Há Pagar | Rodopar 1015'!$B:$B,T$1)</f>
        <v>59176.89</v>
      </c>
      <c r="U9" s="20">
        <f>SUMIFS('Doc''s Pagos | Rodopar 108'!$J:$J,'Doc''s Pagos | Rodopar 108'!$A:$A,$B9&amp;$E9&amp;$F9&amp;$J9,'Doc''s Pagos | Rodopar 108'!$B:$B,U$1)+SUMIFS('Doc Há Pagar | Rodopar 1015'!$J:$J,'Doc Há Pagar | Rodopar 1015'!$A:$A,$B9&amp;$E9&amp;$F9,'Doc Há Pagar | Rodopar 1015'!$B:$B,U$1)</f>
        <v>0</v>
      </c>
      <c r="V9" s="20">
        <f>SUMIFS('Doc''s Pagos | Rodopar 108'!$J:$J,'Doc''s Pagos | Rodopar 108'!$A:$A,$B9&amp;$E9&amp;$F9&amp;$J9,'Doc''s Pagos | Rodopar 108'!$B:$B,V$1)+SUMIFS('Doc Há Pagar | Rodopar 1015'!$J:$J,'Doc Há Pagar | Rodopar 1015'!$A:$A,$B9&amp;$E9&amp;$F9,'Doc Há Pagar | Rodopar 1015'!$B:$B,V$1)</f>
        <v>0</v>
      </c>
      <c r="W9" s="20">
        <f>SUMIFS('Doc''s Pagos | Rodopar 108'!$J:$J,'Doc''s Pagos | Rodopar 108'!$A:$A,$B9&amp;$E9&amp;$F9&amp;$J9,'Doc''s Pagos | Rodopar 108'!$B:$B,W$1)+SUMIFS('Doc Há Pagar | Rodopar 1015'!$J:$J,'Doc Há Pagar | Rodopar 1015'!$A:$A,$B9&amp;$E9&amp;$F9,'Doc Há Pagar | Rodopar 1015'!$B:$B,W$1)</f>
        <v>0</v>
      </c>
      <c r="X9" s="20">
        <f>SUMIFS('Doc''s Pagos | Rodopar 108'!$J:$J,'Doc''s Pagos | Rodopar 108'!$A:$A,$B9&amp;$E9&amp;$F9&amp;$J9,'Doc''s Pagos | Rodopar 108'!$B:$B,X$1)+SUMIFS('Doc Há Pagar | Rodopar 1015'!$J:$J,'Doc Há Pagar | Rodopar 1015'!$A:$A,$B9&amp;$E9&amp;$F9,'Doc Há Pagar | Rodopar 1015'!$B:$B,X$1)</f>
        <v>0</v>
      </c>
      <c r="Y9" s="20">
        <f>SUMIFS('Doc''s Pagos | Rodopar 108'!$J:$J,'Doc''s Pagos | Rodopar 108'!$A:$A,$B9&amp;$E9&amp;$F9&amp;$J9,'Doc''s Pagos | Rodopar 108'!$B:$B,Y$1)+SUMIFS('Doc Há Pagar | Rodopar 1015'!$J:$J,'Doc Há Pagar | Rodopar 1015'!$A:$A,$B9&amp;$E9&amp;$F9,'Doc Há Pagar | Rodopar 1015'!$B:$B,Y$1)</f>
        <v>0</v>
      </c>
      <c r="Z9" s="20">
        <f>SUMIFS('Doc''s Pagos | Rodopar 108'!$J:$J,'Doc''s Pagos | Rodopar 108'!$A:$A,$B9&amp;$E9&amp;$F9&amp;$J9,'Doc''s Pagos | Rodopar 108'!$B:$B,Z$1)+SUMIFS('Doc Há Pagar | Rodopar 1015'!$J:$J,'Doc Há Pagar | Rodopar 1015'!$A:$A,$B9&amp;$E9&amp;$F9,'Doc Há Pagar | Rodopar 1015'!$B:$B,Z$1)</f>
        <v>0</v>
      </c>
      <c r="AA9" s="20">
        <f>SUMIFS('Doc''s Pagos | Rodopar 108'!$J:$J,'Doc''s Pagos | Rodopar 108'!$A:$A,$B9&amp;$E9&amp;$F9&amp;$J9,'Doc''s Pagos | Rodopar 108'!$B:$B,AA$1)+SUMIFS('Doc Há Pagar | Rodopar 1015'!$J:$J,'Doc Há Pagar | Rodopar 1015'!$A:$A,$B9&amp;$E9&amp;$F9,'Doc Há Pagar | Rodopar 1015'!$B:$B,AA$1)</f>
        <v>0</v>
      </c>
      <c r="AB9" s="20">
        <f>SUMIFS('Doc''s Pagos | Rodopar 108'!$J:$J,'Doc''s Pagos | Rodopar 108'!$A:$A,$B9&amp;$E9&amp;$F9&amp;$J9,'Doc''s Pagos | Rodopar 108'!$B:$B,AB$1)+SUMIFS('Doc Há Pagar | Rodopar 1015'!$J:$J,'Doc Há Pagar | Rodopar 1015'!$A:$A,$B9&amp;$E9&amp;$F9,'Doc Há Pagar | Rodopar 1015'!$B:$B,AB$1)</f>
        <v>0</v>
      </c>
      <c r="AC9" s="20">
        <f>SUMIFS('Doc''s Pagos | Rodopar 108'!$J:$J,'Doc''s Pagos | Rodopar 108'!$A:$A,$B9&amp;$E9&amp;$F9&amp;$J9,'Doc''s Pagos | Rodopar 108'!$B:$B,AC$1)+SUMIFS('Doc Há Pagar | Rodopar 1015'!$J:$J,'Doc Há Pagar | Rodopar 1015'!$A:$A,$B9&amp;$E9&amp;$F9,'Doc Há Pagar | Rodopar 1015'!$B:$B,AC$1)</f>
        <v>0</v>
      </c>
      <c r="AD9" s="20">
        <f>SUMIFS('Doc''s Pagos | Rodopar 108'!$J:$J,'Doc''s Pagos | Rodopar 108'!$A:$A,$B9&amp;$E9&amp;$F9&amp;$J9,'Doc''s Pagos | Rodopar 108'!$B:$B,AD$1)+SUMIFS('Doc Há Pagar | Rodopar 1015'!$J:$J,'Doc Há Pagar | Rodopar 1015'!$A:$A,$B9&amp;$E9&amp;$F9,'Doc Há Pagar | Rodopar 1015'!$B:$B,AD$1)</f>
        <v>0</v>
      </c>
    </row>
    <row r="10" spans="1:30" x14ac:dyDescent="0.25">
      <c r="A10" s="1" t="str">
        <f>VLOOKUP($E10,Fornecedores!$A:$C,3,0)</f>
        <v>Frota</v>
      </c>
      <c r="B10" s="14">
        <v>421</v>
      </c>
      <c r="C10" s="14" t="str">
        <f>IFERROR(VLOOKUP($E10,Fornecedores!$A:$E,4,0),"")</f>
        <v>MTSR</v>
      </c>
      <c r="D10" s="14" t="str">
        <f>IFERROR(VLOOKUP($E10,Fornecedores!$A:$E,5,0),"")</f>
        <v>Tecnologia</v>
      </c>
      <c r="E10" s="8" t="s">
        <v>24</v>
      </c>
      <c r="F10" s="14" t="s">
        <v>665</v>
      </c>
      <c r="G10" s="8" t="s">
        <v>238</v>
      </c>
      <c r="H10" s="9">
        <v>87</v>
      </c>
      <c r="I10" s="21">
        <v>11929.32</v>
      </c>
      <c r="J10" s="11">
        <v>46029</v>
      </c>
      <c r="K10" s="11">
        <v>46030</v>
      </c>
      <c r="L10" s="8" t="s">
        <v>239</v>
      </c>
      <c r="M10" s="14" t="s">
        <v>240</v>
      </c>
      <c r="N10" s="16">
        <v>2556</v>
      </c>
      <c r="O10" s="14" t="s">
        <v>241</v>
      </c>
      <c r="P10" s="14"/>
      <c r="Q10" s="20">
        <f t="shared" si="0"/>
        <v>0</v>
      </c>
      <c r="S10" s="20">
        <f>SUMIFS('Doc''s Pagos | Rodopar 108'!$J:$J,'Doc''s Pagos | Rodopar 108'!$A:$A,$B10&amp;$E10&amp;$F10&amp;$J10,'Doc''s Pagos | Rodopar 108'!$B:$B,S$1)+SUMIFS('Doc Há Pagar | Rodopar 1015'!$J:$J,'Doc Há Pagar | Rodopar 1015'!$A:$A,$B10&amp;$E10&amp;$F10,'Doc Há Pagar | Rodopar 1015'!$B:$B,S$1)</f>
        <v>0</v>
      </c>
      <c r="T10" s="20">
        <f>SUMIFS('Doc''s Pagos | Rodopar 108'!$J:$J,'Doc''s Pagos | Rodopar 108'!$A:$A,$B10&amp;$E10&amp;$F10&amp;$J10,'Doc''s Pagos | Rodopar 108'!$B:$B,T$1)+SUMIFS('Doc Há Pagar | Rodopar 1015'!$J:$J,'Doc Há Pagar | Rodopar 1015'!$A:$A,$B10&amp;$E10&amp;$F10,'Doc Há Pagar | Rodopar 1015'!$B:$B,T$1)</f>
        <v>11929.32</v>
      </c>
      <c r="U10" s="20">
        <f>SUMIFS('Doc''s Pagos | Rodopar 108'!$J:$J,'Doc''s Pagos | Rodopar 108'!$A:$A,$B10&amp;$E10&amp;$F10&amp;$J10,'Doc''s Pagos | Rodopar 108'!$B:$B,U$1)+SUMIFS('Doc Há Pagar | Rodopar 1015'!$J:$J,'Doc Há Pagar | Rodopar 1015'!$A:$A,$B10&amp;$E10&amp;$F10,'Doc Há Pagar | Rodopar 1015'!$B:$B,U$1)</f>
        <v>0</v>
      </c>
      <c r="V10" s="20">
        <f>SUMIFS('Doc''s Pagos | Rodopar 108'!$J:$J,'Doc''s Pagos | Rodopar 108'!$A:$A,$B10&amp;$E10&amp;$F10&amp;$J10,'Doc''s Pagos | Rodopar 108'!$B:$B,V$1)+SUMIFS('Doc Há Pagar | Rodopar 1015'!$J:$J,'Doc Há Pagar | Rodopar 1015'!$A:$A,$B10&amp;$E10&amp;$F10,'Doc Há Pagar | Rodopar 1015'!$B:$B,V$1)</f>
        <v>0</v>
      </c>
      <c r="W10" s="20">
        <f>SUMIFS('Doc''s Pagos | Rodopar 108'!$J:$J,'Doc''s Pagos | Rodopar 108'!$A:$A,$B10&amp;$E10&amp;$F10&amp;$J10,'Doc''s Pagos | Rodopar 108'!$B:$B,W$1)+SUMIFS('Doc Há Pagar | Rodopar 1015'!$J:$J,'Doc Há Pagar | Rodopar 1015'!$A:$A,$B10&amp;$E10&amp;$F10,'Doc Há Pagar | Rodopar 1015'!$B:$B,W$1)</f>
        <v>0</v>
      </c>
      <c r="X10" s="20">
        <f>SUMIFS('Doc''s Pagos | Rodopar 108'!$J:$J,'Doc''s Pagos | Rodopar 108'!$A:$A,$B10&amp;$E10&amp;$F10&amp;$J10,'Doc''s Pagos | Rodopar 108'!$B:$B,X$1)+SUMIFS('Doc Há Pagar | Rodopar 1015'!$J:$J,'Doc Há Pagar | Rodopar 1015'!$A:$A,$B10&amp;$E10&amp;$F10,'Doc Há Pagar | Rodopar 1015'!$B:$B,X$1)</f>
        <v>0</v>
      </c>
      <c r="Y10" s="20">
        <f>SUMIFS('Doc''s Pagos | Rodopar 108'!$J:$J,'Doc''s Pagos | Rodopar 108'!$A:$A,$B10&amp;$E10&amp;$F10&amp;$J10,'Doc''s Pagos | Rodopar 108'!$B:$B,Y$1)+SUMIFS('Doc Há Pagar | Rodopar 1015'!$J:$J,'Doc Há Pagar | Rodopar 1015'!$A:$A,$B10&amp;$E10&amp;$F10,'Doc Há Pagar | Rodopar 1015'!$B:$B,Y$1)</f>
        <v>0</v>
      </c>
      <c r="Z10" s="20">
        <f>SUMIFS('Doc''s Pagos | Rodopar 108'!$J:$J,'Doc''s Pagos | Rodopar 108'!$A:$A,$B10&amp;$E10&amp;$F10&amp;$J10,'Doc''s Pagos | Rodopar 108'!$B:$B,Z$1)+SUMIFS('Doc Há Pagar | Rodopar 1015'!$J:$J,'Doc Há Pagar | Rodopar 1015'!$A:$A,$B10&amp;$E10&amp;$F10,'Doc Há Pagar | Rodopar 1015'!$B:$B,Z$1)</f>
        <v>0</v>
      </c>
      <c r="AA10" s="20">
        <f>SUMIFS('Doc''s Pagos | Rodopar 108'!$J:$J,'Doc''s Pagos | Rodopar 108'!$A:$A,$B10&amp;$E10&amp;$F10&amp;$J10,'Doc''s Pagos | Rodopar 108'!$B:$B,AA$1)+SUMIFS('Doc Há Pagar | Rodopar 1015'!$J:$J,'Doc Há Pagar | Rodopar 1015'!$A:$A,$B10&amp;$E10&amp;$F10,'Doc Há Pagar | Rodopar 1015'!$B:$B,AA$1)</f>
        <v>0</v>
      </c>
      <c r="AB10" s="20">
        <f>SUMIFS('Doc''s Pagos | Rodopar 108'!$J:$J,'Doc''s Pagos | Rodopar 108'!$A:$A,$B10&amp;$E10&amp;$F10&amp;$J10,'Doc''s Pagos | Rodopar 108'!$B:$B,AB$1)+SUMIFS('Doc Há Pagar | Rodopar 1015'!$J:$J,'Doc Há Pagar | Rodopar 1015'!$A:$A,$B10&amp;$E10&amp;$F10,'Doc Há Pagar | Rodopar 1015'!$B:$B,AB$1)</f>
        <v>0</v>
      </c>
      <c r="AC10" s="20">
        <f>SUMIFS('Doc''s Pagos | Rodopar 108'!$J:$J,'Doc''s Pagos | Rodopar 108'!$A:$A,$B10&amp;$E10&amp;$F10&amp;$J10,'Doc''s Pagos | Rodopar 108'!$B:$B,AC$1)+SUMIFS('Doc Há Pagar | Rodopar 1015'!$J:$J,'Doc Há Pagar | Rodopar 1015'!$A:$A,$B10&amp;$E10&amp;$F10,'Doc Há Pagar | Rodopar 1015'!$B:$B,AC$1)</f>
        <v>0</v>
      </c>
      <c r="AD10" s="20">
        <f>SUMIFS('Doc''s Pagos | Rodopar 108'!$J:$J,'Doc''s Pagos | Rodopar 108'!$A:$A,$B10&amp;$E10&amp;$F10&amp;$J10,'Doc''s Pagos | Rodopar 108'!$B:$B,AD$1)+SUMIFS('Doc Há Pagar | Rodopar 1015'!$J:$J,'Doc Há Pagar | Rodopar 1015'!$A:$A,$B10&amp;$E10&amp;$F10,'Doc Há Pagar | Rodopar 1015'!$B:$B,AD$1)</f>
        <v>0</v>
      </c>
    </row>
    <row r="11" spans="1:30" x14ac:dyDescent="0.25">
      <c r="A11" s="1" t="str">
        <f>VLOOKUP($E11,Fornecedores!$A:$C,3,0)</f>
        <v>Frota</v>
      </c>
      <c r="B11" s="14">
        <v>422</v>
      </c>
      <c r="C11" s="14" t="str">
        <f>IFERROR(VLOOKUP($E11,Fornecedores!$A:$E,4,0),"")</f>
        <v>MTSR</v>
      </c>
      <c r="D11" s="14" t="str">
        <f>IFERROR(VLOOKUP($E11,Fornecedores!$A:$E,5,0),"")</f>
        <v>Tecnologia</v>
      </c>
      <c r="E11" s="8" t="s">
        <v>24</v>
      </c>
      <c r="F11" s="14" t="s">
        <v>665</v>
      </c>
      <c r="G11" s="8" t="s">
        <v>238</v>
      </c>
      <c r="H11" s="9">
        <v>87</v>
      </c>
      <c r="I11" s="21">
        <v>9126.74</v>
      </c>
      <c r="J11" s="11">
        <v>46029</v>
      </c>
      <c r="K11" s="11">
        <v>46030</v>
      </c>
      <c r="L11" s="8" t="s">
        <v>239</v>
      </c>
      <c r="M11" s="14" t="s">
        <v>240</v>
      </c>
      <c r="N11" s="16">
        <v>2556</v>
      </c>
      <c r="O11" s="14" t="s">
        <v>241</v>
      </c>
      <c r="P11" s="14"/>
      <c r="Q11" s="20">
        <f t="shared" si="0"/>
        <v>0</v>
      </c>
      <c r="S11" s="20">
        <f>SUMIFS('Doc''s Pagos | Rodopar 108'!$J:$J,'Doc''s Pagos | Rodopar 108'!$A:$A,$B11&amp;$E11&amp;$F11&amp;$J11,'Doc''s Pagos | Rodopar 108'!$B:$B,S$1)+SUMIFS('Doc Há Pagar | Rodopar 1015'!$J:$J,'Doc Há Pagar | Rodopar 1015'!$A:$A,$B11&amp;$E11&amp;$F11,'Doc Há Pagar | Rodopar 1015'!$B:$B,S$1)</f>
        <v>0</v>
      </c>
      <c r="T11" s="20">
        <f>SUMIFS('Doc''s Pagos | Rodopar 108'!$J:$J,'Doc''s Pagos | Rodopar 108'!$A:$A,$B11&amp;$E11&amp;$F11&amp;$J11,'Doc''s Pagos | Rodopar 108'!$B:$B,T$1)+SUMIFS('Doc Há Pagar | Rodopar 1015'!$J:$J,'Doc Há Pagar | Rodopar 1015'!$A:$A,$B11&amp;$E11&amp;$F11,'Doc Há Pagar | Rodopar 1015'!$B:$B,T$1)</f>
        <v>9126.74</v>
      </c>
      <c r="U11" s="20">
        <f>SUMIFS('Doc''s Pagos | Rodopar 108'!$J:$J,'Doc''s Pagos | Rodopar 108'!$A:$A,$B11&amp;$E11&amp;$F11&amp;$J11,'Doc''s Pagos | Rodopar 108'!$B:$B,U$1)+SUMIFS('Doc Há Pagar | Rodopar 1015'!$J:$J,'Doc Há Pagar | Rodopar 1015'!$A:$A,$B11&amp;$E11&amp;$F11,'Doc Há Pagar | Rodopar 1015'!$B:$B,U$1)</f>
        <v>0</v>
      </c>
      <c r="V11" s="20">
        <f>SUMIFS('Doc''s Pagos | Rodopar 108'!$J:$J,'Doc''s Pagos | Rodopar 108'!$A:$A,$B11&amp;$E11&amp;$F11&amp;$J11,'Doc''s Pagos | Rodopar 108'!$B:$B,V$1)+SUMIFS('Doc Há Pagar | Rodopar 1015'!$J:$J,'Doc Há Pagar | Rodopar 1015'!$A:$A,$B11&amp;$E11&amp;$F11,'Doc Há Pagar | Rodopar 1015'!$B:$B,V$1)</f>
        <v>0</v>
      </c>
      <c r="W11" s="20">
        <f>SUMIFS('Doc''s Pagos | Rodopar 108'!$J:$J,'Doc''s Pagos | Rodopar 108'!$A:$A,$B11&amp;$E11&amp;$F11&amp;$J11,'Doc''s Pagos | Rodopar 108'!$B:$B,W$1)+SUMIFS('Doc Há Pagar | Rodopar 1015'!$J:$J,'Doc Há Pagar | Rodopar 1015'!$A:$A,$B11&amp;$E11&amp;$F11,'Doc Há Pagar | Rodopar 1015'!$B:$B,W$1)</f>
        <v>0</v>
      </c>
      <c r="X11" s="20">
        <f>SUMIFS('Doc''s Pagos | Rodopar 108'!$J:$J,'Doc''s Pagos | Rodopar 108'!$A:$A,$B11&amp;$E11&amp;$F11&amp;$J11,'Doc''s Pagos | Rodopar 108'!$B:$B,X$1)+SUMIFS('Doc Há Pagar | Rodopar 1015'!$J:$J,'Doc Há Pagar | Rodopar 1015'!$A:$A,$B11&amp;$E11&amp;$F11,'Doc Há Pagar | Rodopar 1015'!$B:$B,X$1)</f>
        <v>0</v>
      </c>
      <c r="Y11" s="20">
        <f>SUMIFS('Doc''s Pagos | Rodopar 108'!$J:$J,'Doc''s Pagos | Rodopar 108'!$A:$A,$B11&amp;$E11&amp;$F11&amp;$J11,'Doc''s Pagos | Rodopar 108'!$B:$B,Y$1)+SUMIFS('Doc Há Pagar | Rodopar 1015'!$J:$J,'Doc Há Pagar | Rodopar 1015'!$A:$A,$B11&amp;$E11&amp;$F11,'Doc Há Pagar | Rodopar 1015'!$B:$B,Y$1)</f>
        <v>0</v>
      </c>
      <c r="Z11" s="20">
        <f>SUMIFS('Doc''s Pagos | Rodopar 108'!$J:$J,'Doc''s Pagos | Rodopar 108'!$A:$A,$B11&amp;$E11&amp;$F11&amp;$J11,'Doc''s Pagos | Rodopar 108'!$B:$B,Z$1)+SUMIFS('Doc Há Pagar | Rodopar 1015'!$J:$J,'Doc Há Pagar | Rodopar 1015'!$A:$A,$B11&amp;$E11&amp;$F11,'Doc Há Pagar | Rodopar 1015'!$B:$B,Z$1)</f>
        <v>0</v>
      </c>
      <c r="AA11" s="20">
        <f>SUMIFS('Doc''s Pagos | Rodopar 108'!$J:$J,'Doc''s Pagos | Rodopar 108'!$A:$A,$B11&amp;$E11&amp;$F11&amp;$J11,'Doc''s Pagos | Rodopar 108'!$B:$B,AA$1)+SUMIFS('Doc Há Pagar | Rodopar 1015'!$J:$J,'Doc Há Pagar | Rodopar 1015'!$A:$A,$B11&amp;$E11&amp;$F11,'Doc Há Pagar | Rodopar 1015'!$B:$B,AA$1)</f>
        <v>0</v>
      </c>
      <c r="AB11" s="20">
        <f>SUMIFS('Doc''s Pagos | Rodopar 108'!$J:$J,'Doc''s Pagos | Rodopar 108'!$A:$A,$B11&amp;$E11&amp;$F11&amp;$J11,'Doc''s Pagos | Rodopar 108'!$B:$B,AB$1)+SUMIFS('Doc Há Pagar | Rodopar 1015'!$J:$J,'Doc Há Pagar | Rodopar 1015'!$A:$A,$B11&amp;$E11&amp;$F11,'Doc Há Pagar | Rodopar 1015'!$B:$B,AB$1)</f>
        <v>0</v>
      </c>
      <c r="AC11" s="20">
        <f>SUMIFS('Doc''s Pagos | Rodopar 108'!$J:$J,'Doc''s Pagos | Rodopar 108'!$A:$A,$B11&amp;$E11&amp;$F11&amp;$J11,'Doc''s Pagos | Rodopar 108'!$B:$B,AC$1)+SUMIFS('Doc Há Pagar | Rodopar 1015'!$J:$J,'Doc Há Pagar | Rodopar 1015'!$A:$A,$B11&amp;$E11&amp;$F11,'Doc Há Pagar | Rodopar 1015'!$B:$B,AC$1)</f>
        <v>0</v>
      </c>
      <c r="AD11" s="20">
        <f>SUMIFS('Doc''s Pagos | Rodopar 108'!$J:$J,'Doc''s Pagos | Rodopar 108'!$A:$A,$B11&amp;$E11&amp;$F11&amp;$J11,'Doc''s Pagos | Rodopar 108'!$B:$B,AD$1)+SUMIFS('Doc Há Pagar | Rodopar 1015'!$J:$J,'Doc Há Pagar | Rodopar 1015'!$A:$A,$B11&amp;$E11&amp;$F11,'Doc Há Pagar | Rodopar 1015'!$B:$B,AD$1)</f>
        <v>0</v>
      </c>
    </row>
    <row r="12" spans="1:30" x14ac:dyDescent="0.25">
      <c r="A12" s="1" t="str">
        <f>VLOOKUP($E12,Fornecedores!$A:$C,3,0)</f>
        <v>Frota</v>
      </c>
      <c r="B12" s="14">
        <v>746021</v>
      </c>
      <c r="C12" s="14" t="str">
        <f>IFERROR(VLOOKUP($E12,Fornecedores!$A:$E,4,0),"")</f>
        <v>Telemetria</v>
      </c>
      <c r="D12" s="14" t="str">
        <f>IFERROR(VLOOKUP($E12,Fornecedores!$A:$E,5,0),"")</f>
        <v>Telemetria</v>
      </c>
      <c r="E12" s="8" t="s">
        <v>179</v>
      </c>
      <c r="F12" s="14" t="s">
        <v>665</v>
      </c>
      <c r="G12" s="8" t="s">
        <v>673</v>
      </c>
      <c r="H12" s="9">
        <v>87</v>
      </c>
      <c r="I12" s="21">
        <v>357.45</v>
      </c>
      <c r="J12" s="11">
        <v>46030</v>
      </c>
      <c r="K12" s="11">
        <v>46031</v>
      </c>
      <c r="L12" s="8" t="s">
        <v>674</v>
      </c>
      <c r="M12" s="14" t="s">
        <v>263</v>
      </c>
      <c r="N12" s="16">
        <v>2556</v>
      </c>
      <c r="O12" s="14" t="s">
        <v>241</v>
      </c>
      <c r="P12" s="14"/>
      <c r="Q12" s="20">
        <f t="shared" si="0"/>
        <v>0</v>
      </c>
      <c r="S12" s="20">
        <f>SUMIFS('Doc''s Pagos | Rodopar 108'!$J:$J,'Doc''s Pagos | Rodopar 108'!$A:$A,$B12&amp;$E12&amp;$F12&amp;$J12,'Doc''s Pagos | Rodopar 108'!$B:$B,S$1)+SUMIFS('Doc Há Pagar | Rodopar 1015'!$J:$J,'Doc Há Pagar | Rodopar 1015'!$A:$A,$B12&amp;$E12&amp;$F12,'Doc Há Pagar | Rodopar 1015'!$B:$B,S$1)</f>
        <v>0</v>
      </c>
      <c r="T12" s="20">
        <f>SUMIFS('Doc''s Pagos | Rodopar 108'!$J:$J,'Doc''s Pagos | Rodopar 108'!$A:$A,$B12&amp;$E12&amp;$F12&amp;$J12,'Doc''s Pagos | Rodopar 108'!$B:$B,T$1)+SUMIFS('Doc Há Pagar | Rodopar 1015'!$J:$J,'Doc Há Pagar | Rodopar 1015'!$A:$A,$B12&amp;$E12&amp;$F12,'Doc Há Pagar | Rodopar 1015'!$B:$B,T$1)</f>
        <v>357.45</v>
      </c>
      <c r="U12" s="20">
        <f>SUMIFS('Doc''s Pagos | Rodopar 108'!$J:$J,'Doc''s Pagos | Rodopar 108'!$A:$A,$B12&amp;$E12&amp;$F12&amp;$J12,'Doc''s Pagos | Rodopar 108'!$B:$B,U$1)+SUMIFS('Doc Há Pagar | Rodopar 1015'!$J:$J,'Doc Há Pagar | Rodopar 1015'!$A:$A,$B12&amp;$E12&amp;$F12,'Doc Há Pagar | Rodopar 1015'!$B:$B,U$1)</f>
        <v>0</v>
      </c>
      <c r="V12" s="20">
        <f>SUMIFS('Doc''s Pagos | Rodopar 108'!$J:$J,'Doc''s Pagos | Rodopar 108'!$A:$A,$B12&amp;$E12&amp;$F12&amp;$J12,'Doc''s Pagos | Rodopar 108'!$B:$B,V$1)+SUMIFS('Doc Há Pagar | Rodopar 1015'!$J:$J,'Doc Há Pagar | Rodopar 1015'!$A:$A,$B12&amp;$E12&amp;$F12,'Doc Há Pagar | Rodopar 1015'!$B:$B,V$1)</f>
        <v>0</v>
      </c>
      <c r="W12" s="20">
        <f>SUMIFS('Doc''s Pagos | Rodopar 108'!$J:$J,'Doc''s Pagos | Rodopar 108'!$A:$A,$B12&amp;$E12&amp;$F12&amp;$J12,'Doc''s Pagos | Rodopar 108'!$B:$B,W$1)+SUMIFS('Doc Há Pagar | Rodopar 1015'!$J:$J,'Doc Há Pagar | Rodopar 1015'!$A:$A,$B12&amp;$E12&amp;$F12,'Doc Há Pagar | Rodopar 1015'!$B:$B,W$1)</f>
        <v>0</v>
      </c>
      <c r="X12" s="20">
        <f>SUMIFS('Doc''s Pagos | Rodopar 108'!$J:$J,'Doc''s Pagos | Rodopar 108'!$A:$A,$B12&amp;$E12&amp;$F12&amp;$J12,'Doc''s Pagos | Rodopar 108'!$B:$B,X$1)+SUMIFS('Doc Há Pagar | Rodopar 1015'!$J:$J,'Doc Há Pagar | Rodopar 1015'!$A:$A,$B12&amp;$E12&amp;$F12,'Doc Há Pagar | Rodopar 1015'!$B:$B,X$1)</f>
        <v>0</v>
      </c>
      <c r="Y12" s="20">
        <f>SUMIFS('Doc''s Pagos | Rodopar 108'!$J:$J,'Doc''s Pagos | Rodopar 108'!$A:$A,$B12&amp;$E12&amp;$F12&amp;$J12,'Doc''s Pagos | Rodopar 108'!$B:$B,Y$1)+SUMIFS('Doc Há Pagar | Rodopar 1015'!$J:$J,'Doc Há Pagar | Rodopar 1015'!$A:$A,$B12&amp;$E12&amp;$F12,'Doc Há Pagar | Rodopar 1015'!$B:$B,Y$1)</f>
        <v>0</v>
      </c>
      <c r="Z12" s="20">
        <f>SUMIFS('Doc''s Pagos | Rodopar 108'!$J:$J,'Doc''s Pagos | Rodopar 108'!$A:$A,$B12&amp;$E12&amp;$F12&amp;$J12,'Doc''s Pagos | Rodopar 108'!$B:$B,Z$1)+SUMIFS('Doc Há Pagar | Rodopar 1015'!$J:$J,'Doc Há Pagar | Rodopar 1015'!$A:$A,$B12&amp;$E12&amp;$F12,'Doc Há Pagar | Rodopar 1015'!$B:$B,Z$1)</f>
        <v>0</v>
      </c>
      <c r="AA12" s="20">
        <f>SUMIFS('Doc''s Pagos | Rodopar 108'!$J:$J,'Doc''s Pagos | Rodopar 108'!$A:$A,$B12&amp;$E12&amp;$F12&amp;$J12,'Doc''s Pagos | Rodopar 108'!$B:$B,AA$1)+SUMIFS('Doc Há Pagar | Rodopar 1015'!$J:$J,'Doc Há Pagar | Rodopar 1015'!$A:$A,$B12&amp;$E12&amp;$F12,'Doc Há Pagar | Rodopar 1015'!$B:$B,AA$1)</f>
        <v>0</v>
      </c>
      <c r="AB12" s="20">
        <f>SUMIFS('Doc''s Pagos | Rodopar 108'!$J:$J,'Doc''s Pagos | Rodopar 108'!$A:$A,$B12&amp;$E12&amp;$F12&amp;$J12,'Doc''s Pagos | Rodopar 108'!$B:$B,AB$1)+SUMIFS('Doc Há Pagar | Rodopar 1015'!$J:$J,'Doc Há Pagar | Rodopar 1015'!$A:$A,$B12&amp;$E12&amp;$F12,'Doc Há Pagar | Rodopar 1015'!$B:$B,AB$1)</f>
        <v>0</v>
      </c>
      <c r="AC12" s="20">
        <f>SUMIFS('Doc''s Pagos | Rodopar 108'!$J:$J,'Doc''s Pagos | Rodopar 108'!$A:$A,$B12&amp;$E12&amp;$F12&amp;$J12,'Doc''s Pagos | Rodopar 108'!$B:$B,AC$1)+SUMIFS('Doc Há Pagar | Rodopar 1015'!$J:$J,'Doc Há Pagar | Rodopar 1015'!$A:$A,$B12&amp;$E12&amp;$F12,'Doc Há Pagar | Rodopar 1015'!$B:$B,AC$1)</f>
        <v>0</v>
      </c>
      <c r="AD12" s="20">
        <f>SUMIFS('Doc''s Pagos | Rodopar 108'!$J:$J,'Doc''s Pagos | Rodopar 108'!$A:$A,$B12&amp;$E12&amp;$F12&amp;$J12,'Doc''s Pagos | Rodopar 108'!$B:$B,AD$1)+SUMIFS('Doc Há Pagar | Rodopar 1015'!$J:$J,'Doc Há Pagar | Rodopar 1015'!$A:$A,$B12&amp;$E12&amp;$F12,'Doc Há Pagar | Rodopar 1015'!$B:$B,AD$1)</f>
        <v>0</v>
      </c>
    </row>
    <row r="13" spans="1:30" x14ac:dyDescent="0.25">
      <c r="A13" s="1" t="str">
        <f>VLOOKUP($E13,Fornecedores!$A:$C,3,0)</f>
        <v>Frota</v>
      </c>
      <c r="B13" s="14" t="s">
        <v>302</v>
      </c>
      <c r="C13" s="14" t="str">
        <f>IFERROR(VLOOKUP($E13,Fornecedores!$A:$E,4,0),"")</f>
        <v>OPE Merchandising</v>
      </c>
      <c r="D13" s="14" t="str">
        <f>IFERROR(VLOOKUP($E13,Fornecedores!$A:$E,5,0),"")</f>
        <v>Locação</v>
      </c>
      <c r="E13" s="8" t="s">
        <v>303</v>
      </c>
      <c r="F13" s="14" t="s">
        <v>232</v>
      </c>
      <c r="G13" s="8" t="s">
        <v>304</v>
      </c>
      <c r="H13" s="9">
        <v>87</v>
      </c>
      <c r="I13" s="21">
        <v>588.97</v>
      </c>
      <c r="J13" s="11">
        <v>46031</v>
      </c>
      <c r="K13" s="11">
        <v>46035</v>
      </c>
      <c r="L13" s="8" t="s">
        <v>233</v>
      </c>
      <c r="M13" s="14" t="s">
        <v>234</v>
      </c>
      <c r="N13" s="16">
        <v>1556</v>
      </c>
      <c r="O13" s="14" t="s">
        <v>241</v>
      </c>
      <c r="P13" s="14"/>
      <c r="Q13" s="20">
        <f t="shared" si="0"/>
        <v>0</v>
      </c>
      <c r="S13" s="20">
        <f>SUMIFS('Doc''s Pagos | Rodopar 108'!$J:$J,'Doc''s Pagos | Rodopar 108'!$A:$A,$B13&amp;$E13&amp;$F13&amp;$J13,'Doc''s Pagos | Rodopar 108'!$B:$B,S$1)+SUMIFS('Doc Há Pagar | Rodopar 1015'!$J:$J,'Doc Há Pagar | Rodopar 1015'!$A:$A,$B13&amp;$E13&amp;$F13,'Doc Há Pagar | Rodopar 1015'!$B:$B,S$1)</f>
        <v>588.97</v>
      </c>
      <c r="T13" s="20">
        <f>SUMIFS('Doc''s Pagos | Rodopar 108'!$J:$J,'Doc''s Pagos | Rodopar 108'!$A:$A,$B13&amp;$E13&amp;$F13&amp;$J13,'Doc''s Pagos | Rodopar 108'!$B:$B,T$1)+SUMIFS('Doc Há Pagar | Rodopar 1015'!$J:$J,'Doc Há Pagar | Rodopar 1015'!$A:$A,$B13&amp;$E13&amp;$F13,'Doc Há Pagar | Rodopar 1015'!$B:$B,T$1)</f>
        <v>0</v>
      </c>
      <c r="U13" s="20">
        <f>SUMIFS('Doc''s Pagos | Rodopar 108'!$J:$J,'Doc''s Pagos | Rodopar 108'!$A:$A,$B13&amp;$E13&amp;$F13&amp;$J13,'Doc''s Pagos | Rodopar 108'!$B:$B,U$1)+SUMIFS('Doc Há Pagar | Rodopar 1015'!$J:$J,'Doc Há Pagar | Rodopar 1015'!$A:$A,$B13&amp;$E13&amp;$F13,'Doc Há Pagar | Rodopar 1015'!$B:$B,U$1)</f>
        <v>0</v>
      </c>
      <c r="V13" s="20">
        <f>SUMIFS('Doc''s Pagos | Rodopar 108'!$J:$J,'Doc''s Pagos | Rodopar 108'!$A:$A,$B13&amp;$E13&amp;$F13&amp;$J13,'Doc''s Pagos | Rodopar 108'!$B:$B,V$1)+SUMIFS('Doc Há Pagar | Rodopar 1015'!$J:$J,'Doc Há Pagar | Rodopar 1015'!$A:$A,$B13&amp;$E13&amp;$F13,'Doc Há Pagar | Rodopar 1015'!$B:$B,V$1)</f>
        <v>0</v>
      </c>
      <c r="W13" s="20">
        <f>SUMIFS('Doc''s Pagos | Rodopar 108'!$J:$J,'Doc''s Pagos | Rodopar 108'!$A:$A,$B13&amp;$E13&amp;$F13&amp;$J13,'Doc''s Pagos | Rodopar 108'!$B:$B,W$1)+SUMIFS('Doc Há Pagar | Rodopar 1015'!$J:$J,'Doc Há Pagar | Rodopar 1015'!$A:$A,$B13&amp;$E13&amp;$F13,'Doc Há Pagar | Rodopar 1015'!$B:$B,W$1)</f>
        <v>0</v>
      </c>
      <c r="X13" s="20">
        <f>SUMIFS('Doc''s Pagos | Rodopar 108'!$J:$J,'Doc''s Pagos | Rodopar 108'!$A:$A,$B13&amp;$E13&amp;$F13&amp;$J13,'Doc''s Pagos | Rodopar 108'!$B:$B,X$1)+SUMIFS('Doc Há Pagar | Rodopar 1015'!$J:$J,'Doc Há Pagar | Rodopar 1015'!$A:$A,$B13&amp;$E13&amp;$F13,'Doc Há Pagar | Rodopar 1015'!$B:$B,X$1)</f>
        <v>0</v>
      </c>
      <c r="Y13" s="20">
        <f>SUMIFS('Doc''s Pagos | Rodopar 108'!$J:$J,'Doc''s Pagos | Rodopar 108'!$A:$A,$B13&amp;$E13&amp;$F13&amp;$J13,'Doc''s Pagos | Rodopar 108'!$B:$B,Y$1)+SUMIFS('Doc Há Pagar | Rodopar 1015'!$J:$J,'Doc Há Pagar | Rodopar 1015'!$A:$A,$B13&amp;$E13&amp;$F13,'Doc Há Pagar | Rodopar 1015'!$B:$B,Y$1)</f>
        <v>0</v>
      </c>
      <c r="Z13" s="20">
        <f>SUMIFS('Doc''s Pagos | Rodopar 108'!$J:$J,'Doc''s Pagos | Rodopar 108'!$A:$A,$B13&amp;$E13&amp;$F13&amp;$J13,'Doc''s Pagos | Rodopar 108'!$B:$B,Z$1)+SUMIFS('Doc Há Pagar | Rodopar 1015'!$J:$J,'Doc Há Pagar | Rodopar 1015'!$A:$A,$B13&amp;$E13&amp;$F13,'Doc Há Pagar | Rodopar 1015'!$B:$B,Z$1)</f>
        <v>0</v>
      </c>
      <c r="AA13" s="20">
        <f>SUMIFS('Doc''s Pagos | Rodopar 108'!$J:$J,'Doc''s Pagos | Rodopar 108'!$A:$A,$B13&amp;$E13&amp;$F13&amp;$J13,'Doc''s Pagos | Rodopar 108'!$B:$B,AA$1)+SUMIFS('Doc Há Pagar | Rodopar 1015'!$J:$J,'Doc Há Pagar | Rodopar 1015'!$A:$A,$B13&amp;$E13&amp;$F13,'Doc Há Pagar | Rodopar 1015'!$B:$B,AA$1)</f>
        <v>0</v>
      </c>
      <c r="AB13" s="20">
        <f>SUMIFS('Doc''s Pagos | Rodopar 108'!$J:$J,'Doc''s Pagos | Rodopar 108'!$A:$A,$B13&amp;$E13&amp;$F13&amp;$J13,'Doc''s Pagos | Rodopar 108'!$B:$B,AB$1)+SUMIFS('Doc Há Pagar | Rodopar 1015'!$J:$J,'Doc Há Pagar | Rodopar 1015'!$A:$A,$B13&amp;$E13&amp;$F13,'Doc Há Pagar | Rodopar 1015'!$B:$B,AB$1)</f>
        <v>0</v>
      </c>
      <c r="AC13" s="20">
        <f>SUMIFS('Doc''s Pagos | Rodopar 108'!$J:$J,'Doc''s Pagos | Rodopar 108'!$A:$A,$B13&amp;$E13&amp;$F13&amp;$J13,'Doc''s Pagos | Rodopar 108'!$B:$B,AC$1)+SUMIFS('Doc Há Pagar | Rodopar 1015'!$J:$J,'Doc Há Pagar | Rodopar 1015'!$A:$A,$B13&amp;$E13&amp;$F13,'Doc Há Pagar | Rodopar 1015'!$B:$B,AC$1)</f>
        <v>0</v>
      </c>
      <c r="AD13" s="20">
        <f>SUMIFS('Doc''s Pagos | Rodopar 108'!$J:$J,'Doc''s Pagos | Rodopar 108'!$A:$A,$B13&amp;$E13&amp;$F13&amp;$J13,'Doc''s Pagos | Rodopar 108'!$B:$B,AD$1)+SUMIFS('Doc Há Pagar | Rodopar 1015'!$J:$J,'Doc Há Pagar | Rodopar 1015'!$A:$A,$B13&amp;$E13&amp;$F13,'Doc Há Pagar | Rodopar 1015'!$B:$B,AD$1)</f>
        <v>0</v>
      </c>
    </row>
    <row r="14" spans="1:30" x14ac:dyDescent="0.25">
      <c r="A14" s="1" t="str">
        <f>VLOOKUP($E14,Fornecedores!$A:$C,3,0)</f>
        <v>Frota</v>
      </c>
      <c r="B14" s="14">
        <v>183264</v>
      </c>
      <c r="C14" s="14" t="str">
        <f>IFERROR(VLOOKUP($E14,Fornecedores!$A:$E,4,0),"")</f>
        <v>Manutenção</v>
      </c>
      <c r="D14" s="14" t="str">
        <f>IFERROR(VLOOKUP($E14,Fornecedores!$A:$E,5,0),"")</f>
        <v>Vans</v>
      </c>
      <c r="E14" s="8" t="s">
        <v>132</v>
      </c>
      <c r="F14" s="14" t="s">
        <v>380</v>
      </c>
      <c r="G14" s="8" t="s">
        <v>434</v>
      </c>
      <c r="H14" s="9">
        <v>87</v>
      </c>
      <c r="I14" s="21">
        <v>2526.91</v>
      </c>
      <c r="J14" s="11">
        <v>46031</v>
      </c>
      <c r="K14" s="11">
        <v>46035</v>
      </c>
      <c r="L14" s="8" t="s">
        <v>435</v>
      </c>
      <c r="M14" s="14" t="s">
        <v>234</v>
      </c>
      <c r="N14" s="16">
        <v>1556</v>
      </c>
      <c r="O14" s="14" t="s">
        <v>241</v>
      </c>
      <c r="P14" s="14"/>
      <c r="Q14" s="20">
        <f t="shared" si="0"/>
        <v>0</v>
      </c>
      <c r="S14" s="20">
        <f>SUMIFS('Doc''s Pagos | Rodopar 108'!$J:$J,'Doc''s Pagos | Rodopar 108'!$A:$A,$B14&amp;$E14&amp;$F14&amp;$J14,'Doc''s Pagos | Rodopar 108'!$B:$B,S$1)+SUMIFS('Doc Há Pagar | Rodopar 1015'!$J:$J,'Doc Há Pagar | Rodopar 1015'!$A:$A,$B14&amp;$E14&amp;$F14,'Doc Há Pagar | Rodopar 1015'!$B:$B,S$1)</f>
        <v>0</v>
      </c>
      <c r="T14" s="20">
        <f>SUMIFS('Doc''s Pagos | Rodopar 108'!$J:$J,'Doc''s Pagos | Rodopar 108'!$A:$A,$B14&amp;$E14&amp;$F14&amp;$J14,'Doc''s Pagos | Rodopar 108'!$B:$B,T$1)+SUMIFS('Doc Há Pagar | Rodopar 1015'!$J:$J,'Doc Há Pagar | Rodopar 1015'!$A:$A,$B14&amp;$E14&amp;$F14,'Doc Há Pagar | Rodopar 1015'!$B:$B,T$1)</f>
        <v>2526.91</v>
      </c>
      <c r="U14" s="20">
        <f>SUMIFS('Doc''s Pagos | Rodopar 108'!$J:$J,'Doc''s Pagos | Rodopar 108'!$A:$A,$B14&amp;$E14&amp;$F14&amp;$J14,'Doc''s Pagos | Rodopar 108'!$B:$B,U$1)+SUMIFS('Doc Há Pagar | Rodopar 1015'!$J:$J,'Doc Há Pagar | Rodopar 1015'!$A:$A,$B14&amp;$E14&amp;$F14,'Doc Há Pagar | Rodopar 1015'!$B:$B,U$1)</f>
        <v>0</v>
      </c>
      <c r="V14" s="20">
        <f>SUMIFS('Doc''s Pagos | Rodopar 108'!$J:$J,'Doc''s Pagos | Rodopar 108'!$A:$A,$B14&amp;$E14&amp;$F14&amp;$J14,'Doc''s Pagos | Rodopar 108'!$B:$B,V$1)+SUMIFS('Doc Há Pagar | Rodopar 1015'!$J:$J,'Doc Há Pagar | Rodopar 1015'!$A:$A,$B14&amp;$E14&amp;$F14,'Doc Há Pagar | Rodopar 1015'!$B:$B,V$1)</f>
        <v>0</v>
      </c>
      <c r="W14" s="20">
        <f>SUMIFS('Doc''s Pagos | Rodopar 108'!$J:$J,'Doc''s Pagos | Rodopar 108'!$A:$A,$B14&amp;$E14&amp;$F14&amp;$J14,'Doc''s Pagos | Rodopar 108'!$B:$B,W$1)+SUMIFS('Doc Há Pagar | Rodopar 1015'!$J:$J,'Doc Há Pagar | Rodopar 1015'!$A:$A,$B14&amp;$E14&amp;$F14,'Doc Há Pagar | Rodopar 1015'!$B:$B,W$1)</f>
        <v>0</v>
      </c>
      <c r="X14" s="20">
        <f>SUMIFS('Doc''s Pagos | Rodopar 108'!$J:$J,'Doc''s Pagos | Rodopar 108'!$A:$A,$B14&amp;$E14&amp;$F14&amp;$J14,'Doc''s Pagos | Rodopar 108'!$B:$B,X$1)+SUMIFS('Doc Há Pagar | Rodopar 1015'!$J:$J,'Doc Há Pagar | Rodopar 1015'!$A:$A,$B14&amp;$E14&amp;$F14,'Doc Há Pagar | Rodopar 1015'!$B:$B,X$1)</f>
        <v>0</v>
      </c>
      <c r="Y14" s="20">
        <f>SUMIFS('Doc''s Pagos | Rodopar 108'!$J:$J,'Doc''s Pagos | Rodopar 108'!$A:$A,$B14&amp;$E14&amp;$F14&amp;$J14,'Doc''s Pagos | Rodopar 108'!$B:$B,Y$1)+SUMIFS('Doc Há Pagar | Rodopar 1015'!$J:$J,'Doc Há Pagar | Rodopar 1015'!$A:$A,$B14&amp;$E14&amp;$F14,'Doc Há Pagar | Rodopar 1015'!$B:$B,Y$1)</f>
        <v>0</v>
      </c>
      <c r="Z14" s="20">
        <f>SUMIFS('Doc''s Pagos | Rodopar 108'!$J:$J,'Doc''s Pagos | Rodopar 108'!$A:$A,$B14&amp;$E14&amp;$F14&amp;$J14,'Doc''s Pagos | Rodopar 108'!$B:$B,Z$1)+SUMIFS('Doc Há Pagar | Rodopar 1015'!$J:$J,'Doc Há Pagar | Rodopar 1015'!$A:$A,$B14&amp;$E14&amp;$F14,'Doc Há Pagar | Rodopar 1015'!$B:$B,Z$1)</f>
        <v>0</v>
      </c>
      <c r="AA14" s="20">
        <f>SUMIFS('Doc''s Pagos | Rodopar 108'!$J:$J,'Doc''s Pagos | Rodopar 108'!$A:$A,$B14&amp;$E14&amp;$F14&amp;$J14,'Doc''s Pagos | Rodopar 108'!$B:$B,AA$1)+SUMIFS('Doc Há Pagar | Rodopar 1015'!$J:$J,'Doc Há Pagar | Rodopar 1015'!$A:$A,$B14&amp;$E14&amp;$F14,'Doc Há Pagar | Rodopar 1015'!$B:$B,AA$1)</f>
        <v>0</v>
      </c>
      <c r="AB14" s="20">
        <f>SUMIFS('Doc''s Pagos | Rodopar 108'!$J:$J,'Doc''s Pagos | Rodopar 108'!$A:$A,$B14&amp;$E14&amp;$F14&amp;$J14,'Doc''s Pagos | Rodopar 108'!$B:$B,AB$1)+SUMIFS('Doc Há Pagar | Rodopar 1015'!$J:$J,'Doc Há Pagar | Rodopar 1015'!$A:$A,$B14&amp;$E14&amp;$F14,'Doc Há Pagar | Rodopar 1015'!$B:$B,AB$1)</f>
        <v>0</v>
      </c>
      <c r="AC14" s="20">
        <f>SUMIFS('Doc''s Pagos | Rodopar 108'!$J:$J,'Doc''s Pagos | Rodopar 108'!$A:$A,$B14&amp;$E14&amp;$F14&amp;$J14,'Doc''s Pagos | Rodopar 108'!$B:$B,AC$1)+SUMIFS('Doc Há Pagar | Rodopar 1015'!$J:$J,'Doc Há Pagar | Rodopar 1015'!$A:$A,$B14&amp;$E14&amp;$F14,'Doc Há Pagar | Rodopar 1015'!$B:$B,AC$1)</f>
        <v>0</v>
      </c>
      <c r="AD14" s="20">
        <f>SUMIFS('Doc''s Pagos | Rodopar 108'!$J:$J,'Doc''s Pagos | Rodopar 108'!$A:$A,$B14&amp;$E14&amp;$F14&amp;$J14,'Doc''s Pagos | Rodopar 108'!$B:$B,AD$1)+SUMIFS('Doc Há Pagar | Rodopar 1015'!$J:$J,'Doc Há Pagar | Rodopar 1015'!$A:$A,$B14&amp;$E14&amp;$F14,'Doc Há Pagar | Rodopar 1015'!$B:$B,AD$1)</f>
        <v>0</v>
      </c>
    </row>
    <row r="15" spans="1:30" x14ac:dyDescent="0.25">
      <c r="A15" s="1" t="str">
        <f>VLOOKUP($E15,Fornecedores!$A:$C,3,0)</f>
        <v>Frota</v>
      </c>
      <c r="B15" s="14">
        <v>6120</v>
      </c>
      <c r="C15" s="14" t="str">
        <f>IFERROR(VLOOKUP($E15,Fornecedores!$A:$E,4,0),"")</f>
        <v>Manutenção</v>
      </c>
      <c r="D15" s="14" t="str">
        <f>IFERROR(VLOOKUP($E15,Fornecedores!$A:$E,5,0),"")</f>
        <v>Peças E Serviços</v>
      </c>
      <c r="E15" s="8" t="s">
        <v>111</v>
      </c>
      <c r="F15" s="14" t="s">
        <v>380</v>
      </c>
      <c r="G15" s="8" t="s">
        <v>563</v>
      </c>
      <c r="H15" s="9">
        <v>87</v>
      </c>
      <c r="I15" s="21">
        <v>435</v>
      </c>
      <c r="J15" s="11">
        <v>46031</v>
      </c>
      <c r="K15" s="11">
        <v>46034</v>
      </c>
      <c r="L15" s="8" t="s">
        <v>282</v>
      </c>
      <c r="M15" s="14" t="s">
        <v>234</v>
      </c>
      <c r="N15" s="16">
        <v>1556</v>
      </c>
      <c r="O15" s="14" t="s">
        <v>241</v>
      </c>
      <c r="P15" s="14"/>
      <c r="Q15" s="20">
        <f t="shared" si="0"/>
        <v>0</v>
      </c>
      <c r="S15" s="20">
        <f>SUMIFS('Doc''s Pagos | Rodopar 108'!$J:$J,'Doc''s Pagos | Rodopar 108'!$A:$A,$B15&amp;$E15&amp;$F15&amp;$J15,'Doc''s Pagos | Rodopar 108'!$B:$B,S$1)+SUMIFS('Doc Há Pagar | Rodopar 1015'!$J:$J,'Doc Há Pagar | Rodopar 1015'!$A:$A,$B15&amp;$E15&amp;$F15,'Doc Há Pagar | Rodopar 1015'!$B:$B,S$1)</f>
        <v>0</v>
      </c>
      <c r="T15" s="20">
        <f>SUMIFS('Doc''s Pagos | Rodopar 108'!$J:$J,'Doc''s Pagos | Rodopar 108'!$A:$A,$B15&amp;$E15&amp;$F15&amp;$J15,'Doc''s Pagos | Rodopar 108'!$B:$B,T$1)+SUMIFS('Doc Há Pagar | Rodopar 1015'!$J:$J,'Doc Há Pagar | Rodopar 1015'!$A:$A,$B15&amp;$E15&amp;$F15,'Doc Há Pagar | Rodopar 1015'!$B:$B,T$1)</f>
        <v>435</v>
      </c>
      <c r="U15" s="20">
        <f>SUMIFS('Doc''s Pagos | Rodopar 108'!$J:$J,'Doc''s Pagos | Rodopar 108'!$A:$A,$B15&amp;$E15&amp;$F15&amp;$J15,'Doc''s Pagos | Rodopar 108'!$B:$B,U$1)+SUMIFS('Doc Há Pagar | Rodopar 1015'!$J:$J,'Doc Há Pagar | Rodopar 1015'!$A:$A,$B15&amp;$E15&amp;$F15,'Doc Há Pagar | Rodopar 1015'!$B:$B,U$1)</f>
        <v>0</v>
      </c>
      <c r="V15" s="20">
        <f>SUMIFS('Doc''s Pagos | Rodopar 108'!$J:$J,'Doc''s Pagos | Rodopar 108'!$A:$A,$B15&amp;$E15&amp;$F15&amp;$J15,'Doc''s Pagos | Rodopar 108'!$B:$B,V$1)+SUMIFS('Doc Há Pagar | Rodopar 1015'!$J:$J,'Doc Há Pagar | Rodopar 1015'!$A:$A,$B15&amp;$E15&amp;$F15,'Doc Há Pagar | Rodopar 1015'!$B:$B,V$1)</f>
        <v>0</v>
      </c>
      <c r="W15" s="20">
        <f>SUMIFS('Doc''s Pagos | Rodopar 108'!$J:$J,'Doc''s Pagos | Rodopar 108'!$A:$A,$B15&amp;$E15&amp;$F15&amp;$J15,'Doc''s Pagos | Rodopar 108'!$B:$B,W$1)+SUMIFS('Doc Há Pagar | Rodopar 1015'!$J:$J,'Doc Há Pagar | Rodopar 1015'!$A:$A,$B15&amp;$E15&amp;$F15,'Doc Há Pagar | Rodopar 1015'!$B:$B,W$1)</f>
        <v>0</v>
      </c>
      <c r="X15" s="20">
        <f>SUMIFS('Doc''s Pagos | Rodopar 108'!$J:$J,'Doc''s Pagos | Rodopar 108'!$A:$A,$B15&amp;$E15&amp;$F15&amp;$J15,'Doc''s Pagos | Rodopar 108'!$B:$B,X$1)+SUMIFS('Doc Há Pagar | Rodopar 1015'!$J:$J,'Doc Há Pagar | Rodopar 1015'!$A:$A,$B15&amp;$E15&amp;$F15,'Doc Há Pagar | Rodopar 1015'!$B:$B,X$1)</f>
        <v>0</v>
      </c>
      <c r="Y15" s="20">
        <f>SUMIFS('Doc''s Pagos | Rodopar 108'!$J:$J,'Doc''s Pagos | Rodopar 108'!$A:$A,$B15&amp;$E15&amp;$F15&amp;$J15,'Doc''s Pagos | Rodopar 108'!$B:$B,Y$1)+SUMIFS('Doc Há Pagar | Rodopar 1015'!$J:$J,'Doc Há Pagar | Rodopar 1015'!$A:$A,$B15&amp;$E15&amp;$F15,'Doc Há Pagar | Rodopar 1015'!$B:$B,Y$1)</f>
        <v>0</v>
      </c>
      <c r="Z15" s="20">
        <f>SUMIFS('Doc''s Pagos | Rodopar 108'!$J:$J,'Doc''s Pagos | Rodopar 108'!$A:$A,$B15&amp;$E15&amp;$F15&amp;$J15,'Doc''s Pagos | Rodopar 108'!$B:$B,Z$1)+SUMIFS('Doc Há Pagar | Rodopar 1015'!$J:$J,'Doc Há Pagar | Rodopar 1015'!$A:$A,$B15&amp;$E15&amp;$F15,'Doc Há Pagar | Rodopar 1015'!$B:$B,Z$1)</f>
        <v>0</v>
      </c>
      <c r="AA15" s="20">
        <f>SUMIFS('Doc''s Pagos | Rodopar 108'!$J:$J,'Doc''s Pagos | Rodopar 108'!$A:$A,$B15&amp;$E15&amp;$F15&amp;$J15,'Doc''s Pagos | Rodopar 108'!$B:$B,AA$1)+SUMIFS('Doc Há Pagar | Rodopar 1015'!$J:$J,'Doc Há Pagar | Rodopar 1015'!$A:$A,$B15&amp;$E15&amp;$F15,'Doc Há Pagar | Rodopar 1015'!$B:$B,AA$1)</f>
        <v>0</v>
      </c>
      <c r="AB15" s="20">
        <f>SUMIFS('Doc''s Pagos | Rodopar 108'!$J:$J,'Doc''s Pagos | Rodopar 108'!$A:$A,$B15&amp;$E15&amp;$F15&amp;$J15,'Doc''s Pagos | Rodopar 108'!$B:$B,AB$1)+SUMIFS('Doc Há Pagar | Rodopar 1015'!$J:$J,'Doc Há Pagar | Rodopar 1015'!$A:$A,$B15&amp;$E15&amp;$F15,'Doc Há Pagar | Rodopar 1015'!$B:$B,AB$1)</f>
        <v>0</v>
      </c>
      <c r="AC15" s="20">
        <f>SUMIFS('Doc''s Pagos | Rodopar 108'!$J:$J,'Doc''s Pagos | Rodopar 108'!$A:$A,$B15&amp;$E15&amp;$F15&amp;$J15,'Doc''s Pagos | Rodopar 108'!$B:$B,AC$1)+SUMIFS('Doc Há Pagar | Rodopar 1015'!$J:$J,'Doc Há Pagar | Rodopar 1015'!$A:$A,$B15&amp;$E15&amp;$F15,'Doc Há Pagar | Rodopar 1015'!$B:$B,AC$1)</f>
        <v>0</v>
      </c>
      <c r="AD15" s="20">
        <f>SUMIFS('Doc''s Pagos | Rodopar 108'!$J:$J,'Doc''s Pagos | Rodopar 108'!$A:$A,$B15&amp;$E15&amp;$F15&amp;$J15,'Doc''s Pagos | Rodopar 108'!$B:$B,AD$1)+SUMIFS('Doc Há Pagar | Rodopar 1015'!$J:$J,'Doc Há Pagar | Rodopar 1015'!$A:$A,$B15&amp;$E15&amp;$F15,'Doc Há Pagar | Rodopar 1015'!$B:$B,AD$1)</f>
        <v>0</v>
      </c>
    </row>
    <row r="16" spans="1:30" x14ac:dyDescent="0.25">
      <c r="A16" s="1" t="str">
        <f>VLOOKUP($E16,Fornecedores!$A:$C,3,0)</f>
        <v>Frota</v>
      </c>
      <c r="B16" s="14">
        <v>2805</v>
      </c>
      <c r="C16" s="14" t="str">
        <f>IFERROR(VLOOKUP($E16,Fornecedores!$A:$E,4,0),"")</f>
        <v>Pneus</v>
      </c>
      <c r="D16" s="14" t="str">
        <f>IFERROR(VLOOKUP($E16,Fornecedores!$A:$E,5,0),"")</f>
        <v>Tecnologia</v>
      </c>
      <c r="E16" s="8" t="s">
        <v>145</v>
      </c>
      <c r="F16" s="14" t="s">
        <v>614</v>
      </c>
      <c r="G16" s="8" t="s">
        <v>644</v>
      </c>
      <c r="H16" s="9">
        <v>87</v>
      </c>
      <c r="I16" s="21">
        <v>936.1</v>
      </c>
      <c r="J16" s="11">
        <v>46031</v>
      </c>
      <c r="K16" s="11">
        <v>46037</v>
      </c>
      <c r="L16" s="8" t="s">
        <v>339</v>
      </c>
      <c r="M16" s="14" t="s">
        <v>263</v>
      </c>
      <c r="N16" s="16">
        <v>2949</v>
      </c>
      <c r="O16" s="14" t="s">
        <v>506</v>
      </c>
      <c r="P16" s="14"/>
      <c r="Q16" s="20">
        <f t="shared" si="0"/>
        <v>0</v>
      </c>
      <c r="S16" s="20">
        <f>SUMIFS('Doc''s Pagos | Rodopar 108'!$J:$J,'Doc''s Pagos | Rodopar 108'!$A:$A,$B16&amp;$E16&amp;$F16&amp;$J16,'Doc''s Pagos | Rodopar 108'!$B:$B,S$1)+SUMIFS('Doc Há Pagar | Rodopar 1015'!$J:$J,'Doc Há Pagar | Rodopar 1015'!$A:$A,$B16&amp;$E16&amp;$F16,'Doc Há Pagar | Rodopar 1015'!$B:$B,S$1)</f>
        <v>0</v>
      </c>
      <c r="T16" s="20">
        <f>SUMIFS('Doc''s Pagos | Rodopar 108'!$J:$J,'Doc''s Pagos | Rodopar 108'!$A:$A,$B16&amp;$E16&amp;$F16&amp;$J16,'Doc''s Pagos | Rodopar 108'!$B:$B,T$1)+SUMIFS('Doc Há Pagar | Rodopar 1015'!$J:$J,'Doc Há Pagar | Rodopar 1015'!$A:$A,$B16&amp;$E16&amp;$F16,'Doc Há Pagar | Rodopar 1015'!$B:$B,T$1)</f>
        <v>936.1</v>
      </c>
      <c r="U16" s="20">
        <f>SUMIFS('Doc''s Pagos | Rodopar 108'!$J:$J,'Doc''s Pagos | Rodopar 108'!$A:$A,$B16&amp;$E16&amp;$F16&amp;$J16,'Doc''s Pagos | Rodopar 108'!$B:$B,U$1)+SUMIFS('Doc Há Pagar | Rodopar 1015'!$J:$J,'Doc Há Pagar | Rodopar 1015'!$A:$A,$B16&amp;$E16&amp;$F16,'Doc Há Pagar | Rodopar 1015'!$B:$B,U$1)</f>
        <v>0</v>
      </c>
      <c r="V16" s="20">
        <f>SUMIFS('Doc''s Pagos | Rodopar 108'!$J:$J,'Doc''s Pagos | Rodopar 108'!$A:$A,$B16&amp;$E16&amp;$F16&amp;$J16,'Doc''s Pagos | Rodopar 108'!$B:$B,V$1)+SUMIFS('Doc Há Pagar | Rodopar 1015'!$J:$J,'Doc Há Pagar | Rodopar 1015'!$A:$A,$B16&amp;$E16&amp;$F16,'Doc Há Pagar | Rodopar 1015'!$B:$B,V$1)</f>
        <v>0</v>
      </c>
      <c r="W16" s="20">
        <f>SUMIFS('Doc''s Pagos | Rodopar 108'!$J:$J,'Doc''s Pagos | Rodopar 108'!$A:$A,$B16&amp;$E16&amp;$F16&amp;$J16,'Doc''s Pagos | Rodopar 108'!$B:$B,W$1)+SUMIFS('Doc Há Pagar | Rodopar 1015'!$J:$J,'Doc Há Pagar | Rodopar 1015'!$A:$A,$B16&amp;$E16&amp;$F16,'Doc Há Pagar | Rodopar 1015'!$B:$B,W$1)</f>
        <v>0</v>
      </c>
      <c r="X16" s="20">
        <f>SUMIFS('Doc''s Pagos | Rodopar 108'!$J:$J,'Doc''s Pagos | Rodopar 108'!$A:$A,$B16&amp;$E16&amp;$F16&amp;$J16,'Doc''s Pagos | Rodopar 108'!$B:$B,X$1)+SUMIFS('Doc Há Pagar | Rodopar 1015'!$J:$J,'Doc Há Pagar | Rodopar 1015'!$A:$A,$B16&amp;$E16&amp;$F16,'Doc Há Pagar | Rodopar 1015'!$B:$B,X$1)</f>
        <v>0</v>
      </c>
      <c r="Y16" s="20">
        <f>SUMIFS('Doc''s Pagos | Rodopar 108'!$J:$J,'Doc''s Pagos | Rodopar 108'!$A:$A,$B16&amp;$E16&amp;$F16&amp;$J16,'Doc''s Pagos | Rodopar 108'!$B:$B,Y$1)+SUMIFS('Doc Há Pagar | Rodopar 1015'!$J:$J,'Doc Há Pagar | Rodopar 1015'!$A:$A,$B16&amp;$E16&amp;$F16,'Doc Há Pagar | Rodopar 1015'!$B:$B,Y$1)</f>
        <v>0</v>
      </c>
      <c r="Z16" s="20">
        <f>SUMIFS('Doc''s Pagos | Rodopar 108'!$J:$J,'Doc''s Pagos | Rodopar 108'!$A:$A,$B16&amp;$E16&amp;$F16&amp;$J16,'Doc''s Pagos | Rodopar 108'!$B:$B,Z$1)+SUMIFS('Doc Há Pagar | Rodopar 1015'!$J:$J,'Doc Há Pagar | Rodopar 1015'!$A:$A,$B16&amp;$E16&amp;$F16,'Doc Há Pagar | Rodopar 1015'!$B:$B,Z$1)</f>
        <v>0</v>
      </c>
      <c r="AA16" s="20">
        <f>SUMIFS('Doc''s Pagos | Rodopar 108'!$J:$J,'Doc''s Pagos | Rodopar 108'!$A:$A,$B16&amp;$E16&amp;$F16&amp;$J16,'Doc''s Pagos | Rodopar 108'!$B:$B,AA$1)+SUMIFS('Doc Há Pagar | Rodopar 1015'!$J:$J,'Doc Há Pagar | Rodopar 1015'!$A:$A,$B16&amp;$E16&amp;$F16,'Doc Há Pagar | Rodopar 1015'!$B:$B,AA$1)</f>
        <v>0</v>
      </c>
      <c r="AB16" s="20">
        <f>SUMIFS('Doc''s Pagos | Rodopar 108'!$J:$J,'Doc''s Pagos | Rodopar 108'!$A:$A,$B16&amp;$E16&amp;$F16&amp;$J16,'Doc''s Pagos | Rodopar 108'!$B:$B,AB$1)+SUMIFS('Doc Há Pagar | Rodopar 1015'!$J:$J,'Doc Há Pagar | Rodopar 1015'!$A:$A,$B16&amp;$E16&amp;$F16,'Doc Há Pagar | Rodopar 1015'!$B:$B,AB$1)</f>
        <v>0</v>
      </c>
      <c r="AC16" s="20">
        <f>SUMIFS('Doc''s Pagos | Rodopar 108'!$J:$J,'Doc''s Pagos | Rodopar 108'!$A:$A,$B16&amp;$E16&amp;$F16&amp;$J16,'Doc''s Pagos | Rodopar 108'!$B:$B,AC$1)+SUMIFS('Doc Há Pagar | Rodopar 1015'!$J:$J,'Doc Há Pagar | Rodopar 1015'!$A:$A,$B16&amp;$E16&amp;$F16,'Doc Há Pagar | Rodopar 1015'!$B:$B,AC$1)</f>
        <v>0</v>
      </c>
      <c r="AD16" s="20">
        <f>SUMIFS('Doc''s Pagos | Rodopar 108'!$J:$J,'Doc''s Pagos | Rodopar 108'!$A:$A,$B16&amp;$E16&amp;$F16&amp;$J16,'Doc''s Pagos | Rodopar 108'!$B:$B,AD$1)+SUMIFS('Doc Há Pagar | Rodopar 1015'!$J:$J,'Doc Há Pagar | Rodopar 1015'!$A:$A,$B16&amp;$E16&amp;$F16,'Doc Há Pagar | Rodopar 1015'!$B:$B,AD$1)</f>
        <v>0</v>
      </c>
    </row>
    <row r="17" spans="1:30" x14ac:dyDescent="0.25">
      <c r="A17" s="1" t="str">
        <f>VLOOKUP($E17,Fornecedores!$A:$C,3,0)</f>
        <v>Frota</v>
      </c>
      <c r="B17" s="14">
        <v>23645</v>
      </c>
      <c r="C17" s="14" t="str">
        <f>IFERROR(VLOOKUP($E17,Fornecedores!$A:$E,4,0),"")</f>
        <v>Manutenção</v>
      </c>
      <c r="D17" s="14" t="str">
        <f>IFERROR(VLOOKUP($E17,Fornecedores!$A:$E,5,0),"")</f>
        <v>Vans</v>
      </c>
      <c r="E17" s="8" t="s">
        <v>132</v>
      </c>
      <c r="F17" s="14" t="s">
        <v>665</v>
      </c>
      <c r="G17" s="8" t="s">
        <v>434</v>
      </c>
      <c r="H17" s="9">
        <v>87</v>
      </c>
      <c r="I17" s="21">
        <v>999</v>
      </c>
      <c r="J17" s="11">
        <v>46031</v>
      </c>
      <c r="K17" s="11">
        <v>46035</v>
      </c>
      <c r="L17" s="8" t="s">
        <v>435</v>
      </c>
      <c r="M17" s="14" t="s">
        <v>234</v>
      </c>
      <c r="N17" s="16">
        <v>1556</v>
      </c>
      <c r="O17" s="14" t="s">
        <v>241</v>
      </c>
      <c r="P17" s="14"/>
      <c r="Q17" s="20">
        <f t="shared" si="0"/>
        <v>0</v>
      </c>
      <c r="S17" s="20">
        <f>SUMIFS('Doc''s Pagos | Rodopar 108'!$J:$J,'Doc''s Pagos | Rodopar 108'!$A:$A,$B17&amp;$E17&amp;$F17&amp;$J17,'Doc''s Pagos | Rodopar 108'!$B:$B,S$1)+SUMIFS('Doc Há Pagar | Rodopar 1015'!$J:$J,'Doc Há Pagar | Rodopar 1015'!$A:$A,$B17&amp;$E17&amp;$F17,'Doc Há Pagar | Rodopar 1015'!$B:$B,S$1)</f>
        <v>0</v>
      </c>
      <c r="T17" s="20">
        <f>SUMIFS('Doc''s Pagos | Rodopar 108'!$J:$J,'Doc''s Pagos | Rodopar 108'!$A:$A,$B17&amp;$E17&amp;$F17&amp;$J17,'Doc''s Pagos | Rodopar 108'!$B:$B,T$1)+SUMIFS('Doc Há Pagar | Rodopar 1015'!$J:$J,'Doc Há Pagar | Rodopar 1015'!$A:$A,$B17&amp;$E17&amp;$F17,'Doc Há Pagar | Rodopar 1015'!$B:$B,T$1)</f>
        <v>999</v>
      </c>
      <c r="U17" s="20">
        <f>SUMIFS('Doc''s Pagos | Rodopar 108'!$J:$J,'Doc''s Pagos | Rodopar 108'!$A:$A,$B17&amp;$E17&amp;$F17&amp;$J17,'Doc''s Pagos | Rodopar 108'!$B:$B,U$1)+SUMIFS('Doc Há Pagar | Rodopar 1015'!$J:$J,'Doc Há Pagar | Rodopar 1015'!$A:$A,$B17&amp;$E17&amp;$F17,'Doc Há Pagar | Rodopar 1015'!$B:$B,U$1)</f>
        <v>0</v>
      </c>
      <c r="V17" s="20">
        <f>SUMIFS('Doc''s Pagos | Rodopar 108'!$J:$J,'Doc''s Pagos | Rodopar 108'!$A:$A,$B17&amp;$E17&amp;$F17&amp;$J17,'Doc''s Pagos | Rodopar 108'!$B:$B,V$1)+SUMIFS('Doc Há Pagar | Rodopar 1015'!$J:$J,'Doc Há Pagar | Rodopar 1015'!$A:$A,$B17&amp;$E17&amp;$F17,'Doc Há Pagar | Rodopar 1015'!$B:$B,V$1)</f>
        <v>0</v>
      </c>
      <c r="W17" s="20">
        <f>SUMIFS('Doc''s Pagos | Rodopar 108'!$J:$J,'Doc''s Pagos | Rodopar 108'!$A:$A,$B17&amp;$E17&amp;$F17&amp;$J17,'Doc''s Pagos | Rodopar 108'!$B:$B,W$1)+SUMIFS('Doc Há Pagar | Rodopar 1015'!$J:$J,'Doc Há Pagar | Rodopar 1015'!$A:$A,$B17&amp;$E17&amp;$F17,'Doc Há Pagar | Rodopar 1015'!$B:$B,W$1)</f>
        <v>0</v>
      </c>
      <c r="X17" s="20">
        <f>SUMIFS('Doc''s Pagos | Rodopar 108'!$J:$J,'Doc''s Pagos | Rodopar 108'!$A:$A,$B17&amp;$E17&amp;$F17&amp;$J17,'Doc''s Pagos | Rodopar 108'!$B:$B,X$1)+SUMIFS('Doc Há Pagar | Rodopar 1015'!$J:$J,'Doc Há Pagar | Rodopar 1015'!$A:$A,$B17&amp;$E17&amp;$F17,'Doc Há Pagar | Rodopar 1015'!$B:$B,X$1)</f>
        <v>0</v>
      </c>
      <c r="Y17" s="20">
        <f>SUMIFS('Doc''s Pagos | Rodopar 108'!$J:$J,'Doc''s Pagos | Rodopar 108'!$A:$A,$B17&amp;$E17&amp;$F17&amp;$J17,'Doc''s Pagos | Rodopar 108'!$B:$B,Y$1)+SUMIFS('Doc Há Pagar | Rodopar 1015'!$J:$J,'Doc Há Pagar | Rodopar 1015'!$A:$A,$B17&amp;$E17&amp;$F17,'Doc Há Pagar | Rodopar 1015'!$B:$B,Y$1)</f>
        <v>0</v>
      </c>
      <c r="Z17" s="20">
        <f>SUMIFS('Doc''s Pagos | Rodopar 108'!$J:$J,'Doc''s Pagos | Rodopar 108'!$A:$A,$B17&amp;$E17&amp;$F17&amp;$J17,'Doc''s Pagos | Rodopar 108'!$B:$B,Z$1)+SUMIFS('Doc Há Pagar | Rodopar 1015'!$J:$J,'Doc Há Pagar | Rodopar 1015'!$A:$A,$B17&amp;$E17&amp;$F17,'Doc Há Pagar | Rodopar 1015'!$B:$B,Z$1)</f>
        <v>0</v>
      </c>
      <c r="AA17" s="20">
        <f>SUMIFS('Doc''s Pagos | Rodopar 108'!$J:$J,'Doc''s Pagos | Rodopar 108'!$A:$A,$B17&amp;$E17&amp;$F17&amp;$J17,'Doc''s Pagos | Rodopar 108'!$B:$B,AA$1)+SUMIFS('Doc Há Pagar | Rodopar 1015'!$J:$J,'Doc Há Pagar | Rodopar 1015'!$A:$A,$B17&amp;$E17&amp;$F17,'Doc Há Pagar | Rodopar 1015'!$B:$B,AA$1)</f>
        <v>0</v>
      </c>
      <c r="AB17" s="20">
        <f>SUMIFS('Doc''s Pagos | Rodopar 108'!$J:$J,'Doc''s Pagos | Rodopar 108'!$A:$A,$B17&amp;$E17&amp;$F17&amp;$J17,'Doc''s Pagos | Rodopar 108'!$B:$B,AB$1)+SUMIFS('Doc Há Pagar | Rodopar 1015'!$J:$J,'Doc Há Pagar | Rodopar 1015'!$A:$A,$B17&amp;$E17&amp;$F17,'Doc Há Pagar | Rodopar 1015'!$B:$B,AB$1)</f>
        <v>0</v>
      </c>
      <c r="AC17" s="20">
        <f>SUMIFS('Doc''s Pagos | Rodopar 108'!$J:$J,'Doc''s Pagos | Rodopar 108'!$A:$A,$B17&amp;$E17&amp;$F17&amp;$J17,'Doc''s Pagos | Rodopar 108'!$B:$B,AC$1)+SUMIFS('Doc Há Pagar | Rodopar 1015'!$J:$J,'Doc Há Pagar | Rodopar 1015'!$A:$A,$B17&amp;$E17&amp;$F17,'Doc Há Pagar | Rodopar 1015'!$B:$B,AC$1)</f>
        <v>0</v>
      </c>
      <c r="AD17" s="20">
        <f>SUMIFS('Doc''s Pagos | Rodopar 108'!$J:$J,'Doc''s Pagos | Rodopar 108'!$A:$A,$B17&amp;$E17&amp;$F17&amp;$J17,'Doc''s Pagos | Rodopar 108'!$B:$B,AD$1)+SUMIFS('Doc Há Pagar | Rodopar 1015'!$J:$J,'Doc Há Pagar | Rodopar 1015'!$A:$A,$B17&amp;$E17&amp;$F17,'Doc Há Pagar | Rodopar 1015'!$B:$B,AD$1)</f>
        <v>0</v>
      </c>
    </row>
    <row r="18" spans="1:30" x14ac:dyDescent="0.25">
      <c r="A18" s="1" t="str">
        <f>VLOOKUP($E18,Fornecedores!$A:$C,3,0)</f>
        <v>Frota</v>
      </c>
      <c r="B18" s="14">
        <v>326</v>
      </c>
      <c r="C18" s="14" t="str">
        <f>IFERROR(VLOOKUP($E18,Fornecedores!$A:$E,4,0),"")</f>
        <v>Lavagem</v>
      </c>
      <c r="D18" s="14" t="str">
        <f>IFERROR(VLOOKUP($E18,Fornecedores!$A:$E,5,0),"")</f>
        <v>Lavagem</v>
      </c>
      <c r="E18" s="8" t="s">
        <v>845</v>
      </c>
      <c r="F18" s="14" t="s">
        <v>665</v>
      </c>
      <c r="G18" s="8" t="s">
        <v>846</v>
      </c>
      <c r="H18" s="9">
        <v>87</v>
      </c>
      <c r="I18" s="21">
        <v>360</v>
      </c>
      <c r="J18" s="11">
        <v>46031</v>
      </c>
      <c r="K18" s="11">
        <v>46031</v>
      </c>
      <c r="L18" s="8" t="s">
        <v>501</v>
      </c>
      <c r="M18" s="14" t="s">
        <v>234</v>
      </c>
      <c r="N18" s="16">
        <v>1556</v>
      </c>
      <c r="O18" s="14" t="s">
        <v>241</v>
      </c>
      <c r="P18" s="14"/>
      <c r="Q18" s="20">
        <f t="shared" si="0"/>
        <v>0</v>
      </c>
      <c r="S18" s="20">
        <f>SUMIFS('Doc''s Pagos | Rodopar 108'!$J:$J,'Doc''s Pagos | Rodopar 108'!$A:$A,$B18&amp;$E18&amp;$F18&amp;$J18,'Doc''s Pagos | Rodopar 108'!$B:$B,S$1)+SUMIFS('Doc Há Pagar | Rodopar 1015'!$J:$J,'Doc Há Pagar | Rodopar 1015'!$A:$A,$B18&amp;$E18&amp;$F18,'Doc Há Pagar | Rodopar 1015'!$B:$B,S$1)</f>
        <v>0</v>
      </c>
      <c r="T18" s="20">
        <f>SUMIFS('Doc''s Pagos | Rodopar 108'!$J:$J,'Doc''s Pagos | Rodopar 108'!$A:$A,$B18&amp;$E18&amp;$F18&amp;$J18,'Doc''s Pagos | Rodopar 108'!$B:$B,T$1)+SUMIFS('Doc Há Pagar | Rodopar 1015'!$J:$J,'Doc Há Pagar | Rodopar 1015'!$A:$A,$B18&amp;$E18&amp;$F18,'Doc Há Pagar | Rodopar 1015'!$B:$B,T$1)</f>
        <v>360</v>
      </c>
      <c r="U18" s="20">
        <f>SUMIFS('Doc''s Pagos | Rodopar 108'!$J:$J,'Doc''s Pagos | Rodopar 108'!$A:$A,$B18&amp;$E18&amp;$F18&amp;$J18,'Doc''s Pagos | Rodopar 108'!$B:$B,U$1)+SUMIFS('Doc Há Pagar | Rodopar 1015'!$J:$J,'Doc Há Pagar | Rodopar 1015'!$A:$A,$B18&amp;$E18&amp;$F18,'Doc Há Pagar | Rodopar 1015'!$B:$B,U$1)</f>
        <v>0</v>
      </c>
      <c r="V18" s="20">
        <f>SUMIFS('Doc''s Pagos | Rodopar 108'!$J:$J,'Doc''s Pagos | Rodopar 108'!$A:$A,$B18&amp;$E18&amp;$F18&amp;$J18,'Doc''s Pagos | Rodopar 108'!$B:$B,V$1)+SUMIFS('Doc Há Pagar | Rodopar 1015'!$J:$J,'Doc Há Pagar | Rodopar 1015'!$A:$A,$B18&amp;$E18&amp;$F18,'Doc Há Pagar | Rodopar 1015'!$B:$B,V$1)</f>
        <v>0</v>
      </c>
      <c r="W18" s="20">
        <f>SUMIFS('Doc''s Pagos | Rodopar 108'!$J:$J,'Doc''s Pagos | Rodopar 108'!$A:$A,$B18&amp;$E18&amp;$F18&amp;$J18,'Doc''s Pagos | Rodopar 108'!$B:$B,W$1)+SUMIFS('Doc Há Pagar | Rodopar 1015'!$J:$J,'Doc Há Pagar | Rodopar 1015'!$A:$A,$B18&amp;$E18&amp;$F18,'Doc Há Pagar | Rodopar 1015'!$B:$B,W$1)</f>
        <v>0</v>
      </c>
      <c r="X18" s="20">
        <f>SUMIFS('Doc''s Pagos | Rodopar 108'!$J:$J,'Doc''s Pagos | Rodopar 108'!$A:$A,$B18&amp;$E18&amp;$F18&amp;$J18,'Doc''s Pagos | Rodopar 108'!$B:$B,X$1)+SUMIFS('Doc Há Pagar | Rodopar 1015'!$J:$J,'Doc Há Pagar | Rodopar 1015'!$A:$A,$B18&amp;$E18&amp;$F18,'Doc Há Pagar | Rodopar 1015'!$B:$B,X$1)</f>
        <v>0</v>
      </c>
      <c r="Y18" s="20">
        <f>SUMIFS('Doc''s Pagos | Rodopar 108'!$J:$J,'Doc''s Pagos | Rodopar 108'!$A:$A,$B18&amp;$E18&amp;$F18&amp;$J18,'Doc''s Pagos | Rodopar 108'!$B:$B,Y$1)+SUMIFS('Doc Há Pagar | Rodopar 1015'!$J:$J,'Doc Há Pagar | Rodopar 1015'!$A:$A,$B18&amp;$E18&amp;$F18,'Doc Há Pagar | Rodopar 1015'!$B:$B,Y$1)</f>
        <v>0</v>
      </c>
      <c r="Z18" s="20">
        <f>SUMIFS('Doc''s Pagos | Rodopar 108'!$J:$J,'Doc''s Pagos | Rodopar 108'!$A:$A,$B18&amp;$E18&amp;$F18&amp;$J18,'Doc''s Pagos | Rodopar 108'!$B:$B,Z$1)+SUMIFS('Doc Há Pagar | Rodopar 1015'!$J:$J,'Doc Há Pagar | Rodopar 1015'!$A:$A,$B18&amp;$E18&amp;$F18,'Doc Há Pagar | Rodopar 1015'!$B:$B,Z$1)</f>
        <v>0</v>
      </c>
      <c r="AA18" s="20">
        <f>SUMIFS('Doc''s Pagos | Rodopar 108'!$J:$J,'Doc''s Pagos | Rodopar 108'!$A:$A,$B18&amp;$E18&amp;$F18&amp;$J18,'Doc''s Pagos | Rodopar 108'!$B:$B,AA$1)+SUMIFS('Doc Há Pagar | Rodopar 1015'!$J:$J,'Doc Há Pagar | Rodopar 1015'!$A:$A,$B18&amp;$E18&amp;$F18,'Doc Há Pagar | Rodopar 1015'!$B:$B,AA$1)</f>
        <v>0</v>
      </c>
      <c r="AB18" s="20">
        <f>SUMIFS('Doc''s Pagos | Rodopar 108'!$J:$J,'Doc''s Pagos | Rodopar 108'!$A:$A,$B18&amp;$E18&amp;$F18&amp;$J18,'Doc''s Pagos | Rodopar 108'!$B:$B,AB$1)+SUMIFS('Doc Há Pagar | Rodopar 1015'!$J:$J,'Doc Há Pagar | Rodopar 1015'!$A:$A,$B18&amp;$E18&amp;$F18,'Doc Há Pagar | Rodopar 1015'!$B:$B,AB$1)</f>
        <v>0</v>
      </c>
      <c r="AC18" s="20">
        <f>SUMIFS('Doc''s Pagos | Rodopar 108'!$J:$J,'Doc''s Pagos | Rodopar 108'!$A:$A,$B18&amp;$E18&amp;$F18&amp;$J18,'Doc''s Pagos | Rodopar 108'!$B:$B,AC$1)+SUMIFS('Doc Há Pagar | Rodopar 1015'!$J:$J,'Doc Há Pagar | Rodopar 1015'!$A:$A,$B18&amp;$E18&amp;$F18,'Doc Há Pagar | Rodopar 1015'!$B:$B,AC$1)</f>
        <v>0</v>
      </c>
      <c r="AD18" s="20">
        <f>SUMIFS('Doc''s Pagos | Rodopar 108'!$J:$J,'Doc''s Pagos | Rodopar 108'!$A:$A,$B18&amp;$E18&amp;$F18&amp;$J18,'Doc''s Pagos | Rodopar 108'!$B:$B,AD$1)+SUMIFS('Doc Há Pagar | Rodopar 1015'!$J:$J,'Doc Há Pagar | Rodopar 1015'!$A:$A,$B18&amp;$E18&amp;$F18,'Doc Há Pagar | Rodopar 1015'!$B:$B,AD$1)</f>
        <v>0</v>
      </c>
    </row>
    <row r="19" spans="1:30" x14ac:dyDescent="0.25">
      <c r="A19" s="1" t="str">
        <f>VLOOKUP($E19,Fornecedores!$A:$C,3,0)</f>
        <v>Frota</v>
      </c>
      <c r="B19" s="14">
        <v>6</v>
      </c>
      <c r="C19" s="14" t="str">
        <f>IFERROR(VLOOKUP($E19,Fornecedores!$A:$E,4,0),"")</f>
        <v>Lavagem</v>
      </c>
      <c r="D19" s="14" t="str">
        <f>IFERROR(VLOOKUP($E19,Fornecedores!$A:$E,5,0),"")</f>
        <v>Lavagem</v>
      </c>
      <c r="E19" s="8" t="s">
        <v>85</v>
      </c>
      <c r="F19" s="14" t="s">
        <v>665</v>
      </c>
      <c r="G19" s="8" t="s">
        <v>633</v>
      </c>
      <c r="H19" s="9">
        <v>87</v>
      </c>
      <c r="I19" s="21">
        <v>12450</v>
      </c>
      <c r="J19" s="11">
        <v>46031</v>
      </c>
      <c r="K19" s="11">
        <v>46034</v>
      </c>
      <c r="L19" s="8" t="s">
        <v>282</v>
      </c>
      <c r="M19" s="14" t="s">
        <v>234</v>
      </c>
      <c r="N19" s="16">
        <v>1556</v>
      </c>
      <c r="O19" s="14" t="s">
        <v>241</v>
      </c>
      <c r="P19" s="14"/>
      <c r="Q19" s="20">
        <f t="shared" si="0"/>
        <v>0</v>
      </c>
      <c r="S19" s="20">
        <f>SUMIFS('Doc''s Pagos | Rodopar 108'!$J:$J,'Doc''s Pagos | Rodopar 108'!$A:$A,$B19&amp;$E19&amp;$F19&amp;$J19,'Doc''s Pagos | Rodopar 108'!$B:$B,S$1)+SUMIFS('Doc Há Pagar | Rodopar 1015'!$J:$J,'Doc Há Pagar | Rodopar 1015'!$A:$A,$B19&amp;$E19&amp;$F19,'Doc Há Pagar | Rodopar 1015'!$B:$B,S$1)</f>
        <v>0</v>
      </c>
      <c r="T19" s="20">
        <f>SUMIFS('Doc''s Pagos | Rodopar 108'!$J:$J,'Doc''s Pagos | Rodopar 108'!$A:$A,$B19&amp;$E19&amp;$F19&amp;$J19,'Doc''s Pagos | Rodopar 108'!$B:$B,T$1)+SUMIFS('Doc Há Pagar | Rodopar 1015'!$J:$J,'Doc Há Pagar | Rodopar 1015'!$A:$A,$B19&amp;$E19&amp;$F19,'Doc Há Pagar | Rodopar 1015'!$B:$B,T$1)</f>
        <v>12450</v>
      </c>
      <c r="U19" s="20">
        <f>SUMIFS('Doc''s Pagos | Rodopar 108'!$J:$J,'Doc''s Pagos | Rodopar 108'!$A:$A,$B19&amp;$E19&amp;$F19&amp;$J19,'Doc''s Pagos | Rodopar 108'!$B:$B,U$1)+SUMIFS('Doc Há Pagar | Rodopar 1015'!$J:$J,'Doc Há Pagar | Rodopar 1015'!$A:$A,$B19&amp;$E19&amp;$F19,'Doc Há Pagar | Rodopar 1015'!$B:$B,U$1)</f>
        <v>0</v>
      </c>
      <c r="V19" s="20">
        <f>SUMIFS('Doc''s Pagos | Rodopar 108'!$J:$J,'Doc''s Pagos | Rodopar 108'!$A:$A,$B19&amp;$E19&amp;$F19&amp;$J19,'Doc''s Pagos | Rodopar 108'!$B:$B,V$1)+SUMIFS('Doc Há Pagar | Rodopar 1015'!$J:$J,'Doc Há Pagar | Rodopar 1015'!$A:$A,$B19&amp;$E19&amp;$F19,'Doc Há Pagar | Rodopar 1015'!$B:$B,V$1)</f>
        <v>0</v>
      </c>
      <c r="W19" s="20">
        <f>SUMIFS('Doc''s Pagos | Rodopar 108'!$J:$J,'Doc''s Pagos | Rodopar 108'!$A:$A,$B19&amp;$E19&amp;$F19&amp;$J19,'Doc''s Pagos | Rodopar 108'!$B:$B,W$1)+SUMIFS('Doc Há Pagar | Rodopar 1015'!$J:$J,'Doc Há Pagar | Rodopar 1015'!$A:$A,$B19&amp;$E19&amp;$F19,'Doc Há Pagar | Rodopar 1015'!$B:$B,W$1)</f>
        <v>0</v>
      </c>
      <c r="X19" s="20">
        <f>SUMIFS('Doc''s Pagos | Rodopar 108'!$J:$J,'Doc''s Pagos | Rodopar 108'!$A:$A,$B19&amp;$E19&amp;$F19&amp;$J19,'Doc''s Pagos | Rodopar 108'!$B:$B,X$1)+SUMIFS('Doc Há Pagar | Rodopar 1015'!$J:$J,'Doc Há Pagar | Rodopar 1015'!$A:$A,$B19&amp;$E19&amp;$F19,'Doc Há Pagar | Rodopar 1015'!$B:$B,X$1)</f>
        <v>0</v>
      </c>
      <c r="Y19" s="20">
        <f>SUMIFS('Doc''s Pagos | Rodopar 108'!$J:$J,'Doc''s Pagos | Rodopar 108'!$A:$A,$B19&amp;$E19&amp;$F19&amp;$J19,'Doc''s Pagos | Rodopar 108'!$B:$B,Y$1)+SUMIFS('Doc Há Pagar | Rodopar 1015'!$J:$J,'Doc Há Pagar | Rodopar 1015'!$A:$A,$B19&amp;$E19&amp;$F19,'Doc Há Pagar | Rodopar 1015'!$B:$B,Y$1)</f>
        <v>0</v>
      </c>
      <c r="Z19" s="20">
        <f>SUMIFS('Doc''s Pagos | Rodopar 108'!$J:$J,'Doc''s Pagos | Rodopar 108'!$A:$A,$B19&amp;$E19&amp;$F19&amp;$J19,'Doc''s Pagos | Rodopar 108'!$B:$B,Z$1)+SUMIFS('Doc Há Pagar | Rodopar 1015'!$J:$J,'Doc Há Pagar | Rodopar 1015'!$A:$A,$B19&amp;$E19&amp;$F19,'Doc Há Pagar | Rodopar 1015'!$B:$B,Z$1)</f>
        <v>0</v>
      </c>
      <c r="AA19" s="20">
        <f>SUMIFS('Doc''s Pagos | Rodopar 108'!$J:$J,'Doc''s Pagos | Rodopar 108'!$A:$A,$B19&amp;$E19&amp;$F19&amp;$J19,'Doc''s Pagos | Rodopar 108'!$B:$B,AA$1)+SUMIFS('Doc Há Pagar | Rodopar 1015'!$J:$J,'Doc Há Pagar | Rodopar 1015'!$A:$A,$B19&amp;$E19&amp;$F19,'Doc Há Pagar | Rodopar 1015'!$B:$B,AA$1)</f>
        <v>0</v>
      </c>
      <c r="AB19" s="20">
        <f>SUMIFS('Doc''s Pagos | Rodopar 108'!$J:$J,'Doc''s Pagos | Rodopar 108'!$A:$A,$B19&amp;$E19&amp;$F19&amp;$J19,'Doc''s Pagos | Rodopar 108'!$B:$B,AB$1)+SUMIFS('Doc Há Pagar | Rodopar 1015'!$J:$J,'Doc Há Pagar | Rodopar 1015'!$A:$A,$B19&amp;$E19&amp;$F19,'Doc Há Pagar | Rodopar 1015'!$B:$B,AB$1)</f>
        <v>0</v>
      </c>
      <c r="AC19" s="20">
        <f>SUMIFS('Doc''s Pagos | Rodopar 108'!$J:$J,'Doc''s Pagos | Rodopar 108'!$A:$A,$B19&amp;$E19&amp;$F19&amp;$J19,'Doc''s Pagos | Rodopar 108'!$B:$B,AC$1)+SUMIFS('Doc Há Pagar | Rodopar 1015'!$J:$J,'Doc Há Pagar | Rodopar 1015'!$A:$A,$B19&amp;$E19&amp;$F19,'Doc Há Pagar | Rodopar 1015'!$B:$B,AC$1)</f>
        <v>0</v>
      </c>
      <c r="AD19" s="20">
        <f>SUMIFS('Doc''s Pagos | Rodopar 108'!$J:$J,'Doc''s Pagos | Rodopar 108'!$A:$A,$B19&amp;$E19&amp;$F19&amp;$J19,'Doc''s Pagos | Rodopar 108'!$B:$B,AD$1)+SUMIFS('Doc Há Pagar | Rodopar 1015'!$J:$J,'Doc Há Pagar | Rodopar 1015'!$A:$A,$B19&amp;$E19&amp;$F19,'Doc Há Pagar | Rodopar 1015'!$B:$B,AD$1)</f>
        <v>0</v>
      </c>
    </row>
    <row r="20" spans="1:30" x14ac:dyDescent="0.25">
      <c r="A20" s="1" t="str">
        <f>VLOOKUP($E20,Fornecedores!$A:$C,3,0)</f>
        <v>Frota</v>
      </c>
      <c r="B20" s="14">
        <v>222247</v>
      </c>
      <c r="C20" s="14" t="str">
        <f>IFERROR(VLOOKUP($E20,Fornecedores!$A:$E,4,0),"")</f>
        <v>Manutenção</v>
      </c>
      <c r="D20" s="14" t="str">
        <f>IFERROR(VLOOKUP($E20,Fornecedores!$A:$E,5,0),"")</f>
        <v>Peças E Serviços</v>
      </c>
      <c r="E20" s="8" t="s">
        <v>460</v>
      </c>
      <c r="F20" s="14" t="s">
        <v>380</v>
      </c>
      <c r="G20" s="8" t="s">
        <v>461</v>
      </c>
      <c r="H20" s="9">
        <v>87</v>
      </c>
      <c r="I20" s="21">
        <v>1458</v>
      </c>
      <c r="J20" s="11">
        <v>46034</v>
      </c>
      <c r="K20" s="11">
        <v>46034</v>
      </c>
      <c r="L20" s="8" t="s">
        <v>462</v>
      </c>
      <c r="M20" s="14" t="s">
        <v>463</v>
      </c>
      <c r="N20" s="16">
        <v>2556</v>
      </c>
      <c r="O20" s="14" t="s">
        <v>241</v>
      </c>
      <c r="P20" s="14"/>
      <c r="Q20" s="20">
        <f t="shared" si="0"/>
        <v>0</v>
      </c>
      <c r="S20" s="20">
        <f>SUMIFS('Doc''s Pagos | Rodopar 108'!$J:$J,'Doc''s Pagos | Rodopar 108'!$A:$A,$B20&amp;$E20&amp;$F20&amp;$J20,'Doc''s Pagos | Rodopar 108'!$B:$B,S$1)+SUMIFS('Doc Há Pagar | Rodopar 1015'!$J:$J,'Doc Há Pagar | Rodopar 1015'!$A:$A,$B20&amp;$E20&amp;$F20,'Doc Há Pagar | Rodopar 1015'!$B:$B,S$1)</f>
        <v>0</v>
      </c>
      <c r="T20" s="20">
        <f>SUMIFS('Doc''s Pagos | Rodopar 108'!$J:$J,'Doc''s Pagos | Rodopar 108'!$A:$A,$B20&amp;$E20&amp;$F20&amp;$J20,'Doc''s Pagos | Rodopar 108'!$B:$B,T$1)+SUMIFS('Doc Há Pagar | Rodopar 1015'!$J:$J,'Doc Há Pagar | Rodopar 1015'!$A:$A,$B20&amp;$E20&amp;$F20,'Doc Há Pagar | Rodopar 1015'!$B:$B,T$1)</f>
        <v>1458</v>
      </c>
      <c r="U20" s="20">
        <f>SUMIFS('Doc''s Pagos | Rodopar 108'!$J:$J,'Doc''s Pagos | Rodopar 108'!$A:$A,$B20&amp;$E20&amp;$F20&amp;$J20,'Doc''s Pagos | Rodopar 108'!$B:$B,U$1)+SUMIFS('Doc Há Pagar | Rodopar 1015'!$J:$J,'Doc Há Pagar | Rodopar 1015'!$A:$A,$B20&amp;$E20&amp;$F20,'Doc Há Pagar | Rodopar 1015'!$B:$B,U$1)</f>
        <v>0</v>
      </c>
      <c r="V20" s="20">
        <f>SUMIFS('Doc''s Pagos | Rodopar 108'!$J:$J,'Doc''s Pagos | Rodopar 108'!$A:$A,$B20&amp;$E20&amp;$F20&amp;$J20,'Doc''s Pagos | Rodopar 108'!$B:$B,V$1)+SUMIFS('Doc Há Pagar | Rodopar 1015'!$J:$J,'Doc Há Pagar | Rodopar 1015'!$A:$A,$B20&amp;$E20&amp;$F20,'Doc Há Pagar | Rodopar 1015'!$B:$B,V$1)</f>
        <v>0</v>
      </c>
      <c r="W20" s="20">
        <f>SUMIFS('Doc''s Pagos | Rodopar 108'!$J:$J,'Doc''s Pagos | Rodopar 108'!$A:$A,$B20&amp;$E20&amp;$F20&amp;$J20,'Doc''s Pagos | Rodopar 108'!$B:$B,W$1)+SUMIFS('Doc Há Pagar | Rodopar 1015'!$J:$J,'Doc Há Pagar | Rodopar 1015'!$A:$A,$B20&amp;$E20&amp;$F20,'Doc Há Pagar | Rodopar 1015'!$B:$B,W$1)</f>
        <v>0</v>
      </c>
      <c r="X20" s="20">
        <f>SUMIFS('Doc''s Pagos | Rodopar 108'!$J:$J,'Doc''s Pagos | Rodopar 108'!$A:$A,$B20&amp;$E20&amp;$F20&amp;$J20,'Doc''s Pagos | Rodopar 108'!$B:$B,X$1)+SUMIFS('Doc Há Pagar | Rodopar 1015'!$J:$J,'Doc Há Pagar | Rodopar 1015'!$A:$A,$B20&amp;$E20&amp;$F20,'Doc Há Pagar | Rodopar 1015'!$B:$B,X$1)</f>
        <v>0</v>
      </c>
      <c r="Y20" s="20">
        <f>SUMIFS('Doc''s Pagos | Rodopar 108'!$J:$J,'Doc''s Pagos | Rodopar 108'!$A:$A,$B20&amp;$E20&amp;$F20&amp;$J20,'Doc''s Pagos | Rodopar 108'!$B:$B,Y$1)+SUMIFS('Doc Há Pagar | Rodopar 1015'!$J:$J,'Doc Há Pagar | Rodopar 1015'!$A:$A,$B20&amp;$E20&amp;$F20,'Doc Há Pagar | Rodopar 1015'!$B:$B,Y$1)</f>
        <v>0</v>
      </c>
      <c r="Z20" s="20">
        <f>SUMIFS('Doc''s Pagos | Rodopar 108'!$J:$J,'Doc''s Pagos | Rodopar 108'!$A:$A,$B20&amp;$E20&amp;$F20&amp;$J20,'Doc''s Pagos | Rodopar 108'!$B:$B,Z$1)+SUMIFS('Doc Há Pagar | Rodopar 1015'!$J:$J,'Doc Há Pagar | Rodopar 1015'!$A:$A,$B20&amp;$E20&amp;$F20,'Doc Há Pagar | Rodopar 1015'!$B:$B,Z$1)</f>
        <v>0</v>
      </c>
      <c r="AA20" s="20">
        <f>SUMIFS('Doc''s Pagos | Rodopar 108'!$J:$J,'Doc''s Pagos | Rodopar 108'!$A:$A,$B20&amp;$E20&amp;$F20&amp;$J20,'Doc''s Pagos | Rodopar 108'!$B:$B,AA$1)+SUMIFS('Doc Há Pagar | Rodopar 1015'!$J:$J,'Doc Há Pagar | Rodopar 1015'!$A:$A,$B20&amp;$E20&amp;$F20,'Doc Há Pagar | Rodopar 1015'!$B:$B,AA$1)</f>
        <v>0</v>
      </c>
      <c r="AB20" s="20">
        <f>SUMIFS('Doc''s Pagos | Rodopar 108'!$J:$J,'Doc''s Pagos | Rodopar 108'!$A:$A,$B20&amp;$E20&amp;$F20&amp;$J20,'Doc''s Pagos | Rodopar 108'!$B:$B,AB$1)+SUMIFS('Doc Há Pagar | Rodopar 1015'!$J:$J,'Doc Há Pagar | Rodopar 1015'!$A:$A,$B20&amp;$E20&amp;$F20,'Doc Há Pagar | Rodopar 1015'!$B:$B,AB$1)</f>
        <v>0</v>
      </c>
      <c r="AC20" s="20">
        <f>SUMIFS('Doc''s Pagos | Rodopar 108'!$J:$J,'Doc''s Pagos | Rodopar 108'!$A:$A,$B20&amp;$E20&amp;$F20&amp;$J20,'Doc''s Pagos | Rodopar 108'!$B:$B,AC$1)+SUMIFS('Doc Há Pagar | Rodopar 1015'!$J:$J,'Doc Há Pagar | Rodopar 1015'!$A:$A,$B20&amp;$E20&amp;$F20,'Doc Há Pagar | Rodopar 1015'!$B:$B,AC$1)</f>
        <v>0</v>
      </c>
      <c r="AD20" s="20">
        <f>SUMIFS('Doc''s Pagos | Rodopar 108'!$J:$J,'Doc''s Pagos | Rodopar 108'!$A:$A,$B20&amp;$E20&amp;$F20&amp;$J20,'Doc''s Pagos | Rodopar 108'!$B:$B,AD$1)+SUMIFS('Doc Há Pagar | Rodopar 1015'!$J:$J,'Doc Há Pagar | Rodopar 1015'!$A:$A,$B20&amp;$E20&amp;$F20,'Doc Há Pagar | Rodopar 1015'!$B:$B,AD$1)</f>
        <v>0</v>
      </c>
    </row>
    <row r="21" spans="1:30" x14ac:dyDescent="0.25">
      <c r="A21" s="1" t="str">
        <f>VLOOKUP($E21,Fornecedores!$A:$C,3,0)</f>
        <v>Frota</v>
      </c>
      <c r="B21" s="14">
        <v>90</v>
      </c>
      <c r="C21" s="14" t="str">
        <f>IFERROR(VLOOKUP($E21,Fornecedores!$A:$E,4,0),"")</f>
        <v>Manutenção</v>
      </c>
      <c r="D21" s="14" t="str">
        <f>IFERROR(VLOOKUP($E21,Fornecedores!$A:$E,5,0),"")</f>
        <v>Peças E Serviços</v>
      </c>
      <c r="E21" s="8" t="s">
        <v>204</v>
      </c>
      <c r="F21" s="14" t="s">
        <v>380</v>
      </c>
      <c r="G21" s="8" t="s">
        <v>396</v>
      </c>
      <c r="H21" s="9">
        <v>87</v>
      </c>
      <c r="I21" s="21">
        <v>594.98</v>
      </c>
      <c r="J21" s="11">
        <v>46035</v>
      </c>
      <c r="K21" s="11">
        <v>46036</v>
      </c>
      <c r="L21" s="8" t="s">
        <v>282</v>
      </c>
      <c r="M21" s="14" t="s">
        <v>234</v>
      </c>
      <c r="N21" s="16">
        <v>1556</v>
      </c>
      <c r="O21" s="14" t="s">
        <v>241</v>
      </c>
      <c r="P21" s="14"/>
      <c r="Q21" s="20">
        <f t="shared" si="0"/>
        <v>0</v>
      </c>
      <c r="S21" s="20">
        <f>SUMIFS('Doc''s Pagos | Rodopar 108'!$J:$J,'Doc''s Pagos | Rodopar 108'!$A:$A,$B21&amp;$E21&amp;$F21&amp;$J21,'Doc''s Pagos | Rodopar 108'!$B:$B,S$1)+SUMIFS('Doc Há Pagar | Rodopar 1015'!$J:$J,'Doc Há Pagar | Rodopar 1015'!$A:$A,$B21&amp;$E21&amp;$F21,'Doc Há Pagar | Rodopar 1015'!$B:$B,S$1)</f>
        <v>0</v>
      </c>
      <c r="T21" s="20">
        <f>SUMIFS('Doc''s Pagos | Rodopar 108'!$J:$J,'Doc''s Pagos | Rodopar 108'!$A:$A,$B21&amp;$E21&amp;$F21&amp;$J21,'Doc''s Pagos | Rodopar 108'!$B:$B,T$1)+SUMIFS('Doc Há Pagar | Rodopar 1015'!$J:$J,'Doc Há Pagar | Rodopar 1015'!$A:$A,$B21&amp;$E21&amp;$F21,'Doc Há Pagar | Rodopar 1015'!$B:$B,T$1)</f>
        <v>594.98</v>
      </c>
      <c r="U21" s="20">
        <f>SUMIFS('Doc''s Pagos | Rodopar 108'!$J:$J,'Doc''s Pagos | Rodopar 108'!$A:$A,$B21&amp;$E21&amp;$F21&amp;$J21,'Doc''s Pagos | Rodopar 108'!$B:$B,U$1)+SUMIFS('Doc Há Pagar | Rodopar 1015'!$J:$J,'Doc Há Pagar | Rodopar 1015'!$A:$A,$B21&amp;$E21&amp;$F21,'Doc Há Pagar | Rodopar 1015'!$B:$B,U$1)</f>
        <v>0</v>
      </c>
      <c r="V21" s="20">
        <f>SUMIFS('Doc''s Pagos | Rodopar 108'!$J:$J,'Doc''s Pagos | Rodopar 108'!$A:$A,$B21&amp;$E21&amp;$F21&amp;$J21,'Doc''s Pagos | Rodopar 108'!$B:$B,V$1)+SUMIFS('Doc Há Pagar | Rodopar 1015'!$J:$J,'Doc Há Pagar | Rodopar 1015'!$A:$A,$B21&amp;$E21&amp;$F21,'Doc Há Pagar | Rodopar 1015'!$B:$B,V$1)</f>
        <v>0</v>
      </c>
      <c r="W21" s="20">
        <f>SUMIFS('Doc''s Pagos | Rodopar 108'!$J:$J,'Doc''s Pagos | Rodopar 108'!$A:$A,$B21&amp;$E21&amp;$F21&amp;$J21,'Doc''s Pagos | Rodopar 108'!$B:$B,W$1)+SUMIFS('Doc Há Pagar | Rodopar 1015'!$J:$J,'Doc Há Pagar | Rodopar 1015'!$A:$A,$B21&amp;$E21&amp;$F21,'Doc Há Pagar | Rodopar 1015'!$B:$B,W$1)</f>
        <v>0</v>
      </c>
      <c r="X21" s="20">
        <f>SUMIFS('Doc''s Pagos | Rodopar 108'!$J:$J,'Doc''s Pagos | Rodopar 108'!$A:$A,$B21&amp;$E21&amp;$F21&amp;$J21,'Doc''s Pagos | Rodopar 108'!$B:$B,X$1)+SUMIFS('Doc Há Pagar | Rodopar 1015'!$J:$J,'Doc Há Pagar | Rodopar 1015'!$A:$A,$B21&amp;$E21&amp;$F21,'Doc Há Pagar | Rodopar 1015'!$B:$B,X$1)</f>
        <v>0</v>
      </c>
      <c r="Y21" s="20">
        <f>SUMIFS('Doc''s Pagos | Rodopar 108'!$J:$J,'Doc''s Pagos | Rodopar 108'!$A:$A,$B21&amp;$E21&amp;$F21&amp;$J21,'Doc''s Pagos | Rodopar 108'!$B:$B,Y$1)+SUMIFS('Doc Há Pagar | Rodopar 1015'!$J:$J,'Doc Há Pagar | Rodopar 1015'!$A:$A,$B21&amp;$E21&amp;$F21,'Doc Há Pagar | Rodopar 1015'!$B:$B,Y$1)</f>
        <v>0</v>
      </c>
      <c r="Z21" s="20">
        <f>SUMIFS('Doc''s Pagos | Rodopar 108'!$J:$J,'Doc''s Pagos | Rodopar 108'!$A:$A,$B21&amp;$E21&amp;$F21&amp;$J21,'Doc''s Pagos | Rodopar 108'!$B:$B,Z$1)+SUMIFS('Doc Há Pagar | Rodopar 1015'!$J:$J,'Doc Há Pagar | Rodopar 1015'!$A:$A,$B21&amp;$E21&amp;$F21,'Doc Há Pagar | Rodopar 1015'!$B:$B,Z$1)</f>
        <v>0</v>
      </c>
      <c r="AA21" s="20">
        <f>SUMIFS('Doc''s Pagos | Rodopar 108'!$J:$J,'Doc''s Pagos | Rodopar 108'!$A:$A,$B21&amp;$E21&amp;$F21&amp;$J21,'Doc''s Pagos | Rodopar 108'!$B:$B,AA$1)+SUMIFS('Doc Há Pagar | Rodopar 1015'!$J:$J,'Doc Há Pagar | Rodopar 1015'!$A:$A,$B21&amp;$E21&amp;$F21,'Doc Há Pagar | Rodopar 1015'!$B:$B,AA$1)</f>
        <v>0</v>
      </c>
      <c r="AB21" s="20">
        <f>SUMIFS('Doc''s Pagos | Rodopar 108'!$J:$J,'Doc''s Pagos | Rodopar 108'!$A:$A,$B21&amp;$E21&amp;$F21&amp;$J21,'Doc''s Pagos | Rodopar 108'!$B:$B,AB$1)+SUMIFS('Doc Há Pagar | Rodopar 1015'!$J:$J,'Doc Há Pagar | Rodopar 1015'!$A:$A,$B21&amp;$E21&amp;$F21,'Doc Há Pagar | Rodopar 1015'!$B:$B,AB$1)</f>
        <v>0</v>
      </c>
      <c r="AC21" s="20">
        <f>SUMIFS('Doc''s Pagos | Rodopar 108'!$J:$J,'Doc''s Pagos | Rodopar 108'!$A:$A,$B21&amp;$E21&amp;$F21&amp;$J21,'Doc''s Pagos | Rodopar 108'!$B:$B,AC$1)+SUMIFS('Doc Há Pagar | Rodopar 1015'!$J:$J,'Doc Há Pagar | Rodopar 1015'!$A:$A,$B21&amp;$E21&amp;$F21,'Doc Há Pagar | Rodopar 1015'!$B:$B,AC$1)</f>
        <v>0</v>
      </c>
      <c r="AD21" s="20">
        <f>SUMIFS('Doc''s Pagos | Rodopar 108'!$J:$J,'Doc''s Pagos | Rodopar 108'!$A:$A,$B21&amp;$E21&amp;$F21&amp;$J21,'Doc''s Pagos | Rodopar 108'!$B:$B,AD$1)+SUMIFS('Doc Há Pagar | Rodopar 1015'!$J:$J,'Doc Há Pagar | Rodopar 1015'!$A:$A,$B21&amp;$E21&amp;$F21,'Doc Há Pagar | Rodopar 1015'!$B:$B,AD$1)</f>
        <v>0</v>
      </c>
    </row>
    <row r="22" spans="1:30" x14ac:dyDescent="0.25">
      <c r="A22" s="1" t="str">
        <f>VLOOKUP($E22,Fornecedores!$A:$C,3,0)</f>
        <v>Frota</v>
      </c>
      <c r="B22" s="14">
        <v>993983</v>
      </c>
      <c r="C22" s="14" t="str">
        <f>IFERROR(VLOOKUP($E22,Fornecedores!$A:$E,4,0),"")</f>
        <v>Manutenção</v>
      </c>
      <c r="D22" s="14" t="str">
        <f>IFERROR(VLOOKUP($E22,Fornecedores!$A:$E,5,0),"")</f>
        <v>Caminhão</v>
      </c>
      <c r="E22" s="8" t="s">
        <v>190</v>
      </c>
      <c r="F22" s="14" t="s">
        <v>380</v>
      </c>
      <c r="G22" s="8" t="s">
        <v>381</v>
      </c>
      <c r="H22" s="9">
        <v>87</v>
      </c>
      <c r="I22" s="21">
        <v>1808.48</v>
      </c>
      <c r="J22" s="11">
        <v>46035</v>
      </c>
      <c r="K22" s="11">
        <v>46054</v>
      </c>
      <c r="L22" s="8" t="s">
        <v>382</v>
      </c>
      <c r="M22" s="14" t="s">
        <v>234</v>
      </c>
      <c r="N22" s="16">
        <v>1556</v>
      </c>
      <c r="O22" s="14" t="s">
        <v>241</v>
      </c>
      <c r="P22" s="14"/>
      <c r="Q22" s="20">
        <f t="shared" si="0"/>
        <v>0</v>
      </c>
      <c r="S22" s="20">
        <f>SUMIFS('Doc''s Pagos | Rodopar 108'!$J:$J,'Doc''s Pagos | Rodopar 108'!$A:$A,$B22&amp;$E22&amp;$F22&amp;$J22,'Doc''s Pagos | Rodopar 108'!$B:$B,S$1)+SUMIFS('Doc Há Pagar | Rodopar 1015'!$J:$J,'Doc Há Pagar | Rodopar 1015'!$A:$A,$B22&amp;$E22&amp;$F22,'Doc Há Pagar | Rodopar 1015'!$B:$B,S$1)</f>
        <v>0</v>
      </c>
      <c r="T22" s="20">
        <f>SUMIFS('Doc''s Pagos | Rodopar 108'!$J:$J,'Doc''s Pagos | Rodopar 108'!$A:$A,$B22&amp;$E22&amp;$F22&amp;$J22,'Doc''s Pagos | Rodopar 108'!$B:$B,T$1)+SUMIFS('Doc Há Pagar | Rodopar 1015'!$J:$J,'Doc Há Pagar | Rodopar 1015'!$A:$A,$B22&amp;$E22&amp;$F22,'Doc Há Pagar | Rodopar 1015'!$B:$B,T$1)</f>
        <v>1808.48</v>
      </c>
      <c r="U22" s="20">
        <f>SUMIFS('Doc''s Pagos | Rodopar 108'!$J:$J,'Doc''s Pagos | Rodopar 108'!$A:$A,$B22&amp;$E22&amp;$F22&amp;$J22,'Doc''s Pagos | Rodopar 108'!$B:$B,U$1)+SUMIFS('Doc Há Pagar | Rodopar 1015'!$J:$J,'Doc Há Pagar | Rodopar 1015'!$A:$A,$B22&amp;$E22&amp;$F22,'Doc Há Pagar | Rodopar 1015'!$B:$B,U$1)</f>
        <v>0</v>
      </c>
      <c r="V22" s="20">
        <f>SUMIFS('Doc''s Pagos | Rodopar 108'!$J:$J,'Doc''s Pagos | Rodopar 108'!$A:$A,$B22&amp;$E22&amp;$F22&amp;$J22,'Doc''s Pagos | Rodopar 108'!$B:$B,V$1)+SUMIFS('Doc Há Pagar | Rodopar 1015'!$J:$J,'Doc Há Pagar | Rodopar 1015'!$A:$A,$B22&amp;$E22&amp;$F22,'Doc Há Pagar | Rodopar 1015'!$B:$B,V$1)</f>
        <v>0</v>
      </c>
      <c r="W22" s="20">
        <f>SUMIFS('Doc''s Pagos | Rodopar 108'!$J:$J,'Doc''s Pagos | Rodopar 108'!$A:$A,$B22&amp;$E22&amp;$F22&amp;$J22,'Doc''s Pagos | Rodopar 108'!$B:$B,W$1)+SUMIFS('Doc Há Pagar | Rodopar 1015'!$J:$J,'Doc Há Pagar | Rodopar 1015'!$A:$A,$B22&amp;$E22&amp;$F22,'Doc Há Pagar | Rodopar 1015'!$B:$B,W$1)</f>
        <v>0</v>
      </c>
      <c r="X22" s="20">
        <f>SUMIFS('Doc''s Pagos | Rodopar 108'!$J:$J,'Doc''s Pagos | Rodopar 108'!$A:$A,$B22&amp;$E22&amp;$F22&amp;$J22,'Doc''s Pagos | Rodopar 108'!$B:$B,X$1)+SUMIFS('Doc Há Pagar | Rodopar 1015'!$J:$J,'Doc Há Pagar | Rodopar 1015'!$A:$A,$B22&amp;$E22&amp;$F22,'Doc Há Pagar | Rodopar 1015'!$B:$B,X$1)</f>
        <v>0</v>
      </c>
      <c r="Y22" s="20">
        <f>SUMIFS('Doc''s Pagos | Rodopar 108'!$J:$J,'Doc''s Pagos | Rodopar 108'!$A:$A,$B22&amp;$E22&amp;$F22&amp;$J22,'Doc''s Pagos | Rodopar 108'!$B:$B,Y$1)+SUMIFS('Doc Há Pagar | Rodopar 1015'!$J:$J,'Doc Há Pagar | Rodopar 1015'!$A:$A,$B22&amp;$E22&amp;$F22,'Doc Há Pagar | Rodopar 1015'!$B:$B,Y$1)</f>
        <v>0</v>
      </c>
      <c r="Z22" s="20">
        <f>SUMIFS('Doc''s Pagos | Rodopar 108'!$J:$J,'Doc''s Pagos | Rodopar 108'!$A:$A,$B22&amp;$E22&amp;$F22&amp;$J22,'Doc''s Pagos | Rodopar 108'!$B:$B,Z$1)+SUMIFS('Doc Há Pagar | Rodopar 1015'!$J:$J,'Doc Há Pagar | Rodopar 1015'!$A:$A,$B22&amp;$E22&amp;$F22,'Doc Há Pagar | Rodopar 1015'!$B:$B,Z$1)</f>
        <v>0</v>
      </c>
      <c r="AA22" s="20">
        <f>SUMIFS('Doc''s Pagos | Rodopar 108'!$J:$J,'Doc''s Pagos | Rodopar 108'!$A:$A,$B22&amp;$E22&amp;$F22&amp;$J22,'Doc''s Pagos | Rodopar 108'!$B:$B,AA$1)+SUMIFS('Doc Há Pagar | Rodopar 1015'!$J:$J,'Doc Há Pagar | Rodopar 1015'!$A:$A,$B22&amp;$E22&amp;$F22,'Doc Há Pagar | Rodopar 1015'!$B:$B,AA$1)</f>
        <v>0</v>
      </c>
      <c r="AB22" s="20">
        <f>SUMIFS('Doc''s Pagos | Rodopar 108'!$J:$J,'Doc''s Pagos | Rodopar 108'!$A:$A,$B22&amp;$E22&amp;$F22&amp;$J22,'Doc''s Pagos | Rodopar 108'!$B:$B,AB$1)+SUMIFS('Doc Há Pagar | Rodopar 1015'!$J:$J,'Doc Há Pagar | Rodopar 1015'!$A:$A,$B22&amp;$E22&amp;$F22,'Doc Há Pagar | Rodopar 1015'!$B:$B,AB$1)</f>
        <v>0</v>
      </c>
      <c r="AC22" s="20">
        <f>SUMIFS('Doc''s Pagos | Rodopar 108'!$J:$J,'Doc''s Pagos | Rodopar 108'!$A:$A,$B22&amp;$E22&amp;$F22&amp;$J22,'Doc''s Pagos | Rodopar 108'!$B:$B,AC$1)+SUMIFS('Doc Há Pagar | Rodopar 1015'!$J:$J,'Doc Há Pagar | Rodopar 1015'!$A:$A,$B22&amp;$E22&amp;$F22,'Doc Há Pagar | Rodopar 1015'!$B:$B,AC$1)</f>
        <v>0</v>
      </c>
      <c r="AD22" s="20">
        <f>SUMIFS('Doc''s Pagos | Rodopar 108'!$J:$J,'Doc''s Pagos | Rodopar 108'!$A:$A,$B22&amp;$E22&amp;$F22&amp;$J22,'Doc''s Pagos | Rodopar 108'!$B:$B,AD$1)+SUMIFS('Doc Há Pagar | Rodopar 1015'!$J:$J,'Doc Há Pagar | Rodopar 1015'!$A:$A,$B22&amp;$E22&amp;$F22,'Doc Há Pagar | Rodopar 1015'!$B:$B,AD$1)</f>
        <v>0</v>
      </c>
    </row>
    <row r="23" spans="1:30" x14ac:dyDescent="0.25">
      <c r="A23" s="1" t="str">
        <f>VLOOKUP($E23,Fornecedores!$A:$C,3,0)</f>
        <v>Frota</v>
      </c>
      <c r="B23" s="14">
        <v>12</v>
      </c>
      <c r="C23" s="14" t="str">
        <f>IFERROR(VLOOKUP($E23,Fornecedores!$A:$E,4,0),"")</f>
        <v>Manutenção</v>
      </c>
      <c r="D23" s="14" t="str">
        <f>IFERROR(VLOOKUP($E23,Fornecedores!$A:$E,5,0),"")</f>
        <v>Peças E Serviços</v>
      </c>
      <c r="E23" s="8" t="s">
        <v>204</v>
      </c>
      <c r="F23" s="14" t="s">
        <v>665</v>
      </c>
      <c r="G23" s="8" t="s">
        <v>396</v>
      </c>
      <c r="H23" s="9">
        <v>87</v>
      </c>
      <c r="I23" s="21">
        <v>978</v>
      </c>
      <c r="J23" s="11">
        <v>46035</v>
      </c>
      <c r="K23" s="11">
        <v>46036</v>
      </c>
      <c r="L23" s="8" t="s">
        <v>282</v>
      </c>
      <c r="M23" s="14" t="s">
        <v>234</v>
      </c>
      <c r="N23" s="16">
        <v>1556</v>
      </c>
      <c r="O23" s="14" t="s">
        <v>241</v>
      </c>
      <c r="P23" s="14"/>
      <c r="Q23" s="20">
        <f t="shared" si="0"/>
        <v>0</v>
      </c>
      <c r="S23" s="20">
        <f>SUMIFS('Doc''s Pagos | Rodopar 108'!$J:$J,'Doc''s Pagos | Rodopar 108'!$A:$A,$B23&amp;$E23&amp;$F23&amp;$J23,'Doc''s Pagos | Rodopar 108'!$B:$B,S$1)+SUMIFS('Doc Há Pagar | Rodopar 1015'!$J:$J,'Doc Há Pagar | Rodopar 1015'!$A:$A,$B23&amp;$E23&amp;$F23,'Doc Há Pagar | Rodopar 1015'!$B:$B,S$1)</f>
        <v>0</v>
      </c>
      <c r="T23" s="20">
        <f>SUMIFS('Doc''s Pagos | Rodopar 108'!$J:$J,'Doc''s Pagos | Rodopar 108'!$A:$A,$B23&amp;$E23&amp;$F23&amp;$J23,'Doc''s Pagos | Rodopar 108'!$B:$B,T$1)+SUMIFS('Doc Há Pagar | Rodopar 1015'!$J:$J,'Doc Há Pagar | Rodopar 1015'!$A:$A,$B23&amp;$E23&amp;$F23,'Doc Há Pagar | Rodopar 1015'!$B:$B,T$1)</f>
        <v>978</v>
      </c>
      <c r="U23" s="20">
        <f>SUMIFS('Doc''s Pagos | Rodopar 108'!$J:$J,'Doc''s Pagos | Rodopar 108'!$A:$A,$B23&amp;$E23&amp;$F23&amp;$J23,'Doc''s Pagos | Rodopar 108'!$B:$B,U$1)+SUMIFS('Doc Há Pagar | Rodopar 1015'!$J:$J,'Doc Há Pagar | Rodopar 1015'!$A:$A,$B23&amp;$E23&amp;$F23,'Doc Há Pagar | Rodopar 1015'!$B:$B,U$1)</f>
        <v>0</v>
      </c>
      <c r="V23" s="20">
        <f>SUMIFS('Doc''s Pagos | Rodopar 108'!$J:$J,'Doc''s Pagos | Rodopar 108'!$A:$A,$B23&amp;$E23&amp;$F23&amp;$J23,'Doc''s Pagos | Rodopar 108'!$B:$B,V$1)+SUMIFS('Doc Há Pagar | Rodopar 1015'!$J:$J,'Doc Há Pagar | Rodopar 1015'!$A:$A,$B23&amp;$E23&amp;$F23,'Doc Há Pagar | Rodopar 1015'!$B:$B,V$1)</f>
        <v>0</v>
      </c>
      <c r="W23" s="20">
        <f>SUMIFS('Doc''s Pagos | Rodopar 108'!$J:$J,'Doc''s Pagos | Rodopar 108'!$A:$A,$B23&amp;$E23&amp;$F23&amp;$J23,'Doc''s Pagos | Rodopar 108'!$B:$B,W$1)+SUMIFS('Doc Há Pagar | Rodopar 1015'!$J:$J,'Doc Há Pagar | Rodopar 1015'!$A:$A,$B23&amp;$E23&amp;$F23,'Doc Há Pagar | Rodopar 1015'!$B:$B,W$1)</f>
        <v>0</v>
      </c>
      <c r="X23" s="20">
        <f>SUMIFS('Doc''s Pagos | Rodopar 108'!$J:$J,'Doc''s Pagos | Rodopar 108'!$A:$A,$B23&amp;$E23&amp;$F23&amp;$J23,'Doc''s Pagos | Rodopar 108'!$B:$B,X$1)+SUMIFS('Doc Há Pagar | Rodopar 1015'!$J:$J,'Doc Há Pagar | Rodopar 1015'!$A:$A,$B23&amp;$E23&amp;$F23,'Doc Há Pagar | Rodopar 1015'!$B:$B,X$1)</f>
        <v>0</v>
      </c>
      <c r="Y23" s="20">
        <f>SUMIFS('Doc''s Pagos | Rodopar 108'!$J:$J,'Doc''s Pagos | Rodopar 108'!$A:$A,$B23&amp;$E23&amp;$F23&amp;$J23,'Doc''s Pagos | Rodopar 108'!$B:$B,Y$1)+SUMIFS('Doc Há Pagar | Rodopar 1015'!$J:$J,'Doc Há Pagar | Rodopar 1015'!$A:$A,$B23&amp;$E23&amp;$F23,'Doc Há Pagar | Rodopar 1015'!$B:$B,Y$1)</f>
        <v>0</v>
      </c>
      <c r="Z23" s="20">
        <f>SUMIFS('Doc''s Pagos | Rodopar 108'!$J:$J,'Doc''s Pagos | Rodopar 108'!$A:$A,$B23&amp;$E23&amp;$F23&amp;$J23,'Doc''s Pagos | Rodopar 108'!$B:$B,Z$1)+SUMIFS('Doc Há Pagar | Rodopar 1015'!$J:$J,'Doc Há Pagar | Rodopar 1015'!$A:$A,$B23&amp;$E23&amp;$F23,'Doc Há Pagar | Rodopar 1015'!$B:$B,Z$1)</f>
        <v>0</v>
      </c>
      <c r="AA23" s="20">
        <f>SUMIFS('Doc''s Pagos | Rodopar 108'!$J:$J,'Doc''s Pagos | Rodopar 108'!$A:$A,$B23&amp;$E23&amp;$F23&amp;$J23,'Doc''s Pagos | Rodopar 108'!$B:$B,AA$1)+SUMIFS('Doc Há Pagar | Rodopar 1015'!$J:$J,'Doc Há Pagar | Rodopar 1015'!$A:$A,$B23&amp;$E23&amp;$F23,'Doc Há Pagar | Rodopar 1015'!$B:$B,AA$1)</f>
        <v>0</v>
      </c>
      <c r="AB23" s="20">
        <f>SUMIFS('Doc''s Pagos | Rodopar 108'!$J:$J,'Doc''s Pagos | Rodopar 108'!$A:$A,$B23&amp;$E23&amp;$F23&amp;$J23,'Doc''s Pagos | Rodopar 108'!$B:$B,AB$1)+SUMIFS('Doc Há Pagar | Rodopar 1015'!$J:$J,'Doc Há Pagar | Rodopar 1015'!$A:$A,$B23&amp;$E23&amp;$F23,'Doc Há Pagar | Rodopar 1015'!$B:$B,AB$1)</f>
        <v>0</v>
      </c>
      <c r="AC23" s="20">
        <f>SUMIFS('Doc''s Pagos | Rodopar 108'!$J:$J,'Doc''s Pagos | Rodopar 108'!$A:$A,$B23&amp;$E23&amp;$F23&amp;$J23,'Doc''s Pagos | Rodopar 108'!$B:$B,AC$1)+SUMIFS('Doc Há Pagar | Rodopar 1015'!$J:$J,'Doc Há Pagar | Rodopar 1015'!$A:$A,$B23&amp;$E23&amp;$F23,'Doc Há Pagar | Rodopar 1015'!$B:$B,AC$1)</f>
        <v>0</v>
      </c>
      <c r="AD23" s="20">
        <f>SUMIFS('Doc''s Pagos | Rodopar 108'!$J:$J,'Doc''s Pagos | Rodopar 108'!$A:$A,$B23&amp;$E23&amp;$F23&amp;$J23,'Doc''s Pagos | Rodopar 108'!$B:$B,AD$1)+SUMIFS('Doc Há Pagar | Rodopar 1015'!$J:$J,'Doc Há Pagar | Rodopar 1015'!$A:$A,$B23&amp;$E23&amp;$F23,'Doc Há Pagar | Rodopar 1015'!$B:$B,AD$1)</f>
        <v>0</v>
      </c>
    </row>
    <row r="24" spans="1:30" x14ac:dyDescent="0.25">
      <c r="A24" s="1" t="str">
        <f>VLOOKUP($E24,Fornecedores!$A:$C,3,0)</f>
        <v>Frota</v>
      </c>
      <c r="B24" s="14">
        <v>994241</v>
      </c>
      <c r="C24" s="14" t="str">
        <f>IFERROR(VLOOKUP($E24,Fornecedores!$A:$E,4,0),"")</f>
        <v>Manutenção</v>
      </c>
      <c r="D24" s="14" t="str">
        <f>IFERROR(VLOOKUP($E24,Fornecedores!$A:$E,5,0),"")</f>
        <v>Caminhão</v>
      </c>
      <c r="E24" s="8" t="s">
        <v>190</v>
      </c>
      <c r="F24" s="14" t="s">
        <v>380</v>
      </c>
      <c r="G24" s="8" t="s">
        <v>381</v>
      </c>
      <c r="H24" s="9">
        <v>87</v>
      </c>
      <c r="I24" s="21">
        <v>1808.48</v>
      </c>
      <c r="J24" s="11">
        <v>46036</v>
      </c>
      <c r="K24" s="11">
        <v>46054</v>
      </c>
      <c r="L24" s="8" t="s">
        <v>382</v>
      </c>
      <c r="M24" s="14" t="s">
        <v>234</v>
      </c>
      <c r="N24" s="16">
        <v>1556</v>
      </c>
      <c r="O24" s="14" t="s">
        <v>241</v>
      </c>
      <c r="P24" s="14"/>
      <c r="Q24" s="20">
        <f t="shared" si="0"/>
        <v>0</v>
      </c>
      <c r="S24" s="20">
        <f>SUMIFS('Doc''s Pagos | Rodopar 108'!$J:$J,'Doc''s Pagos | Rodopar 108'!$A:$A,$B24&amp;$E24&amp;$F24&amp;$J24,'Doc''s Pagos | Rodopar 108'!$B:$B,S$1)+SUMIFS('Doc Há Pagar | Rodopar 1015'!$J:$J,'Doc Há Pagar | Rodopar 1015'!$A:$A,$B24&amp;$E24&amp;$F24,'Doc Há Pagar | Rodopar 1015'!$B:$B,S$1)</f>
        <v>0</v>
      </c>
      <c r="T24" s="20">
        <f>SUMIFS('Doc''s Pagos | Rodopar 108'!$J:$J,'Doc''s Pagos | Rodopar 108'!$A:$A,$B24&amp;$E24&amp;$F24&amp;$J24,'Doc''s Pagos | Rodopar 108'!$B:$B,T$1)+SUMIFS('Doc Há Pagar | Rodopar 1015'!$J:$J,'Doc Há Pagar | Rodopar 1015'!$A:$A,$B24&amp;$E24&amp;$F24,'Doc Há Pagar | Rodopar 1015'!$B:$B,T$1)</f>
        <v>1808.48</v>
      </c>
      <c r="U24" s="20">
        <f>SUMIFS('Doc''s Pagos | Rodopar 108'!$J:$J,'Doc''s Pagos | Rodopar 108'!$A:$A,$B24&amp;$E24&amp;$F24&amp;$J24,'Doc''s Pagos | Rodopar 108'!$B:$B,U$1)+SUMIFS('Doc Há Pagar | Rodopar 1015'!$J:$J,'Doc Há Pagar | Rodopar 1015'!$A:$A,$B24&amp;$E24&amp;$F24,'Doc Há Pagar | Rodopar 1015'!$B:$B,U$1)</f>
        <v>0</v>
      </c>
      <c r="V24" s="20">
        <f>SUMIFS('Doc''s Pagos | Rodopar 108'!$J:$J,'Doc''s Pagos | Rodopar 108'!$A:$A,$B24&amp;$E24&amp;$F24&amp;$J24,'Doc''s Pagos | Rodopar 108'!$B:$B,V$1)+SUMIFS('Doc Há Pagar | Rodopar 1015'!$J:$J,'Doc Há Pagar | Rodopar 1015'!$A:$A,$B24&amp;$E24&amp;$F24,'Doc Há Pagar | Rodopar 1015'!$B:$B,V$1)</f>
        <v>0</v>
      </c>
      <c r="W24" s="20">
        <f>SUMIFS('Doc''s Pagos | Rodopar 108'!$J:$J,'Doc''s Pagos | Rodopar 108'!$A:$A,$B24&amp;$E24&amp;$F24&amp;$J24,'Doc''s Pagos | Rodopar 108'!$B:$B,W$1)+SUMIFS('Doc Há Pagar | Rodopar 1015'!$J:$J,'Doc Há Pagar | Rodopar 1015'!$A:$A,$B24&amp;$E24&amp;$F24,'Doc Há Pagar | Rodopar 1015'!$B:$B,W$1)</f>
        <v>0</v>
      </c>
      <c r="X24" s="20">
        <f>SUMIFS('Doc''s Pagos | Rodopar 108'!$J:$J,'Doc''s Pagos | Rodopar 108'!$A:$A,$B24&amp;$E24&amp;$F24&amp;$J24,'Doc''s Pagos | Rodopar 108'!$B:$B,X$1)+SUMIFS('Doc Há Pagar | Rodopar 1015'!$J:$J,'Doc Há Pagar | Rodopar 1015'!$A:$A,$B24&amp;$E24&amp;$F24,'Doc Há Pagar | Rodopar 1015'!$B:$B,X$1)</f>
        <v>0</v>
      </c>
      <c r="Y24" s="20">
        <f>SUMIFS('Doc''s Pagos | Rodopar 108'!$J:$J,'Doc''s Pagos | Rodopar 108'!$A:$A,$B24&amp;$E24&amp;$F24&amp;$J24,'Doc''s Pagos | Rodopar 108'!$B:$B,Y$1)+SUMIFS('Doc Há Pagar | Rodopar 1015'!$J:$J,'Doc Há Pagar | Rodopar 1015'!$A:$A,$B24&amp;$E24&amp;$F24,'Doc Há Pagar | Rodopar 1015'!$B:$B,Y$1)</f>
        <v>0</v>
      </c>
      <c r="Z24" s="20">
        <f>SUMIFS('Doc''s Pagos | Rodopar 108'!$J:$J,'Doc''s Pagos | Rodopar 108'!$A:$A,$B24&amp;$E24&amp;$F24&amp;$J24,'Doc''s Pagos | Rodopar 108'!$B:$B,Z$1)+SUMIFS('Doc Há Pagar | Rodopar 1015'!$J:$J,'Doc Há Pagar | Rodopar 1015'!$A:$A,$B24&amp;$E24&amp;$F24,'Doc Há Pagar | Rodopar 1015'!$B:$B,Z$1)</f>
        <v>0</v>
      </c>
      <c r="AA24" s="20">
        <f>SUMIFS('Doc''s Pagos | Rodopar 108'!$J:$J,'Doc''s Pagos | Rodopar 108'!$A:$A,$B24&amp;$E24&amp;$F24&amp;$J24,'Doc''s Pagos | Rodopar 108'!$B:$B,AA$1)+SUMIFS('Doc Há Pagar | Rodopar 1015'!$J:$J,'Doc Há Pagar | Rodopar 1015'!$A:$A,$B24&amp;$E24&amp;$F24,'Doc Há Pagar | Rodopar 1015'!$B:$B,AA$1)</f>
        <v>0</v>
      </c>
      <c r="AB24" s="20">
        <f>SUMIFS('Doc''s Pagos | Rodopar 108'!$J:$J,'Doc''s Pagos | Rodopar 108'!$A:$A,$B24&amp;$E24&amp;$F24&amp;$J24,'Doc''s Pagos | Rodopar 108'!$B:$B,AB$1)+SUMIFS('Doc Há Pagar | Rodopar 1015'!$J:$J,'Doc Há Pagar | Rodopar 1015'!$A:$A,$B24&amp;$E24&amp;$F24,'Doc Há Pagar | Rodopar 1015'!$B:$B,AB$1)</f>
        <v>0</v>
      </c>
      <c r="AC24" s="20">
        <f>SUMIFS('Doc''s Pagos | Rodopar 108'!$J:$J,'Doc''s Pagos | Rodopar 108'!$A:$A,$B24&amp;$E24&amp;$F24&amp;$J24,'Doc''s Pagos | Rodopar 108'!$B:$B,AC$1)+SUMIFS('Doc Há Pagar | Rodopar 1015'!$J:$J,'Doc Há Pagar | Rodopar 1015'!$A:$A,$B24&amp;$E24&amp;$F24,'Doc Há Pagar | Rodopar 1015'!$B:$B,AC$1)</f>
        <v>0</v>
      </c>
      <c r="AD24" s="20">
        <f>SUMIFS('Doc''s Pagos | Rodopar 108'!$J:$J,'Doc''s Pagos | Rodopar 108'!$A:$A,$B24&amp;$E24&amp;$F24&amp;$J24,'Doc''s Pagos | Rodopar 108'!$B:$B,AD$1)+SUMIFS('Doc Há Pagar | Rodopar 1015'!$J:$J,'Doc Há Pagar | Rodopar 1015'!$A:$A,$B24&amp;$E24&amp;$F24,'Doc Há Pagar | Rodopar 1015'!$B:$B,AD$1)</f>
        <v>0</v>
      </c>
    </row>
    <row r="25" spans="1:30" x14ac:dyDescent="0.25">
      <c r="A25" s="1" t="str">
        <f>VLOOKUP($E25,Fornecedores!$A:$C,3,0)</f>
        <v>Frota</v>
      </c>
      <c r="B25" s="14">
        <v>14</v>
      </c>
      <c r="C25" s="14" t="str">
        <f>IFERROR(VLOOKUP($E25,Fornecedores!$A:$E,4,0),"")</f>
        <v>Manutenção</v>
      </c>
      <c r="D25" s="14" t="str">
        <f>IFERROR(VLOOKUP($E25,Fornecedores!$A:$E,5,0),"")</f>
        <v>Peças E Serviços</v>
      </c>
      <c r="E25" s="8" t="s">
        <v>204</v>
      </c>
      <c r="F25" s="14" t="s">
        <v>665</v>
      </c>
      <c r="G25" s="8" t="s">
        <v>396</v>
      </c>
      <c r="H25" s="9">
        <v>87</v>
      </c>
      <c r="I25" s="21">
        <v>150</v>
      </c>
      <c r="J25" s="11">
        <v>46036</v>
      </c>
      <c r="K25" s="11">
        <v>46037</v>
      </c>
      <c r="L25" s="8" t="s">
        <v>282</v>
      </c>
      <c r="M25" s="14" t="s">
        <v>234</v>
      </c>
      <c r="N25" s="16">
        <v>1556</v>
      </c>
      <c r="O25" s="14" t="s">
        <v>241</v>
      </c>
      <c r="P25" s="14"/>
      <c r="Q25" s="20">
        <f t="shared" si="0"/>
        <v>0</v>
      </c>
      <c r="S25" s="20">
        <f>SUMIFS('Doc''s Pagos | Rodopar 108'!$J:$J,'Doc''s Pagos | Rodopar 108'!$A:$A,$B25&amp;$E25&amp;$F25&amp;$J25,'Doc''s Pagos | Rodopar 108'!$B:$B,S$1)+SUMIFS('Doc Há Pagar | Rodopar 1015'!$J:$J,'Doc Há Pagar | Rodopar 1015'!$A:$A,$B25&amp;$E25&amp;$F25,'Doc Há Pagar | Rodopar 1015'!$B:$B,S$1)</f>
        <v>0</v>
      </c>
      <c r="T25" s="20">
        <f>SUMIFS('Doc''s Pagos | Rodopar 108'!$J:$J,'Doc''s Pagos | Rodopar 108'!$A:$A,$B25&amp;$E25&amp;$F25&amp;$J25,'Doc''s Pagos | Rodopar 108'!$B:$B,T$1)+SUMIFS('Doc Há Pagar | Rodopar 1015'!$J:$J,'Doc Há Pagar | Rodopar 1015'!$A:$A,$B25&amp;$E25&amp;$F25,'Doc Há Pagar | Rodopar 1015'!$B:$B,T$1)</f>
        <v>150</v>
      </c>
      <c r="U25" s="20">
        <f>SUMIFS('Doc''s Pagos | Rodopar 108'!$J:$J,'Doc''s Pagos | Rodopar 108'!$A:$A,$B25&amp;$E25&amp;$F25&amp;$J25,'Doc''s Pagos | Rodopar 108'!$B:$B,U$1)+SUMIFS('Doc Há Pagar | Rodopar 1015'!$J:$J,'Doc Há Pagar | Rodopar 1015'!$A:$A,$B25&amp;$E25&amp;$F25,'Doc Há Pagar | Rodopar 1015'!$B:$B,U$1)</f>
        <v>0</v>
      </c>
      <c r="V25" s="20">
        <f>SUMIFS('Doc''s Pagos | Rodopar 108'!$J:$J,'Doc''s Pagos | Rodopar 108'!$A:$A,$B25&amp;$E25&amp;$F25&amp;$J25,'Doc''s Pagos | Rodopar 108'!$B:$B,V$1)+SUMIFS('Doc Há Pagar | Rodopar 1015'!$J:$J,'Doc Há Pagar | Rodopar 1015'!$A:$A,$B25&amp;$E25&amp;$F25,'Doc Há Pagar | Rodopar 1015'!$B:$B,V$1)</f>
        <v>0</v>
      </c>
      <c r="W25" s="20">
        <f>SUMIFS('Doc''s Pagos | Rodopar 108'!$J:$J,'Doc''s Pagos | Rodopar 108'!$A:$A,$B25&amp;$E25&amp;$F25&amp;$J25,'Doc''s Pagos | Rodopar 108'!$B:$B,W$1)+SUMIFS('Doc Há Pagar | Rodopar 1015'!$J:$J,'Doc Há Pagar | Rodopar 1015'!$A:$A,$B25&amp;$E25&amp;$F25,'Doc Há Pagar | Rodopar 1015'!$B:$B,W$1)</f>
        <v>0</v>
      </c>
      <c r="X25" s="20">
        <f>SUMIFS('Doc''s Pagos | Rodopar 108'!$J:$J,'Doc''s Pagos | Rodopar 108'!$A:$A,$B25&amp;$E25&amp;$F25&amp;$J25,'Doc''s Pagos | Rodopar 108'!$B:$B,X$1)+SUMIFS('Doc Há Pagar | Rodopar 1015'!$J:$J,'Doc Há Pagar | Rodopar 1015'!$A:$A,$B25&amp;$E25&amp;$F25,'Doc Há Pagar | Rodopar 1015'!$B:$B,X$1)</f>
        <v>0</v>
      </c>
      <c r="Y25" s="20">
        <f>SUMIFS('Doc''s Pagos | Rodopar 108'!$J:$J,'Doc''s Pagos | Rodopar 108'!$A:$A,$B25&amp;$E25&amp;$F25&amp;$J25,'Doc''s Pagos | Rodopar 108'!$B:$B,Y$1)+SUMIFS('Doc Há Pagar | Rodopar 1015'!$J:$J,'Doc Há Pagar | Rodopar 1015'!$A:$A,$B25&amp;$E25&amp;$F25,'Doc Há Pagar | Rodopar 1015'!$B:$B,Y$1)</f>
        <v>0</v>
      </c>
      <c r="Z25" s="20">
        <f>SUMIFS('Doc''s Pagos | Rodopar 108'!$J:$J,'Doc''s Pagos | Rodopar 108'!$A:$A,$B25&amp;$E25&amp;$F25&amp;$J25,'Doc''s Pagos | Rodopar 108'!$B:$B,Z$1)+SUMIFS('Doc Há Pagar | Rodopar 1015'!$J:$J,'Doc Há Pagar | Rodopar 1015'!$A:$A,$B25&amp;$E25&amp;$F25,'Doc Há Pagar | Rodopar 1015'!$B:$B,Z$1)</f>
        <v>0</v>
      </c>
      <c r="AA25" s="20">
        <f>SUMIFS('Doc''s Pagos | Rodopar 108'!$J:$J,'Doc''s Pagos | Rodopar 108'!$A:$A,$B25&amp;$E25&amp;$F25&amp;$J25,'Doc''s Pagos | Rodopar 108'!$B:$B,AA$1)+SUMIFS('Doc Há Pagar | Rodopar 1015'!$J:$J,'Doc Há Pagar | Rodopar 1015'!$A:$A,$B25&amp;$E25&amp;$F25,'Doc Há Pagar | Rodopar 1015'!$B:$B,AA$1)</f>
        <v>0</v>
      </c>
      <c r="AB25" s="20">
        <f>SUMIFS('Doc''s Pagos | Rodopar 108'!$J:$J,'Doc''s Pagos | Rodopar 108'!$A:$A,$B25&amp;$E25&amp;$F25&amp;$J25,'Doc''s Pagos | Rodopar 108'!$B:$B,AB$1)+SUMIFS('Doc Há Pagar | Rodopar 1015'!$J:$J,'Doc Há Pagar | Rodopar 1015'!$A:$A,$B25&amp;$E25&amp;$F25,'Doc Há Pagar | Rodopar 1015'!$B:$B,AB$1)</f>
        <v>0</v>
      </c>
      <c r="AC25" s="20">
        <f>SUMIFS('Doc''s Pagos | Rodopar 108'!$J:$J,'Doc''s Pagos | Rodopar 108'!$A:$A,$B25&amp;$E25&amp;$F25&amp;$J25,'Doc''s Pagos | Rodopar 108'!$B:$B,AC$1)+SUMIFS('Doc Há Pagar | Rodopar 1015'!$J:$J,'Doc Há Pagar | Rodopar 1015'!$A:$A,$B25&amp;$E25&amp;$F25,'Doc Há Pagar | Rodopar 1015'!$B:$B,AC$1)</f>
        <v>0</v>
      </c>
      <c r="AD25" s="20">
        <f>SUMIFS('Doc''s Pagos | Rodopar 108'!$J:$J,'Doc''s Pagos | Rodopar 108'!$A:$A,$B25&amp;$E25&amp;$F25&amp;$J25,'Doc''s Pagos | Rodopar 108'!$B:$B,AD$1)+SUMIFS('Doc Há Pagar | Rodopar 1015'!$J:$J,'Doc Há Pagar | Rodopar 1015'!$A:$A,$B25&amp;$E25&amp;$F25,'Doc Há Pagar | Rodopar 1015'!$B:$B,AD$1)</f>
        <v>0</v>
      </c>
    </row>
    <row r="26" spans="1:30" x14ac:dyDescent="0.25">
      <c r="A26" s="1" t="str">
        <f>VLOOKUP($E26,Fornecedores!$A:$C,3,0)</f>
        <v>Frota</v>
      </c>
      <c r="B26" s="14" t="s">
        <v>288</v>
      </c>
      <c r="C26" s="14" t="str">
        <f>IFERROR(VLOOKUP($E26,Fornecedores!$A:$E,4,0),"")</f>
        <v>OPE Merchandising</v>
      </c>
      <c r="D26" s="14" t="str">
        <f>IFERROR(VLOOKUP($E26,Fornecedores!$A:$E,5,0),"")</f>
        <v>Locação</v>
      </c>
      <c r="E26" s="8" t="s">
        <v>112</v>
      </c>
      <c r="F26" s="14" t="s">
        <v>232</v>
      </c>
      <c r="G26" s="8" t="s">
        <v>289</v>
      </c>
      <c r="H26" s="9">
        <v>87</v>
      </c>
      <c r="I26" s="21">
        <v>38471.300000000003</v>
      </c>
      <c r="J26" s="11">
        <v>46037</v>
      </c>
      <c r="K26" s="11">
        <v>46041</v>
      </c>
      <c r="L26" s="8" t="s">
        <v>233</v>
      </c>
      <c r="M26" s="14" t="s">
        <v>234</v>
      </c>
      <c r="N26" s="16">
        <v>1556</v>
      </c>
      <c r="O26" s="14" t="s">
        <v>241</v>
      </c>
      <c r="P26" s="14"/>
      <c r="Q26" s="20">
        <f t="shared" si="0"/>
        <v>0</v>
      </c>
      <c r="S26" s="20">
        <f>SUMIFS('Doc''s Pagos | Rodopar 108'!$J:$J,'Doc''s Pagos | Rodopar 108'!$A:$A,$B26&amp;$E26&amp;$F26&amp;$J26,'Doc''s Pagos | Rodopar 108'!$B:$B,S$1)+SUMIFS('Doc Há Pagar | Rodopar 1015'!$J:$J,'Doc Há Pagar | Rodopar 1015'!$A:$A,$B26&amp;$E26&amp;$F26,'Doc Há Pagar | Rodopar 1015'!$B:$B,S$1)</f>
        <v>38471.300000000003</v>
      </c>
      <c r="T26" s="20">
        <f>SUMIFS('Doc''s Pagos | Rodopar 108'!$J:$J,'Doc''s Pagos | Rodopar 108'!$A:$A,$B26&amp;$E26&amp;$F26&amp;$J26,'Doc''s Pagos | Rodopar 108'!$B:$B,T$1)+SUMIFS('Doc Há Pagar | Rodopar 1015'!$J:$J,'Doc Há Pagar | Rodopar 1015'!$A:$A,$B26&amp;$E26&amp;$F26,'Doc Há Pagar | Rodopar 1015'!$B:$B,T$1)</f>
        <v>0</v>
      </c>
      <c r="U26" s="20">
        <f>SUMIFS('Doc''s Pagos | Rodopar 108'!$J:$J,'Doc''s Pagos | Rodopar 108'!$A:$A,$B26&amp;$E26&amp;$F26&amp;$J26,'Doc''s Pagos | Rodopar 108'!$B:$B,U$1)+SUMIFS('Doc Há Pagar | Rodopar 1015'!$J:$J,'Doc Há Pagar | Rodopar 1015'!$A:$A,$B26&amp;$E26&amp;$F26,'Doc Há Pagar | Rodopar 1015'!$B:$B,U$1)</f>
        <v>0</v>
      </c>
      <c r="V26" s="20">
        <f>SUMIFS('Doc''s Pagos | Rodopar 108'!$J:$J,'Doc''s Pagos | Rodopar 108'!$A:$A,$B26&amp;$E26&amp;$F26&amp;$J26,'Doc''s Pagos | Rodopar 108'!$B:$B,V$1)+SUMIFS('Doc Há Pagar | Rodopar 1015'!$J:$J,'Doc Há Pagar | Rodopar 1015'!$A:$A,$B26&amp;$E26&amp;$F26,'Doc Há Pagar | Rodopar 1015'!$B:$B,V$1)</f>
        <v>0</v>
      </c>
      <c r="W26" s="20">
        <f>SUMIFS('Doc''s Pagos | Rodopar 108'!$J:$J,'Doc''s Pagos | Rodopar 108'!$A:$A,$B26&amp;$E26&amp;$F26&amp;$J26,'Doc''s Pagos | Rodopar 108'!$B:$B,W$1)+SUMIFS('Doc Há Pagar | Rodopar 1015'!$J:$J,'Doc Há Pagar | Rodopar 1015'!$A:$A,$B26&amp;$E26&amp;$F26,'Doc Há Pagar | Rodopar 1015'!$B:$B,W$1)</f>
        <v>0</v>
      </c>
      <c r="X26" s="20">
        <f>SUMIFS('Doc''s Pagos | Rodopar 108'!$J:$J,'Doc''s Pagos | Rodopar 108'!$A:$A,$B26&amp;$E26&amp;$F26&amp;$J26,'Doc''s Pagos | Rodopar 108'!$B:$B,X$1)+SUMIFS('Doc Há Pagar | Rodopar 1015'!$J:$J,'Doc Há Pagar | Rodopar 1015'!$A:$A,$B26&amp;$E26&amp;$F26,'Doc Há Pagar | Rodopar 1015'!$B:$B,X$1)</f>
        <v>0</v>
      </c>
      <c r="Y26" s="20">
        <f>SUMIFS('Doc''s Pagos | Rodopar 108'!$J:$J,'Doc''s Pagos | Rodopar 108'!$A:$A,$B26&amp;$E26&amp;$F26&amp;$J26,'Doc''s Pagos | Rodopar 108'!$B:$B,Y$1)+SUMIFS('Doc Há Pagar | Rodopar 1015'!$J:$J,'Doc Há Pagar | Rodopar 1015'!$A:$A,$B26&amp;$E26&amp;$F26,'Doc Há Pagar | Rodopar 1015'!$B:$B,Y$1)</f>
        <v>0</v>
      </c>
      <c r="Z26" s="20">
        <f>SUMIFS('Doc''s Pagos | Rodopar 108'!$J:$J,'Doc''s Pagos | Rodopar 108'!$A:$A,$B26&amp;$E26&amp;$F26&amp;$J26,'Doc''s Pagos | Rodopar 108'!$B:$B,Z$1)+SUMIFS('Doc Há Pagar | Rodopar 1015'!$J:$J,'Doc Há Pagar | Rodopar 1015'!$A:$A,$B26&amp;$E26&amp;$F26,'Doc Há Pagar | Rodopar 1015'!$B:$B,Z$1)</f>
        <v>0</v>
      </c>
      <c r="AA26" s="20">
        <f>SUMIFS('Doc''s Pagos | Rodopar 108'!$J:$J,'Doc''s Pagos | Rodopar 108'!$A:$A,$B26&amp;$E26&amp;$F26&amp;$J26,'Doc''s Pagos | Rodopar 108'!$B:$B,AA$1)+SUMIFS('Doc Há Pagar | Rodopar 1015'!$J:$J,'Doc Há Pagar | Rodopar 1015'!$A:$A,$B26&amp;$E26&amp;$F26,'Doc Há Pagar | Rodopar 1015'!$B:$B,AA$1)</f>
        <v>0</v>
      </c>
      <c r="AB26" s="20">
        <f>SUMIFS('Doc''s Pagos | Rodopar 108'!$J:$J,'Doc''s Pagos | Rodopar 108'!$A:$A,$B26&amp;$E26&amp;$F26&amp;$J26,'Doc''s Pagos | Rodopar 108'!$B:$B,AB$1)+SUMIFS('Doc Há Pagar | Rodopar 1015'!$J:$J,'Doc Há Pagar | Rodopar 1015'!$A:$A,$B26&amp;$E26&amp;$F26,'Doc Há Pagar | Rodopar 1015'!$B:$B,AB$1)</f>
        <v>0</v>
      </c>
      <c r="AC26" s="20">
        <f>SUMIFS('Doc''s Pagos | Rodopar 108'!$J:$J,'Doc''s Pagos | Rodopar 108'!$A:$A,$B26&amp;$E26&amp;$F26&amp;$J26,'Doc''s Pagos | Rodopar 108'!$B:$B,AC$1)+SUMIFS('Doc Há Pagar | Rodopar 1015'!$J:$J,'Doc Há Pagar | Rodopar 1015'!$A:$A,$B26&amp;$E26&amp;$F26,'Doc Há Pagar | Rodopar 1015'!$B:$B,AC$1)</f>
        <v>0</v>
      </c>
      <c r="AD26" s="20">
        <f>SUMIFS('Doc''s Pagos | Rodopar 108'!$J:$J,'Doc''s Pagos | Rodopar 108'!$A:$A,$B26&amp;$E26&amp;$F26&amp;$J26,'Doc''s Pagos | Rodopar 108'!$B:$B,AD$1)+SUMIFS('Doc Há Pagar | Rodopar 1015'!$J:$J,'Doc Há Pagar | Rodopar 1015'!$A:$A,$B26&amp;$E26&amp;$F26,'Doc Há Pagar | Rodopar 1015'!$B:$B,AD$1)</f>
        <v>0</v>
      </c>
    </row>
    <row r="27" spans="1:30" x14ac:dyDescent="0.25">
      <c r="A27" s="1" t="str">
        <f>VLOOKUP($E27,Fornecedores!$A:$C,3,0)</f>
        <v>Frota</v>
      </c>
      <c r="B27" s="14" t="s">
        <v>308</v>
      </c>
      <c r="C27" s="14" t="str">
        <f>IFERROR(VLOOKUP($E27,Fornecedores!$A:$E,4,0),"")</f>
        <v>OPE Merchandising</v>
      </c>
      <c r="D27" s="14" t="str">
        <f>IFERROR(VLOOKUP($E27,Fornecedores!$A:$E,5,0),"")</f>
        <v>Locação</v>
      </c>
      <c r="E27" s="8" t="s">
        <v>112</v>
      </c>
      <c r="F27" s="14" t="s">
        <v>232</v>
      </c>
      <c r="G27" s="8" t="s">
        <v>289</v>
      </c>
      <c r="H27" s="9">
        <v>87</v>
      </c>
      <c r="I27" s="21">
        <v>978</v>
      </c>
      <c r="J27" s="11">
        <v>46037</v>
      </c>
      <c r="K27" s="11">
        <v>46064</v>
      </c>
      <c r="L27" s="8" t="s">
        <v>233</v>
      </c>
      <c r="M27" s="14" t="s">
        <v>234</v>
      </c>
      <c r="N27" s="16">
        <v>1556</v>
      </c>
      <c r="O27" s="14" t="s">
        <v>241</v>
      </c>
      <c r="P27" s="14"/>
      <c r="Q27" s="20">
        <f t="shared" si="0"/>
        <v>0</v>
      </c>
      <c r="S27" s="20">
        <f>SUMIFS('Doc''s Pagos | Rodopar 108'!$J:$J,'Doc''s Pagos | Rodopar 108'!$A:$A,$B27&amp;$E27&amp;$F27&amp;$J27,'Doc''s Pagos | Rodopar 108'!$B:$B,S$1)+SUMIFS('Doc Há Pagar | Rodopar 1015'!$J:$J,'Doc Há Pagar | Rodopar 1015'!$A:$A,$B27&amp;$E27&amp;$F27,'Doc Há Pagar | Rodopar 1015'!$B:$B,S$1)</f>
        <v>0</v>
      </c>
      <c r="T27" s="20">
        <f>SUMIFS('Doc''s Pagos | Rodopar 108'!$J:$J,'Doc''s Pagos | Rodopar 108'!$A:$A,$B27&amp;$E27&amp;$F27&amp;$J27,'Doc''s Pagos | Rodopar 108'!$B:$B,T$1)+SUMIFS('Doc Há Pagar | Rodopar 1015'!$J:$J,'Doc Há Pagar | Rodopar 1015'!$A:$A,$B27&amp;$E27&amp;$F27,'Doc Há Pagar | Rodopar 1015'!$B:$B,T$1)</f>
        <v>978</v>
      </c>
      <c r="U27" s="20">
        <f>SUMIFS('Doc''s Pagos | Rodopar 108'!$J:$J,'Doc''s Pagos | Rodopar 108'!$A:$A,$B27&amp;$E27&amp;$F27&amp;$J27,'Doc''s Pagos | Rodopar 108'!$B:$B,U$1)+SUMIFS('Doc Há Pagar | Rodopar 1015'!$J:$J,'Doc Há Pagar | Rodopar 1015'!$A:$A,$B27&amp;$E27&amp;$F27,'Doc Há Pagar | Rodopar 1015'!$B:$B,U$1)</f>
        <v>0</v>
      </c>
      <c r="V27" s="20">
        <f>SUMIFS('Doc''s Pagos | Rodopar 108'!$J:$J,'Doc''s Pagos | Rodopar 108'!$A:$A,$B27&amp;$E27&amp;$F27&amp;$J27,'Doc''s Pagos | Rodopar 108'!$B:$B,V$1)+SUMIFS('Doc Há Pagar | Rodopar 1015'!$J:$J,'Doc Há Pagar | Rodopar 1015'!$A:$A,$B27&amp;$E27&amp;$F27,'Doc Há Pagar | Rodopar 1015'!$B:$B,V$1)</f>
        <v>0</v>
      </c>
      <c r="W27" s="20">
        <f>SUMIFS('Doc''s Pagos | Rodopar 108'!$J:$J,'Doc''s Pagos | Rodopar 108'!$A:$A,$B27&amp;$E27&amp;$F27&amp;$J27,'Doc''s Pagos | Rodopar 108'!$B:$B,W$1)+SUMIFS('Doc Há Pagar | Rodopar 1015'!$J:$J,'Doc Há Pagar | Rodopar 1015'!$A:$A,$B27&amp;$E27&amp;$F27,'Doc Há Pagar | Rodopar 1015'!$B:$B,W$1)</f>
        <v>0</v>
      </c>
      <c r="X27" s="20">
        <f>SUMIFS('Doc''s Pagos | Rodopar 108'!$J:$J,'Doc''s Pagos | Rodopar 108'!$A:$A,$B27&amp;$E27&amp;$F27&amp;$J27,'Doc''s Pagos | Rodopar 108'!$B:$B,X$1)+SUMIFS('Doc Há Pagar | Rodopar 1015'!$J:$J,'Doc Há Pagar | Rodopar 1015'!$A:$A,$B27&amp;$E27&amp;$F27,'Doc Há Pagar | Rodopar 1015'!$B:$B,X$1)</f>
        <v>0</v>
      </c>
      <c r="Y27" s="20">
        <f>SUMIFS('Doc''s Pagos | Rodopar 108'!$J:$J,'Doc''s Pagos | Rodopar 108'!$A:$A,$B27&amp;$E27&amp;$F27&amp;$J27,'Doc''s Pagos | Rodopar 108'!$B:$B,Y$1)+SUMIFS('Doc Há Pagar | Rodopar 1015'!$J:$J,'Doc Há Pagar | Rodopar 1015'!$A:$A,$B27&amp;$E27&amp;$F27,'Doc Há Pagar | Rodopar 1015'!$B:$B,Y$1)</f>
        <v>0</v>
      </c>
      <c r="Z27" s="20">
        <f>SUMIFS('Doc''s Pagos | Rodopar 108'!$J:$J,'Doc''s Pagos | Rodopar 108'!$A:$A,$B27&amp;$E27&amp;$F27&amp;$J27,'Doc''s Pagos | Rodopar 108'!$B:$B,Z$1)+SUMIFS('Doc Há Pagar | Rodopar 1015'!$J:$J,'Doc Há Pagar | Rodopar 1015'!$A:$A,$B27&amp;$E27&amp;$F27,'Doc Há Pagar | Rodopar 1015'!$B:$B,Z$1)</f>
        <v>0</v>
      </c>
      <c r="AA27" s="20">
        <f>SUMIFS('Doc''s Pagos | Rodopar 108'!$J:$J,'Doc''s Pagos | Rodopar 108'!$A:$A,$B27&amp;$E27&amp;$F27&amp;$J27,'Doc''s Pagos | Rodopar 108'!$B:$B,AA$1)+SUMIFS('Doc Há Pagar | Rodopar 1015'!$J:$J,'Doc Há Pagar | Rodopar 1015'!$A:$A,$B27&amp;$E27&amp;$F27,'Doc Há Pagar | Rodopar 1015'!$B:$B,AA$1)</f>
        <v>0</v>
      </c>
      <c r="AB27" s="20">
        <f>SUMIFS('Doc''s Pagos | Rodopar 108'!$J:$J,'Doc''s Pagos | Rodopar 108'!$A:$A,$B27&amp;$E27&amp;$F27&amp;$J27,'Doc''s Pagos | Rodopar 108'!$B:$B,AB$1)+SUMIFS('Doc Há Pagar | Rodopar 1015'!$J:$J,'Doc Há Pagar | Rodopar 1015'!$A:$A,$B27&amp;$E27&amp;$F27,'Doc Há Pagar | Rodopar 1015'!$B:$B,AB$1)</f>
        <v>0</v>
      </c>
      <c r="AC27" s="20">
        <f>SUMIFS('Doc''s Pagos | Rodopar 108'!$J:$J,'Doc''s Pagos | Rodopar 108'!$A:$A,$B27&amp;$E27&amp;$F27&amp;$J27,'Doc''s Pagos | Rodopar 108'!$B:$B,AC$1)+SUMIFS('Doc Há Pagar | Rodopar 1015'!$J:$J,'Doc Há Pagar | Rodopar 1015'!$A:$A,$B27&amp;$E27&amp;$F27,'Doc Há Pagar | Rodopar 1015'!$B:$B,AC$1)</f>
        <v>0</v>
      </c>
      <c r="AD27" s="20">
        <f>SUMIFS('Doc''s Pagos | Rodopar 108'!$J:$J,'Doc''s Pagos | Rodopar 108'!$A:$A,$B27&amp;$E27&amp;$F27&amp;$J27,'Doc''s Pagos | Rodopar 108'!$B:$B,AD$1)+SUMIFS('Doc Há Pagar | Rodopar 1015'!$J:$J,'Doc Há Pagar | Rodopar 1015'!$A:$A,$B27&amp;$E27&amp;$F27,'Doc Há Pagar | Rodopar 1015'!$B:$B,AD$1)</f>
        <v>0</v>
      </c>
    </row>
    <row r="28" spans="1:30" x14ac:dyDescent="0.25">
      <c r="A28" s="1" t="str">
        <f>VLOOKUP($E28,Fornecedores!$A:$C,3,0)</f>
        <v>Frota</v>
      </c>
      <c r="B28" s="14">
        <v>7447</v>
      </c>
      <c r="C28" s="14" t="str">
        <f>IFERROR(VLOOKUP($E28,Fornecedores!$A:$E,4,0),"")</f>
        <v>Documentação</v>
      </c>
      <c r="D28" s="14" t="str">
        <f>IFERROR(VLOOKUP($E28,Fornecedores!$A:$E,5,0),"")</f>
        <v>Tacografos</v>
      </c>
      <c r="E28" s="8" t="s">
        <v>26</v>
      </c>
      <c r="F28" s="14" t="s">
        <v>380</v>
      </c>
      <c r="G28" s="8" t="s">
        <v>579</v>
      </c>
      <c r="H28" s="9">
        <v>87</v>
      </c>
      <c r="I28" s="21">
        <v>390</v>
      </c>
      <c r="J28" s="11">
        <v>46038</v>
      </c>
      <c r="K28" s="11">
        <v>46041</v>
      </c>
      <c r="L28" s="8" t="s">
        <v>382</v>
      </c>
      <c r="M28" s="14" t="s">
        <v>234</v>
      </c>
      <c r="N28" s="16">
        <v>1556</v>
      </c>
      <c r="O28" s="14" t="s">
        <v>241</v>
      </c>
      <c r="P28" s="14"/>
      <c r="Q28" s="20">
        <f t="shared" si="0"/>
        <v>0</v>
      </c>
      <c r="S28" s="20">
        <f>SUMIFS('Doc''s Pagos | Rodopar 108'!$J:$J,'Doc''s Pagos | Rodopar 108'!$A:$A,$B28&amp;$E28&amp;$F28&amp;$J28,'Doc''s Pagos | Rodopar 108'!$B:$B,S$1)+SUMIFS('Doc Há Pagar | Rodopar 1015'!$J:$J,'Doc Há Pagar | Rodopar 1015'!$A:$A,$B28&amp;$E28&amp;$F28,'Doc Há Pagar | Rodopar 1015'!$B:$B,S$1)</f>
        <v>390</v>
      </c>
      <c r="T28" s="20">
        <f>SUMIFS('Doc''s Pagos | Rodopar 108'!$J:$J,'Doc''s Pagos | Rodopar 108'!$A:$A,$B28&amp;$E28&amp;$F28&amp;$J28,'Doc''s Pagos | Rodopar 108'!$B:$B,T$1)+SUMIFS('Doc Há Pagar | Rodopar 1015'!$J:$J,'Doc Há Pagar | Rodopar 1015'!$A:$A,$B28&amp;$E28&amp;$F28,'Doc Há Pagar | Rodopar 1015'!$B:$B,T$1)</f>
        <v>0</v>
      </c>
      <c r="U28" s="20">
        <f>SUMIFS('Doc''s Pagos | Rodopar 108'!$J:$J,'Doc''s Pagos | Rodopar 108'!$A:$A,$B28&amp;$E28&amp;$F28&amp;$J28,'Doc''s Pagos | Rodopar 108'!$B:$B,U$1)+SUMIFS('Doc Há Pagar | Rodopar 1015'!$J:$J,'Doc Há Pagar | Rodopar 1015'!$A:$A,$B28&amp;$E28&amp;$F28,'Doc Há Pagar | Rodopar 1015'!$B:$B,U$1)</f>
        <v>0</v>
      </c>
      <c r="V28" s="20">
        <f>SUMIFS('Doc''s Pagos | Rodopar 108'!$J:$J,'Doc''s Pagos | Rodopar 108'!$A:$A,$B28&amp;$E28&amp;$F28&amp;$J28,'Doc''s Pagos | Rodopar 108'!$B:$B,V$1)+SUMIFS('Doc Há Pagar | Rodopar 1015'!$J:$J,'Doc Há Pagar | Rodopar 1015'!$A:$A,$B28&amp;$E28&amp;$F28,'Doc Há Pagar | Rodopar 1015'!$B:$B,V$1)</f>
        <v>0</v>
      </c>
      <c r="W28" s="20">
        <f>SUMIFS('Doc''s Pagos | Rodopar 108'!$J:$J,'Doc''s Pagos | Rodopar 108'!$A:$A,$B28&amp;$E28&amp;$F28&amp;$J28,'Doc''s Pagos | Rodopar 108'!$B:$B,W$1)+SUMIFS('Doc Há Pagar | Rodopar 1015'!$J:$J,'Doc Há Pagar | Rodopar 1015'!$A:$A,$B28&amp;$E28&amp;$F28,'Doc Há Pagar | Rodopar 1015'!$B:$B,W$1)</f>
        <v>0</v>
      </c>
      <c r="X28" s="20">
        <f>SUMIFS('Doc''s Pagos | Rodopar 108'!$J:$J,'Doc''s Pagos | Rodopar 108'!$A:$A,$B28&amp;$E28&amp;$F28&amp;$J28,'Doc''s Pagos | Rodopar 108'!$B:$B,X$1)+SUMIFS('Doc Há Pagar | Rodopar 1015'!$J:$J,'Doc Há Pagar | Rodopar 1015'!$A:$A,$B28&amp;$E28&amp;$F28,'Doc Há Pagar | Rodopar 1015'!$B:$B,X$1)</f>
        <v>0</v>
      </c>
      <c r="Y28" s="20">
        <f>SUMIFS('Doc''s Pagos | Rodopar 108'!$J:$J,'Doc''s Pagos | Rodopar 108'!$A:$A,$B28&amp;$E28&amp;$F28&amp;$J28,'Doc''s Pagos | Rodopar 108'!$B:$B,Y$1)+SUMIFS('Doc Há Pagar | Rodopar 1015'!$J:$J,'Doc Há Pagar | Rodopar 1015'!$A:$A,$B28&amp;$E28&amp;$F28,'Doc Há Pagar | Rodopar 1015'!$B:$B,Y$1)</f>
        <v>0</v>
      </c>
      <c r="Z28" s="20">
        <f>SUMIFS('Doc''s Pagos | Rodopar 108'!$J:$J,'Doc''s Pagos | Rodopar 108'!$A:$A,$B28&amp;$E28&amp;$F28&amp;$J28,'Doc''s Pagos | Rodopar 108'!$B:$B,Z$1)+SUMIFS('Doc Há Pagar | Rodopar 1015'!$J:$J,'Doc Há Pagar | Rodopar 1015'!$A:$A,$B28&amp;$E28&amp;$F28,'Doc Há Pagar | Rodopar 1015'!$B:$B,Z$1)</f>
        <v>0</v>
      </c>
      <c r="AA28" s="20">
        <f>SUMIFS('Doc''s Pagos | Rodopar 108'!$J:$J,'Doc''s Pagos | Rodopar 108'!$A:$A,$B28&amp;$E28&amp;$F28&amp;$J28,'Doc''s Pagos | Rodopar 108'!$B:$B,AA$1)+SUMIFS('Doc Há Pagar | Rodopar 1015'!$J:$J,'Doc Há Pagar | Rodopar 1015'!$A:$A,$B28&amp;$E28&amp;$F28,'Doc Há Pagar | Rodopar 1015'!$B:$B,AA$1)</f>
        <v>0</v>
      </c>
      <c r="AB28" s="20">
        <f>SUMIFS('Doc''s Pagos | Rodopar 108'!$J:$J,'Doc''s Pagos | Rodopar 108'!$A:$A,$B28&amp;$E28&amp;$F28&amp;$J28,'Doc''s Pagos | Rodopar 108'!$B:$B,AB$1)+SUMIFS('Doc Há Pagar | Rodopar 1015'!$J:$J,'Doc Há Pagar | Rodopar 1015'!$A:$A,$B28&amp;$E28&amp;$F28,'Doc Há Pagar | Rodopar 1015'!$B:$B,AB$1)</f>
        <v>0</v>
      </c>
      <c r="AC28" s="20">
        <f>SUMIFS('Doc''s Pagos | Rodopar 108'!$J:$J,'Doc''s Pagos | Rodopar 108'!$A:$A,$B28&amp;$E28&amp;$F28&amp;$J28,'Doc''s Pagos | Rodopar 108'!$B:$B,AC$1)+SUMIFS('Doc Há Pagar | Rodopar 1015'!$J:$J,'Doc Há Pagar | Rodopar 1015'!$A:$A,$B28&amp;$E28&amp;$F28,'Doc Há Pagar | Rodopar 1015'!$B:$B,AC$1)</f>
        <v>0</v>
      </c>
      <c r="AD28" s="20">
        <f>SUMIFS('Doc''s Pagos | Rodopar 108'!$J:$J,'Doc''s Pagos | Rodopar 108'!$A:$A,$B28&amp;$E28&amp;$F28&amp;$J28,'Doc''s Pagos | Rodopar 108'!$B:$B,AD$1)+SUMIFS('Doc Há Pagar | Rodopar 1015'!$J:$J,'Doc Há Pagar | Rodopar 1015'!$A:$A,$B28&amp;$E28&amp;$F28,'Doc Há Pagar | Rodopar 1015'!$B:$B,AD$1)</f>
        <v>0</v>
      </c>
    </row>
    <row r="29" spans="1:30" x14ac:dyDescent="0.25">
      <c r="A29" s="1" t="str">
        <f>VLOOKUP($E29,Fornecedores!$A:$C,3,0)</f>
        <v>Frota</v>
      </c>
      <c r="B29" s="14">
        <v>1449758</v>
      </c>
      <c r="C29" s="14" t="str">
        <f>IFERROR(VLOOKUP($E29,Fornecedores!$A:$E,4,0),"")</f>
        <v>MTSR</v>
      </c>
      <c r="D29" s="14" t="str">
        <f>IFERROR(VLOOKUP($E29,Fornecedores!$A:$E,5,0),"")</f>
        <v>Tecnologia</v>
      </c>
      <c r="E29" s="8" t="s">
        <v>191</v>
      </c>
      <c r="F29" s="14" t="s">
        <v>665</v>
      </c>
      <c r="G29" s="8" t="s">
        <v>722</v>
      </c>
      <c r="H29" s="9">
        <v>87</v>
      </c>
      <c r="I29" s="21">
        <v>1479.18</v>
      </c>
      <c r="J29" s="11">
        <v>46039</v>
      </c>
      <c r="K29" s="11">
        <v>46041</v>
      </c>
      <c r="L29" s="8" t="s">
        <v>723</v>
      </c>
      <c r="M29" s="14" t="s">
        <v>684</v>
      </c>
      <c r="N29" s="16">
        <v>2556</v>
      </c>
      <c r="O29" s="14" t="s">
        <v>241</v>
      </c>
      <c r="P29" s="14"/>
      <c r="Q29" s="20">
        <f t="shared" si="0"/>
        <v>0</v>
      </c>
      <c r="S29" s="20">
        <f>SUMIFS('Doc''s Pagos | Rodopar 108'!$J:$J,'Doc''s Pagos | Rodopar 108'!$A:$A,$B29&amp;$E29&amp;$F29&amp;$J29,'Doc''s Pagos | Rodopar 108'!$B:$B,S$1)+SUMIFS('Doc Há Pagar | Rodopar 1015'!$J:$J,'Doc Há Pagar | Rodopar 1015'!$A:$A,$B29&amp;$E29&amp;$F29,'Doc Há Pagar | Rodopar 1015'!$B:$B,S$1)</f>
        <v>0</v>
      </c>
      <c r="T29" s="20">
        <f>SUMIFS('Doc''s Pagos | Rodopar 108'!$J:$J,'Doc''s Pagos | Rodopar 108'!$A:$A,$B29&amp;$E29&amp;$F29&amp;$J29,'Doc''s Pagos | Rodopar 108'!$B:$B,T$1)+SUMIFS('Doc Há Pagar | Rodopar 1015'!$J:$J,'Doc Há Pagar | Rodopar 1015'!$A:$A,$B29&amp;$E29&amp;$F29,'Doc Há Pagar | Rodopar 1015'!$B:$B,T$1)</f>
        <v>1479.18</v>
      </c>
      <c r="U29" s="20">
        <f>SUMIFS('Doc''s Pagos | Rodopar 108'!$J:$J,'Doc''s Pagos | Rodopar 108'!$A:$A,$B29&amp;$E29&amp;$F29&amp;$J29,'Doc''s Pagos | Rodopar 108'!$B:$B,U$1)+SUMIFS('Doc Há Pagar | Rodopar 1015'!$J:$J,'Doc Há Pagar | Rodopar 1015'!$A:$A,$B29&amp;$E29&amp;$F29,'Doc Há Pagar | Rodopar 1015'!$B:$B,U$1)</f>
        <v>0</v>
      </c>
      <c r="V29" s="20">
        <f>SUMIFS('Doc''s Pagos | Rodopar 108'!$J:$J,'Doc''s Pagos | Rodopar 108'!$A:$A,$B29&amp;$E29&amp;$F29&amp;$J29,'Doc''s Pagos | Rodopar 108'!$B:$B,V$1)+SUMIFS('Doc Há Pagar | Rodopar 1015'!$J:$J,'Doc Há Pagar | Rodopar 1015'!$A:$A,$B29&amp;$E29&amp;$F29,'Doc Há Pagar | Rodopar 1015'!$B:$B,V$1)</f>
        <v>0</v>
      </c>
      <c r="W29" s="20">
        <f>SUMIFS('Doc''s Pagos | Rodopar 108'!$J:$J,'Doc''s Pagos | Rodopar 108'!$A:$A,$B29&amp;$E29&amp;$F29&amp;$J29,'Doc''s Pagos | Rodopar 108'!$B:$B,W$1)+SUMIFS('Doc Há Pagar | Rodopar 1015'!$J:$J,'Doc Há Pagar | Rodopar 1015'!$A:$A,$B29&amp;$E29&amp;$F29,'Doc Há Pagar | Rodopar 1015'!$B:$B,W$1)</f>
        <v>0</v>
      </c>
      <c r="X29" s="20">
        <f>SUMIFS('Doc''s Pagos | Rodopar 108'!$J:$J,'Doc''s Pagos | Rodopar 108'!$A:$A,$B29&amp;$E29&amp;$F29&amp;$J29,'Doc''s Pagos | Rodopar 108'!$B:$B,X$1)+SUMIFS('Doc Há Pagar | Rodopar 1015'!$J:$J,'Doc Há Pagar | Rodopar 1015'!$A:$A,$B29&amp;$E29&amp;$F29,'Doc Há Pagar | Rodopar 1015'!$B:$B,X$1)</f>
        <v>0</v>
      </c>
      <c r="Y29" s="20">
        <f>SUMIFS('Doc''s Pagos | Rodopar 108'!$J:$J,'Doc''s Pagos | Rodopar 108'!$A:$A,$B29&amp;$E29&amp;$F29&amp;$J29,'Doc''s Pagos | Rodopar 108'!$B:$B,Y$1)+SUMIFS('Doc Há Pagar | Rodopar 1015'!$J:$J,'Doc Há Pagar | Rodopar 1015'!$A:$A,$B29&amp;$E29&amp;$F29,'Doc Há Pagar | Rodopar 1015'!$B:$B,Y$1)</f>
        <v>0</v>
      </c>
      <c r="Z29" s="20">
        <f>SUMIFS('Doc''s Pagos | Rodopar 108'!$J:$J,'Doc''s Pagos | Rodopar 108'!$A:$A,$B29&amp;$E29&amp;$F29&amp;$J29,'Doc''s Pagos | Rodopar 108'!$B:$B,Z$1)+SUMIFS('Doc Há Pagar | Rodopar 1015'!$J:$J,'Doc Há Pagar | Rodopar 1015'!$A:$A,$B29&amp;$E29&amp;$F29,'Doc Há Pagar | Rodopar 1015'!$B:$B,Z$1)</f>
        <v>0</v>
      </c>
      <c r="AA29" s="20">
        <f>SUMIFS('Doc''s Pagos | Rodopar 108'!$J:$J,'Doc''s Pagos | Rodopar 108'!$A:$A,$B29&amp;$E29&amp;$F29&amp;$J29,'Doc''s Pagos | Rodopar 108'!$B:$B,AA$1)+SUMIFS('Doc Há Pagar | Rodopar 1015'!$J:$J,'Doc Há Pagar | Rodopar 1015'!$A:$A,$B29&amp;$E29&amp;$F29,'Doc Há Pagar | Rodopar 1015'!$B:$B,AA$1)</f>
        <v>0</v>
      </c>
      <c r="AB29" s="20">
        <f>SUMIFS('Doc''s Pagos | Rodopar 108'!$J:$J,'Doc''s Pagos | Rodopar 108'!$A:$A,$B29&amp;$E29&amp;$F29&amp;$J29,'Doc''s Pagos | Rodopar 108'!$B:$B,AB$1)+SUMIFS('Doc Há Pagar | Rodopar 1015'!$J:$J,'Doc Há Pagar | Rodopar 1015'!$A:$A,$B29&amp;$E29&amp;$F29,'Doc Há Pagar | Rodopar 1015'!$B:$B,AB$1)</f>
        <v>0</v>
      </c>
      <c r="AC29" s="20">
        <f>SUMIFS('Doc''s Pagos | Rodopar 108'!$J:$J,'Doc''s Pagos | Rodopar 108'!$A:$A,$B29&amp;$E29&amp;$F29&amp;$J29,'Doc''s Pagos | Rodopar 108'!$B:$B,AC$1)+SUMIFS('Doc Há Pagar | Rodopar 1015'!$J:$J,'Doc Há Pagar | Rodopar 1015'!$A:$A,$B29&amp;$E29&amp;$F29,'Doc Há Pagar | Rodopar 1015'!$B:$B,AC$1)</f>
        <v>0</v>
      </c>
      <c r="AD29" s="20">
        <f>SUMIFS('Doc''s Pagos | Rodopar 108'!$J:$J,'Doc''s Pagos | Rodopar 108'!$A:$A,$B29&amp;$E29&amp;$F29&amp;$J29,'Doc''s Pagos | Rodopar 108'!$B:$B,AD$1)+SUMIFS('Doc Há Pagar | Rodopar 1015'!$J:$J,'Doc Há Pagar | Rodopar 1015'!$A:$A,$B29&amp;$E29&amp;$F29,'Doc Há Pagar | Rodopar 1015'!$B:$B,AD$1)</f>
        <v>0</v>
      </c>
    </row>
    <row r="30" spans="1:30" x14ac:dyDescent="0.25">
      <c r="A30" s="1" t="str">
        <f>VLOOKUP($E30,Fornecedores!$A:$C,3,0)</f>
        <v>Frota</v>
      </c>
      <c r="B30" s="14">
        <v>3125842</v>
      </c>
      <c r="C30" s="14" t="str">
        <f>IFERROR(VLOOKUP($E30,Fornecedores!$A:$E,4,0),"")</f>
        <v>MTSR</v>
      </c>
      <c r="D30" s="14" t="str">
        <f>IFERROR(VLOOKUP($E30,Fornecedores!$A:$E,5,0),"")</f>
        <v>Tecnologia</v>
      </c>
      <c r="E30" s="8" t="s">
        <v>192</v>
      </c>
      <c r="F30" s="14" t="s">
        <v>665</v>
      </c>
      <c r="G30" s="8" t="s">
        <v>837</v>
      </c>
      <c r="H30" s="9">
        <v>87</v>
      </c>
      <c r="I30" s="21">
        <v>8365.89</v>
      </c>
      <c r="J30" s="11">
        <v>46039</v>
      </c>
      <c r="K30" s="11">
        <v>46041</v>
      </c>
      <c r="L30" s="8" t="s">
        <v>723</v>
      </c>
      <c r="M30" s="14" t="s">
        <v>684</v>
      </c>
      <c r="N30" s="16">
        <v>2556</v>
      </c>
      <c r="O30" s="14" t="s">
        <v>241</v>
      </c>
      <c r="P30" s="14"/>
      <c r="Q30" s="20">
        <f t="shared" si="0"/>
        <v>0</v>
      </c>
      <c r="S30" s="20">
        <f>SUMIFS('Doc''s Pagos | Rodopar 108'!$J:$J,'Doc''s Pagos | Rodopar 108'!$A:$A,$B30&amp;$E30&amp;$F30&amp;$J30,'Doc''s Pagos | Rodopar 108'!$B:$B,S$1)+SUMIFS('Doc Há Pagar | Rodopar 1015'!$J:$J,'Doc Há Pagar | Rodopar 1015'!$A:$A,$B30&amp;$E30&amp;$F30,'Doc Há Pagar | Rodopar 1015'!$B:$B,S$1)</f>
        <v>0</v>
      </c>
      <c r="T30" s="20">
        <f>SUMIFS('Doc''s Pagos | Rodopar 108'!$J:$J,'Doc''s Pagos | Rodopar 108'!$A:$A,$B30&amp;$E30&amp;$F30&amp;$J30,'Doc''s Pagos | Rodopar 108'!$B:$B,T$1)+SUMIFS('Doc Há Pagar | Rodopar 1015'!$J:$J,'Doc Há Pagar | Rodopar 1015'!$A:$A,$B30&amp;$E30&amp;$F30,'Doc Há Pagar | Rodopar 1015'!$B:$B,T$1)</f>
        <v>8365.89</v>
      </c>
      <c r="U30" s="20">
        <f>SUMIFS('Doc''s Pagos | Rodopar 108'!$J:$J,'Doc''s Pagos | Rodopar 108'!$A:$A,$B30&amp;$E30&amp;$F30&amp;$J30,'Doc''s Pagos | Rodopar 108'!$B:$B,U$1)+SUMIFS('Doc Há Pagar | Rodopar 1015'!$J:$J,'Doc Há Pagar | Rodopar 1015'!$A:$A,$B30&amp;$E30&amp;$F30,'Doc Há Pagar | Rodopar 1015'!$B:$B,U$1)</f>
        <v>0</v>
      </c>
      <c r="V30" s="20">
        <f>SUMIFS('Doc''s Pagos | Rodopar 108'!$J:$J,'Doc''s Pagos | Rodopar 108'!$A:$A,$B30&amp;$E30&amp;$F30&amp;$J30,'Doc''s Pagos | Rodopar 108'!$B:$B,V$1)+SUMIFS('Doc Há Pagar | Rodopar 1015'!$J:$J,'Doc Há Pagar | Rodopar 1015'!$A:$A,$B30&amp;$E30&amp;$F30,'Doc Há Pagar | Rodopar 1015'!$B:$B,V$1)</f>
        <v>0</v>
      </c>
      <c r="W30" s="20">
        <f>SUMIFS('Doc''s Pagos | Rodopar 108'!$J:$J,'Doc''s Pagos | Rodopar 108'!$A:$A,$B30&amp;$E30&amp;$F30&amp;$J30,'Doc''s Pagos | Rodopar 108'!$B:$B,W$1)+SUMIFS('Doc Há Pagar | Rodopar 1015'!$J:$J,'Doc Há Pagar | Rodopar 1015'!$A:$A,$B30&amp;$E30&amp;$F30,'Doc Há Pagar | Rodopar 1015'!$B:$B,W$1)</f>
        <v>0</v>
      </c>
      <c r="X30" s="20">
        <f>SUMIFS('Doc''s Pagos | Rodopar 108'!$J:$J,'Doc''s Pagos | Rodopar 108'!$A:$A,$B30&amp;$E30&amp;$F30&amp;$J30,'Doc''s Pagos | Rodopar 108'!$B:$B,X$1)+SUMIFS('Doc Há Pagar | Rodopar 1015'!$J:$J,'Doc Há Pagar | Rodopar 1015'!$A:$A,$B30&amp;$E30&amp;$F30,'Doc Há Pagar | Rodopar 1015'!$B:$B,X$1)</f>
        <v>0</v>
      </c>
      <c r="Y30" s="20">
        <f>SUMIFS('Doc''s Pagos | Rodopar 108'!$J:$J,'Doc''s Pagos | Rodopar 108'!$A:$A,$B30&amp;$E30&amp;$F30&amp;$J30,'Doc''s Pagos | Rodopar 108'!$B:$B,Y$1)+SUMIFS('Doc Há Pagar | Rodopar 1015'!$J:$J,'Doc Há Pagar | Rodopar 1015'!$A:$A,$B30&amp;$E30&amp;$F30,'Doc Há Pagar | Rodopar 1015'!$B:$B,Y$1)</f>
        <v>0</v>
      </c>
      <c r="Z30" s="20">
        <f>SUMIFS('Doc''s Pagos | Rodopar 108'!$J:$J,'Doc''s Pagos | Rodopar 108'!$A:$A,$B30&amp;$E30&amp;$F30&amp;$J30,'Doc''s Pagos | Rodopar 108'!$B:$B,Z$1)+SUMIFS('Doc Há Pagar | Rodopar 1015'!$J:$J,'Doc Há Pagar | Rodopar 1015'!$A:$A,$B30&amp;$E30&amp;$F30,'Doc Há Pagar | Rodopar 1015'!$B:$B,Z$1)</f>
        <v>0</v>
      </c>
      <c r="AA30" s="20">
        <f>SUMIFS('Doc''s Pagos | Rodopar 108'!$J:$J,'Doc''s Pagos | Rodopar 108'!$A:$A,$B30&amp;$E30&amp;$F30&amp;$J30,'Doc''s Pagos | Rodopar 108'!$B:$B,AA$1)+SUMIFS('Doc Há Pagar | Rodopar 1015'!$J:$J,'Doc Há Pagar | Rodopar 1015'!$A:$A,$B30&amp;$E30&amp;$F30,'Doc Há Pagar | Rodopar 1015'!$B:$B,AA$1)</f>
        <v>0</v>
      </c>
      <c r="AB30" s="20">
        <f>SUMIFS('Doc''s Pagos | Rodopar 108'!$J:$J,'Doc''s Pagos | Rodopar 108'!$A:$A,$B30&amp;$E30&amp;$F30&amp;$J30,'Doc''s Pagos | Rodopar 108'!$B:$B,AB$1)+SUMIFS('Doc Há Pagar | Rodopar 1015'!$J:$J,'Doc Há Pagar | Rodopar 1015'!$A:$A,$B30&amp;$E30&amp;$F30,'Doc Há Pagar | Rodopar 1015'!$B:$B,AB$1)</f>
        <v>0</v>
      </c>
      <c r="AC30" s="20">
        <f>SUMIFS('Doc''s Pagos | Rodopar 108'!$J:$J,'Doc''s Pagos | Rodopar 108'!$A:$A,$B30&amp;$E30&amp;$F30&amp;$J30,'Doc''s Pagos | Rodopar 108'!$B:$B,AC$1)+SUMIFS('Doc Há Pagar | Rodopar 1015'!$J:$J,'Doc Há Pagar | Rodopar 1015'!$A:$A,$B30&amp;$E30&amp;$F30,'Doc Há Pagar | Rodopar 1015'!$B:$B,AC$1)</f>
        <v>0</v>
      </c>
      <c r="AD30" s="20">
        <f>SUMIFS('Doc''s Pagos | Rodopar 108'!$J:$J,'Doc''s Pagos | Rodopar 108'!$A:$A,$B30&amp;$E30&amp;$F30&amp;$J30,'Doc''s Pagos | Rodopar 108'!$B:$B,AD$1)+SUMIFS('Doc Há Pagar | Rodopar 1015'!$J:$J,'Doc Há Pagar | Rodopar 1015'!$A:$A,$B30&amp;$E30&amp;$F30,'Doc Há Pagar | Rodopar 1015'!$B:$B,AD$1)</f>
        <v>0</v>
      </c>
    </row>
    <row r="31" spans="1:30" x14ac:dyDescent="0.25">
      <c r="A31" s="1" t="str">
        <f>VLOOKUP($E31,Fornecedores!$A:$C,3,0)</f>
        <v>Frota</v>
      </c>
      <c r="B31" s="14">
        <v>994920</v>
      </c>
      <c r="C31" s="14" t="str">
        <f>IFERROR(VLOOKUP($E31,Fornecedores!$A:$E,4,0),"")</f>
        <v>Manutenção</v>
      </c>
      <c r="D31" s="14" t="str">
        <f>IFERROR(VLOOKUP($E31,Fornecedores!$A:$E,5,0),"")</f>
        <v>Caminhão</v>
      </c>
      <c r="E31" s="8" t="s">
        <v>190</v>
      </c>
      <c r="F31" s="14" t="s">
        <v>380</v>
      </c>
      <c r="G31" s="8" t="s">
        <v>381</v>
      </c>
      <c r="H31" s="9">
        <v>87</v>
      </c>
      <c r="I31" s="21">
        <v>1808.48</v>
      </c>
      <c r="J31" s="11">
        <v>46041</v>
      </c>
      <c r="K31" s="11">
        <v>46054</v>
      </c>
      <c r="L31" s="8" t="s">
        <v>382</v>
      </c>
      <c r="M31" s="14" t="s">
        <v>234</v>
      </c>
      <c r="N31" s="16">
        <v>1556</v>
      </c>
      <c r="O31" s="14" t="s">
        <v>241</v>
      </c>
      <c r="P31" s="14"/>
      <c r="Q31" s="20">
        <f t="shared" si="0"/>
        <v>0</v>
      </c>
      <c r="S31" s="20">
        <f>SUMIFS('Doc''s Pagos | Rodopar 108'!$J:$J,'Doc''s Pagos | Rodopar 108'!$A:$A,$B31&amp;$E31&amp;$F31&amp;$J31,'Doc''s Pagos | Rodopar 108'!$B:$B,S$1)+SUMIFS('Doc Há Pagar | Rodopar 1015'!$J:$J,'Doc Há Pagar | Rodopar 1015'!$A:$A,$B31&amp;$E31&amp;$F31,'Doc Há Pagar | Rodopar 1015'!$B:$B,S$1)</f>
        <v>0</v>
      </c>
      <c r="T31" s="20">
        <f>SUMIFS('Doc''s Pagos | Rodopar 108'!$J:$J,'Doc''s Pagos | Rodopar 108'!$A:$A,$B31&amp;$E31&amp;$F31&amp;$J31,'Doc''s Pagos | Rodopar 108'!$B:$B,T$1)+SUMIFS('Doc Há Pagar | Rodopar 1015'!$J:$J,'Doc Há Pagar | Rodopar 1015'!$A:$A,$B31&amp;$E31&amp;$F31,'Doc Há Pagar | Rodopar 1015'!$B:$B,T$1)</f>
        <v>1808.48</v>
      </c>
      <c r="U31" s="20">
        <f>SUMIFS('Doc''s Pagos | Rodopar 108'!$J:$J,'Doc''s Pagos | Rodopar 108'!$A:$A,$B31&amp;$E31&amp;$F31&amp;$J31,'Doc''s Pagos | Rodopar 108'!$B:$B,U$1)+SUMIFS('Doc Há Pagar | Rodopar 1015'!$J:$J,'Doc Há Pagar | Rodopar 1015'!$A:$A,$B31&amp;$E31&amp;$F31,'Doc Há Pagar | Rodopar 1015'!$B:$B,U$1)</f>
        <v>0</v>
      </c>
      <c r="V31" s="20">
        <f>SUMIFS('Doc''s Pagos | Rodopar 108'!$J:$J,'Doc''s Pagos | Rodopar 108'!$A:$A,$B31&amp;$E31&amp;$F31&amp;$J31,'Doc''s Pagos | Rodopar 108'!$B:$B,V$1)+SUMIFS('Doc Há Pagar | Rodopar 1015'!$J:$J,'Doc Há Pagar | Rodopar 1015'!$A:$A,$B31&amp;$E31&amp;$F31,'Doc Há Pagar | Rodopar 1015'!$B:$B,V$1)</f>
        <v>0</v>
      </c>
      <c r="W31" s="20">
        <f>SUMIFS('Doc''s Pagos | Rodopar 108'!$J:$J,'Doc''s Pagos | Rodopar 108'!$A:$A,$B31&amp;$E31&amp;$F31&amp;$J31,'Doc''s Pagos | Rodopar 108'!$B:$B,W$1)+SUMIFS('Doc Há Pagar | Rodopar 1015'!$J:$J,'Doc Há Pagar | Rodopar 1015'!$A:$A,$B31&amp;$E31&amp;$F31,'Doc Há Pagar | Rodopar 1015'!$B:$B,W$1)</f>
        <v>0</v>
      </c>
      <c r="X31" s="20">
        <f>SUMIFS('Doc''s Pagos | Rodopar 108'!$J:$J,'Doc''s Pagos | Rodopar 108'!$A:$A,$B31&amp;$E31&amp;$F31&amp;$J31,'Doc''s Pagos | Rodopar 108'!$B:$B,X$1)+SUMIFS('Doc Há Pagar | Rodopar 1015'!$J:$J,'Doc Há Pagar | Rodopar 1015'!$A:$A,$B31&amp;$E31&amp;$F31,'Doc Há Pagar | Rodopar 1015'!$B:$B,X$1)</f>
        <v>0</v>
      </c>
      <c r="Y31" s="20">
        <f>SUMIFS('Doc''s Pagos | Rodopar 108'!$J:$J,'Doc''s Pagos | Rodopar 108'!$A:$A,$B31&amp;$E31&amp;$F31&amp;$J31,'Doc''s Pagos | Rodopar 108'!$B:$B,Y$1)+SUMIFS('Doc Há Pagar | Rodopar 1015'!$J:$J,'Doc Há Pagar | Rodopar 1015'!$A:$A,$B31&amp;$E31&amp;$F31,'Doc Há Pagar | Rodopar 1015'!$B:$B,Y$1)</f>
        <v>0</v>
      </c>
      <c r="Z31" s="20">
        <f>SUMIFS('Doc''s Pagos | Rodopar 108'!$J:$J,'Doc''s Pagos | Rodopar 108'!$A:$A,$B31&amp;$E31&amp;$F31&amp;$J31,'Doc''s Pagos | Rodopar 108'!$B:$B,Z$1)+SUMIFS('Doc Há Pagar | Rodopar 1015'!$J:$J,'Doc Há Pagar | Rodopar 1015'!$A:$A,$B31&amp;$E31&amp;$F31,'Doc Há Pagar | Rodopar 1015'!$B:$B,Z$1)</f>
        <v>0</v>
      </c>
      <c r="AA31" s="20">
        <f>SUMIFS('Doc''s Pagos | Rodopar 108'!$J:$J,'Doc''s Pagos | Rodopar 108'!$A:$A,$B31&amp;$E31&amp;$F31&amp;$J31,'Doc''s Pagos | Rodopar 108'!$B:$B,AA$1)+SUMIFS('Doc Há Pagar | Rodopar 1015'!$J:$J,'Doc Há Pagar | Rodopar 1015'!$A:$A,$B31&amp;$E31&amp;$F31,'Doc Há Pagar | Rodopar 1015'!$B:$B,AA$1)</f>
        <v>0</v>
      </c>
      <c r="AB31" s="20">
        <f>SUMIFS('Doc''s Pagos | Rodopar 108'!$J:$J,'Doc''s Pagos | Rodopar 108'!$A:$A,$B31&amp;$E31&amp;$F31&amp;$J31,'Doc''s Pagos | Rodopar 108'!$B:$B,AB$1)+SUMIFS('Doc Há Pagar | Rodopar 1015'!$J:$J,'Doc Há Pagar | Rodopar 1015'!$A:$A,$B31&amp;$E31&amp;$F31,'Doc Há Pagar | Rodopar 1015'!$B:$B,AB$1)</f>
        <v>0</v>
      </c>
      <c r="AC31" s="20">
        <f>SUMIFS('Doc''s Pagos | Rodopar 108'!$J:$J,'Doc''s Pagos | Rodopar 108'!$A:$A,$B31&amp;$E31&amp;$F31&amp;$J31,'Doc''s Pagos | Rodopar 108'!$B:$B,AC$1)+SUMIFS('Doc Há Pagar | Rodopar 1015'!$J:$J,'Doc Há Pagar | Rodopar 1015'!$A:$A,$B31&amp;$E31&amp;$F31,'Doc Há Pagar | Rodopar 1015'!$B:$B,AC$1)</f>
        <v>0</v>
      </c>
      <c r="AD31" s="20">
        <f>SUMIFS('Doc''s Pagos | Rodopar 108'!$J:$J,'Doc''s Pagos | Rodopar 108'!$A:$A,$B31&amp;$E31&amp;$F31&amp;$J31,'Doc''s Pagos | Rodopar 108'!$B:$B,AD$1)+SUMIFS('Doc Há Pagar | Rodopar 1015'!$J:$J,'Doc Há Pagar | Rodopar 1015'!$A:$A,$B31&amp;$E31&amp;$F31,'Doc Há Pagar | Rodopar 1015'!$B:$B,AD$1)</f>
        <v>0</v>
      </c>
    </row>
    <row r="32" spans="1:30" x14ac:dyDescent="0.25">
      <c r="A32" s="1" t="str">
        <f>VLOOKUP($E32,Fornecedores!$A:$C,3,0)</f>
        <v>Frota</v>
      </c>
      <c r="B32" s="14">
        <v>45651</v>
      </c>
      <c r="C32" s="14" t="str">
        <f>IFERROR(VLOOKUP($E32,Fornecedores!$A:$E,4,0),"")</f>
        <v>Sinistro</v>
      </c>
      <c r="D32" s="14" t="str">
        <f>IFERROR(VLOOKUP($E32,Fornecedores!$A:$E,5,0),"")</f>
        <v>Parabrisa</v>
      </c>
      <c r="E32" s="8" t="s">
        <v>553</v>
      </c>
      <c r="F32" s="14" t="s">
        <v>380</v>
      </c>
      <c r="G32" s="8" t="s">
        <v>554</v>
      </c>
      <c r="H32" s="9">
        <v>87</v>
      </c>
      <c r="I32" s="21">
        <v>1120</v>
      </c>
      <c r="J32" s="11">
        <v>46042</v>
      </c>
      <c r="K32" s="11">
        <v>46044</v>
      </c>
      <c r="L32" s="8" t="s">
        <v>382</v>
      </c>
      <c r="M32" s="14" t="s">
        <v>234</v>
      </c>
      <c r="N32" s="16">
        <v>1556</v>
      </c>
      <c r="O32" s="14" t="s">
        <v>241</v>
      </c>
      <c r="P32" s="14"/>
      <c r="Q32" s="20">
        <f t="shared" si="0"/>
        <v>0</v>
      </c>
      <c r="S32" s="20">
        <f>SUMIFS('Doc''s Pagos | Rodopar 108'!$J:$J,'Doc''s Pagos | Rodopar 108'!$A:$A,$B32&amp;$E32&amp;$F32&amp;$J32,'Doc''s Pagos | Rodopar 108'!$B:$B,S$1)+SUMIFS('Doc Há Pagar | Rodopar 1015'!$J:$J,'Doc Há Pagar | Rodopar 1015'!$A:$A,$B32&amp;$E32&amp;$F32,'Doc Há Pagar | Rodopar 1015'!$B:$B,S$1)</f>
        <v>0</v>
      </c>
      <c r="T32" s="20">
        <f>SUMIFS('Doc''s Pagos | Rodopar 108'!$J:$J,'Doc''s Pagos | Rodopar 108'!$A:$A,$B32&amp;$E32&amp;$F32&amp;$J32,'Doc''s Pagos | Rodopar 108'!$B:$B,T$1)+SUMIFS('Doc Há Pagar | Rodopar 1015'!$J:$J,'Doc Há Pagar | Rodopar 1015'!$A:$A,$B32&amp;$E32&amp;$F32,'Doc Há Pagar | Rodopar 1015'!$B:$B,T$1)</f>
        <v>1120</v>
      </c>
      <c r="U32" s="20">
        <f>SUMIFS('Doc''s Pagos | Rodopar 108'!$J:$J,'Doc''s Pagos | Rodopar 108'!$A:$A,$B32&amp;$E32&amp;$F32&amp;$J32,'Doc''s Pagos | Rodopar 108'!$B:$B,U$1)+SUMIFS('Doc Há Pagar | Rodopar 1015'!$J:$J,'Doc Há Pagar | Rodopar 1015'!$A:$A,$B32&amp;$E32&amp;$F32,'Doc Há Pagar | Rodopar 1015'!$B:$B,U$1)</f>
        <v>0</v>
      </c>
      <c r="V32" s="20">
        <f>SUMIFS('Doc''s Pagos | Rodopar 108'!$J:$J,'Doc''s Pagos | Rodopar 108'!$A:$A,$B32&amp;$E32&amp;$F32&amp;$J32,'Doc''s Pagos | Rodopar 108'!$B:$B,V$1)+SUMIFS('Doc Há Pagar | Rodopar 1015'!$J:$J,'Doc Há Pagar | Rodopar 1015'!$A:$A,$B32&amp;$E32&amp;$F32,'Doc Há Pagar | Rodopar 1015'!$B:$B,V$1)</f>
        <v>0</v>
      </c>
      <c r="W32" s="20">
        <f>SUMIFS('Doc''s Pagos | Rodopar 108'!$J:$J,'Doc''s Pagos | Rodopar 108'!$A:$A,$B32&amp;$E32&amp;$F32&amp;$J32,'Doc''s Pagos | Rodopar 108'!$B:$B,W$1)+SUMIFS('Doc Há Pagar | Rodopar 1015'!$J:$J,'Doc Há Pagar | Rodopar 1015'!$A:$A,$B32&amp;$E32&amp;$F32,'Doc Há Pagar | Rodopar 1015'!$B:$B,W$1)</f>
        <v>0</v>
      </c>
      <c r="X32" s="20">
        <f>SUMIFS('Doc''s Pagos | Rodopar 108'!$J:$J,'Doc''s Pagos | Rodopar 108'!$A:$A,$B32&amp;$E32&amp;$F32&amp;$J32,'Doc''s Pagos | Rodopar 108'!$B:$B,X$1)+SUMIFS('Doc Há Pagar | Rodopar 1015'!$J:$J,'Doc Há Pagar | Rodopar 1015'!$A:$A,$B32&amp;$E32&amp;$F32,'Doc Há Pagar | Rodopar 1015'!$B:$B,X$1)</f>
        <v>0</v>
      </c>
      <c r="Y32" s="20">
        <f>SUMIFS('Doc''s Pagos | Rodopar 108'!$J:$J,'Doc''s Pagos | Rodopar 108'!$A:$A,$B32&amp;$E32&amp;$F32&amp;$J32,'Doc''s Pagos | Rodopar 108'!$B:$B,Y$1)+SUMIFS('Doc Há Pagar | Rodopar 1015'!$J:$J,'Doc Há Pagar | Rodopar 1015'!$A:$A,$B32&amp;$E32&amp;$F32,'Doc Há Pagar | Rodopar 1015'!$B:$B,Y$1)</f>
        <v>0</v>
      </c>
      <c r="Z32" s="20">
        <f>SUMIFS('Doc''s Pagos | Rodopar 108'!$J:$J,'Doc''s Pagos | Rodopar 108'!$A:$A,$B32&amp;$E32&amp;$F32&amp;$J32,'Doc''s Pagos | Rodopar 108'!$B:$B,Z$1)+SUMIFS('Doc Há Pagar | Rodopar 1015'!$J:$J,'Doc Há Pagar | Rodopar 1015'!$A:$A,$B32&amp;$E32&amp;$F32,'Doc Há Pagar | Rodopar 1015'!$B:$B,Z$1)</f>
        <v>0</v>
      </c>
      <c r="AA32" s="20">
        <f>SUMIFS('Doc''s Pagos | Rodopar 108'!$J:$J,'Doc''s Pagos | Rodopar 108'!$A:$A,$B32&amp;$E32&amp;$F32&amp;$J32,'Doc''s Pagos | Rodopar 108'!$B:$B,AA$1)+SUMIFS('Doc Há Pagar | Rodopar 1015'!$J:$J,'Doc Há Pagar | Rodopar 1015'!$A:$A,$B32&amp;$E32&amp;$F32,'Doc Há Pagar | Rodopar 1015'!$B:$B,AA$1)</f>
        <v>0</v>
      </c>
      <c r="AB32" s="20">
        <f>SUMIFS('Doc''s Pagos | Rodopar 108'!$J:$J,'Doc''s Pagos | Rodopar 108'!$A:$A,$B32&amp;$E32&amp;$F32&amp;$J32,'Doc''s Pagos | Rodopar 108'!$B:$B,AB$1)+SUMIFS('Doc Há Pagar | Rodopar 1015'!$J:$J,'Doc Há Pagar | Rodopar 1015'!$A:$A,$B32&amp;$E32&amp;$F32,'Doc Há Pagar | Rodopar 1015'!$B:$B,AB$1)</f>
        <v>0</v>
      </c>
      <c r="AC32" s="20">
        <f>SUMIFS('Doc''s Pagos | Rodopar 108'!$J:$J,'Doc''s Pagos | Rodopar 108'!$A:$A,$B32&amp;$E32&amp;$F32&amp;$J32,'Doc''s Pagos | Rodopar 108'!$B:$B,AC$1)+SUMIFS('Doc Há Pagar | Rodopar 1015'!$J:$J,'Doc Há Pagar | Rodopar 1015'!$A:$A,$B32&amp;$E32&amp;$F32,'Doc Há Pagar | Rodopar 1015'!$B:$B,AC$1)</f>
        <v>0</v>
      </c>
      <c r="AD32" s="20">
        <f>SUMIFS('Doc''s Pagos | Rodopar 108'!$J:$J,'Doc''s Pagos | Rodopar 108'!$A:$A,$B32&amp;$E32&amp;$F32&amp;$J32,'Doc''s Pagos | Rodopar 108'!$B:$B,AD$1)+SUMIFS('Doc Há Pagar | Rodopar 1015'!$J:$J,'Doc Há Pagar | Rodopar 1015'!$A:$A,$B32&amp;$E32&amp;$F32,'Doc Há Pagar | Rodopar 1015'!$B:$B,AD$1)</f>
        <v>0</v>
      </c>
    </row>
    <row r="33" spans="1:30" x14ac:dyDescent="0.25">
      <c r="A33" s="1" t="str">
        <f>VLOOKUP($E33,Fornecedores!$A:$C,3,0)</f>
        <v>Frota</v>
      </c>
      <c r="B33" s="14">
        <v>92</v>
      </c>
      <c r="C33" s="14" t="str">
        <f>IFERROR(VLOOKUP($E33,Fornecedores!$A:$E,4,0),"")</f>
        <v>Manutenção</v>
      </c>
      <c r="D33" s="14" t="str">
        <f>IFERROR(VLOOKUP($E33,Fornecedores!$A:$E,5,0),"")</f>
        <v>Peças E Serviços</v>
      </c>
      <c r="E33" s="8" t="s">
        <v>204</v>
      </c>
      <c r="F33" s="14" t="s">
        <v>380</v>
      </c>
      <c r="G33" s="8" t="s">
        <v>396</v>
      </c>
      <c r="H33" s="9">
        <v>87</v>
      </c>
      <c r="I33" s="21">
        <v>1484.98</v>
      </c>
      <c r="J33" s="11">
        <v>46042</v>
      </c>
      <c r="K33" s="11">
        <v>46042</v>
      </c>
      <c r="L33" s="8" t="s">
        <v>282</v>
      </c>
      <c r="M33" s="14" t="s">
        <v>234</v>
      </c>
      <c r="N33" s="16">
        <v>1556</v>
      </c>
      <c r="O33" s="14" t="s">
        <v>241</v>
      </c>
      <c r="P33" s="14"/>
      <c r="Q33" s="20">
        <f t="shared" si="0"/>
        <v>0</v>
      </c>
      <c r="S33" s="20">
        <f>SUMIFS('Doc''s Pagos | Rodopar 108'!$J:$J,'Doc''s Pagos | Rodopar 108'!$A:$A,$B33&amp;$E33&amp;$F33&amp;$J33,'Doc''s Pagos | Rodopar 108'!$B:$B,S$1)+SUMIFS('Doc Há Pagar | Rodopar 1015'!$J:$J,'Doc Há Pagar | Rodopar 1015'!$A:$A,$B33&amp;$E33&amp;$F33,'Doc Há Pagar | Rodopar 1015'!$B:$B,S$1)</f>
        <v>0</v>
      </c>
      <c r="T33" s="20">
        <f>SUMIFS('Doc''s Pagos | Rodopar 108'!$J:$J,'Doc''s Pagos | Rodopar 108'!$A:$A,$B33&amp;$E33&amp;$F33&amp;$J33,'Doc''s Pagos | Rodopar 108'!$B:$B,T$1)+SUMIFS('Doc Há Pagar | Rodopar 1015'!$J:$J,'Doc Há Pagar | Rodopar 1015'!$A:$A,$B33&amp;$E33&amp;$F33,'Doc Há Pagar | Rodopar 1015'!$B:$B,T$1)</f>
        <v>1484.98</v>
      </c>
      <c r="U33" s="20">
        <f>SUMIFS('Doc''s Pagos | Rodopar 108'!$J:$J,'Doc''s Pagos | Rodopar 108'!$A:$A,$B33&amp;$E33&amp;$F33&amp;$J33,'Doc''s Pagos | Rodopar 108'!$B:$B,U$1)+SUMIFS('Doc Há Pagar | Rodopar 1015'!$J:$J,'Doc Há Pagar | Rodopar 1015'!$A:$A,$B33&amp;$E33&amp;$F33,'Doc Há Pagar | Rodopar 1015'!$B:$B,U$1)</f>
        <v>0</v>
      </c>
      <c r="V33" s="20">
        <f>SUMIFS('Doc''s Pagos | Rodopar 108'!$J:$J,'Doc''s Pagos | Rodopar 108'!$A:$A,$B33&amp;$E33&amp;$F33&amp;$J33,'Doc''s Pagos | Rodopar 108'!$B:$B,V$1)+SUMIFS('Doc Há Pagar | Rodopar 1015'!$J:$J,'Doc Há Pagar | Rodopar 1015'!$A:$A,$B33&amp;$E33&amp;$F33,'Doc Há Pagar | Rodopar 1015'!$B:$B,V$1)</f>
        <v>0</v>
      </c>
      <c r="W33" s="20">
        <f>SUMIFS('Doc''s Pagos | Rodopar 108'!$J:$J,'Doc''s Pagos | Rodopar 108'!$A:$A,$B33&amp;$E33&amp;$F33&amp;$J33,'Doc''s Pagos | Rodopar 108'!$B:$B,W$1)+SUMIFS('Doc Há Pagar | Rodopar 1015'!$J:$J,'Doc Há Pagar | Rodopar 1015'!$A:$A,$B33&amp;$E33&amp;$F33,'Doc Há Pagar | Rodopar 1015'!$B:$B,W$1)</f>
        <v>0</v>
      </c>
      <c r="X33" s="20">
        <f>SUMIFS('Doc''s Pagos | Rodopar 108'!$J:$J,'Doc''s Pagos | Rodopar 108'!$A:$A,$B33&amp;$E33&amp;$F33&amp;$J33,'Doc''s Pagos | Rodopar 108'!$B:$B,X$1)+SUMIFS('Doc Há Pagar | Rodopar 1015'!$J:$J,'Doc Há Pagar | Rodopar 1015'!$A:$A,$B33&amp;$E33&amp;$F33,'Doc Há Pagar | Rodopar 1015'!$B:$B,X$1)</f>
        <v>0</v>
      </c>
      <c r="Y33" s="20">
        <f>SUMIFS('Doc''s Pagos | Rodopar 108'!$J:$J,'Doc''s Pagos | Rodopar 108'!$A:$A,$B33&amp;$E33&amp;$F33&amp;$J33,'Doc''s Pagos | Rodopar 108'!$B:$B,Y$1)+SUMIFS('Doc Há Pagar | Rodopar 1015'!$J:$J,'Doc Há Pagar | Rodopar 1015'!$A:$A,$B33&amp;$E33&amp;$F33,'Doc Há Pagar | Rodopar 1015'!$B:$B,Y$1)</f>
        <v>0</v>
      </c>
      <c r="Z33" s="20">
        <f>SUMIFS('Doc''s Pagos | Rodopar 108'!$J:$J,'Doc''s Pagos | Rodopar 108'!$A:$A,$B33&amp;$E33&amp;$F33&amp;$J33,'Doc''s Pagos | Rodopar 108'!$B:$B,Z$1)+SUMIFS('Doc Há Pagar | Rodopar 1015'!$J:$J,'Doc Há Pagar | Rodopar 1015'!$A:$A,$B33&amp;$E33&amp;$F33,'Doc Há Pagar | Rodopar 1015'!$B:$B,Z$1)</f>
        <v>0</v>
      </c>
      <c r="AA33" s="20">
        <f>SUMIFS('Doc''s Pagos | Rodopar 108'!$J:$J,'Doc''s Pagos | Rodopar 108'!$A:$A,$B33&amp;$E33&amp;$F33&amp;$J33,'Doc''s Pagos | Rodopar 108'!$B:$B,AA$1)+SUMIFS('Doc Há Pagar | Rodopar 1015'!$J:$J,'Doc Há Pagar | Rodopar 1015'!$A:$A,$B33&amp;$E33&amp;$F33,'Doc Há Pagar | Rodopar 1015'!$B:$B,AA$1)</f>
        <v>0</v>
      </c>
      <c r="AB33" s="20">
        <f>SUMIFS('Doc''s Pagos | Rodopar 108'!$J:$J,'Doc''s Pagos | Rodopar 108'!$A:$A,$B33&amp;$E33&amp;$F33&amp;$J33,'Doc''s Pagos | Rodopar 108'!$B:$B,AB$1)+SUMIFS('Doc Há Pagar | Rodopar 1015'!$J:$J,'Doc Há Pagar | Rodopar 1015'!$A:$A,$B33&amp;$E33&amp;$F33,'Doc Há Pagar | Rodopar 1015'!$B:$B,AB$1)</f>
        <v>0</v>
      </c>
      <c r="AC33" s="20">
        <f>SUMIFS('Doc''s Pagos | Rodopar 108'!$J:$J,'Doc''s Pagos | Rodopar 108'!$A:$A,$B33&amp;$E33&amp;$F33&amp;$J33,'Doc''s Pagos | Rodopar 108'!$B:$B,AC$1)+SUMIFS('Doc Há Pagar | Rodopar 1015'!$J:$J,'Doc Há Pagar | Rodopar 1015'!$A:$A,$B33&amp;$E33&amp;$F33,'Doc Há Pagar | Rodopar 1015'!$B:$B,AC$1)</f>
        <v>0</v>
      </c>
      <c r="AD33" s="20">
        <f>SUMIFS('Doc''s Pagos | Rodopar 108'!$J:$J,'Doc''s Pagos | Rodopar 108'!$A:$A,$B33&amp;$E33&amp;$F33&amp;$J33,'Doc''s Pagos | Rodopar 108'!$B:$B,AD$1)+SUMIFS('Doc Há Pagar | Rodopar 1015'!$J:$J,'Doc Há Pagar | Rodopar 1015'!$A:$A,$B33&amp;$E33&amp;$F33,'Doc Há Pagar | Rodopar 1015'!$B:$B,AD$1)</f>
        <v>0</v>
      </c>
    </row>
    <row r="34" spans="1:30" x14ac:dyDescent="0.25">
      <c r="A34" s="1" t="str">
        <f>VLOOKUP($E34,Fornecedores!$A:$C,3,0)</f>
        <v>Frota</v>
      </c>
      <c r="B34" s="14">
        <v>27381</v>
      </c>
      <c r="C34" s="14" t="str">
        <f>IFERROR(VLOOKUP($E34,Fornecedores!$A:$E,4,0),"")</f>
        <v>Manutenção</v>
      </c>
      <c r="D34" s="14" t="str">
        <f>IFERROR(VLOOKUP($E34,Fornecedores!$A:$E,5,0),"")</f>
        <v>Contrato</v>
      </c>
      <c r="E34" s="8" t="s">
        <v>127</v>
      </c>
      <c r="F34" s="14" t="s">
        <v>665</v>
      </c>
      <c r="G34" s="8" t="s">
        <v>809</v>
      </c>
      <c r="H34" s="9">
        <v>87</v>
      </c>
      <c r="I34" s="21">
        <v>52824.78</v>
      </c>
      <c r="J34" s="11">
        <v>46043</v>
      </c>
      <c r="K34" s="11">
        <v>46044</v>
      </c>
      <c r="L34" s="8" t="s">
        <v>810</v>
      </c>
      <c r="M34" s="14" t="s">
        <v>263</v>
      </c>
      <c r="N34" s="16">
        <v>2949</v>
      </c>
      <c r="O34" s="14" t="s">
        <v>410</v>
      </c>
      <c r="P34" s="14"/>
      <c r="Q34" s="20">
        <f t="shared" si="0"/>
        <v>0</v>
      </c>
      <c r="S34" s="20">
        <f>SUMIFS('Doc''s Pagos | Rodopar 108'!$J:$J,'Doc''s Pagos | Rodopar 108'!$A:$A,$B34&amp;$E34&amp;$F34&amp;$J34,'Doc''s Pagos | Rodopar 108'!$B:$B,S$1)+SUMIFS('Doc Há Pagar | Rodopar 1015'!$J:$J,'Doc Há Pagar | Rodopar 1015'!$A:$A,$B34&amp;$E34&amp;$F34,'Doc Há Pagar | Rodopar 1015'!$B:$B,S$1)</f>
        <v>0</v>
      </c>
      <c r="T34" s="20">
        <f>SUMIFS('Doc''s Pagos | Rodopar 108'!$J:$J,'Doc''s Pagos | Rodopar 108'!$A:$A,$B34&amp;$E34&amp;$F34&amp;$J34,'Doc''s Pagos | Rodopar 108'!$B:$B,T$1)+SUMIFS('Doc Há Pagar | Rodopar 1015'!$J:$J,'Doc Há Pagar | Rodopar 1015'!$A:$A,$B34&amp;$E34&amp;$F34,'Doc Há Pagar | Rodopar 1015'!$B:$B,T$1)</f>
        <v>52824.78</v>
      </c>
      <c r="U34" s="20">
        <f>SUMIFS('Doc''s Pagos | Rodopar 108'!$J:$J,'Doc''s Pagos | Rodopar 108'!$A:$A,$B34&amp;$E34&amp;$F34&amp;$J34,'Doc''s Pagos | Rodopar 108'!$B:$B,U$1)+SUMIFS('Doc Há Pagar | Rodopar 1015'!$J:$J,'Doc Há Pagar | Rodopar 1015'!$A:$A,$B34&amp;$E34&amp;$F34,'Doc Há Pagar | Rodopar 1015'!$B:$B,U$1)</f>
        <v>0</v>
      </c>
      <c r="V34" s="20">
        <f>SUMIFS('Doc''s Pagos | Rodopar 108'!$J:$J,'Doc''s Pagos | Rodopar 108'!$A:$A,$B34&amp;$E34&amp;$F34&amp;$J34,'Doc''s Pagos | Rodopar 108'!$B:$B,V$1)+SUMIFS('Doc Há Pagar | Rodopar 1015'!$J:$J,'Doc Há Pagar | Rodopar 1015'!$A:$A,$B34&amp;$E34&amp;$F34,'Doc Há Pagar | Rodopar 1015'!$B:$B,V$1)</f>
        <v>0</v>
      </c>
      <c r="W34" s="20">
        <f>SUMIFS('Doc''s Pagos | Rodopar 108'!$J:$J,'Doc''s Pagos | Rodopar 108'!$A:$A,$B34&amp;$E34&amp;$F34&amp;$J34,'Doc''s Pagos | Rodopar 108'!$B:$B,W$1)+SUMIFS('Doc Há Pagar | Rodopar 1015'!$J:$J,'Doc Há Pagar | Rodopar 1015'!$A:$A,$B34&amp;$E34&amp;$F34,'Doc Há Pagar | Rodopar 1015'!$B:$B,W$1)</f>
        <v>0</v>
      </c>
      <c r="X34" s="20">
        <f>SUMIFS('Doc''s Pagos | Rodopar 108'!$J:$J,'Doc''s Pagos | Rodopar 108'!$A:$A,$B34&amp;$E34&amp;$F34&amp;$J34,'Doc''s Pagos | Rodopar 108'!$B:$B,X$1)+SUMIFS('Doc Há Pagar | Rodopar 1015'!$J:$J,'Doc Há Pagar | Rodopar 1015'!$A:$A,$B34&amp;$E34&amp;$F34,'Doc Há Pagar | Rodopar 1015'!$B:$B,X$1)</f>
        <v>0</v>
      </c>
      <c r="Y34" s="20">
        <f>SUMIFS('Doc''s Pagos | Rodopar 108'!$J:$J,'Doc''s Pagos | Rodopar 108'!$A:$A,$B34&amp;$E34&amp;$F34&amp;$J34,'Doc''s Pagos | Rodopar 108'!$B:$B,Y$1)+SUMIFS('Doc Há Pagar | Rodopar 1015'!$J:$J,'Doc Há Pagar | Rodopar 1015'!$A:$A,$B34&amp;$E34&amp;$F34,'Doc Há Pagar | Rodopar 1015'!$B:$B,Y$1)</f>
        <v>0</v>
      </c>
      <c r="Z34" s="20">
        <f>SUMIFS('Doc''s Pagos | Rodopar 108'!$J:$J,'Doc''s Pagos | Rodopar 108'!$A:$A,$B34&amp;$E34&amp;$F34&amp;$J34,'Doc''s Pagos | Rodopar 108'!$B:$B,Z$1)+SUMIFS('Doc Há Pagar | Rodopar 1015'!$J:$J,'Doc Há Pagar | Rodopar 1015'!$A:$A,$B34&amp;$E34&amp;$F34,'Doc Há Pagar | Rodopar 1015'!$B:$B,Z$1)</f>
        <v>0</v>
      </c>
      <c r="AA34" s="20">
        <f>SUMIFS('Doc''s Pagos | Rodopar 108'!$J:$J,'Doc''s Pagos | Rodopar 108'!$A:$A,$B34&amp;$E34&amp;$F34&amp;$J34,'Doc''s Pagos | Rodopar 108'!$B:$B,AA$1)+SUMIFS('Doc Há Pagar | Rodopar 1015'!$J:$J,'Doc Há Pagar | Rodopar 1015'!$A:$A,$B34&amp;$E34&amp;$F34,'Doc Há Pagar | Rodopar 1015'!$B:$B,AA$1)</f>
        <v>0</v>
      </c>
      <c r="AB34" s="20">
        <f>SUMIFS('Doc''s Pagos | Rodopar 108'!$J:$J,'Doc''s Pagos | Rodopar 108'!$A:$A,$B34&amp;$E34&amp;$F34&amp;$J34,'Doc''s Pagos | Rodopar 108'!$B:$B,AB$1)+SUMIFS('Doc Há Pagar | Rodopar 1015'!$J:$J,'Doc Há Pagar | Rodopar 1015'!$A:$A,$B34&amp;$E34&amp;$F34,'Doc Há Pagar | Rodopar 1015'!$B:$B,AB$1)</f>
        <v>0</v>
      </c>
      <c r="AC34" s="20">
        <f>SUMIFS('Doc''s Pagos | Rodopar 108'!$J:$J,'Doc''s Pagos | Rodopar 108'!$A:$A,$B34&amp;$E34&amp;$F34&amp;$J34,'Doc''s Pagos | Rodopar 108'!$B:$B,AC$1)+SUMIFS('Doc Há Pagar | Rodopar 1015'!$J:$J,'Doc Há Pagar | Rodopar 1015'!$A:$A,$B34&amp;$E34&amp;$F34,'Doc Há Pagar | Rodopar 1015'!$B:$B,AC$1)</f>
        <v>0</v>
      </c>
      <c r="AD34" s="20">
        <f>SUMIFS('Doc''s Pagos | Rodopar 108'!$J:$J,'Doc''s Pagos | Rodopar 108'!$A:$A,$B34&amp;$E34&amp;$F34&amp;$J34,'Doc''s Pagos | Rodopar 108'!$B:$B,AD$1)+SUMIFS('Doc Há Pagar | Rodopar 1015'!$J:$J,'Doc Há Pagar | Rodopar 1015'!$A:$A,$B34&amp;$E34&amp;$F34,'Doc Há Pagar | Rodopar 1015'!$B:$B,AD$1)</f>
        <v>0</v>
      </c>
    </row>
    <row r="35" spans="1:30" x14ac:dyDescent="0.25">
      <c r="A35" s="1" t="str">
        <f>VLOOKUP($E35,Fornecedores!$A:$C,3,0)</f>
        <v>Frota</v>
      </c>
      <c r="B35" s="14">
        <v>64</v>
      </c>
      <c r="C35" s="14" t="str">
        <f>IFERROR(VLOOKUP($E35,Fornecedores!$A:$E,4,0),"")</f>
        <v>Sinistro</v>
      </c>
      <c r="D35" s="14" t="str">
        <f>IFERROR(VLOOKUP($E35,Fornecedores!$A:$E,5,0),"")</f>
        <v>Guincho</v>
      </c>
      <c r="E35" s="8" t="s">
        <v>812</v>
      </c>
      <c r="F35" s="14" t="s">
        <v>665</v>
      </c>
      <c r="G35" s="8" t="s">
        <v>813</v>
      </c>
      <c r="H35" s="9">
        <v>87</v>
      </c>
      <c r="I35" s="21">
        <v>4800</v>
      </c>
      <c r="J35" s="11">
        <v>46043</v>
      </c>
      <c r="K35" s="11">
        <v>46044</v>
      </c>
      <c r="L35" s="8" t="s">
        <v>501</v>
      </c>
      <c r="M35" s="14" t="s">
        <v>234</v>
      </c>
      <c r="N35" s="16">
        <v>1556</v>
      </c>
      <c r="O35" s="14" t="s">
        <v>241</v>
      </c>
      <c r="P35" s="14"/>
      <c r="Q35" s="20">
        <f t="shared" si="0"/>
        <v>0</v>
      </c>
      <c r="S35" s="20">
        <f>SUMIFS('Doc''s Pagos | Rodopar 108'!$J:$J,'Doc''s Pagos | Rodopar 108'!$A:$A,$B35&amp;$E35&amp;$F35&amp;$J35,'Doc''s Pagos | Rodopar 108'!$B:$B,S$1)+SUMIFS('Doc Há Pagar | Rodopar 1015'!$J:$J,'Doc Há Pagar | Rodopar 1015'!$A:$A,$B35&amp;$E35&amp;$F35,'Doc Há Pagar | Rodopar 1015'!$B:$B,S$1)</f>
        <v>4800</v>
      </c>
      <c r="T35" s="20">
        <f>SUMIFS('Doc''s Pagos | Rodopar 108'!$J:$J,'Doc''s Pagos | Rodopar 108'!$A:$A,$B35&amp;$E35&amp;$F35&amp;$J35,'Doc''s Pagos | Rodopar 108'!$B:$B,T$1)+SUMIFS('Doc Há Pagar | Rodopar 1015'!$J:$J,'Doc Há Pagar | Rodopar 1015'!$A:$A,$B35&amp;$E35&amp;$F35,'Doc Há Pagar | Rodopar 1015'!$B:$B,T$1)</f>
        <v>0</v>
      </c>
      <c r="U35" s="20">
        <f>SUMIFS('Doc''s Pagos | Rodopar 108'!$J:$J,'Doc''s Pagos | Rodopar 108'!$A:$A,$B35&amp;$E35&amp;$F35&amp;$J35,'Doc''s Pagos | Rodopar 108'!$B:$B,U$1)+SUMIFS('Doc Há Pagar | Rodopar 1015'!$J:$J,'Doc Há Pagar | Rodopar 1015'!$A:$A,$B35&amp;$E35&amp;$F35,'Doc Há Pagar | Rodopar 1015'!$B:$B,U$1)</f>
        <v>0</v>
      </c>
      <c r="V35" s="20">
        <f>SUMIFS('Doc''s Pagos | Rodopar 108'!$J:$J,'Doc''s Pagos | Rodopar 108'!$A:$A,$B35&amp;$E35&amp;$F35&amp;$J35,'Doc''s Pagos | Rodopar 108'!$B:$B,V$1)+SUMIFS('Doc Há Pagar | Rodopar 1015'!$J:$J,'Doc Há Pagar | Rodopar 1015'!$A:$A,$B35&amp;$E35&amp;$F35,'Doc Há Pagar | Rodopar 1015'!$B:$B,V$1)</f>
        <v>0</v>
      </c>
      <c r="W35" s="20">
        <f>SUMIFS('Doc''s Pagos | Rodopar 108'!$J:$J,'Doc''s Pagos | Rodopar 108'!$A:$A,$B35&amp;$E35&amp;$F35&amp;$J35,'Doc''s Pagos | Rodopar 108'!$B:$B,W$1)+SUMIFS('Doc Há Pagar | Rodopar 1015'!$J:$J,'Doc Há Pagar | Rodopar 1015'!$A:$A,$B35&amp;$E35&amp;$F35,'Doc Há Pagar | Rodopar 1015'!$B:$B,W$1)</f>
        <v>0</v>
      </c>
      <c r="X35" s="20">
        <f>SUMIFS('Doc''s Pagos | Rodopar 108'!$J:$J,'Doc''s Pagos | Rodopar 108'!$A:$A,$B35&amp;$E35&amp;$F35&amp;$J35,'Doc''s Pagos | Rodopar 108'!$B:$B,X$1)+SUMIFS('Doc Há Pagar | Rodopar 1015'!$J:$J,'Doc Há Pagar | Rodopar 1015'!$A:$A,$B35&amp;$E35&amp;$F35,'Doc Há Pagar | Rodopar 1015'!$B:$B,X$1)</f>
        <v>0</v>
      </c>
      <c r="Y35" s="20">
        <f>SUMIFS('Doc''s Pagos | Rodopar 108'!$J:$J,'Doc''s Pagos | Rodopar 108'!$A:$A,$B35&amp;$E35&amp;$F35&amp;$J35,'Doc''s Pagos | Rodopar 108'!$B:$B,Y$1)+SUMIFS('Doc Há Pagar | Rodopar 1015'!$J:$J,'Doc Há Pagar | Rodopar 1015'!$A:$A,$B35&amp;$E35&amp;$F35,'Doc Há Pagar | Rodopar 1015'!$B:$B,Y$1)</f>
        <v>0</v>
      </c>
      <c r="Z35" s="20">
        <f>SUMIFS('Doc''s Pagos | Rodopar 108'!$J:$J,'Doc''s Pagos | Rodopar 108'!$A:$A,$B35&amp;$E35&amp;$F35&amp;$J35,'Doc''s Pagos | Rodopar 108'!$B:$B,Z$1)+SUMIFS('Doc Há Pagar | Rodopar 1015'!$J:$J,'Doc Há Pagar | Rodopar 1015'!$A:$A,$B35&amp;$E35&amp;$F35,'Doc Há Pagar | Rodopar 1015'!$B:$B,Z$1)</f>
        <v>0</v>
      </c>
      <c r="AA35" s="20">
        <f>SUMIFS('Doc''s Pagos | Rodopar 108'!$J:$J,'Doc''s Pagos | Rodopar 108'!$A:$A,$B35&amp;$E35&amp;$F35&amp;$J35,'Doc''s Pagos | Rodopar 108'!$B:$B,AA$1)+SUMIFS('Doc Há Pagar | Rodopar 1015'!$J:$J,'Doc Há Pagar | Rodopar 1015'!$A:$A,$B35&amp;$E35&amp;$F35,'Doc Há Pagar | Rodopar 1015'!$B:$B,AA$1)</f>
        <v>0</v>
      </c>
      <c r="AB35" s="20">
        <f>SUMIFS('Doc''s Pagos | Rodopar 108'!$J:$J,'Doc''s Pagos | Rodopar 108'!$A:$A,$B35&amp;$E35&amp;$F35&amp;$J35,'Doc''s Pagos | Rodopar 108'!$B:$B,AB$1)+SUMIFS('Doc Há Pagar | Rodopar 1015'!$J:$J,'Doc Há Pagar | Rodopar 1015'!$A:$A,$B35&amp;$E35&amp;$F35,'Doc Há Pagar | Rodopar 1015'!$B:$B,AB$1)</f>
        <v>0</v>
      </c>
      <c r="AC35" s="20">
        <f>SUMIFS('Doc''s Pagos | Rodopar 108'!$J:$J,'Doc''s Pagos | Rodopar 108'!$A:$A,$B35&amp;$E35&amp;$F35&amp;$J35,'Doc''s Pagos | Rodopar 108'!$B:$B,AC$1)+SUMIFS('Doc Há Pagar | Rodopar 1015'!$J:$J,'Doc Há Pagar | Rodopar 1015'!$A:$A,$B35&amp;$E35&amp;$F35,'Doc Há Pagar | Rodopar 1015'!$B:$B,AC$1)</f>
        <v>0</v>
      </c>
      <c r="AD35" s="20">
        <f>SUMIFS('Doc''s Pagos | Rodopar 108'!$J:$J,'Doc''s Pagos | Rodopar 108'!$A:$A,$B35&amp;$E35&amp;$F35&amp;$J35,'Doc''s Pagos | Rodopar 108'!$B:$B,AD$1)+SUMIFS('Doc Há Pagar | Rodopar 1015'!$J:$J,'Doc Há Pagar | Rodopar 1015'!$A:$A,$B35&amp;$E35&amp;$F35,'Doc Há Pagar | Rodopar 1015'!$B:$B,AD$1)</f>
        <v>0</v>
      </c>
    </row>
    <row r="36" spans="1:30" x14ac:dyDescent="0.25">
      <c r="A36" s="1" t="str">
        <f>VLOOKUP($E36,Fornecedores!$A:$C,3,0)</f>
        <v>Frota</v>
      </c>
      <c r="B36" s="14">
        <v>2163849</v>
      </c>
      <c r="C36" s="14" t="str">
        <f>IFERROR(VLOOKUP($E36,Fornecedores!$A:$E,4,0),"")</f>
        <v>Manutenção</v>
      </c>
      <c r="D36" s="14" t="str">
        <f>IFERROR(VLOOKUP($E36,Fornecedores!$A:$E,5,0),"")</f>
        <v>Peças E Serviços</v>
      </c>
      <c r="E36" s="8" t="s">
        <v>455</v>
      </c>
      <c r="F36" s="14" t="s">
        <v>380</v>
      </c>
      <c r="G36" s="8" t="s">
        <v>456</v>
      </c>
      <c r="H36" s="9">
        <v>87</v>
      </c>
      <c r="I36" s="21">
        <v>9260.01</v>
      </c>
      <c r="J36" s="11">
        <v>46044</v>
      </c>
      <c r="K36" s="11">
        <v>46051</v>
      </c>
      <c r="L36" s="8" t="s">
        <v>457</v>
      </c>
      <c r="M36" s="14" t="s">
        <v>458</v>
      </c>
      <c r="N36" s="16">
        <v>2556</v>
      </c>
      <c r="O36" s="14" t="s">
        <v>410</v>
      </c>
      <c r="P36" s="14"/>
      <c r="Q36" s="20">
        <f t="shared" si="0"/>
        <v>0</v>
      </c>
      <c r="S36" s="20">
        <f>SUMIFS('Doc''s Pagos | Rodopar 108'!$J:$J,'Doc''s Pagos | Rodopar 108'!$A:$A,$B36&amp;$E36&amp;$F36&amp;$J36,'Doc''s Pagos | Rodopar 108'!$B:$B,S$1)+SUMIFS('Doc Há Pagar | Rodopar 1015'!$J:$J,'Doc Há Pagar | Rodopar 1015'!$A:$A,$B36&amp;$E36&amp;$F36,'Doc Há Pagar | Rodopar 1015'!$B:$B,S$1)</f>
        <v>0</v>
      </c>
      <c r="T36" s="20">
        <f>SUMIFS('Doc''s Pagos | Rodopar 108'!$J:$J,'Doc''s Pagos | Rodopar 108'!$A:$A,$B36&amp;$E36&amp;$F36&amp;$J36,'Doc''s Pagos | Rodopar 108'!$B:$B,T$1)+SUMIFS('Doc Há Pagar | Rodopar 1015'!$J:$J,'Doc Há Pagar | Rodopar 1015'!$A:$A,$B36&amp;$E36&amp;$F36,'Doc Há Pagar | Rodopar 1015'!$B:$B,T$1)</f>
        <v>1542.72</v>
      </c>
      <c r="U36" s="20">
        <f>SUMIFS('Doc''s Pagos | Rodopar 108'!$J:$J,'Doc''s Pagos | Rodopar 108'!$A:$A,$B36&amp;$E36&amp;$F36&amp;$J36,'Doc''s Pagos | Rodopar 108'!$B:$B,U$1)+SUMIFS('Doc Há Pagar | Rodopar 1015'!$J:$J,'Doc Há Pagar | Rodopar 1015'!$A:$A,$B36&amp;$E36&amp;$F36,'Doc Há Pagar | Rodopar 1015'!$B:$B,U$1)</f>
        <v>1542.72</v>
      </c>
      <c r="V36" s="20">
        <f>SUMIFS('Doc''s Pagos | Rodopar 108'!$J:$J,'Doc''s Pagos | Rodopar 108'!$A:$A,$B36&amp;$E36&amp;$F36&amp;$J36,'Doc''s Pagos | Rodopar 108'!$B:$B,V$1)+SUMIFS('Doc Há Pagar | Rodopar 1015'!$J:$J,'Doc Há Pagar | Rodopar 1015'!$A:$A,$B36&amp;$E36&amp;$F36,'Doc Há Pagar | Rodopar 1015'!$B:$B,V$1)</f>
        <v>1542.72</v>
      </c>
      <c r="W36" s="20">
        <f>SUMIFS('Doc''s Pagos | Rodopar 108'!$J:$J,'Doc''s Pagos | Rodopar 108'!$A:$A,$B36&amp;$E36&amp;$F36&amp;$J36,'Doc''s Pagos | Rodopar 108'!$B:$B,W$1)+SUMIFS('Doc Há Pagar | Rodopar 1015'!$J:$J,'Doc Há Pagar | Rodopar 1015'!$A:$A,$B36&amp;$E36&amp;$F36,'Doc Há Pagar | Rodopar 1015'!$B:$B,W$1)</f>
        <v>1542.72</v>
      </c>
      <c r="X36" s="20">
        <f>SUMIFS('Doc''s Pagos | Rodopar 108'!$J:$J,'Doc''s Pagos | Rodopar 108'!$A:$A,$B36&amp;$E36&amp;$F36&amp;$J36,'Doc''s Pagos | Rodopar 108'!$B:$B,X$1)+SUMIFS('Doc Há Pagar | Rodopar 1015'!$J:$J,'Doc Há Pagar | Rodopar 1015'!$A:$A,$B36&amp;$E36&amp;$F36,'Doc Há Pagar | Rodopar 1015'!$B:$B,X$1)</f>
        <v>1542.72</v>
      </c>
      <c r="Y36" s="20">
        <f>SUMIFS('Doc''s Pagos | Rodopar 108'!$J:$J,'Doc''s Pagos | Rodopar 108'!$A:$A,$B36&amp;$E36&amp;$F36&amp;$J36,'Doc''s Pagos | Rodopar 108'!$B:$B,Y$1)+SUMIFS('Doc Há Pagar | Rodopar 1015'!$J:$J,'Doc Há Pagar | Rodopar 1015'!$A:$A,$B36&amp;$E36&amp;$F36,'Doc Há Pagar | Rodopar 1015'!$B:$B,Y$1)</f>
        <v>1546.41</v>
      </c>
      <c r="Z36" s="20">
        <f>SUMIFS('Doc''s Pagos | Rodopar 108'!$J:$J,'Doc''s Pagos | Rodopar 108'!$A:$A,$B36&amp;$E36&amp;$F36&amp;$J36,'Doc''s Pagos | Rodopar 108'!$B:$B,Z$1)+SUMIFS('Doc Há Pagar | Rodopar 1015'!$J:$J,'Doc Há Pagar | Rodopar 1015'!$A:$A,$B36&amp;$E36&amp;$F36,'Doc Há Pagar | Rodopar 1015'!$B:$B,Z$1)</f>
        <v>0</v>
      </c>
      <c r="AA36" s="20">
        <f>SUMIFS('Doc''s Pagos | Rodopar 108'!$J:$J,'Doc''s Pagos | Rodopar 108'!$A:$A,$B36&amp;$E36&amp;$F36&amp;$J36,'Doc''s Pagos | Rodopar 108'!$B:$B,AA$1)+SUMIFS('Doc Há Pagar | Rodopar 1015'!$J:$J,'Doc Há Pagar | Rodopar 1015'!$A:$A,$B36&amp;$E36&amp;$F36,'Doc Há Pagar | Rodopar 1015'!$B:$B,AA$1)</f>
        <v>0</v>
      </c>
      <c r="AB36" s="20">
        <f>SUMIFS('Doc''s Pagos | Rodopar 108'!$J:$J,'Doc''s Pagos | Rodopar 108'!$A:$A,$B36&amp;$E36&amp;$F36&amp;$J36,'Doc''s Pagos | Rodopar 108'!$B:$B,AB$1)+SUMIFS('Doc Há Pagar | Rodopar 1015'!$J:$J,'Doc Há Pagar | Rodopar 1015'!$A:$A,$B36&amp;$E36&amp;$F36,'Doc Há Pagar | Rodopar 1015'!$B:$B,AB$1)</f>
        <v>0</v>
      </c>
      <c r="AC36" s="20">
        <f>SUMIFS('Doc''s Pagos | Rodopar 108'!$J:$J,'Doc''s Pagos | Rodopar 108'!$A:$A,$B36&amp;$E36&amp;$F36&amp;$J36,'Doc''s Pagos | Rodopar 108'!$B:$B,AC$1)+SUMIFS('Doc Há Pagar | Rodopar 1015'!$J:$J,'Doc Há Pagar | Rodopar 1015'!$A:$A,$B36&amp;$E36&amp;$F36,'Doc Há Pagar | Rodopar 1015'!$B:$B,AC$1)</f>
        <v>0</v>
      </c>
      <c r="AD36" s="20">
        <f>SUMIFS('Doc''s Pagos | Rodopar 108'!$J:$J,'Doc''s Pagos | Rodopar 108'!$A:$A,$B36&amp;$E36&amp;$F36&amp;$J36,'Doc''s Pagos | Rodopar 108'!$B:$B,AD$1)+SUMIFS('Doc Há Pagar | Rodopar 1015'!$J:$J,'Doc Há Pagar | Rodopar 1015'!$A:$A,$B36&amp;$E36&amp;$F36,'Doc Há Pagar | Rodopar 1015'!$B:$B,AD$1)</f>
        <v>0</v>
      </c>
    </row>
    <row r="37" spans="1:30" x14ac:dyDescent="0.25">
      <c r="A37" s="1" t="str">
        <f>VLOOKUP($E37,Fornecedores!$A:$C,3,0)</f>
        <v>Frota</v>
      </c>
      <c r="B37" s="14">
        <v>98</v>
      </c>
      <c r="C37" s="14" t="str">
        <f>IFERROR(VLOOKUP($E37,Fornecedores!$A:$E,4,0),"")</f>
        <v>Manutenção</v>
      </c>
      <c r="D37" s="14" t="str">
        <f>IFERROR(VLOOKUP($E37,Fornecedores!$A:$E,5,0),"")</f>
        <v>Peças E Serviços</v>
      </c>
      <c r="E37" s="8" t="s">
        <v>204</v>
      </c>
      <c r="F37" s="14" t="s">
        <v>380</v>
      </c>
      <c r="G37" s="8" t="s">
        <v>396</v>
      </c>
      <c r="H37" s="9">
        <v>87</v>
      </c>
      <c r="I37" s="21">
        <v>322</v>
      </c>
      <c r="J37" s="11">
        <v>46044</v>
      </c>
      <c r="K37" s="11">
        <v>46048</v>
      </c>
      <c r="L37" s="8" t="s">
        <v>282</v>
      </c>
      <c r="M37" s="14" t="s">
        <v>234</v>
      </c>
      <c r="N37" s="16">
        <v>1556</v>
      </c>
      <c r="O37" s="14" t="s">
        <v>241</v>
      </c>
      <c r="P37" s="14"/>
      <c r="Q37" s="20">
        <f t="shared" si="0"/>
        <v>0</v>
      </c>
      <c r="S37" s="20">
        <f>SUMIFS('Doc''s Pagos | Rodopar 108'!$J:$J,'Doc''s Pagos | Rodopar 108'!$A:$A,$B37&amp;$E37&amp;$F37&amp;$J37,'Doc''s Pagos | Rodopar 108'!$B:$B,S$1)+SUMIFS('Doc Há Pagar | Rodopar 1015'!$J:$J,'Doc Há Pagar | Rodopar 1015'!$A:$A,$B37&amp;$E37&amp;$F37,'Doc Há Pagar | Rodopar 1015'!$B:$B,S$1)</f>
        <v>0</v>
      </c>
      <c r="T37" s="20">
        <f>SUMIFS('Doc''s Pagos | Rodopar 108'!$J:$J,'Doc''s Pagos | Rodopar 108'!$A:$A,$B37&amp;$E37&amp;$F37&amp;$J37,'Doc''s Pagos | Rodopar 108'!$B:$B,T$1)+SUMIFS('Doc Há Pagar | Rodopar 1015'!$J:$J,'Doc Há Pagar | Rodopar 1015'!$A:$A,$B37&amp;$E37&amp;$F37,'Doc Há Pagar | Rodopar 1015'!$B:$B,T$1)</f>
        <v>322</v>
      </c>
      <c r="U37" s="20">
        <f>SUMIFS('Doc''s Pagos | Rodopar 108'!$J:$J,'Doc''s Pagos | Rodopar 108'!$A:$A,$B37&amp;$E37&amp;$F37&amp;$J37,'Doc''s Pagos | Rodopar 108'!$B:$B,U$1)+SUMIFS('Doc Há Pagar | Rodopar 1015'!$J:$J,'Doc Há Pagar | Rodopar 1015'!$A:$A,$B37&amp;$E37&amp;$F37,'Doc Há Pagar | Rodopar 1015'!$B:$B,U$1)</f>
        <v>0</v>
      </c>
      <c r="V37" s="20">
        <f>SUMIFS('Doc''s Pagos | Rodopar 108'!$J:$J,'Doc''s Pagos | Rodopar 108'!$A:$A,$B37&amp;$E37&amp;$F37&amp;$J37,'Doc''s Pagos | Rodopar 108'!$B:$B,V$1)+SUMIFS('Doc Há Pagar | Rodopar 1015'!$J:$J,'Doc Há Pagar | Rodopar 1015'!$A:$A,$B37&amp;$E37&amp;$F37,'Doc Há Pagar | Rodopar 1015'!$B:$B,V$1)</f>
        <v>0</v>
      </c>
      <c r="W37" s="20">
        <f>SUMIFS('Doc''s Pagos | Rodopar 108'!$J:$J,'Doc''s Pagos | Rodopar 108'!$A:$A,$B37&amp;$E37&amp;$F37&amp;$J37,'Doc''s Pagos | Rodopar 108'!$B:$B,W$1)+SUMIFS('Doc Há Pagar | Rodopar 1015'!$J:$J,'Doc Há Pagar | Rodopar 1015'!$A:$A,$B37&amp;$E37&amp;$F37,'Doc Há Pagar | Rodopar 1015'!$B:$B,W$1)</f>
        <v>0</v>
      </c>
      <c r="X37" s="20">
        <f>SUMIFS('Doc''s Pagos | Rodopar 108'!$J:$J,'Doc''s Pagos | Rodopar 108'!$A:$A,$B37&amp;$E37&amp;$F37&amp;$J37,'Doc''s Pagos | Rodopar 108'!$B:$B,X$1)+SUMIFS('Doc Há Pagar | Rodopar 1015'!$J:$J,'Doc Há Pagar | Rodopar 1015'!$A:$A,$B37&amp;$E37&amp;$F37,'Doc Há Pagar | Rodopar 1015'!$B:$B,X$1)</f>
        <v>0</v>
      </c>
      <c r="Y37" s="20">
        <f>SUMIFS('Doc''s Pagos | Rodopar 108'!$J:$J,'Doc''s Pagos | Rodopar 108'!$A:$A,$B37&amp;$E37&amp;$F37&amp;$J37,'Doc''s Pagos | Rodopar 108'!$B:$B,Y$1)+SUMIFS('Doc Há Pagar | Rodopar 1015'!$J:$J,'Doc Há Pagar | Rodopar 1015'!$A:$A,$B37&amp;$E37&amp;$F37,'Doc Há Pagar | Rodopar 1015'!$B:$B,Y$1)</f>
        <v>0</v>
      </c>
      <c r="Z37" s="20">
        <f>SUMIFS('Doc''s Pagos | Rodopar 108'!$J:$J,'Doc''s Pagos | Rodopar 108'!$A:$A,$B37&amp;$E37&amp;$F37&amp;$J37,'Doc''s Pagos | Rodopar 108'!$B:$B,Z$1)+SUMIFS('Doc Há Pagar | Rodopar 1015'!$J:$J,'Doc Há Pagar | Rodopar 1015'!$A:$A,$B37&amp;$E37&amp;$F37,'Doc Há Pagar | Rodopar 1015'!$B:$B,Z$1)</f>
        <v>0</v>
      </c>
      <c r="AA37" s="20">
        <f>SUMIFS('Doc''s Pagos | Rodopar 108'!$J:$J,'Doc''s Pagos | Rodopar 108'!$A:$A,$B37&amp;$E37&amp;$F37&amp;$J37,'Doc''s Pagos | Rodopar 108'!$B:$B,AA$1)+SUMIFS('Doc Há Pagar | Rodopar 1015'!$J:$J,'Doc Há Pagar | Rodopar 1015'!$A:$A,$B37&amp;$E37&amp;$F37,'Doc Há Pagar | Rodopar 1015'!$B:$B,AA$1)</f>
        <v>0</v>
      </c>
      <c r="AB37" s="20">
        <f>SUMIFS('Doc''s Pagos | Rodopar 108'!$J:$J,'Doc''s Pagos | Rodopar 108'!$A:$A,$B37&amp;$E37&amp;$F37&amp;$J37,'Doc''s Pagos | Rodopar 108'!$B:$B,AB$1)+SUMIFS('Doc Há Pagar | Rodopar 1015'!$J:$J,'Doc Há Pagar | Rodopar 1015'!$A:$A,$B37&amp;$E37&amp;$F37,'Doc Há Pagar | Rodopar 1015'!$B:$B,AB$1)</f>
        <v>0</v>
      </c>
      <c r="AC37" s="20">
        <f>SUMIFS('Doc''s Pagos | Rodopar 108'!$J:$J,'Doc''s Pagos | Rodopar 108'!$A:$A,$B37&amp;$E37&amp;$F37&amp;$J37,'Doc''s Pagos | Rodopar 108'!$B:$B,AC$1)+SUMIFS('Doc Há Pagar | Rodopar 1015'!$J:$J,'Doc Há Pagar | Rodopar 1015'!$A:$A,$B37&amp;$E37&amp;$F37,'Doc Há Pagar | Rodopar 1015'!$B:$B,AC$1)</f>
        <v>0</v>
      </c>
      <c r="AD37" s="20">
        <f>SUMIFS('Doc''s Pagos | Rodopar 108'!$J:$J,'Doc''s Pagos | Rodopar 108'!$A:$A,$B37&amp;$E37&amp;$F37&amp;$J37,'Doc''s Pagos | Rodopar 108'!$B:$B,AD$1)+SUMIFS('Doc Há Pagar | Rodopar 1015'!$J:$J,'Doc Há Pagar | Rodopar 1015'!$A:$A,$B37&amp;$E37&amp;$F37,'Doc Há Pagar | Rodopar 1015'!$B:$B,AD$1)</f>
        <v>0</v>
      </c>
    </row>
    <row r="38" spans="1:30" x14ac:dyDescent="0.25">
      <c r="A38" s="1" t="str">
        <f>VLOOKUP($E38,Fornecedores!$A:$C,3,0)</f>
        <v>Frota</v>
      </c>
      <c r="B38" s="14">
        <v>19</v>
      </c>
      <c r="C38" s="14" t="str">
        <f>IFERROR(VLOOKUP($E38,Fornecedores!$A:$E,4,0),"")</f>
        <v>Manutenção</v>
      </c>
      <c r="D38" s="14" t="str">
        <f>IFERROR(VLOOKUP($E38,Fornecedores!$A:$E,5,0),"")</f>
        <v>Peças E Serviços</v>
      </c>
      <c r="E38" s="8" t="s">
        <v>204</v>
      </c>
      <c r="F38" s="14" t="s">
        <v>665</v>
      </c>
      <c r="G38" s="8" t="s">
        <v>396</v>
      </c>
      <c r="H38" s="9">
        <v>87</v>
      </c>
      <c r="I38" s="21">
        <v>120</v>
      </c>
      <c r="J38" s="11">
        <v>46044</v>
      </c>
      <c r="K38" s="11">
        <v>46048</v>
      </c>
      <c r="L38" s="8" t="s">
        <v>282</v>
      </c>
      <c r="M38" s="14" t="s">
        <v>234</v>
      </c>
      <c r="N38" s="16">
        <v>1556</v>
      </c>
      <c r="O38" s="14" t="s">
        <v>241</v>
      </c>
      <c r="P38" s="14"/>
      <c r="Q38" s="20">
        <f t="shared" si="0"/>
        <v>0</v>
      </c>
      <c r="S38" s="20">
        <f>SUMIFS('Doc''s Pagos | Rodopar 108'!$J:$J,'Doc''s Pagos | Rodopar 108'!$A:$A,$B38&amp;$E38&amp;$F38&amp;$J38,'Doc''s Pagos | Rodopar 108'!$B:$B,S$1)+SUMIFS('Doc Há Pagar | Rodopar 1015'!$J:$J,'Doc Há Pagar | Rodopar 1015'!$A:$A,$B38&amp;$E38&amp;$F38,'Doc Há Pagar | Rodopar 1015'!$B:$B,S$1)</f>
        <v>0</v>
      </c>
      <c r="T38" s="20">
        <f>SUMIFS('Doc''s Pagos | Rodopar 108'!$J:$J,'Doc''s Pagos | Rodopar 108'!$A:$A,$B38&amp;$E38&amp;$F38&amp;$J38,'Doc''s Pagos | Rodopar 108'!$B:$B,T$1)+SUMIFS('Doc Há Pagar | Rodopar 1015'!$J:$J,'Doc Há Pagar | Rodopar 1015'!$A:$A,$B38&amp;$E38&amp;$F38,'Doc Há Pagar | Rodopar 1015'!$B:$B,T$1)</f>
        <v>120</v>
      </c>
      <c r="U38" s="20">
        <f>SUMIFS('Doc''s Pagos | Rodopar 108'!$J:$J,'Doc''s Pagos | Rodopar 108'!$A:$A,$B38&amp;$E38&amp;$F38&amp;$J38,'Doc''s Pagos | Rodopar 108'!$B:$B,U$1)+SUMIFS('Doc Há Pagar | Rodopar 1015'!$J:$J,'Doc Há Pagar | Rodopar 1015'!$A:$A,$B38&amp;$E38&amp;$F38,'Doc Há Pagar | Rodopar 1015'!$B:$B,U$1)</f>
        <v>0</v>
      </c>
      <c r="V38" s="20">
        <f>SUMIFS('Doc''s Pagos | Rodopar 108'!$J:$J,'Doc''s Pagos | Rodopar 108'!$A:$A,$B38&amp;$E38&amp;$F38&amp;$J38,'Doc''s Pagos | Rodopar 108'!$B:$B,V$1)+SUMIFS('Doc Há Pagar | Rodopar 1015'!$J:$J,'Doc Há Pagar | Rodopar 1015'!$A:$A,$B38&amp;$E38&amp;$F38,'Doc Há Pagar | Rodopar 1015'!$B:$B,V$1)</f>
        <v>0</v>
      </c>
      <c r="W38" s="20">
        <f>SUMIFS('Doc''s Pagos | Rodopar 108'!$J:$J,'Doc''s Pagos | Rodopar 108'!$A:$A,$B38&amp;$E38&amp;$F38&amp;$J38,'Doc''s Pagos | Rodopar 108'!$B:$B,W$1)+SUMIFS('Doc Há Pagar | Rodopar 1015'!$J:$J,'Doc Há Pagar | Rodopar 1015'!$A:$A,$B38&amp;$E38&amp;$F38,'Doc Há Pagar | Rodopar 1015'!$B:$B,W$1)</f>
        <v>0</v>
      </c>
      <c r="X38" s="20">
        <f>SUMIFS('Doc''s Pagos | Rodopar 108'!$J:$J,'Doc''s Pagos | Rodopar 108'!$A:$A,$B38&amp;$E38&amp;$F38&amp;$J38,'Doc''s Pagos | Rodopar 108'!$B:$B,X$1)+SUMIFS('Doc Há Pagar | Rodopar 1015'!$J:$J,'Doc Há Pagar | Rodopar 1015'!$A:$A,$B38&amp;$E38&amp;$F38,'Doc Há Pagar | Rodopar 1015'!$B:$B,X$1)</f>
        <v>0</v>
      </c>
      <c r="Y38" s="20">
        <f>SUMIFS('Doc''s Pagos | Rodopar 108'!$J:$J,'Doc''s Pagos | Rodopar 108'!$A:$A,$B38&amp;$E38&amp;$F38&amp;$J38,'Doc''s Pagos | Rodopar 108'!$B:$B,Y$1)+SUMIFS('Doc Há Pagar | Rodopar 1015'!$J:$J,'Doc Há Pagar | Rodopar 1015'!$A:$A,$B38&amp;$E38&amp;$F38,'Doc Há Pagar | Rodopar 1015'!$B:$B,Y$1)</f>
        <v>0</v>
      </c>
      <c r="Z38" s="20">
        <f>SUMIFS('Doc''s Pagos | Rodopar 108'!$J:$J,'Doc''s Pagos | Rodopar 108'!$A:$A,$B38&amp;$E38&amp;$F38&amp;$J38,'Doc''s Pagos | Rodopar 108'!$B:$B,Z$1)+SUMIFS('Doc Há Pagar | Rodopar 1015'!$J:$J,'Doc Há Pagar | Rodopar 1015'!$A:$A,$B38&amp;$E38&amp;$F38,'Doc Há Pagar | Rodopar 1015'!$B:$B,Z$1)</f>
        <v>0</v>
      </c>
      <c r="AA38" s="20">
        <f>SUMIFS('Doc''s Pagos | Rodopar 108'!$J:$J,'Doc''s Pagos | Rodopar 108'!$A:$A,$B38&amp;$E38&amp;$F38&amp;$J38,'Doc''s Pagos | Rodopar 108'!$B:$B,AA$1)+SUMIFS('Doc Há Pagar | Rodopar 1015'!$J:$J,'Doc Há Pagar | Rodopar 1015'!$A:$A,$B38&amp;$E38&amp;$F38,'Doc Há Pagar | Rodopar 1015'!$B:$B,AA$1)</f>
        <v>0</v>
      </c>
      <c r="AB38" s="20">
        <f>SUMIFS('Doc''s Pagos | Rodopar 108'!$J:$J,'Doc''s Pagos | Rodopar 108'!$A:$A,$B38&amp;$E38&amp;$F38&amp;$J38,'Doc''s Pagos | Rodopar 108'!$B:$B,AB$1)+SUMIFS('Doc Há Pagar | Rodopar 1015'!$J:$J,'Doc Há Pagar | Rodopar 1015'!$A:$A,$B38&amp;$E38&amp;$F38,'Doc Há Pagar | Rodopar 1015'!$B:$B,AB$1)</f>
        <v>0</v>
      </c>
      <c r="AC38" s="20">
        <f>SUMIFS('Doc''s Pagos | Rodopar 108'!$J:$J,'Doc''s Pagos | Rodopar 108'!$A:$A,$B38&amp;$E38&amp;$F38&amp;$J38,'Doc''s Pagos | Rodopar 108'!$B:$B,AC$1)+SUMIFS('Doc Há Pagar | Rodopar 1015'!$J:$J,'Doc Há Pagar | Rodopar 1015'!$A:$A,$B38&amp;$E38&amp;$F38,'Doc Há Pagar | Rodopar 1015'!$B:$B,AC$1)</f>
        <v>0</v>
      </c>
      <c r="AD38" s="20">
        <f>SUMIFS('Doc''s Pagos | Rodopar 108'!$J:$J,'Doc''s Pagos | Rodopar 108'!$A:$A,$B38&amp;$E38&amp;$F38&amp;$J38,'Doc''s Pagos | Rodopar 108'!$B:$B,AD$1)+SUMIFS('Doc Há Pagar | Rodopar 1015'!$J:$J,'Doc Há Pagar | Rodopar 1015'!$A:$A,$B38&amp;$E38&amp;$F38,'Doc Há Pagar | Rodopar 1015'!$B:$B,AD$1)</f>
        <v>0</v>
      </c>
    </row>
    <row r="39" spans="1:30" x14ac:dyDescent="0.25">
      <c r="A39" s="1" t="str">
        <f>VLOOKUP($E39,Fornecedores!$A:$C,3,0)</f>
        <v>Frota</v>
      </c>
      <c r="B39" s="14">
        <v>996217</v>
      </c>
      <c r="C39" s="14" t="str">
        <f>IFERROR(VLOOKUP($E39,Fornecedores!$A:$E,4,0),"")</f>
        <v>Manutenção</v>
      </c>
      <c r="D39" s="14" t="str">
        <f>IFERROR(VLOOKUP($E39,Fornecedores!$A:$E,5,0),"")</f>
        <v>Caminhão</v>
      </c>
      <c r="E39" s="8" t="s">
        <v>190</v>
      </c>
      <c r="F39" s="14" t="s">
        <v>380</v>
      </c>
      <c r="G39" s="8" t="s">
        <v>381</v>
      </c>
      <c r="H39" s="9">
        <v>87</v>
      </c>
      <c r="I39" s="21">
        <v>1748.52</v>
      </c>
      <c r="J39" s="11">
        <v>46048</v>
      </c>
      <c r="K39" s="11">
        <v>46051</v>
      </c>
      <c r="L39" s="8" t="s">
        <v>382</v>
      </c>
      <c r="M39" s="14" t="s">
        <v>234</v>
      </c>
      <c r="N39" s="16">
        <v>1556</v>
      </c>
      <c r="O39" s="14" t="s">
        <v>241</v>
      </c>
      <c r="P39" s="14"/>
      <c r="Q39" s="20">
        <f t="shared" si="0"/>
        <v>0</v>
      </c>
      <c r="S39" s="20">
        <f>SUMIFS('Doc''s Pagos | Rodopar 108'!$J:$J,'Doc''s Pagos | Rodopar 108'!$A:$A,$B39&amp;$E39&amp;$F39&amp;$J39,'Doc''s Pagos | Rodopar 108'!$B:$B,S$1)+SUMIFS('Doc Há Pagar | Rodopar 1015'!$J:$J,'Doc Há Pagar | Rodopar 1015'!$A:$A,$B39&amp;$E39&amp;$F39,'Doc Há Pagar | Rodopar 1015'!$B:$B,S$1)</f>
        <v>0</v>
      </c>
      <c r="T39" s="20">
        <f>SUMIFS('Doc''s Pagos | Rodopar 108'!$J:$J,'Doc''s Pagos | Rodopar 108'!$A:$A,$B39&amp;$E39&amp;$F39&amp;$J39,'Doc''s Pagos | Rodopar 108'!$B:$B,T$1)+SUMIFS('Doc Há Pagar | Rodopar 1015'!$J:$J,'Doc Há Pagar | Rodopar 1015'!$A:$A,$B39&amp;$E39&amp;$F39,'Doc Há Pagar | Rodopar 1015'!$B:$B,T$1)</f>
        <v>1748.52</v>
      </c>
      <c r="U39" s="20">
        <f>SUMIFS('Doc''s Pagos | Rodopar 108'!$J:$J,'Doc''s Pagos | Rodopar 108'!$A:$A,$B39&amp;$E39&amp;$F39&amp;$J39,'Doc''s Pagos | Rodopar 108'!$B:$B,U$1)+SUMIFS('Doc Há Pagar | Rodopar 1015'!$J:$J,'Doc Há Pagar | Rodopar 1015'!$A:$A,$B39&amp;$E39&amp;$F39,'Doc Há Pagar | Rodopar 1015'!$B:$B,U$1)</f>
        <v>0</v>
      </c>
      <c r="V39" s="20">
        <f>SUMIFS('Doc''s Pagos | Rodopar 108'!$J:$J,'Doc''s Pagos | Rodopar 108'!$A:$A,$B39&amp;$E39&amp;$F39&amp;$J39,'Doc''s Pagos | Rodopar 108'!$B:$B,V$1)+SUMIFS('Doc Há Pagar | Rodopar 1015'!$J:$J,'Doc Há Pagar | Rodopar 1015'!$A:$A,$B39&amp;$E39&amp;$F39,'Doc Há Pagar | Rodopar 1015'!$B:$B,V$1)</f>
        <v>0</v>
      </c>
      <c r="W39" s="20">
        <f>SUMIFS('Doc''s Pagos | Rodopar 108'!$J:$J,'Doc''s Pagos | Rodopar 108'!$A:$A,$B39&amp;$E39&amp;$F39&amp;$J39,'Doc''s Pagos | Rodopar 108'!$B:$B,W$1)+SUMIFS('Doc Há Pagar | Rodopar 1015'!$J:$J,'Doc Há Pagar | Rodopar 1015'!$A:$A,$B39&amp;$E39&amp;$F39,'Doc Há Pagar | Rodopar 1015'!$B:$B,W$1)</f>
        <v>0</v>
      </c>
      <c r="X39" s="20">
        <f>SUMIFS('Doc''s Pagos | Rodopar 108'!$J:$J,'Doc''s Pagos | Rodopar 108'!$A:$A,$B39&amp;$E39&amp;$F39&amp;$J39,'Doc''s Pagos | Rodopar 108'!$B:$B,X$1)+SUMIFS('Doc Há Pagar | Rodopar 1015'!$J:$J,'Doc Há Pagar | Rodopar 1015'!$A:$A,$B39&amp;$E39&amp;$F39,'Doc Há Pagar | Rodopar 1015'!$B:$B,X$1)</f>
        <v>0</v>
      </c>
      <c r="Y39" s="20">
        <f>SUMIFS('Doc''s Pagos | Rodopar 108'!$J:$J,'Doc''s Pagos | Rodopar 108'!$A:$A,$B39&amp;$E39&amp;$F39&amp;$J39,'Doc''s Pagos | Rodopar 108'!$B:$B,Y$1)+SUMIFS('Doc Há Pagar | Rodopar 1015'!$J:$J,'Doc Há Pagar | Rodopar 1015'!$A:$A,$B39&amp;$E39&amp;$F39,'Doc Há Pagar | Rodopar 1015'!$B:$B,Y$1)</f>
        <v>0</v>
      </c>
      <c r="Z39" s="20">
        <f>SUMIFS('Doc''s Pagos | Rodopar 108'!$J:$J,'Doc''s Pagos | Rodopar 108'!$A:$A,$B39&amp;$E39&amp;$F39&amp;$J39,'Doc''s Pagos | Rodopar 108'!$B:$B,Z$1)+SUMIFS('Doc Há Pagar | Rodopar 1015'!$J:$J,'Doc Há Pagar | Rodopar 1015'!$A:$A,$B39&amp;$E39&amp;$F39,'Doc Há Pagar | Rodopar 1015'!$B:$B,Z$1)</f>
        <v>0</v>
      </c>
      <c r="AA39" s="20">
        <f>SUMIFS('Doc''s Pagos | Rodopar 108'!$J:$J,'Doc''s Pagos | Rodopar 108'!$A:$A,$B39&amp;$E39&amp;$F39&amp;$J39,'Doc''s Pagos | Rodopar 108'!$B:$B,AA$1)+SUMIFS('Doc Há Pagar | Rodopar 1015'!$J:$J,'Doc Há Pagar | Rodopar 1015'!$A:$A,$B39&amp;$E39&amp;$F39,'Doc Há Pagar | Rodopar 1015'!$B:$B,AA$1)</f>
        <v>0</v>
      </c>
      <c r="AB39" s="20">
        <f>SUMIFS('Doc''s Pagos | Rodopar 108'!$J:$J,'Doc''s Pagos | Rodopar 108'!$A:$A,$B39&amp;$E39&amp;$F39&amp;$J39,'Doc''s Pagos | Rodopar 108'!$B:$B,AB$1)+SUMIFS('Doc Há Pagar | Rodopar 1015'!$J:$J,'Doc Há Pagar | Rodopar 1015'!$A:$A,$B39&amp;$E39&amp;$F39,'Doc Há Pagar | Rodopar 1015'!$B:$B,AB$1)</f>
        <v>0</v>
      </c>
      <c r="AC39" s="20">
        <f>SUMIFS('Doc''s Pagos | Rodopar 108'!$J:$J,'Doc''s Pagos | Rodopar 108'!$A:$A,$B39&amp;$E39&amp;$F39&amp;$J39,'Doc''s Pagos | Rodopar 108'!$B:$B,AC$1)+SUMIFS('Doc Há Pagar | Rodopar 1015'!$J:$J,'Doc Há Pagar | Rodopar 1015'!$A:$A,$B39&amp;$E39&amp;$F39,'Doc Há Pagar | Rodopar 1015'!$B:$B,AC$1)</f>
        <v>0</v>
      </c>
      <c r="AD39" s="20">
        <f>SUMIFS('Doc''s Pagos | Rodopar 108'!$J:$J,'Doc''s Pagos | Rodopar 108'!$A:$A,$B39&amp;$E39&amp;$F39&amp;$J39,'Doc''s Pagos | Rodopar 108'!$B:$B,AD$1)+SUMIFS('Doc Há Pagar | Rodopar 1015'!$J:$J,'Doc Há Pagar | Rodopar 1015'!$A:$A,$B39&amp;$E39&amp;$F39,'Doc Há Pagar | Rodopar 1015'!$B:$B,AD$1)</f>
        <v>0</v>
      </c>
    </row>
    <row r="40" spans="1:30" x14ac:dyDescent="0.25">
      <c r="A40" s="1" t="str">
        <f>VLOOKUP($E40,Fornecedores!$A:$C,3,0)</f>
        <v>Frota</v>
      </c>
      <c r="B40" s="14">
        <v>33585</v>
      </c>
      <c r="C40" s="14" t="str">
        <f>IFERROR(VLOOKUP($E40,Fornecedores!$A:$E,4,0),"")</f>
        <v>Manutenção</v>
      </c>
      <c r="D40" s="14" t="str">
        <f>IFERROR(VLOOKUP($E40,Fornecedores!$A:$E,5,0),"")</f>
        <v>Vans</v>
      </c>
      <c r="E40" s="8" t="s">
        <v>133</v>
      </c>
      <c r="F40" s="14" t="s">
        <v>380</v>
      </c>
      <c r="G40" s="8" t="s">
        <v>493</v>
      </c>
      <c r="H40" s="9">
        <v>87</v>
      </c>
      <c r="I40" s="21">
        <v>850</v>
      </c>
      <c r="J40" s="11">
        <v>46049</v>
      </c>
      <c r="K40" s="11">
        <v>46051</v>
      </c>
      <c r="L40" s="8" t="s">
        <v>494</v>
      </c>
      <c r="M40" s="14" t="s">
        <v>234</v>
      </c>
      <c r="N40" s="16">
        <v>1556</v>
      </c>
      <c r="O40" s="14" t="s">
        <v>241</v>
      </c>
      <c r="P40" s="14"/>
      <c r="Q40" s="20">
        <f t="shared" si="0"/>
        <v>0</v>
      </c>
      <c r="S40" s="20">
        <f>SUMIFS('Doc''s Pagos | Rodopar 108'!$J:$J,'Doc''s Pagos | Rodopar 108'!$A:$A,$B40&amp;$E40&amp;$F40&amp;$J40,'Doc''s Pagos | Rodopar 108'!$B:$B,S$1)+SUMIFS('Doc Há Pagar | Rodopar 1015'!$J:$J,'Doc Há Pagar | Rodopar 1015'!$A:$A,$B40&amp;$E40&amp;$F40,'Doc Há Pagar | Rodopar 1015'!$B:$B,S$1)</f>
        <v>0</v>
      </c>
      <c r="T40" s="20">
        <f>SUMIFS('Doc''s Pagos | Rodopar 108'!$J:$J,'Doc''s Pagos | Rodopar 108'!$A:$A,$B40&amp;$E40&amp;$F40&amp;$J40,'Doc''s Pagos | Rodopar 108'!$B:$B,T$1)+SUMIFS('Doc Há Pagar | Rodopar 1015'!$J:$J,'Doc Há Pagar | Rodopar 1015'!$A:$A,$B40&amp;$E40&amp;$F40,'Doc Há Pagar | Rodopar 1015'!$B:$B,T$1)</f>
        <v>850</v>
      </c>
      <c r="U40" s="20">
        <f>SUMIFS('Doc''s Pagos | Rodopar 108'!$J:$J,'Doc''s Pagos | Rodopar 108'!$A:$A,$B40&amp;$E40&amp;$F40&amp;$J40,'Doc''s Pagos | Rodopar 108'!$B:$B,U$1)+SUMIFS('Doc Há Pagar | Rodopar 1015'!$J:$J,'Doc Há Pagar | Rodopar 1015'!$A:$A,$B40&amp;$E40&amp;$F40,'Doc Há Pagar | Rodopar 1015'!$B:$B,U$1)</f>
        <v>0</v>
      </c>
      <c r="V40" s="20">
        <f>SUMIFS('Doc''s Pagos | Rodopar 108'!$J:$J,'Doc''s Pagos | Rodopar 108'!$A:$A,$B40&amp;$E40&amp;$F40&amp;$J40,'Doc''s Pagos | Rodopar 108'!$B:$B,V$1)+SUMIFS('Doc Há Pagar | Rodopar 1015'!$J:$J,'Doc Há Pagar | Rodopar 1015'!$A:$A,$B40&amp;$E40&amp;$F40,'Doc Há Pagar | Rodopar 1015'!$B:$B,V$1)</f>
        <v>0</v>
      </c>
      <c r="W40" s="20">
        <f>SUMIFS('Doc''s Pagos | Rodopar 108'!$J:$J,'Doc''s Pagos | Rodopar 108'!$A:$A,$B40&amp;$E40&amp;$F40&amp;$J40,'Doc''s Pagos | Rodopar 108'!$B:$B,W$1)+SUMIFS('Doc Há Pagar | Rodopar 1015'!$J:$J,'Doc Há Pagar | Rodopar 1015'!$A:$A,$B40&amp;$E40&amp;$F40,'Doc Há Pagar | Rodopar 1015'!$B:$B,W$1)</f>
        <v>0</v>
      </c>
      <c r="X40" s="20">
        <f>SUMIFS('Doc''s Pagos | Rodopar 108'!$J:$J,'Doc''s Pagos | Rodopar 108'!$A:$A,$B40&amp;$E40&amp;$F40&amp;$J40,'Doc''s Pagos | Rodopar 108'!$B:$B,X$1)+SUMIFS('Doc Há Pagar | Rodopar 1015'!$J:$J,'Doc Há Pagar | Rodopar 1015'!$A:$A,$B40&amp;$E40&amp;$F40,'Doc Há Pagar | Rodopar 1015'!$B:$B,X$1)</f>
        <v>0</v>
      </c>
      <c r="Y40" s="20">
        <f>SUMIFS('Doc''s Pagos | Rodopar 108'!$J:$J,'Doc''s Pagos | Rodopar 108'!$A:$A,$B40&amp;$E40&amp;$F40&amp;$J40,'Doc''s Pagos | Rodopar 108'!$B:$B,Y$1)+SUMIFS('Doc Há Pagar | Rodopar 1015'!$J:$J,'Doc Há Pagar | Rodopar 1015'!$A:$A,$B40&amp;$E40&amp;$F40,'Doc Há Pagar | Rodopar 1015'!$B:$B,Y$1)</f>
        <v>0</v>
      </c>
      <c r="Z40" s="20">
        <f>SUMIFS('Doc''s Pagos | Rodopar 108'!$J:$J,'Doc''s Pagos | Rodopar 108'!$A:$A,$B40&amp;$E40&amp;$F40&amp;$J40,'Doc''s Pagos | Rodopar 108'!$B:$B,Z$1)+SUMIFS('Doc Há Pagar | Rodopar 1015'!$J:$J,'Doc Há Pagar | Rodopar 1015'!$A:$A,$B40&amp;$E40&amp;$F40,'Doc Há Pagar | Rodopar 1015'!$B:$B,Z$1)</f>
        <v>0</v>
      </c>
      <c r="AA40" s="20">
        <f>SUMIFS('Doc''s Pagos | Rodopar 108'!$J:$J,'Doc''s Pagos | Rodopar 108'!$A:$A,$B40&amp;$E40&amp;$F40&amp;$J40,'Doc''s Pagos | Rodopar 108'!$B:$B,AA$1)+SUMIFS('Doc Há Pagar | Rodopar 1015'!$J:$J,'Doc Há Pagar | Rodopar 1015'!$A:$A,$B40&amp;$E40&amp;$F40,'Doc Há Pagar | Rodopar 1015'!$B:$B,AA$1)</f>
        <v>0</v>
      </c>
      <c r="AB40" s="20">
        <f>SUMIFS('Doc''s Pagos | Rodopar 108'!$J:$J,'Doc''s Pagos | Rodopar 108'!$A:$A,$B40&amp;$E40&amp;$F40&amp;$J40,'Doc''s Pagos | Rodopar 108'!$B:$B,AB$1)+SUMIFS('Doc Há Pagar | Rodopar 1015'!$J:$J,'Doc Há Pagar | Rodopar 1015'!$A:$A,$B40&amp;$E40&amp;$F40,'Doc Há Pagar | Rodopar 1015'!$B:$B,AB$1)</f>
        <v>0</v>
      </c>
      <c r="AC40" s="20">
        <f>SUMIFS('Doc''s Pagos | Rodopar 108'!$J:$J,'Doc''s Pagos | Rodopar 108'!$A:$A,$B40&amp;$E40&amp;$F40&amp;$J40,'Doc''s Pagos | Rodopar 108'!$B:$B,AC$1)+SUMIFS('Doc Há Pagar | Rodopar 1015'!$J:$J,'Doc Há Pagar | Rodopar 1015'!$A:$A,$B40&amp;$E40&amp;$F40,'Doc Há Pagar | Rodopar 1015'!$B:$B,AC$1)</f>
        <v>0</v>
      </c>
      <c r="AD40" s="20">
        <f>SUMIFS('Doc''s Pagos | Rodopar 108'!$J:$J,'Doc''s Pagos | Rodopar 108'!$A:$A,$B40&amp;$E40&amp;$F40&amp;$J40,'Doc''s Pagos | Rodopar 108'!$B:$B,AD$1)+SUMIFS('Doc Há Pagar | Rodopar 1015'!$J:$J,'Doc Há Pagar | Rodopar 1015'!$A:$A,$B40&amp;$E40&amp;$F40,'Doc Há Pagar | Rodopar 1015'!$B:$B,AD$1)</f>
        <v>0</v>
      </c>
    </row>
    <row r="41" spans="1:30" x14ac:dyDescent="0.25">
      <c r="A41" s="1" t="str">
        <f>VLOOKUP($E41,Fornecedores!$A:$C,3,0)</f>
        <v>Frota</v>
      </c>
      <c r="B41" s="14">
        <v>996390</v>
      </c>
      <c r="C41" s="14" t="str">
        <f>IFERROR(VLOOKUP($E41,Fornecedores!$A:$E,4,0),"")</f>
        <v>Manutenção</v>
      </c>
      <c r="D41" s="14" t="str">
        <f>IFERROR(VLOOKUP($E41,Fornecedores!$A:$E,5,0),"")</f>
        <v>Caminhão</v>
      </c>
      <c r="E41" s="8" t="s">
        <v>190</v>
      </c>
      <c r="F41" s="14" t="s">
        <v>380</v>
      </c>
      <c r="G41" s="8" t="s">
        <v>381</v>
      </c>
      <c r="H41" s="9">
        <v>87</v>
      </c>
      <c r="I41" s="21">
        <v>1808.48</v>
      </c>
      <c r="J41" s="11">
        <v>46049</v>
      </c>
      <c r="K41" s="11">
        <v>46051</v>
      </c>
      <c r="L41" s="8" t="s">
        <v>382</v>
      </c>
      <c r="M41" s="14" t="s">
        <v>234</v>
      </c>
      <c r="N41" s="16">
        <v>1556</v>
      </c>
      <c r="O41" s="14" t="s">
        <v>241</v>
      </c>
      <c r="P41" s="14"/>
      <c r="Q41" s="20">
        <f t="shared" si="0"/>
        <v>0</v>
      </c>
      <c r="S41" s="20">
        <f>SUMIFS('Doc''s Pagos | Rodopar 108'!$J:$J,'Doc''s Pagos | Rodopar 108'!$A:$A,$B41&amp;$E41&amp;$F41&amp;$J41,'Doc''s Pagos | Rodopar 108'!$B:$B,S$1)+SUMIFS('Doc Há Pagar | Rodopar 1015'!$J:$J,'Doc Há Pagar | Rodopar 1015'!$A:$A,$B41&amp;$E41&amp;$F41,'Doc Há Pagar | Rodopar 1015'!$B:$B,S$1)</f>
        <v>0</v>
      </c>
      <c r="T41" s="20">
        <f>SUMIFS('Doc''s Pagos | Rodopar 108'!$J:$J,'Doc''s Pagos | Rodopar 108'!$A:$A,$B41&amp;$E41&amp;$F41&amp;$J41,'Doc''s Pagos | Rodopar 108'!$B:$B,T$1)+SUMIFS('Doc Há Pagar | Rodopar 1015'!$J:$J,'Doc Há Pagar | Rodopar 1015'!$A:$A,$B41&amp;$E41&amp;$F41,'Doc Há Pagar | Rodopar 1015'!$B:$B,T$1)</f>
        <v>1808.48</v>
      </c>
      <c r="U41" s="20">
        <f>SUMIFS('Doc''s Pagos | Rodopar 108'!$J:$J,'Doc''s Pagos | Rodopar 108'!$A:$A,$B41&amp;$E41&amp;$F41&amp;$J41,'Doc''s Pagos | Rodopar 108'!$B:$B,U$1)+SUMIFS('Doc Há Pagar | Rodopar 1015'!$J:$J,'Doc Há Pagar | Rodopar 1015'!$A:$A,$B41&amp;$E41&amp;$F41,'Doc Há Pagar | Rodopar 1015'!$B:$B,U$1)</f>
        <v>0</v>
      </c>
      <c r="V41" s="20">
        <f>SUMIFS('Doc''s Pagos | Rodopar 108'!$J:$J,'Doc''s Pagos | Rodopar 108'!$A:$A,$B41&amp;$E41&amp;$F41&amp;$J41,'Doc''s Pagos | Rodopar 108'!$B:$B,V$1)+SUMIFS('Doc Há Pagar | Rodopar 1015'!$J:$J,'Doc Há Pagar | Rodopar 1015'!$A:$A,$B41&amp;$E41&amp;$F41,'Doc Há Pagar | Rodopar 1015'!$B:$B,V$1)</f>
        <v>0</v>
      </c>
      <c r="W41" s="20">
        <f>SUMIFS('Doc''s Pagos | Rodopar 108'!$J:$J,'Doc''s Pagos | Rodopar 108'!$A:$A,$B41&amp;$E41&amp;$F41&amp;$J41,'Doc''s Pagos | Rodopar 108'!$B:$B,W$1)+SUMIFS('Doc Há Pagar | Rodopar 1015'!$J:$J,'Doc Há Pagar | Rodopar 1015'!$A:$A,$B41&amp;$E41&amp;$F41,'Doc Há Pagar | Rodopar 1015'!$B:$B,W$1)</f>
        <v>0</v>
      </c>
      <c r="X41" s="20">
        <f>SUMIFS('Doc''s Pagos | Rodopar 108'!$J:$J,'Doc''s Pagos | Rodopar 108'!$A:$A,$B41&amp;$E41&amp;$F41&amp;$J41,'Doc''s Pagos | Rodopar 108'!$B:$B,X$1)+SUMIFS('Doc Há Pagar | Rodopar 1015'!$J:$J,'Doc Há Pagar | Rodopar 1015'!$A:$A,$B41&amp;$E41&amp;$F41,'Doc Há Pagar | Rodopar 1015'!$B:$B,X$1)</f>
        <v>0</v>
      </c>
      <c r="Y41" s="20">
        <f>SUMIFS('Doc''s Pagos | Rodopar 108'!$J:$J,'Doc''s Pagos | Rodopar 108'!$A:$A,$B41&amp;$E41&amp;$F41&amp;$J41,'Doc''s Pagos | Rodopar 108'!$B:$B,Y$1)+SUMIFS('Doc Há Pagar | Rodopar 1015'!$J:$J,'Doc Há Pagar | Rodopar 1015'!$A:$A,$B41&amp;$E41&amp;$F41,'Doc Há Pagar | Rodopar 1015'!$B:$B,Y$1)</f>
        <v>0</v>
      </c>
      <c r="Z41" s="20">
        <f>SUMIFS('Doc''s Pagos | Rodopar 108'!$J:$J,'Doc''s Pagos | Rodopar 108'!$A:$A,$B41&amp;$E41&amp;$F41&amp;$J41,'Doc''s Pagos | Rodopar 108'!$B:$B,Z$1)+SUMIFS('Doc Há Pagar | Rodopar 1015'!$J:$J,'Doc Há Pagar | Rodopar 1015'!$A:$A,$B41&amp;$E41&amp;$F41,'Doc Há Pagar | Rodopar 1015'!$B:$B,Z$1)</f>
        <v>0</v>
      </c>
      <c r="AA41" s="20">
        <f>SUMIFS('Doc''s Pagos | Rodopar 108'!$J:$J,'Doc''s Pagos | Rodopar 108'!$A:$A,$B41&amp;$E41&amp;$F41&amp;$J41,'Doc''s Pagos | Rodopar 108'!$B:$B,AA$1)+SUMIFS('Doc Há Pagar | Rodopar 1015'!$J:$J,'Doc Há Pagar | Rodopar 1015'!$A:$A,$B41&amp;$E41&amp;$F41,'Doc Há Pagar | Rodopar 1015'!$B:$B,AA$1)</f>
        <v>0</v>
      </c>
      <c r="AB41" s="20">
        <f>SUMIFS('Doc''s Pagos | Rodopar 108'!$J:$J,'Doc''s Pagos | Rodopar 108'!$A:$A,$B41&amp;$E41&amp;$F41&amp;$J41,'Doc''s Pagos | Rodopar 108'!$B:$B,AB$1)+SUMIFS('Doc Há Pagar | Rodopar 1015'!$J:$J,'Doc Há Pagar | Rodopar 1015'!$A:$A,$B41&amp;$E41&amp;$F41,'Doc Há Pagar | Rodopar 1015'!$B:$B,AB$1)</f>
        <v>0</v>
      </c>
      <c r="AC41" s="20">
        <f>SUMIFS('Doc''s Pagos | Rodopar 108'!$J:$J,'Doc''s Pagos | Rodopar 108'!$A:$A,$B41&amp;$E41&amp;$F41&amp;$J41,'Doc''s Pagos | Rodopar 108'!$B:$B,AC$1)+SUMIFS('Doc Há Pagar | Rodopar 1015'!$J:$J,'Doc Há Pagar | Rodopar 1015'!$A:$A,$B41&amp;$E41&amp;$F41,'Doc Há Pagar | Rodopar 1015'!$B:$B,AC$1)</f>
        <v>0</v>
      </c>
      <c r="AD41" s="20">
        <f>SUMIFS('Doc''s Pagos | Rodopar 108'!$J:$J,'Doc''s Pagos | Rodopar 108'!$A:$A,$B41&amp;$E41&amp;$F41&amp;$J41,'Doc''s Pagos | Rodopar 108'!$B:$B,AD$1)+SUMIFS('Doc Há Pagar | Rodopar 1015'!$J:$J,'Doc Há Pagar | Rodopar 1015'!$A:$A,$B41&amp;$E41&amp;$F41,'Doc Há Pagar | Rodopar 1015'!$B:$B,AD$1)</f>
        <v>0</v>
      </c>
    </row>
    <row r="42" spans="1:30" x14ac:dyDescent="0.25">
      <c r="A42" s="1" t="str">
        <f>VLOOKUP($E42,Fornecedores!$A:$C,3,0)</f>
        <v>Frota</v>
      </c>
      <c r="B42" s="14">
        <v>23753</v>
      </c>
      <c r="C42" s="14" t="str">
        <f>IFERROR(VLOOKUP($E42,Fornecedores!$A:$E,4,0),"")</f>
        <v>Manutenção</v>
      </c>
      <c r="D42" s="14" t="str">
        <f>IFERROR(VLOOKUP($E42,Fornecedores!$A:$E,5,0),"")</f>
        <v>Vans</v>
      </c>
      <c r="E42" s="8" t="s">
        <v>132</v>
      </c>
      <c r="F42" s="14" t="s">
        <v>665</v>
      </c>
      <c r="G42" s="8" t="s">
        <v>434</v>
      </c>
      <c r="H42" s="9">
        <v>87</v>
      </c>
      <c r="I42" s="21">
        <v>259</v>
      </c>
      <c r="J42" s="11">
        <v>46049</v>
      </c>
      <c r="K42" s="11">
        <v>46051</v>
      </c>
      <c r="L42" s="8" t="s">
        <v>435</v>
      </c>
      <c r="M42" s="14" t="s">
        <v>234</v>
      </c>
      <c r="N42" s="16">
        <v>1556</v>
      </c>
      <c r="O42" s="14" t="s">
        <v>241</v>
      </c>
      <c r="P42" s="14"/>
      <c r="Q42" s="20">
        <f t="shared" si="0"/>
        <v>0</v>
      </c>
      <c r="S42" s="20">
        <f>SUMIFS('Doc''s Pagos | Rodopar 108'!$J:$J,'Doc''s Pagos | Rodopar 108'!$A:$A,$B42&amp;$E42&amp;$F42&amp;$J42,'Doc''s Pagos | Rodopar 108'!$B:$B,S$1)+SUMIFS('Doc Há Pagar | Rodopar 1015'!$J:$J,'Doc Há Pagar | Rodopar 1015'!$A:$A,$B42&amp;$E42&amp;$F42,'Doc Há Pagar | Rodopar 1015'!$B:$B,S$1)</f>
        <v>0</v>
      </c>
      <c r="T42" s="20">
        <f>SUMIFS('Doc''s Pagos | Rodopar 108'!$J:$J,'Doc''s Pagos | Rodopar 108'!$A:$A,$B42&amp;$E42&amp;$F42&amp;$J42,'Doc''s Pagos | Rodopar 108'!$B:$B,T$1)+SUMIFS('Doc Há Pagar | Rodopar 1015'!$J:$J,'Doc Há Pagar | Rodopar 1015'!$A:$A,$B42&amp;$E42&amp;$F42,'Doc Há Pagar | Rodopar 1015'!$B:$B,T$1)</f>
        <v>259</v>
      </c>
      <c r="U42" s="20">
        <f>SUMIFS('Doc''s Pagos | Rodopar 108'!$J:$J,'Doc''s Pagos | Rodopar 108'!$A:$A,$B42&amp;$E42&amp;$F42&amp;$J42,'Doc''s Pagos | Rodopar 108'!$B:$B,U$1)+SUMIFS('Doc Há Pagar | Rodopar 1015'!$J:$J,'Doc Há Pagar | Rodopar 1015'!$A:$A,$B42&amp;$E42&amp;$F42,'Doc Há Pagar | Rodopar 1015'!$B:$B,U$1)</f>
        <v>0</v>
      </c>
      <c r="V42" s="20">
        <f>SUMIFS('Doc''s Pagos | Rodopar 108'!$J:$J,'Doc''s Pagos | Rodopar 108'!$A:$A,$B42&amp;$E42&amp;$F42&amp;$J42,'Doc''s Pagos | Rodopar 108'!$B:$B,V$1)+SUMIFS('Doc Há Pagar | Rodopar 1015'!$J:$J,'Doc Há Pagar | Rodopar 1015'!$A:$A,$B42&amp;$E42&amp;$F42,'Doc Há Pagar | Rodopar 1015'!$B:$B,V$1)</f>
        <v>0</v>
      </c>
      <c r="W42" s="20">
        <f>SUMIFS('Doc''s Pagos | Rodopar 108'!$J:$J,'Doc''s Pagos | Rodopar 108'!$A:$A,$B42&amp;$E42&amp;$F42&amp;$J42,'Doc''s Pagos | Rodopar 108'!$B:$B,W$1)+SUMIFS('Doc Há Pagar | Rodopar 1015'!$J:$J,'Doc Há Pagar | Rodopar 1015'!$A:$A,$B42&amp;$E42&amp;$F42,'Doc Há Pagar | Rodopar 1015'!$B:$B,W$1)</f>
        <v>0</v>
      </c>
      <c r="X42" s="20">
        <f>SUMIFS('Doc''s Pagos | Rodopar 108'!$J:$J,'Doc''s Pagos | Rodopar 108'!$A:$A,$B42&amp;$E42&amp;$F42&amp;$J42,'Doc''s Pagos | Rodopar 108'!$B:$B,X$1)+SUMIFS('Doc Há Pagar | Rodopar 1015'!$J:$J,'Doc Há Pagar | Rodopar 1015'!$A:$A,$B42&amp;$E42&amp;$F42,'Doc Há Pagar | Rodopar 1015'!$B:$B,X$1)</f>
        <v>0</v>
      </c>
      <c r="Y42" s="20">
        <f>SUMIFS('Doc''s Pagos | Rodopar 108'!$J:$J,'Doc''s Pagos | Rodopar 108'!$A:$A,$B42&amp;$E42&amp;$F42&amp;$J42,'Doc''s Pagos | Rodopar 108'!$B:$B,Y$1)+SUMIFS('Doc Há Pagar | Rodopar 1015'!$J:$J,'Doc Há Pagar | Rodopar 1015'!$A:$A,$B42&amp;$E42&amp;$F42,'Doc Há Pagar | Rodopar 1015'!$B:$B,Y$1)</f>
        <v>0</v>
      </c>
      <c r="Z42" s="20">
        <f>SUMIFS('Doc''s Pagos | Rodopar 108'!$J:$J,'Doc''s Pagos | Rodopar 108'!$A:$A,$B42&amp;$E42&amp;$F42&amp;$J42,'Doc''s Pagos | Rodopar 108'!$B:$B,Z$1)+SUMIFS('Doc Há Pagar | Rodopar 1015'!$J:$J,'Doc Há Pagar | Rodopar 1015'!$A:$A,$B42&amp;$E42&amp;$F42,'Doc Há Pagar | Rodopar 1015'!$B:$B,Z$1)</f>
        <v>0</v>
      </c>
      <c r="AA42" s="20">
        <f>SUMIFS('Doc''s Pagos | Rodopar 108'!$J:$J,'Doc''s Pagos | Rodopar 108'!$A:$A,$B42&amp;$E42&amp;$F42&amp;$J42,'Doc''s Pagos | Rodopar 108'!$B:$B,AA$1)+SUMIFS('Doc Há Pagar | Rodopar 1015'!$J:$J,'Doc Há Pagar | Rodopar 1015'!$A:$A,$B42&amp;$E42&amp;$F42,'Doc Há Pagar | Rodopar 1015'!$B:$B,AA$1)</f>
        <v>0</v>
      </c>
      <c r="AB42" s="20">
        <f>SUMIFS('Doc''s Pagos | Rodopar 108'!$J:$J,'Doc''s Pagos | Rodopar 108'!$A:$A,$B42&amp;$E42&amp;$F42&amp;$J42,'Doc''s Pagos | Rodopar 108'!$B:$B,AB$1)+SUMIFS('Doc Há Pagar | Rodopar 1015'!$J:$J,'Doc Há Pagar | Rodopar 1015'!$A:$A,$B42&amp;$E42&amp;$F42,'Doc Há Pagar | Rodopar 1015'!$B:$B,AB$1)</f>
        <v>0</v>
      </c>
      <c r="AC42" s="20">
        <f>SUMIFS('Doc''s Pagos | Rodopar 108'!$J:$J,'Doc''s Pagos | Rodopar 108'!$A:$A,$B42&amp;$E42&amp;$F42&amp;$J42,'Doc''s Pagos | Rodopar 108'!$B:$B,AC$1)+SUMIFS('Doc Há Pagar | Rodopar 1015'!$J:$J,'Doc Há Pagar | Rodopar 1015'!$A:$A,$B42&amp;$E42&amp;$F42,'Doc Há Pagar | Rodopar 1015'!$B:$B,AC$1)</f>
        <v>0</v>
      </c>
      <c r="AD42" s="20">
        <f>SUMIFS('Doc''s Pagos | Rodopar 108'!$J:$J,'Doc''s Pagos | Rodopar 108'!$A:$A,$B42&amp;$E42&amp;$F42&amp;$J42,'Doc''s Pagos | Rodopar 108'!$B:$B,AD$1)+SUMIFS('Doc Há Pagar | Rodopar 1015'!$J:$J,'Doc Há Pagar | Rodopar 1015'!$A:$A,$B42&amp;$E42&amp;$F42,'Doc Há Pagar | Rodopar 1015'!$B:$B,AD$1)</f>
        <v>0</v>
      </c>
    </row>
    <row r="43" spans="1:30" x14ac:dyDescent="0.25">
      <c r="A43" s="1" t="str">
        <f>VLOOKUP($E43,Fornecedores!$A:$C,3,0)</f>
        <v>Frota</v>
      </c>
      <c r="B43" s="14">
        <v>45843</v>
      </c>
      <c r="C43" s="14" t="str">
        <f>IFERROR(VLOOKUP($E43,Fornecedores!$A:$E,4,0),"")</f>
        <v>Sinistro</v>
      </c>
      <c r="D43" s="14" t="str">
        <f>IFERROR(VLOOKUP($E43,Fornecedores!$A:$E,5,0),"")</f>
        <v>Parabrisa</v>
      </c>
      <c r="E43" s="8" t="s">
        <v>553</v>
      </c>
      <c r="F43" s="14" t="s">
        <v>380</v>
      </c>
      <c r="G43" s="8" t="s">
        <v>554</v>
      </c>
      <c r="H43" s="9">
        <v>87</v>
      </c>
      <c r="I43" s="21">
        <v>940</v>
      </c>
      <c r="J43" s="11">
        <v>46050</v>
      </c>
      <c r="K43" s="11">
        <v>46051</v>
      </c>
      <c r="L43" s="8" t="s">
        <v>382</v>
      </c>
      <c r="M43" s="14" t="s">
        <v>234</v>
      </c>
      <c r="N43" s="16">
        <v>1556</v>
      </c>
      <c r="O43" s="14" t="s">
        <v>241</v>
      </c>
      <c r="P43" s="14"/>
      <c r="Q43" s="20">
        <f t="shared" si="0"/>
        <v>0</v>
      </c>
      <c r="S43" s="20">
        <f>SUMIFS('Doc''s Pagos | Rodopar 108'!$J:$J,'Doc''s Pagos | Rodopar 108'!$A:$A,$B43&amp;$E43&amp;$F43&amp;$J43,'Doc''s Pagos | Rodopar 108'!$B:$B,S$1)+SUMIFS('Doc Há Pagar | Rodopar 1015'!$J:$J,'Doc Há Pagar | Rodopar 1015'!$A:$A,$B43&amp;$E43&amp;$F43,'Doc Há Pagar | Rodopar 1015'!$B:$B,S$1)</f>
        <v>0</v>
      </c>
      <c r="T43" s="20">
        <f>SUMIFS('Doc''s Pagos | Rodopar 108'!$J:$J,'Doc''s Pagos | Rodopar 108'!$A:$A,$B43&amp;$E43&amp;$F43&amp;$J43,'Doc''s Pagos | Rodopar 108'!$B:$B,T$1)+SUMIFS('Doc Há Pagar | Rodopar 1015'!$J:$J,'Doc Há Pagar | Rodopar 1015'!$A:$A,$B43&amp;$E43&amp;$F43,'Doc Há Pagar | Rodopar 1015'!$B:$B,T$1)</f>
        <v>940</v>
      </c>
      <c r="U43" s="20">
        <f>SUMIFS('Doc''s Pagos | Rodopar 108'!$J:$J,'Doc''s Pagos | Rodopar 108'!$A:$A,$B43&amp;$E43&amp;$F43&amp;$J43,'Doc''s Pagos | Rodopar 108'!$B:$B,U$1)+SUMIFS('Doc Há Pagar | Rodopar 1015'!$J:$J,'Doc Há Pagar | Rodopar 1015'!$A:$A,$B43&amp;$E43&amp;$F43,'Doc Há Pagar | Rodopar 1015'!$B:$B,U$1)</f>
        <v>0</v>
      </c>
      <c r="V43" s="20">
        <f>SUMIFS('Doc''s Pagos | Rodopar 108'!$J:$J,'Doc''s Pagos | Rodopar 108'!$A:$A,$B43&amp;$E43&amp;$F43&amp;$J43,'Doc''s Pagos | Rodopar 108'!$B:$B,V$1)+SUMIFS('Doc Há Pagar | Rodopar 1015'!$J:$J,'Doc Há Pagar | Rodopar 1015'!$A:$A,$B43&amp;$E43&amp;$F43,'Doc Há Pagar | Rodopar 1015'!$B:$B,V$1)</f>
        <v>0</v>
      </c>
      <c r="W43" s="20">
        <f>SUMIFS('Doc''s Pagos | Rodopar 108'!$J:$J,'Doc''s Pagos | Rodopar 108'!$A:$A,$B43&amp;$E43&amp;$F43&amp;$J43,'Doc''s Pagos | Rodopar 108'!$B:$B,W$1)+SUMIFS('Doc Há Pagar | Rodopar 1015'!$J:$J,'Doc Há Pagar | Rodopar 1015'!$A:$A,$B43&amp;$E43&amp;$F43,'Doc Há Pagar | Rodopar 1015'!$B:$B,W$1)</f>
        <v>0</v>
      </c>
      <c r="X43" s="20">
        <f>SUMIFS('Doc''s Pagos | Rodopar 108'!$J:$J,'Doc''s Pagos | Rodopar 108'!$A:$A,$B43&amp;$E43&amp;$F43&amp;$J43,'Doc''s Pagos | Rodopar 108'!$B:$B,X$1)+SUMIFS('Doc Há Pagar | Rodopar 1015'!$J:$J,'Doc Há Pagar | Rodopar 1015'!$A:$A,$B43&amp;$E43&amp;$F43,'Doc Há Pagar | Rodopar 1015'!$B:$B,X$1)</f>
        <v>0</v>
      </c>
      <c r="Y43" s="20">
        <f>SUMIFS('Doc''s Pagos | Rodopar 108'!$J:$J,'Doc''s Pagos | Rodopar 108'!$A:$A,$B43&amp;$E43&amp;$F43&amp;$J43,'Doc''s Pagos | Rodopar 108'!$B:$B,Y$1)+SUMIFS('Doc Há Pagar | Rodopar 1015'!$J:$J,'Doc Há Pagar | Rodopar 1015'!$A:$A,$B43&amp;$E43&amp;$F43,'Doc Há Pagar | Rodopar 1015'!$B:$B,Y$1)</f>
        <v>0</v>
      </c>
      <c r="Z43" s="20">
        <f>SUMIFS('Doc''s Pagos | Rodopar 108'!$J:$J,'Doc''s Pagos | Rodopar 108'!$A:$A,$B43&amp;$E43&amp;$F43&amp;$J43,'Doc''s Pagos | Rodopar 108'!$B:$B,Z$1)+SUMIFS('Doc Há Pagar | Rodopar 1015'!$J:$J,'Doc Há Pagar | Rodopar 1015'!$A:$A,$B43&amp;$E43&amp;$F43,'Doc Há Pagar | Rodopar 1015'!$B:$B,Z$1)</f>
        <v>0</v>
      </c>
      <c r="AA43" s="20">
        <f>SUMIFS('Doc''s Pagos | Rodopar 108'!$J:$J,'Doc''s Pagos | Rodopar 108'!$A:$A,$B43&amp;$E43&amp;$F43&amp;$J43,'Doc''s Pagos | Rodopar 108'!$B:$B,AA$1)+SUMIFS('Doc Há Pagar | Rodopar 1015'!$J:$J,'Doc Há Pagar | Rodopar 1015'!$A:$A,$B43&amp;$E43&amp;$F43,'Doc Há Pagar | Rodopar 1015'!$B:$B,AA$1)</f>
        <v>0</v>
      </c>
      <c r="AB43" s="20">
        <f>SUMIFS('Doc''s Pagos | Rodopar 108'!$J:$J,'Doc''s Pagos | Rodopar 108'!$A:$A,$B43&amp;$E43&amp;$F43&amp;$J43,'Doc''s Pagos | Rodopar 108'!$B:$B,AB$1)+SUMIFS('Doc Há Pagar | Rodopar 1015'!$J:$J,'Doc Há Pagar | Rodopar 1015'!$A:$A,$B43&amp;$E43&amp;$F43,'Doc Há Pagar | Rodopar 1015'!$B:$B,AB$1)</f>
        <v>0</v>
      </c>
      <c r="AC43" s="20">
        <f>SUMIFS('Doc''s Pagos | Rodopar 108'!$J:$J,'Doc''s Pagos | Rodopar 108'!$A:$A,$B43&amp;$E43&amp;$F43&amp;$J43,'Doc''s Pagos | Rodopar 108'!$B:$B,AC$1)+SUMIFS('Doc Há Pagar | Rodopar 1015'!$J:$J,'Doc Há Pagar | Rodopar 1015'!$A:$A,$B43&amp;$E43&amp;$F43,'Doc Há Pagar | Rodopar 1015'!$B:$B,AC$1)</f>
        <v>0</v>
      </c>
      <c r="AD43" s="20">
        <f>SUMIFS('Doc''s Pagos | Rodopar 108'!$J:$J,'Doc''s Pagos | Rodopar 108'!$A:$A,$B43&amp;$E43&amp;$F43&amp;$J43,'Doc''s Pagos | Rodopar 108'!$B:$B,AD$1)+SUMIFS('Doc Há Pagar | Rodopar 1015'!$J:$J,'Doc Há Pagar | Rodopar 1015'!$A:$A,$B43&amp;$E43&amp;$F43,'Doc Há Pagar | Rodopar 1015'!$B:$B,AD$1)</f>
        <v>0</v>
      </c>
    </row>
    <row r="44" spans="1:30" x14ac:dyDescent="0.25">
      <c r="A44" s="1" t="str">
        <f>VLOOKUP($E44,Fornecedores!$A:$C,3,0)</f>
        <v>Frota</v>
      </c>
      <c r="B44" s="14">
        <v>227</v>
      </c>
      <c r="C44" s="14" t="str">
        <f>IFERROR(VLOOKUP($E44,Fornecedores!$A:$E,4,0),"")</f>
        <v>Documentação</v>
      </c>
      <c r="D44" s="14" t="str">
        <f>IFERROR(VLOOKUP($E44,Fornecedores!$A:$E,5,0),"")</f>
        <v>Tacografos</v>
      </c>
      <c r="E44" s="8" t="s">
        <v>26</v>
      </c>
      <c r="F44" s="14" t="s">
        <v>665</v>
      </c>
      <c r="G44" s="8" t="s">
        <v>579</v>
      </c>
      <c r="H44" s="9">
        <v>87</v>
      </c>
      <c r="I44" s="21">
        <v>80</v>
      </c>
      <c r="J44" s="11">
        <v>46051</v>
      </c>
      <c r="K44" s="11">
        <v>46052</v>
      </c>
      <c r="L44" s="8" t="s">
        <v>382</v>
      </c>
      <c r="M44" s="14" t="s">
        <v>234</v>
      </c>
      <c r="N44" s="16">
        <v>1556</v>
      </c>
      <c r="O44" s="14" t="s">
        <v>241</v>
      </c>
      <c r="P44" s="14"/>
      <c r="Q44" s="20">
        <f t="shared" si="0"/>
        <v>0</v>
      </c>
      <c r="S44" s="20">
        <f>SUMIFS('Doc''s Pagos | Rodopar 108'!$J:$J,'Doc''s Pagos | Rodopar 108'!$A:$A,$B44&amp;$E44&amp;$F44&amp;$J44,'Doc''s Pagos | Rodopar 108'!$B:$B,S$1)+SUMIFS('Doc Há Pagar | Rodopar 1015'!$J:$J,'Doc Há Pagar | Rodopar 1015'!$A:$A,$B44&amp;$E44&amp;$F44,'Doc Há Pagar | Rodopar 1015'!$B:$B,S$1)</f>
        <v>0</v>
      </c>
      <c r="T44" s="20">
        <f>SUMIFS('Doc''s Pagos | Rodopar 108'!$J:$J,'Doc''s Pagos | Rodopar 108'!$A:$A,$B44&amp;$E44&amp;$F44&amp;$J44,'Doc''s Pagos | Rodopar 108'!$B:$B,T$1)+SUMIFS('Doc Há Pagar | Rodopar 1015'!$J:$J,'Doc Há Pagar | Rodopar 1015'!$A:$A,$B44&amp;$E44&amp;$F44,'Doc Há Pagar | Rodopar 1015'!$B:$B,T$1)</f>
        <v>80</v>
      </c>
      <c r="U44" s="20">
        <f>SUMIFS('Doc''s Pagos | Rodopar 108'!$J:$J,'Doc''s Pagos | Rodopar 108'!$A:$A,$B44&amp;$E44&amp;$F44&amp;$J44,'Doc''s Pagos | Rodopar 108'!$B:$B,U$1)+SUMIFS('Doc Há Pagar | Rodopar 1015'!$J:$J,'Doc Há Pagar | Rodopar 1015'!$A:$A,$B44&amp;$E44&amp;$F44,'Doc Há Pagar | Rodopar 1015'!$B:$B,U$1)</f>
        <v>0</v>
      </c>
      <c r="V44" s="20">
        <f>SUMIFS('Doc''s Pagos | Rodopar 108'!$J:$J,'Doc''s Pagos | Rodopar 108'!$A:$A,$B44&amp;$E44&amp;$F44&amp;$J44,'Doc''s Pagos | Rodopar 108'!$B:$B,V$1)+SUMIFS('Doc Há Pagar | Rodopar 1015'!$J:$J,'Doc Há Pagar | Rodopar 1015'!$A:$A,$B44&amp;$E44&amp;$F44,'Doc Há Pagar | Rodopar 1015'!$B:$B,V$1)</f>
        <v>0</v>
      </c>
      <c r="W44" s="20">
        <f>SUMIFS('Doc''s Pagos | Rodopar 108'!$J:$J,'Doc''s Pagos | Rodopar 108'!$A:$A,$B44&amp;$E44&amp;$F44&amp;$J44,'Doc''s Pagos | Rodopar 108'!$B:$B,W$1)+SUMIFS('Doc Há Pagar | Rodopar 1015'!$J:$J,'Doc Há Pagar | Rodopar 1015'!$A:$A,$B44&amp;$E44&amp;$F44,'Doc Há Pagar | Rodopar 1015'!$B:$B,W$1)</f>
        <v>0</v>
      </c>
      <c r="X44" s="20">
        <f>SUMIFS('Doc''s Pagos | Rodopar 108'!$J:$J,'Doc''s Pagos | Rodopar 108'!$A:$A,$B44&amp;$E44&amp;$F44&amp;$J44,'Doc''s Pagos | Rodopar 108'!$B:$B,X$1)+SUMIFS('Doc Há Pagar | Rodopar 1015'!$J:$J,'Doc Há Pagar | Rodopar 1015'!$A:$A,$B44&amp;$E44&amp;$F44,'Doc Há Pagar | Rodopar 1015'!$B:$B,X$1)</f>
        <v>0</v>
      </c>
      <c r="Y44" s="20">
        <f>SUMIFS('Doc''s Pagos | Rodopar 108'!$J:$J,'Doc''s Pagos | Rodopar 108'!$A:$A,$B44&amp;$E44&amp;$F44&amp;$J44,'Doc''s Pagos | Rodopar 108'!$B:$B,Y$1)+SUMIFS('Doc Há Pagar | Rodopar 1015'!$J:$J,'Doc Há Pagar | Rodopar 1015'!$A:$A,$B44&amp;$E44&amp;$F44,'Doc Há Pagar | Rodopar 1015'!$B:$B,Y$1)</f>
        <v>0</v>
      </c>
      <c r="Z44" s="20">
        <f>SUMIFS('Doc''s Pagos | Rodopar 108'!$J:$J,'Doc''s Pagos | Rodopar 108'!$A:$A,$B44&amp;$E44&amp;$F44&amp;$J44,'Doc''s Pagos | Rodopar 108'!$B:$B,Z$1)+SUMIFS('Doc Há Pagar | Rodopar 1015'!$J:$J,'Doc Há Pagar | Rodopar 1015'!$A:$A,$B44&amp;$E44&amp;$F44,'Doc Há Pagar | Rodopar 1015'!$B:$B,Z$1)</f>
        <v>0</v>
      </c>
      <c r="AA44" s="20">
        <f>SUMIFS('Doc''s Pagos | Rodopar 108'!$J:$J,'Doc''s Pagos | Rodopar 108'!$A:$A,$B44&amp;$E44&amp;$F44&amp;$J44,'Doc''s Pagos | Rodopar 108'!$B:$B,AA$1)+SUMIFS('Doc Há Pagar | Rodopar 1015'!$J:$J,'Doc Há Pagar | Rodopar 1015'!$A:$A,$B44&amp;$E44&amp;$F44,'Doc Há Pagar | Rodopar 1015'!$B:$B,AA$1)</f>
        <v>0</v>
      </c>
      <c r="AB44" s="20">
        <f>SUMIFS('Doc''s Pagos | Rodopar 108'!$J:$J,'Doc''s Pagos | Rodopar 108'!$A:$A,$B44&amp;$E44&amp;$F44&amp;$J44,'Doc''s Pagos | Rodopar 108'!$B:$B,AB$1)+SUMIFS('Doc Há Pagar | Rodopar 1015'!$J:$J,'Doc Há Pagar | Rodopar 1015'!$A:$A,$B44&amp;$E44&amp;$F44,'Doc Há Pagar | Rodopar 1015'!$B:$B,AB$1)</f>
        <v>0</v>
      </c>
      <c r="AC44" s="20">
        <f>SUMIFS('Doc''s Pagos | Rodopar 108'!$J:$J,'Doc''s Pagos | Rodopar 108'!$A:$A,$B44&amp;$E44&amp;$F44&amp;$J44,'Doc''s Pagos | Rodopar 108'!$B:$B,AC$1)+SUMIFS('Doc Há Pagar | Rodopar 1015'!$J:$J,'Doc Há Pagar | Rodopar 1015'!$A:$A,$B44&amp;$E44&amp;$F44,'Doc Há Pagar | Rodopar 1015'!$B:$B,AC$1)</f>
        <v>0</v>
      </c>
      <c r="AD44" s="20">
        <f>SUMIFS('Doc''s Pagos | Rodopar 108'!$J:$J,'Doc''s Pagos | Rodopar 108'!$A:$A,$B44&amp;$E44&amp;$F44&amp;$J44,'Doc''s Pagos | Rodopar 108'!$B:$B,AD$1)+SUMIFS('Doc Há Pagar | Rodopar 1015'!$J:$J,'Doc Há Pagar | Rodopar 1015'!$A:$A,$B44&amp;$E44&amp;$F44,'Doc Há Pagar | Rodopar 1015'!$B:$B,AD$1)</f>
        <v>0</v>
      </c>
    </row>
    <row r="45" spans="1:30" x14ac:dyDescent="0.25">
      <c r="A45" s="1" t="str">
        <f>VLOOKUP($E45,Fornecedores!$A:$C,3,0)</f>
        <v>Frota</v>
      </c>
      <c r="B45" s="14">
        <v>30</v>
      </c>
      <c r="C45" s="14" t="str">
        <f>IFERROR(VLOOKUP($E45,Fornecedores!$A:$E,4,0),"")</f>
        <v>Manutenção</v>
      </c>
      <c r="D45" s="14" t="str">
        <f>IFERROR(VLOOKUP($E45,Fornecedores!$A:$E,5,0),"")</f>
        <v>Peças E Serviços</v>
      </c>
      <c r="E45" s="8" t="s">
        <v>825</v>
      </c>
      <c r="F45" s="14" t="s">
        <v>665</v>
      </c>
      <c r="G45" s="8" t="s">
        <v>826</v>
      </c>
      <c r="H45" s="9">
        <v>87</v>
      </c>
      <c r="I45" s="21">
        <v>1700.8</v>
      </c>
      <c r="J45" s="11">
        <v>46051</v>
      </c>
      <c r="K45" s="11">
        <v>46052</v>
      </c>
      <c r="L45" s="8" t="s">
        <v>282</v>
      </c>
      <c r="M45" s="14" t="s">
        <v>234</v>
      </c>
      <c r="N45" s="16">
        <v>1556</v>
      </c>
      <c r="O45" s="14" t="s">
        <v>241</v>
      </c>
      <c r="P45" s="14"/>
      <c r="Q45" s="20">
        <f t="shared" si="0"/>
        <v>0</v>
      </c>
      <c r="S45" s="20">
        <f>SUMIFS('Doc''s Pagos | Rodopar 108'!$J:$J,'Doc''s Pagos | Rodopar 108'!$A:$A,$B45&amp;$E45&amp;$F45&amp;$J45,'Doc''s Pagos | Rodopar 108'!$B:$B,S$1)+SUMIFS('Doc Há Pagar | Rodopar 1015'!$J:$J,'Doc Há Pagar | Rodopar 1015'!$A:$A,$B45&amp;$E45&amp;$F45,'Doc Há Pagar | Rodopar 1015'!$B:$B,S$1)</f>
        <v>1700.8</v>
      </c>
      <c r="T45" s="20">
        <f>SUMIFS('Doc''s Pagos | Rodopar 108'!$J:$J,'Doc''s Pagos | Rodopar 108'!$A:$A,$B45&amp;$E45&amp;$F45&amp;$J45,'Doc''s Pagos | Rodopar 108'!$B:$B,T$1)+SUMIFS('Doc Há Pagar | Rodopar 1015'!$J:$J,'Doc Há Pagar | Rodopar 1015'!$A:$A,$B45&amp;$E45&amp;$F45,'Doc Há Pagar | Rodopar 1015'!$B:$B,T$1)</f>
        <v>0</v>
      </c>
      <c r="U45" s="20">
        <f>SUMIFS('Doc''s Pagos | Rodopar 108'!$J:$J,'Doc''s Pagos | Rodopar 108'!$A:$A,$B45&amp;$E45&amp;$F45&amp;$J45,'Doc''s Pagos | Rodopar 108'!$B:$B,U$1)+SUMIFS('Doc Há Pagar | Rodopar 1015'!$J:$J,'Doc Há Pagar | Rodopar 1015'!$A:$A,$B45&amp;$E45&amp;$F45,'Doc Há Pagar | Rodopar 1015'!$B:$B,U$1)</f>
        <v>0</v>
      </c>
      <c r="V45" s="20">
        <f>SUMIFS('Doc''s Pagos | Rodopar 108'!$J:$J,'Doc''s Pagos | Rodopar 108'!$A:$A,$B45&amp;$E45&amp;$F45&amp;$J45,'Doc''s Pagos | Rodopar 108'!$B:$B,V$1)+SUMIFS('Doc Há Pagar | Rodopar 1015'!$J:$J,'Doc Há Pagar | Rodopar 1015'!$A:$A,$B45&amp;$E45&amp;$F45,'Doc Há Pagar | Rodopar 1015'!$B:$B,V$1)</f>
        <v>0</v>
      </c>
      <c r="W45" s="20">
        <f>SUMIFS('Doc''s Pagos | Rodopar 108'!$J:$J,'Doc''s Pagos | Rodopar 108'!$A:$A,$B45&amp;$E45&amp;$F45&amp;$J45,'Doc''s Pagos | Rodopar 108'!$B:$B,W$1)+SUMIFS('Doc Há Pagar | Rodopar 1015'!$J:$J,'Doc Há Pagar | Rodopar 1015'!$A:$A,$B45&amp;$E45&amp;$F45,'Doc Há Pagar | Rodopar 1015'!$B:$B,W$1)</f>
        <v>0</v>
      </c>
      <c r="X45" s="20">
        <f>SUMIFS('Doc''s Pagos | Rodopar 108'!$J:$J,'Doc''s Pagos | Rodopar 108'!$A:$A,$B45&amp;$E45&amp;$F45&amp;$J45,'Doc''s Pagos | Rodopar 108'!$B:$B,X$1)+SUMIFS('Doc Há Pagar | Rodopar 1015'!$J:$J,'Doc Há Pagar | Rodopar 1015'!$A:$A,$B45&amp;$E45&amp;$F45,'Doc Há Pagar | Rodopar 1015'!$B:$B,X$1)</f>
        <v>0</v>
      </c>
      <c r="Y45" s="20">
        <f>SUMIFS('Doc''s Pagos | Rodopar 108'!$J:$J,'Doc''s Pagos | Rodopar 108'!$A:$A,$B45&amp;$E45&amp;$F45&amp;$J45,'Doc''s Pagos | Rodopar 108'!$B:$B,Y$1)+SUMIFS('Doc Há Pagar | Rodopar 1015'!$J:$J,'Doc Há Pagar | Rodopar 1015'!$A:$A,$B45&amp;$E45&amp;$F45,'Doc Há Pagar | Rodopar 1015'!$B:$B,Y$1)</f>
        <v>0</v>
      </c>
      <c r="Z45" s="20">
        <f>SUMIFS('Doc''s Pagos | Rodopar 108'!$J:$J,'Doc''s Pagos | Rodopar 108'!$A:$A,$B45&amp;$E45&amp;$F45&amp;$J45,'Doc''s Pagos | Rodopar 108'!$B:$B,Z$1)+SUMIFS('Doc Há Pagar | Rodopar 1015'!$J:$J,'Doc Há Pagar | Rodopar 1015'!$A:$A,$B45&amp;$E45&amp;$F45,'Doc Há Pagar | Rodopar 1015'!$B:$B,Z$1)</f>
        <v>0</v>
      </c>
      <c r="AA45" s="20">
        <f>SUMIFS('Doc''s Pagos | Rodopar 108'!$J:$J,'Doc''s Pagos | Rodopar 108'!$A:$A,$B45&amp;$E45&amp;$F45&amp;$J45,'Doc''s Pagos | Rodopar 108'!$B:$B,AA$1)+SUMIFS('Doc Há Pagar | Rodopar 1015'!$J:$J,'Doc Há Pagar | Rodopar 1015'!$A:$A,$B45&amp;$E45&amp;$F45,'Doc Há Pagar | Rodopar 1015'!$B:$B,AA$1)</f>
        <v>0</v>
      </c>
      <c r="AB45" s="20">
        <f>SUMIFS('Doc''s Pagos | Rodopar 108'!$J:$J,'Doc''s Pagos | Rodopar 108'!$A:$A,$B45&amp;$E45&amp;$F45&amp;$J45,'Doc''s Pagos | Rodopar 108'!$B:$B,AB$1)+SUMIFS('Doc Há Pagar | Rodopar 1015'!$J:$J,'Doc Há Pagar | Rodopar 1015'!$A:$A,$B45&amp;$E45&amp;$F45,'Doc Há Pagar | Rodopar 1015'!$B:$B,AB$1)</f>
        <v>0</v>
      </c>
      <c r="AC45" s="20">
        <f>SUMIFS('Doc''s Pagos | Rodopar 108'!$J:$J,'Doc''s Pagos | Rodopar 108'!$A:$A,$B45&amp;$E45&amp;$F45&amp;$J45,'Doc''s Pagos | Rodopar 108'!$B:$B,AC$1)+SUMIFS('Doc Há Pagar | Rodopar 1015'!$J:$J,'Doc Há Pagar | Rodopar 1015'!$A:$A,$B45&amp;$E45&amp;$F45,'Doc Há Pagar | Rodopar 1015'!$B:$B,AC$1)</f>
        <v>0</v>
      </c>
      <c r="AD45" s="20">
        <f>SUMIFS('Doc''s Pagos | Rodopar 108'!$J:$J,'Doc''s Pagos | Rodopar 108'!$A:$A,$B45&amp;$E45&amp;$F45&amp;$J45,'Doc''s Pagos | Rodopar 108'!$B:$B,AD$1)+SUMIFS('Doc Há Pagar | Rodopar 1015'!$J:$J,'Doc Há Pagar | Rodopar 1015'!$A:$A,$B45&amp;$E45&amp;$F45,'Doc Há Pagar | Rodopar 1015'!$B:$B,AD$1)</f>
        <v>0</v>
      </c>
    </row>
    <row r="46" spans="1:30" x14ac:dyDescent="0.25">
      <c r="A46" s="1" t="str">
        <f>VLOOKUP($E46,Fornecedores!$A:$C,3,0)</f>
        <v>Frota</v>
      </c>
      <c r="B46" s="14">
        <v>330</v>
      </c>
      <c r="C46" s="14" t="str">
        <f>IFERROR(VLOOKUP($E46,Fornecedores!$A:$E,4,0),"")</f>
        <v>Pneus</v>
      </c>
      <c r="D46" s="14" t="str">
        <f>IFERROR(VLOOKUP($E46,Fornecedores!$A:$E,5,0),"")</f>
        <v>Ressolagem</v>
      </c>
      <c r="E46" s="8" t="s">
        <v>81</v>
      </c>
      <c r="F46" s="14" t="s">
        <v>665</v>
      </c>
      <c r="G46" s="8" t="s">
        <v>612</v>
      </c>
      <c r="H46" s="9">
        <v>87</v>
      </c>
      <c r="I46" s="21">
        <v>10635</v>
      </c>
      <c r="J46" s="11">
        <v>46051</v>
      </c>
      <c r="K46" s="11">
        <v>46054</v>
      </c>
      <c r="L46" s="8" t="s">
        <v>382</v>
      </c>
      <c r="M46" s="14" t="s">
        <v>234</v>
      </c>
      <c r="N46" s="16">
        <v>1556</v>
      </c>
      <c r="O46" s="14" t="s">
        <v>241</v>
      </c>
      <c r="P46" s="14"/>
      <c r="Q46" s="20">
        <f t="shared" si="0"/>
        <v>0</v>
      </c>
      <c r="S46" s="20">
        <f>SUMIFS('Doc''s Pagos | Rodopar 108'!$J:$J,'Doc''s Pagos | Rodopar 108'!$A:$A,$B46&amp;$E46&amp;$F46&amp;$J46,'Doc''s Pagos | Rodopar 108'!$B:$B,S$1)+SUMIFS('Doc Há Pagar | Rodopar 1015'!$J:$J,'Doc Há Pagar | Rodopar 1015'!$A:$A,$B46&amp;$E46&amp;$F46,'Doc Há Pagar | Rodopar 1015'!$B:$B,S$1)</f>
        <v>0</v>
      </c>
      <c r="T46" s="20">
        <f>SUMIFS('Doc''s Pagos | Rodopar 108'!$J:$J,'Doc''s Pagos | Rodopar 108'!$A:$A,$B46&amp;$E46&amp;$F46&amp;$J46,'Doc''s Pagos | Rodopar 108'!$B:$B,T$1)+SUMIFS('Doc Há Pagar | Rodopar 1015'!$J:$J,'Doc Há Pagar | Rodopar 1015'!$A:$A,$B46&amp;$E46&amp;$F46,'Doc Há Pagar | Rodopar 1015'!$B:$B,T$1)</f>
        <v>3545.01</v>
      </c>
      <c r="U46" s="20">
        <f>SUMIFS('Doc''s Pagos | Rodopar 108'!$J:$J,'Doc''s Pagos | Rodopar 108'!$A:$A,$B46&amp;$E46&amp;$F46&amp;$J46,'Doc''s Pagos | Rodopar 108'!$B:$B,U$1)+SUMIFS('Doc Há Pagar | Rodopar 1015'!$J:$J,'Doc Há Pagar | Rodopar 1015'!$A:$A,$B46&amp;$E46&amp;$F46,'Doc Há Pagar | Rodopar 1015'!$B:$B,U$1)</f>
        <v>3545</v>
      </c>
      <c r="V46" s="20">
        <f>SUMIFS('Doc''s Pagos | Rodopar 108'!$J:$J,'Doc''s Pagos | Rodopar 108'!$A:$A,$B46&amp;$E46&amp;$F46&amp;$J46,'Doc''s Pagos | Rodopar 108'!$B:$B,V$1)+SUMIFS('Doc Há Pagar | Rodopar 1015'!$J:$J,'Doc Há Pagar | Rodopar 1015'!$A:$A,$B46&amp;$E46&amp;$F46,'Doc Há Pagar | Rodopar 1015'!$B:$B,V$1)</f>
        <v>3544.99</v>
      </c>
      <c r="W46" s="20">
        <f>SUMIFS('Doc''s Pagos | Rodopar 108'!$J:$J,'Doc''s Pagos | Rodopar 108'!$A:$A,$B46&amp;$E46&amp;$F46&amp;$J46,'Doc''s Pagos | Rodopar 108'!$B:$B,W$1)+SUMIFS('Doc Há Pagar | Rodopar 1015'!$J:$J,'Doc Há Pagar | Rodopar 1015'!$A:$A,$B46&amp;$E46&amp;$F46,'Doc Há Pagar | Rodopar 1015'!$B:$B,W$1)</f>
        <v>0</v>
      </c>
      <c r="X46" s="20">
        <f>SUMIFS('Doc''s Pagos | Rodopar 108'!$J:$J,'Doc''s Pagos | Rodopar 108'!$A:$A,$B46&amp;$E46&amp;$F46&amp;$J46,'Doc''s Pagos | Rodopar 108'!$B:$B,X$1)+SUMIFS('Doc Há Pagar | Rodopar 1015'!$J:$J,'Doc Há Pagar | Rodopar 1015'!$A:$A,$B46&amp;$E46&amp;$F46,'Doc Há Pagar | Rodopar 1015'!$B:$B,X$1)</f>
        <v>0</v>
      </c>
      <c r="Y46" s="20">
        <f>SUMIFS('Doc''s Pagos | Rodopar 108'!$J:$J,'Doc''s Pagos | Rodopar 108'!$A:$A,$B46&amp;$E46&amp;$F46&amp;$J46,'Doc''s Pagos | Rodopar 108'!$B:$B,Y$1)+SUMIFS('Doc Há Pagar | Rodopar 1015'!$J:$J,'Doc Há Pagar | Rodopar 1015'!$A:$A,$B46&amp;$E46&amp;$F46,'Doc Há Pagar | Rodopar 1015'!$B:$B,Y$1)</f>
        <v>0</v>
      </c>
      <c r="Z46" s="20">
        <f>SUMIFS('Doc''s Pagos | Rodopar 108'!$J:$J,'Doc''s Pagos | Rodopar 108'!$A:$A,$B46&amp;$E46&amp;$F46&amp;$J46,'Doc''s Pagos | Rodopar 108'!$B:$B,Z$1)+SUMIFS('Doc Há Pagar | Rodopar 1015'!$J:$J,'Doc Há Pagar | Rodopar 1015'!$A:$A,$B46&amp;$E46&amp;$F46,'Doc Há Pagar | Rodopar 1015'!$B:$B,Z$1)</f>
        <v>0</v>
      </c>
      <c r="AA46" s="20">
        <f>SUMIFS('Doc''s Pagos | Rodopar 108'!$J:$J,'Doc''s Pagos | Rodopar 108'!$A:$A,$B46&amp;$E46&amp;$F46&amp;$J46,'Doc''s Pagos | Rodopar 108'!$B:$B,AA$1)+SUMIFS('Doc Há Pagar | Rodopar 1015'!$J:$J,'Doc Há Pagar | Rodopar 1015'!$A:$A,$B46&amp;$E46&amp;$F46,'Doc Há Pagar | Rodopar 1015'!$B:$B,AA$1)</f>
        <v>0</v>
      </c>
      <c r="AB46" s="20">
        <f>SUMIFS('Doc''s Pagos | Rodopar 108'!$J:$J,'Doc''s Pagos | Rodopar 108'!$A:$A,$B46&amp;$E46&amp;$F46&amp;$J46,'Doc''s Pagos | Rodopar 108'!$B:$B,AB$1)+SUMIFS('Doc Há Pagar | Rodopar 1015'!$J:$J,'Doc Há Pagar | Rodopar 1015'!$A:$A,$B46&amp;$E46&amp;$F46,'Doc Há Pagar | Rodopar 1015'!$B:$B,AB$1)</f>
        <v>0</v>
      </c>
      <c r="AC46" s="20">
        <f>SUMIFS('Doc''s Pagos | Rodopar 108'!$J:$J,'Doc''s Pagos | Rodopar 108'!$A:$A,$B46&amp;$E46&amp;$F46&amp;$J46,'Doc''s Pagos | Rodopar 108'!$B:$B,AC$1)+SUMIFS('Doc Há Pagar | Rodopar 1015'!$J:$J,'Doc Há Pagar | Rodopar 1015'!$A:$A,$B46&amp;$E46&amp;$F46,'Doc Há Pagar | Rodopar 1015'!$B:$B,AC$1)</f>
        <v>0</v>
      </c>
      <c r="AD46" s="20">
        <f>SUMIFS('Doc''s Pagos | Rodopar 108'!$J:$J,'Doc''s Pagos | Rodopar 108'!$A:$A,$B46&amp;$E46&amp;$F46&amp;$J46,'Doc''s Pagos | Rodopar 108'!$B:$B,AD$1)+SUMIFS('Doc Há Pagar | Rodopar 1015'!$J:$J,'Doc Há Pagar | Rodopar 1015'!$A:$A,$B46&amp;$E46&amp;$F46,'Doc Há Pagar | Rodopar 1015'!$B:$B,AD$1)</f>
        <v>0</v>
      </c>
    </row>
    <row r="47" spans="1:30" x14ac:dyDescent="0.25">
      <c r="A47" s="1" t="str">
        <f>VLOOKUP($E47,Fornecedores!$A:$C,3,0)</f>
        <v>Frota</v>
      </c>
      <c r="B47" s="14">
        <v>1005286</v>
      </c>
      <c r="C47" s="14" t="str">
        <f>IFERROR(VLOOKUP($E47,Fornecedores!$A:$E,4,0),"")</f>
        <v>Manutenção</v>
      </c>
      <c r="D47" s="14" t="str">
        <f>IFERROR(VLOOKUP($E47,Fornecedores!$A:$E,5,0),"")</f>
        <v>Vans</v>
      </c>
      <c r="E47" s="8" t="s">
        <v>131</v>
      </c>
      <c r="F47" s="14" t="s">
        <v>665</v>
      </c>
      <c r="G47" s="8" t="s">
        <v>609</v>
      </c>
      <c r="H47" s="9">
        <v>87</v>
      </c>
      <c r="I47" s="21">
        <v>4595</v>
      </c>
      <c r="J47" s="11">
        <v>46052</v>
      </c>
      <c r="K47" s="11">
        <v>46052</v>
      </c>
      <c r="L47" s="8" t="s">
        <v>610</v>
      </c>
      <c r="M47" s="14" t="s">
        <v>234</v>
      </c>
      <c r="N47" s="16">
        <v>1556</v>
      </c>
      <c r="O47" s="14" t="s">
        <v>241</v>
      </c>
      <c r="P47" s="14"/>
      <c r="Q47" s="20">
        <f t="shared" si="0"/>
        <v>0</v>
      </c>
      <c r="S47" s="20">
        <f>SUMIFS('Doc''s Pagos | Rodopar 108'!$J:$J,'Doc''s Pagos | Rodopar 108'!$A:$A,$B47&amp;$E47&amp;$F47&amp;$J47,'Doc''s Pagos | Rodopar 108'!$B:$B,S$1)+SUMIFS('Doc Há Pagar | Rodopar 1015'!$J:$J,'Doc Há Pagar | Rodopar 1015'!$A:$A,$B47&amp;$E47&amp;$F47,'Doc Há Pagar | Rodopar 1015'!$B:$B,S$1)</f>
        <v>0</v>
      </c>
      <c r="T47" s="20">
        <f>SUMIFS('Doc''s Pagos | Rodopar 108'!$J:$J,'Doc''s Pagos | Rodopar 108'!$A:$A,$B47&amp;$E47&amp;$F47&amp;$J47,'Doc''s Pagos | Rodopar 108'!$B:$B,T$1)+SUMIFS('Doc Há Pagar | Rodopar 1015'!$J:$J,'Doc Há Pagar | Rodopar 1015'!$A:$A,$B47&amp;$E47&amp;$F47,'Doc Há Pagar | Rodopar 1015'!$B:$B,T$1)</f>
        <v>0</v>
      </c>
      <c r="U47" s="20">
        <f>SUMIFS('Doc''s Pagos | Rodopar 108'!$J:$J,'Doc''s Pagos | Rodopar 108'!$A:$A,$B47&amp;$E47&amp;$F47&amp;$J47,'Doc''s Pagos | Rodopar 108'!$B:$B,U$1)+SUMIFS('Doc Há Pagar | Rodopar 1015'!$J:$J,'Doc Há Pagar | Rodopar 1015'!$A:$A,$B47&amp;$E47&amp;$F47,'Doc Há Pagar | Rodopar 1015'!$B:$B,U$1)</f>
        <v>3063.34</v>
      </c>
      <c r="V47" s="20">
        <f>SUMIFS('Doc''s Pagos | Rodopar 108'!$J:$J,'Doc''s Pagos | Rodopar 108'!$A:$A,$B47&amp;$E47&amp;$F47&amp;$J47,'Doc''s Pagos | Rodopar 108'!$B:$B,V$1)+SUMIFS('Doc Há Pagar | Rodopar 1015'!$J:$J,'Doc Há Pagar | Rodopar 1015'!$A:$A,$B47&amp;$E47&amp;$F47,'Doc Há Pagar | Rodopar 1015'!$B:$B,V$1)</f>
        <v>1531.66</v>
      </c>
      <c r="W47" s="20">
        <f>SUMIFS('Doc''s Pagos | Rodopar 108'!$J:$J,'Doc''s Pagos | Rodopar 108'!$A:$A,$B47&amp;$E47&amp;$F47&amp;$J47,'Doc''s Pagos | Rodopar 108'!$B:$B,W$1)+SUMIFS('Doc Há Pagar | Rodopar 1015'!$J:$J,'Doc Há Pagar | Rodopar 1015'!$A:$A,$B47&amp;$E47&amp;$F47,'Doc Há Pagar | Rodopar 1015'!$B:$B,W$1)</f>
        <v>0</v>
      </c>
      <c r="X47" s="20">
        <f>SUMIFS('Doc''s Pagos | Rodopar 108'!$J:$J,'Doc''s Pagos | Rodopar 108'!$A:$A,$B47&amp;$E47&amp;$F47&amp;$J47,'Doc''s Pagos | Rodopar 108'!$B:$B,X$1)+SUMIFS('Doc Há Pagar | Rodopar 1015'!$J:$J,'Doc Há Pagar | Rodopar 1015'!$A:$A,$B47&amp;$E47&amp;$F47,'Doc Há Pagar | Rodopar 1015'!$B:$B,X$1)</f>
        <v>0</v>
      </c>
      <c r="Y47" s="20">
        <f>SUMIFS('Doc''s Pagos | Rodopar 108'!$J:$J,'Doc''s Pagos | Rodopar 108'!$A:$A,$B47&amp;$E47&amp;$F47&amp;$J47,'Doc''s Pagos | Rodopar 108'!$B:$B,Y$1)+SUMIFS('Doc Há Pagar | Rodopar 1015'!$J:$J,'Doc Há Pagar | Rodopar 1015'!$A:$A,$B47&amp;$E47&amp;$F47,'Doc Há Pagar | Rodopar 1015'!$B:$B,Y$1)</f>
        <v>0</v>
      </c>
      <c r="Z47" s="20">
        <f>SUMIFS('Doc''s Pagos | Rodopar 108'!$J:$J,'Doc''s Pagos | Rodopar 108'!$A:$A,$B47&amp;$E47&amp;$F47&amp;$J47,'Doc''s Pagos | Rodopar 108'!$B:$B,Z$1)+SUMIFS('Doc Há Pagar | Rodopar 1015'!$J:$J,'Doc Há Pagar | Rodopar 1015'!$A:$A,$B47&amp;$E47&amp;$F47,'Doc Há Pagar | Rodopar 1015'!$B:$B,Z$1)</f>
        <v>0</v>
      </c>
      <c r="AA47" s="20">
        <f>SUMIFS('Doc''s Pagos | Rodopar 108'!$J:$J,'Doc''s Pagos | Rodopar 108'!$A:$A,$B47&amp;$E47&amp;$F47&amp;$J47,'Doc''s Pagos | Rodopar 108'!$B:$B,AA$1)+SUMIFS('Doc Há Pagar | Rodopar 1015'!$J:$J,'Doc Há Pagar | Rodopar 1015'!$A:$A,$B47&amp;$E47&amp;$F47,'Doc Há Pagar | Rodopar 1015'!$B:$B,AA$1)</f>
        <v>0</v>
      </c>
      <c r="AB47" s="20">
        <f>SUMIFS('Doc''s Pagos | Rodopar 108'!$J:$J,'Doc''s Pagos | Rodopar 108'!$A:$A,$B47&amp;$E47&amp;$F47&amp;$J47,'Doc''s Pagos | Rodopar 108'!$B:$B,AB$1)+SUMIFS('Doc Há Pagar | Rodopar 1015'!$J:$J,'Doc Há Pagar | Rodopar 1015'!$A:$A,$B47&amp;$E47&amp;$F47,'Doc Há Pagar | Rodopar 1015'!$B:$B,AB$1)</f>
        <v>0</v>
      </c>
      <c r="AC47" s="20">
        <f>SUMIFS('Doc''s Pagos | Rodopar 108'!$J:$J,'Doc''s Pagos | Rodopar 108'!$A:$A,$B47&amp;$E47&amp;$F47&amp;$J47,'Doc''s Pagos | Rodopar 108'!$B:$B,AC$1)+SUMIFS('Doc Há Pagar | Rodopar 1015'!$J:$J,'Doc Há Pagar | Rodopar 1015'!$A:$A,$B47&amp;$E47&amp;$F47,'Doc Há Pagar | Rodopar 1015'!$B:$B,AC$1)</f>
        <v>0</v>
      </c>
      <c r="AD47" s="20">
        <f>SUMIFS('Doc''s Pagos | Rodopar 108'!$J:$J,'Doc''s Pagos | Rodopar 108'!$A:$A,$B47&amp;$E47&amp;$F47&amp;$J47,'Doc''s Pagos | Rodopar 108'!$B:$B,AD$1)+SUMIFS('Doc Há Pagar | Rodopar 1015'!$J:$J,'Doc Há Pagar | Rodopar 1015'!$A:$A,$B47&amp;$E47&amp;$F47,'Doc Há Pagar | Rodopar 1015'!$B:$B,AD$1)</f>
        <v>0</v>
      </c>
    </row>
    <row r="48" spans="1:30" x14ac:dyDescent="0.25">
      <c r="A48" s="1" t="str">
        <f>VLOOKUP($E48,Fornecedores!$A:$C,3,0)</f>
        <v>Frota</v>
      </c>
      <c r="B48" s="14">
        <v>276</v>
      </c>
      <c r="C48" s="14" t="str">
        <f>IFERROR(VLOOKUP($E48,Fornecedores!$A:$E,4,0),"")</f>
        <v>Manutenção</v>
      </c>
      <c r="D48" s="14" t="str">
        <f>IFERROR(VLOOKUP($E48,Fornecedores!$A:$E,5,0),"")</f>
        <v>Vans</v>
      </c>
      <c r="E48" s="8" t="s">
        <v>133</v>
      </c>
      <c r="F48" s="14" t="s">
        <v>665</v>
      </c>
      <c r="G48" s="8" t="s">
        <v>493</v>
      </c>
      <c r="H48" s="9">
        <v>87</v>
      </c>
      <c r="I48" s="21">
        <v>1815.33</v>
      </c>
      <c r="J48" s="11">
        <v>46055</v>
      </c>
      <c r="K48" s="11">
        <v>46056</v>
      </c>
      <c r="L48" s="8" t="s">
        <v>494</v>
      </c>
      <c r="M48" s="14" t="s">
        <v>234</v>
      </c>
      <c r="N48" s="16">
        <v>1556</v>
      </c>
      <c r="O48" s="14" t="s">
        <v>241</v>
      </c>
      <c r="P48" s="14"/>
      <c r="Q48" s="20">
        <f t="shared" si="0"/>
        <v>0</v>
      </c>
      <c r="S48" s="20">
        <f>SUMIFS('Doc''s Pagos | Rodopar 108'!$J:$J,'Doc''s Pagos | Rodopar 108'!$A:$A,$B48&amp;$E48&amp;$F48&amp;$J48,'Doc''s Pagos | Rodopar 108'!$B:$B,S$1)+SUMIFS('Doc Há Pagar | Rodopar 1015'!$J:$J,'Doc Há Pagar | Rodopar 1015'!$A:$A,$B48&amp;$E48&amp;$F48,'Doc Há Pagar | Rodopar 1015'!$B:$B,S$1)</f>
        <v>0</v>
      </c>
      <c r="T48" s="20">
        <f>SUMIFS('Doc''s Pagos | Rodopar 108'!$J:$J,'Doc''s Pagos | Rodopar 108'!$A:$A,$B48&amp;$E48&amp;$F48&amp;$J48,'Doc''s Pagos | Rodopar 108'!$B:$B,T$1)+SUMIFS('Doc Há Pagar | Rodopar 1015'!$J:$J,'Doc Há Pagar | Rodopar 1015'!$A:$A,$B48&amp;$E48&amp;$F48,'Doc Há Pagar | Rodopar 1015'!$B:$B,T$1)</f>
        <v>0</v>
      </c>
      <c r="U48" s="20">
        <f>SUMIFS('Doc''s Pagos | Rodopar 108'!$J:$J,'Doc''s Pagos | Rodopar 108'!$A:$A,$B48&amp;$E48&amp;$F48&amp;$J48,'Doc''s Pagos | Rodopar 108'!$B:$B,U$1)+SUMIFS('Doc Há Pagar | Rodopar 1015'!$J:$J,'Doc Há Pagar | Rodopar 1015'!$A:$A,$B48&amp;$E48&amp;$F48,'Doc Há Pagar | Rodopar 1015'!$B:$B,U$1)</f>
        <v>1815.33</v>
      </c>
      <c r="V48" s="20">
        <f>SUMIFS('Doc''s Pagos | Rodopar 108'!$J:$J,'Doc''s Pagos | Rodopar 108'!$A:$A,$B48&amp;$E48&amp;$F48&amp;$J48,'Doc''s Pagos | Rodopar 108'!$B:$B,V$1)+SUMIFS('Doc Há Pagar | Rodopar 1015'!$J:$J,'Doc Há Pagar | Rodopar 1015'!$A:$A,$B48&amp;$E48&amp;$F48,'Doc Há Pagar | Rodopar 1015'!$B:$B,V$1)</f>
        <v>0</v>
      </c>
      <c r="W48" s="20">
        <f>SUMIFS('Doc''s Pagos | Rodopar 108'!$J:$J,'Doc''s Pagos | Rodopar 108'!$A:$A,$B48&amp;$E48&amp;$F48&amp;$J48,'Doc''s Pagos | Rodopar 108'!$B:$B,W$1)+SUMIFS('Doc Há Pagar | Rodopar 1015'!$J:$J,'Doc Há Pagar | Rodopar 1015'!$A:$A,$B48&amp;$E48&amp;$F48,'Doc Há Pagar | Rodopar 1015'!$B:$B,W$1)</f>
        <v>0</v>
      </c>
      <c r="X48" s="20">
        <f>SUMIFS('Doc''s Pagos | Rodopar 108'!$J:$J,'Doc''s Pagos | Rodopar 108'!$A:$A,$B48&amp;$E48&amp;$F48&amp;$J48,'Doc''s Pagos | Rodopar 108'!$B:$B,X$1)+SUMIFS('Doc Há Pagar | Rodopar 1015'!$J:$J,'Doc Há Pagar | Rodopar 1015'!$A:$A,$B48&amp;$E48&amp;$F48,'Doc Há Pagar | Rodopar 1015'!$B:$B,X$1)</f>
        <v>0</v>
      </c>
      <c r="Y48" s="20">
        <f>SUMIFS('Doc''s Pagos | Rodopar 108'!$J:$J,'Doc''s Pagos | Rodopar 108'!$A:$A,$B48&amp;$E48&amp;$F48&amp;$J48,'Doc''s Pagos | Rodopar 108'!$B:$B,Y$1)+SUMIFS('Doc Há Pagar | Rodopar 1015'!$J:$J,'Doc Há Pagar | Rodopar 1015'!$A:$A,$B48&amp;$E48&amp;$F48,'Doc Há Pagar | Rodopar 1015'!$B:$B,Y$1)</f>
        <v>0</v>
      </c>
      <c r="Z48" s="20">
        <f>SUMIFS('Doc''s Pagos | Rodopar 108'!$J:$J,'Doc''s Pagos | Rodopar 108'!$A:$A,$B48&amp;$E48&amp;$F48&amp;$J48,'Doc''s Pagos | Rodopar 108'!$B:$B,Z$1)+SUMIFS('Doc Há Pagar | Rodopar 1015'!$J:$J,'Doc Há Pagar | Rodopar 1015'!$A:$A,$B48&amp;$E48&amp;$F48,'Doc Há Pagar | Rodopar 1015'!$B:$B,Z$1)</f>
        <v>0</v>
      </c>
      <c r="AA48" s="20">
        <f>SUMIFS('Doc''s Pagos | Rodopar 108'!$J:$J,'Doc''s Pagos | Rodopar 108'!$A:$A,$B48&amp;$E48&amp;$F48&amp;$J48,'Doc''s Pagos | Rodopar 108'!$B:$B,AA$1)+SUMIFS('Doc Há Pagar | Rodopar 1015'!$J:$J,'Doc Há Pagar | Rodopar 1015'!$A:$A,$B48&amp;$E48&amp;$F48,'Doc Há Pagar | Rodopar 1015'!$B:$B,AA$1)</f>
        <v>0</v>
      </c>
      <c r="AB48" s="20">
        <f>SUMIFS('Doc''s Pagos | Rodopar 108'!$J:$J,'Doc''s Pagos | Rodopar 108'!$A:$A,$B48&amp;$E48&amp;$F48&amp;$J48,'Doc''s Pagos | Rodopar 108'!$B:$B,AB$1)+SUMIFS('Doc Há Pagar | Rodopar 1015'!$J:$J,'Doc Há Pagar | Rodopar 1015'!$A:$A,$B48&amp;$E48&amp;$F48,'Doc Há Pagar | Rodopar 1015'!$B:$B,AB$1)</f>
        <v>0</v>
      </c>
      <c r="AC48" s="20">
        <f>SUMIFS('Doc''s Pagos | Rodopar 108'!$J:$J,'Doc''s Pagos | Rodopar 108'!$A:$A,$B48&amp;$E48&amp;$F48&amp;$J48,'Doc''s Pagos | Rodopar 108'!$B:$B,AC$1)+SUMIFS('Doc Há Pagar | Rodopar 1015'!$J:$J,'Doc Há Pagar | Rodopar 1015'!$A:$A,$B48&amp;$E48&amp;$F48,'Doc Há Pagar | Rodopar 1015'!$B:$B,AC$1)</f>
        <v>0</v>
      </c>
      <c r="AD48" s="20">
        <f>SUMIFS('Doc''s Pagos | Rodopar 108'!$J:$J,'Doc''s Pagos | Rodopar 108'!$A:$A,$B48&amp;$E48&amp;$F48&amp;$J48,'Doc''s Pagos | Rodopar 108'!$B:$B,AD$1)+SUMIFS('Doc Há Pagar | Rodopar 1015'!$J:$J,'Doc Há Pagar | Rodopar 1015'!$A:$A,$B48&amp;$E48&amp;$F48,'Doc Há Pagar | Rodopar 1015'!$B:$B,AD$1)</f>
        <v>0</v>
      </c>
    </row>
    <row r="49" spans="1:30" x14ac:dyDescent="0.25">
      <c r="A49" s="1" t="str">
        <f>VLOOKUP($E49,Fornecedores!$A:$C,3,0)</f>
        <v>Frota</v>
      </c>
      <c r="B49" s="14">
        <v>2634155507</v>
      </c>
      <c r="C49" s="14" t="str">
        <f>IFERROR(VLOOKUP($E49,Fornecedores!$A:$E,4,0),"")</f>
        <v>Pedagios</v>
      </c>
      <c r="D49" s="14" t="str">
        <f>IFERROR(VLOOKUP($E49,Fornecedores!$A:$E,5,0),"")</f>
        <v>Pedagios</v>
      </c>
      <c r="E49" s="8" t="s">
        <v>38</v>
      </c>
      <c r="F49" s="14" t="s">
        <v>232</v>
      </c>
      <c r="G49" s="8" t="s">
        <v>261</v>
      </c>
      <c r="H49" s="9">
        <v>87</v>
      </c>
      <c r="I49" s="21">
        <v>22369.45</v>
      </c>
      <c r="J49" s="11">
        <v>46056</v>
      </c>
      <c r="K49" s="11">
        <v>46059</v>
      </c>
      <c r="L49" s="8" t="s">
        <v>262</v>
      </c>
      <c r="M49" s="14" t="s">
        <v>263</v>
      </c>
      <c r="N49" s="16">
        <v>2556</v>
      </c>
      <c r="O49" s="14" t="s">
        <v>241</v>
      </c>
      <c r="P49" s="14"/>
      <c r="Q49" s="20">
        <f t="shared" si="0"/>
        <v>0</v>
      </c>
      <c r="S49" s="20">
        <f>SUMIFS('Doc''s Pagos | Rodopar 108'!$J:$J,'Doc''s Pagos | Rodopar 108'!$A:$A,$B49&amp;$E49&amp;$F49&amp;$J49,'Doc''s Pagos | Rodopar 108'!$B:$B,S$1)+SUMIFS('Doc Há Pagar | Rodopar 1015'!$J:$J,'Doc Há Pagar | Rodopar 1015'!$A:$A,$B49&amp;$E49&amp;$F49,'Doc Há Pagar | Rodopar 1015'!$B:$B,S$1)</f>
        <v>0</v>
      </c>
      <c r="T49" s="20">
        <f>SUMIFS('Doc''s Pagos | Rodopar 108'!$J:$J,'Doc''s Pagos | Rodopar 108'!$A:$A,$B49&amp;$E49&amp;$F49&amp;$J49,'Doc''s Pagos | Rodopar 108'!$B:$B,T$1)+SUMIFS('Doc Há Pagar | Rodopar 1015'!$J:$J,'Doc Há Pagar | Rodopar 1015'!$A:$A,$B49&amp;$E49&amp;$F49,'Doc Há Pagar | Rodopar 1015'!$B:$B,T$1)</f>
        <v>22369.45</v>
      </c>
      <c r="U49" s="20">
        <f>SUMIFS('Doc''s Pagos | Rodopar 108'!$J:$J,'Doc''s Pagos | Rodopar 108'!$A:$A,$B49&amp;$E49&amp;$F49&amp;$J49,'Doc''s Pagos | Rodopar 108'!$B:$B,U$1)+SUMIFS('Doc Há Pagar | Rodopar 1015'!$J:$J,'Doc Há Pagar | Rodopar 1015'!$A:$A,$B49&amp;$E49&amp;$F49,'Doc Há Pagar | Rodopar 1015'!$B:$B,U$1)</f>
        <v>0</v>
      </c>
      <c r="V49" s="20">
        <f>SUMIFS('Doc''s Pagos | Rodopar 108'!$J:$J,'Doc''s Pagos | Rodopar 108'!$A:$A,$B49&amp;$E49&amp;$F49&amp;$J49,'Doc''s Pagos | Rodopar 108'!$B:$B,V$1)+SUMIFS('Doc Há Pagar | Rodopar 1015'!$J:$J,'Doc Há Pagar | Rodopar 1015'!$A:$A,$B49&amp;$E49&amp;$F49,'Doc Há Pagar | Rodopar 1015'!$B:$B,V$1)</f>
        <v>0</v>
      </c>
      <c r="W49" s="20">
        <f>SUMIFS('Doc''s Pagos | Rodopar 108'!$J:$J,'Doc''s Pagos | Rodopar 108'!$A:$A,$B49&amp;$E49&amp;$F49&amp;$J49,'Doc''s Pagos | Rodopar 108'!$B:$B,W$1)+SUMIFS('Doc Há Pagar | Rodopar 1015'!$J:$J,'Doc Há Pagar | Rodopar 1015'!$A:$A,$B49&amp;$E49&amp;$F49,'Doc Há Pagar | Rodopar 1015'!$B:$B,W$1)</f>
        <v>0</v>
      </c>
      <c r="X49" s="20">
        <f>SUMIFS('Doc''s Pagos | Rodopar 108'!$J:$J,'Doc''s Pagos | Rodopar 108'!$A:$A,$B49&amp;$E49&amp;$F49&amp;$J49,'Doc''s Pagos | Rodopar 108'!$B:$B,X$1)+SUMIFS('Doc Há Pagar | Rodopar 1015'!$J:$J,'Doc Há Pagar | Rodopar 1015'!$A:$A,$B49&amp;$E49&amp;$F49,'Doc Há Pagar | Rodopar 1015'!$B:$B,X$1)</f>
        <v>0</v>
      </c>
      <c r="Y49" s="20">
        <f>SUMIFS('Doc''s Pagos | Rodopar 108'!$J:$J,'Doc''s Pagos | Rodopar 108'!$A:$A,$B49&amp;$E49&amp;$F49&amp;$J49,'Doc''s Pagos | Rodopar 108'!$B:$B,Y$1)+SUMIFS('Doc Há Pagar | Rodopar 1015'!$J:$J,'Doc Há Pagar | Rodopar 1015'!$A:$A,$B49&amp;$E49&amp;$F49,'Doc Há Pagar | Rodopar 1015'!$B:$B,Y$1)</f>
        <v>0</v>
      </c>
      <c r="Z49" s="20">
        <f>SUMIFS('Doc''s Pagos | Rodopar 108'!$J:$J,'Doc''s Pagos | Rodopar 108'!$A:$A,$B49&amp;$E49&amp;$F49&amp;$J49,'Doc''s Pagos | Rodopar 108'!$B:$B,Z$1)+SUMIFS('Doc Há Pagar | Rodopar 1015'!$J:$J,'Doc Há Pagar | Rodopar 1015'!$A:$A,$B49&amp;$E49&amp;$F49,'Doc Há Pagar | Rodopar 1015'!$B:$B,Z$1)</f>
        <v>0</v>
      </c>
      <c r="AA49" s="20">
        <f>SUMIFS('Doc''s Pagos | Rodopar 108'!$J:$J,'Doc''s Pagos | Rodopar 108'!$A:$A,$B49&amp;$E49&amp;$F49&amp;$J49,'Doc''s Pagos | Rodopar 108'!$B:$B,AA$1)+SUMIFS('Doc Há Pagar | Rodopar 1015'!$J:$J,'Doc Há Pagar | Rodopar 1015'!$A:$A,$B49&amp;$E49&amp;$F49,'Doc Há Pagar | Rodopar 1015'!$B:$B,AA$1)</f>
        <v>0</v>
      </c>
      <c r="AB49" s="20">
        <f>SUMIFS('Doc''s Pagos | Rodopar 108'!$J:$J,'Doc''s Pagos | Rodopar 108'!$A:$A,$B49&amp;$E49&amp;$F49&amp;$J49,'Doc''s Pagos | Rodopar 108'!$B:$B,AB$1)+SUMIFS('Doc Há Pagar | Rodopar 1015'!$J:$J,'Doc Há Pagar | Rodopar 1015'!$A:$A,$B49&amp;$E49&amp;$F49,'Doc Há Pagar | Rodopar 1015'!$B:$B,AB$1)</f>
        <v>0</v>
      </c>
      <c r="AC49" s="20">
        <f>SUMIFS('Doc''s Pagos | Rodopar 108'!$J:$J,'Doc''s Pagos | Rodopar 108'!$A:$A,$B49&amp;$E49&amp;$F49&amp;$J49,'Doc''s Pagos | Rodopar 108'!$B:$B,AC$1)+SUMIFS('Doc Há Pagar | Rodopar 1015'!$J:$J,'Doc Há Pagar | Rodopar 1015'!$A:$A,$B49&amp;$E49&amp;$F49,'Doc Há Pagar | Rodopar 1015'!$B:$B,AC$1)</f>
        <v>0</v>
      </c>
      <c r="AD49" s="20">
        <f>SUMIFS('Doc''s Pagos | Rodopar 108'!$J:$J,'Doc''s Pagos | Rodopar 108'!$A:$A,$B49&amp;$E49&amp;$F49&amp;$J49,'Doc''s Pagos | Rodopar 108'!$B:$B,AD$1)+SUMIFS('Doc Há Pagar | Rodopar 1015'!$J:$J,'Doc Há Pagar | Rodopar 1015'!$A:$A,$B49&amp;$E49&amp;$F49,'Doc Há Pagar | Rodopar 1015'!$B:$B,AD$1)</f>
        <v>0</v>
      </c>
    </row>
    <row r="50" spans="1:30" x14ac:dyDescent="0.25">
      <c r="A50" s="1" t="str">
        <f>VLOOKUP($E50,Fornecedores!$A:$C,3,0)</f>
        <v>Frota</v>
      </c>
      <c r="B50" s="14">
        <v>2695</v>
      </c>
      <c r="C50" s="14" t="str">
        <f>IFERROR(VLOOKUP($E50,Fornecedores!$A:$E,4,0),"")</f>
        <v>Manutenção</v>
      </c>
      <c r="D50" s="14" t="str">
        <f>IFERROR(VLOOKUP($E50,Fornecedores!$A:$E,5,0),"")</f>
        <v>Frota Leve OPE</v>
      </c>
      <c r="E50" s="8" t="s">
        <v>125</v>
      </c>
      <c r="F50" s="14" t="s">
        <v>380</v>
      </c>
      <c r="G50" s="8" t="s">
        <v>467</v>
      </c>
      <c r="H50" s="9">
        <v>87</v>
      </c>
      <c r="I50" s="21">
        <v>1459</v>
      </c>
      <c r="J50" s="11">
        <v>46057</v>
      </c>
      <c r="K50" s="11">
        <v>46064</v>
      </c>
      <c r="L50" s="8" t="s">
        <v>282</v>
      </c>
      <c r="M50" s="14" t="s">
        <v>234</v>
      </c>
      <c r="N50" s="16">
        <v>1556</v>
      </c>
      <c r="O50" s="14" t="s">
        <v>241</v>
      </c>
      <c r="P50" s="14"/>
      <c r="Q50" s="20">
        <f t="shared" si="0"/>
        <v>0</v>
      </c>
      <c r="S50" s="20">
        <f>SUMIFS('Doc''s Pagos | Rodopar 108'!$J:$J,'Doc''s Pagos | Rodopar 108'!$A:$A,$B50&amp;$E50&amp;$F50&amp;$J50,'Doc''s Pagos | Rodopar 108'!$B:$B,S$1)+SUMIFS('Doc Há Pagar | Rodopar 1015'!$J:$J,'Doc Há Pagar | Rodopar 1015'!$A:$A,$B50&amp;$E50&amp;$F50,'Doc Há Pagar | Rodopar 1015'!$B:$B,S$1)</f>
        <v>0</v>
      </c>
      <c r="T50" s="20">
        <f>SUMIFS('Doc''s Pagos | Rodopar 108'!$J:$J,'Doc''s Pagos | Rodopar 108'!$A:$A,$B50&amp;$E50&amp;$F50&amp;$J50,'Doc''s Pagos | Rodopar 108'!$B:$B,T$1)+SUMIFS('Doc Há Pagar | Rodopar 1015'!$J:$J,'Doc Há Pagar | Rodopar 1015'!$A:$A,$B50&amp;$E50&amp;$F50,'Doc Há Pagar | Rodopar 1015'!$B:$B,T$1)</f>
        <v>0</v>
      </c>
      <c r="U50" s="20">
        <f>SUMIFS('Doc''s Pagos | Rodopar 108'!$J:$J,'Doc''s Pagos | Rodopar 108'!$A:$A,$B50&amp;$E50&amp;$F50&amp;$J50,'Doc''s Pagos | Rodopar 108'!$B:$B,U$1)+SUMIFS('Doc Há Pagar | Rodopar 1015'!$J:$J,'Doc Há Pagar | Rodopar 1015'!$A:$A,$B50&amp;$E50&amp;$F50,'Doc Há Pagar | Rodopar 1015'!$B:$B,U$1)</f>
        <v>729.5</v>
      </c>
      <c r="V50" s="20">
        <f>SUMIFS('Doc''s Pagos | Rodopar 108'!$J:$J,'Doc''s Pagos | Rodopar 108'!$A:$A,$B50&amp;$E50&amp;$F50&amp;$J50,'Doc''s Pagos | Rodopar 108'!$B:$B,V$1)+SUMIFS('Doc Há Pagar | Rodopar 1015'!$J:$J,'Doc Há Pagar | Rodopar 1015'!$A:$A,$B50&amp;$E50&amp;$F50,'Doc Há Pagar | Rodopar 1015'!$B:$B,V$1)</f>
        <v>729.5</v>
      </c>
      <c r="W50" s="20">
        <f>SUMIFS('Doc''s Pagos | Rodopar 108'!$J:$J,'Doc''s Pagos | Rodopar 108'!$A:$A,$B50&amp;$E50&amp;$F50&amp;$J50,'Doc''s Pagos | Rodopar 108'!$B:$B,W$1)+SUMIFS('Doc Há Pagar | Rodopar 1015'!$J:$J,'Doc Há Pagar | Rodopar 1015'!$A:$A,$B50&amp;$E50&amp;$F50,'Doc Há Pagar | Rodopar 1015'!$B:$B,W$1)</f>
        <v>0</v>
      </c>
      <c r="X50" s="20">
        <f>SUMIFS('Doc''s Pagos | Rodopar 108'!$J:$J,'Doc''s Pagos | Rodopar 108'!$A:$A,$B50&amp;$E50&amp;$F50&amp;$J50,'Doc''s Pagos | Rodopar 108'!$B:$B,X$1)+SUMIFS('Doc Há Pagar | Rodopar 1015'!$J:$J,'Doc Há Pagar | Rodopar 1015'!$A:$A,$B50&amp;$E50&amp;$F50,'Doc Há Pagar | Rodopar 1015'!$B:$B,X$1)</f>
        <v>0</v>
      </c>
      <c r="Y50" s="20">
        <f>SUMIFS('Doc''s Pagos | Rodopar 108'!$J:$J,'Doc''s Pagos | Rodopar 108'!$A:$A,$B50&amp;$E50&amp;$F50&amp;$J50,'Doc''s Pagos | Rodopar 108'!$B:$B,Y$1)+SUMIFS('Doc Há Pagar | Rodopar 1015'!$J:$J,'Doc Há Pagar | Rodopar 1015'!$A:$A,$B50&amp;$E50&amp;$F50,'Doc Há Pagar | Rodopar 1015'!$B:$B,Y$1)</f>
        <v>0</v>
      </c>
      <c r="Z50" s="20">
        <f>SUMIFS('Doc''s Pagos | Rodopar 108'!$J:$J,'Doc''s Pagos | Rodopar 108'!$A:$A,$B50&amp;$E50&amp;$F50&amp;$J50,'Doc''s Pagos | Rodopar 108'!$B:$B,Z$1)+SUMIFS('Doc Há Pagar | Rodopar 1015'!$J:$J,'Doc Há Pagar | Rodopar 1015'!$A:$A,$B50&amp;$E50&amp;$F50,'Doc Há Pagar | Rodopar 1015'!$B:$B,Z$1)</f>
        <v>0</v>
      </c>
      <c r="AA50" s="20">
        <f>SUMIFS('Doc''s Pagos | Rodopar 108'!$J:$J,'Doc''s Pagos | Rodopar 108'!$A:$A,$B50&amp;$E50&amp;$F50&amp;$J50,'Doc''s Pagos | Rodopar 108'!$B:$B,AA$1)+SUMIFS('Doc Há Pagar | Rodopar 1015'!$J:$J,'Doc Há Pagar | Rodopar 1015'!$A:$A,$B50&amp;$E50&amp;$F50,'Doc Há Pagar | Rodopar 1015'!$B:$B,AA$1)</f>
        <v>0</v>
      </c>
      <c r="AB50" s="20">
        <f>SUMIFS('Doc''s Pagos | Rodopar 108'!$J:$J,'Doc''s Pagos | Rodopar 108'!$A:$A,$B50&amp;$E50&amp;$F50&amp;$J50,'Doc''s Pagos | Rodopar 108'!$B:$B,AB$1)+SUMIFS('Doc Há Pagar | Rodopar 1015'!$J:$J,'Doc Há Pagar | Rodopar 1015'!$A:$A,$B50&amp;$E50&amp;$F50,'Doc Há Pagar | Rodopar 1015'!$B:$B,AB$1)</f>
        <v>0</v>
      </c>
      <c r="AC50" s="20">
        <f>SUMIFS('Doc''s Pagos | Rodopar 108'!$J:$J,'Doc''s Pagos | Rodopar 108'!$A:$A,$B50&amp;$E50&amp;$F50&amp;$J50,'Doc''s Pagos | Rodopar 108'!$B:$B,AC$1)+SUMIFS('Doc Há Pagar | Rodopar 1015'!$J:$J,'Doc Há Pagar | Rodopar 1015'!$A:$A,$B50&amp;$E50&amp;$F50,'Doc Há Pagar | Rodopar 1015'!$B:$B,AC$1)</f>
        <v>0</v>
      </c>
      <c r="AD50" s="20">
        <f>SUMIFS('Doc''s Pagos | Rodopar 108'!$J:$J,'Doc''s Pagos | Rodopar 108'!$A:$A,$B50&amp;$E50&amp;$F50&amp;$J50,'Doc''s Pagos | Rodopar 108'!$B:$B,AD$1)+SUMIFS('Doc Há Pagar | Rodopar 1015'!$J:$J,'Doc Há Pagar | Rodopar 1015'!$A:$A,$B50&amp;$E50&amp;$F50,'Doc Há Pagar | Rodopar 1015'!$B:$B,AD$1)</f>
        <v>0</v>
      </c>
    </row>
    <row r="51" spans="1:30" x14ac:dyDescent="0.25">
      <c r="A51" s="1" t="str">
        <f>VLOOKUP($E51,Fornecedores!$A:$C,3,0)</f>
        <v>Frota</v>
      </c>
      <c r="B51" s="14">
        <v>2702</v>
      </c>
      <c r="C51" s="14" t="str">
        <f>IFERROR(VLOOKUP($E51,Fornecedores!$A:$E,4,0),"")</f>
        <v>Manutenção</v>
      </c>
      <c r="D51" s="14" t="str">
        <f>IFERROR(VLOOKUP($E51,Fornecedores!$A:$E,5,0),"")</f>
        <v>Frota Leve OPE</v>
      </c>
      <c r="E51" s="8" t="s">
        <v>125</v>
      </c>
      <c r="F51" s="14" t="s">
        <v>380</v>
      </c>
      <c r="G51" s="8" t="s">
        <v>467</v>
      </c>
      <c r="H51" s="9">
        <v>87</v>
      </c>
      <c r="I51" s="21">
        <v>1184</v>
      </c>
      <c r="J51" s="11">
        <v>46059</v>
      </c>
      <c r="K51" s="11">
        <v>46064</v>
      </c>
      <c r="L51" s="8" t="s">
        <v>282</v>
      </c>
      <c r="M51" s="14" t="s">
        <v>234</v>
      </c>
      <c r="N51" s="16">
        <v>1556</v>
      </c>
      <c r="O51" s="14" t="s">
        <v>241</v>
      </c>
      <c r="P51" s="14"/>
      <c r="Q51" s="20">
        <f t="shared" si="0"/>
        <v>0</v>
      </c>
      <c r="S51" s="20">
        <f>SUMIFS('Doc''s Pagos | Rodopar 108'!$J:$J,'Doc''s Pagos | Rodopar 108'!$A:$A,$B51&amp;$E51&amp;$F51&amp;$J51,'Doc''s Pagos | Rodopar 108'!$B:$B,S$1)+SUMIFS('Doc Há Pagar | Rodopar 1015'!$J:$J,'Doc Há Pagar | Rodopar 1015'!$A:$A,$B51&amp;$E51&amp;$F51,'Doc Há Pagar | Rodopar 1015'!$B:$B,S$1)</f>
        <v>0</v>
      </c>
      <c r="T51" s="20">
        <f>SUMIFS('Doc''s Pagos | Rodopar 108'!$J:$J,'Doc''s Pagos | Rodopar 108'!$A:$A,$B51&amp;$E51&amp;$F51&amp;$J51,'Doc''s Pagos | Rodopar 108'!$B:$B,T$1)+SUMIFS('Doc Há Pagar | Rodopar 1015'!$J:$J,'Doc Há Pagar | Rodopar 1015'!$A:$A,$B51&amp;$E51&amp;$F51,'Doc Há Pagar | Rodopar 1015'!$B:$B,T$1)</f>
        <v>0</v>
      </c>
      <c r="U51" s="20">
        <f>SUMIFS('Doc''s Pagos | Rodopar 108'!$J:$J,'Doc''s Pagos | Rodopar 108'!$A:$A,$B51&amp;$E51&amp;$F51&amp;$J51,'Doc''s Pagos | Rodopar 108'!$B:$B,U$1)+SUMIFS('Doc Há Pagar | Rodopar 1015'!$J:$J,'Doc Há Pagar | Rodopar 1015'!$A:$A,$B51&amp;$E51&amp;$F51,'Doc Há Pagar | Rodopar 1015'!$B:$B,U$1)</f>
        <v>592</v>
      </c>
      <c r="V51" s="20">
        <f>SUMIFS('Doc''s Pagos | Rodopar 108'!$J:$J,'Doc''s Pagos | Rodopar 108'!$A:$A,$B51&amp;$E51&amp;$F51&amp;$J51,'Doc''s Pagos | Rodopar 108'!$B:$B,V$1)+SUMIFS('Doc Há Pagar | Rodopar 1015'!$J:$J,'Doc Há Pagar | Rodopar 1015'!$A:$A,$B51&amp;$E51&amp;$F51,'Doc Há Pagar | Rodopar 1015'!$B:$B,V$1)</f>
        <v>592</v>
      </c>
      <c r="W51" s="20">
        <f>SUMIFS('Doc''s Pagos | Rodopar 108'!$J:$J,'Doc''s Pagos | Rodopar 108'!$A:$A,$B51&amp;$E51&amp;$F51&amp;$J51,'Doc''s Pagos | Rodopar 108'!$B:$B,W$1)+SUMIFS('Doc Há Pagar | Rodopar 1015'!$J:$J,'Doc Há Pagar | Rodopar 1015'!$A:$A,$B51&amp;$E51&amp;$F51,'Doc Há Pagar | Rodopar 1015'!$B:$B,W$1)</f>
        <v>0</v>
      </c>
      <c r="X51" s="20">
        <f>SUMIFS('Doc''s Pagos | Rodopar 108'!$J:$J,'Doc''s Pagos | Rodopar 108'!$A:$A,$B51&amp;$E51&amp;$F51&amp;$J51,'Doc''s Pagos | Rodopar 108'!$B:$B,X$1)+SUMIFS('Doc Há Pagar | Rodopar 1015'!$J:$J,'Doc Há Pagar | Rodopar 1015'!$A:$A,$B51&amp;$E51&amp;$F51,'Doc Há Pagar | Rodopar 1015'!$B:$B,X$1)</f>
        <v>0</v>
      </c>
      <c r="Y51" s="20">
        <f>SUMIFS('Doc''s Pagos | Rodopar 108'!$J:$J,'Doc''s Pagos | Rodopar 108'!$A:$A,$B51&amp;$E51&amp;$F51&amp;$J51,'Doc''s Pagos | Rodopar 108'!$B:$B,Y$1)+SUMIFS('Doc Há Pagar | Rodopar 1015'!$J:$J,'Doc Há Pagar | Rodopar 1015'!$A:$A,$B51&amp;$E51&amp;$F51,'Doc Há Pagar | Rodopar 1015'!$B:$B,Y$1)</f>
        <v>0</v>
      </c>
      <c r="Z51" s="20">
        <f>SUMIFS('Doc''s Pagos | Rodopar 108'!$J:$J,'Doc''s Pagos | Rodopar 108'!$A:$A,$B51&amp;$E51&amp;$F51&amp;$J51,'Doc''s Pagos | Rodopar 108'!$B:$B,Z$1)+SUMIFS('Doc Há Pagar | Rodopar 1015'!$J:$J,'Doc Há Pagar | Rodopar 1015'!$A:$A,$B51&amp;$E51&amp;$F51,'Doc Há Pagar | Rodopar 1015'!$B:$B,Z$1)</f>
        <v>0</v>
      </c>
      <c r="AA51" s="20">
        <f>SUMIFS('Doc''s Pagos | Rodopar 108'!$J:$J,'Doc''s Pagos | Rodopar 108'!$A:$A,$B51&amp;$E51&amp;$F51&amp;$J51,'Doc''s Pagos | Rodopar 108'!$B:$B,AA$1)+SUMIFS('Doc Há Pagar | Rodopar 1015'!$J:$J,'Doc Há Pagar | Rodopar 1015'!$A:$A,$B51&amp;$E51&amp;$F51,'Doc Há Pagar | Rodopar 1015'!$B:$B,AA$1)</f>
        <v>0</v>
      </c>
      <c r="AB51" s="20">
        <f>SUMIFS('Doc''s Pagos | Rodopar 108'!$J:$J,'Doc''s Pagos | Rodopar 108'!$A:$A,$B51&amp;$E51&amp;$F51&amp;$J51,'Doc''s Pagos | Rodopar 108'!$B:$B,AB$1)+SUMIFS('Doc Há Pagar | Rodopar 1015'!$J:$J,'Doc Há Pagar | Rodopar 1015'!$A:$A,$B51&amp;$E51&amp;$F51,'Doc Há Pagar | Rodopar 1015'!$B:$B,AB$1)</f>
        <v>0</v>
      </c>
      <c r="AC51" s="20">
        <f>SUMIFS('Doc''s Pagos | Rodopar 108'!$J:$J,'Doc''s Pagos | Rodopar 108'!$A:$A,$B51&amp;$E51&amp;$F51&amp;$J51,'Doc''s Pagos | Rodopar 108'!$B:$B,AC$1)+SUMIFS('Doc Há Pagar | Rodopar 1015'!$J:$J,'Doc Há Pagar | Rodopar 1015'!$A:$A,$B51&amp;$E51&amp;$F51,'Doc Há Pagar | Rodopar 1015'!$B:$B,AC$1)</f>
        <v>0</v>
      </c>
      <c r="AD51" s="20">
        <f>SUMIFS('Doc''s Pagos | Rodopar 108'!$J:$J,'Doc''s Pagos | Rodopar 108'!$A:$A,$B51&amp;$E51&amp;$F51&amp;$J51,'Doc''s Pagos | Rodopar 108'!$B:$B,AD$1)+SUMIFS('Doc Há Pagar | Rodopar 1015'!$J:$J,'Doc Há Pagar | Rodopar 1015'!$A:$A,$B51&amp;$E51&amp;$F51,'Doc Há Pagar | Rodopar 1015'!$B:$B,AD$1)</f>
        <v>0</v>
      </c>
    </row>
    <row r="52" spans="1:30" x14ac:dyDescent="0.25">
      <c r="A52" s="1" t="str">
        <f>VLOOKUP($E52,Fornecedores!$A:$C,3,0)</f>
        <v>Frota</v>
      </c>
      <c r="B52" s="14">
        <v>34029</v>
      </c>
      <c r="C52" s="14" t="str">
        <f>IFERROR(VLOOKUP($E52,Fornecedores!$A:$E,4,0),"")</f>
        <v>Manutenção</v>
      </c>
      <c r="D52" s="14" t="str">
        <f>IFERROR(VLOOKUP($E52,Fornecedores!$A:$E,5,0),"")</f>
        <v>Vans</v>
      </c>
      <c r="E52" s="8" t="s">
        <v>133</v>
      </c>
      <c r="F52" s="14" t="s">
        <v>380</v>
      </c>
      <c r="G52" s="8" t="s">
        <v>493</v>
      </c>
      <c r="H52" s="9">
        <v>87</v>
      </c>
      <c r="I52" s="21">
        <v>850</v>
      </c>
      <c r="J52" s="11">
        <v>46059</v>
      </c>
      <c r="K52" s="11">
        <v>46062</v>
      </c>
      <c r="L52" s="8" t="s">
        <v>494</v>
      </c>
      <c r="M52" s="14" t="s">
        <v>234</v>
      </c>
      <c r="N52" s="16">
        <v>1556</v>
      </c>
      <c r="O52" s="14" t="s">
        <v>241</v>
      </c>
      <c r="P52" s="14"/>
      <c r="Q52" s="20">
        <f t="shared" si="0"/>
        <v>0</v>
      </c>
      <c r="S52" s="20">
        <f>SUMIFS('Doc''s Pagos | Rodopar 108'!$J:$J,'Doc''s Pagos | Rodopar 108'!$A:$A,$B52&amp;$E52&amp;$F52&amp;$J52,'Doc''s Pagos | Rodopar 108'!$B:$B,S$1)+SUMIFS('Doc Há Pagar | Rodopar 1015'!$J:$J,'Doc Há Pagar | Rodopar 1015'!$A:$A,$B52&amp;$E52&amp;$F52,'Doc Há Pagar | Rodopar 1015'!$B:$B,S$1)</f>
        <v>0</v>
      </c>
      <c r="T52" s="20">
        <f>SUMIFS('Doc''s Pagos | Rodopar 108'!$J:$J,'Doc''s Pagos | Rodopar 108'!$A:$A,$B52&amp;$E52&amp;$F52&amp;$J52,'Doc''s Pagos | Rodopar 108'!$B:$B,T$1)+SUMIFS('Doc Há Pagar | Rodopar 1015'!$J:$J,'Doc Há Pagar | Rodopar 1015'!$A:$A,$B52&amp;$E52&amp;$F52,'Doc Há Pagar | Rodopar 1015'!$B:$B,T$1)</f>
        <v>0</v>
      </c>
      <c r="U52" s="20">
        <f>SUMIFS('Doc''s Pagos | Rodopar 108'!$J:$J,'Doc''s Pagos | Rodopar 108'!$A:$A,$B52&amp;$E52&amp;$F52&amp;$J52,'Doc''s Pagos | Rodopar 108'!$B:$B,U$1)+SUMIFS('Doc Há Pagar | Rodopar 1015'!$J:$J,'Doc Há Pagar | Rodopar 1015'!$A:$A,$B52&amp;$E52&amp;$F52,'Doc Há Pagar | Rodopar 1015'!$B:$B,U$1)</f>
        <v>850</v>
      </c>
      <c r="V52" s="20">
        <f>SUMIFS('Doc''s Pagos | Rodopar 108'!$J:$J,'Doc''s Pagos | Rodopar 108'!$A:$A,$B52&amp;$E52&amp;$F52&amp;$J52,'Doc''s Pagos | Rodopar 108'!$B:$B,V$1)+SUMIFS('Doc Há Pagar | Rodopar 1015'!$J:$J,'Doc Há Pagar | Rodopar 1015'!$A:$A,$B52&amp;$E52&amp;$F52,'Doc Há Pagar | Rodopar 1015'!$B:$B,V$1)</f>
        <v>0</v>
      </c>
      <c r="W52" s="20">
        <f>SUMIFS('Doc''s Pagos | Rodopar 108'!$J:$J,'Doc''s Pagos | Rodopar 108'!$A:$A,$B52&amp;$E52&amp;$F52&amp;$J52,'Doc''s Pagos | Rodopar 108'!$B:$B,W$1)+SUMIFS('Doc Há Pagar | Rodopar 1015'!$J:$J,'Doc Há Pagar | Rodopar 1015'!$A:$A,$B52&amp;$E52&amp;$F52,'Doc Há Pagar | Rodopar 1015'!$B:$B,W$1)</f>
        <v>0</v>
      </c>
      <c r="X52" s="20">
        <f>SUMIFS('Doc''s Pagos | Rodopar 108'!$J:$J,'Doc''s Pagos | Rodopar 108'!$A:$A,$B52&amp;$E52&amp;$F52&amp;$J52,'Doc''s Pagos | Rodopar 108'!$B:$B,X$1)+SUMIFS('Doc Há Pagar | Rodopar 1015'!$J:$J,'Doc Há Pagar | Rodopar 1015'!$A:$A,$B52&amp;$E52&amp;$F52,'Doc Há Pagar | Rodopar 1015'!$B:$B,X$1)</f>
        <v>0</v>
      </c>
      <c r="Y52" s="20">
        <f>SUMIFS('Doc''s Pagos | Rodopar 108'!$J:$J,'Doc''s Pagos | Rodopar 108'!$A:$A,$B52&amp;$E52&amp;$F52&amp;$J52,'Doc''s Pagos | Rodopar 108'!$B:$B,Y$1)+SUMIFS('Doc Há Pagar | Rodopar 1015'!$J:$J,'Doc Há Pagar | Rodopar 1015'!$A:$A,$B52&amp;$E52&amp;$F52,'Doc Há Pagar | Rodopar 1015'!$B:$B,Y$1)</f>
        <v>0</v>
      </c>
      <c r="Z52" s="20">
        <f>SUMIFS('Doc''s Pagos | Rodopar 108'!$J:$J,'Doc''s Pagos | Rodopar 108'!$A:$A,$B52&amp;$E52&amp;$F52&amp;$J52,'Doc''s Pagos | Rodopar 108'!$B:$B,Z$1)+SUMIFS('Doc Há Pagar | Rodopar 1015'!$J:$J,'Doc Há Pagar | Rodopar 1015'!$A:$A,$B52&amp;$E52&amp;$F52,'Doc Há Pagar | Rodopar 1015'!$B:$B,Z$1)</f>
        <v>0</v>
      </c>
      <c r="AA52" s="20">
        <f>SUMIFS('Doc''s Pagos | Rodopar 108'!$J:$J,'Doc''s Pagos | Rodopar 108'!$A:$A,$B52&amp;$E52&amp;$F52&amp;$J52,'Doc''s Pagos | Rodopar 108'!$B:$B,AA$1)+SUMIFS('Doc Há Pagar | Rodopar 1015'!$J:$J,'Doc Há Pagar | Rodopar 1015'!$A:$A,$B52&amp;$E52&amp;$F52,'Doc Há Pagar | Rodopar 1015'!$B:$B,AA$1)</f>
        <v>0</v>
      </c>
      <c r="AB52" s="20">
        <f>SUMIFS('Doc''s Pagos | Rodopar 108'!$J:$J,'Doc''s Pagos | Rodopar 108'!$A:$A,$B52&amp;$E52&amp;$F52&amp;$J52,'Doc''s Pagos | Rodopar 108'!$B:$B,AB$1)+SUMIFS('Doc Há Pagar | Rodopar 1015'!$J:$J,'Doc Há Pagar | Rodopar 1015'!$A:$A,$B52&amp;$E52&amp;$F52,'Doc Há Pagar | Rodopar 1015'!$B:$B,AB$1)</f>
        <v>0</v>
      </c>
      <c r="AC52" s="20">
        <f>SUMIFS('Doc''s Pagos | Rodopar 108'!$J:$J,'Doc''s Pagos | Rodopar 108'!$A:$A,$B52&amp;$E52&amp;$F52&amp;$J52,'Doc''s Pagos | Rodopar 108'!$B:$B,AC$1)+SUMIFS('Doc Há Pagar | Rodopar 1015'!$J:$J,'Doc Há Pagar | Rodopar 1015'!$A:$A,$B52&amp;$E52&amp;$F52,'Doc Há Pagar | Rodopar 1015'!$B:$B,AC$1)</f>
        <v>0</v>
      </c>
      <c r="AD52" s="20">
        <f>SUMIFS('Doc''s Pagos | Rodopar 108'!$J:$J,'Doc''s Pagos | Rodopar 108'!$A:$A,$B52&amp;$E52&amp;$F52&amp;$J52,'Doc''s Pagos | Rodopar 108'!$B:$B,AD$1)+SUMIFS('Doc Há Pagar | Rodopar 1015'!$J:$J,'Doc Há Pagar | Rodopar 1015'!$A:$A,$B52&amp;$E52&amp;$F52,'Doc Há Pagar | Rodopar 1015'!$B:$B,AD$1)</f>
        <v>0</v>
      </c>
    </row>
    <row r="53" spans="1:30" x14ac:dyDescent="0.25">
      <c r="A53" s="1" t="str">
        <f>VLOOKUP($E53,Fornecedores!$A:$C,3,0)</f>
        <v>Frota</v>
      </c>
      <c r="B53" s="14">
        <v>219</v>
      </c>
      <c r="C53" s="14" t="str">
        <f>IFERROR(VLOOKUP($E53,Fornecedores!$A:$E,4,0),"")</f>
        <v>Lavagem</v>
      </c>
      <c r="D53" s="14" t="str">
        <f>IFERROR(VLOOKUP($E53,Fornecedores!$A:$E,5,0),"")</f>
        <v>Lavagem</v>
      </c>
      <c r="E53" s="8" t="s">
        <v>781</v>
      </c>
      <c r="F53" s="14" t="s">
        <v>665</v>
      </c>
      <c r="G53" s="8" t="s">
        <v>782</v>
      </c>
      <c r="H53" s="9">
        <v>87</v>
      </c>
      <c r="I53" s="21">
        <v>400</v>
      </c>
      <c r="J53" s="11">
        <v>46059</v>
      </c>
      <c r="K53" s="11">
        <v>46080</v>
      </c>
      <c r="L53" s="8" t="s">
        <v>501</v>
      </c>
      <c r="M53" s="14" t="s">
        <v>234</v>
      </c>
      <c r="N53" s="16">
        <v>1556</v>
      </c>
      <c r="O53" s="14" t="s">
        <v>241</v>
      </c>
      <c r="P53" s="14"/>
      <c r="Q53" s="20">
        <f t="shared" si="0"/>
        <v>0</v>
      </c>
      <c r="S53" s="20">
        <f>SUMIFS('Doc''s Pagos | Rodopar 108'!$J:$J,'Doc''s Pagos | Rodopar 108'!$A:$A,$B53&amp;$E53&amp;$F53&amp;$J53,'Doc''s Pagos | Rodopar 108'!$B:$B,S$1)+SUMIFS('Doc Há Pagar | Rodopar 1015'!$J:$J,'Doc Há Pagar | Rodopar 1015'!$A:$A,$B53&amp;$E53&amp;$F53,'Doc Há Pagar | Rodopar 1015'!$B:$B,S$1)</f>
        <v>0</v>
      </c>
      <c r="T53" s="20">
        <f>SUMIFS('Doc''s Pagos | Rodopar 108'!$J:$J,'Doc''s Pagos | Rodopar 108'!$A:$A,$B53&amp;$E53&amp;$F53&amp;$J53,'Doc''s Pagos | Rodopar 108'!$B:$B,T$1)+SUMIFS('Doc Há Pagar | Rodopar 1015'!$J:$J,'Doc Há Pagar | Rodopar 1015'!$A:$A,$B53&amp;$E53&amp;$F53,'Doc Há Pagar | Rodopar 1015'!$B:$B,T$1)</f>
        <v>400</v>
      </c>
      <c r="U53" s="20">
        <f>SUMIFS('Doc''s Pagos | Rodopar 108'!$J:$J,'Doc''s Pagos | Rodopar 108'!$A:$A,$B53&amp;$E53&amp;$F53&amp;$J53,'Doc''s Pagos | Rodopar 108'!$B:$B,U$1)+SUMIFS('Doc Há Pagar | Rodopar 1015'!$J:$J,'Doc Há Pagar | Rodopar 1015'!$A:$A,$B53&amp;$E53&amp;$F53,'Doc Há Pagar | Rodopar 1015'!$B:$B,U$1)</f>
        <v>0</v>
      </c>
      <c r="V53" s="20">
        <f>SUMIFS('Doc''s Pagos | Rodopar 108'!$J:$J,'Doc''s Pagos | Rodopar 108'!$A:$A,$B53&amp;$E53&amp;$F53&amp;$J53,'Doc''s Pagos | Rodopar 108'!$B:$B,V$1)+SUMIFS('Doc Há Pagar | Rodopar 1015'!$J:$J,'Doc Há Pagar | Rodopar 1015'!$A:$A,$B53&amp;$E53&amp;$F53,'Doc Há Pagar | Rodopar 1015'!$B:$B,V$1)</f>
        <v>0</v>
      </c>
      <c r="W53" s="20">
        <f>SUMIFS('Doc''s Pagos | Rodopar 108'!$J:$J,'Doc''s Pagos | Rodopar 108'!$A:$A,$B53&amp;$E53&amp;$F53&amp;$J53,'Doc''s Pagos | Rodopar 108'!$B:$B,W$1)+SUMIFS('Doc Há Pagar | Rodopar 1015'!$J:$J,'Doc Há Pagar | Rodopar 1015'!$A:$A,$B53&amp;$E53&amp;$F53,'Doc Há Pagar | Rodopar 1015'!$B:$B,W$1)</f>
        <v>0</v>
      </c>
      <c r="X53" s="20">
        <f>SUMIFS('Doc''s Pagos | Rodopar 108'!$J:$J,'Doc''s Pagos | Rodopar 108'!$A:$A,$B53&amp;$E53&amp;$F53&amp;$J53,'Doc''s Pagos | Rodopar 108'!$B:$B,X$1)+SUMIFS('Doc Há Pagar | Rodopar 1015'!$J:$J,'Doc Há Pagar | Rodopar 1015'!$A:$A,$B53&amp;$E53&amp;$F53,'Doc Há Pagar | Rodopar 1015'!$B:$B,X$1)</f>
        <v>0</v>
      </c>
      <c r="Y53" s="20">
        <f>SUMIFS('Doc''s Pagos | Rodopar 108'!$J:$J,'Doc''s Pagos | Rodopar 108'!$A:$A,$B53&amp;$E53&amp;$F53&amp;$J53,'Doc''s Pagos | Rodopar 108'!$B:$B,Y$1)+SUMIFS('Doc Há Pagar | Rodopar 1015'!$J:$J,'Doc Há Pagar | Rodopar 1015'!$A:$A,$B53&amp;$E53&amp;$F53,'Doc Há Pagar | Rodopar 1015'!$B:$B,Y$1)</f>
        <v>0</v>
      </c>
      <c r="Z53" s="20">
        <f>SUMIFS('Doc''s Pagos | Rodopar 108'!$J:$J,'Doc''s Pagos | Rodopar 108'!$A:$A,$B53&amp;$E53&amp;$F53&amp;$J53,'Doc''s Pagos | Rodopar 108'!$B:$B,Z$1)+SUMIFS('Doc Há Pagar | Rodopar 1015'!$J:$J,'Doc Há Pagar | Rodopar 1015'!$A:$A,$B53&amp;$E53&amp;$F53,'Doc Há Pagar | Rodopar 1015'!$B:$B,Z$1)</f>
        <v>0</v>
      </c>
      <c r="AA53" s="20">
        <f>SUMIFS('Doc''s Pagos | Rodopar 108'!$J:$J,'Doc''s Pagos | Rodopar 108'!$A:$A,$B53&amp;$E53&amp;$F53&amp;$J53,'Doc''s Pagos | Rodopar 108'!$B:$B,AA$1)+SUMIFS('Doc Há Pagar | Rodopar 1015'!$J:$J,'Doc Há Pagar | Rodopar 1015'!$A:$A,$B53&amp;$E53&amp;$F53,'Doc Há Pagar | Rodopar 1015'!$B:$B,AA$1)</f>
        <v>0</v>
      </c>
      <c r="AB53" s="20">
        <f>SUMIFS('Doc''s Pagos | Rodopar 108'!$J:$J,'Doc''s Pagos | Rodopar 108'!$A:$A,$B53&amp;$E53&amp;$F53&amp;$J53,'Doc''s Pagos | Rodopar 108'!$B:$B,AB$1)+SUMIFS('Doc Há Pagar | Rodopar 1015'!$J:$J,'Doc Há Pagar | Rodopar 1015'!$A:$A,$B53&amp;$E53&amp;$F53,'Doc Há Pagar | Rodopar 1015'!$B:$B,AB$1)</f>
        <v>0</v>
      </c>
      <c r="AC53" s="20">
        <f>SUMIFS('Doc''s Pagos | Rodopar 108'!$J:$J,'Doc''s Pagos | Rodopar 108'!$A:$A,$B53&amp;$E53&amp;$F53&amp;$J53,'Doc''s Pagos | Rodopar 108'!$B:$B,AC$1)+SUMIFS('Doc Há Pagar | Rodopar 1015'!$J:$J,'Doc Há Pagar | Rodopar 1015'!$A:$A,$B53&amp;$E53&amp;$F53,'Doc Há Pagar | Rodopar 1015'!$B:$B,AC$1)</f>
        <v>0</v>
      </c>
      <c r="AD53" s="20">
        <f>SUMIFS('Doc''s Pagos | Rodopar 108'!$J:$J,'Doc''s Pagos | Rodopar 108'!$A:$A,$B53&amp;$E53&amp;$F53&amp;$J53,'Doc''s Pagos | Rodopar 108'!$B:$B,AD$1)+SUMIFS('Doc Há Pagar | Rodopar 1015'!$J:$J,'Doc Há Pagar | Rodopar 1015'!$A:$A,$B53&amp;$E53&amp;$F53,'Doc Há Pagar | Rodopar 1015'!$B:$B,AD$1)</f>
        <v>0</v>
      </c>
    </row>
    <row r="54" spans="1:30" x14ac:dyDescent="0.25">
      <c r="A54" s="1" t="str">
        <f>VLOOKUP($E54,Fornecedores!$A:$C,3,0)</f>
        <v>Frota</v>
      </c>
      <c r="B54" s="14">
        <v>43</v>
      </c>
      <c r="C54" s="14" t="str">
        <f>IFERROR(VLOOKUP($E54,Fornecedores!$A:$E,4,0),"")</f>
        <v>Lavagem</v>
      </c>
      <c r="D54" s="14" t="str">
        <f>IFERROR(VLOOKUP($E54,Fornecedores!$A:$E,5,0),"")</f>
        <v>Lavagem</v>
      </c>
      <c r="E54" s="8" t="s">
        <v>92</v>
      </c>
      <c r="F54" s="14" t="s">
        <v>665</v>
      </c>
      <c r="G54" s="8" t="s">
        <v>670</v>
      </c>
      <c r="H54" s="9">
        <v>87</v>
      </c>
      <c r="I54" s="21">
        <v>2150</v>
      </c>
      <c r="J54" s="11">
        <v>46059</v>
      </c>
      <c r="K54" s="11">
        <v>46064</v>
      </c>
      <c r="L54" s="8" t="s">
        <v>282</v>
      </c>
      <c r="M54" s="14" t="s">
        <v>234</v>
      </c>
      <c r="N54" s="16">
        <v>1556</v>
      </c>
      <c r="O54" s="14" t="s">
        <v>241</v>
      </c>
      <c r="P54" s="14"/>
      <c r="Q54" s="20">
        <f t="shared" si="0"/>
        <v>0</v>
      </c>
      <c r="S54" s="20">
        <f>SUMIFS('Doc''s Pagos | Rodopar 108'!$J:$J,'Doc''s Pagos | Rodopar 108'!$A:$A,$B54&amp;$E54&amp;$F54&amp;$J54,'Doc''s Pagos | Rodopar 108'!$B:$B,S$1)+SUMIFS('Doc Há Pagar | Rodopar 1015'!$J:$J,'Doc Há Pagar | Rodopar 1015'!$A:$A,$B54&amp;$E54&amp;$F54,'Doc Há Pagar | Rodopar 1015'!$B:$B,S$1)</f>
        <v>0</v>
      </c>
      <c r="T54" s="20">
        <f>SUMIFS('Doc''s Pagos | Rodopar 108'!$J:$J,'Doc''s Pagos | Rodopar 108'!$A:$A,$B54&amp;$E54&amp;$F54&amp;$J54,'Doc''s Pagos | Rodopar 108'!$B:$B,T$1)+SUMIFS('Doc Há Pagar | Rodopar 1015'!$J:$J,'Doc Há Pagar | Rodopar 1015'!$A:$A,$B54&amp;$E54&amp;$F54,'Doc Há Pagar | Rodopar 1015'!$B:$B,T$1)</f>
        <v>0</v>
      </c>
      <c r="U54" s="20">
        <f>SUMIFS('Doc''s Pagos | Rodopar 108'!$J:$J,'Doc''s Pagos | Rodopar 108'!$A:$A,$B54&amp;$E54&amp;$F54&amp;$J54,'Doc''s Pagos | Rodopar 108'!$B:$B,U$1)+SUMIFS('Doc Há Pagar | Rodopar 1015'!$J:$J,'Doc Há Pagar | Rodopar 1015'!$A:$A,$B54&amp;$E54&amp;$F54,'Doc Há Pagar | Rodopar 1015'!$B:$B,U$1)</f>
        <v>2150</v>
      </c>
      <c r="V54" s="20">
        <f>SUMIFS('Doc''s Pagos | Rodopar 108'!$J:$J,'Doc''s Pagos | Rodopar 108'!$A:$A,$B54&amp;$E54&amp;$F54&amp;$J54,'Doc''s Pagos | Rodopar 108'!$B:$B,V$1)+SUMIFS('Doc Há Pagar | Rodopar 1015'!$J:$J,'Doc Há Pagar | Rodopar 1015'!$A:$A,$B54&amp;$E54&amp;$F54,'Doc Há Pagar | Rodopar 1015'!$B:$B,V$1)</f>
        <v>0</v>
      </c>
      <c r="W54" s="20">
        <f>SUMIFS('Doc''s Pagos | Rodopar 108'!$J:$J,'Doc''s Pagos | Rodopar 108'!$A:$A,$B54&amp;$E54&amp;$F54&amp;$J54,'Doc''s Pagos | Rodopar 108'!$B:$B,W$1)+SUMIFS('Doc Há Pagar | Rodopar 1015'!$J:$J,'Doc Há Pagar | Rodopar 1015'!$A:$A,$B54&amp;$E54&amp;$F54,'Doc Há Pagar | Rodopar 1015'!$B:$B,W$1)</f>
        <v>0</v>
      </c>
      <c r="X54" s="20">
        <f>SUMIFS('Doc''s Pagos | Rodopar 108'!$J:$J,'Doc''s Pagos | Rodopar 108'!$A:$A,$B54&amp;$E54&amp;$F54&amp;$J54,'Doc''s Pagos | Rodopar 108'!$B:$B,X$1)+SUMIFS('Doc Há Pagar | Rodopar 1015'!$J:$J,'Doc Há Pagar | Rodopar 1015'!$A:$A,$B54&amp;$E54&amp;$F54,'Doc Há Pagar | Rodopar 1015'!$B:$B,X$1)</f>
        <v>0</v>
      </c>
      <c r="Y54" s="20">
        <f>SUMIFS('Doc''s Pagos | Rodopar 108'!$J:$J,'Doc''s Pagos | Rodopar 108'!$A:$A,$B54&amp;$E54&amp;$F54&amp;$J54,'Doc''s Pagos | Rodopar 108'!$B:$B,Y$1)+SUMIFS('Doc Há Pagar | Rodopar 1015'!$J:$J,'Doc Há Pagar | Rodopar 1015'!$A:$A,$B54&amp;$E54&amp;$F54,'Doc Há Pagar | Rodopar 1015'!$B:$B,Y$1)</f>
        <v>0</v>
      </c>
      <c r="Z54" s="20">
        <f>SUMIFS('Doc''s Pagos | Rodopar 108'!$J:$J,'Doc''s Pagos | Rodopar 108'!$A:$A,$B54&amp;$E54&amp;$F54&amp;$J54,'Doc''s Pagos | Rodopar 108'!$B:$B,Z$1)+SUMIFS('Doc Há Pagar | Rodopar 1015'!$J:$J,'Doc Há Pagar | Rodopar 1015'!$A:$A,$B54&amp;$E54&amp;$F54,'Doc Há Pagar | Rodopar 1015'!$B:$B,Z$1)</f>
        <v>0</v>
      </c>
      <c r="AA54" s="20">
        <f>SUMIFS('Doc''s Pagos | Rodopar 108'!$J:$J,'Doc''s Pagos | Rodopar 108'!$A:$A,$B54&amp;$E54&amp;$F54&amp;$J54,'Doc''s Pagos | Rodopar 108'!$B:$B,AA$1)+SUMIFS('Doc Há Pagar | Rodopar 1015'!$J:$J,'Doc Há Pagar | Rodopar 1015'!$A:$A,$B54&amp;$E54&amp;$F54,'Doc Há Pagar | Rodopar 1015'!$B:$B,AA$1)</f>
        <v>0</v>
      </c>
      <c r="AB54" s="20">
        <f>SUMIFS('Doc''s Pagos | Rodopar 108'!$J:$J,'Doc''s Pagos | Rodopar 108'!$A:$A,$B54&amp;$E54&amp;$F54&amp;$J54,'Doc''s Pagos | Rodopar 108'!$B:$B,AB$1)+SUMIFS('Doc Há Pagar | Rodopar 1015'!$J:$J,'Doc Há Pagar | Rodopar 1015'!$A:$A,$B54&amp;$E54&amp;$F54,'Doc Há Pagar | Rodopar 1015'!$B:$B,AB$1)</f>
        <v>0</v>
      </c>
      <c r="AC54" s="20">
        <f>SUMIFS('Doc''s Pagos | Rodopar 108'!$J:$J,'Doc''s Pagos | Rodopar 108'!$A:$A,$B54&amp;$E54&amp;$F54&amp;$J54,'Doc''s Pagos | Rodopar 108'!$B:$B,AC$1)+SUMIFS('Doc Há Pagar | Rodopar 1015'!$J:$J,'Doc Há Pagar | Rodopar 1015'!$A:$A,$B54&amp;$E54&amp;$F54,'Doc Há Pagar | Rodopar 1015'!$B:$B,AC$1)</f>
        <v>0</v>
      </c>
      <c r="AD54" s="20">
        <f>SUMIFS('Doc''s Pagos | Rodopar 108'!$J:$J,'Doc''s Pagos | Rodopar 108'!$A:$A,$B54&amp;$E54&amp;$F54&amp;$J54,'Doc''s Pagos | Rodopar 108'!$B:$B,AD$1)+SUMIFS('Doc Há Pagar | Rodopar 1015'!$J:$J,'Doc Há Pagar | Rodopar 1015'!$A:$A,$B54&amp;$E54&amp;$F54,'Doc Há Pagar | Rodopar 1015'!$B:$B,AD$1)</f>
        <v>0</v>
      </c>
    </row>
    <row r="55" spans="1:30" x14ac:dyDescent="0.25">
      <c r="A55" s="1" t="str">
        <f>VLOOKUP($E55,Fornecedores!$A:$C,3,0)</f>
        <v>Frota</v>
      </c>
      <c r="B55" s="14">
        <v>47</v>
      </c>
      <c r="C55" s="14" t="str">
        <f>IFERROR(VLOOKUP($E55,Fornecedores!$A:$E,4,0),"")</f>
        <v>Lavagem</v>
      </c>
      <c r="D55" s="14" t="str">
        <f>IFERROR(VLOOKUP($E55,Fornecedores!$A:$E,5,0),"")</f>
        <v>Lavagem</v>
      </c>
      <c r="E55" s="8" t="s">
        <v>44</v>
      </c>
      <c r="F55" s="14" t="s">
        <v>665</v>
      </c>
      <c r="G55" s="8" t="s">
        <v>899</v>
      </c>
      <c r="H55" s="9">
        <v>87</v>
      </c>
      <c r="I55" s="21">
        <v>720</v>
      </c>
      <c r="J55" s="11">
        <v>46059</v>
      </c>
      <c r="K55" s="11">
        <v>46059</v>
      </c>
      <c r="L55" s="8" t="s">
        <v>435</v>
      </c>
      <c r="M55" s="14" t="s">
        <v>234</v>
      </c>
      <c r="N55" s="16">
        <v>1556</v>
      </c>
      <c r="O55" s="14" t="s">
        <v>241</v>
      </c>
      <c r="P55" s="14"/>
      <c r="Q55" s="20">
        <f t="shared" si="0"/>
        <v>0</v>
      </c>
      <c r="S55" s="20">
        <f>SUMIFS('Doc''s Pagos | Rodopar 108'!$J:$J,'Doc''s Pagos | Rodopar 108'!$A:$A,$B55&amp;$E55&amp;$F55&amp;$J55,'Doc''s Pagos | Rodopar 108'!$B:$B,S$1)+SUMIFS('Doc Há Pagar | Rodopar 1015'!$J:$J,'Doc Há Pagar | Rodopar 1015'!$A:$A,$B55&amp;$E55&amp;$F55,'Doc Há Pagar | Rodopar 1015'!$B:$B,S$1)</f>
        <v>0</v>
      </c>
      <c r="T55" s="20">
        <f>SUMIFS('Doc''s Pagos | Rodopar 108'!$J:$J,'Doc''s Pagos | Rodopar 108'!$A:$A,$B55&amp;$E55&amp;$F55&amp;$J55,'Doc''s Pagos | Rodopar 108'!$B:$B,T$1)+SUMIFS('Doc Há Pagar | Rodopar 1015'!$J:$J,'Doc Há Pagar | Rodopar 1015'!$A:$A,$B55&amp;$E55&amp;$F55,'Doc Há Pagar | Rodopar 1015'!$B:$B,T$1)</f>
        <v>0</v>
      </c>
      <c r="U55" s="20">
        <f>SUMIFS('Doc''s Pagos | Rodopar 108'!$J:$J,'Doc''s Pagos | Rodopar 108'!$A:$A,$B55&amp;$E55&amp;$F55&amp;$J55,'Doc''s Pagos | Rodopar 108'!$B:$B,U$1)+SUMIFS('Doc Há Pagar | Rodopar 1015'!$J:$J,'Doc Há Pagar | Rodopar 1015'!$A:$A,$B55&amp;$E55&amp;$F55,'Doc Há Pagar | Rodopar 1015'!$B:$B,U$1)</f>
        <v>720</v>
      </c>
      <c r="V55" s="20">
        <f>SUMIFS('Doc''s Pagos | Rodopar 108'!$J:$J,'Doc''s Pagos | Rodopar 108'!$A:$A,$B55&amp;$E55&amp;$F55&amp;$J55,'Doc''s Pagos | Rodopar 108'!$B:$B,V$1)+SUMIFS('Doc Há Pagar | Rodopar 1015'!$J:$J,'Doc Há Pagar | Rodopar 1015'!$A:$A,$B55&amp;$E55&amp;$F55,'Doc Há Pagar | Rodopar 1015'!$B:$B,V$1)</f>
        <v>0</v>
      </c>
      <c r="W55" s="20">
        <f>SUMIFS('Doc''s Pagos | Rodopar 108'!$J:$J,'Doc''s Pagos | Rodopar 108'!$A:$A,$B55&amp;$E55&amp;$F55&amp;$J55,'Doc''s Pagos | Rodopar 108'!$B:$B,W$1)+SUMIFS('Doc Há Pagar | Rodopar 1015'!$J:$J,'Doc Há Pagar | Rodopar 1015'!$A:$A,$B55&amp;$E55&amp;$F55,'Doc Há Pagar | Rodopar 1015'!$B:$B,W$1)</f>
        <v>0</v>
      </c>
      <c r="X55" s="20">
        <f>SUMIFS('Doc''s Pagos | Rodopar 108'!$J:$J,'Doc''s Pagos | Rodopar 108'!$A:$A,$B55&amp;$E55&amp;$F55&amp;$J55,'Doc''s Pagos | Rodopar 108'!$B:$B,X$1)+SUMIFS('Doc Há Pagar | Rodopar 1015'!$J:$J,'Doc Há Pagar | Rodopar 1015'!$A:$A,$B55&amp;$E55&amp;$F55,'Doc Há Pagar | Rodopar 1015'!$B:$B,X$1)</f>
        <v>0</v>
      </c>
      <c r="Y55" s="20">
        <f>SUMIFS('Doc''s Pagos | Rodopar 108'!$J:$J,'Doc''s Pagos | Rodopar 108'!$A:$A,$B55&amp;$E55&amp;$F55&amp;$J55,'Doc''s Pagos | Rodopar 108'!$B:$B,Y$1)+SUMIFS('Doc Há Pagar | Rodopar 1015'!$J:$J,'Doc Há Pagar | Rodopar 1015'!$A:$A,$B55&amp;$E55&amp;$F55,'Doc Há Pagar | Rodopar 1015'!$B:$B,Y$1)</f>
        <v>0</v>
      </c>
      <c r="Z55" s="20">
        <f>SUMIFS('Doc''s Pagos | Rodopar 108'!$J:$J,'Doc''s Pagos | Rodopar 108'!$A:$A,$B55&amp;$E55&amp;$F55&amp;$J55,'Doc''s Pagos | Rodopar 108'!$B:$B,Z$1)+SUMIFS('Doc Há Pagar | Rodopar 1015'!$J:$J,'Doc Há Pagar | Rodopar 1015'!$A:$A,$B55&amp;$E55&amp;$F55,'Doc Há Pagar | Rodopar 1015'!$B:$B,Z$1)</f>
        <v>0</v>
      </c>
      <c r="AA55" s="20">
        <f>SUMIFS('Doc''s Pagos | Rodopar 108'!$J:$J,'Doc''s Pagos | Rodopar 108'!$A:$A,$B55&amp;$E55&amp;$F55&amp;$J55,'Doc''s Pagos | Rodopar 108'!$B:$B,AA$1)+SUMIFS('Doc Há Pagar | Rodopar 1015'!$J:$J,'Doc Há Pagar | Rodopar 1015'!$A:$A,$B55&amp;$E55&amp;$F55,'Doc Há Pagar | Rodopar 1015'!$B:$B,AA$1)</f>
        <v>0</v>
      </c>
      <c r="AB55" s="20">
        <f>SUMIFS('Doc''s Pagos | Rodopar 108'!$J:$J,'Doc''s Pagos | Rodopar 108'!$A:$A,$B55&amp;$E55&amp;$F55&amp;$J55,'Doc''s Pagos | Rodopar 108'!$B:$B,AB$1)+SUMIFS('Doc Há Pagar | Rodopar 1015'!$J:$J,'Doc Há Pagar | Rodopar 1015'!$A:$A,$B55&amp;$E55&amp;$F55,'Doc Há Pagar | Rodopar 1015'!$B:$B,AB$1)</f>
        <v>0</v>
      </c>
      <c r="AC55" s="20">
        <f>SUMIFS('Doc''s Pagos | Rodopar 108'!$J:$J,'Doc''s Pagos | Rodopar 108'!$A:$A,$B55&amp;$E55&amp;$F55&amp;$J55,'Doc''s Pagos | Rodopar 108'!$B:$B,AC$1)+SUMIFS('Doc Há Pagar | Rodopar 1015'!$J:$J,'Doc Há Pagar | Rodopar 1015'!$A:$A,$B55&amp;$E55&amp;$F55,'Doc Há Pagar | Rodopar 1015'!$B:$B,AC$1)</f>
        <v>0</v>
      </c>
      <c r="AD55" s="20">
        <f>SUMIFS('Doc''s Pagos | Rodopar 108'!$J:$J,'Doc''s Pagos | Rodopar 108'!$A:$A,$B55&amp;$E55&amp;$F55&amp;$J55,'Doc''s Pagos | Rodopar 108'!$B:$B,AD$1)+SUMIFS('Doc Há Pagar | Rodopar 1015'!$J:$J,'Doc Há Pagar | Rodopar 1015'!$A:$A,$B55&amp;$E55&amp;$F55,'Doc Há Pagar | Rodopar 1015'!$B:$B,AD$1)</f>
        <v>0</v>
      </c>
    </row>
    <row r="56" spans="1:30" x14ac:dyDescent="0.25">
      <c r="A56" s="1" t="str">
        <f>VLOOKUP($E56,Fornecedores!$A:$C,3,0)</f>
        <v>Frota</v>
      </c>
      <c r="B56" s="14">
        <v>784275</v>
      </c>
      <c r="C56" s="14" t="str">
        <f>IFERROR(VLOOKUP($E56,Fornecedores!$A:$E,4,0),"")</f>
        <v>Telemetria</v>
      </c>
      <c r="D56" s="14" t="str">
        <f>IFERROR(VLOOKUP($E56,Fornecedores!$A:$E,5,0),"")</f>
        <v>Telemetria</v>
      </c>
      <c r="E56" s="8" t="s">
        <v>179</v>
      </c>
      <c r="F56" s="14" t="s">
        <v>665</v>
      </c>
      <c r="G56" s="8" t="s">
        <v>673</v>
      </c>
      <c r="H56" s="9">
        <v>87</v>
      </c>
      <c r="I56" s="21">
        <v>357.45</v>
      </c>
      <c r="J56" s="11">
        <v>46059</v>
      </c>
      <c r="K56" s="11">
        <v>46062</v>
      </c>
      <c r="L56" s="8" t="s">
        <v>674</v>
      </c>
      <c r="M56" s="14" t="s">
        <v>263</v>
      </c>
      <c r="N56" s="16">
        <v>2556</v>
      </c>
      <c r="O56" s="14" t="s">
        <v>241</v>
      </c>
      <c r="P56" s="14"/>
      <c r="Q56" s="20">
        <f t="shared" si="0"/>
        <v>0</v>
      </c>
      <c r="S56" s="20">
        <f>SUMIFS('Doc''s Pagos | Rodopar 108'!$J:$J,'Doc''s Pagos | Rodopar 108'!$A:$A,$B56&amp;$E56&amp;$F56&amp;$J56,'Doc''s Pagos | Rodopar 108'!$B:$B,S$1)+SUMIFS('Doc Há Pagar | Rodopar 1015'!$J:$J,'Doc Há Pagar | Rodopar 1015'!$A:$A,$B56&amp;$E56&amp;$F56,'Doc Há Pagar | Rodopar 1015'!$B:$B,S$1)</f>
        <v>0</v>
      </c>
      <c r="T56" s="20">
        <f>SUMIFS('Doc''s Pagos | Rodopar 108'!$J:$J,'Doc''s Pagos | Rodopar 108'!$A:$A,$B56&amp;$E56&amp;$F56&amp;$J56,'Doc''s Pagos | Rodopar 108'!$B:$B,T$1)+SUMIFS('Doc Há Pagar | Rodopar 1015'!$J:$J,'Doc Há Pagar | Rodopar 1015'!$A:$A,$B56&amp;$E56&amp;$F56,'Doc Há Pagar | Rodopar 1015'!$B:$B,T$1)</f>
        <v>0</v>
      </c>
      <c r="U56" s="20">
        <f>SUMIFS('Doc''s Pagos | Rodopar 108'!$J:$J,'Doc''s Pagos | Rodopar 108'!$A:$A,$B56&amp;$E56&amp;$F56&amp;$J56,'Doc''s Pagos | Rodopar 108'!$B:$B,U$1)+SUMIFS('Doc Há Pagar | Rodopar 1015'!$J:$J,'Doc Há Pagar | Rodopar 1015'!$A:$A,$B56&amp;$E56&amp;$F56,'Doc Há Pagar | Rodopar 1015'!$B:$B,U$1)</f>
        <v>357.45</v>
      </c>
      <c r="V56" s="20">
        <f>SUMIFS('Doc''s Pagos | Rodopar 108'!$J:$J,'Doc''s Pagos | Rodopar 108'!$A:$A,$B56&amp;$E56&amp;$F56&amp;$J56,'Doc''s Pagos | Rodopar 108'!$B:$B,V$1)+SUMIFS('Doc Há Pagar | Rodopar 1015'!$J:$J,'Doc Há Pagar | Rodopar 1015'!$A:$A,$B56&amp;$E56&amp;$F56,'Doc Há Pagar | Rodopar 1015'!$B:$B,V$1)</f>
        <v>0</v>
      </c>
      <c r="W56" s="20">
        <f>SUMIFS('Doc''s Pagos | Rodopar 108'!$J:$J,'Doc''s Pagos | Rodopar 108'!$A:$A,$B56&amp;$E56&amp;$F56&amp;$J56,'Doc''s Pagos | Rodopar 108'!$B:$B,W$1)+SUMIFS('Doc Há Pagar | Rodopar 1015'!$J:$J,'Doc Há Pagar | Rodopar 1015'!$A:$A,$B56&amp;$E56&amp;$F56,'Doc Há Pagar | Rodopar 1015'!$B:$B,W$1)</f>
        <v>0</v>
      </c>
      <c r="X56" s="20">
        <f>SUMIFS('Doc''s Pagos | Rodopar 108'!$J:$J,'Doc''s Pagos | Rodopar 108'!$A:$A,$B56&amp;$E56&amp;$F56&amp;$J56,'Doc''s Pagos | Rodopar 108'!$B:$B,X$1)+SUMIFS('Doc Há Pagar | Rodopar 1015'!$J:$J,'Doc Há Pagar | Rodopar 1015'!$A:$A,$B56&amp;$E56&amp;$F56,'Doc Há Pagar | Rodopar 1015'!$B:$B,X$1)</f>
        <v>0</v>
      </c>
      <c r="Y56" s="20">
        <f>SUMIFS('Doc''s Pagos | Rodopar 108'!$J:$J,'Doc''s Pagos | Rodopar 108'!$A:$A,$B56&amp;$E56&amp;$F56&amp;$J56,'Doc''s Pagos | Rodopar 108'!$B:$B,Y$1)+SUMIFS('Doc Há Pagar | Rodopar 1015'!$J:$J,'Doc Há Pagar | Rodopar 1015'!$A:$A,$B56&amp;$E56&amp;$F56,'Doc Há Pagar | Rodopar 1015'!$B:$B,Y$1)</f>
        <v>0</v>
      </c>
      <c r="Z56" s="20">
        <f>SUMIFS('Doc''s Pagos | Rodopar 108'!$J:$J,'Doc''s Pagos | Rodopar 108'!$A:$A,$B56&amp;$E56&amp;$F56&amp;$J56,'Doc''s Pagos | Rodopar 108'!$B:$B,Z$1)+SUMIFS('Doc Há Pagar | Rodopar 1015'!$J:$J,'Doc Há Pagar | Rodopar 1015'!$A:$A,$B56&amp;$E56&amp;$F56,'Doc Há Pagar | Rodopar 1015'!$B:$B,Z$1)</f>
        <v>0</v>
      </c>
      <c r="AA56" s="20">
        <f>SUMIFS('Doc''s Pagos | Rodopar 108'!$J:$J,'Doc''s Pagos | Rodopar 108'!$A:$A,$B56&amp;$E56&amp;$F56&amp;$J56,'Doc''s Pagos | Rodopar 108'!$B:$B,AA$1)+SUMIFS('Doc Há Pagar | Rodopar 1015'!$J:$J,'Doc Há Pagar | Rodopar 1015'!$A:$A,$B56&amp;$E56&amp;$F56,'Doc Há Pagar | Rodopar 1015'!$B:$B,AA$1)</f>
        <v>0</v>
      </c>
      <c r="AB56" s="20">
        <f>SUMIFS('Doc''s Pagos | Rodopar 108'!$J:$J,'Doc''s Pagos | Rodopar 108'!$A:$A,$B56&amp;$E56&amp;$F56&amp;$J56,'Doc''s Pagos | Rodopar 108'!$B:$B,AB$1)+SUMIFS('Doc Há Pagar | Rodopar 1015'!$J:$J,'Doc Há Pagar | Rodopar 1015'!$A:$A,$B56&amp;$E56&amp;$F56,'Doc Há Pagar | Rodopar 1015'!$B:$B,AB$1)</f>
        <v>0</v>
      </c>
      <c r="AC56" s="20">
        <f>SUMIFS('Doc''s Pagos | Rodopar 108'!$J:$J,'Doc''s Pagos | Rodopar 108'!$A:$A,$B56&amp;$E56&amp;$F56&amp;$J56,'Doc''s Pagos | Rodopar 108'!$B:$B,AC$1)+SUMIFS('Doc Há Pagar | Rodopar 1015'!$J:$J,'Doc Há Pagar | Rodopar 1015'!$A:$A,$B56&amp;$E56&amp;$F56,'Doc Há Pagar | Rodopar 1015'!$B:$B,AC$1)</f>
        <v>0</v>
      </c>
      <c r="AD56" s="20">
        <f>SUMIFS('Doc''s Pagos | Rodopar 108'!$J:$J,'Doc''s Pagos | Rodopar 108'!$A:$A,$B56&amp;$E56&amp;$F56&amp;$J56,'Doc''s Pagos | Rodopar 108'!$B:$B,AD$1)+SUMIFS('Doc Há Pagar | Rodopar 1015'!$J:$J,'Doc Há Pagar | Rodopar 1015'!$A:$A,$B56&amp;$E56&amp;$F56,'Doc Há Pagar | Rodopar 1015'!$B:$B,AD$1)</f>
        <v>0</v>
      </c>
    </row>
    <row r="57" spans="1:30" x14ac:dyDescent="0.25">
      <c r="A57" s="1" t="str">
        <f>VLOOKUP($E57,Fornecedores!$A:$C,3,0)</f>
        <v>Frota</v>
      </c>
      <c r="B57" s="14">
        <v>27754</v>
      </c>
      <c r="C57" s="14" t="str">
        <f>IFERROR(VLOOKUP($E57,Fornecedores!$A:$E,4,0),"")</f>
        <v>Manutenção</v>
      </c>
      <c r="D57" s="14" t="str">
        <f>IFERROR(VLOOKUP($E57,Fornecedores!$A:$E,5,0),"")</f>
        <v>Contrato</v>
      </c>
      <c r="E57" s="8" t="s">
        <v>127</v>
      </c>
      <c r="F57" s="14" t="s">
        <v>665</v>
      </c>
      <c r="G57" s="8" t="s">
        <v>809</v>
      </c>
      <c r="H57" s="9">
        <v>87</v>
      </c>
      <c r="I57" s="21">
        <v>52824.78</v>
      </c>
      <c r="J57" s="11">
        <v>46062</v>
      </c>
      <c r="K57" s="11">
        <v>46064</v>
      </c>
      <c r="L57" s="8" t="s">
        <v>810</v>
      </c>
      <c r="M57" s="14" t="s">
        <v>263</v>
      </c>
      <c r="N57" s="16">
        <v>2949</v>
      </c>
      <c r="O57" s="14" t="s">
        <v>410</v>
      </c>
      <c r="P57" s="14"/>
      <c r="Q57" s="20">
        <f t="shared" si="0"/>
        <v>0</v>
      </c>
      <c r="S57" s="20">
        <f>SUMIFS('Doc''s Pagos | Rodopar 108'!$J:$J,'Doc''s Pagos | Rodopar 108'!$A:$A,$B57&amp;$E57&amp;$F57&amp;$J57,'Doc''s Pagos | Rodopar 108'!$B:$B,S$1)+SUMIFS('Doc Há Pagar | Rodopar 1015'!$J:$J,'Doc Há Pagar | Rodopar 1015'!$A:$A,$B57&amp;$E57&amp;$F57,'Doc Há Pagar | Rodopar 1015'!$B:$B,S$1)</f>
        <v>0</v>
      </c>
      <c r="T57" s="20">
        <f>SUMIFS('Doc''s Pagos | Rodopar 108'!$J:$J,'Doc''s Pagos | Rodopar 108'!$A:$A,$B57&amp;$E57&amp;$F57&amp;$J57,'Doc''s Pagos | Rodopar 108'!$B:$B,T$1)+SUMIFS('Doc Há Pagar | Rodopar 1015'!$J:$J,'Doc Há Pagar | Rodopar 1015'!$A:$A,$B57&amp;$E57&amp;$F57,'Doc Há Pagar | Rodopar 1015'!$B:$B,T$1)</f>
        <v>0</v>
      </c>
      <c r="U57" s="20">
        <f>SUMIFS('Doc''s Pagos | Rodopar 108'!$J:$J,'Doc''s Pagos | Rodopar 108'!$A:$A,$B57&amp;$E57&amp;$F57&amp;$J57,'Doc''s Pagos | Rodopar 108'!$B:$B,U$1)+SUMIFS('Doc Há Pagar | Rodopar 1015'!$J:$J,'Doc Há Pagar | Rodopar 1015'!$A:$A,$B57&amp;$E57&amp;$F57,'Doc Há Pagar | Rodopar 1015'!$B:$B,U$1)</f>
        <v>52824.78</v>
      </c>
      <c r="V57" s="20">
        <f>SUMIFS('Doc''s Pagos | Rodopar 108'!$J:$J,'Doc''s Pagos | Rodopar 108'!$A:$A,$B57&amp;$E57&amp;$F57&amp;$J57,'Doc''s Pagos | Rodopar 108'!$B:$B,V$1)+SUMIFS('Doc Há Pagar | Rodopar 1015'!$J:$J,'Doc Há Pagar | Rodopar 1015'!$A:$A,$B57&amp;$E57&amp;$F57,'Doc Há Pagar | Rodopar 1015'!$B:$B,V$1)</f>
        <v>0</v>
      </c>
      <c r="W57" s="20">
        <f>SUMIFS('Doc''s Pagos | Rodopar 108'!$J:$J,'Doc''s Pagos | Rodopar 108'!$A:$A,$B57&amp;$E57&amp;$F57&amp;$J57,'Doc''s Pagos | Rodopar 108'!$B:$B,W$1)+SUMIFS('Doc Há Pagar | Rodopar 1015'!$J:$J,'Doc Há Pagar | Rodopar 1015'!$A:$A,$B57&amp;$E57&amp;$F57,'Doc Há Pagar | Rodopar 1015'!$B:$B,W$1)</f>
        <v>0</v>
      </c>
      <c r="X57" s="20">
        <f>SUMIFS('Doc''s Pagos | Rodopar 108'!$J:$J,'Doc''s Pagos | Rodopar 108'!$A:$A,$B57&amp;$E57&amp;$F57&amp;$J57,'Doc''s Pagos | Rodopar 108'!$B:$B,X$1)+SUMIFS('Doc Há Pagar | Rodopar 1015'!$J:$J,'Doc Há Pagar | Rodopar 1015'!$A:$A,$B57&amp;$E57&amp;$F57,'Doc Há Pagar | Rodopar 1015'!$B:$B,X$1)</f>
        <v>0</v>
      </c>
      <c r="Y57" s="20">
        <f>SUMIFS('Doc''s Pagos | Rodopar 108'!$J:$J,'Doc''s Pagos | Rodopar 108'!$A:$A,$B57&amp;$E57&amp;$F57&amp;$J57,'Doc''s Pagos | Rodopar 108'!$B:$B,Y$1)+SUMIFS('Doc Há Pagar | Rodopar 1015'!$J:$J,'Doc Há Pagar | Rodopar 1015'!$A:$A,$B57&amp;$E57&amp;$F57,'Doc Há Pagar | Rodopar 1015'!$B:$B,Y$1)</f>
        <v>0</v>
      </c>
      <c r="Z57" s="20">
        <f>SUMIFS('Doc''s Pagos | Rodopar 108'!$J:$J,'Doc''s Pagos | Rodopar 108'!$A:$A,$B57&amp;$E57&amp;$F57&amp;$J57,'Doc''s Pagos | Rodopar 108'!$B:$B,Z$1)+SUMIFS('Doc Há Pagar | Rodopar 1015'!$J:$J,'Doc Há Pagar | Rodopar 1015'!$A:$A,$B57&amp;$E57&amp;$F57,'Doc Há Pagar | Rodopar 1015'!$B:$B,Z$1)</f>
        <v>0</v>
      </c>
      <c r="AA57" s="20">
        <f>SUMIFS('Doc''s Pagos | Rodopar 108'!$J:$J,'Doc''s Pagos | Rodopar 108'!$A:$A,$B57&amp;$E57&amp;$F57&amp;$J57,'Doc''s Pagos | Rodopar 108'!$B:$B,AA$1)+SUMIFS('Doc Há Pagar | Rodopar 1015'!$J:$J,'Doc Há Pagar | Rodopar 1015'!$A:$A,$B57&amp;$E57&amp;$F57,'Doc Há Pagar | Rodopar 1015'!$B:$B,AA$1)</f>
        <v>0</v>
      </c>
      <c r="AB57" s="20">
        <f>SUMIFS('Doc''s Pagos | Rodopar 108'!$J:$J,'Doc''s Pagos | Rodopar 108'!$A:$A,$B57&amp;$E57&amp;$F57&amp;$J57,'Doc''s Pagos | Rodopar 108'!$B:$B,AB$1)+SUMIFS('Doc Há Pagar | Rodopar 1015'!$J:$J,'Doc Há Pagar | Rodopar 1015'!$A:$A,$B57&amp;$E57&amp;$F57,'Doc Há Pagar | Rodopar 1015'!$B:$B,AB$1)</f>
        <v>0</v>
      </c>
      <c r="AC57" s="20">
        <f>SUMIFS('Doc''s Pagos | Rodopar 108'!$J:$J,'Doc''s Pagos | Rodopar 108'!$A:$A,$B57&amp;$E57&amp;$F57&amp;$J57,'Doc''s Pagos | Rodopar 108'!$B:$B,AC$1)+SUMIFS('Doc Há Pagar | Rodopar 1015'!$J:$J,'Doc Há Pagar | Rodopar 1015'!$A:$A,$B57&amp;$E57&amp;$F57,'Doc Há Pagar | Rodopar 1015'!$B:$B,AC$1)</f>
        <v>0</v>
      </c>
      <c r="AD57" s="20">
        <f>SUMIFS('Doc''s Pagos | Rodopar 108'!$J:$J,'Doc''s Pagos | Rodopar 108'!$A:$A,$B57&amp;$E57&amp;$F57&amp;$J57,'Doc''s Pagos | Rodopar 108'!$B:$B,AD$1)+SUMIFS('Doc Há Pagar | Rodopar 1015'!$J:$J,'Doc Há Pagar | Rodopar 1015'!$A:$A,$B57&amp;$E57&amp;$F57,'Doc Há Pagar | Rodopar 1015'!$B:$B,AD$1)</f>
        <v>0</v>
      </c>
    </row>
    <row r="58" spans="1:30" x14ac:dyDescent="0.25">
      <c r="A58" s="1" t="str">
        <f>VLOOKUP($E58,Fornecedores!$A:$C,3,0)</f>
        <v>Frota</v>
      </c>
      <c r="B58" s="14">
        <v>2909</v>
      </c>
      <c r="C58" s="14" t="str">
        <f>IFERROR(VLOOKUP($E58,Fornecedores!$A:$E,4,0),"")</f>
        <v>Pneus</v>
      </c>
      <c r="D58" s="14" t="str">
        <f>IFERROR(VLOOKUP($E58,Fornecedores!$A:$E,5,0),"")</f>
        <v>Tecnologia</v>
      </c>
      <c r="E58" s="8" t="s">
        <v>145</v>
      </c>
      <c r="F58" s="14" t="s">
        <v>665</v>
      </c>
      <c r="G58" s="8" t="s">
        <v>644</v>
      </c>
      <c r="H58" s="9">
        <v>87</v>
      </c>
      <c r="I58" s="21">
        <v>936.1</v>
      </c>
      <c r="J58" s="11">
        <v>46062</v>
      </c>
      <c r="K58" s="11">
        <v>46066</v>
      </c>
      <c r="L58" s="8" t="s">
        <v>339</v>
      </c>
      <c r="M58" s="14" t="s">
        <v>263</v>
      </c>
      <c r="N58" s="16">
        <v>2949</v>
      </c>
      <c r="O58" s="14" t="s">
        <v>410</v>
      </c>
      <c r="P58" s="14"/>
      <c r="Q58" s="20">
        <f t="shared" si="0"/>
        <v>0</v>
      </c>
      <c r="S58" s="20">
        <f>SUMIFS('Doc''s Pagos | Rodopar 108'!$J:$J,'Doc''s Pagos | Rodopar 108'!$A:$A,$B58&amp;$E58&amp;$F58&amp;$J58,'Doc''s Pagos | Rodopar 108'!$B:$B,S$1)+SUMIFS('Doc Há Pagar | Rodopar 1015'!$J:$J,'Doc Há Pagar | Rodopar 1015'!$A:$A,$B58&amp;$E58&amp;$F58,'Doc Há Pagar | Rodopar 1015'!$B:$B,S$1)</f>
        <v>0</v>
      </c>
      <c r="T58" s="20">
        <f>SUMIFS('Doc''s Pagos | Rodopar 108'!$J:$J,'Doc''s Pagos | Rodopar 108'!$A:$A,$B58&amp;$E58&amp;$F58&amp;$J58,'Doc''s Pagos | Rodopar 108'!$B:$B,T$1)+SUMIFS('Doc Há Pagar | Rodopar 1015'!$J:$J,'Doc Há Pagar | Rodopar 1015'!$A:$A,$B58&amp;$E58&amp;$F58,'Doc Há Pagar | Rodopar 1015'!$B:$B,T$1)</f>
        <v>0</v>
      </c>
      <c r="U58" s="20">
        <f>SUMIFS('Doc''s Pagos | Rodopar 108'!$J:$J,'Doc''s Pagos | Rodopar 108'!$A:$A,$B58&amp;$E58&amp;$F58&amp;$J58,'Doc''s Pagos | Rodopar 108'!$B:$B,U$1)+SUMIFS('Doc Há Pagar | Rodopar 1015'!$J:$J,'Doc Há Pagar | Rodopar 1015'!$A:$A,$B58&amp;$E58&amp;$F58,'Doc Há Pagar | Rodopar 1015'!$B:$B,U$1)</f>
        <v>936.1</v>
      </c>
      <c r="V58" s="20">
        <f>SUMIFS('Doc''s Pagos | Rodopar 108'!$J:$J,'Doc''s Pagos | Rodopar 108'!$A:$A,$B58&amp;$E58&amp;$F58&amp;$J58,'Doc''s Pagos | Rodopar 108'!$B:$B,V$1)+SUMIFS('Doc Há Pagar | Rodopar 1015'!$J:$J,'Doc Há Pagar | Rodopar 1015'!$A:$A,$B58&amp;$E58&amp;$F58,'Doc Há Pagar | Rodopar 1015'!$B:$B,V$1)</f>
        <v>0</v>
      </c>
      <c r="W58" s="20">
        <f>SUMIFS('Doc''s Pagos | Rodopar 108'!$J:$J,'Doc''s Pagos | Rodopar 108'!$A:$A,$B58&amp;$E58&amp;$F58&amp;$J58,'Doc''s Pagos | Rodopar 108'!$B:$B,W$1)+SUMIFS('Doc Há Pagar | Rodopar 1015'!$J:$J,'Doc Há Pagar | Rodopar 1015'!$A:$A,$B58&amp;$E58&amp;$F58,'Doc Há Pagar | Rodopar 1015'!$B:$B,W$1)</f>
        <v>0</v>
      </c>
      <c r="X58" s="20">
        <f>SUMIFS('Doc''s Pagos | Rodopar 108'!$J:$J,'Doc''s Pagos | Rodopar 108'!$A:$A,$B58&amp;$E58&amp;$F58&amp;$J58,'Doc''s Pagos | Rodopar 108'!$B:$B,X$1)+SUMIFS('Doc Há Pagar | Rodopar 1015'!$J:$J,'Doc Há Pagar | Rodopar 1015'!$A:$A,$B58&amp;$E58&amp;$F58,'Doc Há Pagar | Rodopar 1015'!$B:$B,X$1)</f>
        <v>0</v>
      </c>
      <c r="Y58" s="20">
        <f>SUMIFS('Doc''s Pagos | Rodopar 108'!$J:$J,'Doc''s Pagos | Rodopar 108'!$A:$A,$B58&amp;$E58&amp;$F58&amp;$J58,'Doc''s Pagos | Rodopar 108'!$B:$B,Y$1)+SUMIFS('Doc Há Pagar | Rodopar 1015'!$J:$J,'Doc Há Pagar | Rodopar 1015'!$A:$A,$B58&amp;$E58&amp;$F58,'Doc Há Pagar | Rodopar 1015'!$B:$B,Y$1)</f>
        <v>0</v>
      </c>
      <c r="Z58" s="20">
        <f>SUMIFS('Doc''s Pagos | Rodopar 108'!$J:$J,'Doc''s Pagos | Rodopar 108'!$A:$A,$B58&amp;$E58&amp;$F58&amp;$J58,'Doc''s Pagos | Rodopar 108'!$B:$B,Z$1)+SUMIFS('Doc Há Pagar | Rodopar 1015'!$J:$J,'Doc Há Pagar | Rodopar 1015'!$A:$A,$B58&amp;$E58&amp;$F58,'Doc Há Pagar | Rodopar 1015'!$B:$B,Z$1)</f>
        <v>0</v>
      </c>
      <c r="AA58" s="20">
        <f>SUMIFS('Doc''s Pagos | Rodopar 108'!$J:$J,'Doc''s Pagos | Rodopar 108'!$A:$A,$B58&amp;$E58&amp;$F58&amp;$J58,'Doc''s Pagos | Rodopar 108'!$B:$B,AA$1)+SUMIFS('Doc Há Pagar | Rodopar 1015'!$J:$J,'Doc Há Pagar | Rodopar 1015'!$A:$A,$B58&amp;$E58&amp;$F58,'Doc Há Pagar | Rodopar 1015'!$B:$B,AA$1)</f>
        <v>0</v>
      </c>
      <c r="AB58" s="20">
        <f>SUMIFS('Doc''s Pagos | Rodopar 108'!$J:$J,'Doc''s Pagos | Rodopar 108'!$A:$A,$B58&amp;$E58&amp;$F58&amp;$J58,'Doc''s Pagos | Rodopar 108'!$B:$B,AB$1)+SUMIFS('Doc Há Pagar | Rodopar 1015'!$J:$J,'Doc Há Pagar | Rodopar 1015'!$A:$A,$B58&amp;$E58&amp;$F58,'Doc Há Pagar | Rodopar 1015'!$B:$B,AB$1)</f>
        <v>0</v>
      </c>
      <c r="AC58" s="20">
        <f>SUMIFS('Doc''s Pagos | Rodopar 108'!$J:$J,'Doc''s Pagos | Rodopar 108'!$A:$A,$B58&amp;$E58&amp;$F58&amp;$J58,'Doc''s Pagos | Rodopar 108'!$B:$B,AC$1)+SUMIFS('Doc Há Pagar | Rodopar 1015'!$J:$J,'Doc Há Pagar | Rodopar 1015'!$A:$A,$B58&amp;$E58&amp;$F58,'Doc Há Pagar | Rodopar 1015'!$B:$B,AC$1)</f>
        <v>0</v>
      </c>
      <c r="AD58" s="20">
        <f>SUMIFS('Doc''s Pagos | Rodopar 108'!$J:$J,'Doc''s Pagos | Rodopar 108'!$A:$A,$B58&amp;$E58&amp;$F58&amp;$J58,'Doc''s Pagos | Rodopar 108'!$B:$B,AD$1)+SUMIFS('Doc Há Pagar | Rodopar 1015'!$J:$J,'Doc Há Pagar | Rodopar 1015'!$A:$A,$B58&amp;$E58&amp;$F58,'Doc Há Pagar | Rodopar 1015'!$B:$B,AD$1)</f>
        <v>0</v>
      </c>
    </row>
    <row r="59" spans="1:30" x14ac:dyDescent="0.25">
      <c r="A59" s="1" t="str">
        <f>VLOOKUP($E59,Fornecedores!$A:$C,3,0)</f>
        <v>Frota</v>
      </c>
      <c r="B59" s="14">
        <v>9</v>
      </c>
      <c r="C59" s="14" t="str">
        <f>IFERROR(VLOOKUP($E59,Fornecedores!$A:$E,4,0),"")</f>
        <v>Lavagem</v>
      </c>
      <c r="D59" s="14" t="str">
        <f>IFERROR(VLOOKUP($E59,Fornecedores!$A:$E,5,0),"")</f>
        <v>Lavagem</v>
      </c>
      <c r="E59" s="8" t="s">
        <v>85</v>
      </c>
      <c r="F59" s="14" t="s">
        <v>665</v>
      </c>
      <c r="G59" s="8" t="s">
        <v>633</v>
      </c>
      <c r="H59" s="9">
        <v>87</v>
      </c>
      <c r="I59" s="21">
        <v>12300</v>
      </c>
      <c r="J59" s="11">
        <v>46062</v>
      </c>
      <c r="K59" s="11">
        <v>46062</v>
      </c>
      <c r="L59" s="8" t="s">
        <v>282</v>
      </c>
      <c r="M59" s="14" t="s">
        <v>234</v>
      </c>
      <c r="N59" s="16">
        <v>1556</v>
      </c>
      <c r="O59" s="14" t="s">
        <v>241</v>
      </c>
      <c r="P59" s="14"/>
      <c r="Q59" s="20">
        <f t="shared" si="0"/>
        <v>0</v>
      </c>
      <c r="S59" s="20">
        <f>SUMIFS('Doc''s Pagos | Rodopar 108'!$J:$J,'Doc''s Pagos | Rodopar 108'!$A:$A,$B59&amp;$E59&amp;$F59&amp;$J59,'Doc''s Pagos | Rodopar 108'!$B:$B,S$1)+SUMIFS('Doc Há Pagar | Rodopar 1015'!$J:$J,'Doc Há Pagar | Rodopar 1015'!$A:$A,$B59&amp;$E59&amp;$F59,'Doc Há Pagar | Rodopar 1015'!$B:$B,S$1)</f>
        <v>0</v>
      </c>
      <c r="T59" s="20">
        <f>SUMIFS('Doc''s Pagos | Rodopar 108'!$J:$J,'Doc''s Pagos | Rodopar 108'!$A:$A,$B59&amp;$E59&amp;$F59&amp;$J59,'Doc''s Pagos | Rodopar 108'!$B:$B,T$1)+SUMIFS('Doc Há Pagar | Rodopar 1015'!$J:$J,'Doc Há Pagar | Rodopar 1015'!$A:$A,$B59&amp;$E59&amp;$F59,'Doc Há Pagar | Rodopar 1015'!$B:$B,T$1)</f>
        <v>0</v>
      </c>
      <c r="U59" s="20">
        <f>SUMIFS('Doc''s Pagos | Rodopar 108'!$J:$J,'Doc''s Pagos | Rodopar 108'!$A:$A,$B59&amp;$E59&amp;$F59&amp;$J59,'Doc''s Pagos | Rodopar 108'!$B:$B,U$1)+SUMIFS('Doc Há Pagar | Rodopar 1015'!$J:$J,'Doc Há Pagar | Rodopar 1015'!$A:$A,$B59&amp;$E59&amp;$F59,'Doc Há Pagar | Rodopar 1015'!$B:$B,U$1)</f>
        <v>12300</v>
      </c>
      <c r="V59" s="20">
        <f>SUMIFS('Doc''s Pagos | Rodopar 108'!$J:$J,'Doc''s Pagos | Rodopar 108'!$A:$A,$B59&amp;$E59&amp;$F59&amp;$J59,'Doc''s Pagos | Rodopar 108'!$B:$B,V$1)+SUMIFS('Doc Há Pagar | Rodopar 1015'!$J:$J,'Doc Há Pagar | Rodopar 1015'!$A:$A,$B59&amp;$E59&amp;$F59,'Doc Há Pagar | Rodopar 1015'!$B:$B,V$1)</f>
        <v>0</v>
      </c>
      <c r="W59" s="20">
        <f>SUMIFS('Doc''s Pagos | Rodopar 108'!$J:$J,'Doc''s Pagos | Rodopar 108'!$A:$A,$B59&amp;$E59&amp;$F59&amp;$J59,'Doc''s Pagos | Rodopar 108'!$B:$B,W$1)+SUMIFS('Doc Há Pagar | Rodopar 1015'!$J:$J,'Doc Há Pagar | Rodopar 1015'!$A:$A,$B59&amp;$E59&amp;$F59,'Doc Há Pagar | Rodopar 1015'!$B:$B,W$1)</f>
        <v>0</v>
      </c>
      <c r="X59" s="20">
        <f>SUMIFS('Doc''s Pagos | Rodopar 108'!$J:$J,'Doc''s Pagos | Rodopar 108'!$A:$A,$B59&amp;$E59&amp;$F59&amp;$J59,'Doc''s Pagos | Rodopar 108'!$B:$B,X$1)+SUMIFS('Doc Há Pagar | Rodopar 1015'!$J:$J,'Doc Há Pagar | Rodopar 1015'!$A:$A,$B59&amp;$E59&amp;$F59,'Doc Há Pagar | Rodopar 1015'!$B:$B,X$1)</f>
        <v>0</v>
      </c>
      <c r="Y59" s="20">
        <f>SUMIFS('Doc''s Pagos | Rodopar 108'!$J:$J,'Doc''s Pagos | Rodopar 108'!$A:$A,$B59&amp;$E59&amp;$F59&amp;$J59,'Doc''s Pagos | Rodopar 108'!$B:$B,Y$1)+SUMIFS('Doc Há Pagar | Rodopar 1015'!$J:$J,'Doc Há Pagar | Rodopar 1015'!$A:$A,$B59&amp;$E59&amp;$F59,'Doc Há Pagar | Rodopar 1015'!$B:$B,Y$1)</f>
        <v>0</v>
      </c>
      <c r="Z59" s="20">
        <f>SUMIFS('Doc''s Pagos | Rodopar 108'!$J:$J,'Doc''s Pagos | Rodopar 108'!$A:$A,$B59&amp;$E59&amp;$F59&amp;$J59,'Doc''s Pagos | Rodopar 108'!$B:$B,Z$1)+SUMIFS('Doc Há Pagar | Rodopar 1015'!$J:$J,'Doc Há Pagar | Rodopar 1015'!$A:$A,$B59&amp;$E59&amp;$F59,'Doc Há Pagar | Rodopar 1015'!$B:$B,Z$1)</f>
        <v>0</v>
      </c>
      <c r="AA59" s="20">
        <f>SUMIFS('Doc''s Pagos | Rodopar 108'!$J:$J,'Doc''s Pagos | Rodopar 108'!$A:$A,$B59&amp;$E59&amp;$F59&amp;$J59,'Doc''s Pagos | Rodopar 108'!$B:$B,AA$1)+SUMIFS('Doc Há Pagar | Rodopar 1015'!$J:$J,'Doc Há Pagar | Rodopar 1015'!$A:$A,$B59&amp;$E59&amp;$F59,'Doc Há Pagar | Rodopar 1015'!$B:$B,AA$1)</f>
        <v>0</v>
      </c>
      <c r="AB59" s="20">
        <f>SUMIFS('Doc''s Pagos | Rodopar 108'!$J:$J,'Doc''s Pagos | Rodopar 108'!$A:$A,$B59&amp;$E59&amp;$F59&amp;$J59,'Doc''s Pagos | Rodopar 108'!$B:$B,AB$1)+SUMIFS('Doc Há Pagar | Rodopar 1015'!$J:$J,'Doc Há Pagar | Rodopar 1015'!$A:$A,$B59&amp;$E59&amp;$F59,'Doc Há Pagar | Rodopar 1015'!$B:$B,AB$1)</f>
        <v>0</v>
      </c>
      <c r="AC59" s="20">
        <f>SUMIFS('Doc''s Pagos | Rodopar 108'!$J:$J,'Doc''s Pagos | Rodopar 108'!$A:$A,$B59&amp;$E59&amp;$F59&amp;$J59,'Doc''s Pagos | Rodopar 108'!$B:$B,AC$1)+SUMIFS('Doc Há Pagar | Rodopar 1015'!$J:$J,'Doc Há Pagar | Rodopar 1015'!$A:$A,$B59&amp;$E59&amp;$F59,'Doc Há Pagar | Rodopar 1015'!$B:$B,AC$1)</f>
        <v>0</v>
      </c>
      <c r="AD59" s="20">
        <f>SUMIFS('Doc''s Pagos | Rodopar 108'!$J:$J,'Doc''s Pagos | Rodopar 108'!$A:$A,$B59&amp;$E59&amp;$F59&amp;$J59,'Doc''s Pagos | Rodopar 108'!$B:$B,AD$1)+SUMIFS('Doc Há Pagar | Rodopar 1015'!$J:$J,'Doc Há Pagar | Rodopar 1015'!$A:$A,$B59&amp;$E59&amp;$F59,'Doc Há Pagar | Rodopar 1015'!$B:$B,AD$1)</f>
        <v>0</v>
      </c>
    </row>
    <row r="60" spans="1:30" x14ac:dyDescent="0.25">
      <c r="A60" s="1" t="str">
        <f>VLOOKUP($E60,Fornecedores!$A:$C,3,0)</f>
        <v>Frota</v>
      </c>
      <c r="B60" s="14">
        <v>1443</v>
      </c>
      <c r="C60" s="14" t="str">
        <f>IFERROR(VLOOKUP($E60,Fornecedores!$A:$E,4,0),"")</f>
        <v>MTSR</v>
      </c>
      <c r="D60" s="14" t="str">
        <f>IFERROR(VLOOKUP($E60,Fornecedores!$A:$E,5,0),"")</f>
        <v>Tecnologia</v>
      </c>
      <c r="E60" s="8" t="s">
        <v>24</v>
      </c>
      <c r="F60" s="14" t="s">
        <v>232</v>
      </c>
      <c r="G60" s="8" t="s">
        <v>238</v>
      </c>
      <c r="H60" s="9">
        <v>87</v>
      </c>
      <c r="I60" s="21">
        <v>59176.89</v>
      </c>
      <c r="J60" s="11">
        <v>46063</v>
      </c>
      <c r="K60" s="11">
        <v>46064</v>
      </c>
      <c r="L60" s="8" t="s">
        <v>239</v>
      </c>
      <c r="M60" s="14" t="s">
        <v>240</v>
      </c>
      <c r="N60" s="16">
        <v>2556</v>
      </c>
      <c r="O60" s="14" t="s">
        <v>241</v>
      </c>
      <c r="P60" s="14"/>
      <c r="Q60" s="20">
        <f t="shared" si="0"/>
        <v>0</v>
      </c>
      <c r="S60" s="20">
        <f>SUMIFS('Doc''s Pagos | Rodopar 108'!$J:$J,'Doc''s Pagos | Rodopar 108'!$A:$A,$B60&amp;$E60&amp;$F60&amp;$J60,'Doc''s Pagos | Rodopar 108'!$B:$B,S$1)+SUMIFS('Doc Há Pagar | Rodopar 1015'!$J:$J,'Doc Há Pagar | Rodopar 1015'!$A:$A,$B60&amp;$E60&amp;$F60,'Doc Há Pagar | Rodopar 1015'!$B:$B,S$1)</f>
        <v>0</v>
      </c>
      <c r="T60" s="20">
        <f>SUMIFS('Doc''s Pagos | Rodopar 108'!$J:$J,'Doc''s Pagos | Rodopar 108'!$A:$A,$B60&amp;$E60&amp;$F60&amp;$J60,'Doc''s Pagos | Rodopar 108'!$B:$B,T$1)+SUMIFS('Doc Há Pagar | Rodopar 1015'!$J:$J,'Doc Há Pagar | Rodopar 1015'!$A:$A,$B60&amp;$E60&amp;$F60,'Doc Há Pagar | Rodopar 1015'!$B:$B,T$1)</f>
        <v>0</v>
      </c>
      <c r="U60" s="20">
        <f>SUMIFS('Doc''s Pagos | Rodopar 108'!$J:$J,'Doc''s Pagos | Rodopar 108'!$A:$A,$B60&amp;$E60&amp;$F60&amp;$J60,'Doc''s Pagos | Rodopar 108'!$B:$B,U$1)+SUMIFS('Doc Há Pagar | Rodopar 1015'!$J:$J,'Doc Há Pagar | Rodopar 1015'!$A:$A,$B60&amp;$E60&amp;$F60,'Doc Há Pagar | Rodopar 1015'!$B:$B,U$1)</f>
        <v>59176.89</v>
      </c>
      <c r="V60" s="20">
        <f>SUMIFS('Doc''s Pagos | Rodopar 108'!$J:$J,'Doc''s Pagos | Rodopar 108'!$A:$A,$B60&amp;$E60&amp;$F60&amp;$J60,'Doc''s Pagos | Rodopar 108'!$B:$B,V$1)+SUMIFS('Doc Há Pagar | Rodopar 1015'!$J:$J,'Doc Há Pagar | Rodopar 1015'!$A:$A,$B60&amp;$E60&amp;$F60,'Doc Há Pagar | Rodopar 1015'!$B:$B,V$1)</f>
        <v>0</v>
      </c>
      <c r="W60" s="20">
        <f>SUMIFS('Doc''s Pagos | Rodopar 108'!$J:$J,'Doc''s Pagos | Rodopar 108'!$A:$A,$B60&amp;$E60&amp;$F60&amp;$J60,'Doc''s Pagos | Rodopar 108'!$B:$B,W$1)+SUMIFS('Doc Há Pagar | Rodopar 1015'!$J:$J,'Doc Há Pagar | Rodopar 1015'!$A:$A,$B60&amp;$E60&amp;$F60,'Doc Há Pagar | Rodopar 1015'!$B:$B,W$1)</f>
        <v>0</v>
      </c>
      <c r="X60" s="20">
        <f>SUMIFS('Doc''s Pagos | Rodopar 108'!$J:$J,'Doc''s Pagos | Rodopar 108'!$A:$A,$B60&amp;$E60&amp;$F60&amp;$J60,'Doc''s Pagos | Rodopar 108'!$B:$B,X$1)+SUMIFS('Doc Há Pagar | Rodopar 1015'!$J:$J,'Doc Há Pagar | Rodopar 1015'!$A:$A,$B60&amp;$E60&amp;$F60,'Doc Há Pagar | Rodopar 1015'!$B:$B,X$1)</f>
        <v>0</v>
      </c>
      <c r="Y60" s="20">
        <f>SUMIFS('Doc''s Pagos | Rodopar 108'!$J:$J,'Doc''s Pagos | Rodopar 108'!$A:$A,$B60&amp;$E60&amp;$F60&amp;$J60,'Doc''s Pagos | Rodopar 108'!$B:$B,Y$1)+SUMIFS('Doc Há Pagar | Rodopar 1015'!$J:$J,'Doc Há Pagar | Rodopar 1015'!$A:$A,$B60&amp;$E60&amp;$F60,'Doc Há Pagar | Rodopar 1015'!$B:$B,Y$1)</f>
        <v>0</v>
      </c>
      <c r="Z60" s="20">
        <f>SUMIFS('Doc''s Pagos | Rodopar 108'!$J:$J,'Doc''s Pagos | Rodopar 108'!$A:$A,$B60&amp;$E60&amp;$F60&amp;$J60,'Doc''s Pagos | Rodopar 108'!$B:$B,Z$1)+SUMIFS('Doc Há Pagar | Rodopar 1015'!$J:$J,'Doc Há Pagar | Rodopar 1015'!$A:$A,$B60&amp;$E60&amp;$F60,'Doc Há Pagar | Rodopar 1015'!$B:$B,Z$1)</f>
        <v>0</v>
      </c>
      <c r="AA60" s="20">
        <f>SUMIFS('Doc''s Pagos | Rodopar 108'!$J:$J,'Doc''s Pagos | Rodopar 108'!$A:$A,$B60&amp;$E60&amp;$F60&amp;$J60,'Doc''s Pagos | Rodopar 108'!$B:$B,AA$1)+SUMIFS('Doc Há Pagar | Rodopar 1015'!$J:$J,'Doc Há Pagar | Rodopar 1015'!$A:$A,$B60&amp;$E60&amp;$F60,'Doc Há Pagar | Rodopar 1015'!$B:$B,AA$1)</f>
        <v>0</v>
      </c>
      <c r="AB60" s="20">
        <f>SUMIFS('Doc''s Pagos | Rodopar 108'!$J:$J,'Doc''s Pagos | Rodopar 108'!$A:$A,$B60&amp;$E60&amp;$F60&amp;$J60,'Doc''s Pagos | Rodopar 108'!$B:$B,AB$1)+SUMIFS('Doc Há Pagar | Rodopar 1015'!$J:$J,'Doc Há Pagar | Rodopar 1015'!$A:$A,$B60&amp;$E60&amp;$F60,'Doc Há Pagar | Rodopar 1015'!$B:$B,AB$1)</f>
        <v>0</v>
      </c>
      <c r="AC60" s="20">
        <f>SUMIFS('Doc''s Pagos | Rodopar 108'!$J:$J,'Doc''s Pagos | Rodopar 108'!$A:$A,$B60&amp;$E60&amp;$F60&amp;$J60,'Doc''s Pagos | Rodopar 108'!$B:$B,AC$1)+SUMIFS('Doc Há Pagar | Rodopar 1015'!$J:$J,'Doc Há Pagar | Rodopar 1015'!$A:$A,$B60&amp;$E60&amp;$F60,'Doc Há Pagar | Rodopar 1015'!$B:$B,AC$1)</f>
        <v>0</v>
      </c>
      <c r="AD60" s="20">
        <f>SUMIFS('Doc''s Pagos | Rodopar 108'!$J:$J,'Doc''s Pagos | Rodopar 108'!$A:$A,$B60&amp;$E60&amp;$F60&amp;$J60,'Doc''s Pagos | Rodopar 108'!$B:$B,AD$1)+SUMIFS('Doc Há Pagar | Rodopar 1015'!$J:$J,'Doc Há Pagar | Rodopar 1015'!$A:$A,$B60&amp;$E60&amp;$F60,'Doc Há Pagar | Rodopar 1015'!$B:$B,AD$1)</f>
        <v>0</v>
      </c>
    </row>
    <row r="61" spans="1:30" x14ac:dyDescent="0.25">
      <c r="A61" s="1" t="str">
        <f>VLOOKUP($E61,Fornecedores!$A:$C,3,0)</f>
        <v>Frota</v>
      </c>
      <c r="B61" s="14">
        <v>34911</v>
      </c>
      <c r="C61" s="14" t="str">
        <f>IFERROR(VLOOKUP($E61,Fornecedores!$A:$E,4,0),"")</f>
        <v>Sinistro</v>
      </c>
      <c r="D61" s="14" t="str">
        <f>IFERROR(VLOOKUP($E61,Fornecedores!$A:$E,5,0),"")</f>
        <v>Parabrisa</v>
      </c>
      <c r="E61" s="8" t="s">
        <v>499</v>
      </c>
      <c r="F61" s="14" t="s">
        <v>380</v>
      </c>
      <c r="G61" s="8" t="s">
        <v>500</v>
      </c>
      <c r="H61" s="9">
        <v>87</v>
      </c>
      <c r="I61" s="21">
        <v>750</v>
      </c>
      <c r="J61" s="11">
        <v>46063</v>
      </c>
      <c r="K61" s="11">
        <v>46063</v>
      </c>
      <c r="L61" s="8" t="s">
        <v>501</v>
      </c>
      <c r="M61" s="14" t="s">
        <v>234</v>
      </c>
      <c r="N61" s="16">
        <v>1556</v>
      </c>
      <c r="O61" s="14" t="s">
        <v>241</v>
      </c>
      <c r="P61" s="14"/>
      <c r="Q61" s="20">
        <f t="shared" si="0"/>
        <v>0</v>
      </c>
      <c r="S61" s="20">
        <f>SUMIFS('Doc''s Pagos | Rodopar 108'!$J:$J,'Doc''s Pagos | Rodopar 108'!$A:$A,$B61&amp;$E61&amp;$F61&amp;$J61,'Doc''s Pagos | Rodopar 108'!$B:$B,S$1)+SUMIFS('Doc Há Pagar | Rodopar 1015'!$J:$J,'Doc Há Pagar | Rodopar 1015'!$A:$A,$B61&amp;$E61&amp;$F61,'Doc Há Pagar | Rodopar 1015'!$B:$B,S$1)</f>
        <v>0</v>
      </c>
      <c r="T61" s="20">
        <f>SUMIFS('Doc''s Pagos | Rodopar 108'!$J:$J,'Doc''s Pagos | Rodopar 108'!$A:$A,$B61&amp;$E61&amp;$F61&amp;$J61,'Doc''s Pagos | Rodopar 108'!$B:$B,T$1)+SUMIFS('Doc Há Pagar | Rodopar 1015'!$J:$J,'Doc Há Pagar | Rodopar 1015'!$A:$A,$B61&amp;$E61&amp;$F61,'Doc Há Pagar | Rodopar 1015'!$B:$B,T$1)</f>
        <v>750</v>
      </c>
      <c r="U61" s="20">
        <f>SUMIFS('Doc''s Pagos | Rodopar 108'!$J:$J,'Doc''s Pagos | Rodopar 108'!$A:$A,$B61&amp;$E61&amp;$F61&amp;$J61,'Doc''s Pagos | Rodopar 108'!$B:$B,U$1)+SUMIFS('Doc Há Pagar | Rodopar 1015'!$J:$J,'Doc Há Pagar | Rodopar 1015'!$A:$A,$B61&amp;$E61&amp;$F61,'Doc Há Pagar | Rodopar 1015'!$B:$B,U$1)</f>
        <v>0</v>
      </c>
      <c r="V61" s="20">
        <f>SUMIFS('Doc''s Pagos | Rodopar 108'!$J:$J,'Doc''s Pagos | Rodopar 108'!$A:$A,$B61&amp;$E61&amp;$F61&amp;$J61,'Doc''s Pagos | Rodopar 108'!$B:$B,V$1)+SUMIFS('Doc Há Pagar | Rodopar 1015'!$J:$J,'Doc Há Pagar | Rodopar 1015'!$A:$A,$B61&amp;$E61&amp;$F61,'Doc Há Pagar | Rodopar 1015'!$B:$B,V$1)</f>
        <v>0</v>
      </c>
      <c r="W61" s="20">
        <f>SUMIFS('Doc''s Pagos | Rodopar 108'!$J:$J,'Doc''s Pagos | Rodopar 108'!$A:$A,$B61&amp;$E61&amp;$F61&amp;$J61,'Doc''s Pagos | Rodopar 108'!$B:$B,W$1)+SUMIFS('Doc Há Pagar | Rodopar 1015'!$J:$J,'Doc Há Pagar | Rodopar 1015'!$A:$A,$B61&amp;$E61&amp;$F61,'Doc Há Pagar | Rodopar 1015'!$B:$B,W$1)</f>
        <v>0</v>
      </c>
      <c r="X61" s="20">
        <f>SUMIFS('Doc''s Pagos | Rodopar 108'!$J:$J,'Doc''s Pagos | Rodopar 108'!$A:$A,$B61&amp;$E61&amp;$F61&amp;$J61,'Doc''s Pagos | Rodopar 108'!$B:$B,X$1)+SUMIFS('Doc Há Pagar | Rodopar 1015'!$J:$J,'Doc Há Pagar | Rodopar 1015'!$A:$A,$B61&amp;$E61&amp;$F61,'Doc Há Pagar | Rodopar 1015'!$B:$B,X$1)</f>
        <v>0</v>
      </c>
      <c r="Y61" s="20">
        <f>SUMIFS('Doc''s Pagos | Rodopar 108'!$J:$J,'Doc''s Pagos | Rodopar 108'!$A:$A,$B61&amp;$E61&amp;$F61&amp;$J61,'Doc''s Pagos | Rodopar 108'!$B:$B,Y$1)+SUMIFS('Doc Há Pagar | Rodopar 1015'!$J:$J,'Doc Há Pagar | Rodopar 1015'!$A:$A,$B61&amp;$E61&amp;$F61,'Doc Há Pagar | Rodopar 1015'!$B:$B,Y$1)</f>
        <v>0</v>
      </c>
      <c r="Z61" s="20">
        <f>SUMIFS('Doc''s Pagos | Rodopar 108'!$J:$J,'Doc''s Pagos | Rodopar 108'!$A:$A,$B61&amp;$E61&amp;$F61&amp;$J61,'Doc''s Pagos | Rodopar 108'!$B:$B,Z$1)+SUMIFS('Doc Há Pagar | Rodopar 1015'!$J:$J,'Doc Há Pagar | Rodopar 1015'!$A:$A,$B61&amp;$E61&amp;$F61,'Doc Há Pagar | Rodopar 1015'!$B:$B,Z$1)</f>
        <v>0</v>
      </c>
      <c r="AA61" s="20">
        <f>SUMIFS('Doc''s Pagos | Rodopar 108'!$J:$J,'Doc''s Pagos | Rodopar 108'!$A:$A,$B61&amp;$E61&amp;$F61&amp;$J61,'Doc''s Pagos | Rodopar 108'!$B:$B,AA$1)+SUMIFS('Doc Há Pagar | Rodopar 1015'!$J:$J,'Doc Há Pagar | Rodopar 1015'!$A:$A,$B61&amp;$E61&amp;$F61,'Doc Há Pagar | Rodopar 1015'!$B:$B,AA$1)</f>
        <v>0</v>
      </c>
      <c r="AB61" s="20">
        <f>SUMIFS('Doc''s Pagos | Rodopar 108'!$J:$J,'Doc''s Pagos | Rodopar 108'!$A:$A,$B61&amp;$E61&amp;$F61&amp;$J61,'Doc''s Pagos | Rodopar 108'!$B:$B,AB$1)+SUMIFS('Doc Há Pagar | Rodopar 1015'!$J:$J,'Doc Há Pagar | Rodopar 1015'!$A:$A,$B61&amp;$E61&amp;$F61,'Doc Há Pagar | Rodopar 1015'!$B:$B,AB$1)</f>
        <v>0</v>
      </c>
      <c r="AC61" s="20">
        <f>SUMIFS('Doc''s Pagos | Rodopar 108'!$J:$J,'Doc''s Pagos | Rodopar 108'!$A:$A,$B61&amp;$E61&amp;$F61&amp;$J61,'Doc''s Pagos | Rodopar 108'!$B:$B,AC$1)+SUMIFS('Doc Há Pagar | Rodopar 1015'!$J:$J,'Doc Há Pagar | Rodopar 1015'!$A:$A,$B61&amp;$E61&amp;$F61,'Doc Há Pagar | Rodopar 1015'!$B:$B,AC$1)</f>
        <v>0</v>
      </c>
      <c r="AD61" s="20">
        <f>SUMIFS('Doc''s Pagos | Rodopar 108'!$J:$J,'Doc''s Pagos | Rodopar 108'!$A:$A,$B61&amp;$E61&amp;$F61&amp;$J61,'Doc''s Pagos | Rodopar 108'!$B:$B,AD$1)+SUMIFS('Doc Há Pagar | Rodopar 1015'!$J:$J,'Doc Há Pagar | Rodopar 1015'!$A:$A,$B61&amp;$E61&amp;$F61,'Doc Há Pagar | Rodopar 1015'!$B:$B,AD$1)</f>
        <v>0</v>
      </c>
    </row>
    <row r="62" spans="1:30" x14ac:dyDescent="0.25">
      <c r="A62" s="1" t="str">
        <f>VLOOKUP($E62,Fornecedores!$A:$C,3,0)</f>
        <v>Frota</v>
      </c>
      <c r="B62" s="14">
        <v>6164</v>
      </c>
      <c r="C62" s="14" t="str">
        <f>IFERROR(VLOOKUP($E62,Fornecedores!$A:$E,4,0),"")</f>
        <v>Manutenção</v>
      </c>
      <c r="D62" s="14" t="str">
        <f>IFERROR(VLOOKUP($E62,Fornecedores!$A:$E,5,0),"")</f>
        <v>Peças E Serviços</v>
      </c>
      <c r="E62" s="8" t="s">
        <v>111</v>
      </c>
      <c r="F62" s="14" t="s">
        <v>380</v>
      </c>
      <c r="G62" s="8" t="s">
        <v>563</v>
      </c>
      <c r="H62" s="9">
        <v>87</v>
      </c>
      <c r="I62" s="21">
        <v>750</v>
      </c>
      <c r="J62" s="11">
        <v>46063</v>
      </c>
      <c r="K62" s="11">
        <v>46064</v>
      </c>
      <c r="L62" s="8" t="s">
        <v>282</v>
      </c>
      <c r="M62" s="14" t="s">
        <v>234</v>
      </c>
      <c r="N62" s="16">
        <v>1556</v>
      </c>
      <c r="O62" s="14" t="s">
        <v>241</v>
      </c>
      <c r="P62" s="14"/>
      <c r="Q62" s="20">
        <f t="shared" si="0"/>
        <v>0</v>
      </c>
      <c r="S62" s="20">
        <f>SUMIFS('Doc''s Pagos | Rodopar 108'!$J:$J,'Doc''s Pagos | Rodopar 108'!$A:$A,$B62&amp;$E62&amp;$F62&amp;$J62,'Doc''s Pagos | Rodopar 108'!$B:$B,S$1)+SUMIFS('Doc Há Pagar | Rodopar 1015'!$J:$J,'Doc Há Pagar | Rodopar 1015'!$A:$A,$B62&amp;$E62&amp;$F62,'Doc Há Pagar | Rodopar 1015'!$B:$B,S$1)</f>
        <v>0</v>
      </c>
      <c r="T62" s="20">
        <f>SUMIFS('Doc''s Pagos | Rodopar 108'!$J:$J,'Doc''s Pagos | Rodopar 108'!$A:$A,$B62&amp;$E62&amp;$F62&amp;$J62,'Doc''s Pagos | Rodopar 108'!$B:$B,T$1)+SUMIFS('Doc Há Pagar | Rodopar 1015'!$J:$J,'Doc Há Pagar | Rodopar 1015'!$A:$A,$B62&amp;$E62&amp;$F62,'Doc Há Pagar | Rodopar 1015'!$B:$B,T$1)</f>
        <v>0</v>
      </c>
      <c r="U62" s="20">
        <f>SUMIFS('Doc''s Pagos | Rodopar 108'!$J:$J,'Doc''s Pagos | Rodopar 108'!$A:$A,$B62&amp;$E62&amp;$F62&amp;$J62,'Doc''s Pagos | Rodopar 108'!$B:$B,U$1)+SUMIFS('Doc Há Pagar | Rodopar 1015'!$J:$J,'Doc Há Pagar | Rodopar 1015'!$A:$A,$B62&amp;$E62&amp;$F62,'Doc Há Pagar | Rodopar 1015'!$B:$B,U$1)</f>
        <v>750</v>
      </c>
      <c r="V62" s="20">
        <f>SUMIFS('Doc''s Pagos | Rodopar 108'!$J:$J,'Doc''s Pagos | Rodopar 108'!$A:$A,$B62&amp;$E62&amp;$F62&amp;$J62,'Doc''s Pagos | Rodopar 108'!$B:$B,V$1)+SUMIFS('Doc Há Pagar | Rodopar 1015'!$J:$J,'Doc Há Pagar | Rodopar 1015'!$A:$A,$B62&amp;$E62&amp;$F62,'Doc Há Pagar | Rodopar 1015'!$B:$B,V$1)</f>
        <v>0</v>
      </c>
      <c r="W62" s="20">
        <f>SUMIFS('Doc''s Pagos | Rodopar 108'!$J:$J,'Doc''s Pagos | Rodopar 108'!$A:$A,$B62&amp;$E62&amp;$F62&amp;$J62,'Doc''s Pagos | Rodopar 108'!$B:$B,W$1)+SUMIFS('Doc Há Pagar | Rodopar 1015'!$J:$J,'Doc Há Pagar | Rodopar 1015'!$A:$A,$B62&amp;$E62&amp;$F62,'Doc Há Pagar | Rodopar 1015'!$B:$B,W$1)</f>
        <v>0</v>
      </c>
      <c r="X62" s="20">
        <f>SUMIFS('Doc''s Pagos | Rodopar 108'!$J:$J,'Doc''s Pagos | Rodopar 108'!$A:$A,$B62&amp;$E62&amp;$F62&amp;$J62,'Doc''s Pagos | Rodopar 108'!$B:$B,X$1)+SUMIFS('Doc Há Pagar | Rodopar 1015'!$J:$J,'Doc Há Pagar | Rodopar 1015'!$A:$A,$B62&amp;$E62&amp;$F62,'Doc Há Pagar | Rodopar 1015'!$B:$B,X$1)</f>
        <v>0</v>
      </c>
      <c r="Y62" s="20">
        <f>SUMIFS('Doc''s Pagos | Rodopar 108'!$J:$J,'Doc''s Pagos | Rodopar 108'!$A:$A,$B62&amp;$E62&amp;$F62&amp;$J62,'Doc''s Pagos | Rodopar 108'!$B:$B,Y$1)+SUMIFS('Doc Há Pagar | Rodopar 1015'!$J:$J,'Doc Há Pagar | Rodopar 1015'!$A:$A,$B62&amp;$E62&amp;$F62,'Doc Há Pagar | Rodopar 1015'!$B:$B,Y$1)</f>
        <v>0</v>
      </c>
      <c r="Z62" s="20">
        <f>SUMIFS('Doc''s Pagos | Rodopar 108'!$J:$J,'Doc''s Pagos | Rodopar 108'!$A:$A,$B62&amp;$E62&amp;$F62&amp;$J62,'Doc''s Pagos | Rodopar 108'!$B:$B,Z$1)+SUMIFS('Doc Há Pagar | Rodopar 1015'!$J:$J,'Doc Há Pagar | Rodopar 1015'!$A:$A,$B62&amp;$E62&amp;$F62,'Doc Há Pagar | Rodopar 1015'!$B:$B,Z$1)</f>
        <v>0</v>
      </c>
      <c r="AA62" s="20">
        <f>SUMIFS('Doc''s Pagos | Rodopar 108'!$J:$J,'Doc''s Pagos | Rodopar 108'!$A:$A,$B62&amp;$E62&amp;$F62&amp;$J62,'Doc''s Pagos | Rodopar 108'!$B:$B,AA$1)+SUMIFS('Doc Há Pagar | Rodopar 1015'!$J:$J,'Doc Há Pagar | Rodopar 1015'!$A:$A,$B62&amp;$E62&amp;$F62,'Doc Há Pagar | Rodopar 1015'!$B:$B,AA$1)</f>
        <v>0</v>
      </c>
      <c r="AB62" s="20">
        <f>SUMIFS('Doc''s Pagos | Rodopar 108'!$J:$J,'Doc''s Pagos | Rodopar 108'!$A:$A,$B62&amp;$E62&amp;$F62&amp;$J62,'Doc''s Pagos | Rodopar 108'!$B:$B,AB$1)+SUMIFS('Doc Há Pagar | Rodopar 1015'!$J:$J,'Doc Há Pagar | Rodopar 1015'!$A:$A,$B62&amp;$E62&amp;$F62,'Doc Há Pagar | Rodopar 1015'!$B:$B,AB$1)</f>
        <v>0</v>
      </c>
      <c r="AC62" s="20">
        <f>SUMIFS('Doc''s Pagos | Rodopar 108'!$J:$J,'Doc''s Pagos | Rodopar 108'!$A:$A,$B62&amp;$E62&amp;$F62&amp;$J62,'Doc''s Pagos | Rodopar 108'!$B:$B,AC$1)+SUMIFS('Doc Há Pagar | Rodopar 1015'!$J:$J,'Doc Há Pagar | Rodopar 1015'!$A:$A,$B62&amp;$E62&amp;$F62,'Doc Há Pagar | Rodopar 1015'!$B:$B,AC$1)</f>
        <v>0</v>
      </c>
      <c r="AD62" s="20">
        <f>SUMIFS('Doc''s Pagos | Rodopar 108'!$J:$J,'Doc''s Pagos | Rodopar 108'!$A:$A,$B62&amp;$E62&amp;$F62&amp;$J62,'Doc''s Pagos | Rodopar 108'!$B:$B,AD$1)+SUMIFS('Doc Há Pagar | Rodopar 1015'!$J:$J,'Doc Há Pagar | Rodopar 1015'!$A:$A,$B62&amp;$E62&amp;$F62,'Doc Há Pagar | Rodopar 1015'!$B:$B,AD$1)</f>
        <v>0</v>
      </c>
    </row>
    <row r="63" spans="1:30" x14ac:dyDescent="0.25">
      <c r="A63" s="1" t="str">
        <f>VLOOKUP($E63,Fornecedores!$A:$C,3,0)</f>
        <v>Frota</v>
      </c>
      <c r="B63" s="14">
        <v>6165</v>
      </c>
      <c r="C63" s="14" t="str">
        <f>IFERROR(VLOOKUP($E63,Fornecedores!$A:$E,4,0),"")</f>
        <v>Manutenção</v>
      </c>
      <c r="D63" s="14" t="str">
        <f>IFERROR(VLOOKUP($E63,Fornecedores!$A:$E,5,0),"")</f>
        <v>Peças E Serviços</v>
      </c>
      <c r="E63" s="8" t="s">
        <v>111</v>
      </c>
      <c r="F63" s="14" t="s">
        <v>380</v>
      </c>
      <c r="G63" s="8" t="s">
        <v>563</v>
      </c>
      <c r="H63" s="9">
        <v>87</v>
      </c>
      <c r="I63" s="21">
        <v>150</v>
      </c>
      <c r="J63" s="11">
        <v>46063</v>
      </c>
      <c r="K63" s="11">
        <v>46064</v>
      </c>
      <c r="L63" s="8" t="s">
        <v>282</v>
      </c>
      <c r="M63" s="14" t="s">
        <v>234</v>
      </c>
      <c r="N63" s="16">
        <v>1556</v>
      </c>
      <c r="O63" s="14" t="s">
        <v>241</v>
      </c>
      <c r="P63" s="14"/>
      <c r="Q63" s="20">
        <f t="shared" si="0"/>
        <v>0</v>
      </c>
      <c r="S63" s="20">
        <f>SUMIFS('Doc''s Pagos | Rodopar 108'!$J:$J,'Doc''s Pagos | Rodopar 108'!$A:$A,$B63&amp;$E63&amp;$F63&amp;$J63,'Doc''s Pagos | Rodopar 108'!$B:$B,S$1)+SUMIFS('Doc Há Pagar | Rodopar 1015'!$J:$J,'Doc Há Pagar | Rodopar 1015'!$A:$A,$B63&amp;$E63&amp;$F63,'Doc Há Pagar | Rodopar 1015'!$B:$B,S$1)</f>
        <v>0</v>
      </c>
      <c r="T63" s="20">
        <f>SUMIFS('Doc''s Pagos | Rodopar 108'!$J:$J,'Doc''s Pagos | Rodopar 108'!$A:$A,$B63&amp;$E63&amp;$F63&amp;$J63,'Doc''s Pagos | Rodopar 108'!$B:$B,T$1)+SUMIFS('Doc Há Pagar | Rodopar 1015'!$J:$J,'Doc Há Pagar | Rodopar 1015'!$A:$A,$B63&amp;$E63&amp;$F63,'Doc Há Pagar | Rodopar 1015'!$B:$B,T$1)</f>
        <v>0</v>
      </c>
      <c r="U63" s="20">
        <f>SUMIFS('Doc''s Pagos | Rodopar 108'!$J:$J,'Doc''s Pagos | Rodopar 108'!$A:$A,$B63&amp;$E63&amp;$F63&amp;$J63,'Doc''s Pagos | Rodopar 108'!$B:$B,U$1)+SUMIFS('Doc Há Pagar | Rodopar 1015'!$J:$J,'Doc Há Pagar | Rodopar 1015'!$A:$A,$B63&amp;$E63&amp;$F63,'Doc Há Pagar | Rodopar 1015'!$B:$B,U$1)</f>
        <v>150</v>
      </c>
      <c r="V63" s="20">
        <f>SUMIFS('Doc''s Pagos | Rodopar 108'!$J:$J,'Doc''s Pagos | Rodopar 108'!$A:$A,$B63&amp;$E63&amp;$F63&amp;$J63,'Doc''s Pagos | Rodopar 108'!$B:$B,V$1)+SUMIFS('Doc Há Pagar | Rodopar 1015'!$J:$J,'Doc Há Pagar | Rodopar 1015'!$A:$A,$B63&amp;$E63&amp;$F63,'Doc Há Pagar | Rodopar 1015'!$B:$B,V$1)</f>
        <v>0</v>
      </c>
      <c r="W63" s="20">
        <f>SUMIFS('Doc''s Pagos | Rodopar 108'!$J:$J,'Doc''s Pagos | Rodopar 108'!$A:$A,$B63&amp;$E63&amp;$F63&amp;$J63,'Doc''s Pagos | Rodopar 108'!$B:$B,W$1)+SUMIFS('Doc Há Pagar | Rodopar 1015'!$J:$J,'Doc Há Pagar | Rodopar 1015'!$A:$A,$B63&amp;$E63&amp;$F63,'Doc Há Pagar | Rodopar 1015'!$B:$B,W$1)</f>
        <v>0</v>
      </c>
      <c r="X63" s="20">
        <f>SUMIFS('Doc''s Pagos | Rodopar 108'!$J:$J,'Doc''s Pagos | Rodopar 108'!$A:$A,$B63&amp;$E63&amp;$F63&amp;$J63,'Doc''s Pagos | Rodopar 108'!$B:$B,X$1)+SUMIFS('Doc Há Pagar | Rodopar 1015'!$J:$J,'Doc Há Pagar | Rodopar 1015'!$A:$A,$B63&amp;$E63&amp;$F63,'Doc Há Pagar | Rodopar 1015'!$B:$B,X$1)</f>
        <v>0</v>
      </c>
      <c r="Y63" s="20">
        <f>SUMIFS('Doc''s Pagos | Rodopar 108'!$J:$J,'Doc''s Pagos | Rodopar 108'!$A:$A,$B63&amp;$E63&amp;$F63&amp;$J63,'Doc''s Pagos | Rodopar 108'!$B:$B,Y$1)+SUMIFS('Doc Há Pagar | Rodopar 1015'!$J:$J,'Doc Há Pagar | Rodopar 1015'!$A:$A,$B63&amp;$E63&amp;$F63,'Doc Há Pagar | Rodopar 1015'!$B:$B,Y$1)</f>
        <v>0</v>
      </c>
      <c r="Z63" s="20">
        <f>SUMIFS('Doc''s Pagos | Rodopar 108'!$J:$J,'Doc''s Pagos | Rodopar 108'!$A:$A,$B63&amp;$E63&amp;$F63&amp;$J63,'Doc''s Pagos | Rodopar 108'!$B:$B,Z$1)+SUMIFS('Doc Há Pagar | Rodopar 1015'!$J:$J,'Doc Há Pagar | Rodopar 1015'!$A:$A,$B63&amp;$E63&amp;$F63,'Doc Há Pagar | Rodopar 1015'!$B:$B,Z$1)</f>
        <v>0</v>
      </c>
      <c r="AA63" s="20">
        <f>SUMIFS('Doc''s Pagos | Rodopar 108'!$J:$J,'Doc''s Pagos | Rodopar 108'!$A:$A,$B63&amp;$E63&amp;$F63&amp;$J63,'Doc''s Pagos | Rodopar 108'!$B:$B,AA$1)+SUMIFS('Doc Há Pagar | Rodopar 1015'!$J:$J,'Doc Há Pagar | Rodopar 1015'!$A:$A,$B63&amp;$E63&amp;$F63,'Doc Há Pagar | Rodopar 1015'!$B:$B,AA$1)</f>
        <v>0</v>
      </c>
      <c r="AB63" s="20">
        <f>SUMIFS('Doc''s Pagos | Rodopar 108'!$J:$J,'Doc''s Pagos | Rodopar 108'!$A:$A,$B63&amp;$E63&amp;$F63&amp;$J63,'Doc''s Pagos | Rodopar 108'!$B:$B,AB$1)+SUMIFS('Doc Há Pagar | Rodopar 1015'!$J:$J,'Doc Há Pagar | Rodopar 1015'!$A:$A,$B63&amp;$E63&amp;$F63,'Doc Há Pagar | Rodopar 1015'!$B:$B,AB$1)</f>
        <v>0</v>
      </c>
      <c r="AC63" s="20">
        <f>SUMIFS('Doc''s Pagos | Rodopar 108'!$J:$J,'Doc''s Pagos | Rodopar 108'!$A:$A,$B63&amp;$E63&amp;$F63&amp;$J63,'Doc''s Pagos | Rodopar 108'!$B:$B,AC$1)+SUMIFS('Doc Há Pagar | Rodopar 1015'!$J:$J,'Doc Há Pagar | Rodopar 1015'!$A:$A,$B63&amp;$E63&amp;$F63,'Doc Há Pagar | Rodopar 1015'!$B:$B,AC$1)</f>
        <v>0</v>
      </c>
      <c r="AD63" s="20">
        <f>SUMIFS('Doc''s Pagos | Rodopar 108'!$J:$J,'Doc''s Pagos | Rodopar 108'!$A:$A,$B63&amp;$E63&amp;$F63&amp;$J63,'Doc''s Pagos | Rodopar 108'!$B:$B,AD$1)+SUMIFS('Doc Há Pagar | Rodopar 1015'!$J:$J,'Doc Há Pagar | Rodopar 1015'!$A:$A,$B63&amp;$E63&amp;$F63,'Doc Há Pagar | Rodopar 1015'!$B:$B,AD$1)</f>
        <v>0</v>
      </c>
    </row>
    <row r="64" spans="1:30" x14ac:dyDescent="0.25">
      <c r="A64" s="1" t="str">
        <f>VLOOKUP($E64,Fornecedores!$A:$C,3,0)</f>
        <v>Frota</v>
      </c>
      <c r="B64" s="14">
        <v>23</v>
      </c>
      <c r="C64" s="14" t="str">
        <f>IFERROR(VLOOKUP($E64,Fornecedores!$A:$E,4,0),"")</f>
        <v>Manutenção</v>
      </c>
      <c r="D64" s="14" t="str">
        <f>IFERROR(VLOOKUP($E64,Fornecedores!$A:$E,5,0),"")</f>
        <v>Peças E Serviços</v>
      </c>
      <c r="E64" s="8" t="s">
        <v>111</v>
      </c>
      <c r="F64" s="14" t="s">
        <v>665</v>
      </c>
      <c r="G64" s="8" t="s">
        <v>563</v>
      </c>
      <c r="H64" s="9">
        <v>87</v>
      </c>
      <c r="I64" s="21">
        <v>225</v>
      </c>
      <c r="J64" s="11">
        <v>46063</v>
      </c>
      <c r="K64" s="11">
        <v>46064</v>
      </c>
      <c r="L64" s="8" t="s">
        <v>282</v>
      </c>
      <c r="M64" s="14" t="s">
        <v>234</v>
      </c>
      <c r="N64" s="16">
        <v>1556</v>
      </c>
      <c r="O64" s="14" t="s">
        <v>241</v>
      </c>
      <c r="P64" s="14"/>
      <c r="Q64" s="20">
        <f t="shared" si="0"/>
        <v>0</v>
      </c>
      <c r="S64" s="20">
        <f>SUMIFS('Doc''s Pagos | Rodopar 108'!$J:$J,'Doc''s Pagos | Rodopar 108'!$A:$A,$B64&amp;$E64&amp;$F64&amp;$J64,'Doc''s Pagos | Rodopar 108'!$B:$B,S$1)+SUMIFS('Doc Há Pagar | Rodopar 1015'!$J:$J,'Doc Há Pagar | Rodopar 1015'!$A:$A,$B64&amp;$E64&amp;$F64,'Doc Há Pagar | Rodopar 1015'!$B:$B,S$1)</f>
        <v>0</v>
      </c>
      <c r="T64" s="20">
        <f>SUMIFS('Doc''s Pagos | Rodopar 108'!$J:$J,'Doc''s Pagos | Rodopar 108'!$A:$A,$B64&amp;$E64&amp;$F64&amp;$J64,'Doc''s Pagos | Rodopar 108'!$B:$B,T$1)+SUMIFS('Doc Há Pagar | Rodopar 1015'!$J:$J,'Doc Há Pagar | Rodopar 1015'!$A:$A,$B64&amp;$E64&amp;$F64,'Doc Há Pagar | Rodopar 1015'!$B:$B,T$1)</f>
        <v>0</v>
      </c>
      <c r="U64" s="20">
        <f>SUMIFS('Doc''s Pagos | Rodopar 108'!$J:$J,'Doc''s Pagos | Rodopar 108'!$A:$A,$B64&amp;$E64&amp;$F64&amp;$J64,'Doc''s Pagos | Rodopar 108'!$B:$B,U$1)+SUMIFS('Doc Há Pagar | Rodopar 1015'!$J:$J,'Doc Há Pagar | Rodopar 1015'!$A:$A,$B64&amp;$E64&amp;$F64,'Doc Há Pagar | Rodopar 1015'!$B:$B,U$1)</f>
        <v>225</v>
      </c>
      <c r="V64" s="20">
        <f>SUMIFS('Doc''s Pagos | Rodopar 108'!$J:$J,'Doc''s Pagos | Rodopar 108'!$A:$A,$B64&amp;$E64&amp;$F64&amp;$J64,'Doc''s Pagos | Rodopar 108'!$B:$B,V$1)+SUMIFS('Doc Há Pagar | Rodopar 1015'!$J:$J,'Doc Há Pagar | Rodopar 1015'!$A:$A,$B64&amp;$E64&amp;$F64,'Doc Há Pagar | Rodopar 1015'!$B:$B,V$1)</f>
        <v>0</v>
      </c>
      <c r="W64" s="20">
        <f>SUMIFS('Doc''s Pagos | Rodopar 108'!$J:$J,'Doc''s Pagos | Rodopar 108'!$A:$A,$B64&amp;$E64&amp;$F64&amp;$J64,'Doc''s Pagos | Rodopar 108'!$B:$B,W$1)+SUMIFS('Doc Há Pagar | Rodopar 1015'!$J:$J,'Doc Há Pagar | Rodopar 1015'!$A:$A,$B64&amp;$E64&amp;$F64,'Doc Há Pagar | Rodopar 1015'!$B:$B,W$1)</f>
        <v>0</v>
      </c>
      <c r="X64" s="20">
        <f>SUMIFS('Doc''s Pagos | Rodopar 108'!$J:$J,'Doc''s Pagos | Rodopar 108'!$A:$A,$B64&amp;$E64&amp;$F64&amp;$J64,'Doc''s Pagos | Rodopar 108'!$B:$B,X$1)+SUMIFS('Doc Há Pagar | Rodopar 1015'!$J:$J,'Doc Há Pagar | Rodopar 1015'!$A:$A,$B64&amp;$E64&amp;$F64,'Doc Há Pagar | Rodopar 1015'!$B:$B,X$1)</f>
        <v>0</v>
      </c>
      <c r="Y64" s="20">
        <f>SUMIFS('Doc''s Pagos | Rodopar 108'!$J:$J,'Doc''s Pagos | Rodopar 108'!$A:$A,$B64&amp;$E64&amp;$F64&amp;$J64,'Doc''s Pagos | Rodopar 108'!$B:$B,Y$1)+SUMIFS('Doc Há Pagar | Rodopar 1015'!$J:$J,'Doc Há Pagar | Rodopar 1015'!$A:$A,$B64&amp;$E64&amp;$F64,'Doc Há Pagar | Rodopar 1015'!$B:$B,Y$1)</f>
        <v>0</v>
      </c>
      <c r="Z64" s="20">
        <f>SUMIFS('Doc''s Pagos | Rodopar 108'!$J:$J,'Doc''s Pagos | Rodopar 108'!$A:$A,$B64&amp;$E64&amp;$F64&amp;$J64,'Doc''s Pagos | Rodopar 108'!$B:$B,Z$1)+SUMIFS('Doc Há Pagar | Rodopar 1015'!$J:$J,'Doc Há Pagar | Rodopar 1015'!$A:$A,$B64&amp;$E64&amp;$F64,'Doc Há Pagar | Rodopar 1015'!$B:$B,Z$1)</f>
        <v>0</v>
      </c>
      <c r="AA64" s="20">
        <f>SUMIFS('Doc''s Pagos | Rodopar 108'!$J:$J,'Doc''s Pagos | Rodopar 108'!$A:$A,$B64&amp;$E64&amp;$F64&amp;$J64,'Doc''s Pagos | Rodopar 108'!$B:$B,AA$1)+SUMIFS('Doc Há Pagar | Rodopar 1015'!$J:$J,'Doc Há Pagar | Rodopar 1015'!$A:$A,$B64&amp;$E64&amp;$F64,'Doc Há Pagar | Rodopar 1015'!$B:$B,AA$1)</f>
        <v>0</v>
      </c>
      <c r="AB64" s="20">
        <f>SUMIFS('Doc''s Pagos | Rodopar 108'!$J:$J,'Doc''s Pagos | Rodopar 108'!$A:$A,$B64&amp;$E64&amp;$F64&amp;$J64,'Doc''s Pagos | Rodopar 108'!$B:$B,AB$1)+SUMIFS('Doc Há Pagar | Rodopar 1015'!$J:$J,'Doc Há Pagar | Rodopar 1015'!$A:$A,$B64&amp;$E64&amp;$F64,'Doc Há Pagar | Rodopar 1015'!$B:$B,AB$1)</f>
        <v>0</v>
      </c>
      <c r="AC64" s="20">
        <f>SUMIFS('Doc''s Pagos | Rodopar 108'!$J:$J,'Doc''s Pagos | Rodopar 108'!$A:$A,$B64&amp;$E64&amp;$F64&amp;$J64,'Doc''s Pagos | Rodopar 108'!$B:$B,AC$1)+SUMIFS('Doc Há Pagar | Rodopar 1015'!$J:$J,'Doc Há Pagar | Rodopar 1015'!$A:$A,$B64&amp;$E64&amp;$F64,'Doc Há Pagar | Rodopar 1015'!$B:$B,AC$1)</f>
        <v>0</v>
      </c>
      <c r="AD64" s="20">
        <f>SUMIFS('Doc''s Pagos | Rodopar 108'!$J:$J,'Doc''s Pagos | Rodopar 108'!$A:$A,$B64&amp;$E64&amp;$F64&amp;$J64,'Doc''s Pagos | Rodopar 108'!$B:$B,AD$1)+SUMIFS('Doc Há Pagar | Rodopar 1015'!$J:$J,'Doc Há Pagar | Rodopar 1015'!$A:$A,$B64&amp;$E64&amp;$F64,'Doc Há Pagar | Rodopar 1015'!$B:$B,AD$1)</f>
        <v>0</v>
      </c>
    </row>
    <row r="65" spans="1:30" x14ac:dyDescent="0.25">
      <c r="A65" s="1" t="str">
        <f>VLOOKUP($E65,Fornecedores!$A:$C,3,0)</f>
        <v>Frota</v>
      </c>
      <c r="B65" s="14">
        <v>581</v>
      </c>
      <c r="C65" s="14" t="str">
        <f>IFERROR(VLOOKUP($E65,Fornecedores!$A:$E,4,0),"")</f>
        <v>MTSR</v>
      </c>
      <c r="D65" s="14" t="str">
        <f>IFERROR(VLOOKUP($E65,Fornecedores!$A:$E,5,0),"")</f>
        <v>Tecnologia</v>
      </c>
      <c r="E65" s="8" t="s">
        <v>24</v>
      </c>
      <c r="F65" s="14" t="s">
        <v>665</v>
      </c>
      <c r="G65" s="8" t="s">
        <v>238</v>
      </c>
      <c r="H65" s="9">
        <v>87</v>
      </c>
      <c r="I65" s="21">
        <v>11929.32</v>
      </c>
      <c r="J65" s="11">
        <v>46063</v>
      </c>
      <c r="K65" s="11">
        <v>46064</v>
      </c>
      <c r="L65" s="8" t="s">
        <v>239</v>
      </c>
      <c r="M65" s="14" t="s">
        <v>240</v>
      </c>
      <c r="N65" s="16">
        <v>2556</v>
      </c>
      <c r="O65" s="14" t="s">
        <v>241</v>
      </c>
      <c r="P65" s="14"/>
      <c r="Q65" s="20">
        <f t="shared" si="0"/>
        <v>0</v>
      </c>
      <c r="S65" s="20">
        <f>SUMIFS('Doc''s Pagos | Rodopar 108'!$J:$J,'Doc''s Pagos | Rodopar 108'!$A:$A,$B65&amp;$E65&amp;$F65&amp;$J65,'Doc''s Pagos | Rodopar 108'!$B:$B,S$1)+SUMIFS('Doc Há Pagar | Rodopar 1015'!$J:$J,'Doc Há Pagar | Rodopar 1015'!$A:$A,$B65&amp;$E65&amp;$F65,'Doc Há Pagar | Rodopar 1015'!$B:$B,S$1)</f>
        <v>0</v>
      </c>
      <c r="T65" s="20">
        <f>SUMIFS('Doc''s Pagos | Rodopar 108'!$J:$J,'Doc''s Pagos | Rodopar 108'!$A:$A,$B65&amp;$E65&amp;$F65&amp;$J65,'Doc''s Pagos | Rodopar 108'!$B:$B,T$1)+SUMIFS('Doc Há Pagar | Rodopar 1015'!$J:$J,'Doc Há Pagar | Rodopar 1015'!$A:$A,$B65&amp;$E65&amp;$F65,'Doc Há Pagar | Rodopar 1015'!$B:$B,T$1)</f>
        <v>0</v>
      </c>
      <c r="U65" s="20">
        <f>SUMIFS('Doc''s Pagos | Rodopar 108'!$J:$J,'Doc''s Pagos | Rodopar 108'!$A:$A,$B65&amp;$E65&amp;$F65&amp;$J65,'Doc''s Pagos | Rodopar 108'!$B:$B,U$1)+SUMIFS('Doc Há Pagar | Rodopar 1015'!$J:$J,'Doc Há Pagar | Rodopar 1015'!$A:$A,$B65&amp;$E65&amp;$F65,'Doc Há Pagar | Rodopar 1015'!$B:$B,U$1)</f>
        <v>11929.32</v>
      </c>
      <c r="V65" s="20">
        <f>SUMIFS('Doc''s Pagos | Rodopar 108'!$J:$J,'Doc''s Pagos | Rodopar 108'!$A:$A,$B65&amp;$E65&amp;$F65&amp;$J65,'Doc''s Pagos | Rodopar 108'!$B:$B,V$1)+SUMIFS('Doc Há Pagar | Rodopar 1015'!$J:$J,'Doc Há Pagar | Rodopar 1015'!$A:$A,$B65&amp;$E65&amp;$F65,'Doc Há Pagar | Rodopar 1015'!$B:$B,V$1)</f>
        <v>0</v>
      </c>
      <c r="W65" s="20">
        <f>SUMIFS('Doc''s Pagos | Rodopar 108'!$J:$J,'Doc''s Pagos | Rodopar 108'!$A:$A,$B65&amp;$E65&amp;$F65&amp;$J65,'Doc''s Pagos | Rodopar 108'!$B:$B,W$1)+SUMIFS('Doc Há Pagar | Rodopar 1015'!$J:$J,'Doc Há Pagar | Rodopar 1015'!$A:$A,$B65&amp;$E65&amp;$F65,'Doc Há Pagar | Rodopar 1015'!$B:$B,W$1)</f>
        <v>0</v>
      </c>
      <c r="X65" s="20">
        <f>SUMIFS('Doc''s Pagos | Rodopar 108'!$J:$J,'Doc''s Pagos | Rodopar 108'!$A:$A,$B65&amp;$E65&amp;$F65&amp;$J65,'Doc''s Pagos | Rodopar 108'!$B:$B,X$1)+SUMIFS('Doc Há Pagar | Rodopar 1015'!$J:$J,'Doc Há Pagar | Rodopar 1015'!$A:$A,$B65&amp;$E65&amp;$F65,'Doc Há Pagar | Rodopar 1015'!$B:$B,X$1)</f>
        <v>0</v>
      </c>
      <c r="Y65" s="20">
        <f>SUMIFS('Doc''s Pagos | Rodopar 108'!$J:$J,'Doc''s Pagos | Rodopar 108'!$A:$A,$B65&amp;$E65&amp;$F65&amp;$J65,'Doc''s Pagos | Rodopar 108'!$B:$B,Y$1)+SUMIFS('Doc Há Pagar | Rodopar 1015'!$J:$J,'Doc Há Pagar | Rodopar 1015'!$A:$A,$B65&amp;$E65&amp;$F65,'Doc Há Pagar | Rodopar 1015'!$B:$B,Y$1)</f>
        <v>0</v>
      </c>
      <c r="Z65" s="20">
        <f>SUMIFS('Doc''s Pagos | Rodopar 108'!$J:$J,'Doc''s Pagos | Rodopar 108'!$A:$A,$B65&amp;$E65&amp;$F65&amp;$J65,'Doc''s Pagos | Rodopar 108'!$B:$B,Z$1)+SUMIFS('Doc Há Pagar | Rodopar 1015'!$J:$J,'Doc Há Pagar | Rodopar 1015'!$A:$A,$B65&amp;$E65&amp;$F65,'Doc Há Pagar | Rodopar 1015'!$B:$B,Z$1)</f>
        <v>0</v>
      </c>
      <c r="AA65" s="20">
        <f>SUMIFS('Doc''s Pagos | Rodopar 108'!$J:$J,'Doc''s Pagos | Rodopar 108'!$A:$A,$B65&amp;$E65&amp;$F65&amp;$J65,'Doc''s Pagos | Rodopar 108'!$B:$B,AA$1)+SUMIFS('Doc Há Pagar | Rodopar 1015'!$J:$J,'Doc Há Pagar | Rodopar 1015'!$A:$A,$B65&amp;$E65&amp;$F65,'Doc Há Pagar | Rodopar 1015'!$B:$B,AA$1)</f>
        <v>0</v>
      </c>
      <c r="AB65" s="20">
        <f>SUMIFS('Doc''s Pagos | Rodopar 108'!$J:$J,'Doc''s Pagos | Rodopar 108'!$A:$A,$B65&amp;$E65&amp;$F65&amp;$J65,'Doc''s Pagos | Rodopar 108'!$B:$B,AB$1)+SUMIFS('Doc Há Pagar | Rodopar 1015'!$J:$J,'Doc Há Pagar | Rodopar 1015'!$A:$A,$B65&amp;$E65&amp;$F65,'Doc Há Pagar | Rodopar 1015'!$B:$B,AB$1)</f>
        <v>0</v>
      </c>
      <c r="AC65" s="20">
        <f>SUMIFS('Doc''s Pagos | Rodopar 108'!$J:$J,'Doc''s Pagos | Rodopar 108'!$A:$A,$B65&amp;$E65&amp;$F65&amp;$J65,'Doc''s Pagos | Rodopar 108'!$B:$B,AC$1)+SUMIFS('Doc Há Pagar | Rodopar 1015'!$J:$J,'Doc Há Pagar | Rodopar 1015'!$A:$A,$B65&amp;$E65&amp;$F65,'Doc Há Pagar | Rodopar 1015'!$B:$B,AC$1)</f>
        <v>0</v>
      </c>
      <c r="AD65" s="20">
        <f>SUMIFS('Doc''s Pagos | Rodopar 108'!$J:$J,'Doc''s Pagos | Rodopar 108'!$A:$A,$B65&amp;$E65&amp;$F65&amp;$J65,'Doc''s Pagos | Rodopar 108'!$B:$B,AD$1)+SUMIFS('Doc Há Pagar | Rodopar 1015'!$J:$J,'Doc Há Pagar | Rodopar 1015'!$A:$A,$B65&amp;$E65&amp;$F65,'Doc Há Pagar | Rodopar 1015'!$B:$B,AD$1)</f>
        <v>0</v>
      </c>
    </row>
    <row r="66" spans="1:30" x14ac:dyDescent="0.25">
      <c r="A66" s="1" t="str">
        <f>VLOOKUP($E66,Fornecedores!$A:$C,3,0)</f>
        <v>Frota</v>
      </c>
      <c r="B66" s="14">
        <v>582</v>
      </c>
      <c r="C66" s="14" t="str">
        <f>IFERROR(VLOOKUP($E66,Fornecedores!$A:$E,4,0),"")</f>
        <v>MTSR</v>
      </c>
      <c r="D66" s="14" t="str">
        <f>IFERROR(VLOOKUP($E66,Fornecedores!$A:$E,5,0),"")</f>
        <v>Tecnologia</v>
      </c>
      <c r="E66" s="8" t="s">
        <v>24</v>
      </c>
      <c r="F66" s="14" t="s">
        <v>665</v>
      </c>
      <c r="G66" s="8" t="s">
        <v>238</v>
      </c>
      <c r="H66" s="9">
        <v>87</v>
      </c>
      <c r="I66" s="21">
        <v>11179</v>
      </c>
      <c r="J66" s="11">
        <v>46063</v>
      </c>
      <c r="K66" s="11">
        <v>46064</v>
      </c>
      <c r="L66" s="8" t="s">
        <v>239</v>
      </c>
      <c r="M66" s="14" t="s">
        <v>240</v>
      </c>
      <c r="N66" s="16">
        <v>2556</v>
      </c>
      <c r="O66" s="14" t="s">
        <v>241</v>
      </c>
      <c r="P66" s="14"/>
      <c r="Q66" s="20">
        <f t="shared" ref="Q66:Q129" si="1">SUM(R66:AD66)-I66</f>
        <v>0</v>
      </c>
      <c r="S66" s="20">
        <f>SUMIFS('Doc''s Pagos | Rodopar 108'!$J:$J,'Doc''s Pagos | Rodopar 108'!$A:$A,$B66&amp;$E66&amp;$F66&amp;$J66,'Doc''s Pagos | Rodopar 108'!$B:$B,S$1)+SUMIFS('Doc Há Pagar | Rodopar 1015'!$J:$J,'Doc Há Pagar | Rodopar 1015'!$A:$A,$B66&amp;$E66&amp;$F66,'Doc Há Pagar | Rodopar 1015'!$B:$B,S$1)</f>
        <v>0</v>
      </c>
      <c r="T66" s="20">
        <f>SUMIFS('Doc''s Pagos | Rodopar 108'!$J:$J,'Doc''s Pagos | Rodopar 108'!$A:$A,$B66&amp;$E66&amp;$F66&amp;$J66,'Doc''s Pagos | Rodopar 108'!$B:$B,T$1)+SUMIFS('Doc Há Pagar | Rodopar 1015'!$J:$J,'Doc Há Pagar | Rodopar 1015'!$A:$A,$B66&amp;$E66&amp;$F66,'Doc Há Pagar | Rodopar 1015'!$B:$B,T$1)</f>
        <v>0</v>
      </c>
      <c r="U66" s="20">
        <f>SUMIFS('Doc''s Pagos | Rodopar 108'!$J:$J,'Doc''s Pagos | Rodopar 108'!$A:$A,$B66&amp;$E66&amp;$F66&amp;$J66,'Doc''s Pagos | Rodopar 108'!$B:$B,U$1)+SUMIFS('Doc Há Pagar | Rodopar 1015'!$J:$J,'Doc Há Pagar | Rodopar 1015'!$A:$A,$B66&amp;$E66&amp;$F66,'Doc Há Pagar | Rodopar 1015'!$B:$B,U$1)</f>
        <v>11179</v>
      </c>
      <c r="V66" s="20">
        <f>SUMIFS('Doc''s Pagos | Rodopar 108'!$J:$J,'Doc''s Pagos | Rodopar 108'!$A:$A,$B66&amp;$E66&amp;$F66&amp;$J66,'Doc''s Pagos | Rodopar 108'!$B:$B,V$1)+SUMIFS('Doc Há Pagar | Rodopar 1015'!$J:$J,'Doc Há Pagar | Rodopar 1015'!$A:$A,$B66&amp;$E66&amp;$F66,'Doc Há Pagar | Rodopar 1015'!$B:$B,V$1)</f>
        <v>0</v>
      </c>
      <c r="W66" s="20">
        <f>SUMIFS('Doc''s Pagos | Rodopar 108'!$J:$J,'Doc''s Pagos | Rodopar 108'!$A:$A,$B66&amp;$E66&amp;$F66&amp;$J66,'Doc''s Pagos | Rodopar 108'!$B:$B,W$1)+SUMIFS('Doc Há Pagar | Rodopar 1015'!$J:$J,'Doc Há Pagar | Rodopar 1015'!$A:$A,$B66&amp;$E66&amp;$F66,'Doc Há Pagar | Rodopar 1015'!$B:$B,W$1)</f>
        <v>0</v>
      </c>
      <c r="X66" s="20">
        <f>SUMIFS('Doc''s Pagos | Rodopar 108'!$J:$J,'Doc''s Pagos | Rodopar 108'!$A:$A,$B66&amp;$E66&amp;$F66&amp;$J66,'Doc''s Pagos | Rodopar 108'!$B:$B,X$1)+SUMIFS('Doc Há Pagar | Rodopar 1015'!$J:$J,'Doc Há Pagar | Rodopar 1015'!$A:$A,$B66&amp;$E66&amp;$F66,'Doc Há Pagar | Rodopar 1015'!$B:$B,X$1)</f>
        <v>0</v>
      </c>
      <c r="Y66" s="20">
        <f>SUMIFS('Doc''s Pagos | Rodopar 108'!$J:$J,'Doc''s Pagos | Rodopar 108'!$A:$A,$B66&amp;$E66&amp;$F66&amp;$J66,'Doc''s Pagos | Rodopar 108'!$B:$B,Y$1)+SUMIFS('Doc Há Pagar | Rodopar 1015'!$J:$J,'Doc Há Pagar | Rodopar 1015'!$A:$A,$B66&amp;$E66&amp;$F66,'Doc Há Pagar | Rodopar 1015'!$B:$B,Y$1)</f>
        <v>0</v>
      </c>
      <c r="Z66" s="20">
        <f>SUMIFS('Doc''s Pagos | Rodopar 108'!$J:$J,'Doc''s Pagos | Rodopar 108'!$A:$A,$B66&amp;$E66&amp;$F66&amp;$J66,'Doc''s Pagos | Rodopar 108'!$B:$B,Z$1)+SUMIFS('Doc Há Pagar | Rodopar 1015'!$J:$J,'Doc Há Pagar | Rodopar 1015'!$A:$A,$B66&amp;$E66&amp;$F66,'Doc Há Pagar | Rodopar 1015'!$B:$B,Z$1)</f>
        <v>0</v>
      </c>
      <c r="AA66" s="20">
        <f>SUMIFS('Doc''s Pagos | Rodopar 108'!$J:$J,'Doc''s Pagos | Rodopar 108'!$A:$A,$B66&amp;$E66&amp;$F66&amp;$J66,'Doc''s Pagos | Rodopar 108'!$B:$B,AA$1)+SUMIFS('Doc Há Pagar | Rodopar 1015'!$J:$J,'Doc Há Pagar | Rodopar 1015'!$A:$A,$B66&amp;$E66&amp;$F66,'Doc Há Pagar | Rodopar 1015'!$B:$B,AA$1)</f>
        <v>0</v>
      </c>
      <c r="AB66" s="20">
        <f>SUMIFS('Doc''s Pagos | Rodopar 108'!$J:$J,'Doc''s Pagos | Rodopar 108'!$A:$A,$B66&amp;$E66&amp;$F66&amp;$J66,'Doc''s Pagos | Rodopar 108'!$B:$B,AB$1)+SUMIFS('Doc Há Pagar | Rodopar 1015'!$J:$J,'Doc Há Pagar | Rodopar 1015'!$A:$A,$B66&amp;$E66&amp;$F66,'Doc Há Pagar | Rodopar 1015'!$B:$B,AB$1)</f>
        <v>0</v>
      </c>
      <c r="AC66" s="20">
        <f>SUMIFS('Doc''s Pagos | Rodopar 108'!$J:$J,'Doc''s Pagos | Rodopar 108'!$A:$A,$B66&amp;$E66&amp;$F66&amp;$J66,'Doc''s Pagos | Rodopar 108'!$B:$B,AC$1)+SUMIFS('Doc Há Pagar | Rodopar 1015'!$J:$J,'Doc Há Pagar | Rodopar 1015'!$A:$A,$B66&amp;$E66&amp;$F66,'Doc Há Pagar | Rodopar 1015'!$B:$B,AC$1)</f>
        <v>0</v>
      </c>
      <c r="AD66" s="20">
        <f>SUMIFS('Doc''s Pagos | Rodopar 108'!$J:$J,'Doc''s Pagos | Rodopar 108'!$A:$A,$B66&amp;$E66&amp;$F66&amp;$J66,'Doc''s Pagos | Rodopar 108'!$B:$B,AD$1)+SUMIFS('Doc Há Pagar | Rodopar 1015'!$J:$J,'Doc Há Pagar | Rodopar 1015'!$A:$A,$B66&amp;$E66&amp;$F66,'Doc Há Pagar | Rodopar 1015'!$B:$B,AD$1)</f>
        <v>0</v>
      </c>
    </row>
    <row r="67" spans="1:30" x14ac:dyDescent="0.25">
      <c r="A67" s="1" t="str">
        <f>VLOOKUP($E67,Fornecedores!$A:$C,3,0)</f>
        <v>Frota</v>
      </c>
      <c r="B67" s="14">
        <v>368</v>
      </c>
      <c r="C67" s="14" t="str">
        <f>IFERROR(VLOOKUP($E67,Fornecedores!$A:$E,4,0),"")</f>
        <v>Sinistro</v>
      </c>
      <c r="D67" s="14" t="str">
        <f>IFERROR(VLOOKUP($E67,Fornecedores!$A:$E,5,0),"")</f>
        <v>Lanternagem</v>
      </c>
      <c r="E67" s="8" t="s">
        <v>869</v>
      </c>
      <c r="F67" s="14" t="s">
        <v>665</v>
      </c>
      <c r="G67" s="8" t="s">
        <v>870</v>
      </c>
      <c r="H67" s="9">
        <v>87</v>
      </c>
      <c r="I67" s="21">
        <v>3150</v>
      </c>
      <c r="J67" s="11">
        <v>46065</v>
      </c>
      <c r="K67" s="11">
        <v>46065</v>
      </c>
      <c r="L67" s="8" t="s">
        <v>233</v>
      </c>
      <c r="M67" s="14" t="s">
        <v>234</v>
      </c>
      <c r="N67" s="16">
        <v>1556</v>
      </c>
      <c r="O67" s="14" t="s">
        <v>257</v>
      </c>
      <c r="P67" s="14"/>
      <c r="Q67" s="20">
        <f t="shared" si="1"/>
        <v>0</v>
      </c>
      <c r="S67" s="20">
        <f>SUMIFS('Doc''s Pagos | Rodopar 108'!$J:$J,'Doc''s Pagos | Rodopar 108'!$A:$A,$B67&amp;$E67&amp;$F67&amp;$J67,'Doc''s Pagos | Rodopar 108'!$B:$B,S$1)+SUMIFS('Doc Há Pagar | Rodopar 1015'!$J:$J,'Doc Há Pagar | Rodopar 1015'!$A:$A,$B67&amp;$E67&amp;$F67,'Doc Há Pagar | Rodopar 1015'!$B:$B,S$1)</f>
        <v>0</v>
      </c>
      <c r="T67" s="20">
        <f>SUMIFS('Doc''s Pagos | Rodopar 108'!$J:$J,'Doc''s Pagos | Rodopar 108'!$A:$A,$B67&amp;$E67&amp;$F67&amp;$J67,'Doc''s Pagos | Rodopar 108'!$B:$B,T$1)+SUMIFS('Doc Há Pagar | Rodopar 1015'!$J:$J,'Doc Há Pagar | Rodopar 1015'!$A:$A,$B67&amp;$E67&amp;$F67,'Doc Há Pagar | Rodopar 1015'!$B:$B,T$1)</f>
        <v>0</v>
      </c>
      <c r="U67" s="20">
        <f>SUMIFS('Doc''s Pagos | Rodopar 108'!$J:$J,'Doc''s Pagos | Rodopar 108'!$A:$A,$B67&amp;$E67&amp;$F67&amp;$J67,'Doc''s Pagos | Rodopar 108'!$B:$B,U$1)+SUMIFS('Doc Há Pagar | Rodopar 1015'!$J:$J,'Doc Há Pagar | Rodopar 1015'!$A:$A,$B67&amp;$E67&amp;$F67,'Doc Há Pagar | Rodopar 1015'!$B:$B,U$1)</f>
        <v>3150</v>
      </c>
      <c r="V67" s="20">
        <f>SUMIFS('Doc''s Pagos | Rodopar 108'!$J:$J,'Doc''s Pagos | Rodopar 108'!$A:$A,$B67&amp;$E67&amp;$F67&amp;$J67,'Doc''s Pagos | Rodopar 108'!$B:$B,V$1)+SUMIFS('Doc Há Pagar | Rodopar 1015'!$J:$J,'Doc Há Pagar | Rodopar 1015'!$A:$A,$B67&amp;$E67&amp;$F67,'Doc Há Pagar | Rodopar 1015'!$B:$B,V$1)</f>
        <v>0</v>
      </c>
      <c r="W67" s="20">
        <f>SUMIFS('Doc''s Pagos | Rodopar 108'!$J:$J,'Doc''s Pagos | Rodopar 108'!$A:$A,$B67&amp;$E67&amp;$F67&amp;$J67,'Doc''s Pagos | Rodopar 108'!$B:$B,W$1)+SUMIFS('Doc Há Pagar | Rodopar 1015'!$J:$J,'Doc Há Pagar | Rodopar 1015'!$A:$A,$B67&amp;$E67&amp;$F67,'Doc Há Pagar | Rodopar 1015'!$B:$B,W$1)</f>
        <v>0</v>
      </c>
      <c r="X67" s="20">
        <f>SUMIFS('Doc''s Pagos | Rodopar 108'!$J:$J,'Doc''s Pagos | Rodopar 108'!$A:$A,$B67&amp;$E67&amp;$F67&amp;$J67,'Doc''s Pagos | Rodopar 108'!$B:$B,X$1)+SUMIFS('Doc Há Pagar | Rodopar 1015'!$J:$J,'Doc Há Pagar | Rodopar 1015'!$A:$A,$B67&amp;$E67&amp;$F67,'Doc Há Pagar | Rodopar 1015'!$B:$B,X$1)</f>
        <v>0</v>
      </c>
      <c r="Y67" s="20">
        <f>SUMIFS('Doc''s Pagos | Rodopar 108'!$J:$J,'Doc''s Pagos | Rodopar 108'!$A:$A,$B67&amp;$E67&amp;$F67&amp;$J67,'Doc''s Pagos | Rodopar 108'!$B:$B,Y$1)+SUMIFS('Doc Há Pagar | Rodopar 1015'!$J:$J,'Doc Há Pagar | Rodopar 1015'!$A:$A,$B67&amp;$E67&amp;$F67,'Doc Há Pagar | Rodopar 1015'!$B:$B,Y$1)</f>
        <v>0</v>
      </c>
      <c r="Z67" s="20">
        <f>SUMIFS('Doc''s Pagos | Rodopar 108'!$J:$J,'Doc''s Pagos | Rodopar 108'!$A:$A,$B67&amp;$E67&amp;$F67&amp;$J67,'Doc''s Pagos | Rodopar 108'!$B:$B,Z$1)+SUMIFS('Doc Há Pagar | Rodopar 1015'!$J:$J,'Doc Há Pagar | Rodopar 1015'!$A:$A,$B67&amp;$E67&amp;$F67,'Doc Há Pagar | Rodopar 1015'!$B:$B,Z$1)</f>
        <v>0</v>
      </c>
      <c r="AA67" s="20">
        <f>SUMIFS('Doc''s Pagos | Rodopar 108'!$J:$J,'Doc''s Pagos | Rodopar 108'!$A:$A,$B67&amp;$E67&amp;$F67&amp;$J67,'Doc''s Pagos | Rodopar 108'!$B:$B,AA$1)+SUMIFS('Doc Há Pagar | Rodopar 1015'!$J:$J,'Doc Há Pagar | Rodopar 1015'!$A:$A,$B67&amp;$E67&amp;$F67,'Doc Há Pagar | Rodopar 1015'!$B:$B,AA$1)</f>
        <v>0</v>
      </c>
      <c r="AB67" s="20">
        <f>SUMIFS('Doc''s Pagos | Rodopar 108'!$J:$J,'Doc''s Pagos | Rodopar 108'!$A:$A,$B67&amp;$E67&amp;$F67&amp;$J67,'Doc''s Pagos | Rodopar 108'!$B:$B,AB$1)+SUMIFS('Doc Há Pagar | Rodopar 1015'!$J:$J,'Doc Há Pagar | Rodopar 1015'!$A:$A,$B67&amp;$E67&amp;$F67,'Doc Há Pagar | Rodopar 1015'!$B:$B,AB$1)</f>
        <v>0</v>
      </c>
      <c r="AC67" s="20">
        <f>SUMIFS('Doc''s Pagos | Rodopar 108'!$J:$J,'Doc''s Pagos | Rodopar 108'!$A:$A,$B67&amp;$E67&amp;$F67&amp;$J67,'Doc''s Pagos | Rodopar 108'!$B:$B,AC$1)+SUMIFS('Doc Há Pagar | Rodopar 1015'!$J:$J,'Doc Há Pagar | Rodopar 1015'!$A:$A,$B67&amp;$E67&amp;$F67,'Doc Há Pagar | Rodopar 1015'!$B:$B,AC$1)</f>
        <v>0</v>
      </c>
      <c r="AD67" s="20">
        <f>SUMIFS('Doc''s Pagos | Rodopar 108'!$J:$J,'Doc''s Pagos | Rodopar 108'!$A:$A,$B67&amp;$E67&amp;$F67&amp;$J67,'Doc''s Pagos | Rodopar 108'!$B:$B,AD$1)+SUMIFS('Doc Há Pagar | Rodopar 1015'!$J:$J,'Doc Há Pagar | Rodopar 1015'!$A:$A,$B67&amp;$E67&amp;$F67,'Doc Há Pagar | Rodopar 1015'!$B:$B,AD$1)</f>
        <v>0</v>
      </c>
    </row>
    <row r="68" spans="1:30" x14ac:dyDescent="0.25">
      <c r="A68" s="1" t="str">
        <f>VLOOKUP($E68,Fornecedores!$A:$C,3,0)</f>
        <v>Frota</v>
      </c>
      <c r="B68" s="14" t="s">
        <v>290</v>
      </c>
      <c r="C68" s="14" t="str">
        <f>IFERROR(VLOOKUP($E68,Fornecedores!$A:$E,4,0),"")</f>
        <v>OPE Merchandising</v>
      </c>
      <c r="D68" s="14" t="str">
        <f>IFERROR(VLOOKUP($E68,Fornecedores!$A:$E,5,0),"")</f>
        <v>Locação</v>
      </c>
      <c r="E68" s="8" t="s">
        <v>112</v>
      </c>
      <c r="F68" s="14" t="s">
        <v>232</v>
      </c>
      <c r="G68" s="8" t="s">
        <v>289</v>
      </c>
      <c r="H68" s="9">
        <v>87</v>
      </c>
      <c r="I68" s="21">
        <v>38471.300000000003</v>
      </c>
      <c r="J68" s="11">
        <v>46066</v>
      </c>
      <c r="K68" s="11">
        <v>46072</v>
      </c>
      <c r="L68" s="8" t="s">
        <v>233</v>
      </c>
      <c r="M68" s="14" t="s">
        <v>234</v>
      </c>
      <c r="N68" s="16">
        <v>1556</v>
      </c>
      <c r="O68" s="14" t="s">
        <v>241</v>
      </c>
      <c r="P68" s="14"/>
      <c r="Q68" s="20">
        <f t="shared" si="1"/>
        <v>0</v>
      </c>
      <c r="S68" s="20">
        <f>SUMIFS('Doc''s Pagos | Rodopar 108'!$J:$J,'Doc''s Pagos | Rodopar 108'!$A:$A,$B68&amp;$E68&amp;$F68&amp;$J68,'Doc''s Pagos | Rodopar 108'!$B:$B,S$1)+SUMIFS('Doc Há Pagar | Rodopar 1015'!$J:$J,'Doc Há Pagar | Rodopar 1015'!$A:$A,$B68&amp;$E68&amp;$F68,'Doc Há Pagar | Rodopar 1015'!$B:$B,S$1)</f>
        <v>0</v>
      </c>
      <c r="T68" s="20">
        <f>SUMIFS('Doc''s Pagos | Rodopar 108'!$J:$J,'Doc''s Pagos | Rodopar 108'!$A:$A,$B68&amp;$E68&amp;$F68&amp;$J68,'Doc''s Pagos | Rodopar 108'!$B:$B,T$1)+SUMIFS('Doc Há Pagar | Rodopar 1015'!$J:$J,'Doc Há Pagar | Rodopar 1015'!$A:$A,$B68&amp;$E68&amp;$F68,'Doc Há Pagar | Rodopar 1015'!$B:$B,T$1)</f>
        <v>38471.300000000003</v>
      </c>
      <c r="U68" s="20">
        <f>SUMIFS('Doc''s Pagos | Rodopar 108'!$J:$J,'Doc''s Pagos | Rodopar 108'!$A:$A,$B68&amp;$E68&amp;$F68&amp;$J68,'Doc''s Pagos | Rodopar 108'!$B:$B,U$1)+SUMIFS('Doc Há Pagar | Rodopar 1015'!$J:$J,'Doc Há Pagar | Rodopar 1015'!$A:$A,$B68&amp;$E68&amp;$F68,'Doc Há Pagar | Rodopar 1015'!$B:$B,U$1)</f>
        <v>0</v>
      </c>
      <c r="V68" s="20">
        <f>SUMIFS('Doc''s Pagos | Rodopar 108'!$J:$J,'Doc''s Pagos | Rodopar 108'!$A:$A,$B68&amp;$E68&amp;$F68&amp;$J68,'Doc''s Pagos | Rodopar 108'!$B:$B,V$1)+SUMIFS('Doc Há Pagar | Rodopar 1015'!$J:$J,'Doc Há Pagar | Rodopar 1015'!$A:$A,$B68&amp;$E68&amp;$F68,'Doc Há Pagar | Rodopar 1015'!$B:$B,V$1)</f>
        <v>0</v>
      </c>
      <c r="W68" s="20">
        <f>SUMIFS('Doc''s Pagos | Rodopar 108'!$J:$J,'Doc''s Pagos | Rodopar 108'!$A:$A,$B68&amp;$E68&amp;$F68&amp;$J68,'Doc''s Pagos | Rodopar 108'!$B:$B,W$1)+SUMIFS('Doc Há Pagar | Rodopar 1015'!$J:$J,'Doc Há Pagar | Rodopar 1015'!$A:$A,$B68&amp;$E68&amp;$F68,'Doc Há Pagar | Rodopar 1015'!$B:$B,W$1)</f>
        <v>0</v>
      </c>
      <c r="X68" s="20">
        <f>SUMIFS('Doc''s Pagos | Rodopar 108'!$J:$J,'Doc''s Pagos | Rodopar 108'!$A:$A,$B68&amp;$E68&amp;$F68&amp;$J68,'Doc''s Pagos | Rodopar 108'!$B:$B,X$1)+SUMIFS('Doc Há Pagar | Rodopar 1015'!$J:$J,'Doc Há Pagar | Rodopar 1015'!$A:$A,$B68&amp;$E68&amp;$F68,'Doc Há Pagar | Rodopar 1015'!$B:$B,X$1)</f>
        <v>0</v>
      </c>
      <c r="Y68" s="20">
        <f>SUMIFS('Doc''s Pagos | Rodopar 108'!$J:$J,'Doc''s Pagos | Rodopar 108'!$A:$A,$B68&amp;$E68&amp;$F68&amp;$J68,'Doc''s Pagos | Rodopar 108'!$B:$B,Y$1)+SUMIFS('Doc Há Pagar | Rodopar 1015'!$J:$J,'Doc Há Pagar | Rodopar 1015'!$A:$A,$B68&amp;$E68&amp;$F68,'Doc Há Pagar | Rodopar 1015'!$B:$B,Y$1)</f>
        <v>0</v>
      </c>
      <c r="Z68" s="20">
        <f>SUMIFS('Doc''s Pagos | Rodopar 108'!$J:$J,'Doc''s Pagos | Rodopar 108'!$A:$A,$B68&amp;$E68&amp;$F68&amp;$J68,'Doc''s Pagos | Rodopar 108'!$B:$B,Z$1)+SUMIFS('Doc Há Pagar | Rodopar 1015'!$J:$J,'Doc Há Pagar | Rodopar 1015'!$A:$A,$B68&amp;$E68&amp;$F68,'Doc Há Pagar | Rodopar 1015'!$B:$B,Z$1)</f>
        <v>0</v>
      </c>
      <c r="AA68" s="20">
        <f>SUMIFS('Doc''s Pagos | Rodopar 108'!$J:$J,'Doc''s Pagos | Rodopar 108'!$A:$A,$B68&amp;$E68&amp;$F68&amp;$J68,'Doc''s Pagos | Rodopar 108'!$B:$B,AA$1)+SUMIFS('Doc Há Pagar | Rodopar 1015'!$J:$J,'Doc Há Pagar | Rodopar 1015'!$A:$A,$B68&amp;$E68&amp;$F68,'Doc Há Pagar | Rodopar 1015'!$B:$B,AA$1)</f>
        <v>0</v>
      </c>
      <c r="AB68" s="20">
        <f>SUMIFS('Doc''s Pagos | Rodopar 108'!$J:$J,'Doc''s Pagos | Rodopar 108'!$A:$A,$B68&amp;$E68&amp;$F68&amp;$J68,'Doc''s Pagos | Rodopar 108'!$B:$B,AB$1)+SUMIFS('Doc Há Pagar | Rodopar 1015'!$J:$J,'Doc Há Pagar | Rodopar 1015'!$A:$A,$B68&amp;$E68&amp;$F68,'Doc Há Pagar | Rodopar 1015'!$B:$B,AB$1)</f>
        <v>0</v>
      </c>
      <c r="AC68" s="20">
        <f>SUMIFS('Doc''s Pagos | Rodopar 108'!$J:$J,'Doc''s Pagos | Rodopar 108'!$A:$A,$B68&amp;$E68&amp;$F68&amp;$J68,'Doc''s Pagos | Rodopar 108'!$B:$B,AC$1)+SUMIFS('Doc Há Pagar | Rodopar 1015'!$J:$J,'Doc Há Pagar | Rodopar 1015'!$A:$A,$B68&amp;$E68&amp;$F68,'Doc Há Pagar | Rodopar 1015'!$B:$B,AC$1)</f>
        <v>0</v>
      </c>
      <c r="AD68" s="20">
        <f>SUMIFS('Doc''s Pagos | Rodopar 108'!$J:$J,'Doc''s Pagos | Rodopar 108'!$A:$A,$B68&amp;$E68&amp;$F68&amp;$J68,'Doc''s Pagos | Rodopar 108'!$B:$B,AD$1)+SUMIFS('Doc Há Pagar | Rodopar 1015'!$J:$J,'Doc Há Pagar | Rodopar 1015'!$A:$A,$B68&amp;$E68&amp;$F68,'Doc Há Pagar | Rodopar 1015'!$B:$B,AD$1)</f>
        <v>0</v>
      </c>
    </row>
    <row r="69" spans="1:30" x14ac:dyDescent="0.25">
      <c r="A69" s="1" t="str">
        <f>VLOOKUP($E69,Fornecedores!$A:$C,3,0)</f>
        <v>Frota</v>
      </c>
      <c r="B69" s="14" t="s">
        <v>291</v>
      </c>
      <c r="C69" s="14" t="str">
        <f>IFERROR(VLOOKUP($E69,Fornecedores!$A:$E,4,0),"")</f>
        <v>OPE Merchandising</v>
      </c>
      <c r="D69" s="14" t="str">
        <f>IFERROR(VLOOKUP($E69,Fornecedores!$A:$E,5,0),"")</f>
        <v>Locação</v>
      </c>
      <c r="E69" s="8" t="s">
        <v>112</v>
      </c>
      <c r="F69" s="14" t="s">
        <v>232</v>
      </c>
      <c r="G69" s="8" t="s">
        <v>289</v>
      </c>
      <c r="H69" s="9">
        <v>87</v>
      </c>
      <c r="I69" s="21">
        <v>5151</v>
      </c>
      <c r="J69" s="11">
        <v>46066</v>
      </c>
      <c r="K69" s="11">
        <v>46072</v>
      </c>
      <c r="L69" s="8" t="s">
        <v>233</v>
      </c>
      <c r="M69" s="14" t="s">
        <v>234</v>
      </c>
      <c r="N69" s="16">
        <v>1556</v>
      </c>
      <c r="O69" s="14" t="s">
        <v>241</v>
      </c>
      <c r="P69" s="14"/>
      <c r="Q69" s="20">
        <f t="shared" si="1"/>
        <v>0</v>
      </c>
      <c r="S69" s="20">
        <f>SUMIFS('Doc''s Pagos | Rodopar 108'!$J:$J,'Doc''s Pagos | Rodopar 108'!$A:$A,$B69&amp;$E69&amp;$F69&amp;$J69,'Doc''s Pagos | Rodopar 108'!$B:$B,S$1)+SUMIFS('Doc Há Pagar | Rodopar 1015'!$J:$J,'Doc Há Pagar | Rodopar 1015'!$A:$A,$B69&amp;$E69&amp;$F69,'Doc Há Pagar | Rodopar 1015'!$B:$B,S$1)</f>
        <v>0</v>
      </c>
      <c r="T69" s="20">
        <f>SUMIFS('Doc''s Pagos | Rodopar 108'!$J:$J,'Doc''s Pagos | Rodopar 108'!$A:$A,$B69&amp;$E69&amp;$F69&amp;$J69,'Doc''s Pagos | Rodopar 108'!$B:$B,T$1)+SUMIFS('Doc Há Pagar | Rodopar 1015'!$J:$J,'Doc Há Pagar | Rodopar 1015'!$A:$A,$B69&amp;$E69&amp;$F69,'Doc Há Pagar | Rodopar 1015'!$B:$B,T$1)</f>
        <v>5151</v>
      </c>
      <c r="U69" s="20">
        <f>SUMIFS('Doc''s Pagos | Rodopar 108'!$J:$J,'Doc''s Pagos | Rodopar 108'!$A:$A,$B69&amp;$E69&amp;$F69&amp;$J69,'Doc''s Pagos | Rodopar 108'!$B:$B,U$1)+SUMIFS('Doc Há Pagar | Rodopar 1015'!$J:$J,'Doc Há Pagar | Rodopar 1015'!$A:$A,$B69&amp;$E69&amp;$F69,'Doc Há Pagar | Rodopar 1015'!$B:$B,U$1)</f>
        <v>0</v>
      </c>
      <c r="V69" s="20">
        <f>SUMIFS('Doc''s Pagos | Rodopar 108'!$J:$J,'Doc''s Pagos | Rodopar 108'!$A:$A,$B69&amp;$E69&amp;$F69&amp;$J69,'Doc''s Pagos | Rodopar 108'!$B:$B,V$1)+SUMIFS('Doc Há Pagar | Rodopar 1015'!$J:$J,'Doc Há Pagar | Rodopar 1015'!$A:$A,$B69&amp;$E69&amp;$F69,'Doc Há Pagar | Rodopar 1015'!$B:$B,V$1)</f>
        <v>0</v>
      </c>
      <c r="W69" s="20">
        <f>SUMIFS('Doc''s Pagos | Rodopar 108'!$J:$J,'Doc''s Pagos | Rodopar 108'!$A:$A,$B69&amp;$E69&amp;$F69&amp;$J69,'Doc''s Pagos | Rodopar 108'!$B:$B,W$1)+SUMIFS('Doc Há Pagar | Rodopar 1015'!$J:$J,'Doc Há Pagar | Rodopar 1015'!$A:$A,$B69&amp;$E69&amp;$F69,'Doc Há Pagar | Rodopar 1015'!$B:$B,W$1)</f>
        <v>0</v>
      </c>
      <c r="X69" s="20">
        <f>SUMIFS('Doc''s Pagos | Rodopar 108'!$J:$J,'Doc''s Pagos | Rodopar 108'!$A:$A,$B69&amp;$E69&amp;$F69&amp;$J69,'Doc''s Pagos | Rodopar 108'!$B:$B,X$1)+SUMIFS('Doc Há Pagar | Rodopar 1015'!$J:$J,'Doc Há Pagar | Rodopar 1015'!$A:$A,$B69&amp;$E69&amp;$F69,'Doc Há Pagar | Rodopar 1015'!$B:$B,X$1)</f>
        <v>0</v>
      </c>
      <c r="Y69" s="20">
        <f>SUMIFS('Doc''s Pagos | Rodopar 108'!$J:$J,'Doc''s Pagos | Rodopar 108'!$A:$A,$B69&amp;$E69&amp;$F69&amp;$J69,'Doc''s Pagos | Rodopar 108'!$B:$B,Y$1)+SUMIFS('Doc Há Pagar | Rodopar 1015'!$J:$J,'Doc Há Pagar | Rodopar 1015'!$A:$A,$B69&amp;$E69&amp;$F69,'Doc Há Pagar | Rodopar 1015'!$B:$B,Y$1)</f>
        <v>0</v>
      </c>
      <c r="Z69" s="20">
        <f>SUMIFS('Doc''s Pagos | Rodopar 108'!$J:$J,'Doc''s Pagos | Rodopar 108'!$A:$A,$B69&amp;$E69&amp;$F69&amp;$J69,'Doc''s Pagos | Rodopar 108'!$B:$B,Z$1)+SUMIFS('Doc Há Pagar | Rodopar 1015'!$J:$J,'Doc Há Pagar | Rodopar 1015'!$A:$A,$B69&amp;$E69&amp;$F69,'Doc Há Pagar | Rodopar 1015'!$B:$B,Z$1)</f>
        <v>0</v>
      </c>
      <c r="AA69" s="20">
        <f>SUMIFS('Doc''s Pagos | Rodopar 108'!$J:$J,'Doc''s Pagos | Rodopar 108'!$A:$A,$B69&amp;$E69&amp;$F69&amp;$J69,'Doc''s Pagos | Rodopar 108'!$B:$B,AA$1)+SUMIFS('Doc Há Pagar | Rodopar 1015'!$J:$J,'Doc Há Pagar | Rodopar 1015'!$A:$A,$B69&amp;$E69&amp;$F69,'Doc Há Pagar | Rodopar 1015'!$B:$B,AA$1)</f>
        <v>0</v>
      </c>
      <c r="AB69" s="20">
        <f>SUMIFS('Doc''s Pagos | Rodopar 108'!$J:$J,'Doc''s Pagos | Rodopar 108'!$A:$A,$B69&amp;$E69&amp;$F69&amp;$J69,'Doc''s Pagos | Rodopar 108'!$B:$B,AB$1)+SUMIFS('Doc Há Pagar | Rodopar 1015'!$J:$J,'Doc Há Pagar | Rodopar 1015'!$A:$A,$B69&amp;$E69&amp;$F69,'Doc Há Pagar | Rodopar 1015'!$B:$B,AB$1)</f>
        <v>0</v>
      </c>
      <c r="AC69" s="20">
        <f>SUMIFS('Doc''s Pagos | Rodopar 108'!$J:$J,'Doc''s Pagos | Rodopar 108'!$A:$A,$B69&amp;$E69&amp;$F69&amp;$J69,'Doc''s Pagos | Rodopar 108'!$B:$B,AC$1)+SUMIFS('Doc Há Pagar | Rodopar 1015'!$J:$J,'Doc Há Pagar | Rodopar 1015'!$A:$A,$B69&amp;$E69&amp;$F69,'Doc Há Pagar | Rodopar 1015'!$B:$B,AC$1)</f>
        <v>0</v>
      </c>
      <c r="AD69" s="20">
        <f>SUMIFS('Doc''s Pagos | Rodopar 108'!$J:$J,'Doc''s Pagos | Rodopar 108'!$A:$A,$B69&amp;$E69&amp;$F69&amp;$J69,'Doc''s Pagos | Rodopar 108'!$B:$B,AD$1)+SUMIFS('Doc Há Pagar | Rodopar 1015'!$J:$J,'Doc Há Pagar | Rodopar 1015'!$A:$A,$B69&amp;$E69&amp;$F69,'Doc Há Pagar | Rodopar 1015'!$B:$B,AD$1)</f>
        <v>0</v>
      </c>
    </row>
    <row r="70" spans="1:30" x14ac:dyDescent="0.25">
      <c r="A70" s="1" t="str">
        <f>VLOOKUP($E70,Fornecedores!$A:$C,3,0)</f>
        <v>Frota</v>
      </c>
      <c r="B70" s="14" t="s">
        <v>309</v>
      </c>
      <c r="C70" s="14" t="str">
        <f>IFERROR(VLOOKUP($E70,Fornecedores!$A:$E,4,0),"")</f>
        <v>OPE Merchandising</v>
      </c>
      <c r="D70" s="14" t="str">
        <f>IFERROR(VLOOKUP($E70,Fornecedores!$A:$E,5,0),"")</f>
        <v>Locação</v>
      </c>
      <c r="E70" s="8" t="s">
        <v>112</v>
      </c>
      <c r="F70" s="14" t="s">
        <v>232</v>
      </c>
      <c r="G70" s="8" t="s">
        <v>289</v>
      </c>
      <c r="H70" s="9">
        <v>87</v>
      </c>
      <c r="I70" s="21">
        <v>191.18</v>
      </c>
      <c r="J70" s="11">
        <v>46066</v>
      </c>
      <c r="K70" s="11">
        <v>46072</v>
      </c>
      <c r="L70" s="8" t="s">
        <v>233</v>
      </c>
      <c r="M70" s="14" t="s">
        <v>234</v>
      </c>
      <c r="N70" s="16">
        <v>1556</v>
      </c>
      <c r="O70" s="14" t="s">
        <v>241</v>
      </c>
      <c r="P70" s="14"/>
      <c r="Q70" s="20">
        <f t="shared" si="1"/>
        <v>0</v>
      </c>
      <c r="S70" s="20">
        <f>SUMIFS('Doc''s Pagos | Rodopar 108'!$J:$J,'Doc''s Pagos | Rodopar 108'!$A:$A,$B70&amp;$E70&amp;$F70&amp;$J70,'Doc''s Pagos | Rodopar 108'!$B:$B,S$1)+SUMIFS('Doc Há Pagar | Rodopar 1015'!$J:$J,'Doc Há Pagar | Rodopar 1015'!$A:$A,$B70&amp;$E70&amp;$F70,'Doc Há Pagar | Rodopar 1015'!$B:$B,S$1)</f>
        <v>0</v>
      </c>
      <c r="T70" s="20">
        <f>SUMIFS('Doc''s Pagos | Rodopar 108'!$J:$J,'Doc''s Pagos | Rodopar 108'!$A:$A,$B70&amp;$E70&amp;$F70&amp;$J70,'Doc''s Pagos | Rodopar 108'!$B:$B,T$1)+SUMIFS('Doc Há Pagar | Rodopar 1015'!$J:$J,'Doc Há Pagar | Rodopar 1015'!$A:$A,$B70&amp;$E70&amp;$F70,'Doc Há Pagar | Rodopar 1015'!$B:$B,T$1)</f>
        <v>0</v>
      </c>
      <c r="U70" s="20">
        <f>SUMIFS('Doc''s Pagos | Rodopar 108'!$J:$J,'Doc''s Pagos | Rodopar 108'!$A:$A,$B70&amp;$E70&amp;$F70&amp;$J70,'Doc''s Pagos | Rodopar 108'!$B:$B,U$1)+SUMIFS('Doc Há Pagar | Rodopar 1015'!$J:$J,'Doc Há Pagar | Rodopar 1015'!$A:$A,$B70&amp;$E70&amp;$F70,'Doc Há Pagar | Rodopar 1015'!$B:$B,U$1)</f>
        <v>191.18</v>
      </c>
      <c r="V70" s="20">
        <f>SUMIFS('Doc''s Pagos | Rodopar 108'!$J:$J,'Doc''s Pagos | Rodopar 108'!$A:$A,$B70&amp;$E70&amp;$F70&amp;$J70,'Doc''s Pagos | Rodopar 108'!$B:$B,V$1)+SUMIFS('Doc Há Pagar | Rodopar 1015'!$J:$J,'Doc Há Pagar | Rodopar 1015'!$A:$A,$B70&amp;$E70&amp;$F70,'Doc Há Pagar | Rodopar 1015'!$B:$B,V$1)</f>
        <v>0</v>
      </c>
      <c r="W70" s="20">
        <f>SUMIFS('Doc''s Pagos | Rodopar 108'!$J:$J,'Doc''s Pagos | Rodopar 108'!$A:$A,$B70&amp;$E70&amp;$F70&amp;$J70,'Doc''s Pagos | Rodopar 108'!$B:$B,W$1)+SUMIFS('Doc Há Pagar | Rodopar 1015'!$J:$J,'Doc Há Pagar | Rodopar 1015'!$A:$A,$B70&amp;$E70&amp;$F70,'Doc Há Pagar | Rodopar 1015'!$B:$B,W$1)</f>
        <v>0</v>
      </c>
      <c r="X70" s="20">
        <f>SUMIFS('Doc''s Pagos | Rodopar 108'!$J:$J,'Doc''s Pagos | Rodopar 108'!$A:$A,$B70&amp;$E70&amp;$F70&amp;$J70,'Doc''s Pagos | Rodopar 108'!$B:$B,X$1)+SUMIFS('Doc Há Pagar | Rodopar 1015'!$J:$J,'Doc Há Pagar | Rodopar 1015'!$A:$A,$B70&amp;$E70&amp;$F70,'Doc Há Pagar | Rodopar 1015'!$B:$B,X$1)</f>
        <v>0</v>
      </c>
      <c r="Y70" s="20">
        <f>SUMIFS('Doc''s Pagos | Rodopar 108'!$J:$J,'Doc''s Pagos | Rodopar 108'!$A:$A,$B70&amp;$E70&amp;$F70&amp;$J70,'Doc''s Pagos | Rodopar 108'!$B:$B,Y$1)+SUMIFS('Doc Há Pagar | Rodopar 1015'!$J:$J,'Doc Há Pagar | Rodopar 1015'!$A:$A,$B70&amp;$E70&amp;$F70,'Doc Há Pagar | Rodopar 1015'!$B:$B,Y$1)</f>
        <v>0</v>
      </c>
      <c r="Z70" s="20">
        <f>SUMIFS('Doc''s Pagos | Rodopar 108'!$J:$J,'Doc''s Pagos | Rodopar 108'!$A:$A,$B70&amp;$E70&amp;$F70&amp;$J70,'Doc''s Pagos | Rodopar 108'!$B:$B,Z$1)+SUMIFS('Doc Há Pagar | Rodopar 1015'!$J:$J,'Doc Há Pagar | Rodopar 1015'!$A:$A,$B70&amp;$E70&amp;$F70,'Doc Há Pagar | Rodopar 1015'!$B:$B,Z$1)</f>
        <v>0</v>
      </c>
      <c r="AA70" s="20">
        <f>SUMIFS('Doc''s Pagos | Rodopar 108'!$J:$J,'Doc''s Pagos | Rodopar 108'!$A:$A,$B70&amp;$E70&amp;$F70&amp;$J70,'Doc''s Pagos | Rodopar 108'!$B:$B,AA$1)+SUMIFS('Doc Há Pagar | Rodopar 1015'!$J:$J,'Doc Há Pagar | Rodopar 1015'!$A:$A,$B70&amp;$E70&amp;$F70,'Doc Há Pagar | Rodopar 1015'!$B:$B,AA$1)</f>
        <v>0</v>
      </c>
      <c r="AB70" s="20">
        <f>SUMIFS('Doc''s Pagos | Rodopar 108'!$J:$J,'Doc''s Pagos | Rodopar 108'!$A:$A,$B70&amp;$E70&amp;$F70&amp;$J70,'Doc''s Pagos | Rodopar 108'!$B:$B,AB$1)+SUMIFS('Doc Há Pagar | Rodopar 1015'!$J:$J,'Doc Há Pagar | Rodopar 1015'!$A:$A,$B70&amp;$E70&amp;$F70,'Doc Há Pagar | Rodopar 1015'!$B:$B,AB$1)</f>
        <v>0</v>
      </c>
      <c r="AC70" s="20">
        <f>SUMIFS('Doc''s Pagos | Rodopar 108'!$J:$J,'Doc''s Pagos | Rodopar 108'!$A:$A,$B70&amp;$E70&amp;$F70&amp;$J70,'Doc''s Pagos | Rodopar 108'!$B:$B,AC$1)+SUMIFS('Doc Há Pagar | Rodopar 1015'!$J:$J,'Doc Há Pagar | Rodopar 1015'!$A:$A,$B70&amp;$E70&amp;$F70,'Doc Há Pagar | Rodopar 1015'!$B:$B,AC$1)</f>
        <v>0</v>
      </c>
      <c r="AD70" s="20">
        <f>SUMIFS('Doc''s Pagos | Rodopar 108'!$J:$J,'Doc''s Pagos | Rodopar 108'!$A:$A,$B70&amp;$E70&amp;$F70&amp;$J70,'Doc''s Pagos | Rodopar 108'!$B:$B,AD$1)+SUMIFS('Doc Há Pagar | Rodopar 1015'!$J:$J,'Doc Há Pagar | Rodopar 1015'!$A:$A,$B70&amp;$E70&amp;$F70,'Doc Há Pagar | Rodopar 1015'!$B:$B,AD$1)</f>
        <v>0</v>
      </c>
    </row>
    <row r="71" spans="1:30" x14ac:dyDescent="0.25">
      <c r="A71" s="1" t="str">
        <f>VLOOKUP($E71,Fornecedores!$A:$C,3,0)</f>
        <v>Frota</v>
      </c>
      <c r="B71" s="14" t="s">
        <v>310</v>
      </c>
      <c r="C71" s="14" t="str">
        <f>IFERROR(VLOOKUP($E71,Fornecedores!$A:$E,4,0),"")</f>
        <v>OPE Merchandising</v>
      </c>
      <c r="D71" s="14" t="str">
        <f>IFERROR(VLOOKUP($E71,Fornecedores!$A:$E,5,0),"")</f>
        <v>Locação</v>
      </c>
      <c r="E71" s="8" t="s">
        <v>112</v>
      </c>
      <c r="F71" s="14" t="s">
        <v>232</v>
      </c>
      <c r="G71" s="8" t="s">
        <v>289</v>
      </c>
      <c r="H71" s="9">
        <v>87</v>
      </c>
      <c r="I71" s="21">
        <v>1047.5</v>
      </c>
      <c r="J71" s="11">
        <v>46066</v>
      </c>
      <c r="K71" s="11">
        <v>46072</v>
      </c>
      <c r="L71" s="8" t="s">
        <v>233</v>
      </c>
      <c r="M71" s="14" t="s">
        <v>234</v>
      </c>
      <c r="N71" s="16">
        <v>1556</v>
      </c>
      <c r="O71" s="14" t="s">
        <v>241</v>
      </c>
      <c r="P71" s="14"/>
      <c r="Q71" s="20">
        <f t="shared" si="1"/>
        <v>0</v>
      </c>
      <c r="S71" s="20">
        <f>SUMIFS('Doc''s Pagos | Rodopar 108'!$J:$J,'Doc''s Pagos | Rodopar 108'!$A:$A,$B71&amp;$E71&amp;$F71&amp;$J71,'Doc''s Pagos | Rodopar 108'!$B:$B,S$1)+SUMIFS('Doc Há Pagar | Rodopar 1015'!$J:$J,'Doc Há Pagar | Rodopar 1015'!$A:$A,$B71&amp;$E71&amp;$F71,'Doc Há Pagar | Rodopar 1015'!$B:$B,S$1)</f>
        <v>0</v>
      </c>
      <c r="T71" s="20">
        <f>SUMIFS('Doc''s Pagos | Rodopar 108'!$J:$J,'Doc''s Pagos | Rodopar 108'!$A:$A,$B71&amp;$E71&amp;$F71&amp;$J71,'Doc''s Pagos | Rodopar 108'!$B:$B,T$1)+SUMIFS('Doc Há Pagar | Rodopar 1015'!$J:$J,'Doc Há Pagar | Rodopar 1015'!$A:$A,$B71&amp;$E71&amp;$F71,'Doc Há Pagar | Rodopar 1015'!$B:$B,T$1)</f>
        <v>0</v>
      </c>
      <c r="U71" s="20">
        <f>SUMIFS('Doc''s Pagos | Rodopar 108'!$J:$J,'Doc''s Pagos | Rodopar 108'!$A:$A,$B71&amp;$E71&amp;$F71&amp;$J71,'Doc''s Pagos | Rodopar 108'!$B:$B,U$1)+SUMIFS('Doc Há Pagar | Rodopar 1015'!$J:$J,'Doc Há Pagar | Rodopar 1015'!$A:$A,$B71&amp;$E71&amp;$F71,'Doc Há Pagar | Rodopar 1015'!$B:$B,U$1)</f>
        <v>1047.5</v>
      </c>
      <c r="V71" s="20">
        <f>SUMIFS('Doc''s Pagos | Rodopar 108'!$J:$J,'Doc''s Pagos | Rodopar 108'!$A:$A,$B71&amp;$E71&amp;$F71&amp;$J71,'Doc''s Pagos | Rodopar 108'!$B:$B,V$1)+SUMIFS('Doc Há Pagar | Rodopar 1015'!$J:$J,'Doc Há Pagar | Rodopar 1015'!$A:$A,$B71&amp;$E71&amp;$F71,'Doc Há Pagar | Rodopar 1015'!$B:$B,V$1)</f>
        <v>0</v>
      </c>
      <c r="W71" s="20">
        <f>SUMIFS('Doc''s Pagos | Rodopar 108'!$J:$J,'Doc''s Pagos | Rodopar 108'!$A:$A,$B71&amp;$E71&amp;$F71&amp;$J71,'Doc''s Pagos | Rodopar 108'!$B:$B,W$1)+SUMIFS('Doc Há Pagar | Rodopar 1015'!$J:$J,'Doc Há Pagar | Rodopar 1015'!$A:$A,$B71&amp;$E71&amp;$F71,'Doc Há Pagar | Rodopar 1015'!$B:$B,W$1)</f>
        <v>0</v>
      </c>
      <c r="X71" s="20">
        <f>SUMIFS('Doc''s Pagos | Rodopar 108'!$J:$J,'Doc''s Pagos | Rodopar 108'!$A:$A,$B71&amp;$E71&amp;$F71&amp;$J71,'Doc''s Pagos | Rodopar 108'!$B:$B,X$1)+SUMIFS('Doc Há Pagar | Rodopar 1015'!$J:$J,'Doc Há Pagar | Rodopar 1015'!$A:$A,$B71&amp;$E71&amp;$F71,'Doc Há Pagar | Rodopar 1015'!$B:$B,X$1)</f>
        <v>0</v>
      </c>
      <c r="Y71" s="20">
        <f>SUMIFS('Doc''s Pagos | Rodopar 108'!$J:$J,'Doc''s Pagos | Rodopar 108'!$A:$A,$B71&amp;$E71&amp;$F71&amp;$J71,'Doc''s Pagos | Rodopar 108'!$B:$B,Y$1)+SUMIFS('Doc Há Pagar | Rodopar 1015'!$J:$J,'Doc Há Pagar | Rodopar 1015'!$A:$A,$B71&amp;$E71&amp;$F71,'Doc Há Pagar | Rodopar 1015'!$B:$B,Y$1)</f>
        <v>0</v>
      </c>
      <c r="Z71" s="20">
        <f>SUMIFS('Doc''s Pagos | Rodopar 108'!$J:$J,'Doc''s Pagos | Rodopar 108'!$A:$A,$B71&amp;$E71&amp;$F71&amp;$J71,'Doc''s Pagos | Rodopar 108'!$B:$B,Z$1)+SUMIFS('Doc Há Pagar | Rodopar 1015'!$J:$J,'Doc Há Pagar | Rodopar 1015'!$A:$A,$B71&amp;$E71&amp;$F71,'Doc Há Pagar | Rodopar 1015'!$B:$B,Z$1)</f>
        <v>0</v>
      </c>
      <c r="AA71" s="20">
        <f>SUMIFS('Doc''s Pagos | Rodopar 108'!$J:$J,'Doc''s Pagos | Rodopar 108'!$A:$A,$B71&amp;$E71&amp;$F71&amp;$J71,'Doc''s Pagos | Rodopar 108'!$B:$B,AA$1)+SUMIFS('Doc Há Pagar | Rodopar 1015'!$J:$J,'Doc Há Pagar | Rodopar 1015'!$A:$A,$B71&amp;$E71&amp;$F71,'Doc Há Pagar | Rodopar 1015'!$B:$B,AA$1)</f>
        <v>0</v>
      </c>
      <c r="AB71" s="20">
        <f>SUMIFS('Doc''s Pagos | Rodopar 108'!$J:$J,'Doc''s Pagos | Rodopar 108'!$A:$A,$B71&amp;$E71&amp;$F71&amp;$J71,'Doc''s Pagos | Rodopar 108'!$B:$B,AB$1)+SUMIFS('Doc Há Pagar | Rodopar 1015'!$J:$J,'Doc Há Pagar | Rodopar 1015'!$A:$A,$B71&amp;$E71&amp;$F71,'Doc Há Pagar | Rodopar 1015'!$B:$B,AB$1)</f>
        <v>0</v>
      </c>
      <c r="AC71" s="20">
        <f>SUMIFS('Doc''s Pagos | Rodopar 108'!$J:$J,'Doc''s Pagos | Rodopar 108'!$A:$A,$B71&amp;$E71&amp;$F71&amp;$J71,'Doc''s Pagos | Rodopar 108'!$B:$B,AC$1)+SUMIFS('Doc Há Pagar | Rodopar 1015'!$J:$J,'Doc Há Pagar | Rodopar 1015'!$A:$A,$B71&amp;$E71&amp;$F71,'Doc Há Pagar | Rodopar 1015'!$B:$B,AC$1)</f>
        <v>0</v>
      </c>
      <c r="AD71" s="20">
        <f>SUMIFS('Doc''s Pagos | Rodopar 108'!$J:$J,'Doc''s Pagos | Rodopar 108'!$A:$A,$B71&amp;$E71&amp;$F71&amp;$J71,'Doc''s Pagos | Rodopar 108'!$B:$B,AD$1)+SUMIFS('Doc Há Pagar | Rodopar 1015'!$J:$J,'Doc Há Pagar | Rodopar 1015'!$A:$A,$B71&amp;$E71&amp;$F71,'Doc Há Pagar | Rodopar 1015'!$B:$B,AD$1)</f>
        <v>0</v>
      </c>
    </row>
    <row r="72" spans="1:30" x14ac:dyDescent="0.25">
      <c r="A72" s="1" t="str">
        <f>VLOOKUP($E72,Fornecedores!$A:$C,3,0)</f>
        <v>Frota</v>
      </c>
      <c r="B72" s="14">
        <v>108</v>
      </c>
      <c r="C72" s="14" t="str">
        <f>IFERROR(VLOOKUP($E72,Fornecedores!$A:$E,4,0),"")</f>
        <v>Manutenção</v>
      </c>
      <c r="D72" s="14" t="str">
        <f>IFERROR(VLOOKUP($E72,Fornecedores!$A:$E,5,0),"")</f>
        <v>Peças E Serviços</v>
      </c>
      <c r="E72" s="8" t="s">
        <v>204</v>
      </c>
      <c r="F72" s="14" t="s">
        <v>380</v>
      </c>
      <c r="G72" s="8" t="s">
        <v>396</v>
      </c>
      <c r="H72" s="9">
        <v>87</v>
      </c>
      <c r="I72" s="21">
        <v>2909</v>
      </c>
      <c r="J72" s="11">
        <v>46066</v>
      </c>
      <c r="K72" s="11">
        <v>46067</v>
      </c>
      <c r="L72" s="8" t="s">
        <v>282</v>
      </c>
      <c r="M72" s="14" t="s">
        <v>234</v>
      </c>
      <c r="N72" s="16">
        <v>1556</v>
      </c>
      <c r="O72" s="14" t="s">
        <v>241</v>
      </c>
      <c r="P72" s="14"/>
      <c r="Q72" s="20">
        <f t="shared" si="1"/>
        <v>0</v>
      </c>
      <c r="S72" s="20">
        <f>SUMIFS('Doc''s Pagos | Rodopar 108'!$J:$J,'Doc''s Pagos | Rodopar 108'!$A:$A,$B72&amp;$E72&amp;$F72&amp;$J72,'Doc''s Pagos | Rodopar 108'!$B:$B,S$1)+SUMIFS('Doc Há Pagar | Rodopar 1015'!$J:$J,'Doc Há Pagar | Rodopar 1015'!$A:$A,$B72&amp;$E72&amp;$F72,'Doc Há Pagar | Rodopar 1015'!$B:$B,S$1)</f>
        <v>0</v>
      </c>
      <c r="T72" s="20">
        <f>SUMIFS('Doc''s Pagos | Rodopar 108'!$J:$J,'Doc''s Pagos | Rodopar 108'!$A:$A,$B72&amp;$E72&amp;$F72&amp;$J72,'Doc''s Pagos | Rodopar 108'!$B:$B,T$1)+SUMIFS('Doc Há Pagar | Rodopar 1015'!$J:$J,'Doc Há Pagar | Rodopar 1015'!$A:$A,$B72&amp;$E72&amp;$F72,'Doc Há Pagar | Rodopar 1015'!$B:$B,T$1)</f>
        <v>0</v>
      </c>
      <c r="U72" s="20">
        <f>SUMIFS('Doc''s Pagos | Rodopar 108'!$J:$J,'Doc''s Pagos | Rodopar 108'!$A:$A,$B72&amp;$E72&amp;$F72&amp;$J72,'Doc''s Pagos | Rodopar 108'!$B:$B,U$1)+SUMIFS('Doc Há Pagar | Rodopar 1015'!$J:$J,'Doc Há Pagar | Rodopar 1015'!$A:$A,$B72&amp;$E72&amp;$F72,'Doc Há Pagar | Rodopar 1015'!$B:$B,U$1)</f>
        <v>2909</v>
      </c>
      <c r="V72" s="20">
        <f>SUMIFS('Doc''s Pagos | Rodopar 108'!$J:$J,'Doc''s Pagos | Rodopar 108'!$A:$A,$B72&amp;$E72&amp;$F72&amp;$J72,'Doc''s Pagos | Rodopar 108'!$B:$B,V$1)+SUMIFS('Doc Há Pagar | Rodopar 1015'!$J:$J,'Doc Há Pagar | Rodopar 1015'!$A:$A,$B72&amp;$E72&amp;$F72,'Doc Há Pagar | Rodopar 1015'!$B:$B,V$1)</f>
        <v>0</v>
      </c>
      <c r="W72" s="20">
        <f>SUMIFS('Doc''s Pagos | Rodopar 108'!$J:$J,'Doc''s Pagos | Rodopar 108'!$A:$A,$B72&amp;$E72&amp;$F72&amp;$J72,'Doc''s Pagos | Rodopar 108'!$B:$B,W$1)+SUMIFS('Doc Há Pagar | Rodopar 1015'!$J:$J,'Doc Há Pagar | Rodopar 1015'!$A:$A,$B72&amp;$E72&amp;$F72,'Doc Há Pagar | Rodopar 1015'!$B:$B,W$1)</f>
        <v>0</v>
      </c>
      <c r="X72" s="20">
        <f>SUMIFS('Doc''s Pagos | Rodopar 108'!$J:$J,'Doc''s Pagos | Rodopar 108'!$A:$A,$B72&amp;$E72&amp;$F72&amp;$J72,'Doc''s Pagos | Rodopar 108'!$B:$B,X$1)+SUMIFS('Doc Há Pagar | Rodopar 1015'!$J:$J,'Doc Há Pagar | Rodopar 1015'!$A:$A,$B72&amp;$E72&amp;$F72,'Doc Há Pagar | Rodopar 1015'!$B:$B,X$1)</f>
        <v>0</v>
      </c>
      <c r="Y72" s="20">
        <f>SUMIFS('Doc''s Pagos | Rodopar 108'!$J:$J,'Doc''s Pagos | Rodopar 108'!$A:$A,$B72&amp;$E72&amp;$F72&amp;$J72,'Doc''s Pagos | Rodopar 108'!$B:$B,Y$1)+SUMIFS('Doc Há Pagar | Rodopar 1015'!$J:$J,'Doc Há Pagar | Rodopar 1015'!$A:$A,$B72&amp;$E72&amp;$F72,'Doc Há Pagar | Rodopar 1015'!$B:$B,Y$1)</f>
        <v>0</v>
      </c>
      <c r="Z72" s="20">
        <f>SUMIFS('Doc''s Pagos | Rodopar 108'!$J:$J,'Doc''s Pagos | Rodopar 108'!$A:$A,$B72&amp;$E72&amp;$F72&amp;$J72,'Doc''s Pagos | Rodopar 108'!$B:$B,Z$1)+SUMIFS('Doc Há Pagar | Rodopar 1015'!$J:$J,'Doc Há Pagar | Rodopar 1015'!$A:$A,$B72&amp;$E72&amp;$F72,'Doc Há Pagar | Rodopar 1015'!$B:$B,Z$1)</f>
        <v>0</v>
      </c>
      <c r="AA72" s="20">
        <f>SUMIFS('Doc''s Pagos | Rodopar 108'!$J:$J,'Doc''s Pagos | Rodopar 108'!$A:$A,$B72&amp;$E72&amp;$F72&amp;$J72,'Doc''s Pagos | Rodopar 108'!$B:$B,AA$1)+SUMIFS('Doc Há Pagar | Rodopar 1015'!$J:$J,'Doc Há Pagar | Rodopar 1015'!$A:$A,$B72&amp;$E72&amp;$F72,'Doc Há Pagar | Rodopar 1015'!$B:$B,AA$1)</f>
        <v>0</v>
      </c>
      <c r="AB72" s="20">
        <f>SUMIFS('Doc''s Pagos | Rodopar 108'!$J:$J,'Doc''s Pagos | Rodopar 108'!$A:$A,$B72&amp;$E72&amp;$F72&amp;$J72,'Doc''s Pagos | Rodopar 108'!$B:$B,AB$1)+SUMIFS('Doc Há Pagar | Rodopar 1015'!$J:$J,'Doc Há Pagar | Rodopar 1015'!$A:$A,$B72&amp;$E72&amp;$F72,'Doc Há Pagar | Rodopar 1015'!$B:$B,AB$1)</f>
        <v>0</v>
      </c>
      <c r="AC72" s="20">
        <f>SUMIFS('Doc''s Pagos | Rodopar 108'!$J:$J,'Doc''s Pagos | Rodopar 108'!$A:$A,$B72&amp;$E72&amp;$F72&amp;$J72,'Doc''s Pagos | Rodopar 108'!$B:$B,AC$1)+SUMIFS('Doc Há Pagar | Rodopar 1015'!$J:$J,'Doc Há Pagar | Rodopar 1015'!$A:$A,$B72&amp;$E72&amp;$F72,'Doc Há Pagar | Rodopar 1015'!$B:$B,AC$1)</f>
        <v>0</v>
      </c>
      <c r="AD72" s="20">
        <f>SUMIFS('Doc''s Pagos | Rodopar 108'!$J:$J,'Doc''s Pagos | Rodopar 108'!$A:$A,$B72&amp;$E72&amp;$F72&amp;$J72,'Doc''s Pagos | Rodopar 108'!$B:$B,AD$1)+SUMIFS('Doc Há Pagar | Rodopar 1015'!$J:$J,'Doc Há Pagar | Rodopar 1015'!$A:$A,$B72&amp;$E72&amp;$F72,'Doc Há Pagar | Rodopar 1015'!$B:$B,AD$1)</f>
        <v>0</v>
      </c>
    </row>
    <row r="73" spans="1:30" x14ac:dyDescent="0.25">
      <c r="A73" s="1" t="str">
        <f>VLOOKUP($E73,Fornecedores!$A:$C,3,0)</f>
        <v>Frota</v>
      </c>
      <c r="B73" s="14">
        <v>1486122</v>
      </c>
      <c r="C73" s="14" t="str">
        <f>IFERROR(VLOOKUP($E73,Fornecedores!$A:$E,4,0),"")</f>
        <v>MTSR</v>
      </c>
      <c r="D73" s="14" t="str">
        <f>IFERROR(VLOOKUP($E73,Fornecedores!$A:$E,5,0),"")</f>
        <v>Tecnologia</v>
      </c>
      <c r="E73" s="8" t="s">
        <v>191</v>
      </c>
      <c r="F73" s="14" t="s">
        <v>665</v>
      </c>
      <c r="G73" s="8" t="s">
        <v>722</v>
      </c>
      <c r="H73" s="9">
        <v>87</v>
      </c>
      <c r="I73" s="21">
        <v>1477.83</v>
      </c>
      <c r="J73" s="11">
        <v>46066</v>
      </c>
      <c r="K73" s="11">
        <v>46066</v>
      </c>
      <c r="L73" s="8" t="s">
        <v>723</v>
      </c>
      <c r="M73" s="14" t="s">
        <v>684</v>
      </c>
      <c r="N73" s="16">
        <v>2556</v>
      </c>
      <c r="O73" s="14" t="s">
        <v>241</v>
      </c>
      <c r="P73" s="14"/>
      <c r="Q73" s="20">
        <f t="shared" si="1"/>
        <v>0</v>
      </c>
      <c r="S73" s="20">
        <f>SUMIFS('Doc''s Pagos | Rodopar 108'!$J:$J,'Doc''s Pagos | Rodopar 108'!$A:$A,$B73&amp;$E73&amp;$F73&amp;$J73,'Doc''s Pagos | Rodopar 108'!$B:$B,S$1)+SUMIFS('Doc Há Pagar | Rodopar 1015'!$J:$J,'Doc Há Pagar | Rodopar 1015'!$A:$A,$B73&amp;$E73&amp;$F73,'Doc Há Pagar | Rodopar 1015'!$B:$B,S$1)</f>
        <v>0</v>
      </c>
      <c r="T73" s="20">
        <f>SUMIFS('Doc''s Pagos | Rodopar 108'!$J:$J,'Doc''s Pagos | Rodopar 108'!$A:$A,$B73&amp;$E73&amp;$F73&amp;$J73,'Doc''s Pagos | Rodopar 108'!$B:$B,T$1)+SUMIFS('Doc Há Pagar | Rodopar 1015'!$J:$J,'Doc Há Pagar | Rodopar 1015'!$A:$A,$B73&amp;$E73&amp;$F73,'Doc Há Pagar | Rodopar 1015'!$B:$B,T$1)</f>
        <v>0</v>
      </c>
      <c r="U73" s="20">
        <f>SUMIFS('Doc''s Pagos | Rodopar 108'!$J:$J,'Doc''s Pagos | Rodopar 108'!$A:$A,$B73&amp;$E73&amp;$F73&amp;$J73,'Doc''s Pagos | Rodopar 108'!$B:$B,U$1)+SUMIFS('Doc Há Pagar | Rodopar 1015'!$J:$J,'Doc Há Pagar | Rodopar 1015'!$A:$A,$B73&amp;$E73&amp;$F73,'Doc Há Pagar | Rodopar 1015'!$B:$B,U$1)</f>
        <v>1477.83</v>
      </c>
      <c r="V73" s="20">
        <f>SUMIFS('Doc''s Pagos | Rodopar 108'!$J:$J,'Doc''s Pagos | Rodopar 108'!$A:$A,$B73&amp;$E73&amp;$F73&amp;$J73,'Doc''s Pagos | Rodopar 108'!$B:$B,V$1)+SUMIFS('Doc Há Pagar | Rodopar 1015'!$J:$J,'Doc Há Pagar | Rodopar 1015'!$A:$A,$B73&amp;$E73&amp;$F73,'Doc Há Pagar | Rodopar 1015'!$B:$B,V$1)</f>
        <v>0</v>
      </c>
      <c r="W73" s="20">
        <f>SUMIFS('Doc''s Pagos | Rodopar 108'!$J:$J,'Doc''s Pagos | Rodopar 108'!$A:$A,$B73&amp;$E73&amp;$F73&amp;$J73,'Doc''s Pagos | Rodopar 108'!$B:$B,W$1)+SUMIFS('Doc Há Pagar | Rodopar 1015'!$J:$J,'Doc Há Pagar | Rodopar 1015'!$A:$A,$B73&amp;$E73&amp;$F73,'Doc Há Pagar | Rodopar 1015'!$B:$B,W$1)</f>
        <v>0</v>
      </c>
      <c r="X73" s="20">
        <f>SUMIFS('Doc''s Pagos | Rodopar 108'!$J:$J,'Doc''s Pagos | Rodopar 108'!$A:$A,$B73&amp;$E73&amp;$F73&amp;$J73,'Doc''s Pagos | Rodopar 108'!$B:$B,X$1)+SUMIFS('Doc Há Pagar | Rodopar 1015'!$J:$J,'Doc Há Pagar | Rodopar 1015'!$A:$A,$B73&amp;$E73&amp;$F73,'Doc Há Pagar | Rodopar 1015'!$B:$B,X$1)</f>
        <v>0</v>
      </c>
      <c r="Y73" s="20">
        <f>SUMIFS('Doc''s Pagos | Rodopar 108'!$J:$J,'Doc''s Pagos | Rodopar 108'!$A:$A,$B73&amp;$E73&amp;$F73&amp;$J73,'Doc''s Pagos | Rodopar 108'!$B:$B,Y$1)+SUMIFS('Doc Há Pagar | Rodopar 1015'!$J:$J,'Doc Há Pagar | Rodopar 1015'!$A:$A,$B73&amp;$E73&amp;$F73,'Doc Há Pagar | Rodopar 1015'!$B:$B,Y$1)</f>
        <v>0</v>
      </c>
      <c r="Z73" s="20">
        <f>SUMIFS('Doc''s Pagos | Rodopar 108'!$J:$J,'Doc''s Pagos | Rodopar 108'!$A:$A,$B73&amp;$E73&amp;$F73&amp;$J73,'Doc''s Pagos | Rodopar 108'!$B:$B,Z$1)+SUMIFS('Doc Há Pagar | Rodopar 1015'!$J:$J,'Doc Há Pagar | Rodopar 1015'!$A:$A,$B73&amp;$E73&amp;$F73,'Doc Há Pagar | Rodopar 1015'!$B:$B,Z$1)</f>
        <v>0</v>
      </c>
      <c r="AA73" s="20">
        <f>SUMIFS('Doc''s Pagos | Rodopar 108'!$J:$J,'Doc''s Pagos | Rodopar 108'!$A:$A,$B73&amp;$E73&amp;$F73&amp;$J73,'Doc''s Pagos | Rodopar 108'!$B:$B,AA$1)+SUMIFS('Doc Há Pagar | Rodopar 1015'!$J:$J,'Doc Há Pagar | Rodopar 1015'!$A:$A,$B73&amp;$E73&amp;$F73,'Doc Há Pagar | Rodopar 1015'!$B:$B,AA$1)</f>
        <v>0</v>
      </c>
      <c r="AB73" s="20">
        <f>SUMIFS('Doc''s Pagos | Rodopar 108'!$J:$J,'Doc''s Pagos | Rodopar 108'!$A:$A,$B73&amp;$E73&amp;$F73&amp;$J73,'Doc''s Pagos | Rodopar 108'!$B:$B,AB$1)+SUMIFS('Doc Há Pagar | Rodopar 1015'!$J:$J,'Doc Há Pagar | Rodopar 1015'!$A:$A,$B73&amp;$E73&amp;$F73,'Doc Há Pagar | Rodopar 1015'!$B:$B,AB$1)</f>
        <v>0</v>
      </c>
      <c r="AC73" s="20">
        <f>SUMIFS('Doc''s Pagos | Rodopar 108'!$J:$J,'Doc''s Pagos | Rodopar 108'!$A:$A,$B73&amp;$E73&amp;$F73&amp;$J73,'Doc''s Pagos | Rodopar 108'!$B:$B,AC$1)+SUMIFS('Doc Há Pagar | Rodopar 1015'!$J:$J,'Doc Há Pagar | Rodopar 1015'!$A:$A,$B73&amp;$E73&amp;$F73,'Doc Há Pagar | Rodopar 1015'!$B:$B,AC$1)</f>
        <v>0</v>
      </c>
      <c r="AD73" s="20">
        <f>SUMIFS('Doc''s Pagos | Rodopar 108'!$J:$J,'Doc''s Pagos | Rodopar 108'!$A:$A,$B73&amp;$E73&amp;$F73&amp;$J73,'Doc''s Pagos | Rodopar 108'!$B:$B,AD$1)+SUMIFS('Doc Há Pagar | Rodopar 1015'!$J:$J,'Doc Há Pagar | Rodopar 1015'!$A:$A,$B73&amp;$E73&amp;$F73,'Doc Há Pagar | Rodopar 1015'!$B:$B,AD$1)</f>
        <v>0</v>
      </c>
    </row>
    <row r="74" spans="1:30" x14ac:dyDescent="0.25">
      <c r="A74" s="1" t="str">
        <f>VLOOKUP($E74,Fornecedores!$A:$C,3,0)</f>
        <v>Frota</v>
      </c>
      <c r="B74" s="14">
        <v>3168757</v>
      </c>
      <c r="C74" s="14" t="str">
        <f>IFERROR(VLOOKUP($E74,Fornecedores!$A:$E,4,0),"")</f>
        <v>MTSR</v>
      </c>
      <c r="D74" s="14" t="str">
        <f>IFERROR(VLOOKUP($E74,Fornecedores!$A:$E,5,0),"")</f>
        <v>Tecnologia</v>
      </c>
      <c r="E74" s="8" t="s">
        <v>192</v>
      </c>
      <c r="F74" s="14" t="s">
        <v>665</v>
      </c>
      <c r="G74" s="8" t="s">
        <v>837</v>
      </c>
      <c r="H74" s="9">
        <v>87</v>
      </c>
      <c r="I74" s="21">
        <v>8365.89</v>
      </c>
      <c r="J74" s="11">
        <v>46066</v>
      </c>
      <c r="K74" s="11">
        <v>46066</v>
      </c>
      <c r="L74" s="8" t="s">
        <v>723</v>
      </c>
      <c r="M74" s="14" t="s">
        <v>684</v>
      </c>
      <c r="N74" s="16">
        <v>2556</v>
      </c>
      <c r="O74" s="14" t="s">
        <v>241</v>
      </c>
      <c r="P74" s="14"/>
      <c r="Q74" s="20">
        <f t="shared" si="1"/>
        <v>0</v>
      </c>
      <c r="S74" s="20">
        <f>SUMIFS('Doc''s Pagos | Rodopar 108'!$J:$J,'Doc''s Pagos | Rodopar 108'!$A:$A,$B74&amp;$E74&amp;$F74&amp;$J74,'Doc''s Pagos | Rodopar 108'!$B:$B,S$1)+SUMIFS('Doc Há Pagar | Rodopar 1015'!$J:$J,'Doc Há Pagar | Rodopar 1015'!$A:$A,$B74&amp;$E74&amp;$F74,'Doc Há Pagar | Rodopar 1015'!$B:$B,S$1)</f>
        <v>0</v>
      </c>
      <c r="T74" s="20">
        <f>SUMIFS('Doc''s Pagos | Rodopar 108'!$J:$J,'Doc''s Pagos | Rodopar 108'!$A:$A,$B74&amp;$E74&amp;$F74&amp;$J74,'Doc''s Pagos | Rodopar 108'!$B:$B,T$1)+SUMIFS('Doc Há Pagar | Rodopar 1015'!$J:$J,'Doc Há Pagar | Rodopar 1015'!$A:$A,$B74&amp;$E74&amp;$F74,'Doc Há Pagar | Rodopar 1015'!$B:$B,T$1)</f>
        <v>0</v>
      </c>
      <c r="U74" s="20">
        <f>SUMIFS('Doc''s Pagos | Rodopar 108'!$J:$J,'Doc''s Pagos | Rodopar 108'!$A:$A,$B74&amp;$E74&amp;$F74&amp;$J74,'Doc''s Pagos | Rodopar 108'!$B:$B,U$1)+SUMIFS('Doc Há Pagar | Rodopar 1015'!$J:$J,'Doc Há Pagar | Rodopar 1015'!$A:$A,$B74&amp;$E74&amp;$F74,'Doc Há Pagar | Rodopar 1015'!$B:$B,U$1)</f>
        <v>8365.89</v>
      </c>
      <c r="V74" s="20">
        <f>SUMIFS('Doc''s Pagos | Rodopar 108'!$J:$J,'Doc''s Pagos | Rodopar 108'!$A:$A,$B74&amp;$E74&amp;$F74&amp;$J74,'Doc''s Pagos | Rodopar 108'!$B:$B,V$1)+SUMIFS('Doc Há Pagar | Rodopar 1015'!$J:$J,'Doc Há Pagar | Rodopar 1015'!$A:$A,$B74&amp;$E74&amp;$F74,'Doc Há Pagar | Rodopar 1015'!$B:$B,V$1)</f>
        <v>0</v>
      </c>
      <c r="W74" s="20">
        <f>SUMIFS('Doc''s Pagos | Rodopar 108'!$J:$J,'Doc''s Pagos | Rodopar 108'!$A:$A,$B74&amp;$E74&amp;$F74&amp;$J74,'Doc''s Pagos | Rodopar 108'!$B:$B,W$1)+SUMIFS('Doc Há Pagar | Rodopar 1015'!$J:$J,'Doc Há Pagar | Rodopar 1015'!$A:$A,$B74&amp;$E74&amp;$F74,'Doc Há Pagar | Rodopar 1015'!$B:$B,W$1)</f>
        <v>0</v>
      </c>
      <c r="X74" s="20">
        <f>SUMIFS('Doc''s Pagos | Rodopar 108'!$J:$J,'Doc''s Pagos | Rodopar 108'!$A:$A,$B74&amp;$E74&amp;$F74&amp;$J74,'Doc''s Pagos | Rodopar 108'!$B:$B,X$1)+SUMIFS('Doc Há Pagar | Rodopar 1015'!$J:$J,'Doc Há Pagar | Rodopar 1015'!$A:$A,$B74&amp;$E74&amp;$F74,'Doc Há Pagar | Rodopar 1015'!$B:$B,X$1)</f>
        <v>0</v>
      </c>
      <c r="Y74" s="20">
        <f>SUMIFS('Doc''s Pagos | Rodopar 108'!$J:$J,'Doc''s Pagos | Rodopar 108'!$A:$A,$B74&amp;$E74&amp;$F74&amp;$J74,'Doc''s Pagos | Rodopar 108'!$B:$B,Y$1)+SUMIFS('Doc Há Pagar | Rodopar 1015'!$J:$J,'Doc Há Pagar | Rodopar 1015'!$A:$A,$B74&amp;$E74&amp;$F74,'Doc Há Pagar | Rodopar 1015'!$B:$B,Y$1)</f>
        <v>0</v>
      </c>
      <c r="Z74" s="20">
        <f>SUMIFS('Doc''s Pagos | Rodopar 108'!$J:$J,'Doc''s Pagos | Rodopar 108'!$A:$A,$B74&amp;$E74&amp;$F74&amp;$J74,'Doc''s Pagos | Rodopar 108'!$B:$B,Z$1)+SUMIFS('Doc Há Pagar | Rodopar 1015'!$J:$J,'Doc Há Pagar | Rodopar 1015'!$A:$A,$B74&amp;$E74&amp;$F74,'Doc Há Pagar | Rodopar 1015'!$B:$B,Z$1)</f>
        <v>0</v>
      </c>
      <c r="AA74" s="20">
        <f>SUMIFS('Doc''s Pagos | Rodopar 108'!$J:$J,'Doc''s Pagos | Rodopar 108'!$A:$A,$B74&amp;$E74&amp;$F74&amp;$J74,'Doc''s Pagos | Rodopar 108'!$B:$B,AA$1)+SUMIFS('Doc Há Pagar | Rodopar 1015'!$J:$J,'Doc Há Pagar | Rodopar 1015'!$A:$A,$B74&amp;$E74&amp;$F74,'Doc Há Pagar | Rodopar 1015'!$B:$B,AA$1)</f>
        <v>0</v>
      </c>
      <c r="AB74" s="20">
        <f>SUMIFS('Doc''s Pagos | Rodopar 108'!$J:$J,'Doc''s Pagos | Rodopar 108'!$A:$A,$B74&amp;$E74&amp;$F74&amp;$J74,'Doc''s Pagos | Rodopar 108'!$B:$B,AB$1)+SUMIFS('Doc Há Pagar | Rodopar 1015'!$J:$J,'Doc Há Pagar | Rodopar 1015'!$A:$A,$B74&amp;$E74&amp;$F74,'Doc Há Pagar | Rodopar 1015'!$B:$B,AB$1)</f>
        <v>0</v>
      </c>
      <c r="AC74" s="20">
        <f>SUMIFS('Doc''s Pagos | Rodopar 108'!$J:$J,'Doc''s Pagos | Rodopar 108'!$A:$A,$B74&amp;$E74&amp;$F74&amp;$J74,'Doc''s Pagos | Rodopar 108'!$B:$B,AC$1)+SUMIFS('Doc Há Pagar | Rodopar 1015'!$J:$J,'Doc Há Pagar | Rodopar 1015'!$A:$A,$B74&amp;$E74&amp;$F74,'Doc Há Pagar | Rodopar 1015'!$B:$B,AC$1)</f>
        <v>0</v>
      </c>
      <c r="AD74" s="20">
        <f>SUMIFS('Doc''s Pagos | Rodopar 108'!$J:$J,'Doc''s Pagos | Rodopar 108'!$A:$A,$B74&amp;$E74&amp;$F74&amp;$J74,'Doc''s Pagos | Rodopar 108'!$B:$B,AD$1)+SUMIFS('Doc Há Pagar | Rodopar 1015'!$J:$J,'Doc Há Pagar | Rodopar 1015'!$A:$A,$B74&amp;$E74&amp;$F74,'Doc Há Pagar | Rodopar 1015'!$B:$B,AD$1)</f>
        <v>0</v>
      </c>
    </row>
    <row r="75" spans="1:30" x14ac:dyDescent="0.25">
      <c r="A75" s="1" t="str">
        <f>VLOOKUP($E75,Fornecedores!$A:$C,3,0)</f>
        <v>Frota</v>
      </c>
      <c r="B75" s="14">
        <v>39</v>
      </c>
      <c r="C75" s="14" t="str">
        <f>IFERROR(VLOOKUP($E75,Fornecedores!$A:$E,4,0),"")</f>
        <v>Manutenção</v>
      </c>
      <c r="D75" s="14" t="str">
        <f>IFERROR(VLOOKUP($E75,Fornecedores!$A:$E,5,0),"")</f>
        <v>Peças E Serviços</v>
      </c>
      <c r="E75" s="8" t="s">
        <v>204</v>
      </c>
      <c r="F75" s="14" t="s">
        <v>665</v>
      </c>
      <c r="G75" s="8" t="s">
        <v>396</v>
      </c>
      <c r="H75" s="9">
        <v>87</v>
      </c>
      <c r="I75" s="21">
        <v>750</v>
      </c>
      <c r="J75" s="11">
        <v>46066</v>
      </c>
      <c r="K75" s="11">
        <v>46067</v>
      </c>
      <c r="L75" s="8" t="s">
        <v>282</v>
      </c>
      <c r="M75" s="14" t="s">
        <v>234</v>
      </c>
      <c r="N75" s="16">
        <v>1556</v>
      </c>
      <c r="O75" s="14" t="s">
        <v>241</v>
      </c>
      <c r="P75" s="14"/>
      <c r="Q75" s="20">
        <f t="shared" si="1"/>
        <v>0</v>
      </c>
      <c r="S75" s="20">
        <f>SUMIFS('Doc''s Pagos | Rodopar 108'!$J:$J,'Doc''s Pagos | Rodopar 108'!$A:$A,$B75&amp;$E75&amp;$F75&amp;$J75,'Doc''s Pagos | Rodopar 108'!$B:$B,S$1)+SUMIFS('Doc Há Pagar | Rodopar 1015'!$J:$J,'Doc Há Pagar | Rodopar 1015'!$A:$A,$B75&amp;$E75&amp;$F75,'Doc Há Pagar | Rodopar 1015'!$B:$B,S$1)</f>
        <v>0</v>
      </c>
      <c r="T75" s="20">
        <f>SUMIFS('Doc''s Pagos | Rodopar 108'!$J:$J,'Doc''s Pagos | Rodopar 108'!$A:$A,$B75&amp;$E75&amp;$F75&amp;$J75,'Doc''s Pagos | Rodopar 108'!$B:$B,T$1)+SUMIFS('Doc Há Pagar | Rodopar 1015'!$J:$J,'Doc Há Pagar | Rodopar 1015'!$A:$A,$B75&amp;$E75&amp;$F75,'Doc Há Pagar | Rodopar 1015'!$B:$B,T$1)</f>
        <v>0</v>
      </c>
      <c r="U75" s="20">
        <f>SUMIFS('Doc''s Pagos | Rodopar 108'!$J:$J,'Doc''s Pagos | Rodopar 108'!$A:$A,$B75&amp;$E75&amp;$F75&amp;$J75,'Doc''s Pagos | Rodopar 108'!$B:$B,U$1)+SUMIFS('Doc Há Pagar | Rodopar 1015'!$J:$J,'Doc Há Pagar | Rodopar 1015'!$A:$A,$B75&amp;$E75&amp;$F75,'Doc Há Pagar | Rodopar 1015'!$B:$B,U$1)</f>
        <v>750</v>
      </c>
      <c r="V75" s="20">
        <f>SUMIFS('Doc''s Pagos | Rodopar 108'!$J:$J,'Doc''s Pagos | Rodopar 108'!$A:$A,$B75&amp;$E75&amp;$F75&amp;$J75,'Doc''s Pagos | Rodopar 108'!$B:$B,V$1)+SUMIFS('Doc Há Pagar | Rodopar 1015'!$J:$J,'Doc Há Pagar | Rodopar 1015'!$A:$A,$B75&amp;$E75&amp;$F75,'Doc Há Pagar | Rodopar 1015'!$B:$B,V$1)</f>
        <v>0</v>
      </c>
      <c r="W75" s="20">
        <f>SUMIFS('Doc''s Pagos | Rodopar 108'!$J:$J,'Doc''s Pagos | Rodopar 108'!$A:$A,$B75&amp;$E75&amp;$F75&amp;$J75,'Doc''s Pagos | Rodopar 108'!$B:$B,W$1)+SUMIFS('Doc Há Pagar | Rodopar 1015'!$J:$J,'Doc Há Pagar | Rodopar 1015'!$A:$A,$B75&amp;$E75&amp;$F75,'Doc Há Pagar | Rodopar 1015'!$B:$B,W$1)</f>
        <v>0</v>
      </c>
      <c r="X75" s="20">
        <f>SUMIFS('Doc''s Pagos | Rodopar 108'!$J:$J,'Doc''s Pagos | Rodopar 108'!$A:$A,$B75&amp;$E75&amp;$F75&amp;$J75,'Doc''s Pagos | Rodopar 108'!$B:$B,X$1)+SUMIFS('Doc Há Pagar | Rodopar 1015'!$J:$J,'Doc Há Pagar | Rodopar 1015'!$A:$A,$B75&amp;$E75&amp;$F75,'Doc Há Pagar | Rodopar 1015'!$B:$B,X$1)</f>
        <v>0</v>
      </c>
      <c r="Y75" s="20">
        <f>SUMIFS('Doc''s Pagos | Rodopar 108'!$J:$J,'Doc''s Pagos | Rodopar 108'!$A:$A,$B75&amp;$E75&amp;$F75&amp;$J75,'Doc''s Pagos | Rodopar 108'!$B:$B,Y$1)+SUMIFS('Doc Há Pagar | Rodopar 1015'!$J:$J,'Doc Há Pagar | Rodopar 1015'!$A:$A,$B75&amp;$E75&amp;$F75,'Doc Há Pagar | Rodopar 1015'!$B:$B,Y$1)</f>
        <v>0</v>
      </c>
      <c r="Z75" s="20">
        <f>SUMIFS('Doc''s Pagos | Rodopar 108'!$J:$J,'Doc''s Pagos | Rodopar 108'!$A:$A,$B75&amp;$E75&amp;$F75&amp;$J75,'Doc''s Pagos | Rodopar 108'!$B:$B,Z$1)+SUMIFS('Doc Há Pagar | Rodopar 1015'!$J:$J,'Doc Há Pagar | Rodopar 1015'!$A:$A,$B75&amp;$E75&amp;$F75,'Doc Há Pagar | Rodopar 1015'!$B:$B,Z$1)</f>
        <v>0</v>
      </c>
      <c r="AA75" s="20">
        <f>SUMIFS('Doc''s Pagos | Rodopar 108'!$J:$J,'Doc''s Pagos | Rodopar 108'!$A:$A,$B75&amp;$E75&amp;$F75&amp;$J75,'Doc''s Pagos | Rodopar 108'!$B:$B,AA$1)+SUMIFS('Doc Há Pagar | Rodopar 1015'!$J:$J,'Doc Há Pagar | Rodopar 1015'!$A:$A,$B75&amp;$E75&amp;$F75,'Doc Há Pagar | Rodopar 1015'!$B:$B,AA$1)</f>
        <v>0</v>
      </c>
      <c r="AB75" s="20">
        <f>SUMIFS('Doc''s Pagos | Rodopar 108'!$J:$J,'Doc''s Pagos | Rodopar 108'!$A:$A,$B75&amp;$E75&amp;$F75&amp;$J75,'Doc''s Pagos | Rodopar 108'!$B:$B,AB$1)+SUMIFS('Doc Há Pagar | Rodopar 1015'!$J:$J,'Doc Há Pagar | Rodopar 1015'!$A:$A,$B75&amp;$E75&amp;$F75,'Doc Há Pagar | Rodopar 1015'!$B:$B,AB$1)</f>
        <v>0</v>
      </c>
      <c r="AC75" s="20">
        <f>SUMIFS('Doc''s Pagos | Rodopar 108'!$J:$J,'Doc''s Pagos | Rodopar 108'!$A:$A,$B75&amp;$E75&amp;$F75&amp;$J75,'Doc''s Pagos | Rodopar 108'!$B:$B,AC$1)+SUMIFS('Doc Há Pagar | Rodopar 1015'!$J:$J,'Doc Há Pagar | Rodopar 1015'!$A:$A,$B75&amp;$E75&amp;$F75,'Doc Há Pagar | Rodopar 1015'!$B:$B,AC$1)</f>
        <v>0</v>
      </c>
      <c r="AD75" s="20">
        <f>SUMIFS('Doc''s Pagos | Rodopar 108'!$J:$J,'Doc''s Pagos | Rodopar 108'!$A:$A,$B75&amp;$E75&amp;$F75&amp;$J75,'Doc''s Pagos | Rodopar 108'!$B:$B,AD$1)+SUMIFS('Doc Há Pagar | Rodopar 1015'!$J:$J,'Doc Há Pagar | Rodopar 1015'!$A:$A,$B75&amp;$E75&amp;$F75,'Doc Há Pagar | Rodopar 1015'!$B:$B,AD$1)</f>
        <v>0</v>
      </c>
    </row>
    <row r="76" spans="1:30" x14ac:dyDescent="0.25">
      <c r="A76" s="1" t="str">
        <f>VLOOKUP($E76,Fornecedores!$A:$C,3,0)</f>
        <v>Frota</v>
      </c>
      <c r="B76" s="14">
        <v>40</v>
      </c>
      <c r="C76" s="14" t="str">
        <f>IFERROR(VLOOKUP($E76,Fornecedores!$A:$E,4,0),"")</f>
        <v>Manutenção</v>
      </c>
      <c r="D76" s="14" t="str">
        <f>IFERROR(VLOOKUP($E76,Fornecedores!$A:$E,5,0),"")</f>
        <v>Peças E Serviços</v>
      </c>
      <c r="E76" s="8" t="s">
        <v>204</v>
      </c>
      <c r="F76" s="14" t="s">
        <v>665</v>
      </c>
      <c r="G76" s="8" t="s">
        <v>396</v>
      </c>
      <c r="H76" s="9">
        <v>87</v>
      </c>
      <c r="I76" s="21">
        <v>180</v>
      </c>
      <c r="J76" s="11">
        <v>46066</v>
      </c>
      <c r="K76" s="11">
        <v>46067</v>
      </c>
      <c r="L76" s="8" t="s">
        <v>282</v>
      </c>
      <c r="M76" s="14" t="s">
        <v>234</v>
      </c>
      <c r="N76" s="16">
        <v>1556</v>
      </c>
      <c r="O76" s="14" t="s">
        <v>241</v>
      </c>
      <c r="P76" s="14"/>
      <c r="Q76" s="20">
        <f t="shared" si="1"/>
        <v>0</v>
      </c>
      <c r="S76" s="20">
        <f>SUMIFS('Doc''s Pagos | Rodopar 108'!$J:$J,'Doc''s Pagos | Rodopar 108'!$A:$A,$B76&amp;$E76&amp;$F76&amp;$J76,'Doc''s Pagos | Rodopar 108'!$B:$B,S$1)+SUMIFS('Doc Há Pagar | Rodopar 1015'!$J:$J,'Doc Há Pagar | Rodopar 1015'!$A:$A,$B76&amp;$E76&amp;$F76,'Doc Há Pagar | Rodopar 1015'!$B:$B,S$1)</f>
        <v>0</v>
      </c>
      <c r="T76" s="20">
        <f>SUMIFS('Doc''s Pagos | Rodopar 108'!$J:$J,'Doc''s Pagos | Rodopar 108'!$A:$A,$B76&amp;$E76&amp;$F76&amp;$J76,'Doc''s Pagos | Rodopar 108'!$B:$B,T$1)+SUMIFS('Doc Há Pagar | Rodopar 1015'!$J:$J,'Doc Há Pagar | Rodopar 1015'!$A:$A,$B76&amp;$E76&amp;$F76,'Doc Há Pagar | Rodopar 1015'!$B:$B,T$1)</f>
        <v>0</v>
      </c>
      <c r="U76" s="20">
        <f>SUMIFS('Doc''s Pagos | Rodopar 108'!$J:$J,'Doc''s Pagos | Rodopar 108'!$A:$A,$B76&amp;$E76&amp;$F76&amp;$J76,'Doc''s Pagos | Rodopar 108'!$B:$B,U$1)+SUMIFS('Doc Há Pagar | Rodopar 1015'!$J:$J,'Doc Há Pagar | Rodopar 1015'!$A:$A,$B76&amp;$E76&amp;$F76,'Doc Há Pagar | Rodopar 1015'!$B:$B,U$1)</f>
        <v>180</v>
      </c>
      <c r="V76" s="20">
        <f>SUMIFS('Doc''s Pagos | Rodopar 108'!$J:$J,'Doc''s Pagos | Rodopar 108'!$A:$A,$B76&amp;$E76&amp;$F76&amp;$J76,'Doc''s Pagos | Rodopar 108'!$B:$B,V$1)+SUMIFS('Doc Há Pagar | Rodopar 1015'!$J:$J,'Doc Há Pagar | Rodopar 1015'!$A:$A,$B76&amp;$E76&amp;$F76,'Doc Há Pagar | Rodopar 1015'!$B:$B,V$1)</f>
        <v>0</v>
      </c>
      <c r="W76" s="20">
        <f>SUMIFS('Doc''s Pagos | Rodopar 108'!$J:$J,'Doc''s Pagos | Rodopar 108'!$A:$A,$B76&amp;$E76&amp;$F76&amp;$J76,'Doc''s Pagos | Rodopar 108'!$B:$B,W$1)+SUMIFS('Doc Há Pagar | Rodopar 1015'!$J:$J,'Doc Há Pagar | Rodopar 1015'!$A:$A,$B76&amp;$E76&amp;$F76,'Doc Há Pagar | Rodopar 1015'!$B:$B,W$1)</f>
        <v>0</v>
      </c>
      <c r="X76" s="20">
        <f>SUMIFS('Doc''s Pagos | Rodopar 108'!$J:$J,'Doc''s Pagos | Rodopar 108'!$A:$A,$B76&amp;$E76&amp;$F76&amp;$J76,'Doc''s Pagos | Rodopar 108'!$B:$B,X$1)+SUMIFS('Doc Há Pagar | Rodopar 1015'!$J:$J,'Doc Há Pagar | Rodopar 1015'!$A:$A,$B76&amp;$E76&amp;$F76,'Doc Há Pagar | Rodopar 1015'!$B:$B,X$1)</f>
        <v>0</v>
      </c>
      <c r="Y76" s="20">
        <f>SUMIFS('Doc''s Pagos | Rodopar 108'!$J:$J,'Doc''s Pagos | Rodopar 108'!$A:$A,$B76&amp;$E76&amp;$F76&amp;$J76,'Doc''s Pagos | Rodopar 108'!$B:$B,Y$1)+SUMIFS('Doc Há Pagar | Rodopar 1015'!$J:$J,'Doc Há Pagar | Rodopar 1015'!$A:$A,$B76&amp;$E76&amp;$F76,'Doc Há Pagar | Rodopar 1015'!$B:$B,Y$1)</f>
        <v>0</v>
      </c>
      <c r="Z76" s="20">
        <f>SUMIFS('Doc''s Pagos | Rodopar 108'!$J:$J,'Doc''s Pagos | Rodopar 108'!$A:$A,$B76&amp;$E76&amp;$F76&amp;$J76,'Doc''s Pagos | Rodopar 108'!$B:$B,Z$1)+SUMIFS('Doc Há Pagar | Rodopar 1015'!$J:$J,'Doc Há Pagar | Rodopar 1015'!$A:$A,$B76&amp;$E76&amp;$F76,'Doc Há Pagar | Rodopar 1015'!$B:$B,Z$1)</f>
        <v>0</v>
      </c>
      <c r="AA76" s="20">
        <f>SUMIFS('Doc''s Pagos | Rodopar 108'!$J:$J,'Doc''s Pagos | Rodopar 108'!$A:$A,$B76&amp;$E76&amp;$F76&amp;$J76,'Doc''s Pagos | Rodopar 108'!$B:$B,AA$1)+SUMIFS('Doc Há Pagar | Rodopar 1015'!$J:$J,'Doc Há Pagar | Rodopar 1015'!$A:$A,$B76&amp;$E76&amp;$F76,'Doc Há Pagar | Rodopar 1015'!$B:$B,AA$1)</f>
        <v>0</v>
      </c>
      <c r="AB76" s="20">
        <f>SUMIFS('Doc''s Pagos | Rodopar 108'!$J:$J,'Doc''s Pagos | Rodopar 108'!$A:$A,$B76&amp;$E76&amp;$F76&amp;$J76,'Doc''s Pagos | Rodopar 108'!$B:$B,AB$1)+SUMIFS('Doc Há Pagar | Rodopar 1015'!$J:$J,'Doc Há Pagar | Rodopar 1015'!$A:$A,$B76&amp;$E76&amp;$F76,'Doc Há Pagar | Rodopar 1015'!$B:$B,AB$1)</f>
        <v>0</v>
      </c>
      <c r="AC76" s="20">
        <f>SUMIFS('Doc''s Pagos | Rodopar 108'!$J:$J,'Doc''s Pagos | Rodopar 108'!$A:$A,$B76&amp;$E76&amp;$F76&amp;$J76,'Doc''s Pagos | Rodopar 108'!$B:$B,AC$1)+SUMIFS('Doc Há Pagar | Rodopar 1015'!$J:$J,'Doc Há Pagar | Rodopar 1015'!$A:$A,$B76&amp;$E76&amp;$F76,'Doc Há Pagar | Rodopar 1015'!$B:$B,AC$1)</f>
        <v>0</v>
      </c>
      <c r="AD76" s="20">
        <f>SUMIFS('Doc''s Pagos | Rodopar 108'!$J:$J,'Doc''s Pagos | Rodopar 108'!$A:$A,$B76&amp;$E76&amp;$F76&amp;$J76,'Doc''s Pagos | Rodopar 108'!$B:$B,AD$1)+SUMIFS('Doc Há Pagar | Rodopar 1015'!$J:$J,'Doc Há Pagar | Rodopar 1015'!$A:$A,$B76&amp;$E76&amp;$F76,'Doc Há Pagar | Rodopar 1015'!$B:$B,AD$1)</f>
        <v>0</v>
      </c>
    </row>
    <row r="77" spans="1:30" x14ac:dyDescent="0.25">
      <c r="A77" s="1" t="str">
        <f>VLOOKUP($E77,Fornecedores!$A:$C,3,0)</f>
        <v>Frota</v>
      </c>
      <c r="B77" s="14">
        <v>142</v>
      </c>
      <c r="C77" s="14" t="str">
        <f>IFERROR(VLOOKUP($E77,Fornecedores!$A:$E,4,0),"")</f>
        <v>Sinistro</v>
      </c>
      <c r="D77" s="14" t="str">
        <f>IFERROR(VLOOKUP($E77,Fornecedores!$A:$E,5,0),"")</f>
        <v>Guincho</v>
      </c>
      <c r="E77" s="8" t="s">
        <v>717</v>
      </c>
      <c r="F77" s="14" t="s">
        <v>665</v>
      </c>
      <c r="G77" s="8" t="s">
        <v>718</v>
      </c>
      <c r="H77" s="9">
        <v>87</v>
      </c>
      <c r="I77" s="21">
        <v>1150</v>
      </c>
      <c r="J77" s="11">
        <v>46069</v>
      </c>
      <c r="K77" s="11">
        <v>46071</v>
      </c>
      <c r="L77" s="8" t="s">
        <v>501</v>
      </c>
      <c r="M77" s="14" t="s">
        <v>234</v>
      </c>
      <c r="N77" s="16">
        <v>1556</v>
      </c>
      <c r="O77" s="14" t="s">
        <v>241</v>
      </c>
      <c r="P77" s="14"/>
      <c r="Q77" s="20">
        <f t="shared" si="1"/>
        <v>0</v>
      </c>
      <c r="S77" s="20">
        <f>SUMIFS('Doc''s Pagos | Rodopar 108'!$J:$J,'Doc''s Pagos | Rodopar 108'!$A:$A,$B77&amp;$E77&amp;$F77&amp;$J77,'Doc''s Pagos | Rodopar 108'!$B:$B,S$1)+SUMIFS('Doc Há Pagar | Rodopar 1015'!$J:$J,'Doc Há Pagar | Rodopar 1015'!$A:$A,$B77&amp;$E77&amp;$F77,'Doc Há Pagar | Rodopar 1015'!$B:$B,S$1)</f>
        <v>0</v>
      </c>
      <c r="T77" s="20">
        <f>SUMIFS('Doc''s Pagos | Rodopar 108'!$J:$J,'Doc''s Pagos | Rodopar 108'!$A:$A,$B77&amp;$E77&amp;$F77&amp;$J77,'Doc''s Pagos | Rodopar 108'!$B:$B,T$1)+SUMIFS('Doc Há Pagar | Rodopar 1015'!$J:$J,'Doc Há Pagar | Rodopar 1015'!$A:$A,$B77&amp;$E77&amp;$F77,'Doc Há Pagar | Rodopar 1015'!$B:$B,T$1)</f>
        <v>1150</v>
      </c>
      <c r="U77" s="20">
        <f>SUMIFS('Doc''s Pagos | Rodopar 108'!$J:$J,'Doc''s Pagos | Rodopar 108'!$A:$A,$B77&amp;$E77&amp;$F77&amp;$J77,'Doc''s Pagos | Rodopar 108'!$B:$B,U$1)+SUMIFS('Doc Há Pagar | Rodopar 1015'!$J:$J,'Doc Há Pagar | Rodopar 1015'!$A:$A,$B77&amp;$E77&amp;$F77,'Doc Há Pagar | Rodopar 1015'!$B:$B,U$1)</f>
        <v>0</v>
      </c>
      <c r="V77" s="20">
        <f>SUMIFS('Doc''s Pagos | Rodopar 108'!$J:$J,'Doc''s Pagos | Rodopar 108'!$A:$A,$B77&amp;$E77&amp;$F77&amp;$J77,'Doc''s Pagos | Rodopar 108'!$B:$B,V$1)+SUMIFS('Doc Há Pagar | Rodopar 1015'!$J:$J,'Doc Há Pagar | Rodopar 1015'!$A:$A,$B77&amp;$E77&amp;$F77,'Doc Há Pagar | Rodopar 1015'!$B:$B,V$1)</f>
        <v>0</v>
      </c>
      <c r="W77" s="20">
        <f>SUMIFS('Doc''s Pagos | Rodopar 108'!$J:$J,'Doc''s Pagos | Rodopar 108'!$A:$A,$B77&amp;$E77&amp;$F77&amp;$J77,'Doc''s Pagos | Rodopar 108'!$B:$B,W$1)+SUMIFS('Doc Há Pagar | Rodopar 1015'!$J:$J,'Doc Há Pagar | Rodopar 1015'!$A:$A,$B77&amp;$E77&amp;$F77,'Doc Há Pagar | Rodopar 1015'!$B:$B,W$1)</f>
        <v>0</v>
      </c>
      <c r="X77" s="20">
        <f>SUMIFS('Doc''s Pagos | Rodopar 108'!$J:$J,'Doc''s Pagos | Rodopar 108'!$A:$A,$B77&amp;$E77&amp;$F77&amp;$J77,'Doc''s Pagos | Rodopar 108'!$B:$B,X$1)+SUMIFS('Doc Há Pagar | Rodopar 1015'!$J:$J,'Doc Há Pagar | Rodopar 1015'!$A:$A,$B77&amp;$E77&amp;$F77,'Doc Há Pagar | Rodopar 1015'!$B:$B,X$1)</f>
        <v>0</v>
      </c>
      <c r="Y77" s="20">
        <f>SUMIFS('Doc''s Pagos | Rodopar 108'!$J:$J,'Doc''s Pagos | Rodopar 108'!$A:$A,$B77&amp;$E77&amp;$F77&amp;$J77,'Doc''s Pagos | Rodopar 108'!$B:$B,Y$1)+SUMIFS('Doc Há Pagar | Rodopar 1015'!$J:$J,'Doc Há Pagar | Rodopar 1015'!$A:$A,$B77&amp;$E77&amp;$F77,'Doc Há Pagar | Rodopar 1015'!$B:$B,Y$1)</f>
        <v>0</v>
      </c>
      <c r="Z77" s="20">
        <f>SUMIFS('Doc''s Pagos | Rodopar 108'!$J:$J,'Doc''s Pagos | Rodopar 108'!$A:$A,$B77&amp;$E77&amp;$F77&amp;$J77,'Doc''s Pagos | Rodopar 108'!$B:$B,Z$1)+SUMIFS('Doc Há Pagar | Rodopar 1015'!$J:$J,'Doc Há Pagar | Rodopar 1015'!$A:$A,$B77&amp;$E77&amp;$F77,'Doc Há Pagar | Rodopar 1015'!$B:$B,Z$1)</f>
        <v>0</v>
      </c>
      <c r="AA77" s="20">
        <f>SUMIFS('Doc''s Pagos | Rodopar 108'!$J:$J,'Doc''s Pagos | Rodopar 108'!$A:$A,$B77&amp;$E77&amp;$F77&amp;$J77,'Doc''s Pagos | Rodopar 108'!$B:$B,AA$1)+SUMIFS('Doc Há Pagar | Rodopar 1015'!$J:$J,'Doc Há Pagar | Rodopar 1015'!$A:$A,$B77&amp;$E77&amp;$F77,'Doc Há Pagar | Rodopar 1015'!$B:$B,AA$1)</f>
        <v>0</v>
      </c>
      <c r="AB77" s="20">
        <f>SUMIFS('Doc''s Pagos | Rodopar 108'!$J:$J,'Doc''s Pagos | Rodopar 108'!$A:$A,$B77&amp;$E77&amp;$F77&amp;$J77,'Doc''s Pagos | Rodopar 108'!$B:$B,AB$1)+SUMIFS('Doc Há Pagar | Rodopar 1015'!$J:$J,'Doc Há Pagar | Rodopar 1015'!$A:$A,$B77&amp;$E77&amp;$F77,'Doc Há Pagar | Rodopar 1015'!$B:$B,AB$1)</f>
        <v>0</v>
      </c>
      <c r="AC77" s="20">
        <f>SUMIFS('Doc''s Pagos | Rodopar 108'!$J:$J,'Doc''s Pagos | Rodopar 108'!$A:$A,$B77&amp;$E77&amp;$F77&amp;$J77,'Doc''s Pagos | Rodopar 108'!$B:$B,AC$1)+SUMIFS('Doc Há Pagar | Rodopar 1015'!$J:$J,'Doc Há Pagar | Rodopar 1015'!$A:$A,$B77&amp;$E77&amp;$F77,'Doc Há Pagar | Rodopar 1015'!$B:$B,AC$1)</f>
        <v>0</v>
      </c>
      <c r="AD77" s="20">
        <f>SUMIFS('Doc''s Pagos | Rodopar 108'!$J:$J,'Doc''s Pagos | Rodopar 108'!$A:$A,$B77&amp;$E77&amp;$F77&amp;$J77,'Doc''s Pagos | Rodopar 108'!$B:$B,AD$1)+SUMIFS('Doc Há Pagar | Rodopar 1015'!$J:$J,'Doc Há Pagar | Rodopar 1015'!$A:$A,$B77&amp;$E77&amp;$F77,'Doc Há Pagar | Rodopar 1015'!$B:$B,AD$1)</f>
        <v>0</v>
      </c>
    </row>
    <row r="78" spans="1:30" x14ac:dyDescent="0.25">
      <c r="A78" s="1" t="str">
        <f>VLOOKUP($E78,Fornecedores!$A:$C,3,0)</f>
        <v>Frota</v>
      </c>
      <c r="B78" s="14">
        <v>2707</v>
      </c>
      <c r="C78" s="14" t="str">
        <f>IFERROR(VLOOKUP($E78,Fornecedores!$A:$E,4,0),"")</f>
        <v>Manutenção</v>
      </c>
      <c r="D78" s="14" t="str">
        <f>IFERROR(VLOOKUP($E78,Fornecedores!$A:$E,5,0),"")</f>
        <v>Frota Leve OPE</v>
      </c>
      <c r="E78" s="8" t="s">
        <v>125</v>
      </c>
      <c r="F78" s="14" t="s">
        <v>380</v>
      </c>
      <c r="G78" s="8" t="s">
        <v>467</v>
      </c>
      <c r="H78" s="9">
        <v>87</v>
      </c>
      <c r="I78" s="21">
        <v>386</v>
      </c>
      <c r="J78" s="11">
        <v>46071</v>
      </c>
      <c r="K78" s="11">
        <v>46079</v>
      </c>
      <c r="L78" s="8" t="s">
        <v>282</v>
      </c>
      <c r="M78" s="14" t="s">
        <v>234</v>
      </c>
      <c r="N78" s="16">
        <v>1556</v>
      </c>
      <c r="O78" s="14" t="s">
        <v>241</v>
      </c>
      <c r="P78" s="14"/>
      <c r="Q78" s="20">
        <f t="shared" si="1"/>
        <v>0</v>
      </c>
      <c r="S78" s="20">
        <f>SUMIFS('Doc''s Pagos | Rodopar 108'!$J:$J,'Doc''s Pagos | Rodopar 108'!$A:$A,$B78&amp;$E78&amp;$F78&amp;$J78,'Doc''s Pagos | Rodopar 108'!$B:$B,S$1)+SUMIFS('Doc Há Pagar | Rodopar 1015'!$J:$J,'Doc Há Pagar | Rodopar 1015'!$A:$A,$B78&amp;$E78&amp;$F78,'Doc Há Pagar | Rodopar 1015'!$B:$B,S$1)</f>
        <v>0</v>
      </c>
      <c r="T78" s="20">
        <f>SUMIFS('Doc''s Pagos | Rodopar 108'!$J:$J,'Doc''s Pagos | Rodopar 108'!$A:$A,$B78&amp;$E78&amp;$F78&amp;$J78,'Doc''s Pagos | Rodopar 108'!$B:$B,T$1)+SUMIFS('Doc Há Pagar | Rodopar 1015'!$J:$J,'Doc Há Pagar | Rodopar 1015'!$A:$A,$B78&amp;$E78&amp;$F78,'Doc Há Pagar | Rodopar 1015'!$B:$B,T$1)</f>
        <v>0</v>
      </c>
      <c r="U78" s="20">
        <f>SUMIFS('Doc''s Pagos | Rodopar 108'!$J:$J,'Doc''s Pagos | Rodopar 108'!$A:$A,$B78&amp;$E78&amp;$F78&amp;$J78,'Doc''s Pagos | Rodopar 108'!$B:$B,U$1)+SUMIFS('Doc Há Pagar | Rodopar 1015'!$J:$J,'Doc Há Pagar | Rodopar 1015'!$A:$A,$B78&amp;$E78&amp;$F78,'Doc Há Pagar | Rodopar 1015'!$B:$B,U$1)</f>
        <v>386</v>
      </c>
      <c r="V78" s="20">
        <f>SUMIFS('Doc''s Pagos | Rodopar 108'!$J:$J,'Doc''s Pagos | Rodopar 108'!$A:$A,$B78&amp;$E78&amp;$F78&amp;$J78,'Doc''s Pagos | Rodopar 108'!$B:$B,V$1)+SUMIFS('Doc Há Pagar | Rodopar 1015'!$J:$J,'Doc Há Pagar | Rodopar 1015'!$A:$A,$B78&amp;$E78&amp;$F78,'Doc Há Pagar | Rodopar 1015'!$B:$B,V$1)</f>
        <v>0</v>
      </c>
      <c r="W78" s="20">
        <f>SUMIFS('Doc''s Pagos | Rodopar 108'!$J:$J,'Doc''s Pagos | Rodopar 108'!$A:$A,$B78&amp;$E78&amp;$F78&amp;$J78,'Doc''s Pagos | Rodopar 108'!$B:$B,W$1)+SUMIFS('Doc Há Pagar | Rodopar 1015'!$J:$J,'Doc Há Pagar | Rodopar 1015'!$A:$A,$B78&amp;$E78&amp;$F78,'Doc Há Pagar | Rodopar 1015'!$B:$B,W$1)</f>
        <v>0</v>
      </c>
      <c r="X78" s="20">
        <f>SUMIFS('Doc''s Pagos | Rodopar 108'!$J:$J,'Doc''s Pagos | Rodopar 108'!$A:$A,$B78&amp;$E78&amp;$F78&amp;$J78,'Doc''s Pagos | Rodopar 108'!$B:$B,X$1)+SUMIFS('Doc Há Pagar | Rodopar 1015'!$J:$J,'Doc Há Pagar | Rodopar 1015'!$A:$A,$B78&amp;$E78&amp;$F78,'Doc Há Pagar | Rodopar 1015'!$B:$B,X$1)</f>
        <v>0</v>
      </c>
      <c r="Y78" s="20">
        <f>SUMIFS('Doc''s Pagos | Rodopar 108'!$J:$J,'Doc''s Pagos | Rodopar 108'!$A:$A,$B78&amp;$E78&amp;$F78&amp;$J78,'Doc''s Pagos | Rodopar 108'!$B:$B,Y$1)+SUMIFS('Doc Há Pagar | Rodopar 1015'!$J:$J,'Doc Há Pagar | Rodopar 1015'!$A:$A,$B78&amp;$E78&amp;$F78,'Doc Há Pagar | Rodopar 1015'!$B:$B,Y$1)</f>
        <v>0</v>
      </c>
      <c r="Z78" s="20">
        <f>SUMIFS('Doc''s Pagos | Rodopar 108'!$J:$J,'Doc''s Pagos | Rodopar 108'!$A:$A,$B78&amp;$E78&amp;$F78&amp;$J78,'Doc''s Pagos | Rodopar 108'!$B:$B,Z$1)+SUMIFS('Doc Há Pagar | Rodopar 1015'!$J:$J,'Doc Há Pagar | Rodopar 1015'!$A:$A,$B78&amp;$E78&amp;$F78,'Doc Há Pagar | Rodopar 1015'!$B:$B,Z$1)</f>
        <v>0</v>
      </c>
      <c r="AA78" s="20">
        <f>SUMIFS('Doc''s Pagos | Rodopar 108'!$J:$J,'Doc''s Pagos | Rodopar 108'!$A:$A,$B78&amp;$E78&amp;$F78&amp;$J78,'Doc''s Pagos | Rodopar 108'!$B:$B,AA$1)+SUMIFS('Doc Há Pagar | Rodopar 1015'!$J:$J,'Doc Há Pagar | Rodopar 1015'!$A:$A,$B78&amp;$E78&amp;$F78,'Doc Há Pagar | Rodopar 1015'!$B:$B,AA$1)</f>
        <v>0</v>
      </c>
      <c r="AB78" s="20">
        <f>SUMIFS('Doc''s Pagos | Rodopar 108'!$J:$J,'Doc''s Pagos | Rodopar 108'!$A:$A,$B78&amp;$E78&amp;$F78&amp;$J78,'Doc''s Pagos | Rodopar 108'!$B:$B,AB$1)+SUMIFS('Doc Há Pagar | Rodopar 1015'!$J:$J,'Doc Há Pagar | Rodopar 1015'!$A:$A,$B78&amp;$E78&amp;$F78,'Doc Há Pagar | Rodopar 1015'!$B:$B,AB$1)</f>
        <v>0</v>
      </c>
      <c r="AC78" s="20">
        <f>SUMIFS('Doc''s Pagos | Rodopar 108'!$J:$J,'Doc''s Pagos | Rodopar 108'!$A:$A,$B78&amp;$E78&amp;$F78&amp;$J78,'Doc''s Pagos | Rodopar 108'!$B:$B,AC$1)+SUMIFS('Doc Há Pagar | Rodopar 1015'!$J:$J,'Doc Há Pagar | Rodopar 1015'!$A:$A,$B78&amp;$E78&amp;$F78,'Doc Há Pagar | Rodopar 1015'!$B:$B,AC$1)</f>
        <v>0</v>
      </c>
      <c r="AD78" s="20">
        <f>SUMIFS('Doc''s Pagos | Rodopar 108'!$J:$J,'Doc''s Pagos | Rodopar 108'!$A:$A,$B78&amp;$E78&amp;$F78&amp;$J78,'Doc''s Pagos | Rodopar 108'!$B:$B,AD$1)+SUMIFS('Doc Há Pagar | Rodopar 1015'!$J:$J,'Doc Há Pagar | Rodopar 1015'!$A:$A,$B78&amp;$E78&amp;$F78,'Doc Há Pagar | Rodopar 1015'!$B:$B,AD$1)</f>
        <v>0</v>
      </c>
    </row>
    <row r="79" spans="1:30" x14ac:dyDescent="0.25">
      <c r="A79" s="1" t="str">
        <f>VLOOKUP($E79,Fornecedores!$A:$C,3,0)</f>
        <v>Frota</v>
      </c>
      <c r="B79" s="14">
        <v>2708</v>
      </c>
      <c r="C79" s="14" t="str">
        <f>IFERROR(VLOOKUP($E79,Fornecedores!$A:$E,4,0),"")</f>
        <v>Manutenção</v>
      </c>
      <c r="D79" s="14" t="str">
        <f>IFERROR(VLOOKUP($E79,Fornecedores!$A:$E,5,0),"")</f>
        <v>Frota Leve OPE</v>
      </c>
      <c r="E79" s="8" t="s">
        <v>125</v>
      </c>
      <c r="F79" s="14" t="s">
        <v>380</v>
      </c>
      <c r="G79" s="8" t="s">
        <v>467</v>
      </c>
      <c r="H79" s="9">
        <v>87</v>
      </c>
      <c r="I79" s="21">
        <v>386</v>
      </c>
      <c r="J79" s="11">
        <v>46071</v>
      </c>
      <c r="K79" s="11">
        <v>46079</v>
      </c>
      <c r="L79" s="8" t="s">
        <v>282</v>
      </c>
      <c r="M79" s="14" t="s">
        <v>234</v>
      </c>
      <c r="N79" s="16">
        <v>1556</v>
      </c>
      <c r="O79" s="14" t="s">
        <v>241</v>
      </c>
      <c r="P79" s="14"/>
      <c r="Q79" s="20">
        <f t="shared" si="1"/>
        <v>0</v>
      </c>
      <c r="S79" s="20">
        <f>SUMIFS('Doc''s Pagos | Rodopar 108'!$J:$J,'Doc''s Pagos | Rodopar 108'!$A:$A,$B79&amp;$E79&amp;$F79&amp;$J79,'Doc''s Pagos | Rodopar 108'!$B:$B,S$1)+SUMIFS('Doc Há Pagar | Rodopar 1015'!$J:$J,'Doc Há Pagar | Rodopar 1015'!$A:$A,$B79&amp;$E79&amp;$F79,'Doc Há Pagar | Rodopar 1015'!$B:$B,S$1)</f>
        <v>0</v>
      </c>
      <c r="T79" s="20">
        <f>SUMIFS('Doc''s Pagos | Rodopar 108'!$J:$J,'Doc''s Pagos | Rodopar 108'!$A:$A,$B79&amp;$E79&amp;$F79&amp;$J79,'Doc''s Pagos | Rodopar 108'!$B:$B,T$1)+SUMIFS('Doc Há Pagar | Rodopar 1015'!$J:$J,'Doc Há Pagar | Rodopar 1015'!$A:$A,$B79&amp;$E79&amp;$F79,'Doc Há Pagar | Rodopar 1015'!$B:$B,T$1)</f>
        <v>0</v>
      </c>
      <c r="U79" s="20">
        <f>SUMIFS('Doc''s Pagos | Rodopar 108'!$J:$J,'Doc''s Pagos | Rodopar 108'!$A:$A,$B79&amp;$E79&amp;$F79&amp;$J79,'Doc''s Pagos | Rodopar 108'!$B:$B,U$1)+SUMIFS('Doc Há Pagar | Rodopar 1015'!$J:$J,'Doc Há Pagar | Rodopar 1015'!$A:$A,$B79&amp;$E79&amp;$F79,'Doc Há Pagar | Rodopar 1015'!$B:$B,U$1)</f>
        <v>386</v>
      </c>
      <c r="V79" s="20">
        <f>SUMIFS('Doc''s Pagos | Rodopar 108'!$J:$J,'Doc''s Pagos | Rodopar 108'!$A:$A,$B79&amp;$E79&amp;$F79&amp;$J79,'Doc''s Pagos | Rodopar 108'!$B:$B,V$1)+SUMIFS('Doc Há Pagar | Rodopar 1015'!$J:$J,'Doc Há Pagar | Rodopar 1015'!$A:$A,$B79&amp;$E79&amp;$F79,'Doc Há Pagar | Rodopar 1015'!$B:$B,V$1)</f>
        <v>0</v>
      </c>
      <c r="W79" s="20">
        <f>SUMIFS('Doc''s Pagos | Rodopar 108'!$J:$J,'Doc''s Pagos | Rodopar 108'!$A:$A,$B79&amp;$E79&amp;$F79&amp;$J79,'Doc''s Pagos | Rodopar 108'!$B:$B,W$1)+SUMIFS('Doc Há Pagar | Rodopar 1015'!$J:$J,'Doc Há Pagar | Rodopar 1015'!$A:$A,$B79&amp;$E79&amp;$F79,'Doc Há Pagar | Rodopar 1015'!$B:$B,W$1)</f>
        <v>0</v>
      </c>
      <c r="X79" s="20">
        <f>SUMIFS('Doc''s Pagos | Rodopar 108'!$J:$J,'Doc''s Pagos | Rodopar 108'!$A:$A,$B79&amp;$E79&amp;$F79&amp;$J79,'Doc''s Pagos | Rodopar 108'!$B:$B,X$1)+SUMIFS('Doc Há Pagar | Rodopar 1015'!$J:$J,'Doc Há Pagar | Rodopar 1015'!$A:$A,$B79&amp;$E79&amp;$F79,'Doc Há Pagar | Rodopar 1015'!$B:$B,X$1)</f>
        <v>0</v>
      </c>
      <c r="Y79" s="20">
        <f>SUMIFS('Doc''s Pagos | Rodopar 108'!$J:$J,'Doc''s Pagos | Rodopar 108'!$A:$A,$B79&amp;$E79&amp;$F79&amp;$J79,'Doc''s Pagos | Rodopar 108'!$B:$B,Y$1)+SUMIFS('Doc Há Pagar | Rodopar 1015'!$J:$J,'Doc Há Pagar | Rodopar 1015'!$A:$A,$B79&amp;$E79&amp;$F79,'Doc Há Pagar | Rodopar 1015'!$B:$B,Y$1)</f>
        <v>0</v>
      </c>
      <c r="Z79" s="20">
        <f>SUMIFS('Doc''s Pagos | Rodopar 108'!$J:$J,'Doc''s Pagos | Rodopar 108'!$A:$A,$B79&amp;$E79&amp;$F79&amp;$J79,'Doc''s Pagos | Rodopar 108'!$B:$B,Z$1)+SUMIFS('Doc Há Pagar | Rodopar 1015'!$J:$J,'Doc Há Pagar | Rodopar 1015'!$A:$A,$B79&amp;$E79&amp;$F79,'Doc Há Pagar | Rodopar 1015'!$B:$B,Z$1)</f>
        <v>0</v>
      </c>
      <c r="AA79" s="20">
        <f>SUMIFS('Doc''s Pagos | Rodopar 108'!$J:$J,'Doc''s Pagos | Rodopar 108'!$A:$A,$B79&amp;$E79&amp;$F79&amp;$J79,'Doc''s Pagos | Rodopar 108'!$B:$B,AA$1)+SUMIFS('Doc Há Pagar | Rodopar 1015'!$J:$J,'Doc Há Pagar | Rodopar 1015'!$A:$A,$B79&amp;$E79&amp;$F79,'Doc Há Pagar | Rodopar 1015'!$B:$B,AA$1)</f>
        <v>0</v>
      </c>
      <c r="AB79" s="20">
        <f>SUMIFS('Doc''s Pagos | Rodopar 108'!$J:$J,'Doc''s Pagos | Rodopar 108'!$A:$A,$B79&amp;$E79&amp;$F79&amp;$J79,'Doc''s Pagos | Rodopar 108'!$B:$B,AB$1)+SUMIFS('Doc Há Pagar | Rodopar 1015'!$J:$J,'Doc Há Pagar | Rodopar 1015'!$A:$A,$B79&amp;$E79&amp;$F79,'Doc Há Pagar | Rodopar 1015'!$B:$B,AB$1)</f>
        <v>0</v>
      </c>
      <c r="AC79" s="20">
        <f>SUMIFS('Doc''s Pagos | Rodopar 108'!$J:$J,'Doc''s Pagos | Rodopar 108'!$A:$A,$B79&amp;$E79&amp;$F79&amp;$J79,'Doc''s Pagos | Rodopar 108'!$B:$B,AC$1)+SUMIFS('Doc Há Pagar | Rodopar 1015'!$J:$J,'Doc Há Pagar | Rodopar 1015'!$A:$A,$B79&amp;$E79&amp;$F79,'Doc Há Pagar | Rodopar 1015'!$B:$B,AC$1)</f>
        <v>0</v>
      </c>
      <c r="AD79" s="20">
        <f>SUMIFS('Doc''s Pagos | Rodopar 108'!$J:$J,'Doc''s Pagos | Rodopar 108'!$A:$A,$B79&amp;$E79&amp;$F79&amp;$J79,'Doc''s Pagos | Rodopar 108'!$B:$B,AD$1)+SUMIFS('Doc Há Pagar | Rodopar 1015'!$J:$J,'Doc Há Pagar | Rodopar 1015'!$A:$A,$B79&amp;$E79&amp;$F79,'Doc Há Pagar | Rodopar 1015'!$B:$B,AD$1)</f>
        <v>0</v>
      </c>
    </row>
    <row r="80" spans="1:30" x14ac:dyDescent="0.25">
      <c r="A80" s="1" t="str">
        <f>VLOOKUP($E80,Fornecedores!$A:$C,3,0)</f>
        <v>Frota</v>
      </c>
      <c r="B80" s="14">
        <v>16</v>
      </c>
      <c r="C80" s="14" t="str">
        <f>IFERROR(VLOOKUP($E80,Fornecedores!$A:$E,4,0),"")</f>
        <v>Manutenção</v>
      </c>
      <c r="D80" s="14" t="str">
        <f>IFERROR(VLOOKUP($E80,Fornecedores!$A:$E,5,0),"")</f>
        <v>Frota Leve OPE</v>
      </c>
      <c r="E80" s="8" t="s">
        <v>125</v>
      </c>
      <c r="F80" s="14" t="s">
        <v>665</v>
      </c>
      <c r="G80" s="8" t="s">
        <v>467</v>
      </c>
      <c r="H80" s="9">
        <v>87</v>
      </c>
      <c r="I80" s="21">
        <v>280</v>
      </c>
      <c r="J80" s="11">
        <v>46071</v>
      </c>
      <c r="K80" s="11">
        <v>46079</v>
      </c>
      <c r="L80" s="8" t="s">
        <v>282</v>
      </c>
      <c r="M80" s="14" t="s">
        <v>234</v>
      </c>
      <c r="N80" s="16">
        <v>1556</v>
      </c>
      <c r="O80" s="14" t="s">
        <v>241</v>
      </c>
      <c r="P80" s="14"/>
      <c r="Q80" s="20">
        <f t="shared" si="1"/>
        <v>0</v>
      </c>
      <c r="S80" s="20">
        <f>SUMIFS('Doc''s Pagos | Rodopar 108'!$J:$J,'Doc''s Pagos | Rodopar 108'!$A:$A,$B80&amp;$E80&amp;$F80&amp;$J80,'Doc''s Pagos | Rodopar 108'!$B:$B,S$1)+SUMIFS('Doc Há Pagar | Rodopar 1015'!$J:$J,'Doc Há Pagar | Rodopar 1015'!$A:$A,$B80&amp;$E80&amp;$F80,'Doc Há Pagar | Rodopar 1015'!$B:$B,S$1)</f>
        <v>0</v>
      </c>
      <c r="T80" s="20">
        <f>SUMIFS('Doc''s Pagos | Rodopar 108'!$J:$J,'Doc''s Pagos | Rodopar 108'!$A:$A,$B80&amp;$E80&amp;$F80&amp;$J80,'Doc''s Pagos | Rodopar 108'!$B:$B,T$1)+SUMIFS('Doc Há Pagar | Rodopar 1015'!$J:$J,'Doc Há Pagar | Rodopar 1015'!$A:$A,$B80&amp;$E80&amp;$F80,'Doc Há Pagar | Rodopar 1015'!$B:$B,T$1)</f>
        <v>0</v>
      </c>
      <c r="U80" s="20">
        <f>SUMIFS('Doc''s Pagos | Rodopar 108'!$J:$J,'Doc''s Pagos | Rodopar 108'!$A:$A,$B80&amp;$E80&amp;$F80&amp;$J80,'Doc''s Pagos | Rodopar 108'!$B:$B,U$1)+SUMIFS('Doc Há Pagar | Rodopar 1015'!$J:$J,'Doc Há Pagar | Rodopar 1015'!$A:$A,$B80&amp;$E80&amp;$F80,'Doc Há Pagar | Rodopar 1015'!$B:$B,U$1)</f>
        <v>280</v>
      </c>
      <c r="V80" s="20">
        <f>SUMIFS('Doc''s Pagos | Rodopar 108'!$J:$J,'Doc''s Pagos | Rodopar 108'!$A:$A,$B80&amp;$E80&amp;$F80&amp;$J80,'Doc''s Pagos | Rodopar 108'!$B:$B,V$1)+SUMIFS('Doc Há Pagar | Rodopar 1015'!$J:$J,'Doc Há Pagar | Rodopar 1015'!$A:$A,$B80&amp;$E80&amp;$F80,'Doc Há Pagar | Rodopar 1015'!$B:$B,V$1)</f>
        <v>0</v>
      </c>
      <c r="W80" s="20">
        <f>SUMIFS('Doc''s Pagos | Rodopar 108'!$J:$J,'Doc''s Pagos | Rodopar 108'!$A:$A,$B80&amp;$E80&amp;$F80&amp;$J80,'Doc''s Pagos | Rodopar 108'!$B:$B,W$1)+SUMIFS('Doc Há Pagar | Rodopar 1015'!$J:$J,'Doc Há Pagar | Rodopar 1015'!$A:$A,$B80&amp;$E80&amp;$F80,'Doc Há Pagar | Rodopar 1015'!$B:$B,W$1)</f>
        <v>0</v>
      </c>
      <c r="X80" s="20">
        <f>SUMIFS('Doc''s Pagos | Rodopar 108'!$J:$J,'Doc''s Pagos | Rodopar 108'!$A:$A,$B80&amp;$E80&amp;$F80&amp;$J80,'Doc''s Pagos | Rodopar 108'!$B:$B,X$1)+SUMIFS('Doc Há Pagar | Rodopar 1015'!$J:$J,'Doc Há Pagar | Rodopar 1015'!$A:$A,$B80&amp;$E80&amp;$F80,'Doc Há Pagar | Rodopar 1015'!$B:$B,X$1)</f>
        <v>0</v>
      </c>
      <c r="Y80" s="20">
        <f>SUMIFS('Doc''s Pagos | Rodopar 108'!$J:$J,'Doc''s Pagos | Rodopar 108'!$A:$A,$B80&amp;$E80&amp;$F80&amp;$J80,'Doc''s Pagos | Rodopar 108'!$B:$B,Y$1)+SUMIFS('Doc Há Pagar | Rodopar 1015'!$J:$J,'Doc Há Pagar | Rodopar 1015'!$A:$A,$B80&amp;$E80&amp;$F80,'Doc Há Pagar | Rodopar 1015'!$B:$B,Y$1)</f>
        <v>0</v>
      </c>
      <c r="Z80" s="20">
        <f>SUMIFS('Doc''s Pagos | Rodopar 108'!$J:$J,'Doc''s Pagos | Rodopar 108'!$A:$A,$B80&amp;$E80&amp;$F80&amp;$J80,'Doc''s Pagos | Rodopar 108'!$B:$B,Z$1)+SUMIFS('Doc Há Pagar | Rodopar 1015'!$J:$J,'Doc Há Pagar | Rodopar 1015'!$A:$A,$B80&amp;$E80&amp;$F80,'Doc Há Pagar | Rodopar 1015'!$B:$B,Z$1)</f>
        <v>0</v>
      </c>
      <c r="AA80" s="20">
        <f>SUMIFS('Doc''s Pagos | Rodopar 108'!$J:$J,'Doc''s Pagos | Rodopar 108'!$A:$A,$B80&amp;$E80&amp;$F80&amp;$J80,'Doc''s Pagos | Rodopar 108'!$B:$B,AA$1)+SUMIFS('Doc Há Pagar | Rodopar 1015'!$J:$J,'Doc Há Pagar | Rodopar 1015'!$A:$A,$B80&amp;$E80&amp;$F80,'Doc Há Pagar | Rodopar 1015'!$B:$B,AA$1)</f>
        <v>0</v>
      </c>
      <c r="AB80" s="20">
        <f>SUMIFS('Doc''s Pagos | Rodopar 108'!$J:$J,'Doc''s Pagos | Rodopar 108'!$A:$A,$B80&amp;$E80&amp;$F80&amp;$J80,'Doc''s Pagos | Rodopar 108'!$B:$B,AB$1)+SUMIFS('Doc Há Pagar | Rodopar 1015'!$J:$J,'Doc Há Pagar | Rodopar 1015'!$A:$A,$B80&amp;$E80&amp;$F80,'Doc Há Pagar | Rodopar 1015'!$B:$B,AB$1)</f>
        <v>0</v>
      </c>
      <c r="AC80" s="20">
        <f>SUMIFS('Doc''s Pagos | Rodopar 108'!$J:$J,'Doc''s Pagos | Rodopar 108'!$A:$A,$B80&amp;$E80&amp;$F80&amp;$J80,'Doc''s Pagos | Rodopar 108'!$B:$B,AC$1)+SUMIFS('Doc Há Pagar | Rodopar 1015'!$J:$J,'Doc Há Pagar | Rodopar 1015'!$A:$A,$B80&amp;$E80&amp;$F80,'Doc Há Pagar | Rodopar 1015'!$B:$B,AC$1)</f>
        <v>0</v>
      </c>
      <c r="AD80" s="20">
        <f>SUMIFS('Doc''s Pagos | Rodopar 108'!$J:$J,'Doc''s Pagos | Rodopar 108'!$A:$A,$B80&amp;$E80&amp;$F80&amp;$J80,'Doc''s Pagos | Rodopar 108'!$B:$B,AD$1)+SUMIFS('Doc Há Pagar | Rodopar 1015'!$J:$J,'Doc Há Pagar | Rodopar 1015'!$A:$A,$B80&amp;$E80&amp;$F80,'Doc Há Pagar | Rodopar 1015'!$B:$B,AD$1)</f>
        <v>0</v>
      </c>
    </row>
    <row r="81" spans="1:30" x14ac:dyDescent="0.25">
      <c r="A81" s="1" t="str">
        <f>VLOOKUP($E81,Fornecedores!$A:$C,3,0)</f>
        <v>Frota</v>
      </c>
      <c r="B81" s="14">
        <v>403</v>
      </c>
      <c r="C81" s="14" t="str">
        <f>IFERROR(VLOOKUP($E81,Fornecedores!$A:$E,4,0),"")</f>
        <v>Manutenção</v>
      </c>
      <c r="D81" s="14" t="str">
        <f>IFERROR(VLOOKUP($E81,Fornecedores!$A:$E,5,0),"")</f>
        <v>Vans</v>
      </c>
      <c r="E81" s="8" t="s">
        <v>876</v>
      </c>
      <c r="F81" s="14" t="s">
        <v>665</v>
      </c>
      <c r="G81" s="8" t="s">
        <v>877</v>
      </c>
      <c r="H81" s="9">
        <v>87</v>
      </c>
      <c r="I81" s="21">
        <v>924</v>
      </c>
      <c r="J81" s="11">
        <v>46076</v>
      </c>
      <c r="K81" s="11">
        <v>46076</v>
      </c>
      <c r="L81" s="8" t="s">
        <v>501</v>
      </c>
      <c r="M81" s="14" t="s">
        <v>234</v>
      </c>
      <c r="N81" s="16">
        <v>1556</v>
      </c>
      <c r="O81" s="14" t="s">
        <v>241</v>
      </c>
      <c r="P81" s="14"/>
      <c r="Q81" s="20">
        <f t="shared" si="1"/>
        <v>0</v>
      </c>
      <c r="S81" s="20">
        <f>SUMIFS('Doc''s Pagos | Rodopar 108'!$J:$J,'Doc''s Pagos | Rodopar 108'!$A:$A,$B81&amp;$E81&amp;$F81&amp;$J81,'Doc''s Pagos | Rodopar 108'!$B:$B,S$1)+SUMIFS('Doc Há Pagar | Rodopar 1015'!$J:$J,'Doc Há Pagar | Rodopar 1015'!$A:$A,$B81&amp;$E81&amp;$F81,'Doc Há Pagar | Rodopar 1015'!$B:$B,S$1)</f>
        <v>0</v>
      </c>
      <c r="T81" s="20">
        <f>SUMIFS('Doc''s Pagos | Rodopar 108'!$J:$J,'Doc''s Pagos | Rodopar 108'!$A:$A,$B81&amp;$E81&amp;$F81&amp;$J81,'Doc''s Pagos | Rodopar 108'!$B:$B,T$1)+SUMIFS('Doc Há Pagar | Rodopar 1015'!$J:$J,'Doc Há Pagar | Rodopar 1015'!$A:$A,$B81&amp;$E81&amp;$F81,'Doc Há Pagar | Rodopar 1015'!$B:$B,T$1)</f>
        <v>924</v>
      </c>
      <c r="U81" s="20">
        <f>SUMIFS('Doc''s Pagos | Rodopar 108'!$J:$J,'Doc''s Pagos | Rodopar 108'!$A:$A,$B81&amp;$E81&amp;$F81&amp;$J81,'Doc''s Pagos | Rodopar 108'!$B:$B,U$1)+SUMIFS('Doc Há Pagar | Rodopar 1015'!$J:$J,'Doc Há Pagar | Rodopar 1015'!$A:$A,$B81&amp;$E81&amp;$F81,'Doc Há Pagar | Rodopar 1015'!$B:$B,U$1)</f>
        <v>0</v>
      </c>
      <c r="V81" s="20">
        <f>SUMIFS('Doc''s Pagos | Rodopar 108'!$J:$J,'Doc''s Pagos | Rodopar 108'!$A:$A,$B81&amp;$E81&amp;$F81&amp;$J81,'Doc''s Pagos | Rodopar 108'!$B:$B,V$1)+SUMIFS('Doc Há Pagar | Rodopar 1015'!$J:$J,'Doc Há Pagar | Rodopar 1015'!$A:$A,$B81&amp;$E81&amp;$F81,'Doc Há Pagar | Rodopar 1015'!$B:$B,V$1)</f>
        <v>0</v>
      </c>
      <c r="W81" s="20">
        <f>SUMIFS('Doc''s Pagos | Rodopar 108'!$J:$J,'Doc''s Pagos | Rodopar 108'!$A:$A,$B81&amp;$E81&amp;$F81&amp;$J81,'Doc''s Pagos | Rodopar 108'!$B:$B,W$1)+SUMIFS('Doc Há Pagar | Rodopar 1015'!$J:$J,'Doc Há Pagar | Rodopar 1015'!$A:$A,$B81&amp;$E81&amp;$F81,'Doc Há Pagar | Rodopar 1015'!$B:$B,W$1)</f>
        <v>0</v>
      </c>
      <c r="X81" s="20">
        <f>SUMIFS('Doc''s Pagos | Rodopar 108'!$J:$J,'Doc''s Pagos | Rodopar 108'!$A:$A,$B81&amp;$E81&amp;$F81&amp;$J81,'Doc''s Pagos | Rodopar 108'!$B:$B,X$1)+SUMIFS('Doc Há Pagar | Rodopar 1015'!$J:$J,'Doc Há Pagar | Rodopar 1015'!$A:$A,$B81&amp;$E81&amp;$F81,'Doc Há Pagar | Rodopar 1015'!$B:$B,X$1)</f>
        <v>0</v>
      </c>
      <c r="Y81" s="20">
        <f>SUMIFS('Doc''s Pagos | Rodopar 108'!$J:$J,'Doc''s Pagos | Rodopar 108'!$A:$A,$B81&amp;$E81&amp;$F81&amp;$J81,'Doc''s Pagos | Rodopar 108'!$B:$B,Y$1)+SUMIFS('Doc Há Pagar | Rodopar 1015'!$J:$J,'Doc Há Pagar | Rodopar 1015'!$A:$A,$B81&amp;$E81&amp;$F81,'Doc Há Pagar | Rodopar 1015'!$B:$B,Y$1)</f>
        <v>0</v>
      </c>
      <c r="Z81" s="20">
        <f>SUMIFS('Doc''s Pagos | Rodopar 108'!$J:$J,'Doc''s Pagos | Rodopar 108'!$A:$A,$B81&amp;$E81&amp;$F81&amp;$J81,'Doc''s Pagos | Rodopar 108'!$B:$B,Z$1)+SUMIFS('Doc Há Pagar | Rodopar 1015'!$J:$J,'Doc Há Pagar | Rodopar 1015'!$A:$A,$B81&amp;$E81&amp;$F81,'Doc Há Pagar | Rodopar 1015'!$B:$B,Z$1)</f>
        <v>0</v>
      </c>
      <c r="AA81" s="20">
        <f>SUMIFS('Doc''s Pagos | Rodopar 108'!$J:$J,'Doc''s Pagos | Rodopar 108'!$A:$A,$B81&amp;$E81&amp;$F81&amp;$J81,'Doc''s Pagos | Rodopar 108'!$B:$B,AA$1)+SUMIFS('Doc Há Pagar | Rodopar 1015'!$J:$J,'Doc Há Pagar | Rodopar 1015'!$A:$A,$B81&amp;$E81&amp;$F81,'Doc Há Pagar | Rodopar 1015'!$B:$B,AA$1)</f>
        <v>0</v>
      </c>
      <c r="AB81" s="20">
        <f>SUMIFS('Doc''s Pagos | Rodopar 108'!$J:$J,'Doc''s Pagos | Rodopar 108'!$A:$A,$B81&amp;$E81&amp;$F81&amp;$J81,'Doc''s Pagos | Rodopar 108'!$B:$B,AB$1)+SUMIFS('Doc Há Pagar | Rodopar 1015'!$J:$J,'Doc Há Pagar | Rodopar 1015'!$A:$A,$B81&amp;$E81&amp;$F81,'Doc Há Pagar | Rodopar 1015'!$B:$B,AB$1)</f>
        <v>0</v>
      </c>
      <c r="AC81" s="20">
        <f>SUMIFS('Doc''s Pagos | Rodopar 108'!$J:$J,'Doc''s Pagos | Rodopar 108'!$A:$A,$B81&amp;$E81&amp;$F81&amp;$J81,'Doc''s Pagos | Rodopar 108'!$B:$B,AC$1)+SUMIFS('Doc Há Pagar | Rodopar 1015'!$J:$J,'Doc Há Pagar | Rodopar 1015'!$A:$A,$B81&amp;$E81&amp;$F81,'Doc Há Pagar | Rodopar 1015'!$B:$B,AC$1)</f>
        <v>0</v>
      </c>
      <c r="AD81" s="20">
        <f>SUMIFS('Doc''s Pagos | Rodopar 108'!$J:$J,'Doc''s Pagos | Rodopar 108'!$A:$A,$B81&amp;$E81&amp;$F81&amp;$J81,'Doc''s Pagos | Rodopar 108'!$B:$B,AD$1)+SUMIFS('Doc Há Pagar | Rodopar 1015'!$J:$J,'Doc Há Pagar | Rodopar 1015'!$A:$A,$B81&amp;$E81&amp;$F81,'Doc Há Pagar | Rodopar 1015'!$B:$B,AD$1)</f>
        <v>0</v>
      </c>
    </row>
    <row r="82" spans="1:30" x14ac:dyDescent="0.25">
      <c r="A82" s="1" t="str">
        <f>VLOOKUP($E82,Fornecedores!$A:$C,3,0)</f>
        <v>Frota</v>
      </c>
      <c r="B82" s="14">
        <v>120</v>
      </c>
      <c r="C82" s="14" t="str">
        <f>IFERROR(VLOOKUP($E82,Fornecedores!$A:$E,4,0),"")</f>
        <v>Documentação</v>
      </c>
      <c r="D82" s="14" t="str">
        <f>IFERROR(VLOOKUP($E82,Fornecedores!$A:$E,5,0),"")</f>
        <v>Vistoria Inmetro</v>
      </c>
      <c r="E82" s="8" t="s">
        <v>42</v>
      </c>
      <c r="F82" s="14" t="s">
        <v>665</v>
      </c>
      <c r="G82" s="8" t="s">
        <v>691</v>
      </c>
      <c r="H82" s="9">
        <v>87</v>
      </c>
      <c r="I82" s="21">
        <v>4480</v>
      </c>
      <c r="J82" s="11">
        <v>46078</v>
      </c>
      <c r="K82" s="11">
        <v>46079</v>
      </c>
      <c r="L82" s="8" t="s">
        <v>233</v>
      </c>
      <c r="M82" s="14" t="s">
        <v>234</v>
      </c>
      <c r="N82" s="16">
        <v>1556</v>
      </c>
      <c r="O82" s="14" t="s">
        <v>241</v>
      </c>
      <c r="P82" s="14"/>
      <c r="Q82" s="20">
        <f t="shared" si="1"/>
        <v>0</v>
      </c>
      <c r="S82" s="20">
        <f>SUMIFS('Doc''s Pagos | Rodopar 108'!$J:$J,'Doc''s Pagos | Rodopar 108'!$A:$A,$B82&amp;$E82&amp;$F82&amp;$J82,'Doc''s Pagos | Rodopar 108'!$B:$B,S$1)+SUMIFS('Doc Há Pagar | Rodopar 1015'!$J:$J,'Doc Há Pagar | Rodopar 1015'!$A:$A,$B82&amp;$E82&amp;$F82,'Doc Há Pagar | Rodopar 1015'!$B:$B,S$1)</f>
        <v>0</v>
      </c>
      <c r="T82" s="20">
        <f>SUMIFS('Doc''s Pagos | Rodopar 108'!$J:$J,'Doc''s Pagos | Rodopar 108'!$A:$A,$B82&amp;$E82&amp;$F82&amp;$J82,'Doc''s Pagos | Rodopar 108'!$B:$B,T$1)+SUMIFS('Doc Há Pagar | Rodopar 1015'!$J:$J,'Doc Há Pagar | Rodopar 1015'!$A:$A,$B82&amp;$E82&amp;$F82,'Doc Há Pagar | Rodopar 1015'!$B:$B,T$1)</f>
        <v>4480</v>
      </c>
      <c r="U82" s="20">
        <f>SUMIFS('Doc''s Pagos | Rodopar 108'!$J:$J,'Doc''s Pagos | Rodopar 108'!$A:$A,$B82&amp;$E82&amp;$F82&amp;$J82,'Doc''s Pagos | Rodopar 108'!$B:$B,U$1)+SUMIFS('Doc Há Pagar | Rodopar 1015'!$J:$J,'Doc Há Pagar | Rodopar 1015'!$A:$A,$B82&amp;$E82&amp;$F82,'Doc Há Pagar | Rodopar 1015'!$B:$B,U$1)</f>
        <v>0</v>
      </c>
      <c r="V82" s="20">
        <f>SUMIFS('Doc''s Pagos | Rodopar 108'!$J:$J,'Doc''s Pagos | Rodopar 108'!$A:$A,$B82&amp;$E82&amp;$F82&amp;$J82,'Doc''s Pagos | Rodopar 108'!$B:$B,V$1)+SUMIFS('Doc Há Pagar | Rodopar 1015'!$J:$J,'Doc Há Pagar | Rodopar 1015'!$A:$A,$B82&amp;$E82&amp;$F82,'Doc Há Pagar | Rodopar 1015'!$B:$B,V$1)</f>
        <v>0</v>
      </c>
      <c r="W82" s="20">
        <f>SUMIFS('Doc''s Pagos | Rodopar 108'!$J:$J,'Doc''s Pagos | Rodopar 108'!$A:$A,$B82&amp;$E82&amp;$F82&amp;$J82,'Doc''s Pagos | Rodopar 108'!$B:$B,W$1)+SUMIFS('Doc Há Pagar | Rodopar 1015'!$J:$J,'Doc Há Pagar | Rodopar 1015'!$A:$A,$B82&amp;$E82&amp;$F82,'Doc Há Pagar | Rodopar 1015'!$B:$B,W$1)</f>
        <v>0</v>
      </c>
      <c r="X82" s="20">
        <f>SUMIFS('Doc''s Pagos | Rodopar 108'!$J:$J,'Doc''s Pagos | Rodopar 108'!$A:$A,$B82&amp;$E82&amp;$F82&amp;$J82,'Doc''s Pagos | Rodopar 108'!$B:$B,X$1)+SUMIFS('Doc Há Pagar | Rodopar 1015'!$J:$J,'Doc Há Pagar | Rodopar 1015'!$A:$A,$B82&amp;$E82&amp;$F82,'Doc Há Pagar | Rodopar 1015'!$B:$B,X$1)</f>
        <v>0</v>
      </c>
      <c r="Y82" s="20">
        <f>SUMIFS('Doc''s Pagos | Rodopar 108'!$J:$J,'Doc''s Pagos | Rodopar 108'!$A:$A,$B82&amp;$E82&amp;$F82&amp;$J82,'Doc''s Pagos | Rodopar 108'!$B:$B,Y$1)+SUMIFS('Doc Há Pagar | Rodopar 1015'!$J:$J,'Doc Há Pagar | Rodopar 1015'!$A:$A,$B82&amp;$E82&amp;$F82,'Doc Há Pagar | Rodopar 1015'!$B:$B,Y$1)</f>
        <v>0</v>
      </c>
      <c r="Z82" s="20">
        <f>SUMIFS('Doc''s Pagos | Rodopar 108'!$J:$J,'Doc''s Pagos | Rodopar 108'!$A:$A,$B82&amp;$E82&amp;$F82&amp;$J82,'Doc''s Pagos | Rodopar 108'!$B:$B,Z$1)+SUMIFS('Doc Há Pagar | Rodopar 1015'!$J:$J,'Doc Há Pagar | Rodopar 1015'!$A:$A,$B82&amp;$E82&amp;$F82,'Doc Há Pagar | Rodopar 1015'!$B:$B,Z$1)</f>
        <v>0</v>
      </c>
      <c r="AA82" s="20">
        <f>SUMIFS('Doc''s Pagos | Rodopar 108'!$J:$J,'Doc''s Pagos | Rodopar 108'!$A:$A,$B82&amp;$E82&amp;$F82&amp;$J82,'Doc''s Pagos | Rodopar 108'!$B:$B,AA$1)+SUMIFS('Doc Há Pagar | Rodopar 1015'!$J:$J,'Doc Há Pagar | Rodopar 1015'!$A:$A,$B82&amp;$E82&amp;$F82,'Doc Há Pagar | Rodopar 1015'!$B:$B,AA$1)</f>
        <v>0</v>
      </c>
      <c r="AB82" s="20">
        <f>SUMIFS('Doc''s Pagos | Rodopar 108'!$J:$J,'Doc''s Pagos | Rodopar 108'!$A:$A,$B82&amp;$E82&amp;$F82&amp;$J82,'Doc''s Pagos | Rodopar 108'!$B:$B,AB$1)+SUMIFS('Doc Há Pagar | Rodopar 1015'!$J:$J,'Doc Há Pagar | Rodopar 1015'!$A:$A,$B82&amp;$E82&amp;$F82,'Doc Há Pagar | Rodopar 1015'!$B:$B,AB$1)</f>
        <v>0</v>
      </c>
      <c r="AC82" s="20">
        <f>SUMIFS('Doc''s Pagos | Rodopar 108'!$J:$J,'Doc''s Pagos | Rodopar 108'!$A:$A,$B82&amp;$E82&amp;$F82&amp;$J82,'Doc''s Pagos | Rodopar 108'!$B:$B,AC$1)+SUMIFS('Doc Há Pagar | Rodopar 1015'!$J:$J,'Doc Há Pagar | Rodopar 1015'!$A:$A,$B82&amp;$E82&amp;$F82,'Doc Há Pagar | Rodopar 1015'!$B:$B,AC$1)</f>
        <v>0</v>
      </c>
      <c r="AD82" s="20">
        <f>SUMIFS('Doc''s Pagos | Rodopar 108'!$J:$J,'Doc''s Pagos | Rodopar 108'!$A:$A,$B82&amp;$E82&amp;$F82&amp;$J82,'Doc''s Pagos | Rodopar 108'!$B:$B,AD$1)+SUMIFS('Doc Há Pagar | Rodopar 1015'!$J:$J,'Doc Há Pagar | Rodopar 1015'!$A:$A,$B82&amp;$E82&amp;$F82,'Doc Há Pagar | Rodopar 1015'!$B:$B,AD$1)</f>
        <v>0</v>
      </c>
    </row>
    <row r="83" spans="1:30" x14ac:dyDescent="0.25">
      <c r="A83" s="1" t="str">
        <f>VLOOKUP($E83,Fornecedores!$A:$C,3,0)</f>
        <v>Frota</v>
      </c>
      <c r="B83" s="14">
        <v>34646</v>
      </c>
      <c r="C83" s="14" t="str">
        <f>IFERROR(VLOOKUP($E83,Fornecedores!$A:$E,4,0),"")</f>
        <v>Manutenção</v>
      </c>
      <c r="D83" s="14" t="str">
        <f>IFERROR(VLOOKUP($E83,Fornecedores!$A:$E,5,0),"")</f>
        <v>Vans</v>
      </c>
      <c r="E83" s="8" t="s">
        <v>133</v>
      </c>
      <c r="F83" s="14" t="s">
        <v>380</v>
      </c>
      <c r="G83" s="8" t="s">
        <v>493</v>
      </c>
      <c r="H83" s="9">
        <v>87</v>
      </c>
      <c r="I83" s="21">
        <v>4190.67</v>
      </c>
      <c r="J83" s="11">
        <v>46079</v>
      </c>
      <c r="K83" s="11">
        <v>46081</v>
      </c>
      <c r="L83" s="8" t="s">
        <v>494</v>
      </c>
      <c r="M83" s="14" t="s">
        <v>234</v>
      </c>
      <c r="N83" s="16">
        <v>1556</v>
      </c>
      <c r="O83" s="14" t="s">
        <v>241</v>
      </c>
      <c r="P83" s="14"/>
      <c r="Q83" s="20">
        <f t="shared" si="1"/>
        <v>0</v>
      </c>
      <c r="S83" s="20">
        <f>SUMIFS('Doc''s Pagos | Rodopar 108'!$J:$J,'Doc''s Pagos | Rodopar 108'!$A:$A,$B83&amp;$E83&amp;$F83&amp;$J83,'Doc''s Pagos | Rodopar 108'!$B:$B,S$1)+SUMIFS('Doc Há Pagar | Rodopar 1015'!$J:$J,'Doc Há Pagar | Rodopar 1015'!$A:$A,$B83&amp;$E83&amp;$F83,'Doc Há Pagar | Rodopar 1015'!$B:$B,S$1)</f>
        <v>0</v>
      </c>
      <c r="T83" s="20">
        <f>SUMIFS('Doc''s Pagos | Rodopar 108'!$J:$J,'Doc''s Pagos | Rodopar 108'!$A:$A,$B83&amp;$E83&amp;$F83&amp;$J83,'Doc''s Pagos | Rodopar 108'!$B:$B,T$1)+SUMIFS('Doc Há Pagar | Rodopar 1015'!$J:$J,'Doc Há Pagar | Rodopar 1015'!$A:$A,$B83&amp;$E83&amp;$F83,'Doc Há Pagar | Rodopar 1015'!$B:$B,T$1)</f>
        <v>0</v>
      </c>
      <c r="U83" s="20">
        <f>SUMIFS('Doc''s Pagos | Rodopar 108'!$J:$J,'Doc''s Pagos | Rodopar 108'!$A:$A,$B83&amp;$E83&amp;$F83&amp;$J83,'Doc''s Pagos | Rodopar 108'!$B:$B,U$1)+SUMIFS('Doc Há Pagar | Rodopar 1015'!$J:$J,'Doc Há Pagar | Rodopar 1015'!$A:$A,$B83&amp;$E83&amp;$F83,'Doc Há Pagar | Rodopar 1015'!$B:$B,U$1)</f>
        <v>4190.67</v>
      </c>
      <c r="V83" s="20">
        <f>SUMIFS('Doc''s Pagos | Rodopar 108'!$J:$J,'Doc''s Pagos | Rodopar 108'!$A:$A,$B83&amp;$E83&amp;$F83&amp;$J83,'Doc''s Pagos | Rodopar 108'!$B:$B,V$1)+SUMIFS('Doc Há Pagar | Rodopar 1015'!$J:$J,'Doc Há Pagar | Rodopar 1015'!$A:$A,$B83&amp;$E83&amp;$F83,'Doc Há Pagar | Rodopar 1015'!$B:$B,V$1)</f>
        <v>0</v>
      </c>
      <c r="W83" s="20">
        <f>SUMIFS('Doc''s Pagos | Rodopar 108'!$J:$J,'Doc''s Pagos | Rodopar 108'!$A:$A,$B83&amp;$E83&amp;$F83&amp;$J83,'Doc''s Pagos | Rodopar 108'!$B:$B,W$1)+SUMIFS('Doc Há Pagar | Rodopar 1015'!$J:$J,'Doc Há Pagar | Rodopar 1015'!$A:$A,$B83&amp;$E83&amp;$F83,'Doc Há Pagar | Rodopar 1015'!$B:$B,W$1)</f>
        <v>0</v>
      </c>
      <c r="X83" s="20">
        <f>SUMIFS('Doc''s Pagos | Rodopar 108'!$J:$J,'Doc''s Pagos | Rodopar 108'!$A:$A,$B83&amp;$E83&amp;$F83&amp;$J83,'Doc''s Pagos | Rodopar 108'!$B:$B,X$1)+SUMIFS('Doc Há Pagar | Rodopar 1015'!$J:$J,'Doc Há Pagar | Rodopar 1015'!$A:$A,$B83&amp;$E83&amp;$F83,'Doc Há Pagar | Rodopar 1015'!$B:$B,X$1)</f>
        <v>0</v>
      </c>
      <c r="Y83" s="20">
        <f>SUMIFS('Doc''s Pagos | Rodopar 108'!$J:$J,'Doc''s Pagos | Rodopar 108'!$A:$A,$B83&amp;$E83&amp;$F83&amp;$J83,'Doc''s Pagos | Rodopar 108'!$B:$B,Y$1)+SUMIFS('Doc Há Pagar | Rodopar 1015'!$J:$J,'Doc Há Pagar | Rodopar 1015'!$A:$A,$B83&amp;$E83&amp;$F83,'Doc Há Pagar | Rodopar 1015'!$B:$B,Y$1)</f>
        <v>0</v>
      </c>
      <c r="Z83" s="20">
        <f>SUMIFS('Doc''s Pagos | Rodopar 108'!$J:$J,'Doc''s Pagos | Rodopar 108'!$A:$A,$B83&amp;$E83&amp;$F83&amp;$J83,'Doc''s Pagos | Rodopar 108'!$B:$B,Z$1)+SUMIFS('Doc Há Pagar | Rodopar 1015'!$J:$J,'Doc Há Pagar | Rodopar 1015'!$A:$A,$B83&amp;$E83&amp;$F83,'Doc Há Pagar | Rodopar 1015'!$B:$B,Z$1)</f>
        <v>0</v>
      </c>
      <c r="AA83" s="20">
        <f>SUMIFS('Doc''s Pagos | Rodopar 108'!$J:$J,'Doc''s Pagos | Rodopar 108'!$A:$A,$B83&amp;$E83&amp;$F83&amp;$J83,'Doc''s Pagos | Rodopar 108'!$B:$B,AA$1)+SUMIFS('Doc Há Pagar | Rodopar 1015'!$J:$J,'Doc Há Pagar | Rodopar 1015'!$A:$A,$B83&amp;$E83&amp;$F83,'Doc Há Pagar | Rodopar 1015'!$B:$B,AA$1)</f>
        <v>0</v>
      </c>
      <c r="AB83" s="20">
        <f>SUMIFS('Doc''s Pagos | Rodopar 108'!$J:$J,'Doc''s Pagos | Rodopar 108'!$A:$A,$B83&amp;$E83&amp;$F83&amp;$J83,'Doc''s Pagos | Rodopar 108'!$B:$B,AB$1)+SUMIFS('Doc Há Pagar | Rodopar 1015'!$J:$J,'Doc Há Pagar | Rodopar 1015'!$A:$A,$B83&amp;$E83&amp;$F83,'Doc Há Pagar | Rodopar 1015'!$B:$B,AB$1)</f>
        <v>0</v>
      </c>
      <c r="AC83" s="20">
        <f>SUMIFS('Doc''s Pagos | Rodopar 108'!$J:$J,'Doc''s Pagos | Rodopar 108'!$A:$A,$B83&amp;$E83&amp;$F83&amp;$J83,'Doc''s Pagos | Rodopar 108'!$B:$B,AC$1)+SUMIFS('Doc Há Pagar | Rodopar 1015'!$J:$J,'Doc Há Pagar | Rodopar 1015'!$A:$A,$B83&amp;$E83&amp;$F83,'Doc Há Pagar | Rodopar 1015'!$B:$B,AC$1)</f>
        <v>0</v>
      </c>
      <c r="AD83" s="20">
        <f>SUMIFS('Doc''s Pagos | Rodopar 108'!$J:$J,'Doc''s Pagos | Rodopar 108'!$A:$A,$B83&amp;$E83&amp;$F83&amp;$J83,'Doc''s Pagos | Rodopar 108'!$B:$B,AD$1)+SUMIFS('Doc Há Pagar | Rodopar 1015'!$J:$J,'Doc Há Pagar | Rodopar 1015'!$A:$A,$B83&amp;$E83&amp;$F83,'Doc Há Pagar | Rodopar 1015'!$B:$B,AD$1)</f>
        <v>0</v>
      </c>
    </row>
    <row r="84" spans="1:30" x14ac:dyDescent="0.25">
      <c r="A84" s="1" t="str">
        <f>VLOOKUP($E84,Fornecedores!$A:$C,3,0)</f>
        <v>Frota</v>
      </c>
      <c r="B84" s="14">
        <v>444</v>
      </c>
      <c r="C84" s="14" t="str">
        <f>IFERROR(VLOOKUP($E84,Fornecedores!$A:$E,4,0),"")</f>
        <v>Manutenção</v>
      </c>
      <c r="D84" s="14" t="str">
        <f>IFERROR(VLOOKUP($E84,Fornecedores!$A:$E,5,0),"")</f>
        <v>Vans</v>
      </c>
      <c r="E84" s="8" t="s">
        <v>133</v>
      </c>
      <c r="F84" s="14" t="s">
        <v>665</v>
      </c>
      <c r="G84" s="8" t="s">
        <v>493</v>
      </c>
      <c r="H84" s="9">
        <v>87</v>
      </c>
      <c r="I84" s="21">
        <v>637</v>
      </c>
      <c r="J84" s="11">
        <v>46079</v>
      </c>
      <c r="K84" s="11">
        <v>46081</v>
      </c>
      <c r="L84" s="8" t="s">
        <v>494</v>
      </c>
      <c r="M84" s="14" t="s">
        <v>234</v>
      </c>
      <c r="N84" s="16">
        <v>1556</v>
      </c>
      <c r="O84" s="14" t="s">
        <v>241</v>
      </c>
      <c r="P84" s="14"/>
      <c r="Q84" s="20">
        <f t="shared" si="1"/>
        <v>0</v>
      </c>
      <c r="S84" s="20">
        <f>SUMIFS('Doc''s Pagos | Rodopar 108'!$J:$J,'Doc''s Pagos | Rodopar 108'!$A:$A,$B84&amp;$E84&amp;$F84&amp;$J84,'Doc''s Pagos | Rodopar 108'!$B:$B,S$1)+SUMIFS('Doc Há Pagar | Rodopar 1015'!$J:$J,'Doc Há Pagar | Rodopar 1015'!$A:$A,$B84&amp;$E84&amp;$F84,'Doc Há Pagar | Rodopar 1015'!$B:$B,S$1)</f>
        <v>0</v>
      </c>
      <c r="T84" s="20">
        <f>SUMIFS('Doc''s Pagos | Rodopar 108'!$J:$J,'Doc''s Pagos | Rodopar 108'!$A:$A,$B84&amp;$E84&amp;$F84&amp;$J84,'Doc''s Pagos | Rodopar 108'!$B:$B,T$1)+SUMIFS('Doc Há Pagar | Rodopar 1015'!$J:$J,'Doc Há Pagar | Rodopar 1015'!$A:$A,$B84&amp;$E84&amp;$F84,'Doc Há Pagar | Rodopar 1015'!$B:$B,T$1)</f>
        <v>0</v>
      </c>
      <c r="U84" s="20">
        <f>SUMIFS('Doc''s Pagos | Rodopar 108'!$J:$J,'Doc''s Pagos | Rodopar 108'!$A:$A,$B84&amp;$E84&amp;$F84&amp;$J84,'Doc''s Pagos | Rodopar 108'!$B:$B,U$1)+SUMIFS('Doc Há Pagar | Rodopar 1015'!$J:$J,'Doc Há Pagar | Rodopar 1015'!$A:$A,$B84&amp;$E84&amp;$F84,'Doc Há Pagar | Rodopar 1015'!$B:$B,U$1)</f>
        <v>637</v>
      </c>
      <c r="V84" s="20">
        <f>SUMIFS('Doc''s Pagos | Rodopar 108'!$J:$J,'Doc''s Pagos | Rodopar 108'!$A:$A,$B84&amp;$E84&amp;$F84&amp;$J84,'Doc''s Pagos | Rodopar 108'!$B:$B,V$1)+SUMIFS('Doc Há Pagar | Rodopar 1015'!$J:$J,'Doc Há Pagar | Rodopar 1015'!$A:$A,$B84&amp;$E84&amp;$F84,'Doc Há Pagar | Rodopar 1015'!$B:$B,V$1)</f>
        <v>0</v>
      </c>
      <c r="W84" s="20">
        <f>SUMIFS('Doc''s Pagos | Rodopar 108'!$J:$J,'Doc''s Pagos | Rodopar 108'!$A:$A,$B84&amp;$E84&amp;$F84&amp;$J84,'Doc''s Pagos | Rodopar 108'!$B:$B,W$1)+SUMIFS('Doc Há Pagar | Rodopar 1015'!$J:$J,'Doc Há Pagar | Rodopar 1015'!$A:$A,$B84&amp;$E84&amp;$F84,'Doc Há Pagar | Rodopar 1015'!$B:$B,W$1)</f>
        <v>0</v>
      </c>
      <c r="X84" s="20">
        <f>SUMIFS('Doc''s Pagos | Rodopar 108'!$J:$J,'Doc''s Pagos | Rodopar 108'!$A:$A,$B84&amp;$E84&amp;$F84&amp;$J84,'Doc''s Pagos | Rodopar 108'!$B:$B,X$1)+SUMIFS('Doc Há Pagar | Rodopar 1015'!$J:$J,'Doc Há Pagar | Rodopar 1015'!$A:$A,$B84&amp;$E84&amp;$F84,'Doc Há Pagar | Rodopar 1015'!$B:$B,X$1)</f>
        <v>0</v>
      </c>
      <c r="Y84" s="20">
        <f>SUMIFS('Doc''s Pagos | Rodopar 108'!$J:$J,'Doc''s Pagos | Rodopar 108'!$A:$A,$B84&amp;$E84&amp;$F84&amp;$J84,'Doc''s Pagos | Rodopar 108'!$B:$B,Y$1)+SUMIFS('Doc Há Pagar | Rodopar 1015'!$J:$J,'Doc Há Pagar | Rodopar 1015'!$A:$A,$B84&amp;$E84&amp;$F84,'Doc Há Pagar | Rodopar 1015'!$B:$B,Y$1)</f>
        <v>0</v>
      </c>
      <c r="Z84" s="20">
        <f>SUMIFS('Doc''s Pagos | Rodopar 108'!$J:$J,'Doc''s Pagos | Rodopar 108'!$A:$A,$B84&amp;$E84&amp;$F84&amp;$J84,'Doc''s Pagos | Rodopar 108'!$B:$B,Z$1)+SUMIFS('Doc Há Pagar | Rodopar 1015'!$J:$J,'Doc Há Pagar | Rodopar 1015'!$A:$A,$B84&amp;$E84&amp;$F84,'Doc Há Pagar | Rodopar 1015'!$B:$B,Z$1)</f>
        <v>0</v>
      </c>
      <c r="AA84" s="20">
        <f>SUMIFS('Doc''s Pagos | Rodopar 108'!$J:$J,'Doc''s Pagos | Rodopar 108'!$A:$A,$B84&amp;$E84&amp;$F84&amp;$J84,'Doc''s Pagos | Rodopar 108'!$B:$B,AA$1)+SUMIFS('Doc Há Pagar | Rodopar 1015'!$J:$J,'Doc Há Pagar | Rodopar 1015'!$A:$A,$B84&amp;$E84&amp;$F84,'Doc Há Pagar | Rodopar 1015'!$B:$B,AA$1)</f>
        <v>0</v>
      </c>
      <c r="AB84" s="20">
        <f>SUMIFS('Doc''s Pagos | Rodopar 108'!$J:$J,'Doc''s Pagos | Rodopar 108'!$A:$A,$B84&amp;$E84&amp;$F84&amp;$J84,'Doc''s Pagos | Rodopar 108'!$B:$B,AB$1)+SUMIFS('Doc Há Pagar | Rodopar 1015'!$J:$J,'Doc Há Pagar | Rodopar 1015'!$A:$A,$B84&amp;$E84&amp;$F84,'Doc Há Pagar | Rodopar 1015'!$B:$B,AB$1)</f>
        <v>0</v>
      </c>
      <c r="AC84" s="20">
        <f>SUMIFS('Doc''s Pagos | Rodopar 108'!$J:$J,'Doc''s Pagos | Rodopar 108'!$A:$A,$B84&amp;$E84&amp;$F84&amp;$J84,'Doc''s Pagos | Rodopar 108'!$B:$B,AC$1)+SUMIFS('Doc Há Pagar | Rodopar 1015'!$J:$J,'Doc Há Pagar | Rodopar 1015'!$A:$A,$B84&amp;$E84&amp;$F84,'Doc Há Pagar | Rodopar 1015'!$B:$B,AC$1)</f>
        <v>0</v>
      </c>
      <c r="AD84" s="20">
        <f>SUMIFS('Doc''s Pagos | Rodopar 108'!$J:$J,'Doc''s Pagos | Rodopar 108'!$A:$A,$B84&amp;$E84&amp;$F84&amp;$J84,'Doc''s Pagos | Rodopar 108'!$B:$B,AD$1)+SUMIFS('Doc Há Pagar | Rodopar 1015'!$J:$J,'Doc Há Pagar | Rodopar 1015'!$A:$A,$B84&amp;$E84&amp;$F84,'Doc Há Pagar | Rodopar 1015'!$B:$B,AD$1)</f>
        <v>0</v>
      </c>
    </row>
    <row r="85" spans="1:30" x14ac:dyDescent="0.25">
      <c r="A85" s="1" t="str">
        <f>VLOOKUP($E85,Fornecedores!$A:$C,3,0)</f>
        <v>Frota</v>
      </c>
      <c r="B85" s="14">
        <v>9135</v>
      </c>
      <c r="C85" s="14" t="str">
        <f>IFERROR(VLOOKUP($E85,Fornecedores!$A:$E,4,0),"")</f>
        <v>Manutenção</v>
      </c>
      <c r="D85" s="14" t="str">
        <f>IFERROR(VLOOKUP($E85,Fornecedores!$A:$E,5,0),"")</f>
        <v>Peças E Serviços</v>
      </c>
      <c r="E85" s="8" t="s">
        <v>597</v>
      </c>
      <c r="F85" s="14" t="s">
        <v>380</v>
      </c>
      <c r="G85" s="8" t="s">
        <v>598</v>
      </c>
      <c r="H85" s="9">
        <v>87</v>
      </c>
      <c r="I85" s="21">
        <v>298</v>
      </c>
      <c r="J85" s="11">
        <v>46081</v>
      </c>
      <c r="K85" s="11">
        <v>46081</v>
      </c>
      <c r="L85" s="8" t="s">
        <v>382</v>
      </c>
      <c r="M85" s="14" t="s">
        <v>234</v>
      </c>
      <c r="N85" s="16">
        <v>1556</v>
      </c>
      <c r="O85" s="14" t="s">
        <v>241</v>
      </c>
      <c r="P85" s="14"/>
      <c r="Q85" s="20">
        <f t="shared" si="1"/>
        <v>0</v>
      </c>
      <c r="S85" s="20">
        <f>SUMIFS('Doc''s Pagos | Rodopar 108'!$J:$J,'Doc''s Pagos | Rodopar 108'!$A:$A,$B85&amp;$E85&amp;$F85&amp;$J85,'Doc''s Pagos | Rodopar 108'!$B:$B,S$1)+SUMIFS('Doc Há Pagar | Rodopar 1015'!$J:$J,'Doc Há Pagar | Rodopar 1015'!$A:$A,$B85&amp;$E85&amp;$F85,'Doc Há Pagar | Rodopar 1015'!$B:$B,S$1)</f>
        <v>0</v>
      </c>
      <c r="T85" s="20">
        <f>SUMIFS('Doc''s Pagos | Rodopar 108'!$J:$J,'Doc''s Pagos | Rodopar 108'!$A:$A,$B85&amp;$E85&amp;$F85&amp;$J85,'Doc''s Pagos | Rodopar 108'!$B:$B,T$1)+SUMIFS('Doc Há Pagar | Rodopar 1015'!$J:$J,'Doc Há Pagar | Rodopar 1015'!$A:$A,$B85&amp;$E85&amp;$F85,'Doc Há Pagar | Rodopar 1015'!$B:$B,T$1)</f>
        <v>0</v>
      </c>
      <c r="U85" s="20">
        <f>SUMIFS('Doc''s Pagos | Rodopar 108'!$J:$J,'Doc''s Pagos | Rodopar 108'!$A:$A,$B85&amp;$E85&amp;$F85&amp;$J85,'Doc''s Pagos | Rodopar 108'!$B:$B,U$1)+SUMIFS('Doc Há Pagar | Rodopar 1015'!$J:$J,'Doc Há Pagar | Rodopar 1015'!$A:$A,$B85&amp;$E85&amp;$F85,'Doc Há Pagar | Rodopar 1015'!$B:$B,U$1)</f>
        <v>298</v>
      </c>
      <c r="V85" s="20">
        <f>SUMIFS('Doc''s Pagos | Rodopar 108'!$J:$J,'Doc''s Pagos | Rodopar 108'!$A:$A,$B85&amp;$E85&amp;$F85&amp;$J85,'Doc''s Pagos | Rodopar 108'!$B:$B,V$1)+SUMIFS('Doc Há Pagar | Rodopar 1015'!$J:$J,'Doc Há Pagar | Rodopar 1015'!$A:$A,$B85&amp;$E85&amp;$F85,'Doc Há Pagar | Rodopar 1015'!$B:$B,V$1)</f>
        <v>0</v>
      </c>
      <c r="W85" s="20">
        <f>SUMIFS('Doc''s Pagos | Rodopar 108'!$J:$J,'Doc''s Pagos | Rodopar 108'!$A:$A,$B85&amp;$E85&amp;$F85&amp;$J85,'Doc''s Pagos | Rodopar 108'!$B:$B,W$1)+SUMIFS('Doc Há Pagar | Rodopar 1015'!$J:$J,'Doc Há Pagar | Rodopar 1015'!$A:$A,$B85&amp;$E85&amp;$F85,'Doc Há Pagar | Rodopar 1015'!$B:$B,W$1)</f>
        <v>0</v>
      </c>
      <c r="X85" s="20">
        <f>SUMIFS('Doc''s Pagos | Rodopar 108'!$J:$J,'Doc''s Pagos | Rodopar 108'!$A:$A,$B85&amp;$E85&amp;$F85&amp;$J85,'Doc''s Pagos | Rodopar 108'!$B:$B,X$1)+SUMIFS('Doc Há Pagar | Rodopar 1015'!$J:$J,'Doc Há Pagar | Rodopar 1015'!$A:$A,$B85&amp;$E85&amp;$F85,'Doc Há Pagar | Rodopar 1015'!$B:$B,X$1)</f>
        <v>0</v>
      </c>
      <c r="Y85" s="20">
        <f>SUMIFS('Doc''s Pagos | Rodopar 108'!$J:$J,'Doc''s Pagos | Rodopar 108'!$A:$A,$B85&amp;$E85&amp;$F85&amp;$J85,'Doc''s Pagos | Rodopar 108'!$B:$B,Y$1)+SUMIFS('Doc Há Pagar | Rodopar 1015'!$J:$J,'Doc Há Pagar | Rodopar 1015'!$A:$A,$B85&amp;$E85&amp;$F85,'Doc Há Pagar | Rodopar 1015'!$B:$B,Y$1)</f>
        <v>0</v>
      </c>
      <c r="Z85" s="20">
        <f>SUMIFS('Doc''s Pagos | Rodopar 108'!$J:$J,'Doc''s Pagos | Rodopar 108'!$A:$A,$B85&amp;$E85&amp;$F85&amp;$J85,'Doc''s Pagos | Rodopar 108'!$B:$B,Z$1)+SUMIFS('Doc Há Pagar | Rodopar 1015'!$J:$J,'Doc Há Pagar | Rodopar 1015'!$A:$A,$B85&amp;$E85&amp;$F85,'Doc Há Pagar | Rodopar 1015'!$B:$B,Z$1)</f>
        <v>0</v>
      </c>
      <c r="AA85" s="20">
        <f>SUMIFS('Doc''s Pagos | Rodopar 108'!$J:$J,'Doc''s Pagos | Rodopar 108'!$A:$A,$B85&amp;$E85&amp;$F85&amp;$J85,'Doc''s Pagos | Rodopar 108'!$B:$B,AA$1)+SUMIFS('Doc Há Pagar | Rodopar 1015'!$J:$J,'Doc Há Pagar | Rodopar 1015'!$A:$A,$B85&amp;$E85&amp;$F85,'Doc Há Pagar | Rodopar 1015'!$B:$B,AA$1)</f>
        <v>0</v>
      </c>
      <c r="AB85" s="20">
        <f>SUMIFS('Doc''s Pagos | Rodopar 108'!$J:$J,'Doc''s Pagos | Rodopar 108'!$A:$A,$B85&amp;$E85&amp;$F85&amp;$J85,'Doc''s Pagos | Rodopar 108'!$B:$B,AB$1)+SUMIFS('Doc Há Pagar | Rodopar 1015'!$J:$J,'Doc Há Pagar | Rodopar 1015'!$A:$A,$B85&amp;$E85&amp;$F85,'Doc Há Pagar | Rodopar 1015'!$B:$B,AB$1)</f>
        <v>0</v>
      </c>
      <c r="AC85" s="20">
        <f>SUMIFS('Doc''s Pagos | Rodopar 108'!$J:$J,'Doc''s Pagos | Rodopar 108'!$A:$A,$B85&amp;$E85&amp;$F85&amp;$J85,'Doc''s Pagos | Rodopar 108'!$B:$B,AC$1)+SUMIFS('Doc Há Pagar | Rodopar 1015'!$J:$J,'Doc Há Pagar | Rodopar 1015'!$A:$A,$B85&amp;$E85&amp;$F85,'Doc Há Pagar | Rodopar 1015'!$B:$B,AC$1)</f>
        <v>0</v>
      </c>
      <c r="AD85" s="20">
        <f>SUMIFS('Doc''s Pagos | Rodopar 108'!$J:$J,'Doc''s Pagos | Rodopar 108'!$A:$A,$B85&amp;$E85&amp;$F85&amp;$J85,'Doc''s Pagos | Rodopar 108'!$B:$B,AD$1)+SUMIFS('Doc Há Pagar | Rodopar 1015'!$J:$J,'Doc Há Pagar | Rodopar 1015'!$A:$A,$B85&amp;$E85&amp;$F85,'Doc Há Pagar | Rodopar 1015'!$B:$B,AD$1)</f>
        <v>0</v>
      </c>
    </row>
    <row r="86" spans="1:30" x14ac:dyDescent="0.25">
      <c r="A86" s="1" t="str">
        <f>VLOOKUP($E86,Fornecedores!$A:$C,3,0)</f>
        <v>Frota</v>
      </c>
      <c r="B86" s="14">
        <v>1466</v>
      </c>
      <c r="C86" s="14" t="str">
        <f>IFERROR(VLOOKUP($E86,Fornecedores!$A:$E,4,0),"")</f>
        <v>MTSR</v>
      </c>
      <c r="D86" s="14" t="str">
        <f>IFERROR(VLOOKUP($E86,Fornecedores!$A:$E,5,0),"")</f>
        <v>Tecnologia</v>
      </c>
      <c r="E86" s="8" t="s">
        <v>24</v>
      </c>
      <c r="F86" s="14" t="s">
        <v>232</v>
      </c>
      <c r="G86" s="8" t="s">
        <v>238</v>
      </c>
      <c r="H86" s="9">
        <v>87</v>
      </c>
      <c r="I86" s="21">
        <v>59176.89</v>
      </c>
      <c r="J86" s="11">
        <v>46085</v>
      </c>
      <c r="K86" s="11">
        <v>46087</v>
      </c>
      <c r="L86" s="8" t="s">
        <v>239</v>
      </c>
      <c r="M86" s="14" t="s">
        <v>240</v>
      </c>
      <c r="N86" s="16">
        <v>2556</v>
      </c>
      <c r="O86" s="14" t="s">
        <v>241</v>
      </c>
      <c r="P86" s="14"/>
      <c r="Q86" s="20">
        <f t="shared" si="1"/>
        <v>0</v>
      </c>
      <c r="S86" s="20">
        <f>SUMIFS('Doc''s Pagos | Rodopar 108'!$J:$J,'Doc''s Pagos | Rodopar 108'!$A:$A,$B86&amp;$E86&amp;$F86&amp;$J86,'Doc''s Pagos | Rodopar 108'!$B:$B,S$1)+SUMIFS('Doc Há Pagar | Rodopar 1015'!$J:$J,'Doc Há Pagar | Rodopar 1015'!$A:$A,$B86&amp;$E86&amp;$F86,'Doc Há Pagar | Rodopar 1015'!$B:$B,S$1)</f>
        <v>0</v>
      </c>
      <c r="T86" s="20">
        <f>SUMIFS('Doc''s Pagos | Rodopar 108'!$J:$J,'Doc''s Pagos | Rodopar 108'!$A:$A,$B86&amp;$E86&amp;$F86&amp;$J86,'Doc''s Pagos | Rodopar 108'!$B:$B,T$1)+SUMIFS('Doc Há Pagar | Rodopar 1015'!$J:$J,'Doc Há Pagar | Rodopar 1015'!$A:$A,$B86&amp;$E86&amp;$F86,'Doc Há Pagar | Rodopar 1015'!$B:$B,T$1)</f>
        <v>0</v>
      </c>
      <c r="U86" s="20">
        <f>SUMIFS('Doc''s Pagos | Rodopar 108'!$J:$J,'Doc''s Pagos | Rodopar 108'!$A:$A,$B86&amp;$E86&amp;$F86&amp;$J86,'Doc''s Pagos | Rodopar 108'!$B:$B,U$1)+SUMIFS('Doc Há Pagar | Rodopar 1015'!$J:$J,'Doc Há Pagar | Rodopar 1015'!$A:$A,$B86&amp;$E86&amp;$F86,'Doc Há Pagar | Rodopar 1015'!$B:$B,U$1)</f>
        <v>0</v>
      </c>
      <c r="V86" s="20">
        <f>SUMIFS('Doc''s Pagos | Rodopar 108'!$J:$J,'Doc''s Pagos | Rodopar 108'!$A:$A,$B86&amp;$E86&amp;$F86&amp;$J86,'Doc''s Pagos | Rodopar 108'!$B:$B,V$1)+SUMIFS('Doc Há Pagar | Rodopar 1015'!$J:$J,'Doc Há Pagar | Rodopar 1015'!$A:$A,$B86&amp;$E86&amp;$F86,'Doc Há Pagar | Rodopar 1015'!$B:$B,V$1)</f>
        <v>59176.89</v>
      </c>
      <c r="W86" s="20">
        <f>SUMIFS('Doc''s Pagos | Rodopar 108'!$J:$J,'Doc''s Pagos | Rodopar 108'!$A:$A,$B86&amp;$E86&amp;$F86&amp;$J86,'Doc''s Pagos | Rodopar 108'!$B:$B,W$1)+SUMIFS('Doc Há Pagar | Rodopar 1015'!$J:$J,'Doc Há Pagar | Rodopar 1015'!$A:$A,$B86&amp;$E86&amp;$F86,'Doc Há Pagar | Rodopar 1015'!$B:$B,W$1)</f>
        <v>0</v>
      </c>
      <c r="X86" s="20">
        <f>SUMIFS('Doc''s Pagos | Rodopar 108'!$J:$J,'Doc''s Pagos | Rodopar 108'!$A:$A,$B86&amp;$E86&amp;$F86&amp;$J86,'Doc''s Pagos | Rodopar 108'!$B:$B,X$1)+SUMIFS('Doc Há Pagar | Rodopar 1015'!$J:$J,'Doc Há Pagar | Rodopar 1015'!$A:$A,$B86&amp;$E86&amp;$F86,'Doc Há Pagar | Rodopar 1015'!$B:$B,X$1)</f>
        <v>0</v>
      </c>
      <c r="Y86" s="20">
        <f>SUMIFS('Doc''s Pagos | Rodopar 108'!$J:$J,'Doc''s Pagos | Rodopar 108'!$A:$A,$B86&amp;$E86&amp;$F86&amp;$J86,'Doc''s Pagos | Rodopar 108'!$B:$B,Y$1)+SUMIFS('Doc Há Pagar | Rodopar 1015'!$J:$J,'Doc Há Pagar | Rodopar 1015'!$A:$A,$B86&amp;$E86&amp;$F86,'Doc Há Pagar | Rodopar 1015'!$B:$B,Y$1)</f>
        <v>0</v>
      </c>
      <c r="Z86" s="20">
        <f>SUMIFS('Doc''s Pagos | Rodopar 108'!$J:$J,'Doc''s Pagos | Rodopar 108'!$A:$A,$B86&amp;$E86&amp;$F86&amp;$J86,'Doc''s Pagos | Rodopar 108'!$B:$B,Z$1)+SUMIFS('Doc Há Pagar | Rodopar 1015'!$J:$J,'Doc Há Pagar | Rodopar 1015'!$A:$A,$B86&amp;$E86&amp;$F86,'Doc Há Pagar | Rodopar 1015'!$B:$B,Z$1)</f>
        <v>0</v>
      </c>
      <c r="AA86" s="20">
        <f>SUMIFS('Doc''s Pagos | Rodopar 108'!$J:$J,'Doc''s Pagos | Rodopar 108'!$A:$A,$B86&amp;$E86&amp;$F86&amp;$J86,'Doc''s Pagos | Rodopar 108'!$B:$B,AA$1)+SUMIFS('Doc Há Pagar | Rodopar 1015'!$J:$J,'Doc Há Pagar | Rodopar 1015'!$A:$A,$B86&amp;$E86&amp;$F86,'Doc Há Pagar | Rodopar 1015'!$B:$B,AA$1)</f>
        <v>0</v>
      </c>
      <c r="AB86" s="20">
        <f>SUMIFS('Doc''s Pagos | Rodopar 108'!$J:$J,'Doc''s Pagos | Rodopar 108'!$A:$A,$B86&amp;$E86&amp;$F86&amp;$J86,'Doc''s Pagos | Rodopar 108'!$B:$B,AB$1)+SUMIFS('Doc Há Pagar | Rodopar 1015'!$J:$J,'Doc Há Pagar | Rodopar 1015'!$A:$A,$B86&amp;$E86&amp;$F86,'Doc Há Pagar | Rodopar 1015'!$B:$B,AB$1)</f>
        <v>0</v>
      </c>
      <c r="AC86" s="20">
        <f>SUMIFS('Doc''s Pagos | Rodopar 108'!$J:$J,'Doc''s Pagos | Rodopar 108'!$A:$A,$B86&amp;$E86&amp;$F86&amp;$J86,'Doc''s Pagos | Rodopar 108'!$B:$B,AC$1)+SUMIFS('Doc Há Pagar | Rodopar 1015'!$J:$J,'Doc Há Pagar | Rodopar 1015'!$A:$A,$B86&amp;$E86&amp;$F86,'Doc Há Pagar | Rodopar 1015'!$B:$B,AC$1)</f>
        <v>0</v>
      </c>
      <c r="AD86" s="20">
        <f>SUMIFS('Doc''s Pagos | Rodopar 108'!$J:$J,'Doc''s Pagos | Rodopar 108'!$A:$A,$B86&amp;$E86&amp;$F86&amp;$J86,'Doc''s Pagos | Rodopar 108'!$B:$B,AD$1)+SUMIFS('Doc Há Pagar | Rodopar 1015'!$J:$J,'Doc Há Pagar | Rodopar 1015'!$A:$A,$B86&amp;$E86&amp;$F86,'Doc Há Pagar | Rodopar 1015'!$B:$B,AD$1)</f>
        <v>0</v>
      </c>
    </row>
    <row r="87" spans="1:30" x14ac:dyDescent="0.25">
      <c r="A87" s="1" t="str">
        <f>VLOOKUP($E87,Fornecedores!$A:$C,3,0)</f>
        <v>Frota</v>
      </c>
      <c r="B87" s="14">
        <v>265556642</v>
      </c>
      <c r="C87" s="14" t="str">
        <f>IFERROR(VLOOKUP($E87,Fornecedores!$A:$E,4,0),"")</f>
        <v>Pedagios</v>
      </c>
      <c r="D87" s="14" t="str">
        <f>IFERROR(VLOOKUP($E87,Fornecedores!$A:$E,5,0),"")</f>
        <v>Pedagios</v>
      </c>
      <c r="E87" s="8" t="s">
        <v>38</v>
      </c>
      <c r="F87" s="14" t="s">
        <v>232</v>
      </c>
      <c r="G87" s="8" t="s">
        <v>261</v>
      </c>
      <c r="H87" s="9">
        <v>87</v>
      </c>
      <c r="I87" s="21">
        <v>20819.96</v>
      </c>
      <c r="J87" s="11">
        <v>46085</v>
      </c>
      <c r="K87" s="11">
        <v>46087</v>
      </c>
      <c r="L87" s="8" t="s">
        <v>262</v>
      </c>
      <c r="M87" s="14" t="s">
        <v>263</v>
      </c>
      <c r="N87" s="16">
        <v>2556</v>
      </c>
      <c r="O87" s="14" t="s">
        <v>241</v>
      </c>
      <c r="P87" s="14"/>
      <c r="Q87" s="20">
        <f t="shared" si="1"/>
        <v>0</v>
      </c>
      <c r="S87" s="20">
        <f>SUMIFS('Doc''s Pagos | Rodopar 108'!$J:$J,'Doc''s Pagos | Rodopar 108'!$A:$A,$B87&amp;$E87&amp;$F87&amp;$J87,'Doc''s Pagos | Rodopar 108'!$B:$B,S$1)+SUMIFS('Doc Há Pagar | Rodopar 1015'!$J:$J,'Doc Há Pagar | Rodopar 1015'!$A:$A,$B87&amp;$E87&amp;$F87,'Doc Há Pagar | Rodopar 1015'!$B:$B,S$1)</f>
        <v>0</v>
      </c>
      <c r="T87" s="20">
        <f>SUMIFS('Doc''s Pagos | Rodopar 108'!$J:$J,'Doc''s Pagos | Rodopar 108'!$A:$A,$B87&amp;$E87&amp;$F87&amp;$J87,'Doc''s Pagos | Rodopar 108'!$B:$B,T$1)+SUMIFS('Doc Há Pagar | Rodopar 1015'!$J:$J,'Doc Há Pagar | Rodopar 1015'!$A:$A,$B87&amp;$E87&amp;$F87,'Doc Há Pagar | Rodopar 1015'!$B:$B,T$1)</f>
        <v>0</v>
      </c>
      <c r="U87" s="20">
        <f>SUMIFS('Doc''s Pagos | Rodopar 108'!$J:$J,'Doc''s Pagos | Rodopar 108'!$A:$A,$B87&amp;$E87&amp;$F87&amp;$J87,'Doc''s Pagos | Rodopar 108'!$B:$B,U$1)+SUMIFS('Doc Há Pagar | Rodopar 1015'!$J:$J,'Doc Há Pagar | Rodopar 1015'!$A:$A,$B87&amp;$E87&amp;$F87,'Doc Há Pagar | Rodopar 1015'!$B:$B,U$1)</f>
        <v>20819.96</v>
      </c>
      <c r="V87" s="20">
        <f>SUMIFS('Doc''s Pagos | Rodopar 108'!$J:$J,'Doc''s Pagos | Rodopar 108'!$A:$A,$B87&amp;$E87&amp;$F87&amp;$J87,'Doc''s Pagos | Rodopar 108'!$B:$B,V$1)+SUMIFS('Doc Há Pagar | Rodopar 1015'!$J:$J,'Doc Há Pagar | Rodopar 1015'!$A:$A,$B87&amp;$E87&amp;$F87,'Doc Há Pagar | Rodopar 1015'!$B:$B,V$1)</f>
        <v>0</v>
      </c>
      <c r="W87" s="20">
        <f>SUMIFS('Doc''s Pagos | Rodopar 108'!$J:$J,'Doc''s Pagos | Rodopar 108'!$A:$A,$B87&amp;$E87&amp;$F87&amp;$J87,'Doc''s Pagos | Rodopar 108'!$B:$B,W$1)+SUMIFS('Doc Há Pagar | Rodopar 1015'!$J:$J,'Doc Há Pagar | Rodopar 1015'!$A:$A,$B87&amp;$E87&amp;$F87,'Doc Há Pagar | Rodopar 1015'!$B:$B,W$1)</f>
        <v>0</v>
      </c>
      <c r="X87" s="20">
        <f>SUMIFS('Doc''s Pagos | Rodopar 108'!$J:$J,'Doc''s Pagos | Rodopar 108'!$A:$A,$B87&amp;$E87&amp;$F87&amp;$J87,'Doc''s Pagos | Rodopar 108'!$B:$B,X$1)+SUMIFS('Doc Há Pagar | Rodopar 1015'!$J:$J,'Doc Há Pagar | Rodopar 1015'!$A:$A,$B87&amp;$E87&amp;$F87,'Doc Há Pagar | Rodopar 1015'!$B:$B,X$1)</f>
        <v>0</v>
      </c>
      <c r="Y87" s="20">
        <f>SUMIFS('Doc''s Pagos | Rodopar 108'!$J:$J,'Doc''s Pagos | Rodopar 108'!$A:$A,$B87&amp;$E87&amp;$F87&amp;$J87,'Doc''s Pagos | Rodopar 108'!$B:$B,Y$1)+SUMIFS('Doc Há Pagar | Rodopar 1015'!$J:$J,'Doc Há Pagar | Rodopar 1015'!$A:$A,$B87&amp;$E87&amp;$F87,'Doc Há Pagar | Rodopar 1015'!$B:$B,Y$1)</f>
        <v>0</v>
      </c>
      <c r="Z87" s="20">
        <f>SUMIFS('Doc''s Pagos | Rodopar 108'!$J:$J,'Doc''s Pagos | Rodopar 108'!$A:$A,$B87&amp;$E87&amp;$F87&amp;$J87,'Doc''s Pagos | Rodopar 108'!$B:$B,Z$1)+SUMIFS('Doc Há Pagar | Rodopar 1015'!$J:$J,'Doc Há Pagar | Rodopar 1015'!$A:$A,$B87&amp;$E87&amp;$F87,'Doc Há Pagar | Rodopar 1015'!$B:$B,Z$1)</f>
        <v>0</v>
      </c>
      <c r="AA87" s="20">
        <f>SUMIFS('Doc''s Pagos | Rodopar 108'!$J:$J,'Doc''s Pagos | Rodopar 108'!$A:$A,$B87&amp;$E87&amp;$F87&amp;$J87,'Doc''s Pagos | Rodopar 108'!$B:$B,AA$1)+SUMIFS('Doc Há Pagar | Rodopar 1015'!$J:$J,'Doc Há Pagar | Rodopar 1015'!$A:$A,$B87&amp;$E87&amp;$F87,'Doc Há Pagar | Rodopar 1015'!$B:$B,AA$1)</f>
        <v>0</v>
      </c>
      <c r="AB87" s="20">
        <f>SUMIFS('Doc''s Pagos | Rodopar 108'!$J:$J,'Doc''s Pagos | Rodopar 108'!$A:$A,$B87&amp;$E87&amp;$F87&amp;$J87,'Doc''s Pagos | Rodopar 108'!$B:$B,AB$1)+SUMIFS('Doc Há Pagar | Rodopar 1015'!$J:$J,'Doc Há Pagar | Rodopar 1015'!$A:$A,$B87&amp;$E87&amp;$F87,'Doc Há Pagar | Rodopar 1015'!$B:$B,AB$1)</f>
        <v>0</v>
      </c>
      <c r="AC87" s="20">
        <f>SUMIFS('Doc''s Pagos | Rodopar 108'!$J:$J,'Doc''s Pagos | Rodopar 108'!$A:$A,$B87&amp;$E87&amp;$F87&amp;$J87,'Doc''s Pagos | Rodopar 108'!$B:$B,AC$1)+SUMIFS('Doc Há Pagar | Rodopar 1015'!$J:$J,'Doc Há Pagar | Rodopar 1015'!$A:$A,$B87&amp;$E87&amp;$F87,'Doc Há Pagar | Rodopar 1015'!$B:$B,AC$1)</f>
        <v>0</v>
      </c>
      <c r="AD87" s="20">
        <f>SUMIFS('Doc''s Pagos | Rodopar 108'!$J:$J,'Doc''s Pagos | Rodopar 108'!$A:$A,$B87&amp;$E87&amp;$F87&amp;$J87,'Doc''s Pagos | Rodopar 108'!$B:$B,AD$1)+SUMIFS('Doc Há Pagar | Rodopar 1015'!$J:$J,'Doc Há Pagar | Rodopar 1015'!$A:$A,$B87&amp;$E87&amp;$F87,'Doc Há Pagar | Rodopar 1015'!$B:$B,AD$1)</f>
        <v>0</v>
      </c>
    </row>
    <row r="88" spans="1:30" x14ac:dyDescent="0.25">
      <c r="A88" s="1" t="str">
        <f>VLOOKUP($E88,Fornecedores!$A:$C,3,0)</f>
        <v>Frota</v>
      </c>
      <c r="B88" s="14">
        <v>11</v>
      </c>
      <c r="C88" s="14" t="str">
        <f>IFERROR(VLOOKUP($E88,Fornecedores!$A:$E,4,0),"")</f>
        <v>Lavagem</v>
      </c>
      <c r="D88" s="14" t="str">
        <f>IFERROR(VLOOKUP($E88,Fornecedores!$A:$E,5,0),"")</f>
        <v>Lavagem</v>
      </c>
      <c r="E88" s="8" t="s">
        <v>85</v>
      </c>
      <c r="F88" s="14" t="s">
        <v>665</v>
      </c>
      <c r="G88" s="8" t="s">
        <v>633</v>
      </c>
      <c r="H88" s="9">
        <v>87</v>
      </c>
      <c r="I88" s="21">
        <v>10950</v>
      </c>
      <c r="J88" s="11">
        <v>46085</v>
      </c>
      <c r="K88" s="11">
        <v>46087</v>
      </c>
      <c r="L88" s="8" t="s">
        <v>282</v>
      </c>
      <c r="M88" s="14" t="s">
        <v>234</v>
      </c>
      <c r="N88" s="16">
        <v>1556</v>
      </c>
      <c r="O88" s="14" t="s">
        <v>241</v>
      </c>
      <c r="P88" s="14"/>
      <c r="Q88" s="20">
        <f t="shared" si="1"/>
        <v>0</v>
      </c>
      <c r="S88" s="20">
        <f>SUMIFS('Doc''s Pagos | Rodopar 108'!$J:$J,'Doc''s Pagos | Rodopar 108'!$A:$A,$B88&amp;$E88&amp;$F88&amp;$J88,'Doc''s Pagos | Rodopar 108'!$B:$B,S$1)+SUMIFS('Doc Há Pagar | Rodopar 1015'!$J:$J,'Doc Há Pagar | Rodopar 1015'!$A:$A,$B88&amp;$E88&amp;$F88,'Doc Há Pagar | Rodopar 1015'!$B:$B,S$1)</f>
        <v>0</v>
      </c>
      <c r="T88" s="20">
        <f>SUMIFS('Doc''s Pagos | Rodopar 108'!$J:$J,'Doc''s Pagos | Rodopar 108'!$A:$A,$B88&amp;$E88&amp;$F88&amp;$J88,'Doc''s Pagos | Rodopar 108'!$B:$B,T$1)+SUMIFS('Doc Há Pagar | Rodopar 1015'!$J:$J,'Doc Há Pagar | Rodopar 1015'!$A:$A,$B88&amp;$E88&amp;$F88,'Doc Há Pagar | Rodopar 1015'!$B:$B,T$1)</f>
        <v>0</v>
      </c>
      <c r="U88" s="20">
        <f>SUMIFS('Doc''s Pagos | Rodopar 108'!$J:$J,'Doc''s Pagos | Rodopar 108'!$A:$A,$B88&amp;$E88&amp;$F88&amp;$J88,'Doc''s Pagos | Rodopar 108'!$B:$B,U$1)+SUMIFS('Doc Há Pagar | Rodopar 1015'!$J:$J,'Doc Há Pagar | Rodopar 1015'!$A:$A,$B88&amp;$E88&amp;$F88,'Doc Há Pagar | Rodopar 1015'!$B:$B,U$1)</f>
        <v>0</v>
      </c>
      <c r="V88" s="20">
        <f>SUMIFS('Doc''s Pagos | Rodopar 108'!$J:$J,'Doc''s Pagos | Rodopar 108'!$A:$A,$B88&amp;$E88&amp;$F88&amp;$J88,'Doc''s Pagos | Rodopar 108'!$B:$B,V$1)+SUMIFS('Doc Há Pagar | Rodopar 1015'!$J:$J,'Doc Há Pagar | Rodopar 1015'!$A:$A,$B88&amp;$E88&amp;$F88,'Doc Há Pagar | Rodopar 1015'!$B:$B,V$1)</f>
        <v>10950</v>
      </c>
      <c r="W88" s="20">
        <f>SUMIFS('Doc''s Pagos | Rodopar 108'!$J:$J,'Doc''s Pagos | Rodopar 108'!$A:$A,$B88&amp;$E88&amp;$F88&amp;$J88,'Doc''s Pagos | Rodopar 108'!$B:$B,W$1)+SUMIFS('Doc Há Pagar | Rodopar 1015'!$J:$J,'Doc Há Pagar | Rodopar 1015'!$A:$A,$B88&amp;$E88&amp;$F88,'Doc Há Pagar | Rodopar 1015'!$B:$B,W$1)</f>
        <v>0</v>
      </c>
      <c r="X88" s="20">
        <f>SUMIFS('Doc''s Pagos | Rodopar 108'!$J:$J,'Doc''s Pagos | Rodopar 108'!$A:$A,$B88&amp;$E88&amp;$F88&amp;$J88,'Doc''s Pagos | Rodopar 108'!$B:$B,X$1)+SUMIFS('Doc Há Pagar | Rodopar 1015'!$J:$J,'Doc Há Pagar | Rodopar 1015'!$A:$A,$B88&amp;$E88&amp;$F88,'Doc Há Pagar | Rodopar 1015'!$B:$B,X$1)</f>
        <v>0</v>
      </c>
      <c r="Y88" s="20">
        <f>SUMIFS('Doc''s Pagos | Rodopar 108'!$J:$J,'Doc''s Pagos | Rodopar 108'!$A:$A,$B88&amp;$E88&amp;$F88&amp;$J88,'Doc''s Pagos | Rodopar 108'!$B:$B,Y$1)+SUMIFS('Doc Há Pagar | Rodopar 1015'!$J:$J,'Doc Há Pagar | Rodopar 1015'!$A:$A,$B88&amp;$E88&amp;$F88,'Doc Há Pagar | Rodopar 1015'!$B:$B,Y$1)</f>
        <v>0</v>
      </c>
      <c r="Z88" s="20">
        <f>SUMIFS('Doc''s Pagos | Rodopar 108'!$J:$J,'Doc''s Pagos | Rodopar 108'!$A:$A,$B88&amp;$E88&amp;$F88&amp;$J88,'Doc''s Pagos | Rodopar 108'!$B:$B,Z$1)+SUMIFS('Doc Há Pagar | Rodopar 1015'!$J:$J,'Doc Há Pagar | Rodopar 1015'!$A:$A,$B88&amp;$E88&amp;$F88,'Doc Há Pagar | Rodopar 1015'!$B:$B,Z$1)</f>
        <v>0</v>
      </c>
      <c r="AA88" s="20">
        <f>SUMIFS('Doc''s Pagos | Rodopar 108'!$J:$J,'Doc''s Pagos | Rodopar 108'!$A:$A,$B88&amp;$E88&amp;$F88&amp;$J88,'Doc''s Pagos | Rodopar 108'!$B:$B,AA$1)+SUMIFS('Doc Há Pagar | Rodopar 1015'!$J:$J,'Doc Há Pagar | Rodopar 1015'!$A:$A,$B88&amp;$E88&amp;$F88,'Doc Há Pagar | Rodopar 1015'!$B:$B,AA$1)</f>
        <v>0</v>
      </c>
      <c r="AB88" s="20">
        <f>SUMIFS('Doc''s Pagos | Rodopar 108'!$J:$J,'Doc''s Pagos | Rodopar 108'!$A:$A,$B88&amp;$E88&amp;$F88&amp;$J88,'Doc''s Pagos | Rodopar 108'!$B:$B,AB$1)+SUMIFS('Doc Há Pagar | Rodopar 1015'!$J:$J,'Doc Há Pagar | Rodopar 1015'!$A:$A,$B88&amp;$E88&amp;$F88,'Doc Há Pagar | Rodopar 1015'!$B:$B,AB$1)</f>
        <v>0</v>
      </c>
      <c r="AC88" s="20">
        <f>SUMIFS('Doc''s Pagos | Rodopar 108'!$J:$J,'Doc''s Pagos | Rodopar 108'!$A:$A,$B88&amp;$E88&amp;$F88&amp;$J88,'Doc''s Pagos | Rodopar 108'!$B:$B,AC$1)+SUMIFS('Doc Há Pagar | Rodopar 1015'!$J:$J,'Doc Há Pagar | Rodopar 1015'!$A:$A,$B88&amp;$E88&amp;$F88,'Doc Há Pagar | Rodopar 1015'!$B:$B,AC$1)</f>
        <v>0</v>
      </c>
      <c r="AD88" s="20">
        <f>SUMIFS('Doc''s Pagos | Rodopar 108'!$J:$J,'Doc''s Pagos | Rodopar 108'!$A:$A,$B88&amp;$E88&amp;$F88&amp;$J88,'Doc''s Pagos | Rodopar 108'!$B:$B,AD$1)+SUMIFS('Doc Há Pagar | Rodopar 1015'!$J:$J,'Doc Há Pagar | Rodopar 1015'!$A:$A,$B88&amp;$E88&amp;$F88,'Doc Há Pagar | Rodopar 1015'!$B:$B,AD$1)</f>
        <v>0</v>
      </c>
    </row>
    <row r="89" spans="1:30" x14ac:dyDescent="0.25">
      <c r="A89" s="1" t="str">
        <f>VLOOKUP($E89,Fornecedores!$A:$C,3,0)</f>
        <v>Frota</v>
      </c>
      <c r="B89" s="14">
        <v>48</v>
      </c>
      <c r="C89" s="14" t="str">
        <f>IFERROR(VLOOKUP($E89,Fornecedores!$A:$E,4,0),"")</f>
        <v>Lavagem</v>
      </c>
      <c r="D89" s="14" t="str">
        <f>IFERROR(VLOOKUP($E89,Fornecedores!$A:$E,5,0),"")</f>
        <v>Lavagem</v>
      </c>
      <c r="E89" s="8" t="s">
        <v>44</v>
      </c>
      <c r="F89" s="14" t="s">
        <v>665</v>
      </c>
      <c r="G89" s="8" t="s">
        <v>899</v>
      </c>
      <c r="H89" s="9">
        <v>87</v>
      </c>
      <c r="I89" s="21">
        <v>190</v>
      </c>
      <c r="J89" s="11">
        <v>46085</v>
      </c>
      <c r="K89" s="11">
        <v>46087</v>
      </c>
      <c r="L89" s="8" t="s">
        <v>435</v>
      </c>
      <c r="M89" s="14" t="s">
        <v>234</v>
      </c>
      <c r="N89" s="16">
        <v>1556</v>
      </c>
      <c r="O89" s="14" t="s">
        <v>241</v>
      </c>
      <c r="P89" s="14"/>
      <c r="Q89" s="20">
        <f t="shared" si="1"/>
        <v>0</v>
      </c>
      <c r="S89" s="20">
        <f>SUMIFS('Doc''s Pagos | Rodopar 108'!$J:$J,'Doc''s Pagos | Rodopar 108'!$A:$A,$B89&amp;$E89&amp;$F89&amp;$J89,'Doc''s Pagos | Rodopar 108'!$B:$B,S$1)+SUMIFS('Doc Há Pagar | Rodopar 1015'!$J:$J,'Doc Há Pagar | Rodopar 1015'!$A:$A,$B89&amp;$E89&amp;$F89,'Doc Há Pagar | Rodopar 1015'!$B:$B,S$1)</f>
        <v>0</v>
      </c>
      <c r="T89" s="20">
        <f>SUMIFS('Doc''s Pagos | Rodopar 108'!$J:$J,'Doc''s Pagos | Rodopar 108'!$A:$A,$B89&amp;$E89&amp;$F89&amp;$J89,'Doc''s Pagos | Rodopar 108'!$B:$B,T$1)+SUMIFS('Doc Há Pagar | Rodopar 1015'!$J:$J,'Doc Há Pagar | Rodopar 1015'!$A:$A,$B89&amp;$E89&amp;$F89,'Doc Há Pagar | Rodopar 1015'!$B:$B,T$1)</f>
        <v>0</v>
      </c>
      <c r="U89" s="20">
        <f>SUMIFS('Doc''s Pagos | Rodopar 108'!$J:$J,'Doc''s Pagos | Rodopar 108'!$A:$A,$B89&amp;$E89&amp;$F89&amp;$J89,'Doc''s Pagos | Rodopar 108'!$B:$B,U$1)+SUMIFS('Doc Há Pagar | Rodopar 1015'!$J:$J,'Doc Há Pagar | Rodopar 1015'!$A:$A,$B89&amp;$E89&amp;$F89,'Doc Há Pagar | Rodopar 1015'!$B:$B,U$1)</f>
        <v>0</v>
      </c>
      <c r="V89" s="20">
        <f>SUMIFS('Doc''s Pagos | Rodopar 108'!$J:$J,'Doc''s Pagos | Rodopar 108'!$A:$A,$B89&amp;$E89&amp;$F89&amp;$J89,'Doc''s Pagos | Rodopar 108'!$B:$B,V$1)+SUMIFS('Doc Há Pagar | Rodopar 1015'!$J:$J,'Doc Há Pagar | Rodopar 1015'!$A:$A,$B89&amp;$E89&amp;$F89,'Doc Há Pagar | Rodopar 1015'!$B:$B,V$1)</f>
        <v>190</v>
      </c>
      <c r="W89" s="20">
        <f>SUMIFS('Doc''s Pagos | Rodopar 108'!$J:$J,'Doc''s Pagos | Rodopar 108'!$A:$A,$B89&amp;$E89&amp;$F89&amp;$J89,'Doc''s Pagos | Rodopar 108'!$B:$B,W$1)+SUMIFS('Doc Há Pagar | Rodopar 1015'!$J:$J,'Doc Há Pagar | Rodopar 1015'!$A:$A,$B89&amp;$E89&amp;$F89,'Doc Há Pagar | Rodopar 1015'!$B:$B,W$1)</f>
        <v>0</v>
      </c>
      <c r="X89" s="20">
        <f>SUMIFS('Doc''s Pagos | Rodopar 108'!$J:$J,'Doc''s Pagos | Rodopar 108'!$A:$A,$B89&amp;$E89&amp;$F89&amp;$J89,'Doc''s Pagos | Rodopar 108'!$B:$B,X$1)+SUMIFS('Doc Há Pagar | Rodopar 1015'!$J:$J,'Doc Há Pagar | Rodopar 1015'!$A:$A,$B89&amp;$E89&amp;$F89,'Doc Há Pagar | Rodopar 1015'!$B:$B,X$1)</f>
        <v>0</v>
      </c>
      <c r="Y89" s="20">
        <f>SUMIFS('Doc''s Pagos | Rodopar 108'!$J:$J,'Doc''s Pagos | Rodopar 108'!$A:$A,$B89&amp;$E89&amp;$F89&amp;$J89,'Doc''s Pagos | Rodopar 108'!$B:$B,Y$1)+SUMIFS('Doc Há Pagar | Rodopar 1015'!$J:$J,'Doc Há Pagar | Rodopar 1015'!$A:$A,$B89&amp;$E89&amp;$F89,'Doc Há Pagar | Rodopar 1015'!$B:$B,Y$1)</f>
        <v>0</v>
      </c>
      <c r="Z89" s="20">
        <f>SUMIFS('Doc''s Pagos | Rodopar 108'!$J:$J,'Doc''s Pagos | Rodopar 108'!$A:$A,$B89&amp;$E89&amp;$F89&amp;$J89,'Doc''s Pagos | Rodopar 108'!$B:$B,Z$1)+SUMIFS('Doc Há Pagar | Rodopar 1015'!$J:$J,'Doc Há Pagar | Rodopar 1015'!$A:$A,$B89&amp;$E89&amp;$F89,'Doc Há Pagar | Rodopar 1015'!$B:$B,Z$1)</f>
        <v>0</v>
      </c>
      <c r="AA89" s="20">
        <f>SUMIFS('Doc''s Pagos | Rodopar 108'!$J:$J,'Doc''s Pagos | Rodopar 108'!$A:$A,$B89&amp;$E89&amp;$F89&amp;$J89,'Doc''s Pagos | Rodopar 108'!$B:$B,AA$1)+SUMIFS('Doc Há Pagar | Rodopar 1015'!$J:$J,'Doc Há Pagar | Rodopar 1015'!$A:$A,$B89&amp;$E89&amp;$F89,'Doc Há Pagar | Rodopar 1015'!$B:$B,AA$1)</f>
        <v>0</v>
      </c>
      <c r="AB89" s="20">
        <f>SUMIFS('Doc''s Pagos | Rodopar 108'!$J:$J,'Doc''s Pagos | Rodopar 108'!$A:$A,$B89&amp;$E89&amp;$F89&amp;$J89,'Doc''s Pagos | Rodopar 108'!$B:$B,AB$1)+SUMIFS('Doc Há Pagar | Rodopar 1015'!$J:$J,'Doc Há Pagar | Rodopar 1015'!$A:$A,$B89&amp;$E89&amp;$F89,'Doc Há Pagar | Rodopar 1015'!$B:$B,AB$1)</f>
        <v>0</v>
      </c>
      <c r="AC89" s="20">
        <f>SUMIFS('Doc''s Pagos | Rodopar 108'!$J:$J,'Doc''s Pagos | Rodopar 108'!$A:$A,$B89&amp;$E89&amp;$F89&amp;$J89,'Doc''s Pagos | Rodopar 108'!$B:$B,AC$1)+SUMIFS('Doc Há Pagar | Rodopar 1015'!$J:$J,'Doc Há Pagar | Rodopar 1015'!$A:$A,$B89&amp;$E89&amp;$F89,'Doc Há Pagar | Rodopar 1015'!$B:$B,AC$1)</f>
        <v>0</v>
      </c>
      <c r="AD89" s="20">
        <f>SUMIFS('Doc''s Pagos | Rodopar 108'!$J:$J,'Doc''s Pagos | Rodopar 108'!$A:$A,$B89&amp;$E89&amp;$F89&amp;$J89,'Doc''s Pagos | Rodopar 108'!$B:$B,AD$1)+SUMIFS('Doc Há Pagar | Rodopar 1015'!$J:$J,'Doc Há Pagar | Rodopar 1015'!$A:$A,$B89&amp;$E89&amp;$F89,'Doc Há Pagar | Rodopar 1015'!$B:$B,AD$1)</f>
        <v>0</v>
      </c>
    </row>
    <row r="90" spans="1:30" x14ac:dyDescent="0.25">
      <c r="A90" s="1" t="str">
        <f>VLOOKUP($E90,Fornecedores!$A:$C,3,0)</f>
        <v>Frota</v>
      </c>
      <c r="B90" s="14">
        <v>670</v>
      </c>
      <c r="C90" s="14" t="str">
        <f>IFERROR(VLOOKUP($E90,Fornecedores!$A:$E,4,0),"")</f>
        <v>MTSR</v>
      </c>
      <c r="D90" s="14" t="str">
        <f>IFERROR(VLOOKUP($E90,Fornecedores!$A:$E,5,0),"")</f>
        <v>Tecnologia</v>
      </c>
      <c r="E90" s="8" t="s">
        <v>24</v>
      </c>
      <c r="F90" s="14" t="s">
        <v>665</v>
      </c>
      <c r="G90" s="8" t="s">
        <v>238</v>
      </c>
      <c r="H90" s="9">
        <v>87</v>
      </c>
      <c r="I90" s="21">
        <v>5941.35</v>
      </c>
      <c r="J90" s="11">
        <v>46085</v>
      </c>
      <c r="K90" s="11">
        <v>46087</v>
      </c>
      <c r="L90" s="8" t="s">
        <v>239</v>
      </c>
      <c r="M90" s="14" t="s">
        <v>240</v>
      </c>
      <c r="N90" s="16">
        <v>2556</v>
      </c>
      <c r="O90" s="14" t="s">
        <v>241</v>
      </c>
      <c r="P90" s="14"/>
      <c r="Q90" s="20">
        <f t="shared" si="1"/>
        <v>0</v>
      </c>
      <c r="S90" s="20">
        <f>SUMIFS('Doc''s Pagos | Rodopar 108'!$J:$J,'Doc''s Pagos | Rodopar 108'!$A:$A,$B90&amp;$E90&amp;$F90&amp;$J90,'Doc''s Pagos | Rodopar 108'!$B:$B,S$1)+SUMIFS('Doc Há Pagar | Rodopar 1015'!$J:$J,'Doc Há Pagar | Rodopar 1015'!$A:$A,$B90&amp;$E90&amp;$F90,'Doc Há Pagar | Rodopar 1015'!$B:$B,S$1)</f>
        <v>0</v>
      </c>
      <c r="T90" s="20">
        <f>SUMIFS('Doc''s Pagos | Rodopar 108'!$J:$J,'Doc''s Pagos | Rodopar 108'!$A:$A,$B90&amp;$E90&amp;$F90&amp;$J90,'Doc''s Pagos | Rodopar 108'!$B:$B,T$1)+SUMIFS('Doc Há Pagar | Rodopar 1015'!$J:$J,'Doc Há Pagar | Rodopar 1015'!$A:$A,$B90&amp;$E90&amp;$F90,'Doc Há Pagar | Rodopar 1015'!$B:$B,T$1)</f>
        <v>0</v>
      </c>
      <c r="U90" s="20">
        <f>SUMIFS('Doc''s Pagos | Rodopar 108'!$J:$J,'Doc''s Pagos | Rodopar 108'!$A:$A,$B90&amp;$E90&amp;$F90&amp;$J90,'Doc''s Pagos | Rodopar 108'!$B:$B,U$1)+SUMIFS('Doc Há Pagar | Rodopar 1015'!$J:$J,'Doc Há Pagar | Rodopar 1015'!$A:$A,$B90&amp;$E90&amp;$F90,'Doc Há Pagar | Rodopar 1015'!$B:$B,U$1)</f>
        <v>0</v>
      </c>
      <c r="V90" s="20">
        <f>SUMIFS('Doc''s Pagos | Rodopar 108'!$J:$J,'Doc''s Pagos | Rodopar 108'!$A:$A,$B90&amp;$E90&amp;$F90&amp;$J90,'Doc''s Pagos | Rodopar 108'!$B:$B,V$1)+SUMIFS('Doc Há Pagar | Rodopar 1015'!$J:$J,'Doc Há Pagar | Rodopar 1015'!$A:$A,$B90&amp;$E90&amp;$F90,'Doc Há Pagar | Rodopar 1015'!$B:$B,V$1)</f>
        <v>5941.35</v>
      </c>
      <c r="W90" s="20">
        <f>SUMIFS('Doc''s Pagos | Rodopar 108'!$J:$J,'Doc''s Pagos | Rodopar 108'!$A:$A,$B90&amp;$E90&amp;$F90&amp;$J90,'Doc''s Pagos | Rodopar 108'!$B:$B,W$1)+SUMIFS('Doc Há Pagar | Rodopar 1015'!$J:$J,'Doc Há Pagar | Rodopar 1015'!$A:$A,$B90&amp;$E90&amp;$F90,'Doc Há Pagar | Rodopar 1015'!$B:$B,W$1)</f>
        <v>0</v>
      </c>
      <c r="X90" s="20">
        <f>SUMIFS('Doc''s Pagos | Rodopar 108'!$J:$J,'Doc''s Pagos | Rodopar 108'!$A:$A,$B90&amp;$E90&amp;$F90&amp;$J90,'Doc''s Pagos | Rodopar 108'!$B:$B,X$1)+SUMIFS('Doc Há Pagar | Rodopar 1015'!$J:$J,'Doc Há Pagar | Rodopar 1015'!$A:$A,$B90&amp;$E90&amp;$F90,'Doc Há Pagar | Rodopar 1015'!$B:$B,X$1)</f>
        <v>0</v>
      </c>
      <c r="Y90" s="20">
        <f>SUMIFS('Doc''s Pagos | Rodopar 108'!$J:$J,'Doc''s Pagos | Rodopar 108'!$A:$A,$B90&amp;$E90&amp;$F90&amp;$J90,'Doc''s Pagos | Rodopar 108'!$B:$B,Y$1)+SUMIFS('Doc Há Pagar | Rodopar 1015'!$J:$J,'Doc Há Pagar | Rodopar 1015'!$A:$A,$B90&amp;$E90&amp;$F90,'Doc Há Pagar | Rodopar 1015'!$B:$B,Y$1)</f>
        <v>0</v>
      </c>
      <c r="Z90" s="20">
        <f>SUMIFS('Doc''s Pagos | Rodopar 108'!$J:$J,'Doc''s Pagos | Rodopar 108'!$A:$A,$B90&amp;$E90&amp;$F90&amp;$J90,'Doc''s Pagos | Rodopar 108'!$B:$B,Z$1)+SUMIFS('Doc Há Pagar | Rodopar 1015'!$J:$J,'Doc Há Pagar | Rodopar 1015'!$A:$A,$B90&amp;$E90&amp;$F90,'Doc Há Pagar | Rodopar 1015'!$B:$B,Z$1)</f>
        <v>0</v>
      </c>
      <c r="AA90" s="20">
        <f>SUMIFS('Doc''s Pagos | Rodopar 108'!$J:$J,'Doc''s Pagos | Rodopar 108'!$A:$A,$B90&amp;$E90&amp;$F90&amp;$J90,'Doc''s Pagos | Rodopar 108'!$B:$B,AA$1)+SUMIFS('Doc Há Pagar | Rodopar 1015'!$J:$J,'Doc Há Pagar | Rodopar 1015'!$A:$A,$B90&amp;$E90&amp;$F90,'Doc Há Pagar | Rodopar 1015'!$B:$B,AA$1)</f>
        <v>0</v>
      </c>
      <c r="AB90" s="20">
        <f>SUMIFS('Doc''s Pagos | Rodopar 108'!$J:$J,'Doc''s Pagos | Rodopar 108'!$A:$A,$B90&amp;$E90&amp;$F90&amp;$J90,'Doc''s Pagos | Rodopar 108'!$B:$B,AB$1)+SUMIFS('Doc Há Pagar | Rodopar 1015'!$J:$J,'Doc Há Pagar | Rodopar 1015'!$A:$A,$B90&amp;$E90&amp;$F90,'Doc Há Pagar | Rodopar 1015'!$B:$B,AB$1)</f>
        <v>0</v>
      </c>
      <c r="AC90" s="20">
        <f>SUMIFS('Doc''s Pagos | Rodopar 108'!$J:$J,'Doc''s Pagos | Rodopar 108'!$A:$A,$B90&amp;$E90&amp;$F90&amp;$J90,'Doc''s Pagos | Rodopar 108'!$B:$B,AC$1)+SUMIFS('Doc Há Pagar | Rodopar 1015'!$J:$J,'Doc Há Pagar | Rodopar 1015'!$A:$A,$B90&amp;$E90&amp;$F90,'Doc Há Pagar | Rodopar 1015'!$B:$B,AC$1)</f>
        <v>0</v>
      </c>
      <c r="AD90" s="20">
        <f>SUMIFS('Doc''s Pagos | Rodopar 108'!$J:$J,'Doc''s Pagos | Rodopar 108'!$A:$A,$B90&amp;$E90&amp;$F90&amp;$J90,'Doc''s Pagos | Rodopar 108'!$B:$B,AD$1)+SUMIFS('Doc Há Pagar | Rodopar 1015'!$J:$J,'Doc Há Pagar | Rodopar 1015'!$A:$A,$B90&amp;$E90&amp;$F90,'Doc Há Pagar | Rodopar 1015'!$B:$B,AD$1)</f>
        <v>0</v>
      </c>
    </row>
    <row r="91" spans="1:30" x14ac:dyDescent="0.25">
      <c r="A91" s="1" t="str">
        <f>VLOOKUP($E91,Fornecedores!$A:$C,3,0)</f>
        <v>Frota</v>
      </c>
      <c r="B91" s="14">
        <v>817947</v>
      </c>
      <c r="C91" s="14" t="str">
        <f>IFERROR(VLOOKUP($E91,Fornecedores!$A:$E,4,0),"")</f>
        <v>Telemetria</v>
      </c>
      <c r="D91" s="14" t="str">
        <f>IFERROR(VLOOKUP($E91,Fornecedores!$A:$E,5,0),"")</f>
        <v>Telemetria</v>
      </c>
      <c r="E91" s="8" t="s">
        <v>179</v>
      </c>
      <c r="F91" s="14" t="s">
        <v>665</v>
      </c>
      <c r="G91" s="8" t="s">
        <v>673</v>
      </c>
      <c r="H91" s="9">
        <v>87</v>
      </c>
      <c r="I91" s="21">
        <v>357.45</v>
      </c>
      <c r="J91" s="11">
        <v>46086</v>
      </c>
      <c r="K91" s="11">
        <v>46090</v>
      </c>
      <c r="L91" s="8" t="s">
        <v>674</v>
      </c>
      <c r="M91" s="14" t="s">
        <v>263</v>
      </c>
      <c r="N91" s="16">
        <v>2556</v>
      </c>
      <c r="O91" s="14" t="s">
        <v>241</v>
      </c>
      <c r="P91" s="14"/>
      <c r="Q91" s="20">
        <f t="shared" si="1"/>
        <v>0</v>
      </c>
      <c r="S91" s="20">
        <f>SUMIFS('Doc''s Pagos | Rodopar 108'!$J:$J,'Doc''s Pagos | Rodopar 108'!$A:$A,$B91&amp;$E91&amp;$F91&amp;$J91,'Doc''s Pagos | Rodopar 108'!$B:$B,S$1)+SUMIFS('Doc Há Pagar | Rodopar 1015'!$J:$J,'Doc Há Pagar | Rodopar 1015'!$A:$A,$B91&amp;$E91&amp;$F91,'Doc Há Pagar | Rodopar 1015'!$B:$B,S$1)</f>
        <v>0</v>
      </c>
      <c r="T91" s="20">
        <f>SUMIFS('Doc''s Pagos | Rodopar 108'!$J:$J,'Doc''s Pagos | Rodopar 108'!$A:$A,$B91&amp;$E91&amp;$F91&amp;$J91,'Doc''s Pagos | Rodopar 108'!$B:$B,T$1)+SUMIFS('Doc Há Pagar | Rodopar 1015'!$J:$J,'Doc Há Pagar | Rodopar 1015'!$A:$A,$B91&amp;$E91&amp;$F91,'Doc Há Pagar | Rodopar 1015'!$B:$B,T$1)</f>
        <v>0</v>
      </c>
      <c r="U91" s="20">
        <f>SUMIFS('Doc''s Pagos | Rodopar 108'!$J:$J,'Doc''s Pagos | Rodopar 108'!$A:$A,$B91&amp;$E91&amp;$F91&amp;$J91,'Doc''s Pagos | Rodopar 108'!$B:$B,U$1)+SUMIFS('Doc Há Pagar | Rodopar 1015'!$J:$J,'Doc Há Pagar | Rodopar 1015'!$A:$A,$B91&amp;$E91&amp;$F91,'Doc Há Pagar | Rodopar 1015'!$B:$B,U$1)</f>
        <v>0</v>
      </c>
      <c r="V91" s="20">
        <f>SUMIFS('Doc''s Pagos | Rodopar 108'!$J:$J,'Doc''s Pagos | Rodopar 108'!$A:$A,$B91&amp;$E91&amp;$F91&amp;$J91,'Doc''s Pagos | Rodopar 108'!$B:$B,V$1)+SUMIFS('Doc Há Pagar | Rodopar 1015'!$J:$J,'Doc Há Pagar | Rodopar 1015'!$A:$A,$B91&amp;$E91&amp;$F91,'Doc Há Pagar | Rodopar 1015'!$B:$B,V$1)</f>
        <v>357.45</v>
      </c>
      <c r="W91" s="20">
        <f>SUMIFS('Doc''s Pagos | Rodopar 108'!$J:$J,'Doc''s Pagos | Rodopar 108'!$A:$A,$B91&amp;$E91&amp;$F91&amp;$J91,'Doc''s Pagos | Rodopar 108'!$B:$B,W$1)+SUMIFS('Doc Há Pagar | Rodopar 1015'!$J:$J,'Doc Há Pagar | Rodopar 1015'!$A:$A,$B91&amp;$E91&amp;$F91,'Doc Há Pagar | Rodopar 1015'!$B:$B,W$1)</f>
        <v>0</v>
      </c>
      <c r="X91" s="20">
        <f>SUMIFS('Doc''s Pagos | Rodopar 108'!$J:$J,'Doc''s Pagos | Rodopar 108'!$A:$A,$B91&amp;$E91&amp;$F91&amp;$J91,'Doc''s Pagos | Rodopar 108'!$B:$B,X$1)+SUMIFS('Doc Há Pagar | Rodopar 1015'!$J:$J,'Doc Há Pagar | Rodopar 1015'!$A:$A,$B91&amp;$E91&amp;$F91,'Doc Há Pagar | Rodopar 1015'!$B:$B,X$1)</f>
        <v>0</v>
      </c>
      <c r="Y91" s="20">
        <f>SUMIFS('Doc''s Pagos | Rodopar 108'!$J:$J,'Doc''s Pagos | Rodopar 108'!$A:$A,$B91&amp;$E91&amp;$F91&amp;$J91,'Doc''s Pagos | Rodopar 108'!$B:$B,Y$1)+SUMIFS('Doc Há Pagar | Rodopar 1015'!$J:$J,'Doc Há Pagar | Rodopar 1015'!$A:$A,$B91&amp;$E91&amp;$F91,'Doc Há Pagar | Rodopar 1015'!$B:$B,Y$1)</f>
        <v>0</v>
      </c>
      <c r="Z91" s="20">
        <f>SUMIFS('Doc''s Pagos | Rodopar 108'!$J:$J,'Doc''s Pagos | Rodopar 108'!$A:$A,$B91&amp;$E91&amp;$F91&amp;$J91,'Doc''s Pagos | Rodopar 108'!$B:$B,Z$1)+SUMIFS('Doc Há Pagar | Rodopar 1015'!$J:$J,'Doc Há Pagar | Rodopar 1015'!$A:$A,$B91&amp;$E91&amp;$F91,'Doc Há Pagar | Rodopar 1015'!$B:$B,Z$1)</f>
        <v>0</v>
      </c>
      <c r="AA91" s="20">
        <f>SUMIFS('Doc''s Pagos | Rodopar 108'!$J:$J,'Doc''s Pagos | Rodopar 108'!$A:$A,$B91&amp;$E91&amp;$F91&amp;$J91,'Doc''s Pagos | Rodopar 108'!$B:$B,AA$1)+SUMIFS('Doc Há Pagar | Rodopar 1015'!$J:$J,'Doc Há Pagar | Rodopar 1015'!$A:$A,$B91&amp;$E91&amp;$F91,'Doc Há Pagar | Rodopar 1015'!$B:$B,AA$1)</f>
        <v>0</v>
      </c>
      <c r="AB91" s="20">
        <f>SUMIFS('Doc''s Pagos | Rodopar 108'!$J:$J,'Doc''s Pagos | Rodopar 108'!$A:$A,$B91&amp;$E91&amp;$F91&amp;$J91,'Doc''s Pagos | Rodopar 108'!$B:$B,AB$1)+SUMIFS('Doc Há Pagar | Rodopar 1015'!$J:$J,'Doc Há Pagar | Rodopar 1015'!$A:$A,$B91&amp;$E91&amp;$F91,'Doc Há Pagar | Rodopar 1015'!$B:$B,AB$1)</f>
        <v>0</v>
      </c>
      <c r="AC91" s="20">
        <f>SUMIFS('Doc''s Pagos | Rodopar 108'!$J:$J,'Doc''s Pagos | Rodopar 108'!$A:$A,$B91&amp;$E91&amp;$F91&amp;$J91,'Doc''s Pagos | Rodopar 108'!$B:$B,AC$1)+SUMIFS('Doc Há Pagar | Rodopar 1015'!$J:$J,'Doc Há Pagar | Rodopar 1015'!$A:$A,$B91&amp;$E91&amp;$F91,'Doc Há Pagar | Rodopar 1015'!$B:$B,AC$1)</f>
        <v>0</v>
      </c>
      <c r="AD91" s="20">
        <f>SUMIFS('Doc''s Pagos | Rodopar 108'!$J:$J,'Doc''s Pagos | Rodopar 108'!$A:$A,$B91&amp;$E91&amp;$F91&amp;$J91,'Doc''s Pagos | Rodopar 108'!$B:$B,AD$1)+SUMIFS('Doc Há Pagar | Rodopar 1015'!$J:$J,'Doc Há Pagar | Rodopar 1015'!$A:$A,$B91&amp;$E91&amp;$F91,'Doc Há Pagar | Rodopar 1015'!$B:$B,AD$1)</f>
        <v>0</v>
      </c>
    </row>
    <row r="92" spans="1:30" x14ac:dyDescent="0.25">
      <c r="A92" s="1" t="str">
        <f>VLOOKUP($E92,Fornecedores!$A:$C,3,0)</f>
        <v>Frota</v>
      </c>
      <c r="B92" s="14">
        <v>28967</v>
      </c>
      <c r="C92" s="14" t="str">
        <f>IFERROR(VLOOKUP($E92,Fornecedores!$A:$E,4,0),"")</f>
        <v>Manutenção</v>
      </c>
      <c r="D92" s="14" t="str">
        <f>IFERROR(VLOOKUP($E92,Fornecedores!$A:$E,5,0),"")</f>
        <v>Contrato</v>
      </c>
      <c r="E92" s="8" t="s">
        <v>127</v>
      </c>
      <c r="F92" s="14" t="s">
        <v>665</v>
      </c>
      <c r="G92" s="8" t="s">
        <v>809</v>
      </c>
      <c r="H92" s="9">
        <v>87</v>
      </c>
      <c r="I92" s="21">
        <v>52824.78</v>
      </c>
      <c r="J92" s="11">
        <v>46087</v>
      </c>
      <c r="K92" s="11">
        <v>46093</v>
      </c>
      <c r="L92" s="8" t="s">
        <v>810</v>
      </c>
      <c r="M92" s="14" t="s">
        <v>263</v>
      </c>
      <c r="N92" s="16">
        <v>2949</v>
      </c>
      <c r="O92" s="14" t="s">
        <v>410</v>
      </c>
      <c r="P92" s="14"/>
      <c r="Q92" s="20">
        <f t="shared" si="1"/>
        <v>0</v>
      </c>
      <c r="S92" s="20">
        <f>SUMIFS('Doc''s Pagos | Rodopar 108'!$J:$J,'Doc''s Pagos | Rodopar 108'!$A:$A,$B92&amp;$E92&amp;$F92&amp;$J92,'Doc''s Pagos | Rodopar 108'!$B:$B,S$1)+SUMIFS('Doc Há Pagar | Rodopar 1015'!$J:$J,'Doc Há Pagar | Rodopar 1015'!$A:$A,$B92&amp;$E92&amp;$F92,'Doc Há Pagar | Rodopar 1015'!$B:$B,S$1)</f>
        <v>0</v>
      </c>
      <c r="T92" s="20">
        <f>SUMIFS('Doc''s Pagos | Rodopar 108'!$J:$J,'Doc''s Pagos | Rodopar 108'!$A:$A,$B92&amp;$E92&amp;$F92&amp;$J92,'Doc''s Pagos | Rodopar 108'!$B:$B,T$1)+SUMIFS('Doc Há Pagar | Rodopar 1015'!$J:$J,'Doc Há Pagar | Rodopar 1015'!$A:$A,$B92&amp;$E92&amp;$F92,'Doc Há Pagar | Rodopar 1015'!$B:$B,T$1)</f>
        <v>0</v>
      </c>
      <c r="U92" s="20">
        <f>SUMIFS('Doc''s Pagos | Rodopar 108'!$J:$J,'Doc''s Pagos | Rodopar 108'!$A:$A,$B92&amp;$E92&amp;$F92&amp;$J92,'Doc''s Pagos | Rodopar 108'!$B:$B,U$1)+SUMIFS('Doc Há Pagar | Rodopar 1015'!$J:$J,'Doc Há Pagar | Rodopar 1015'!$A:$A,$B92&amp;$E92&amp;$F92,'Doc Há Pagar | Rodopar 1015'!$B:$B,U$1)</f>
        <v>0</v>
      </c>
      <c r="V92" s="20">
        <f>SUMIFS('Doc''s Pagos | Rodopar 108'!$J:$J,'Doc''s Pagos | Rodopar 108'!$A:$A,$B92&amp;$E92&amp;$F92&amp;$J92,'Doc''s Pagos | Rodopar 108'!$B:$B,V$1)+SUMIFS('Doc Há Pagar | Rodopar 1015'!$J:$J,'Doc Há Pagar | Rodopar 1015'!$A:$A,$B92&amp;$E92&amp;$F92,'Doc Há Pagar | Rodopar 1015'!$B:$B,V$1)</f>
        <v>52824.78</v>
      </c>
      <c r="W92" s="20">
        <f>SUMIFS('Doc''s Pagos | Rodopar 108'!$J:$J,'Doc''s Pagos | Rodopar 108'!$A:$A,$B92&amp;$E92&amp;$F92&amp;$J92,'Doc''s Pagos | Rodopar 108'!$B:$B,W$1)+SUMIFS('Doc Há Pagar | Rodopar 1015'!$J:$J,'Doc Há Pagar | Rodopar 1015'!$A:$A,$B92&amp;$E92&amp;$F92,'Doc Há Pagar | Rodopar 1015'!$B:$B,W$1)</f>
        <v>0</v>
      </c>
      <c r="X92" s="20">
        <f>SUMIFS('Doc''s Pagos | Rodopar 108'!$J:$J,'Doc''s Pagos | Rodopar 108'!$A:$A,$B92&amp;$E92&amp;$F92&amp;$J92,'Doc''s Pagos | Rodopar 108'!$B:$B,X$1)+SUMIFS('Doc Há Pagar | Rodopar 1015'!$J:$J,'Doc Há Pagar | Rodopar 1015'!$A:$A,$B92&amp;$E92&amp;$F92,'Doc Há Pagar | Rodopar 1015'!$B:$B,X$1)</f>
        <v>0</v>
      </c>
      <c r="Y92" s="20">
        <f>SUMIFS('Doc''s Pagos | Rodopar 108'!$J:$J,'Doc''s Pagos | Rodopar 108'!$A:$A,$B92&amp;$E92&amp;$F92&amp;$J92,'Doc''s Pagos | Rodopar 108'!$B:$B,Y$1)+SUMIFS('Doc Há Pagar | Rodopar 1015'!$J:$J,'Doc Há Pagar | Rodopar 1015'!$A:$A,$B92&amp;$E92&amp;$F92,'Doc Há Pagar | Rodopar 1015'!$B:$B,Y$1)</f>
        <v>0</v>
      </c>
      <c r="Z92" s="20">
        <f>SUMIFS('Doc''s Pagos | Rodopar 108'!$J:$J,'Doc''s Pagos | Rodopar 108'!$A:$A,$B92&amp;$E92&amp;$F92&amp;$J92,'Doc''s Pagos | Rodopar 108'!$B:$B,Z$1)+SUMIFS('Doc Há Pagar | Rodopar 1015'!$J:$J,'Doc Há Pagar | Rodopar 1015'!$A:$A,$B92&amp;$E92&amp;$F92,'Doc Há Pagar | Rodopar 1015'!$B:$B,Z$1)</f>
        <v>0</v>
      </c>
      <c r="AA92" s="20">
        <f>SUMIFS('Doc''s Pagos | Rodopar 108'!$J:$J,'Doc''s Pagos | Rodopar 108'!$A:$A,$B92&amp;$E92&amp;$F92&amp;$J92,'Doc''s Pagos | Rodopar 108'!$B:$B,AA$1)+SUMIFS('Doc Há Pagar | Rodopar 1015'!$J:$J,'Doc Há Pagar | Rodopar 1015'!$A:$A,$B92&amp;$E92&amp;$F92,'Doc Há Pagar | Rodopar 1015'!$B:$B,AA$1)</f>
        <v>0</v>
      </c>
      <c r="AB92" s="20">
        <f>SUMIFS('Doc''s Pagos | Rodopar 108'!$J:$J,'Doc''s Pagos | Rodopar 108'!$A:$A,$B92&amp;$E92&amp;$F92&amp;$J92,'Doc''s Pagos | Rodopar 108'!$B:$B,AB$1)+SUMIFS('Doc Há Pagar | Rodopar 1015'!$J:$J,'Doc Há Pagar | Rodopar 1015'!$A:$A,$B92&amp;$E92&amp;$F92,'Doc Há Pagar | Rodopar 1015'!$B:$B,AB$1)</f>
        <v>0</v>
      </c>
      <c r="AC92" s="20">
        <f>SUMIFS('Doc''s Pagos | Rodopar 108'!$J:$J,'Doc''s Pagos | Rodopar 108'!$A:$A,$B92&amp;$E92&amp;$F92&amp;$J92,'Doc''s Pagos | Rodopar 108'!$B:$B,AC$1)+SUMIFS('Doc Há Pagar | Rodopar 1015'!$J:$J,'Doc Há Pagar | Rodopar 1015'!$A:$A,$B92&amp;$E92&amp;$F92,'Doc Há Pagar | Rodopar 1015'!$B:$B,AC$1)</f>
        <v>0</v>
      </c>
      <c r="AD92" s="20">
        <f>SUMIFS('Doc''s Pagos | Rodopar 108'!$J:$J,'Doc''s Pagos | Rodopar 108'!$A:$A,$B92&amp;$E92&amp;$F92&amp;$J92,'Doc''s Pagos | Rodopar 108'!$B:$B,AD$1)+SUMIFS('Doc Há Pagar | Rodopar 1015'!$J:$J,'Doc Há Pagar | Rodopar 1015'!$A:$A,$B92&amp;$E92&amp;$F92,'Doc Há Pagar | Rodopar 1015'!$B:$B,AD$1)</f>
        <v>0</v>
      </c>
    </row>
    <row r="93" spans="1:30" x14ac:dyDescent="0.25">
      <c r="A93" s="1" t="str">
        <f>VLOOKUP($E93,Fornecedores!$A:$C,3,0)</f>
        <v>Frota</v>
      </c>
      <c r="B93" s="14">
        <v>60</v>
      </c>
      <c r="C93" s="14" t="str">
        <f>IFERROR(VLOOKUP($E93,Fornecedores!$A:$E,4,0),"")</f>
        <v>Manutenção</v>
      </c>
      <c r="D93" s="14" t="str">
        <f>IFERROR(VLOOKUP($E93,Fornecedores!$A:$E,5,0),"")</f>
        <v>Peças E Serviços</v>
      </c>
      <c r="E93" s="8" t="s">
        <v>204</v>
      </c>
      <c r="F93" s="14" t="s">
        <v>665</v>
      </c>
      <c r="G93" s="8" t="s">
        <v>396</v>
      </c>
      <c r="H93" s="9">
        <v>87</v>
      </c>
      <c r="I93" s="21">
        <v>350</v>
      </c>
      <c r="J93" s="11">
        <v>46087</v>
      </c>
      <c r="K93" s="11">
        <v>46090</v>
      </c>
      <c r="L93" s="8" t="s">
        <v>282</v>
      </c>
      <c r="M93" s="14" t="s">
        <v>234</v>
      </c>
      <c r="N93" s="16">
        <v>1556</v>
      </c>
      <c r="O93" s="14" t="s">
        <v>241</v>
      </c>
      <c r="P93" s="14"/>
      <c r="Q93" s="20">
        <f t="shared" si="1"/>
        <v>0</v>
      </c>
      <c r="S93" s="20">
        <f>SUMIFS('Doc''s Pagos | Rodopar 108'!$J:$J,'Doc''s Pagos | Rodopar 108'!$A:$A,$B93&amp;$E93&amp;$F93&amp;$J93,'Doc''s Pagos | Rodopar 108'!$B:$B,S$1)+SUMIFS('Doc Há Pagar | Rodopar 1015'!$J:$J,'Doc Há Pagar | Rodopar 1015'!$A:$A,$B93&amp;$E93&amp;$F93,'Doc Há Pagar | Rodopar 1015'!$B:$B,S$1)</f>
        <v>0</v>
      </c>
      <c r="T93" s="20">
        <f>SUMIFS('Doc''s Pagos | Rodopar 108'!$J:$J,'Doc''s Pagos | Rodopar 108'!$A:$A,$B93&amp;$E93&amp;$F93&amp;$J93,'Doc''s Pagos | Rodopar 108'!$B:$B,T$1)+SUMIFS('Doc Há Pagar | Rodopar 1015'!$J:$J,'Doc Há Pagar | Rodopar 1015'!$A:$A,$B93&amp;$E93&amp;$F93,'Doc Há Pagar | Rodopar 1015'!$B:$B,T$1)</f>
        <v>0</v>
      </c>
      <c r="U93" s="20">
        <f>SUMIFS('Doc''s Pagos | Rodopar 108'!$J:$J,'Doc''s Pagos | Rodopar 108'!$A:$A,$B93&amp;$E93&amp;$F93&amp;$J93,'Doc''s Pagos | Rodopar 108'!$B:$B,U$1)+SUMIFS('Doc Há Pagar | Rodopar 1015'!$J:$J,'Doc Há Pagar | Rodopar 1015'!$A:$A,$B93&amp;$E93&amp;$F93,'Doc Há Pagar | Rodopar 1015'!$B:$B,U$1)</f>
        <v>0</v>
      </c>
      <c r="V93" s="20">
        <f>SUMIFS('Doc''s Pagos | Rodopar 108'!$J:$J,'Doc''s Pagos | Rodopar 108'!$A:$A,$B93&amp;$E93&amp;$F93&amp;$J93,'Doc''s Pagos | Rodopar 108'!$B:$B,V$1)+SUMIFS('Doc Há Pagar | Rodopar 1015'!$J:$J,'Doc Há Pagar | Rodopar 1015'!$A:$A,$B93&amp;$E93&amp;$F93,'Doc Há Pagar | Rodopar 1015'!$B:$B,V$1)</f>
        <v>350</v>
      </c>
      <c r="W93" s="20">
        <f>SUMIFS('Doc''s Pagos | Rodopar 108'!$J:$J,'Doc''s Pagos | Rodopar 108'!$A:$A,$B93&amp;$E93&amp;$F93&amp;$J93,'Doc''s Pagos | Rodopar 108'!$B:$B,W$1)+SUMIFS('Doc Há Pagar | Rodopar 1015'!$J:$J,'Doc Há Pagar | Rodopar 1015'!$A:$A,$B93&amp;$E93&amp;$F93,'Doc Há Pagar | Rodopar 1015'!$B:$B,W$1)</f>
        <v>0</v>
      </c>
      <c r="X93" s="20">
        <f>SUMIFS('Doc''s Pagos | Rodopar 108'!$J:$J,'Doc''s Pagos | Rodopar 108'!$A:$A,$B93&amp;$E93&amp;$F93&amp;$J93,'Doc''s Pagos | Rodopar 108'!$B:$B,X$1)+SUMIFS('Doc Há Pagar | Rodopar 1015'!$J:$J,'Doc Há Pagar | Rodopar 1015'!$A:$A,$B93&amp;$E93&amp;$F93,'Doc Há Pagar | Rodopar 1015'!$B:$B,X$1)</f>
        <v>0</v>
      </c>
      <c r="Y93" s="20">
        <f>SUMIFS('Doc''s Pagos | Rodopar 108'!$J:$J,'Doc''s Pagos | Rodopar 108'!$A:$A,$B93&amp;$E93&amp;$F93&amp;$J93,'Doc''s Pagos | Rodopar 108'!$B:$B,Y$1)+SUMIFS('Doc Há Pagar | Rodopar 1015'!$J:$J,'Doc Há Pagar | Rodopar 1015'!$A:$A,$B93&amp;$E93&amp;$F93,'Doc Há Pagar | Rodopar 1015'!$B:$B,Y$1)</f>
        <v>0</v>
      </c>
      <c r="Z93" s="20">
        <f>SUMIFS('Doc''s Pagos | Rodopar 108'!$J:$J,'Doc''s Pagos | Rodopar 108'!$A:$A,$B93&amp;$E93&amp;$F93&amp;$J93,'Doc''s Pagos | Rodopar 108'!$B:$B,Z$1)+SUMIFS('Doc Há Pagar | Rodopar 1015'!$J:$J,'Doc Há Pagar | Rodopar 1015'!$A:$A,$B93&amp;$E93&amp;$F93,'Doc Há Pagar | Rodopar 1015'!$B:$B,Z$1)</f>
        <v>0</v>
      </c>
      <c r="AA93" s="20">
        <f>SUMIFS('Doc''s Pagos | Rodopar 108'!$J:$J,'Doc''s Pagos | Rodopar 108'!$A:$A,$B93&amp;$E93&amp;$F93&amp;$J93,'Doc''s Pagos | Rodopar 108'!$B:$B,AA$1)+SUMIFS('Doc Há Pagar | Rodopar 1015'!$J:$J,'Doc Há Pagar | Rodopar 1015'!$A:$A,$B93&amp;$E93&amp;$F93,'Doc Há Pagar | Rodopar 1015'!$B:$B,AA$1)</f>
        <v>0</v>
      </c>
      <c r="AB93" s="20">
        <f>SUMIFS('Doc''s Pagos | Rodopar 108'!$J:$J,'Doc''s Pagos | Rodopar 108'!$A:$A,$B93&amp;$E93&amp;$F93&amp;$J93,'Doc''s Pagos | Rodopar 108'!$B:$B,AB$1)+SUMIFS('Doc Há Pagar | Rodopar 1015'!$J:$J,'Doc Há Pagar | Rodopar 1015'!$A:$A,$B93&amp;$E93&amp;$F93,'Doc Há Pagar | Rodopar 1015'!$B:$B,AB$1)</f>
        <v>0</v>
      </c>
      <c r="AC93" s="20">
        <f>SUMIFS('Doc''s Pagos | Rodopar 108'!$J:$J,'Doc''s Pagos | Rodopar 108'!$A:$A,$B93&amp;$E93&amp;$F93&amp;$J93,'Doc''s Pagos | Rodopar 108'!$B:$B,AC$1)+SUMIFS('Doc Há Pagar | Rodopar 1015'!$J:$J,'Doc Há Pagar | Rodopar 1015'!$A:$A,$B93&amp;$E93&amp;$F93,'Doc Há Pagar | Rodopar 1015'!$B:$B,AC$1)</f>
        <v>0</v>
      </c>
      <c r="AD93" s="20">
        <f>SUMIFS('Doc''s Pagos | Rodopar 108'!$J:$J,'Doc''s Pagos | Rodopar 108'!$A:$A,$B93&amp;$E93&amp;$F93&amp;$J93,'Doc''s Pagos | Rodopar 108'!$B:$B,AD$1)+SUMIFS('Doc Há Pagar | Rodopar 1015'!$J:$J,'Doc Há Pagar | Rodopar 1015'!$A:$A,$B93&amp;$E93&amp;$F93,'Doc Há Pagar | Rodopar 1015'!$B:$B,AD$1)</f>
        <v>0</v>
      </c>
    </row>
    <row r="94" spans="1:30" x14ac:dyDescent="0.25">
      <c r="A94" s="1" t="str">
        <f>VLOOKUP($E94,Fornecedores!$A:$C,3,0)</f>
        <v>Frota</v>
      </c>
      <c r="B94" s="14">
        <v>671</v>
      </c>
      <c r="C94" s="14" t="str">
        <f>IFERROR(VLOOKUP($E94,Fornecedores!$A:$E,4,0),"")</f>
        <v>MTSR</v>
      </c>
      <c r="D94" s="14" t="str">
        <f>IFERROR(VLOOKUP($E94,Fornecedores!$A:$E,5,0),"")</f>
        <v>Tecnologia</v>
      </c>
      <c r="E94" s="8" t="s">
        <v>24</v>
      </c>
      <c r="F94" s="14" t="s">
        <v>665</v>
      </c>
      <c r="G94" s="8" t="s">
        <v>238</v>
      </c>
      <c r="H94" s="9">
        <v>87</v>
      </c>
      <c r="I94" s="21">
        <v>11929.32</v>
      </c>
      <c r="J94" s="11">
        <v>46087</v>
      </c>
      <c r="K94" s="11">
        <v>46087</v>
      </c>
      <c r="L94" s="8" t="s">
        <v>239</v>
      </c>
      <c r="M94" s="14" t="s">
        <v>240</v>
      </c>
      <c r="N94" s="16">
        <v>2556</v>
      </c>
      <c r="O94" s="14" t="s">
        <v>241</v>
      </c>
      <c r="P94" s="14"/>
      <c r="Q94" s="20">
        <f t="shared" si="1"/>
        <v>0</v>
      </c>
      <c r="S94" s="20">
        <f>SUMIFS('Doc''s Pagos | Rodopar 108'!$J:$J,'Doc''s Pagos | Rodopar 108'!$A:$A,$B94&amp;$E94&amp;$F94&amp;$J94,'Doc''s Pagos | Rodopar 108'!$B:$B,S$1)+SUMIFS('Doc Há Pagar | Rodopar 1015'!$J:$J,'Doc Há Pagar | Rodopar 1015'!$A:$A,$B94&amp;$E94&amp;$F94,'Doc Há Pagar | Rodopar 1015'!$B:$B,S$1)</f>
        <v>0</v>
      </c>
      <c r="T94" s="20">
        <f>SUMIFS('Doc''s Pagos | Rodopar 108'!$J:$J,'Doc''s Pagos | Rodopar 108'!$A:$A,$B94&amp;$E94&amp;$F94&amp;$J94,'Doc''s Pagos | Rodopar 108'!$B:$B,T$1)+SUMIFS('Doc Há Pagar | Rodopar 1015'!$J:$J,'Doc Há Pagar | Rodopar 1015'!$A:$A,$B94&amp;$E94&amp;$F94,'Doc Há Pagar | Rodopar 1015'!$B:$B,T$1)</f>
        <v>0</v>
      </c>
      <c r="U94" s="20">
        <f>SUMIFS('Doc''s Pagos | Rodopar 108'!$J:$J,'Doc''s Pagos | Rodopar 108'!$A:$A,$B94&amp;$E94&amp;$F94&amp;$J94,'Doc''s Pagos | Rodopar 108'!$B:$B,U$1)+SUMIFS('Doc Há Pagar | Rodopar 1015'!$J:$J,'Doc Há Pagar | Rodopar 1015'!$A:$A,$B94&amp;$E94&amp;$F94,'Doc Há Pagar | Rodopar 1015'!$B:$B,U$1)</f>
        <v>0</v>
      </c>
      <c r="V94" s="20">
        <f>SUMIFS('Doc''s Pagos | Rodopar 108'!$J:$J,'Doc''s Pagos | Rodopar 108'!$A:$A,$B94&amp;$E94&amp;$F94&amp;$J94,'Doc''s Pagos | Rodopar 108'!$B:$B,V$1)+SUMIFS('Doc Há Pagar | Rodopar 1015'!$J:$J,'Doc Há Pagar | Rodopar 1015'!$A:$A,$B94&amp;$E94&amp;$F94,'Doc Há Pagar | Rodopar 1015'!$B:$B,V$1)</f>
        <v>11929.32</v>
      </c>
      <c r="W94" s="20">
        <f>SUMIFS('Doc''s Pagos | Rodopar 108'!$J:$J,'Doc''s Pagos | Rodopar 108'!$A:$A,$B94&amp;$E94&amp;$F94&amp;$J94,'Doc''s Pagos | Rodopar 108'!$B:$B,W$1)+SUMIFS('Doc Há Pagar | Rodopar 1015'!$J:$J,'Doc Há Pagar | Rodopar 1015'!$A:$A,$B94&amp;$E94&amp;$F94,'Doc Há Pagar | Rodopar 1015'!$B:$B,W$1)</f>
        <v>0</v>
      </c>
      <c r="X94" s="20">
        <f>SUMIFS('Doc''s Pagos | Rodopar 108'!$J:$J,'Doc''s Pagos | Rodopar 108'!$A:$A,$B94&amp;$E94&amp;$F94&amp;$J94,'Doc''s Pagos | Rodopar 108'!$B:$B,X$1)+SUMIFS('Doc Há Pagar | Rodopar 1015'!$J:$J,'Doc Há Pagar | Rodopar 1015'!$A:$A,$B94&amp;$E94&amp;$F94,'Doc Há Pagar | Rodopar 1015'!$B:$B,X$1)</f>
        <v>0</v>
      </c>
      <c r="Y94" s="20">
        <f>SUMIFS('Doc''s Pagos | Rodopar 108'!$J:$J,'Doc''s Pagos | Rodopar 108'!$A:$A,$B94&amp;$E94&amp;$F94&amp;$J94,'Doc''s Pagos | Rodopar 108'!$B:$B,Y$1)+SUMIFS('Doc Há Pagar | Rodopar 1015'!$J:$J,'Doc Há Pagar | Rodopar 1015'!$A:$A,$B94&amp;$E94&amp;$F94,'Doc Há Pagar | Rodopar 1015'!$B:$B,Y$1)</f>
        <v>0</v>
      </c>
      <c r="Z94" s="20">
        <f>SUMIFS('Doc''s Pagos | Rodopar 108'!$J:$J,'Doc''s Pagos | Rodopar 108'!$A:$A,$B94&amp;$E94&amp;$F94&amp;$J94,'Doc''s Pagos | Rodopar 108'!$B:$B,Z$1)+SUMIFS('Doc Há Pagar | Rodopar 1015'!$J:$J,'Doc Há Pagar | Rodopar 1015'!$A:$A,$B94&amp;$E94&amp;$F94,'Doc Há Pagar | Rodopar 1015'!$B:$B,Z$1)</f>
        <v>0</v>
      </c>
      <c r="AA94" s="20">
        <f>SUMIFS('Doc''s Pagos | Rodopar 108'!$J:$J,'Doc''s Pagos | Rodopar 108'!$A:$A,$B94&amp;$E94&amp;$F94&amp;$J94,'Doc''s Pagos | Rodopar 108'!$B:$B,AA$1)+SUMIFS('Doc Há Pagar | Rodopar 1015'!$J:$J,'Doc Há Pagar | Rodopar 1015'!$A:$A,$B94&amp;$E94&amp;$F94,'Doc Há Pagar | Rodopar 1015'!$B:$B,AA$1)</f>
        <v>0</v>
      </c>
      <c r="AB94" s="20">
        <f>SUMIFS('Doc''s Pagos | Rodopar 108'!$J:$J,'Doc''s Pagos | Rodopar 108'!$A:$A,$B94&amp;$E94&amp;$F94&amp;$J94,'Doc''s Pagos | Rodopar 108'!$B:$B,AB$1)+SUMIFS('Doc Há Pagar | Rodopar 1015'!$J:$J,'Doc Há Pagar | Rodopar 1015'!$A:$A,$B94&amp;$E94&amp;$F94,'Doc Há Pagar | Rodopar 1015'!$B:$B,AB$1)</f>
        <v>0</v>
      </c>
      <c r="AC94" s="20">
        <f>SUMIFS('Doc''s Pagos | Rodopar 108'!$J:$J,'Doc''s Pagos | Rodopar 108'!$A:$A,$B94&amp;$E94&amp;$F94&amp;$J94,'Doc''s Pagos | Rodopar 108'!$B:$B,AC$1)+SUMIFS('Doc Há Pagar | Rodopar 1015'!$J:$J,'Doc Há Pagar | Rodopar 1015'!$A:$A,$B94&amp;$E94&amp;$F94,'Doc Há Pagar | Rodopar 1015'!$B:$B,AC$1)</f>
        <v>0</v>
      </c>
      <c r="AD94" s="20">
        <f>SUMIFS('Doc''s Pagos | Rodopar 108'!$J:$J,'Doc''s Pagos | Rodopar 108'!$A:$A,$B94&amp;$E94&amp;$F94&amp;$J94,'Doc''s Pagos | Rodopar 108'!$B:$B,AD$1)+SUMIFS('Doc Há Pagar | Rodopar 1015'!$J:$J,'Doc Há Pagar | Rodopar 1015'!$A:$A,$B94&amp;$E94&amp;$F94,'Doc Há Pagar | Rodopar 1015'!$B:$B,AD$1)</f>
        <v>0</v>
      </c>
    </row>
    <row r="95" spans="1:30" x14ac:dyDescent="0.25">
      <c r="A95" s="1" t="str">
        <f>VLOOKUP($E95,Fornecedores!$A:$C,3,0)</f>
        <v>Frota</v>
      </c>
      <c r="B95" s="14">
        <v>2725</v>
      </c>
      <c r="C95" s="14" t="str">
        <f>IFERROR(VLOOKUP($E95,Fornecedores!$A:$E,4,0),"")</f>
        <v>Manutenção</v>
      </c>
      <c r="D95" s="14" t="str">
        <f>IFERROR(VLOOKUP($E95,Fornecedores!$A:$E,5,0),"")</f>
        <v>Frota Leve OPE</v>
      </c>
      <c r="E95" s="8" t="s">
        <v>125</v>
      </c>
      <c r="F95" s="14" t="s">
        <v>380</v>
      </c>
      <c r="G95" s="8" t="s">
        <v>467</v>
      </c>
      <c r="H95" s="9">
        <v>87</v>
      </c>
      <c r="I95" s="21">
        <v>2413.29</v>
      </c>
      <c r="J95" s="11">
        <v>46090</v>
      </c>
      <c r="K95" s="11">
        <v>46091</v>
      </c>
      <c r="L95" s="8" t="s">
        <v>282</v>
      </c>
      <c r="M95" s="14" t="s">
        <v>234</v>
      </c>
      <c r="N95" s="16">
        <v>1556</v>
      </c>
      <c r="O95" s="14" t="s">
        <v>241</v>
      </c>
      <c r="P95" s="14"/>
      <c r="Q95" s="20">
        <f t="shared" si="1"/>
        <v>0</v>
      </c>
      <c r="S95" s="20">
        <f>SUMIFS('Doc''s Pagos | Rodopar 108'!$J:$J,'Doc''s Pagos | Rodopar 108'!$A:$A,$B95&amp;$E95&amp;$F95&amp;$J95,'Doc''s Pagos | Rodopar 108'!$B:$B,S$1)+SUMIFS('Doc Há Pagar | Rodopar 1015'!$J:$J,'Doc Há Pagar | Rodopar 1015'!$A:$A,$B95&amp;$E95&amp;$F95,'Doc Há Pagar | Rodopar 1015'!$B:$B,S$1)</f>
        <v>0</v>
      </c>
      <c r="T95" s="20">
        <f>SUMIFS('Doc''s Pagos | Rodopar 108'!$J:$J,'Doc''s Pagos | Rodopar 108'!$A:$A,$B95&amp;$E95&amp;$F95&amp;$J95,'Doc''s Pagos | Rodopar 108'!$B:$B,T$1)+SUMIFS('Doc Há Pagar | Rodopar 1015'!$J:$J,'Doc Há Pagar | Rodopar 1015'!$A:$A,$B95&amp;$E95&amp;$F95,'Doc Há Pagar | Rodopar 1015'!$B:$B,T$1)</f>
        <v>0</v>
      </c>
      <c r="U95" s="20">
        <f>SUMIFS('Doc''s Pagos | Rodopar 108'!$J:$J,'Doc''s Pagos | Rodopar 108'!$A:$A,$B95&amp;$E95&amp;$F95&amp;$J95,'Doc''s Pagos | Rodopar 108'!$B:$B,U$1)+SUMIFS('Doc Há Pagar | Rodopar 1015'!$J:$J,'Doc Há Pagar | Rodopar 1015'!$A:$A,$B95&amp;$E95&amp;$F95,'Doc Há Pagar | Rodopar 1015'!$B:$B,U$1)</f>
        <v>0</v>
      </c>
      <c r="V95" s="20">
        <f>SUMIFS('Doc''s Pagos | Rodopar 108'!$J:$J,'Doc''s Pagos | Rodopar 108'!$A:$A,$B95&amp;$E95&amp;$F95&amp;$J95,'Doc''s Pagos | Rodopar 108'!$B:$B,V$1)+SUMIFS('Doc Há Pagar | Rodopar 1015'!$J:$J,'Doc Há Pagar | Rodopar 1015'!$A:$A,$B95&amp;$E95&amp;$F95,'Doc Há Pagar | Rodopar 1015'!$B:$B,V$1)</f>
        <v>2413.29</v>
      </c>
      <c r="W95" s="20">
        <f>SUMIFS('Doc''s Pagos | Rodopar 108'!$J:$J,'Doc''s Pagos | Rodopar 108'!$A:$A,$B95&amp;$E95&amp;$F95&amp;$J95,'Doc''s Pagos | Rodopar 108'!$B:$B,W$1)+SUMIFS('Doc Há Pagar | Rodopar 1015'!$J:$J,'Doc Há Pagar | Rodopar 1015'!$A:$A,$B95&amp;$E95&amp;$F95,'Doc Há Pagar | Rodopar 1015'!$B:$B,W$1)</f>
        <v>0</v>
      </c>
      <c r="X95" s="20">
        <f>SUMIFS('Doc''s Pagos | Rodopar 108'!$J:$J,'Doc''s Pagos | Rodopar 108'!$A:$A,$B95&amp;$E95&amp;$F95&amp;$J95,'Doc''s Pagos | Rodopar 108'!$B:$B,X$1)+SUMIFS('Doc Há Pagar | Rodopar 1015'!$J:$J,'Doc Há Pagar | Rodopar 1015'!$A:$A,$B95&amp;$E95&amp;$F95,'Doc Há Pagar | Rodopar 1015'!$B:$B,X$1)</f>
        <v>0</v>
      </c>
      <c r="Y95" s="20">
        <f>SUMIFS('Doc''s Pagos | Rodopar 108'!$J:$J,'Doc''s Pagos | Rodopar 108'!$A:$A,$B95&amp;$E95&amp;$F95&amp;$J95,'Doc''s Pagos | Rodopar 108'!$B:$B,Y$1)+SUMIFS('Doc Há Pagar | Rodopar 1015'!$J:$J,'Doc Há Pagar | Rodopar 1015'!$A:$A,$B95&amp;$E95&amp;$F95,'Doc Há Pagar | Rodopar 1015'!$B:$B,Y$1)</f>
        <v>0</v>
      </c>
      <c r="Z95" s="20">
        <f>SUMIFS('Doc''s Pagos | Rodopar 108'!$J:$J,'Doc''s Pagos | Rodopar 108'!$A:$A,$B95&amp;$E95&amp;$F95&amp;$J95,'Doc''s Pagos | Rodopar 108'!$B:$B,Z$1)+SUMIFS('Doc Há Pagar | Rodopar 1015'!$J:$J,'Doc Há Pagar | Rodopar 1015'!$A:$A,$B95&amp;$E95&amp;$F95,'Doc Há Pagar | Rodopar 1015'!$B:$B,Z$1)</f>
        <v>0</v>
      </c>
      <c r="AA95" s="20">
        <f>SUMIFS('Doc''s Pagos | Rodopar 108'!$J:$J,'Doc''s Pagos | Rodopar 108'!$A:$A,$B95&amp;$E95&amp;$F95&amp;$J95,'Doc''s Pagos | Rodopar 108'!$B:$B,AA$1)+SUMIFS('Doc Há Pagar | Rodopar 1015'!$J:$J,'Doc Há Pagar | Rodopar 1015'!$A:$A,$B95&amp;$E95&amp;$F95,'Doc Há Pagar | Rodopar 1015'!$B:$B,AA$1)</f>
        <v>0</v>
      </c>
      <c r="AB95" s="20">
        <f>SUMIFS('Doc''s Pagos | Rodopar 108'!$J:$J,'Doc''s Pagos | Rodopar 108'!$A:$A,$B95&amp;$E95&amp;$F95&amp;$J95,'Doc''s Pagos | Rodopar 108'!$B:$B,AB$1)+SUMIFS('Doc Há Pagar | Rodopar 1015'!$J:$J,'Doc Há Pagar | Rodopar 1015'!$A:$A,$B95&amp;$E95&amp;$F95,'Doc Há Pagar | Rodopar 1015'!$B:$B,AB$1)</f>
        <v>0</v>
      </c>
      <c r="AC95" s="20">
        <f>SUMIFS('Doc''s Pagos | Rodopar 108'!$J:$J,'Doc''s Pagos | Rodopar 108'!$A:$A,$B95&amp;$E95&amp;$F95&amp;$J95,'Doc''s Pagos | Rodopar 108'!$B:$B,AC$1)+SUMIFS('Doc Há Pagar | Rodopar 1015'!$J:$J,'Doc Há Pagar | Rodopar 1015'!$A:$A,$B95&amp;$E95&amp;$F95,'Doc Há Pagar | Rodopar 1015'!$B:$B,AC$1)</f>
        <v>0</v>
      </c>
      <c r="AD95" s="20">
        <f>SUMIFS('Doc''s Pagos | Rodopar 108'!$J:$J,'Doc''s Pagos | Rodopar 108'!$A:$A,$B95&amp;$E95&amp;$F95&amp;$J95,'Doc''s Pagos | Rodopar 108'!$B:$B,AD$1)+SUMIFS('Doc Há Pagar | Rodopar 1015'!$J:$J,'Doc Há Pagar | Rodopar 1015'!$A:$A,$B95&amp;$E95&amp;$F95,'Doc Há Pagar | Rodopar 1015'!$B:$B,AD$1)</f>
        <v>0</v>
      </c>
    </row>
    <row r="96" spans="1:30" x14ac:dyDescent="0.25">
      <c r="A96" s="1" t="str">
        <f>VLOOKUP($E96,Fornecedores!$A:$C,3,0)</f>
        <v>Frota</v>
      </c>
      <c r="B96" s="14">
        <v>6207</v>
      </c>
      <c r="C96" s="14" t="str">
        <f>IFERROR(VLOOKUP($E96,Fornecedores!$A:$E,4,0),"")</f>
        <v>Manutenção</v>
      </c>
      <c r="D96" s="14" t="str">
        <f>IFERROR(VLOOKUP($E96,Fornecedores!$A:$E,5,0),"")</f>
        <v>Peças E Serviços</v>
      </c>
      <c r="E96" s="8" t="s">
        <v>111</v>
      </c>
      <c r="F96" s="14" t="s">
        <v>380</v>
      </c>
      <c r="G96" s="8" t="s">
        <v>563</v>
      </c>
      <c r="H96" s="9">
        <v>87</v>
      </c>
      <c r="I96" s="21">
        <v>37</v>
      </c>
      <c r="J96" s="11">
        <v>46090</v>
      </c>
      <c r="K96" s="11">
        <v>46091</v>
      </c>
      <c r="L96" s="8" t="s">
        <v>282</v>
      </c>
      <c r="M96" s="14" t="s">
        <v>234</v>
      </c>
      <c r="N96" s="16">
        <v>1556</v>
      </c>
      <c r="O96" s="14" t="s">
        <v>241</v>
      </c>
      <c r="P96" s="14"/>
      <c r="Q96" s="20">
        <f t="shared" si="1"/>
        <v>0</v>
      </c>
      <c r="S96" s="20">
        <f>SUMIFS('Doc''s Pagos | Rodopar 108'!$J:$J,'Doc''s Pagos | Rodopar 108'!$A:$A,$B96&amp;$E96&amp;$F96&amp;$J96,'Doc''s Pagos | Rodopar 108'!$B:$B,S$1)+SUMIFS('Doc Há Pagar | Rodopar 1015'!$J:$J,'Doc Há Pagar | Rodopar 1015'!$A:$A,$B96&amp;$E96&amp;$F96,'Doc Há Pagar | Rodopar 1015'!$B:$B,S$1)</f>
        <v>0</v>
      </c>
      <c r="T96" s="20">
        <f>SUMIFS('Doc''s Pagos | Rodopar 108'!$J:$J,'Doc''s Pagos | Rodopar 108'!$A:$A,$B96&amp;$E96&amp;$F96&amp;$J96,'Doc''s Pagos | Rodopar 108'!$B:$B,T$1)+SUMIFS('Doc Há Pagar | Rodopar 1015'!$J:$J,'Doc Há Pagar | Rodopar 1015'!$A:$A,$B96&amp;$E96&amp;$F96,'Doc Há Pagar | Rodopar 1015'!$B:$B,T$1)</f>
        <v>0</v>
      </c>
      <c r="U96" s="20">
        <f>SUMIFS('Doc''s Pagos | Rodopar 108'!$J:$J,'Doc''s Pagos | Rodopar 108'!$A:$A,$B96&amp;$E96&amp;$F96&amp;$J96,'Doc''s Pagos | Rodopar 108'!$B:$B,U$1)+SUMIFS('Doc Há Pagar | Rodopar 1015'!$J:$J,'Doc Há Pagar | Rodopar 1015'!$A:$A,$B96&amp;$E96&amp;$F96,'Doc Há Pagar | Rodopar 1015'!$B:$B,U$1)</f>
        <v>0</v>
      </c>
      <c r="V96" s="20">
        <f>SUMIFS('Doc''s Pagos | Rodopar 108'!$J:$J,'Doc''s Pagos | Rodopar 108'!$A:$A,$B96&amp;$E96&amp;$F96&amp;$J96,'Doc''s Pagos | Rodopar 108'!$B:$B,V$1)+SUMIFS('Doc Há Pagar | Rodopar 1015'!$J:$J,'Doc Há Pagar | Rodopar 1015'!$A:$A,$B96&amp;$E96&amp;$F96,'Doc Há Pagar | Rodopar 1015'!$B:$B,V$1)</f>
        <v>37</v>
      </c>
      <c r="W96" s="20">
        <f>SUMIFS('Doc''s Pagos | Rodopar 108'!$J:$J,'Doc''s Pagos | Rodopar 108'!$A:$A,$B96&amp;$E96&amp;$F96&amp;$J96,'Doc''s Pagos | Rodopar 108'!$B:$B,W$1)+SUMIFS('Doc Há Pagar | Rodopar 1015'!$J:$J,'Doc Há Pagar | Rodopar 1015'!$A:$A,$B96&amp;$E96&amp;$F96,'Doc Há Pagar | Rodopar 1015'!$B:$B,W$1)</f>
        <v>0</v>
      </c>
      <c r="X96" s="20">
        <f>SUMIFS('Doc''s Pagos | Rodopar 108'!$J:$J,'Doc''s Pagos | Rodopar 108'!$A:$A,$B96&amp;$E96&amp;$F96&amp;$J96,'Doc''s Pagos | Rodopar 108'!$B:$B,X$1)+SUMIFS('Doc Há Pagar | Rodopar 1015'!$J:$J,'Doc Há Pagar | Rodopar 1015'!$A:$A,$B96&amp;$E96&amp;$F96,'Doc Há Pagar | Rodopar 1015'!$B:$B,X$1)</f>
        <v>0</v>
      </c>
      <c r="Y96" s="20">
        <f>SUMIFS('Doc''s Pagos | Rodopar 108'!$J:$J,'Doc''s Pagos | Rodopar 108'!$A:$A,$B96&amp;$E96&amp;$F96&amp;$J96,'Doc''s Pagos | Rodopar 108'!$B:$B,Y$1)+SUMIFS('Doc Há Pagar | Rodopar 1015'!$J:$J,'Doc Há Pagar | Rodopar 1015'!$A:$A,$B96&amp;$E96&amp;$F96,'Doc Há Pagar | Rodopar 1015'!$B:$B,Y$1)</f>
        <v>0</v>
      </c>
      <c r="Z96" s="20">
        <f>SUMIFS('Doc''s Pagos | Rodopar 108'!$J:$J,'Doc''s Pagos | Rodopar 108'!$A:$A,$B96&amp;$E96&amp;$F96&amp;$J96,'Doc''s Pagos | Rodopar 108'!$B:$B,Z$1)+SUMIFS('Doc Há Pagar | Rodopar 1015'!$J:$J,'Doc Há Pagar | Rodopar 1015'!$A:$A,$B96&amp;$E96&amp;$F96,'Doc Há Pagar | Rodopar 1015'!$B:$B,Z$1)</f>
        <v>0</v>
      </c>
      <c r="AA96" s="20">
        <f>SUMIFS('Doc''s Pagos | Rodopar 108'!$J:$J,'Doc''s Pagos | Rodopar 108'!$A:$A,$B96&amp;$E96&amp;$F96&amp;$J96,'Doc''s Pagos | Rodopar 108'!$B:$B,AA$1)+SUMIFS('Doc Há Pagar | Rodopar 1015'!$J:$J,'Doc Há Pagar | Rodopar 1015'!$A:$A,$B96&amp;$E96&amp;$F96,'Doc Há Pagar | Rodopar 1015'!$B:$B,AA$1)</f>
        <v>0</v>
      </c>
      <c r="AB96" s="20">
        <f>SUMIFS('Doc''s Pagos | Rodopar 108'!$J:$J,'Doc''s Pagos | Rodopar 108'!$A:$A,$B96&amp;$E96&amp;$F96&amp;$J96,'Doc''s Pagos | Rodopar 108'!$B:$B,AB$1)+SUMIFS('Doc Há Pagar | Rodopar 1015'!$J:$J,'Doc Há Pagar | Rodopar 1015'!$A:$A,$B96&amp;$E96&amp;$F96,'Doc Há Pagar | Rodopar 1015'!$B:$B,AB$1)</f>
        <v>0</v>
      </c>
      <c r="AC96" s="20">
        <f>SUMIFS('Doc''s Pagos | Rodopar 108'!$J:$J,'Doc''s Pagos | Rodopar 108'!$A:$A,$B96&amp;$E96&amp;$F96&amp;$J96,'Doc''s Pagos | Rodopar 108'!$B:$B,AC$1)+SUMIFS('Doc Há Pagar | Rodopar 1015'!$J:$J,'Doc Há Pagar | Rodopar 1015'!$A:$A,$B96&amp;$E96&amp;$F96,'Doc Há Pagar | Rodopar 1015'!$B:$B,AC$1)</f>
        <v>0</v>
      </c>
      <c r="AD96" s="20">
        <f>SUMIFS('Doc''s Pagos | Rodopar 108'!$J:$J,'Doc''s Pagos | Rodopar 108'!$A:$A,$B96&amp;$E96&amp;$F96&amp;$J96,'Doc''s Pagos | Rodopar 108'!$B:$B,AD$1)+SUMIFS('Doc Há Pagar | Rodopar 1015'!$J:$J,'Doc Há Pagar | Rodopar 1015'!$A:$A,$B96&amp;$E96&amp;$F96,'Doc Há Pagar | Rodopar 1015'!$B:$B,AD$1)</f>
        <v>0</v>
      </c>
    </row>
    <row r="97" spans="1:30" x14ac:dyDescent="0.25">
      <c r="A97" s="1" t="str">
        <f>VLOOKUP($E97,Fornecedores!$A:$C,3,0)</f>
        <v>Frota</v>
      </c>
      <c r="B97" s="14">
        <v>141</v>
      </c>
      <c r="C97" s="14" t="str">
        <f>IFERROR(VLOOKUP($E97,Fornecedores!$A:$E,4,0),"")</f>
        <v>Pneus</v>
      </c>
      <c r="D97" s="14" t="str">
        <f>IFERROR(VLOOKUP($E97,Fornecedores!$A:$E,5,0),"")</f>
        <v>Serviços Gerais</v>
      </c>
      <c r="E97" s="8" t="s">
        <v>164</v>
      </c>
      <c r="F97" s="14" t="s">
        <v>665</v>
      </c>
      <c r="G97" s="8" t="s">
        <v>465</v>
      </c>
      <c r="H97" s="9">
        <v>87</v>
      </c>
      <c r="I97" s="21">
        <v>561</v>
      </c>
      <c r="J97" s="11">
        <v>46090</v>
      </c>
      <c r="K97" s="11">
        <v>46093</v>
      </c>
      <c r="L97" s="8" t="s">
        <v>282</v>
      </c>
      <c r="M97" s="14" t="s">
        <v>234</v>
      </c>
      <c r="N97" s="16">
        <v>1556</v>
      </c>
      <c r="O97" s="14" t="s">
        <v>241</v>
      </c>
      <c r="P97" s="14"/>
      <c r="Q97" s="20">
        <f t="shared" si="1"/>
        <v>0</v>
      </c>
      <c r="S97" s="20">
        <f>SUMIFS('Doc''s Pagos | Rodopar 108'!$J:$J,'Doc''s Pagos | Rodopar 108'!$A:$A,$B97&amp;$E97&amp;$F97&amp;$J97,'Doc''s Pagos | Rodopar 108'!$B:$B,S$1)+SUMIFS('Doc Há Pagar | Rodopar 1015'!$J:$J,'Doc Há Pagar | Rodopar 1015'!$A:$A,$B97&amp;$E97&amp;$F97,'Doc Há Pagar | Rodopar 1015'!$B:$B,S$1)</f>
        <v>0</v>
      </c>
      <c r="T97" s="20">
        <f>SUMIFS('Doc''s Pagos | Rodopar 108'!$J:$J,'Doc''s Pagos | Rodopar 108'!$A:$A,$B97&amp;$E97&amp;$F97&amp;$J97,'Doc''s Pagos | Rodopar 108'!$B:$B,T$1)+SUMIFS('Doc Há Pagar | Rodopar 1015'!$J:$J,'Doc Há Pagar | Rodopar 1015'!$A:$A,$B97&amp;$E97&amp;$F97,'Doc Há Pagar | Rodopar 1015'!$B:$B,T$1)</f>
        <v>0</v>
      </c>
      <c r="U97" s="20">
        <f>SUMIFS('Doc''s Pagos | Rodopar 108'!$J:$J,'Doc''s Pagos | Rodopar 108'!$A:$A,$B97&amp;$E97&amp;$F97&amp;$J97,'Doc''s Pagos | Rodopar 108'!$B:$B,U$1)+SUMIFS('Doc Há Pagar | Rodopar 1015'!$J:$J,'Doc Há Pagar | Rodopar 1015'!$A:$A,$B97&amp;$E97&amp;$F97,'Doc Há Pagar | Rodopar 1015'!$B:$B,U$1)</f>
        <v>0</v>
      </c>
      <c r="V97" s="20">
        <f>SUMIFS('Doc''s Pagos | Rodopar 108'!$J:$J,'Doc''s Pagos | Rodopar 108'!$A:$A,$B97&amp;$E97&amp;$F97&amp;$J97,'Doc''s Pagos | Rodopar 108'!$B:$B,V$1)+SUMIFS('Doc Há Pagar | Rodopar 1015'!$J:$J,'Doc Há Pagar | Rodopar 1015'!$A:$A,$B97&amp;$E97&amp;$F97,'Doc Há Pagar | Rodopar 1015'!$B:$B,V$1)</f>
        <v>561</v>
      </c>
      <c r="W97" s="20">
        <f>SUMIFS('Doc''s Pagos | Rodopar 108'!$J:$J,'Doc''s Pagos | Rodopar 108'!$A:$A,$B97&amp;$E97&amp;$F97&amp;$J97,'Doc''s Pagos | Rodopar 108'!$B:$B,W$1)+SUMIFS('Doc Há Pagar | Rodopar 1015'!$J:$J,'Doc Há Pagar | Rodopar 1015'!$A:$A,$B97&amp;$E97&amp;$F97,'Doc Há Pagar | Rodopar 1015'!$B:$B,W$1)</f>
        <v>0</v>
      </c>
      <c r="X97" s="20">
        <f>SUMIFS('Doc''s Pagos | Rodopar 108'!$J:$J,'Doc''s Pagos | Rodopar 108'!$A:$A,$B97&amp;$E97&amp;$F97&amp;$J97,'Doc''s Pagos | Rodopar 108'!$B:$B,X$1)+SUMIFS('Doc Há Pagar | Rodopar 1015'!$J:$J,'Doc Há Pagar | Rodopar 1015'!$A:$A,$B97&amp;$E97&amp;$F97,'Doc Há Pagar | Rodopar 1015'!$B:$B,X$1)</f>
        <v>0</v>
      </c>
      <c r="Y97" s="20">
        <f>SUMIFS('Doc''s Pagos | Rodopar 108'!$J:$J,'Doc''s Pagos | Rodopar 108'!$A:$A,$B97&amp;$E97&amp;$F97&amp;$J97,'Doc''s Pagos | Rodopar 108'!$B:$B,Y$1)+SUMIFS('Doc Há Pagar | Rodopar 1015'!$J:$J,'Doc Há Pagar | Rodopar 1015'!$A:$A,$B97&amp;$E97&amp;$F97,'Doc Há Pagar | Rodopar 1015'!$B:$B,Y$1)</f>
        <v>0</v>
      </c>
      <c r="Z97" s="20">
        <f>SUMIFS('Doc''s Pagos | Rodopar 108'!$J:$J,'Doc''s Pagos | Rodopar 108'!$A:$A,$B97&amp;$E97&amp;$F97&amp;$J97,'Doc''s Pagos | Rodopar 108'!$B:$B,Z$1)+SUMIFS('Doc Há Pagar | Rodopar 1015'!$J:$J,'Doc Há Pagar | Rodopar 1015'!$A:$A,$B97&amp;$E97&amp;$F97,'Doc Há Pagar | Rodopar 1015'!$B:$B,Z$1)</f>
        <v>0</v>
      </c>
      <c r="AA97" s="20">
        <f>SUMIFS('Doc''s Pagos | Rodopar 108'!$J:$J,'Doc''s Pagos | Rodopar 108'!$A:$A,$B97&amp;$E97&amp;$F97&amp;$J97,'Doc''s Pagos | Rodopar 108'!$B:$B,AA$1)+SUMIFS('Doc Há Pagar | Rodopar 1015'!$J:$J,'Doc Há Pagar | Rodopar 1015'!$A:$A,$B97&amp;$E97&amp;$F97,'Doc Há Pagar | Rodopar 1015'!$B:$B,AA$1)</f>
        <v>0</v>
      </c>
      <c r="AB97" s="20">
        <f>SUMIFS('Doc''s Pagos | Rodopar 108'!$J:$J,'Doc''s Pagos | Rodopar 108'!$A:$A,$B97&amp;$E97&amp;$F97&amp;$J97,'Doc''s Pagos | Rodopar 108'!$B:$B,AB$1)+SUMIFS('Doc Há Pagar | Rodopar 1015'!$J:$J,'Doc Há Pagar | Rodopar 1015'!$A:$A,$B97&amp;$E97&amp;$F97,'Doc Há Pagar | Rodopar 1015'!$B:$B,AB$1)</f>
        <v>0</v>
      </c>
      <c r="AC97" s="20">
        <f>SUMIFS('Doc''s Pagos | Rodopar 108'!$J:$J,'Doc''s Pagos | Rodopar 108'!$A:$A,$B97&amp;$E97&amp;$F97&amp;$J97,'Doc''s Pagos | Rodopar 108'!$B:$B,AC$1)+SUMIFS('Doc Há Pagar | Rodopar 1015'!$J:$J,'Doc Há Pagar | Rodopar 1015'!$A:$A,$B97&amp;$E97&amp;$F97,'Doc Há Pagar | Rodopar 1015'!$B:$B,AC$1)</f>
        <v>0</v>
      </c>
      <c r="AD97" s="20">
        <f>SUMIFS('Doc''s Pagos | Rodopar 108'!$J:$J,'Doc''s Pagos | Rodopar 108'!$A:$A,$B97&amp;$E97&amp;$F97&amp;$J97,'Doc''s Pagos | Rodopar 108'!$B:$B,AD$1)+SUMIFS('Doc Há Pagar | Rodopar 1015'!$J:$J,'Doc Há Pagar | Rodopar 1015'!$A:$A,$B97&amp;$E97&amp;$F97,'Doc Há Pagar | Rodopar 1015'!$B:$B,AD$1)</f>
        <v>0</v>
      </c>
    </row>
    <row r="98" spans="1:30" x14ac:dyDescent="0.25">
      <c r="A98" s="1" t="str">
        <f>VLOOKUP($E98,Fornecedores!$A:$C,3,0)</f>
        <v>Frota</v>
      </c>
      <c r="B98" s="14">
        <v>25</v>
      </c>
      <c r="C98" s="14" t="str">
        <f>IFERROR(VLOOKUP($E98,Fornecedores!$A:$E,4,0),"")</f>
        <v>Manutenção</v>
      </c>
      <c r="D98" s="14" t="str">
        <f>IFERROR(VLOOKUP($E98,Fornecedores!$A:$E,5,0),"")</f>
        <v>Frota Leve OPE</v>
      </c>
      <c r="E98" s="8" t="s">
        <v>125</v>
      </c>
      <c r="F98" s="14" t="s">
        <v>665</v>
      </c>
      <c r="G98" s="8" t="s">
        <v>467</v>
      </c>
      <c r="H98" s="9">
        <v>87</v>
      </c>
      <c r="I98" s="21">
        <v>550</v>
      </c>
      <c r="J98" s="11">
        <v>46090</v>
      </c>
      <c r="K98" s="11">
        <v>46091</v>
      </c>
      <c r="L98" s="8" t="s">
        <v>282</v>
      </c>
      <c r="M98" s="14" t="s">
        <v>234</v>
      </c>
      <c r="N98" s="16">
        <v>1556</v>
      </c>
      <c r="O98" s="14" t="s">
        <v>241</v>
      </c>
      <c r="P98" s="14"/>
      <c r="Q98" s="20">
        <f t="shared" si="1"/>
        <v>0</v>
      </c>
      <c r="S98" s="20">
        <f>SUMIFS('Doc''s Pagos | Rodopar 108'!$J:$J,'Doc''s Pagos | Rodopar 108'!$A:$A,$B98&amp;$E98&amp;$F98&amp;$J98,'Doc''s Pagos | Rodopar 108'!$B:$B,S$1)+SUMIFS('Doc Há Pagar | Rodopar 1015'!$J:$J,'Doc Há Pagar | Rodopar 1015'!$A:$A,$B98&amp;$E98&amp;$F98,'Doc Há Pagar | Rodopar 1015'!$B:$B,S$1)</f>
        <v>0</v>
      </c>
      <c r="T98" s="20">
        <f>SUMIFS('Doc''s Pagos | Rodopar 108'!$J:$J,'Doc''s Pagos | Rodopar 108'!$A:$A,$B98&amp;$E98&amp;$F98&amp;$J98,'Doc''s Pagos | Rodopar 108'!$B:$B,T$1)+SUMIFS('Doc Há Pagar | Rodopar 1015'!$J:$J,'Doc Há Pagar | Rodopar 1015'!$A:$A,$B98&amp;$E98&amp;$F98,'Doc Há Pagar | Rodopar 1015'!$B:$B,T$1)</f>
        <v>0</v>
      </c>
      <c r="U98" s="20">
        <f>SUMIFS('Doc''s Pagos | Rodopar 108'!$J:$J,'Doc''s Pagos | Rodopar 108'!$A:$A,$B98&amp;$E98&amp;$F98&amp;$J98,'Doc''s Pagos | Rodopar 108'!$B:$B,U$1)+SUMIFS('Doc Há Pagar | Rodopar 1015'!$J:$J,'Doc Há Pagar | Rodopar 1015'!$A:$A,$B98&amp;$E98&amp;$F98,'Doc Há Pagar | Rodopar 1015'!$B:$B,U$1)</f>
        <v>0</v>
      </c>
      <c r="V98" s="20">
        <f>SUMIFS('Doc''s Pagos | Rodopar 108'!$J:$J,'Doc''s Pagos | Rodopar 108'!$A:$A,$B98&amp;$E98&amp;$F98&amp;$J98,'Doc''s Pagos | Rodopar 108'!$B:$B,V$1)+SUMIFS('Doc Há Pagar | Rodopar 1015'!$J:$J,'Doc Há Pagar | Rodopar 1015'!$A:$A,$B98&amp;$E98&amp;$F98,'Doc Há Pagar | Rodopar 1015'!$B:$B,V$1)</f>
        <v>550</v>
      </c>
      <c r="W98" s="20">
        <f>SUMIFS('Doc''s Pagos | Rodopar 108'!$J:$J,'Doc''s Pagos | Rodopar 108'!$A:$A,$B98&amp;$E98&amp;$F98&amp;$J98,'Doc''s Pagos | Rodopar 108'!$B:$B,W$1)+SUMIFS('Doc Há Pagar | Rodopar 1015'!$J:$J,'Doc Há Pagar | Rodopar 1015'!$A:$A,$B98&amp;$E98&amp;$F98,'Doc Há Pagar | Rodopar 1015'!$B:$B,W$1)</f>
        <v>0</v>
      </c>
      <c r="X98" s="20">
        <f>SUMIFS('Doc''s Pagos | Rodopar 108'!$J:$J,'Doc''s Pagos | Rodopar 108'!$A:$A,$B98&amp;$E98&amp;$F98&amp;$J98,'Doc''s Pagos | Rodopar 108'!$B:$B,X$1)+SUMIFS('Doc Há Pagar | Rodopar 1015'!$J:$J,'Doc Há Pagar | Rodopar 1015'!$A:$A,$B98&amp;$E98&amp;$F98,'Doc Há Pagar | Rodopar 1015'!$B:$B,X$1)</f>
        <v>0</v>
      </c>
      <c r="Y98" s="20">
        <f>SUMIFS('Doc''s Pagos | Rodopar 108'!$J:$J,'Doc''s Pagos | Rodopar 108'!$A:$A,$B98&amp;$E98&amp;$F98&amp;$J98,'Doc''s Pagos | Rodopar 108'!$B:$B,Y$1)+SUMIFS('Doc Há Pagar | Rodopar 1015'!$J:$J,'Doc Há Pagar | Rodopar 1015'!$A:$A,$B98&amp;$E98&amp;$F98,'Doc Há Pagar | Rodopar 1015'!$B:$B,Y$1)</f>
        <v>0</v>
      </c>
      <c r="Z98" s="20">
        <f>SUMIFS('Doc''s Pagos | Rodopar 108'!$J:$J,'Doc''s Pagos | Rodopar 108'!$A:$A,$B98&amp;$E98&amp;$F98&amp;$J98,'Doc''s Pagos | Rodopar 108'!$B:$B,Z$1)+SUMIFS('Doc Há Pagar | Rodopar 1015'!$J:$J,'Doc Há Pagar | Rodopar 1015'!$A:$A,$B98&amp;$E98&amp;$F98,'Doc Há Pagar | Rodopar 1015'!$B:$B,Z$1)</f>
        <v>0</v>
      </c>
      <c r="AA98" s="20">
        <f>SUMIFS('Doc''s Pagos | Rodopar 108'!$J:$J,'Doc''s Pagos | Rodopar 108'!$A:$A,$B98&amp;$E98&amp;$F98&amp;$J98,'Doc''s Pagos | Rodopar 108'!$B:$B,AA$1)+SUMIFS('Doc Há Pagar | Rodopar 1015'!$J:$J,'Doc Há Pagar | Rodopar 1015'!$A:$A,$B98&amp;$E98&amp;$F98,'Doc Há Pagar | Rodopar 1015'!$B:$B,AA$1)</f>
        <v>0</v>
      </c>
      <c r="AB98" s="20">
        <f>SUMIFS('Doc''s Pagos | Rodopar 108'!$J:$J,'Doc''s Pagos | Rodopar 108'!$A:$A,$B98&amp;$E98&amp;$F98&amp;$J98,'Doc''s Pagos | Rodopar 108'!$B:$B,AB$1)+SUMIFS('Doc Há Pagar | Rodopar 1015'!$J:$J,'Doc Há Pagar | Rodopar 1015'!$A:$A,$B98&amp;$E98&amp;$F98,'Doc Há Pagar | Rodopar 1015'!$B:$B,AB$1)</f>
        <v>0</v>
      </c>
      <c r="AC98" s="20">
        <f>SUMIFS('Doc''s Pagos | Rodopar 108'!$J:$J,'Doc''s Pagos | Rodopar 108'!$A:$A,$B98&amp;$E98&amp;$F98&amp;$J98,'Doc''s Pagos | Rodopar 108'!$B:$B,AC$1)+SUMIFS('Doc Há Pagar | Rodopar 1015'!$J:$J,'Doc Há Pagar | Rodopar 1015'!$A:$A,$B98&amp;$E98&amp;$F98,'Doc Há Pagar | Rodopar 1015'!$B:$B,AC$1)</f>
        <v>0</v>
      </c>
      <c r="AD98" s="20">
        <f>SUMIFS('Doc''s Pagos | Rodopar 108'!$J:$J,'Doc''s Pagos | Rodopar 108'!$A:$A,$B98&amp;$E98&amp;$F98&amp;$J98,'Doc''s Pagos | Rodopar 108'!$B:$B,AD$1)+SUMIFS('Doc Há Pagar | Rodopar 1015'!$J:$J,'Doc Há Pagar | Rodopar 1015'!$A:$A,$B98&amp;$E98&amp;$F98,'Doc Há Pagar | Rodopar 1015'!$B:$B,AD$1)</f>
        <v>0</v>
      </c>
    </row>
    <row r="99" spans="1:30" x14ac:dyDescent="0.25">
      <c r="A99" s="1" t="str">
        <f>VLOOKUP($E99,Fornecedores!$A:$C,3,0)</f>
        <v>Frota</v>
      </c>
      <c r="B99" s="14">
        <v>3021</v>
      </c>
      <c r="C99" s="14" t="str">
        <f>IFERROR(VLOOKUP($E99,Fornecedores!$A:$E,4,0),"")</f>
        <v>Pneus</v>
      </c>
      <c r="D99" s="14" t="str">
        <f>IFERROR(VLOOKUP($E99,Fornecedores!$A:$E,5,0),"")</f>
        <v>Tecnologia</v>
      </c>
      <c r="E99" s="8" t="s">
        <v>145</v>
      </c>
      <c r="F99" s="14" t="s">
        <v>665</v>
      </c>
      <c r="G99" s="8" t="s">
        <v>644</v>
      </c>
      <c r="H99" s="9">
        <v>87</v>
      </c>
      <c r="I99" s="21">
        <v>936.1</v>
      </c>
      <c r="J99" s="11">
        <v>46090</v>
      </c>
      <c r="K99" s="11">
        <v>46097</v>
      </c>
      <c r="L99" s="8" t="s">
        <v>339</v>
      </c>
      <c r="M99" s="14" t="s">
        <v>263</v>
      </c>
      <c r="N99" s="16">
        <v>2949</v>
      </c>
      <c r="O99" s="14" t="s">
        <v>410</v>
      </c>
      <c r="P99" s="14"/>
      <c r="Q99" s="20">
        <f t="shared" si="1"/>
        <v>0</v>
      </c>
      <c r="S99" s="20">
        <f>SUMIFS('Doc''s Pagos | Rodopar 108'!$J:$J,'Doc''s Pagos | Rodopar 108'!$A:$A,$B99&amp;$E99&amp;$F99&amp;$J99,'Doc''s Pagos | Rodopar 108'!$B:$B,S$1)+SUMIFS('Doc Há Pagar | Rodopar 1015'!$J:$J,'Doc Há Pagar | Rodopar 1015'!$A:$A,$B99&amp;$E99&amp;$F99,'Doc Há Pagar | Rodopar 1015'!$B:$B,S$1)</f>
        <v>0</v>
      </c>
      <c r="T99" s="20">
        <f>SUMIFS('Doc''s Pagos | Rodopar 108'!$J:$J,'Doc''s Pagos | Rodopar 108'!$A:$A,$B99&amp;$E99&amp;$F99&amp;$J99,'Doc''s Pagos | Rodopar 108'!$B:$B,T$1)+SUMIFS('Doc Há Pagar | Rodopar 1015'!$J:$J,'Doc Há Pagar | Rodopar 1015'!$A:$A,$B99&amp;$E99&amp;$F99,'Doc Há Pagar | Rodopar 1015'!$B:$B,T$1)</f>
        <v>0</v>
      </c>
      <c r="U99" s="20">
        <f>SUMIFS('Doc''s Pagos | Rodopar 108'!$J:$J,'Doc''s Pagos | Rodopar 108'!$A:$A,$B99&amp;$E99&amp;$F99&amp;$J99,'Doc''s Pagos | Rodopar 108'!$B:$B,U$1)+SUMIFS('Doc Há Pagar | Rodopar 1015'!$J:$J,'Doc Há Pagar | Rodopar 1015'!$A:$A,$B99&amp;$E99&amp;$F99,'Doc Há Pagar | Rodopar 1015'!$B:$B,U$1)</f>
        <v>0</v>
      </c>
      <c r="V99" s="20">
        <f>SUMIFS('Doc''s Pagos | Rodopar 108'!$J:$J,'Doc''s Pagos | Rodopar 108'!$A:$A,$B99&amp;$E99&amp;$F99&amp;$J99,'Doc''s Pagos | Rodopar 108'!$B:$B,V$1)+SUMIFS('Doc Há Pagar | Rodopar 1015'!$J:$J,'Doc Há Pagar | Rodopar 1015'!$A:$A,$B99&amp;$E99&amp;$F99,'Doc Há Pagar | Rodopar 1015'!$B:$B,V$1)</f>
        <v>936.1</v>
      </c>
      <c r="W99" s="20">
        <f>SUMIFS('Doc''s Pagos | Rodopar 108'!$J:$J,'Doc''s Pagos | Rodopar 108'!$A:$A,$B99&amp;$E99&amp;$F99&amp;$J99,'Doc''s Pagos | Rodopar 108'!$B:$B,W$1)+SUMIFS('Doc Há Pagar | Rodopar 1015'!$J:$J,'Doc Há Pagar | Rodopar 1015'!$A:$A,$B99&amp;$E99&amp;$F99,'Doc Há Pagar | Rodopar 1015'!$B:$B,W$1)</f>
        <v>0</v>
      </c>
      <c r="X99" s="20">
        <f>SUMIFS('Doc''s Pagos | Rodopar 108'!$J:$J,'Doc''s Pagos | Rodopar 108'!$A:$A,$B99&amp;$E99&amp;$F99&amp;$J99,'Doc''s Pagos | Rodopar 108'!$B:$B,X$1)+SUMIFS('Doc Há Pagar | Rodopar 1015'!$J:$J,'Doc Há Pagar | Rodopar 1015'!$A:$A,$B99&amp;$E99&amp;$F99,'Doc Há Pagar | Rodopar 1015'!$B:$B,X$1)</f>
        <v>0</v>
      </c>
      <c r="Y99" s="20">
        <f>SUMIFS('Doc''s Pagos | Rodopar 108'!$J:$J,'Doc''s Pagos | Rodopar 108'!$A:$A,$B99&amp;$E99&amp;$F99&amp;$J99,'Doc''s Pagos | Rodopar 108'!$B:$B,Y$1)+SUMIFS('Doc Há Pagar | Rodopar 1015'!$J:$J,'Doc Há Pagar | Rodopar 1015'!$A:$A,$B99&amp;$E99&amp;$F99,'Doc Há Pagar | Rodopar 1015'!$B:$B,Y$1)</f>
        <v>0</v>
      </c>
      <c r="Z99" s="20">
        <f>SUMIFS('Doc''s Pagos | Rodopar 108'!$J:$J,'Doc''s Pagos | Rodopar 108'!$A:$A,$B99&amp;$E99&amp;$F99&amp;$J99,'Doc''s Pagos | Rodopar 108'!$B:$B,Z$1)+SUMIFS('Doc Há Pagar | Rodopar 1015'!$J:$J,'Doc Há Pagar | Rodopar 1015'!$A:$A,$B99&amp;$E99&amp;$F99,'Doc Há Pagar | Rodopar 1015'!$B:$B,Z$1)</f>
        <v>0</v>
      </c>
      <c r="AA99" s="20">
        <f>SUMIFS('Doc''s Pagos | Rodopar 108'!$J:$J,'Doc''s Pagos | Rodopar 108'!$A:$A,$B99&amp;$E99&amp;$F99&amp;$J99,'Doc''s Pagos | Rodopar 108'!$B:$B,AA$1)+SUMIFS('Doc Há Pagar | Rodopar 1015'!$J:$J,'Doc Há Pagar | Rodopar 1015'!$A:$A,$B99&amp;$E99&amp;$F99,'Doc Há Pagar | Rodopar 1015'!$B:$B,AA$1)</f>
        <v>0</v>
      </c>
      <c r="AB99" s="20">
        <f>SUMIFS('Doc''s Pagos | Rodopar 108'!$J:$J,'Doc''s Pagos | Rodopar 108'!$A:$A,$B99&amp;$E99&amp;$F99&amp;$J99,'Doc''s Pagos | Rodopar 108'!$B:$B,AB$1)+SUMIFS('Doc Há Pagar | Rodopar 1015'!$J:$J,'Doc Há Pagar | Rodopar 1015'!$A:$A,$B99&amp;$E99&amp;$F99,'Doc Há Pagar | Rodopar 1015'!$B:$B,AB$1)</f>
        <v>0</v>
      </c>
      <c r="AC99" s="20">
        <f>SUMIFS('Doc''s Pagos | Rodopar 108'!$J:$J,'Doc''s Pagos | Rodopar 108'!$A:$A,$B99&amp;$E99&amp;$F99&amp;$J99,'Doc''s Pagos | Rodopar 108'!$B:$B,AC$1)+SUMIFS('Doc Há Pagar | Rodopar 1015'!$J:$J,'Doc Há Pagar | Rodopar 1015'!$A:$A,$B99&amp;$E99&amp;$F99,'Doc Há Pagar | Rodopar 1015'!$B:$B,AC$1)</f>
        <v>0</v>
      </c>
      <c r="AD99" s="20">
        <f>SUMIFS('Doc''s Pagos | Rodopar 108'!$J:$J,'Doc''s Pagos | Rodopar 108'!$A:$A,$B99&amp;$E99&amp;$F99&amp;$J99,'Doc''s Pagos | Rodopar 108'!$B:$B,AD$1)+SUMIFS('Doc Há Pagar | Rodopar 1015'!$J:$J,'Doc Há Pagar | Rodopar 1015'!$A:$A,$B99&amp;$E99&amp;$F99,'Doc Há Pagar | Rodopar 1015'!$B:$B,AD$1)</f>
        <v>0</v>
      </c>
    </row>
    <row r="100" spans="1:30" x14ac:dyDescent="0.25">
      <c r="A100" s="1" t="str">
        <f>VLOOKUP($E100,Fornecedores!$A:$C,3,0)</f>
        <v>Frota</v>
      </c>
      <c r="B100" s="14">
        <v>35</v>
      </c>
      <c r="C100" s="14" t="str">
        <f>IFERROR(VLOOKUP($E100,Fornecedores!$A:$E,4,0),"")</f>
        <v>Manutenção</v>
      </c>
      <c r="D100" s="14" t="str">
        <f>IFERROR(VLOOKUP($E100,Fornecedores!$A:$E,5,0),"")</f>
        <v>Peças E Serviços</v>
      </c>
      <c r="E100" s="8" t="s">
        <v>111</v>
      </c>
      <c r="F100" s="14" t="s">
        <v>665</v>
      </c>
      <c r="G100" s="8" t="s">
        <v>563</v>
      </c>
      <c r="H100" s="9">
        <v>87</v>
      </c>
      <c r="I100" s="21">
        <v>1060</v>
      </c>
      <c r="J100" s="11">
        <v>46090</v>
      </c>
      <c r="K100" s="11">
        <v>46091</v>
      </c>
      <c r="L100" s="8" t="s">
        <v>282</v>
      </c>
      <c r="M100" s="14" t="s">
        <v>234</v>
      </c>
      <c r="N100" s="16">
        <v>1556</v>
      </c>
      <c r="O100" s="14" t="s">
        <v>241</v>
      </c>
      <c r="P100" s="14"/>
      <c r="Q100" s="20">
        <f t="shared" si="1"/>
        <v>0</v>
      </c>
      <c r="S100" s="20">
        <f>SUMIFS('Doc''s Pagos | Rodopar 108'!$J:$J,'Doc''s Pagos | Rodopar 108'!$A:$A,$B100&amp;$E100&amp;$F100&amp;$J100,'Doc''s Pagos | Rodopar 108'!$B:$B,S$1)+SUMIFS('Doc Há Pagar | Rodopar 1015'!$J:$J,'Doc Há Pagar | Rodopar 1015'!$A:$A,$B100&amp;$E100&amp;$F100,'Doc Há Pagar | Rodopar 1015'!$B:$B,S$1)</f>
        <v>0</v>
      </c>
      <c r="T100" s="20">
        <f>SUMIFS('Doc''s Pagos | Rodopar 108'!$J:$J,'Doc''s Pagos | Rodopar 108'!$A:$A,$B100&amp;$E100&amp;$F100&amp;$J100,'Doc''s Pagos | Rodopar 108'!$B:$B,T$1)+SUMIFS('Doc Há Pagar | Rodopar 1015'!$J:$J,'Doc Há Pagar | Rodopar 1015'!$A:$A,$B100&amp;$E100&amp;$F100,'Doc Há Pagar | Rodopar 1015'!$B:$B,T$1)</f>
        <v>0</v>
      </c>
      <c r="U100" s="20">
        <f>SUMIFS('Doc''s Pagos | Rodopar 108'!$J:$J,'Doc''s Pagos | Rodopar 108'!$A:$A,$B100&amp;$E100&amp;$F100&amp;$J100,'Doc''s Pagos | Rodopar 108'!$B:$B,U$1)+SUMIFS('Doc Há Pagar | Rodopar 1015'!$J:$J,'Doc Há Pagar | Rodopar 1015'!$A:$A,$B100&amp;$E100&amp;$F100,'Doc Há Pagar | Rodopar 1015'!$B:$B,U$1)</f>
        <v>0</v>
      </c>
      <c r="V100" s="20">
        <f>SUMIFS('Doc''s Pagos | Rodopar 108'!$J:$J,'Doc''s Pagos | Rodopar 108'!$A:$A,$B100&amp;$E100&amp;$F100&amp;$J100,'Doc''s Pagos | Rodopar 108'!$B:$B,V$1)+SUMIFS('Doc Há Pagar | Rodopar 1015'!$J:$J,'Doc Há Pagar | Rodopar 1015'!$A:$A,$B100&amp;$E100&amp;$F100,'Doc Há Pagar | Rodopar 1015'!$B:$B,V$1)</f>
        <v>1060</v>
      </c>
      <c r="W100" s="20">
        <f>SUMIFS('Doc''s Pagos | Rodopar 108'!$J:$J,'Doc''s Pagos | Rodopar 108'!$A:$A,$B100&amp;$E100&amp;$F100&amp;$J100,'Doc''s Pagos | Rodopar 108'!$B:$B,W$1)+SUMIFS('Doc Há Pagar | Rodopar 1015'!$J:$J,'Doc Há Pagar | Rodopar 1015'!$A:$A,$B100&amp;$E100&amp;$F100,'Doc Há Pagar | Rodopar 1015'!$B:$B,W$1)</f>
        <v>0</v>
      </c>
      <c r="X100" s="20">
        <f>SUMIFS('Doc''s Pagos | Rodopar 108'!$J:$J,'Doc''s Pagos | Rodopar 108'!$A:$A,$B100&amp;$E100&amp;$F100&amp;$J100,'Doc''s Pagos | Rodopar 108'!$B:$B,X$1)+SUMIFS('Doc Há Pagar | Rodopar 1015'!$J:$J,'Doc Há Pagar | Rodopar 1015'!$A:$A,$B100&amp;$E100&amp;$F100,'Doc Há Pagar | Rodopar 1015'!$B:$B,X$1)</f>
        <v>0</v>
      </c>
      <c r="Y100" s="20">
        <f>SUMIFS('Doc''s Pagos | Rodopar 108'!$J:$J,'Doc''s Pagos | Rodopar 108'!$A:$A,$B100&amp;$E100&amp;$F100&amp;$J100,'Doc''s Pagos | Rodopar 108'!$B:$B,Y$1)+SUMIFS('Doc Há Pagar | Rodopar 1015'!$J:$J,'Doc Há Pagar | Rodopar 1015'!$A:$A,$B100&amp;$E100&amp;$F100,'Doc Há Pagar | Rodopar 1015'!$B:$B,Y$1)</f>
        <v>0</v>
      </c>
      <c r="Z100" s="20">
        <f>SUMIFS('Doc''s Pagos | Rodopar 108'!$J:$J,'Doc''s Pagos | Rodopar 108'!$A:$A,$B100&amp;$E100&amp;$F100&amp;$J100,'Doc''s Pagos | Rodopar 108'!$B:$B,Z$1)+SUMIFS('Doc Há Pagar | Rodopar 1015'!$J:$J,'Doc Há Pagar | Rodopar 1015'!$A:$A,$B100&amp;$E100&amp;$F100,'Doc Há Pagar | Rodopar 1015'!$B:$B,Z$1)</f>
        <v>0</v>
      </c>
      <c r="AA100" s="20">
        <f>SUMIFS('Doc''s Pagos | Rodopar 108'!$J:$J,'Doc''s Pagos | Rodopar 108'!$A:$A,$B100&amp;$E100&amp;$F100&amp;$J100,'Doc''s Pagos | Rodopar 108'!$B:$B,AA$1)+SUMIFS('Doc Há Pagar | Rodopar 1015'!$J:$J,'Doc Há Pagar | Rodopar 1015'!$A:$A,$B100&amp;$E100&amp;$F100,'Doc Há Pagar | Rodopar 1015'!$B:$B,AA$1)</f>
        <v>0</v>
      </c>
      <c r="AB100" s="20">
        <f>SUMIFS('Doc''s Pagos | Rodopar 108'!$J:$J,'Doc''s Pagos | Rodopar 108'!$A:$A,$B100&amp;$E100&amp;$F100&amp;$J100,'Doc''s Pagos | Rodopar 108'!$B:$B,AB$1)+SUMIFS('Doc Há Pagar | Rodopar 1015'!$J:$J,'Doc Há Pagar | Rodopar 1015'!$A:$A,$B100&amp;$E100&amp;$F100,'Doc Há Pagar | Rodopar 1015'!$B:$B,AB$1)</f>
        <v>0</v>
      </c>
      <c r="AC100" s="20">
        <f>SUMIFS('Doc''s Pagos | Rodopar 108'!$J:$J,'Doc''s Pagos | Rodopar 108'!$A:$A,$B100&amp;$E100&amp;$F100&amp;$J100,'Doc''s Pagos | Rodopar 108'!$B:$B,AC$1)+SUMIFS('Doc Há Pagar | Rodopar 1015'!$J:$J,'Doc Há Pagar | Rodopar 1015'!$A:$A,$B100&amp;$E100&amp;$F100,'Doc Há Pagar | Rodopar 1015'!$B:$B,AC$1)</f>
        <v>0</v>
      </c>
      <c r="AD100" s="20">
        <f>SUMIFS('Doc''s Pagos | Rodopar 108'!$J:$J,'Doc''s Pagos | Rodopar 108'!$A:$A,$B100&amp;$E100&amp;$F100&amp;$J100,'Doc''s Pagos | Rodopar 108'!$B:$B,AD$1)+SUMIFS('Doc Há Pagar | Rodopar 1015'!$J:$J,'Doc Há Pagar | Rodopar 1015'!$A:$A,$B100&amp;$E100&amp;$F100,'Doc Há Pagar | Rodopar 1015'!$B:$B,AD$1)</f>
        <v>0</v>
      </c>
    </row>
    <row r="101" spans="1:30" x14ac:dyDescent="0.25">
      <c r="A101" s="1" t="str">
        <f>VLOOKUP($E101,Fornecedores!$A:$C,3,0)</f>
        <v>Frota</v>
      </c>
      <c r="B101" s="14">
        <v>67</v>
      </c>
      <c r="C101" s="14" t="str">
        <f>IFERROR(VLOOKUP($E101,Fornecedores!$A:$E,4,0),"")</f>
        <v>Manutenção</v>
      </c>
      <c r="D101" s="14" t="str">
        <f>IFERROR(VLOOKUP($E101,Fornecedores!$A:$E,5,0),"")</f>
        <v>Peças E Serviços</v>
      </c>
      <c r="E101" s="8" t="s">
        <v>67</v>
      </c>
      <c r="F101" s="14" t="s">
        <v>665</v>
      </c>
      <c r="G101" s="8" t="s">
        <v>931</v>
      </c>
      <c r="H101" s="9">
        <v>87</v>
      </c>
      <c r="I101" s="21">
        <v>2700</v>
      </c>
      <c r="J101" s="11">
        <v>46090</v>
      </c>
      <c r="K101" s="11">
        <v>46091</v>
      </c>
      <c r="L101" s="8" t="s">
        <v>932</v>
      </c>
      <c r="M101" s="14" t="s">
        <v>234</v>
      </c>
      <c r="N101" s="16">
        <v>1556</v>
      </c>
      <c r="O101" s="14" t="s">
        <v>241</v>
      </c>
      <c r="P101" s="14"/>
      <c r="Q101" s="20">
        <f t="shared" si="1"/>
        <v>0</v>
      </c>
      <c r="S101" s="20">
        <f>SUMIFS('Doc''s Pagos | Rodopar 108'!$J:$J,'Doc''s Pagos | Rodopar 108'!$A:$A,$B101&amp;$E101&amp;$F101&amp;$J101,'Doc''s Pagos | Rodopar 108'!$B:$B,S$1)+SUMIFS('Doc Há Pagar | Rodopar 1015'!$J:$J,'Doc Há Pagar | Rodopar 1015'!$A:$A,$B101&amp;$E101&amp;$F101,'Doc Há Pagar | Rodopar 1015'!$B:$B,S$1)</f>
        <v>0</v>
      </c>
      <c r="T101" s="20">
        <f>SUMIFS('Doc''s Pagos | Rodopar 108'!$J:$J,'Doc''s Pagos | Rodopar 108'!$A:$A,$B101&amp;$E101&amp;$F101&amp;$J101,'Doc''s Pagos | Rodopar 108'!$B:$B,T$1)+SUMIFS('Doc Há Pagar | Rodopar 1015'!$J:$J,'Doc Há Pagar | Rodopar 1015'!$A:$A,$B101&amp;$E101&amp;$F101,'Doc Há Pagar | Rodopar 1015'!$B:$B,T$1)</f>
        <v>0</v>
      </c>
      <c r="U101" s="20">
        <f>SUMIFS('Doc''s Pagos | Rodopar 108'!$J:$J,'Doc''s Pagos | Rodopar 108'!$A:$A,$B101&amp;$E101&amp;$F101&amp;$J101,'Doc''s Pagos | Rodopar 108'!$B:$B,U$1)+SUMIFS('Doc Há Pagar | Rodopar 1015'!$J:$J,'Doc Há Pagar | Rodopar 1015'!$A:$A,$B101&amp;$E101&amp;$F101,'Doc Há Pagar | Rodopar 1015'!$B:$B,U$1)</f>
        <v>0</v>
      </c>
      <c r="V101" s="20">
        <f>SUMIFS('Doc''s Pagos | Rodopar 108'!$J:$J,'Doc''s Pagos | Rodopar 108'!$A:$A,$B101&amp;$E101&amp;$F101&amp;$J101,'Doc''s Pagos | Rodopar 108'!$B:$B,V$1)+SUMIFS('Doc Há Pagar | Rodopar 1015'!$J:$J,'Doc Há Pagar | Rodopar 1015'!$A:$A,$B101&amp;$E101&amp;$F101,'Doc Há Pagar | Rodopar 1015'!$B:$B,V$1)</f>
        <v>2700</v>
      </c>
      <c r="W101" s="20">
        <f>SUMIFS('Doc''s Pagos | Rodopar 108'!$J:$J,'Doc''s Pagos | Rodopar 108'!$A:$A,$B101&amp;$E101&amp;$F101&amp;$J101,'Doc''s Pagos | Rodopar 108'!$B:$B,W$1)+SUMIFS('Doc Há Pagar | Rodopar 1015'!$J:$J,'Doc Há Pagar | Rodopar 1015'!$A:$A,$B101&amp;$E101&amp;$F101,'Doc Há Pagar | Rodopar 1015'!$B:$B,W$1)</f>
        <v>0</v>
      </c>
      <c r="X101" s="20">
        <f>SUMIFS('Doc''s Pagos | Rodopar 108'!$J:$J,'Doc''s Pagos | Rodopar 108'!$A:$A,$B101&amp;$E101&amp;$F101&amp;$J101,'Doc''s Pagos | Rodopar 108'!$B:$B,X$1)+SUMIFS('Doc Há Pagar | Rodopar 1015'!$J:$J,'Doc Há Pagar | Rodopar 1015'!$A:$A,$B101&amp;$E101&amp;$F101,'Doc Há Pagar | Rodopar 1015'!$B:$B,X$1)</f>
        <v>0</v>
      </c>
      <c r="Y101" s="20">
        <f>SUMIFS('Doc''s Pagos | Rodopar 108'!$J:$J,'Doc''s Pagos | Rodopar 108'!$A:$A,$B101&amp;$E101&amp;$F101&amp;$J101,'Doc''s Pagos | Rodopar 108'!$B:$B,Y$1)+SUMIFS('Doc Há Pagar | Rodopar 1015'!$J:$J,'Doc Há Pagar | Rodopar 1015'!$A:$A,$B101&amp;$E101&amp;$F101,'Doc Há Pagar | Rodopar 1015'!$B:$B,Y$1)</f>
        <v>0</v>
      </c>
      <c r="Z101" s="20">
        <f>SUMIFS('Doc''s Pagos | Rodopar 108'!$J:$J,'Doc''s Pagos | Rodopar 108'!$A:$A,$B101&amp;$E101&amp;$F101&amp;$J101,'Doc''s Pagos | Rodopar 108'!$B:$B,Z$1)+SUMIFS('Doc Há Pagar | Rodopar 1015'!$J:$J,'Doc Há Pagar | Rodopar 1015'!$A:$A,$B101&amp;$E101&amp;$F101,'Doc Há Pagar | Rodopar 1015'!$B:$B,Z$1)</f>
        <v>0</v>
      </c>
      <c r="AA101" s="20">
        <f>SUMIFS('Doc''s Pagos | Rodopar 108'!$J:$J,'Doc''s Pagos | Rodopar 108'!$A:$A,$B101&amp;$E101&amp;$F101&amp;$J101,'Doc''s Pagos | Rodopar 108'!$B:$B,AA$1)+SUMIFS('Doc Há Pagar | Rodopar 1015'!$J:$J,'Doc Há Pagar | Rodopar 1015'!$A:$A,$B101&amp;$E101&amp;$F101,'Doc Há Pagar | Rodopar 1015'!$B:$B,AA$1)</f>
        <v>0</v>
      </c>
      <c r="AB101" s="20">
        <f>SUMIFS('Doc''s Pagos | Rodopar 108'!$J:$J,'Doc''s Pagos | Rodopar 108'!$A:$A,$B101&amp;$E101&amp;$F101&amp;$J101,'Doc''s Pagos | Rodopar 108'!$B:$B,AB$1)+SUMIFS('Doc Há Pagar | Rodopar 1015'!$J:$J,'Doc Há Pagar | Rodopar 1015'!$A:$A,$B101&amp;$E101&amp;$F101,'Doc Há Pagar | Rodopar 1015'!$B:$B,AB$1)</f>
        <v>0</v>
      </c>
      <c r="AC101" s="20">
        <f>SUMIFS('Doc''s Pagos | Rodopar 108'!$J:$J,'Doc''s Pagos | Rodopar 108'!$A:$A,$B101&amp;$E101&amp;$F101&amp;$J101,'Doc''s Pagos | Rodopar 108'!$B:$B,AC$1)+SUMIFS('Doc Há Pagar | Rodopar 1015'!$J:$J,'Doc Há Pagar | Rodopar 1015'!$A:$A,$B101&amp;$E101&amp;$F101,'Doc Há Pagar | Rodopar 1015'!$B:$B,AC$1)</f>
        <v>0</v>
      </c>
      <c r="AD101" s="20">
        <f>SUMIFS('Doc''s Pagos | Rodopar 108'!$J:$J,'Doc''s Pagos | Rodopar 108'!$A:$A,$B101&amp;$E101&amp;$F101&amp;$J101,'Doc''s Pagos | Rodopar 108'!$B:$B,AD$1)+SUMIFS('Doc Há Pagar | Rodopar 1015'!$J:$J,'Doc Há Pagar | Rodopar 1015'!$A:$A,$B101&amp;$E101&amp;$F101,'Doc Há Pagar | Rodopar 1015'!$B:$B,AD$1)</f>
        <v>0</v>
      </c>
    </row>
    <row r="102" spans="1:30" x14ac:dyDescent="0.25">
      <c r="A102" s="1" t="str">
        <f>VLOOKUP($E102,Fornecedores!$A:$C,3,0)</f>
        <v>Frota</v>
      </c>
      <c r="B102" s="14">
        <v>1521964</v>
      </c>
      <c r="C102" s="14" t="str">
        <f>IFERROR(VLOOKUP($E102,Fornecedores!$A:$E,4,0),"")</f>
        <v>MTSR</v>
      </c>
      <c r="D102" s="14" t="str">
        <f>IFERROR(VLOOKUP($E102,Fornecedores!$A:$E,5,0),"")</f>
        <v>Tecnologia</v>
      </c>
      <c r="E102" s="8" t="s">
        <v>191</v>
      </c>
      <c r="F102" s="14" t="s">
        <v>665</v>
      </c>
      <c r="G102" s="8" t="s">
        <v>722</v>
      </c>
      <c r="H102" s="9">
        <v>87</v>
      </c>
      <c r="I102" s="21">
        <v>1477.08</v>
      </c>
      <c r="J102" s="11">
        <v>46092</v>
      </c>
      <c r="K102" s="11">
        <v>46093</v>
      </c>
      <c r="L102" s="8" t="s">
        <v>723</v>
      </c>
      <c r="M102" s="14" t="s">
        <v>684</v>
      </c>
      <c r="N102" s="16">
        <v>2556</v>
      </c>
      <c r="O102" s="14" t="s">
        <v>241</v>
      </c>
      <c r="P102" s="14"/>
      <c r="Q102" s="20">
        <f t="shared" si="1"/>
        <v>0</v>
      </c>
      <c r="S102" s="20">
        <f>SUMIFS('Doc''s Pagos | Rodopar 108'!$J:$J,'Doc''s Pagos | Rodopar 108'!$A:$A,$B102&amp;$E102&amp;$F102&amp;$J102,'Doc''s Pagos | Rodopar 108'!$B:$B,S$1)+SUMIFS('Doc Há Pagar | Rodopar 1015'!$J:$J,'Doc Há Pagar | Rodopar 1015'!$A:$A,$B102&amp;$E102&amp;$F102,'Doc Há Pagar | Rodopar 1015'!$B:$B,S$1)</f>
        <v>0</v>
      </c>
      <c r="T102" s="20">
        <f>SUMIFS('Doc''s Pagos | Rodopar 108'!$J:$J,'Doc''s Pagos | Rodopar 108'!$A:$A,$B102&amp;$E102&amp;$F102&amp;$J102,'Doc''s Pagos | Rodopar 108'!$B:$B,T$1)+SUMIFS('Doc Há Pagar | Rodopar 1015'!$J:$J,'Doc Há Pagar | Rodopar 1015'!$A:$A,$B102&amp;$E102&amp;$F102,'Doc Há Pagar | Rodopar 1015'!$B:$B,T$1)</f>
        <v>0</v>
      </c>
      <c r="U102" s="20">
        <f>SUMIFS('Doc''s Pagos | Rodopar 108'!$J:$J,'Doc''s Pagos | Rodopar 108'!$A:$A,$B102&amp;$E102&amp;$F102&amp;$J102,'Doc''s Pagos | Rodopar 108'!$B:$B,U$1)+SUMIFS('Doc Há Pagar | Rodopar 1015'!$J:$J,'Doc Há Pagar | Rodopar 1015'!$A:$A,$B102&amp;$E102&amp;$F102,'Doc Há Pagar | Rodopar 1015'!$B:$B,U$1)</f>
        <v>0</v>
      </c>
      <c r="V102" s="20">
        <f>SUMIFS('Doc''s Pagos | Rodopar 108'!$J:$J,'Doc''s Pagos | Rodopar 108'!$A:$A,$B102&amp;$E102&amp;$F102&amp;$J102,'Doc''s Pagos | Rodopar 108'!$B:$B,V$1)+SUMIFS('Doc Há Pagar | Rodopar 1015'!$J:$J,'Doc Há Pagar | Rodopar 1015'!$A:$A,$B102&amp;$E102&amp;$F102,'Doc Há Pagar | Rodopar 1015'!$B:$B,V$1)</f>
        <v>1477.08</v>
      </c>
      <c r="W102" s="20">
        <f>SUMIFS('Doc''s Pagos | Rodopar 108'!$J:$J,'Doc''s Pagos | Rodopar 108'!$A:$A,$B102&amp;$E102&amp;$F102&amp;$J102,'Doc''s Pagos | Rodopar 108'!$B:$B,W$1)+SUMIFS('Doc Há Pagar | Rodopar 1015'!$J:$J,'Doc Há Pagar | Rodopar 1015'!$A:$A,$B102&amp;$E102&amp;$F102,'Doc Há Pagar | Rodopar 1015'!$B:$B,W$1)</f>
        <v>0</v>
      </c>
      <c r="X102" s="20">
        <f>SUMIFS('Doc''s Pagos | Rodopar 108'!$J:$J,'Doc''s Pagos | Rodopar 108'!$A:$A,$B102&amp;$E102&amp;$F102&amp;$J102,'Doc''s Pagos | Rodopar 108'!$B:$B,X$1)+SUMIFS('Doc Há Pagar | Rodopar 1015'!$J:$J,'Doc Há Pagar | Rodopar 1015'!$A:$A,$B102&amp;$E102&amp;$F102,'Doc Há Pagar | Rodopar 1015'!$B:$B,X$1)</f>
        <v>0</v>
      </c>
      <c r="Y102" s="20">
        <f>SUMIFS('Doc''s Pagos | Rodopar 108'!$J:$J,'Doc''s Pagos | Rodopar 108'!$A:$A,$B102&amp;$E102&amp;$F102&amp;$J102,'Doc''s Pagos | Rodopar 108'!$B:$B,Y$1)+SUMIFS('Doc Há Pagar | Rodopar 1015'!$J:$J,'Doc Há Pagar | Rodopar 1015'!$A:$A,$B102&amp;$E102&amp;$F102,'Doc Há Pagar | Rodopar 1015'!$B:$B,Y$1)</f>
        <v>0</v>
      </c>
      <c r="Z102" s="20">
        <f>SUMIFS('Doc''s Pagos | Rodopar 108'!$J:$J,'Doc''s Pagos | Rodopar 108'!$A:$A,$B102&amp;$E102&amp;$F102&amp;$J102,'Doc''s Pagos | Rodopar 108'!$B:$B,Z$1)+SUMIFS('Doc Há Pagar | Rodopar 1015'!$J:$J,'Doc Há Pagar | Rodopar 1015'!$A:$A,$B102&amp;$E102&amp;$F102,'Doc Há Pagar | Rodopar 1015'!$B:$B,Z$1)</f>
        <v>0</v>
      </c>
      <c r="AA102" s="20">
        <f>SUMIFS('Doc''s Pagos | Rodopar 108'!$J:$J,'Doc''s Pagos | Rodopar 108'!$A:$A,$B102&amp;$E102&amp;$F102&amp;$J102,'Doc''s Pagos | Rodopar 108'!$B:$B,AA$1)+SUMIFS('Doc Há Pagar | Rodopar 1015'!$J:$J,'Doc Há Pagar | Rodopar 1015'!$A:$A,$B102&amp;$E102&amp;$F102,'Doc Há Pagar | Rodopar 1015'!$B:$B,AA$1)</f>
        <v>0</v>
      </c>
      <c r="AB102" s="20">
        <f>SUMIFS('Doc''s Pagos | Rodopar 108'!$J:$J,'Doc''s Pagos | Rodopar 108'!$A:$A,$B102&amp;$E102&amp;$F102&amp;$J102,'Doc''s Pagos | Rodopar 108'!$B:$B,AB$1)+SUMIFS('Doc Há Pagar | Rodopar 1015'!$J:$J,'Doc Há Pagar | Rodopar 1015'!$A:$A,$B102&amp;$E102&amp;$F102,'Doc Há Pagar | Rodopar 1015'!$B:$B,AB$1)</f>
        <v>0</v>
      </c>
      <c r="AC102" s="20">
        <f>SUMIFS('Doc''s Pagos | Rodopar 108'!$J:$J,'Doc''s Pagos | Rodopar 108'!$A:$A,$B102&amp;$E102&amp;$F102&amp;$J102,'Doc''s Pagos | Rodopar 108'!$B:$B,AC$1)+SUMIFS('Doc Há Pagar | Rodopar 1015'!$J:$J,'Doc Há Pagar | Rodopar 1015'!$A:$A,$B102&amp;$E102&amp;$F102,'Doc Há Pagar | Rodopar 1015'!$B:$B,AC$1)</f>
        <v>0</v>
      </c>
      <c r="AD102" s="20">
        <f>SUMIFS('Doc''s Pagos | Rodopar 108'!$J:$J,'Doc''s Pagos | Rodopar 108'!$A:$A,$B102&amp;$E102&amp;$F102&amp;$J102,'Doc''s Pagos | Rodopar 108'!$B:$B,AD$1)+SUMIFS('Doc Há Pagar | Rodopar 1015'!$J:$J,'Doc Há Pagar | Rodopar 1015'!$A:$A,$B102&amp;$E102&amp;$F102,'Doc Há Pagar | Rodopar 1015'!$B:$B,AD$1)</f>
        <v>0</v>
      </c>
    </row>
    <row r="103" spans="1:30" x14ac:dyDescent="0.25">
      <c r="A103" s="1" t="str">
        <f>VLOOKUP($E103,Fornecedores!$A:$C,3,0)</f>
        <v>Frota</v>
      </c>
      <c r="B103" s="14">
        <v>2785</v>
      </c>
      <c r="C103" s="14" t="str">
        <f>IFERROR(VLOOKUP($E103,Fornecedores!$A:$E,4,0),"")</f>
        <v>Pneus</v>
      </c>
      <c r="D103" s="14" t="str">
        <f>IFERROR(VLOOKUP($E103,Fornecedores!$A:$E,5,0),"")</f>
        <v>Ressolagem</v>
      </c>
      <c r="E103" s="8" t="s">
        <v>166</v>
      </c>
      <c r="F103" s="14" t="s">
        <v>665</v>
      </c>
      <c r="G103" s="8" t="s">
        <v>611</v>
      </c>
      <c r="H103" s="9">
        <v>87</v>
      </c>
      <c r="I103" s="21">
        <v>9280</v>
      </c>
      <c r="J103" s="11">
        <v>46092</v>
      </c>
      <c r="K103" s="11">
        <v>46093</v>
      </c>
      <c r="L103" s="8" t="s">
        <v>382</v>
      </c>
      <c r="M103" s="14" t="s">
        <v>234</v>
      </c>
      <c r="N103" s="16">
        <v>1556</v>
      </c>
      <c r="O103" s="14" t="s">
        <v>241</v>
      </c>
      <c r="P103" s="14"/>
      <c r="Q103" s="20">
        <f t="shared" si="1"/>
        <v>0</v>
      </c>
      <c r="S103" s="20">
        <f>SUMIFS('Doc''s Pagos | Rodopar 108'!$J:$J,'Doc''s Pagos | Rodopar 108'!$A:$A,$B103&amp;$E103&amp;$F103&amp;$J103,'Doc''s Pagos | Rodopar 108'!$B:$B,S$1)+SUMIFS('Doc Há Pagar | Rodopar 1015'!$J:$J,'Doc Há Pagar | Rodopar 1015'!$A:$A,$B103&amp;$E103&amp;$F103,'Doc Há Pagar | Rodopar 1015'!$B:$B,S$1)</f>
        <v>0</v>
      </c>
      <c r="T103" s="20">
        <f>SUMIFS('Doc''s Pagos | Rodopar 108'!$J:$J,'Doc''s Pagos | Rodopar 108'!$A:$A,$B103&amp;$E103&amp;$F103&amp;$J103,'Doc''s Pagos | Rodopar 108'!$B:$B,T$1)+SUMIFS('Doc Há Pagar | Rodopar 1015'!$J:$J,'Doc Há Pagar | Rodopar 1015'!$A:$A,$B103&amp;$E103&amp;$F103,'Doc Há Pagar | Rodopar 1015'!$B:$B,T$1)</f>
        <v>0</v>
      </c>
      <c r="U103" s="20">
        <f>SUMIFS('Doc''s Pagos | Rodopar 108'!$J:$J,'Doc''s Pagos | Rodopar 108'!$A:$A,$B103&amp;$E103&amp;$F103&amp;$J103,'Doc''s Pagos | Rodopar 108'!$B:$B,U$1)+SUMIFS('Doc Há Pagar | Rodopar 1015'!$J:$J,'Doc Há Pagar | Rodopar 1015'!$A:$A,$B103&amp;$E103&amp;$F103,'Doc Há Pagar | Rodopar 1015'!$B:$B,U$1)</f>
        <v>0</v>
      </c>
      <c r="V103" s="20">
        <f>SUMIFS('Doc''s Pagos | Rodopar 108'!$J:$J,'Doc''s Pagos | Rodopar 108'!$A:$A,$B103&amp;$E103&amp;$F103&amp;$J103,'Doc''s Pagos | Rodopar 108'!$B:$B,V$1)+SUMIFS('Doc Há Pagar | Rodopar 1015'!$J:$J,'Doc Há Pagar | Rodopar 1015'!$A:$A,$B103&amp;$E103&amp;$F103,'Doc Há Pagar | Rodopar 1015'!$B:$B,V$1)</f>
        <v>3093.33</v>
      </c>
      <c r="W103" s="20">
        <f>SUMIFS('Doc''s Pagos | Rodopar 108'!$J:$J,'Doc''s Pagos | Rodopar 108'!$A:$A,$B103&amp;$E103&amp;$F103&amp;$J103,'Doc''s Pagos | Rodopar 108'!$B:$B,W$1)+SUMIFS('Doc Há Pagar | Rodopar 1015'!$J:$J,'Doc Há Pagar | Rodopar 1015'!$A:$A,$B103&amp;$E103&amp;$F103,'Doc Há Pagar | Rodopar 1015'!$B:$B,W$1)</f>
        <v>3093.33</v>
      </c>
      <c r="X103" s="20">
        <f>SUMIFS('Doc''s Pagos | Rodopar 108'!$J:$J,'Doc''s Pagos | Rodopar 108'!$A:$A,$B103&amp;$E103&amp;$F103&amp;$J103,'Doc''s Pagos | Rodopar 108'!$B:$B,X$1)+SUMIFS('Doc Há Pagar | Rodopar 1015'!$J:$J,'Doc Há Pagar | Rodopar 1015'!$A:$A,$B103&amp;$E103&amp;$F103,'Doc Há Pagar | Rodopar 1015'!$B:$B,X$1)</f>
        <v>3093.34</v>
      </c>
      <c r="Y103" s="20">
        <f>SUMIFS('Doc''s Pagos | Rodopar 108'!$J:$J,'Doc''s Pagos | Rodopar 108'!$A:$A,$B103&amp;$E103&amp;$F103&amp;$J103,'Doc''s Pagos | Rodopar 108'!$B:$B,Y$1)+SUMIFS('Doc Há Pagar | Rodopar 1015'!$J:$J,'Doc Há Pagar | Rodopar 1015'!$A:$A,$B103&amp;$E103&amp;$F103,'Doc Há Pagar | Rodopar 1015'!$B:$B,Y$1)</f>
        <v>0</v>
      </c>
      <c r="Z103" s="20">
        <f>SUMIFS('Doc''s Pagos | Rodopar 108'!$J:$J,'Doc''s Pagos | Rodopar 108'!$A:$A,$B103&amp;$E103&amp;$F103&amp;$J103,'Doc''s Pagos | Rodopar 108'!$B:$B,Z$1)+SUMIFS('Doc Há Pagar | Rodopar 1015'!$J:$J,'Doc Há Pagar | Rodopar 1015'!$A:$A,$B103&amp;$E103&amp;$F103,'Doc Há Pagar | Rodopar 1015'!$B:$B,Z$1)</f>
        <v>0</v>
      </c>
      <c r="AA103" s="20">
        <f>SUMIFS('Doc''s Pagos | Rodopar 108'!$J:$J,'Doc''s Pagos | Rodopar 108'!$A:$A,$B103&amp;$E103&amp;$F103&amp;$J103,'Doc''s Pagos | Rodopar 108'!$B:$B,AA$1)+SUMIFS('Doc Há Pagar | Rodopar 1015'!$J:$J,'Doc Há Pagar | Rodopar 1015'!$A:$A,$B103&amp;$E103&amp;$F103,'Doc Há Pagar | Rodopar 1015'!$B:$B,AA$1)</f>
        <v>0</v>
      </c>
      <c r="AB103" s="20">
        <f>SUMIFS('Doc''s Pagos | Rodopar 108'!$J:$J,'Doc''s Pagos | Rodopar 108'!$A:$A,$B103&amp;$E103&amp;$F103&amp;$J103,'Doc''s Pagos | Rodopar 108'!$B:$B,AB$1)+SUMIFS('Doc Há Pagar | Rodopar 1015'!$J:$J,'Doc Há Pagar | Rodopar 1015'!$A:$A,$B103&amp;$E103&amp;$F103,'Doc Há Pagar | Rodopar 1015'!$B:$B,AB$1)</f>
        <v>0</v>
      </c>
      <c r="AC103" s="20">
        <f>SUMIFS('Doc''s Pagos | Rodopar 108'!$J:$J,'Doc''s Pagos | Rodopar 108'!$A:$A,$B103&amp;$E103&amp;$F103&amp;$J103,'Doc''s Pagos | Rodopar 108'!$B:$B,AC$1)+SUMIFS('Doc Há Pagar | Rodopar 1015'!$J:$J,'Doc Há Pagar | Rodopar 1015'!$A:$A,$B103&amp;$E103&amp;$F103,'Doc Há Pagar | Rodopar 1015'!$B:$B,AC$1)</f>
        <v>0</v>
      </c>
      <c r="AD103" s="20">
        <f>SUMIFS('Doc''s Pagos | Rodopar 108'!$J:$J,'Doc''s Pagos | Rodopar 108'!$A:$A,$B103&amp;$E103&amp;$F103&amp;$J103,'Doc''s Pagos | Rodopar 108'!$B:$B,AD$1)+SUMIFS('Doc Há Pagar | Rodopar 1015'!$J:$J,'Doc Há Pagar | Rodopar 1015'!$A:$A,$B103&amp;$E103&amp;$F103,'Doc Há Pagar | Rodopar 1015'!$B:$B,AD$1)</f>
        <v>0</v>
      </c>
    </row>
    <row r="104" spans="1:30" x14ac:dyDescent="0.25">
      <c r="A104" s="1" t="str">
        <f>VLOOKUP($E104,Fornecedores!$A:$C,3,0)</f>
        <v>Frota</v>
      </c>
      <c r="B104" s="14">
        <v>3210329</v>
      </c>
      <c r="C104" s="14" t="str">
        <f>IFERROR(VLOOKUP($E104,Fornecedores!$A:$E,4,0),"")</f>
        <v>MTSR</v>
      </c>
      <c r="D104" s="14" t="str">
        <f>IFERROR(VLOOKUP($E104,Fornecedores!$A:$E,5,0),"")</f>
        <v>Tecnologia</v>
      </c>
      <c r="E104" s="8" t="s">
        <v>192</v>
      </c>
      <c r="F104" s="14" t="s">
        <v>665</v>
      </c>
      <c r="G104" s="8" t="s">
        <v>837</v>
      </c>
      <c r="H104" s="9">
        <v>87</v>
      </c>
      <c r="I104" s="21">
        <v>8365.89</v>
      </c>
      <c r="J104" s="11">
        <v>46092</v>
      </c>
      <c r="K104" s="11">
        <v>46093</v>
      </c>
      <c r="L104" s="8" t="s">
        <v>723</v>
      </c>
      <c r="M104" s="14" t="s">
        <v>684</v>
      </c>
      <c r="N104" s="16">
        <v>2556</v>
      </c>
      <c r="O104" s="14" t="s">
        <v>241</v>
      </c>
      <c r="P104" s="14"/>
      <c r="Q104" s="20">
        <f t="shared" si="1"/>
        <v>0</v>
      </c>
      <c r="S104" s="20">
        <f>SUMIFS('Doc''s Pagos | Rodopar 108'!$J:$J,'Doc''s Pagos | Rodopar 108'!$A:$A,$B104&amp;$E104&amp;$F104&amp;$J104,'Doc''s Pagos | Rodopar 108'!$B:$B,S$1)+SUMIFS('Doc Há Pagar | Rodopar 1015'!$J:$J,'Doc Há Pagar | Rodopar 1015'!$A:$A,$B104&amp;$E104&amp;$F104,'Doc Há Pagar | Rodopar 1015'!$B:$B,S$1)</f>
        <v>0</v>
      </c>
      <c r="T104" s="20">
        <f>SUMIFS('Doc''s Pagos | Rodopar 108'!$J:$J,'Doc''s Pagos | Rodopar 108'!$A:$A,$B104&amp;$E104&amp;$F104&amp;$J104,'Doc''s Pagos | Rodopar 108'!$B:$B,T$1)+SUMIFS('Doc Há Pagar | Rodopar 1015'!$J:$J,'Doc Há Pagar | Rodopar 1015'!$A:$A,$B104&amp;$E104&amp;$F104,'Doc Há Pagar | Rodopar 1015'!$B:$B,T$1)</f>
        <v>0</v>
      </c>
      <c r="U104" s="20">
        <f>SUMIFS('Doc''s Pagos | Rodopar 108'!$J:$J,'Doc''s Pagos | Rodopar 108'!$A:$A,$B104&amp;$E104&amp;$F104&amp;$J104,'Doc''s Pagos | Rodopar 108'!$B:$B,U$1)+SUMIFS('Doc Há Pagar | Rodopar 1015'!$J:$J,'Doc Há Pagar | Rodopar 1015'!$A:$A,$B104&amp;$E104&amp;$F104,'Doc Há Pagar | Rodopar 1015'!$B:$B,U$1)</f>
        <v>0</v>
      </c>
      <c r="V104" s="20">
        <f>SUMIFS('Doc''s Pagos | Rodopar 108'!$J:$J,'Doc''s Pagos | Rodopar 108'!$A:$A,$B104&amp;$E104&amp;$F104&amp;$J104,'Doc''s Pagos | Rodopar 108'!$B:$B,V$1)+SUMIFS('Doc Há Pagar | Rodopar 1015'!$J:$J,'Doc Há Pagar | Rodopar 1015'!$A:$A,$B104&amp;$E104&amp;$F104,'Doc Há Pagar | Rodopar 1015'!$B:$B,V$1)</f>
        <v>8365.89</v>
      </c>
      <c r="W104" s="20">
        <f>SUMIFS('Doc''s Pagos | Rodopar 108'!$J:$J,'Doc''s Pagos | Rodopar 108'!$A:$A,$B104&amp;$E104&amp;$F104&amp;$J104,'Doc''s Pagos | Rodopar 108'!$B:$B,W$1)+SUMIFS('Doc Há Pagar | Rodopar 1015'!$J:$J,'Doc Há Pagar | Rodopar 1015'!$A:$A,$B104&amp;$E104&amp;$F104,'Doc Há Pagar | Rodopar 1015'!$B:$B,W$1)</f>
        <v>0</v>
      </c>
      <c r="X104" s="20">
        <f>SUMIFS('Doc''s Pagos | Rodopar 108'!$J:$J,'Doc''s Pagos | Rodopar 108'!$A:$A,$B104&amp;$E104&amp;$F104&amp;$J104,'Doc''s Pagos | Rodopar 108'!$B:$B,X$1)+SUMIFS('Doc Há Pagar | Rodopar 1015'!$J:$J,'Doc Há Pagar | Rodopar 1015'!$A:$A,$B104&amp;$E104&amp;$F104,'Doc Há Pagar | Rodopar 1015'!$B:$B,X$1)</f>
        <v>0</v>
      </c>
      <c r="Y104" s="20">
        <f>SUMIFS('Doc''s Pagos | Rodopar 108'!$J:$J,'Doc''s Pagos | Rodopar 108'!$A:$A,$B104&amp;$E104&amp;$F104&amp;$J104,'Doc''s Pagos | Rodopar 108'!$B:$B,Y$1)+SUMIFS('Doc Há Pagar | Rodopar 1015'!$J:$J,'Doc Há Pagar | Rodopar 1015'!$A:$A,$B104&amp;$E104&amp;$F104,'Doc Há Pagar | Rodopar 1015'!$B:$B,Y$1)</f>
        <v>0</v>
      </c>
      <c r="Z104" s="20">
        <f>SUMIFS('Doc''s Pagos | Rodopar 108'!$J:$J,'Doc''s Pagos | Rodopar 108'!$A:$A,$B104&amp;$E104&amp;$F104&amp;$J104,'Doc''s Pagos | Rodopar 108'!$B:$B,Z$1)+SUMIFS('Doc Há Pagar | Rodopar 1015'!$J:$J,'Doc Há Pagar | Rodopar 1015'!$A:$A,$B104&amp;$E104&amp;$F104,'Doc Há Pagar | Rodopar 1015'!$B:$B,Z$1)</f>
        <v>0</v>
      </c>
      <c r="AA104" s="20">
        <f>SUMIFS('Doc''s Pagos | Rodopar 108'!$J:$J,'Doc''s Pagos | Rodopar 108'!$A:$A,$B104&amp;$E104&amp;$F104&amp;$J104,'Doc''s Pagos | Rodopar 108'!$B:$B,AA$1)+SUMIFS('Doc Há Pagar | Rodopar 1015'!$J:$J,'Doc Há Pagar | Rodopar 1015'!$A:$A,$B104&amp;$E104&amp;$F104,'Doc Há Pagar | Rodopar 1015'!$B:$B,AA$1)</f>
        <v>0</v>
      </c>
      <c r="AB104" s="20">
        <f>SUMIFS('Doc''s Pagos | Rodopar 108'!$J:$J,'Doc''s Pagos | Rodopar 108'!$A:$A,$B104&amp;$E104&amp;$F104&amp;$J104,'Doc''s Pagos | Rodopar 108'!$B:$B,AB$1)+SUMIFS('Doc Há Pagar | Rodopar 1015'!$J:$J,'Doc Há Pagar | Rodopar 1015'!$A:$A,$B104&amp;$E104&amp;$F104,'Doc Há Pagar | Rodopar 1015'!$B:$B,AB$1)</f>
        <v>0</v>
      </c>
      <c r="AC104" s="20">
        <f>SUMIFS('Doc''s Pagos | Rodopar 108'!$J:$J,'Doc''s Pagos | Rodopar 108'!$A:$A,$B104&amp;$E104&amp;$F104&amp;$J104,'Doc''s Pagos | Rodopar 108'!$B:$B,AC$1)+SUMIFS('Doc Há Pagar | Rodopar 1015'!$J:$J,'Doc Há Pagar | Rodopar 1015'!$A:$A,$B104&amp;$E104&amp;$F104,'Doc Há Pagar | Rodopar 1015'!$B:$B,AC$1)</f>
        <v>0</v>
      </c>
      <c r="AD104" s="20">
        <f>SUMIFS('Doc''s Pagos | Rodopar 108'!$J:$J,'Doc''s Pagos | Rodopar 108'!$A:$A,$B104&amp;$E104&amp;$F104&amp;$J104,'Doc''s Pagos | Rodopar 108'!$B:$B,AD$1)+SUMIFS('Doc Há Pagar | Rodopar 1015'!$J:$J,'Doc Há Pagar | Rodopar 1015'!$A:$A,$B104&amp;$E104&amp;$F104,'Doc Há Pagar | Rodopar 1015'!$B:$B,AD$1)</f>
        <v>0</v>
      </c>
    </row>
    <row r="105" spans="1:30" x14ac:dyDescent="0.25">
      <c r="A105" s="1" t="str">
        <f>VLOOKUP($E105,Fornecedores!$A:$C,3,0)</f>
        <v>Frota</v>
      </c>
      <c r="B105" s="14">
        <v>35252</v>
      </c>
      <c r="C105" s="14" t="str">
        <f>IFERROR(VLOOKUP($E105,Fornecedores!$A:$E,4,0),"")</f>
        <v>Manutenção</v>
      </c>
      <c r="D105" s="14" t="str">
        <f>IFERROR(VLOOKUP($E105,Fornecedores!$A:$E,5,0),"")</f>
        <v>Vans</v>
      </c>
      <c r="E105" s="8" t="s">
        <v>133</v>
      </c>
      <c r="F105" s="14" t="s">
        <v>380</v>
      </c>
      <c r="G105" s="8" t="s">
        <v>493</v>
      </c>
      <c r="H105" s="9">
        <v>87</v>
      </c>
      <c r="I105" s="21">
        <v>2224.9499999999998</v>
      </c>
      <c r="J105" s="11">
        <v>46094</v>
      </c>
      <c r="K105" s="11">
        <v>46100</v>
      </c>
      <c r="L105" s="8" t="s">
        <v>494</v>
      </c>
      <c r="M105" s="14" t="s">
        <v>234</v>
      </c>
      <c r="N105" s="16">
        <v>1556</v>
      </c>
      <c r="O105" s="14" t="s">
        <v>241</v>
      </c>
      <c r="P105" s="14"/>
      <c r="Q105" s="20">
        <f t="shared" si="1"/>
        <v>0</v>
      </c>
      <c r="S105" s="20">
        <f>SUMIFS('Doc''s Pagos | Rodopar 108'!$J:$J,'Doc''s Pagos | Rodopar 108'!$A:$A,$B105&amp;$E105&amp;$F105&amp;$J105,'Doc''s Pagos | Rodopar 108'!$B:$B,S$1)+SUMIFS('Doc Há Pagar | Rodopar 1015'!$J:$J,'Doc Há Pagar | Rodopar 1015'!$A:$A,$B105&amp;$E105&amp;$F105,'Doc Há Pagar | Rodopar 1015'!$B:$B,S$1)</f>
        <v>0</v>
      </c>
      <c r="T105" s="20">
        <f>SUMIFS('Doc''s Pagos | Rodopar 108'!$J:$J,'Doc''s Pagos | Rodopar 108'!$A:$A,$B105&amp;$E105&amp;$F105&amp;$J105,'Doc''s Pagos | Rodopar 108'!$B:$B,T$1)+SUMIFS('Doc Há Pagar | Rodopar 1015'!$J:$J,'Doc Há Pagar | Rodopar 1015'!$A:$A,$B105&amp;$E105&amp;$F105,'Doc Há Pagar | Rodopar 1015'!$B:$B,T$1)</f>
        <v>0</v>
      </c>
      <c r="U105" s="20">
        <f>SUMIFS('Doc''s Pagos | Rodopar 108'!$J:$J,'Doc''s Pagos | Rodopar 108'!$A:$A,$B105&amp;$E105&amp;$F105&amp;$J105,'Doc''s Pagos | Rodopar 108'!$B:$B,U$1)+SUMIFS('Doc Há Pagar | Rodopar 1015'!$J:$J,'Doc Há Pagar | Rodopar 1015'!$A:$A,$B105&amp;$E105&amp;$F105,'Doc Há Pagar | Rodopar 1015'!$B:$B,U$1)</f>
        <v>0</v>
      </c>
      <c r="V105" s="20">
        <f>SUMIFS('Doc''s Pagos | Rodopar 108'!$J:$J,'Doc''s Pagos | Rodopar 108'!$A:$A,$B105&amp;$E105&amp;$F105&amp;$J105,'Doc''s Pagos | Rodopar 108'!$B:$B,V$1)+SUMIFS('Doc Há Pagar | Rodopar 1015'!$J:$J,'Doc Há Pagar | Rodopar 1015'!$A:$A,$B105&amp;$E105&amp;$F105,'Doc Há Pagar | Rodopar 1015'!$B:$B,V$1)</f>
        <v>2224.9499999999998</v>
      </c>
      <c r="W105" s="20">
        <f>SUMIFS('Doc''s Pagos | Rodopar 108'!$J:$J,'Doc''s Pagos | Rodopar 108'!$A:$A,$B105&amp;$E105&amp;$F105&amp;$J105,'Doc''s Pagos | Rodopar 108'!$B:$B,W$1)+SUMIFS('Doc Há Pagar | Rodopar 1015'!$J:$J,'Doc Há Pagar | Rodopar 1015'!$A:$A,$B105&amp;$E105&amp;$F105,'Doc Há Pagar | Rodopar 1015'!$B:$B,W$1)</f>
        <v>0</v>
      </c>
      <c r="X105" s="20">
        <f>SUMIFS('Doc''s Pagos | Rodopar 108'!$J:$J,'Doc''s Pagos | Rodopar 108'!$A:$A,$B105&amp;$E105&amp;$F105&amp;$J105,'Doc''s Pagos | Rodopar 108'!$B:$B,X$1)+SUMIFS('Doc Há Pagar | Rodopar 1015'!$J:$J,'Doc Há Pagar | Rodopar 1015'!$A:$A,$B105&amp;$E105&amp;$F105,'Doc Há Pagar | Rodopar 1015'!$B:$B,X$1)</f>
        <v>0</v>
      </c>
      <c r="Y105" s="20">
        <f>SUMIFS('Doc''s Pagos | Rodopar 108'!$J:$J,'Doc''s Pagos | Rodopar 108'!$A:$A,$B105&amp;$E105&amp;$F105&amp;$J105,'Doc''s Pagos | Rodopar 108'!$B:$B,Y$1)+SUMIFS('Doc Há Pagar | Rodopar 1015'!$J:$J,'Doc Há Pagar | Rodopar 1015'!$A:$A,$B105&amp;$E105&amp;$F105,'Doc Há Pagar | Rodopar 1015'!$B:$B,Y$1)</f>
        <v>0</v>
      </c>
      <c r="Z105" s="20">
        <f>SUMIFS('Doc''s Pagos | Rodopar 108'!$J:$J,'Doc''s Pagos | Rodopar 108'!$A:$A,$B105&amp;$E105&amp;$F105&amp;$J105,'Doc''s Pagos | Rodopar 108'!$B:$B,Z$1)+SUMIFS('Doc Há Pagar | Rodopar 1015'!$J:$J,'Doc Há Pagar | Rodopar 1015'!$A:$A,$B105&amp;$E105&amp;$F105,'Doc Há Pagar | Rodopar 1015'!$B:$B,Z$1)</f>
        <v>0</v>
      </c>
      <c r="AA105" s="20">
        <f>SUMIFS('Doc''s Pagos | Rodopar 108'!$J:$J,'Doc''s Pagos | Rodopar 108'!$A:$A,$B105&amp;$E105&amp;$F105&amp;$J105,'Doc''s Pagos | Rodopar 108'!$B:$B,AA$1)+SUMIFS('Doc Há Pagar | Rodopar 1015'!$J:$J,'Doc Há Pagar | Rodopar 1015'!$A:$A,$B105&amp;$E105&amp;$F105,'Doc Há Pagar | Rodopar 1015'!$B:$B,AA$1)</f>
        <v>0</v>
      </c>
      <c r="AB105" s="20">
        <f>SUMIFS('Doc''s Pagos | Rodopar 108'!$J:$J,'Doc''s Pagos | Rodopar 108'!$A:$A,$B105&amp;$E105&amp;$F105&amp;$J105,'Doc''s Pagos | Rodopar 108'!$B:$B,AB$1)+SUMIFS('Doc Há Pagar | Rodopar 1015'!$J:$J,'Doc Há Pagar | Rodopar 1015'!$A:$A,$B105&amp;$E105&amp;$F105,'Doc Há Pagar | Rodopar 1015'!$B:$B,AB$1)</f>
        <v>0</v>
      </c>
      <c r="AC105" s="20">
        <f>SUMIFS('Doc''s Pagos | Rodopar 108'!$J:$J,'Doc''s Pagos | Rodopar 108'!$A:$A,$B105&amp;$E105&amp;$F105&amp;$J105,'Doc''s Pagos | Rodopar 108'!$B:$B,AC$1)+SUMIFS('Doc Há Pagar | Rodopar 1015'!$J:$J,'Doc Há Pagar | Rodopar 1015'!$A:$A,$B105&amp;$E105&amp;$F105,'Doc Há Pagar | Rodopar 1015'!$B:$B,AC$1)</f>
        <v>0</v>
      </c>
      <c r="AD105" s="20">
        <f>SUMIFS('Doc''s Pagos | Rodopar 108'!$J:$J,'Doc''s Pagos | Rodopar 108'!$A:$A,$B105&amp;$E105&amp;$F105&amp;$J105,'Doc''s Pagos | Rodopar 108'!$B:$B,AD$1)+SUMIFS('Doc Há Pagar | Rodopar 1015'!$J:$J,'Doc Há Pagar | Rodopar 1015'!$A:$A,$B105&amp;$E105&amp;$F105,'Doc Há Pagar | Rodopar 1015'!$B:$B,AD$1)</f>
        <v>0</v>
      </c>
    </row>
    <row r="106" spans="1:30" x14ac:dyDescent="0.25">
      <c r="A106" s="1" t="str">
        <f>VLOOKUP($E106,Fornecedores!$A:$C,3,0)</f>
        <v>Frota</v>
      </c>
      <c r="B106" s="14">
        <v>35253</v>
      </c>
      <c r="C106" s="14" t="str">
        <f>IFERROR(VLOOKUP($E106,Fornecedores!$A:$E,4,0),"")</f>
        <v>Manutenção</v>
      </c>
      <c r="D106" s="14" t="str">
        <f>IFERROR(VLOOKUP($E106,Fornecedores!$A:$E,5,0),"")</f>
        <v>Vans</v>
      </c>
      <c r="E106" s="8" t="s">
        <v>133</v>
      </c>
      <c r="F106" s="14" t="s">
        <v>380</v>
      </c>
      <c r="G106" s="8" t="s">
        <v>493</v>
      </c>
      <c r="H106" s="9">
        <v>87</v>
      </c>
      <c r="I106" s="21">
        <v>11346.77</v>
      </c>
      <c r="J106" s="11">
        <v>46094</v>
      </c>
      <c r="K106" s="11">
        <v>46100</v>
      </c>
      <c r="L106" s="8" t="s">
        <v>494</v>
      </c>
      <c r="M106" s="14" t="s">
        <v>234</v>
      </c>
      <c r="N106" s="16">
        <v>1556</v>
      </c>
      <c r="O106" s="14" t="s">
        <v>241</v>
      </c>
      <c r="P106" s="14"/>
      <c r="Q106" s="20">
        <f t="shared" si="1"/>
        <v>0</v>
      </c>
      <c r="S106" s="20">
        <f>SUMIFS('Doc''s Pagos | Rodopar 108'!$J:$J,'Doc''s Pagos | Rodopar 108'!$A:$A,$B106&amp;$E106&amp;$F106&amp;$J106,'Doc''s Pagos | Rodopar 108'!$B:$B,S$1)+SUMIFS('Doc Há Pagar | Rodopar 1015'!$J:$J,'Doc Há Pagar | Rodopar 1015'!$A:$A,$B106&amp;$E106&amp;$F106,'Doc Há Pagar | Rodopar 1015'!$B:$B,S$1)</f>
        <v>0</v>
      </c>
      <c r="T106" s="20">
        <f>SUMIFS('Doc''s Pagos | Rodopar 108'!$J:$J,'Doc''s Pagos | Rodopar 108'!$A:$A,$B106&amp;$E106&amp;$F106&amp;$J106,'Doc''s Pagos | Rodopar 108'!$B:$B,T$1)+SUMIFS('Doc Há Pagar | Rodopar 1015'!$J:$J,'Doc Há Pagar | Rodopar 1015'!$A:$A,$B106&amp;$E106&amp;$F106,'Doc Há Pagar | Rodopar 1015'!$B:$B,T$1)</f>
        <v>0</v>
      </c>
      <c r="U106" s="20">
        <f>SUMIFS('Doc''s Pagos | Rodopar 108'!$J:$J,'Doc''s Pagos | Rodopar 108'!$A:$A,$B106&amp;$E106&amp;$F106&amp;$J106,'Doc''s Pagos | Rodopar 108'!$B:$B,U$1)+SUMIFS('Doc Há Pagar | Rodopar 1015'!$J:$J,'Doc Há Pagar | Rodopar 1015'!$A:$A,$B106&amp;$E106&amp;$F106,'Doc Há Pagar | Rodopar 1015'!$B:$B,U$1)</f>
        <v>0</v>
      </c>
      <c r="V106" s="20">
        <f>SUMIFS('Doc''s Pagos | Rodopar 108'!$J:$J,'Doc''s Pagos | Rodopar 108'!$A:$A,$B106&amp;$E106&amp;$F106&amp;$J106,'Doc''s Pagos | Rodopar 108'!$B:$B,V$1)+SUMIFS('Doc Há Pagar | Rodopar 1015'!$J:$J,'Doc Há Pagar | Rodopar 1015'!$A:$A,$B106&amp;$E106&amp;$F106,'Doc Há Pagar | Rodopar 1015'!$B:$B,V$1)</f>
        <v>3782.26</v>
      </c>
      <c r="W106" s="20">
        <f>SUMIFS('Doc''s Pagos | Rodopar 108'!$J:$J,'Doc''s Pagos | Rodopar 108'!$A:$A,$B106&amp;$E106&amp;$F106&amp;$J106,'Doc''s Pagos | Rodopar 108'!$B:$B,W$1)+SUMIFS('Doc Há Pagar | Rodopar 1015'!$J:$J,'Doc Há Pagar | Rodopar 1015'!$A:$A,$B106&amp;$E106&amp;$F106,'Doc Há Pagar | Rodopar 1015'!$B:$B,W$1)</f>
        <v>3782.26</v>
      </c>
      <c r="X106" s="20">
        <f>SUMIFS('Doc''s Pagos | Rodopar 108'!$J:$J,'Doc''s Pagos | Rodopar 108'!$A:$A,$B106&amp;$E106&amp;$F106&amp;$J106,'Doc''s Pagos | Rodopar 108'!$B:$B,X$1)+SUMIFS('Doc Há Pagar | Rodopar 1015'!$J:$J,'Doc Há Pagar | Rodopar 1015'!$A:$A,$B106&amp;$E106&amp;$F106,'Doc Há Pagar | Rodopar 1015'!$B:$B,X$1)</f>
        <v>3782.25</v>
      </c>
      <c r="Y106" s="20">
        <f>SUMIFS('Doc''s Pagos | Rodopar 108'!$J:$J,'Doc''s Pagos | Rodopar 108'!$A:$A,$B106&amp;$E106&amp;$F106&amp;$J106,'Doc''s Pagos | Rodopar 108'!$B:$B,Y$1)+SUMIFS('Doc Há Pagar | Rodopar 1015'!$J:$J,'Doc Há Pagar | Rodopar 1015'!$A:$A,$B106&amp;$E106&amp;$F106,'Doc Há Pagar | Rodopar 1015'!$B:$B,Y$1)</f>
        <v>0</v>
      </c>
      <c r="Z106" s="20">
        <f>SUMIFS('Doc''s Pagos | Rodopar 108'!$J:$J,'Doc''s Pagos | Rodopar 108'!$A:$A,$B106&amp;$E106&amp;$F106&amp;$J106,'Doc''s Pagos | Rodopar 108'!$B:$B,Z$1)+SUMIFS('Doc Há Pagar | Rodopar 1015'!$J:$J,'Doc Há Pagar | Rodopar 1015'!$A:$A,$B106&amp;$E106&amp;$F106,'Doc Há Pagar | Rodopar 1015'!$B:$B,Z$1)</f>
        <v>0</v>
      </c>
      <c r="AA106" s="20">
        <f>SUMIFS('Doc''s Pagos | Rodopar 108'!$J:$J,'Doc''s Pagos | Rodopar 108'!$A:$A,$B106&amp;$E106&amp;$F106&amp;$J106,'Doc''s Pagos | Rodopar 108'!$B:$B,AA$1)+SUMIFS('Doc Há Pagar | Rodopar 1015'!$J:$J,'Doc Há Pagar | Rodopar 1015'!$A:$A,$B106&amp;$E106&amp;$F106,'Doc Há Pagar | Rodopar 1015'!$B:$B,AA$1)</f>
        <v>0</v>
      </c>
      <c r="AB106" s="20">
        <f>SUMIFS('Doc''s Pagos | Rodopar 108'!$J:$J,'Doc''s Pagos | Rodopar 108'!$A:$A,$B106&amp;$E106&amp;$F106&amp;$J106,'Doc''s Pagos | Rodopar 108'!$B:$B,AB$1)+SUMIFS('Doc Há Pagar | Rodopar 1015'!$J:$J,'Doc Há Pagar | Rodopar 1015'!$A:$A,$B106&amp;$E106&amp;$F106,'Doc Há Pagar | Rodopar 1015'!$B:$B,AB$1)</f>
        <v>0</v>
      </c>
      <c r="AC106" s="20">
        <f>SUMIFS('Doc''s Pagos | Rodopar 108'!$J:$J,'Doc''s Pagos | Rodopar 108'!$A:$A,$B106&amp;$E106&amp;$F106&amp;$J106,'Doc''s Pagos | Rodopar 108'!$B:$B,AC$1)+SUMIFS('Doc Há Pagar | Rodopar 1015'!$J:$J,'Doc Há Pagar | Rodopar 1015'!$A:$A,$B106&amp;$E106&amp;$F106,'Doc Há Pagar | Rodopar 1015'!$B:$B,AC$1)</f>
        <v>0</v>
      </c>
      <c r="AD106" s="20">
        <f>SUMIFS('Doc''s Pagos | Rodopar 108'!$J:$J,'Doc''s Pagos | Rodopar 108'!$A:$A,$B106&amp;$E106&amp;$F106&amp;$J106,'Doc''s Pagos | Rodopar 108'!$B:$B,AD$1)+SUMIFS('Doc Há Pagar | Rodopar 1015'!$J:$J,'Doc Há Pagar | Rodopar 1015'!$A:$A,$B106&amp;$E106&amp;$F106,'Doc Há Pagar | Rodopar 1015'!$B:$B,AD$1)</f>
        <v>0</v>
      </c>
    </row>
    <row r="107" spans="1:30" x14ac:dyDescent="0.25">
      <c r="A107" s="1" t="str">
        <f>VLOOKUP($E107,Fornecedores!$A:$C,3,0)</f>
        <v>Frota</v>
      </c>
      <c r="B107" s="14">
        <v>590</v>
      </c>
      <c r="C107" s="14" t="str">
        <f>IFERROR(VLOOKUP($E107,Fornecedores!$A:$E,4,0),"")</f>
        <v>Manutenção</v>
      </c>
      <c r="D107" s="14" t="str">
        <f>IFERROR(VLOOKUP($E107,Fornecedores!$A:$E,5,0),"")</f>
        <v>Vans</v>
      </c>
      <c r="E107" s="8" t="s">
        <v>133</v>
      </c>
      <c r="F107" s="14" t="s">
        <v>665</v>
      </c>
      <c r="G107" s="8" t="s">
        <v>493</v>
      </c>
      <c r="H107" s="9">
        <v>87</v>
      </c>
      <c r="I107" s="21">
        <v>927</v>
      </c>
      <c r="J107" s="11">
        <v>46094</v>
      </c>
      <c r="K107" s="11">
        <v>46100</v>
      </c>
      <c r="L107" s="8" t="s">
        <v>494</v>
      </c>
      <c r="M107" s="14" t="s">
        <v>234</v>
      </c>
      <c r="N107" s="16">
        <v>1556</v>
      </c>
      <c r="O107" s="14" t="s">
        <v>241</v>
      </c>
      <c r="P107" s="14"/>
      <c r="Q107" s="20">
        <f t="shared" si="1"/>
        <v>0</v>
      </c>
      <c r="S107" s="20">
        <f>SUMIFS('Doc''s Pagos | Rodopar 108'!$J:$J,'Doc''s Pagos | Rodopar 108'!$A:$A,$B107&amp;$E107&amp;$F107&amp;$J107,'Doc''s Pagos | Rodopar 108'!$B:$B,S$1)+SUMIFS('Doc Há Pagar | Rodopar 1015'!$J:$J,'Doc Há Pagar | Rodopar 1015'!$A:$A,$B107&amp;$E107&amp;$F107,'Doc Há Pagar | Rodopar 1015'!$B:$B,S$1)</f>
        <v>0</v>
      </c>
      <c r="T107" s="20">
        <f>SUMIFS('Doc''s Pagos | Rodopar 108'!$J:$J,'Doc''s Pagos | Rodopar 108'!$A:$A,$B107&amp;$E107&amp;$F107&amp;$J107,'Doc''s Pagos | Rodopar 108'!$B:$B,T$1)+SUMIFS('Doc Há Pagar | Rodopar 1015'!$J:$J,'Doc Há Pagar | Rodopar 1015'!$A:$A,$B107&amp;$E107&amp;$F107,'Doc Há Pagar | Rodopar 1015'!$B:$B,T$1)</f>
        <v>0</v>
      </c>
      <c r="U107" s="20">
        <f>SUMIFS('Doc''s Pagos | Rodopar 108'!$J:$J,'Doc''s Pagos | Rodopar 108'!$A:$A,$B107&amp;$E107&amp;$F107&amp;$J107,'Doc''s Pagos | Rodopar 108'!$B:$B,U$1)+SUMIFS('Doc Há Pagar | Rodopar 1015'!$J:$J,'Doc Há Pagar | Rodopar 1015'!$A:$A,$B107&amp;$E107&amp;$F107,'Doc Há Pagar | Rodopar 1015'!$B:$B,U$1)</f>
        <v>0</v>
      </c>
      <c r="V107" s="20">
        <f>SUMIFS('Doc''s Pagos | Rodopar 108'!$J:$J,'Doc''s Pagos | Rodopar 108'!$A:$A,$B107&amp;$E107&amp;$F107&amp;$J107,'Doc''s Pagos | Rodopar 108'!$B:$B,V$1)+SUMIFS('Doc Há Pagar | Rodopar 1015'!$J:$J,'Doc Há Pagar | Rodopar 1015'!$A:$A,$B107&amp;$E107&amp;$F107,'Doc Há Pagar | Rodopar 1015'!$B:$B,V$1)</f>
        <v>927</v>
      </c>
      <c r="W107" s="20">
        <f>SUMIFS('Doc''s Pagos | Rodopar 108'!$J:$J,'Doc''s Pagos | Rodopar 108'!$A:$A,$B107&amp;$E107&amp;$F107&amp;$J107,'Doc''s Pagos | Rodopar 108'!$B:$B,W$1)+SUMIFS('Doc Há Pagar | Rodopar 1015'!$J:$J,'Doc Há Pagar | Rodopar 1015'!$A:$A,$B107&amp;$E107&amp;$F107,'Doc Há Pagar | Rodopar 1015'!$B:$B,W$1)</f>
        <v>0</v>
      </c>
      <c r="X107" s="20">
        <f>SUMIFS('Doc''s Pagos | Rodopar 108'!$J:$J,'Doc''s Pagos | Rodopar 108'!$A:$A,$B107&amp;$E107&amp;$F107&amp;$J107,'Doc''s Pagos | Rodopar 108'!$B:$B,X$1)+SUMIFS('Doc Há Pagar | Rodopar 1015'!$J:$J,'Doc Há Pagar | Rodopar 1015'!$A:$A,$B107&amp;$E107&amp;$F107,'Doc Há Pagar | Rodopar 1015'!$B:$B,X$1)</f>
        <v>0</v>
      </c>
      <c r="Y107" s="20">
        <f>SUMIFS('Doc''s Pagos | Rodopar 108'!$J:$J,'Doc''s Pagos | Rodopar 108'!$A:$A,$B107&amp;$E107&amp;$F107&amp;$J107,'Doc''s Pagos | Rodopar 108'!$B:$B,Y$1)+SUMIFS('Doc Há Pagar | Rodopar 1015'!$J:$J,'Doc Há Pagar | Rodopar 1015'!$A:$A,$B107&amp;$E107&amp;$F107,'Doc Há Pagar | Rodopar 1015'!$B:$B,Y$1)</f>
        <v>0</v>
      </c>
      <c r="Z107" s="20">
        <f>SUMIFS('Doc''s Pagos | Rodopar 108'!$J:$J,'Doc''s Pagos | Rodopar 108'!$A:$A,$B107&amp;$E107&amp;$F107&amp;$J107,'Doc''s Pagos | Rodopar 108'!$B:$B,Z$1)+SUMIFS('Doc Há Pagar | Rodopar 1015'!$J:$J,'Doc Há Pagar | Rodopar 1015'!$A:$A,$B107&amp;$E107&amp;$F107,'Doc Há Pagar | Rodopar 1015'!$B:$B,Z$1)</f>
        <v>0</v>
      </c>
      <c r="AA107" s="20">
        <f>SUMIFS('Doc''s Pagos | Rodopar 108'!$J:$J,'Doc''s Pagos | Rodopar 108'!$A:$A,$B107&amp;$E107&amp;$F107&amp;$J107,'Doc''s Pagos | Rodopar 108'!$B:$B,AA$1)+SUMIFS('Doc Há Pagar | Rodopar 1015'!$J:$J,'Doc Há Pagar | Rodopar 1015'!$A:$A,$B107&amp;$E107&amp;$F107,'Doc Há Pagar | Rodopar 1015'!$B:$B,AA$1)</f>
        <v>0</v>
      </c>
      <c r="AB107" s="20">
        <f>SUMIFS('Doc''s Pagos | Rodopar 108'!$J:$J,'Doc''s Pagos | Rodopar 108'!$A:$A,$B107&amp;$E107&amp;$F107&amp;$J107,'Doc''s Pagos | Rodopar 108'!$B:$B,AB$1)+SUMIFS('Doc Há Pagar | Rodopar 1015'!$J:$J,'Doc Há Pagar | Rodopar 1015'!$A:$A,$B107&amp;$E107&amp;$F107,'Doc Há Pagar | Rodopar 1015'!$B:$B,AB$1)</f>
        <v>0</v>
      </c>
      <c r="AC107" s="20">
        <f>SUMIFS('Doc''s Pagos | Rodopar 108'!$J:$J,'Doc''s Pagos | Rodopar 108'!$A:$A,$B107&amp;$E107&amp;$F107&amp;$J107,'Doc''s Pagos | Rodopar 108'!$B:$B,AC$1)+SUMIFS('Doc Há Pagar | Rodopar 1015'!$J:$J,'Doc Há Pagar | Rodopar 1015'!$A:$A,$B107&amp;$E107&amp;$F107,'Doc Há Pagar | Rodopar 1015'!$B:$B,AC$1)</f>
        <v>0</v>
      </c>
      <c r="AD107" s="20">
        <f>SUMIFS('Doc''s Pagos | Rodopar 108'!$J:$J,'Doc''s Pagos | Rodopar 108'!$A:$A,$B107&amp;$E107&amp;$F107&amp;$J107,'Doc''s Pagos | Rodopar 108'!$B:$B,AD$1)+SUMIFS('Doc Há Pagar | Rodopar 1015'!$J:$J,'Doc Há Pagar | Rodopar 1015'!$A:$A,$B107&amp;$E107&amp;$F107,'Doc Há Pagar | Rodopar 1015'!$B:$B,AD$1)</f>
        <v>0</v>
      </c>
    </row>
    <row r="108" spans="1:30" x14ac:dyDescent="0.25">
      <c r="A108" s="1" t="str">
        <f>VLOOKUP($E108,Fornecedores!$A:$C,3,0)</f>
        <v>Frota</v>
      </c>
      <c r="B108" s="14" t="s">
        <v>292</v>
      </c>
      <c r="C108" s="14" t="str">
        <f>IFERROR(VLOOKUP($E108,Fornecedores!$A:$E,4,0),"")</f>
        <v>OPE Merchandising</v>
      </c>
      <c r="D108" s="14" t="str">
        <f>IFERROR(VLOOKUP($E108,Fornecedores!$A:$E,5,0),"")</f>
        <v>Locação</v>
      </c>
      <c r="E108" s="8" t="s">
        <v>112</v>
      </c>
      <c r="F108" s="14" t="s">
        <v>232</v>
      </c>
      <c r="G108" s="8" t="s">
        <v>289</v>
      </c>
      <c r="H108" s="9">
        <v>87</v>
      </c>
      <c r="I108" s="21">
        <v>38471.300000000003</v>
      </c>
      <c r="J108" s="11">
        <v>46097</v>
      </c>
      <c r="K108" s="11">
        <v>46105</v>
      </c>
      <c r="L108" s="8" t="s">
        <v>233</v>
      </c>
      <c r="M108" s="14" t="s">
        <v>234</v>
      </c>
      <c r="N108" s="16">
        <v>1556</v>
      </c>
      <c r="O108" s="14" t="s">
        <v>241</v>
      </c>
      <c r="P108" s="14"/>
      <c r="Q108" s="20">
        <f t="shared" si="1"/>
        <v>0</v>
      </c>
      <c r="S108" s="20">
        <f>SUMIFS('Doc''s Pagos | Rodopar 108'!$J:$J,'Doc''s Pagos | Rodopar 108'!$A:$A,$B108&amp;$E108&amp;$F108&amp;$J108,'Doc''s Pagos | Rodopar 108'!$B:$B,S$1)+SUMIFS('Doc Há Pagar | Rodopar 1015'!$J:$J,'Doc Há Pagar | Rodopar 1015'!$A:$A,$B108&amp;$E108&amp;$F108,'Doc Há Pagar | Rodopar 1015'!$B:$B,S$1)</f>
        <v>0</v>
      </c>
      <c r="T108" s="20">
        <f>SUMIFS('Doc''s Pagos | Rodopar 108'!$J:$J,'Doc''s Pagos | Rodopar 108'!$A:$A,$B108&amp;$E108&amp;$F108&amp;$J108,'Doc''s Pagos | Rodopar 108'!$B:$B,T$1)+SUMIFS('Doc Há Pagar | Rodopar 1015'!$J:$J,'Doc Há Pagar | Rodopar 1015'!$A:$A,$B108&amp;$E108&amp;$F108,'Doc Há Pagar | Rodopar 1015'!$B:$B,T$1)</f>
        <v>0</v>
      </c>
      <c r="U108" s="20">
        <f>SUMIFS('Doc''s Pagos | Rodopar 108'!$J:$J,'Doc''s Pagos | Rodopar 108'!$A:$A,$B108&amp;$E108&amp;$F108&amp;$J108,'Doc''s Pagos | Rodopar 108'!$B:$B,U$1)+SUMIFS('Doc Há Pagar | Rodopar 1015'!$J:$J,'Doc Há Pagar | Rodopar 1015'!$A:$A,$B108&amp;$E108&amp;$F108,'Doc Há Pagar | Rodopar 1015'!$B:$B,U$1)</f>
        <v>38471.300000000003</v>
      </c>
      <c r="V108" s="20">
        <f>SUMIFS('Doc''s Pagos | Rodopar 108'!$J:$J,'Doc''s Pagos | Rodopar 108'!$A:$A,$B108&amp;$E108&amp;$F108&amp;$J108,'Doc''s Pagos | Rodopar 108'!$B:$B,V$1)+SUMIFS('Doc Há Pagar | Rodopar 1015'!$J:$J,'Doc Há Pagar | Rodopar 1015'!$A:$A,$B108&amp;$E108&amp;$F108,'Doc Há Pagar | Rodopar 1015'!$B:$B,V$1)</f>
        <v>0</v>
      </c>
      <c r="W108" s="20">
        <f>SUMIFS('Doc''s Pagos | Rodopar 108'!$J:$J,'Doc''s Pagos | Rodopar 108'!$A:$A,$B108&amp;$E108&amp;$F108&amp;$J108,'Doc''s Pagos | Rodopar 108'!$B:$B,W$1)+SUMIFS('Doc Há Pagar | Rodopar 1015'!$J:$J,'Doc Há Pagar | Rodopar 1015'!$A:$A,$B108&amp;$E108&amp;$F108,'Doc Há Pagar | Rodopar 1015'!$B:$B,W$1)</f>
        <v>0</v>
      </c>
      <c r="X108" s="20">
        <f>SUMIFS('Doc''s Pagos | Rodopar 108'!$J:$J,'Doc''s Pagos | Rodopar 108'!$A:$A,$B108&amp;$E108&amp;$F108&amp;$J108,'Doc''s Pagos | Rodopar 108'!$B:$B,X$1)+SUMIFS('Doc Há Pagar | Rodopar 1015'!$J:$J,'Doc Há Pagar | Rodopar 1015'!$A:$A,$B108&amp;$E108&amp;$F108,'Doc Há Pagar | Rodopar 1015'!$B:$B,X$1)</f>
        <v>0</v>
      </c>
      <c r="Y108" s="20">
        <f>SUMIFS('Doc''s Pagos | Rodopar 108'!$J:$J,'Doc''s Pagos | Rodopar 108'!$A:$A,$B108&amp;$E108&amp;$F108&amp;$J108,'Doc''s Pagos | Rodopar 108'!$B:$B,Y$1)+SUMIFS('Doc Há Pagar | Rodopar 1015'!$J:$J,'Doc Há Pagar | Rodopar 1015'!$A:$A,$B108&amp;$E108&amp;$F108,'Doc Há Pagar | Rodopar 1015'!$B:$B,Y$1)</f>
        <v>0</v>
      </c>
      <c r="Z108" s="20">
        <f>SUMIFS('Doc''s Pagos | Rodopar 108'!$J:$J,'Doc''s Pagos | Rodopar 108'!$A:$A,$B108&amp;$E108&amp;$F108&amp;$J108,'Doc''s Pagos | Rodopar 108'!$B:$B,Z$1)+SUMIFS('Doc Há Pagar | Rodopar 1015'!$J:$J,'Doc Há Pagar | Rodopar 1015'!$A:$A,$B108&amp;$E108&amp;$F108,'Doc Há Pagar | Rodopar 1015'!$B:$B,Z$1)</f>
        <v>0</v>
      </c>
      <c r="AA108" s="20">
        <f>SUMIFS('Doc''s Pagos | Rodopar 108'!$J:$J,'Doc''s Pagos | Rodopar 108'!$A:$A,$B108&amp;$E108&amp;$F108&amp;$J108,'Doc''s Pagos | Rodopar 108'!$B:$B,AA$1)+SUMIFS('Doc Há Pagar | Rodopar 1015'!$J:$J,'Doc Há Pagar | Rodopar 1015'!$A:$A,$B108&amp;$E108&amp;$F108,'Doc Há Pagar | Rodopar 1015'!$B:$B,AA$1)</f>
        <v>0</v>
      </c>
      <c r="AB108" s="20">
        <f>SUMIFS('Doc''s Pagos | Rodopar 108'!$J:$J,'Doc''s Pagos | Rodopar 108'!$A:$A,$B108&amp;$E108&amp;$F108&amp;$J108,'Doc''s Pagos | Rodopar 108'!$B:$B,AB$1)+SUMIFS('Doc Há Pagar | Rodopar 1015'!$J:$J,'Doc Há Pagar | Rodopar 1015'!$A:$A,$B108&amp;$E108&amp;$F108,'Doc Há Pagar | Rodopar 1015'!$B:$B,AB$1)</f>
        <v>0</v>
      </c>
      <c r="AC108" s="20">
        <f>SUMIFS('Doc''s Pagos | Rodopar 108'!$J:$J,'Doc''s Pagos | Rodopar 108'!$A:$A,$B108&amp;$E108&amp;$F108&amp;$J108,'Doc''s Pagos | Rodopar 108'!$B:$B,AC$1)+SUMIFS('Doc Há Pagar | Rodopar 1015'!$J:$J,'Doc Há Pagar | Rodopar 1015'!$A:$A,$B108&amp;$E108&amp;$F108,'Doc Há Pagar | Rodopar 1015'!$B:$B,AC$1)</f>
        <v>0</v>
      </c>
      <c r="AD108" s="20">
        <f>SUMIFS('Doc''s Pagos | Rodopar 108'!$J:$J,'Doc''s Pagos | Rodopar 108'!$A:$A,$B108&amp;$E108&amp;$F108&amp;$J108,'Doc''s Pagos | Rodopar 108'!$B:$B,AD$1)+SUMIFS('Doc Há Pagar | Rodopar 1015'!$J:$J,'Doc Há Pagar | Rodopar 1015'!$A:$A,$B108&amp;$E108&amp;$F108,'Doc Há Pagar | Rodopar 1015'!$B:$B,AD$1)</f>
        <v>0</v>
      </c>
    </row>
    <row r="109" spans="1:30" x14ac:dyDescent="0.25">
      <c r="A109" s="1" t="str">
        <f>VLOOKUP($E109,Fornecedores!$A:$C,3,0)</f>
        <v>Frota</v>
      </c>
      <c r="B109" s="14" t="s">
        <v>311</v>
      </c>
      <c r="C109" s="14" t="str">
        <f>IFERROR(VLOOKUP($E109,Fornecedores!$A:$E,4,0),"")</f>
        <v>OPE Merchandising</v>
      </c>
      <c r="D109" s="14" t="str">
        <f>IFERROR(VLOOKUP($E109,Fornecedores!$A:$E,5,0),"")</f>
        <v>Locação</v>
      </c>
      <c r="E109" s="8" t="s">
        <v>112</v>
      </c>
      <c r="F109" s="14" t="s">
        <v>232</v>
      </c>
      <c r="G109" s="8" t="s">
        <v>289</v>
      </c>
      <c r="H109" s="9">
        <v>87</v>
      </c>
      <c r="I109" s="21">
        <v>410</v>
      </c>
      <c r="J109" s="11">
        <v>46097</v>
      </c>
      <c r="K109" s="11">
        <v>46105</v>
      </c>
      <c r="L109" s="8" t="s">
        <v>233</v>
      </c>
      <c r="M109" s="14" t="s">
        <v>234</v>
      </c>
      <c r="N109" s="16">
        <v>1556</v>
      </c>
      <c r="O109" s="14" t="s">
        <v>241</v>
      </c>
      <c r="P109" s="14"/>
      <c r="Q109" s="20">
        <f t="shared" si="1"/>
        <v>0</v>
      </c>
      <c r="S109" s="20">
        <f>SUMIFS('Doc''s Pagos | Rodopar 108'!$J:$J,'Doc''s Pagos | Rodopar 108'!$A:$A,$B109&amp;$E109&amp;$F109&amp;$J109,'Doc''s Pagos | Rodopar 108'!$B:$B,S$1)+SUMIFS('Doc Há Pagar | Rodopar 1015'!$J:$J,'Doc Há Pagar | Rodopar 1015'!$A:$A,$B109&amp;$E109&amp;$F109,'Doc Há Pagar | Rodopar 1015'!$B:$B,S$1)</f>
        <v>0</v>
      </c>
      <c r="T109" s="20">
        <f>SUMIFS('Doc''s Pagos | Rodopar 108'!$J:$J,'Doc''s Pagos | Rodopar 108'!$A:$A,$B109&amp;$E109&amp;$F109&amp;$J109,'Doc''s Pagos | Rodopar 108'!$B:$B,T$1)+SUMIFS('Doc Há Pagar | Rodopar 1015'!$J:$J,'Doc Há Pagar | Rodopar 1015'!$A:$A,$B109&amp;$E109&amp;$F109,'Doc Há Pagar | Rodopar 1015'!$B:$B,T$1)</f>
        <v>0</v>
      </c>
      <c r="U109" s="20">
        <f>SUMIFS('Doc''s Pagos | Rodopar 108'!$J:$J,'Doc''s Pagos | Rodopar 108'!$A:$A,$B109&amp;$E109&amp;$F109&amp;$J109,'Doc''s Pagos | Rodopar 108'!$B:$B,U$1)+SUMIFS('Doc Há Pagar | Rodopar 1015'!$J:$J,'Doc Há Pagar | Rodopar 1015'!$A:$A,$B109&amp;$E109&amp;$F109,'Doc Há Pagar | Rodopar 1015'!$B:$B,U$1)</f>
        <v>0</v>
      </c>
      <c r="V109" s="20">
        <f>SUMIFS('Doc''s Pagos | Rodopar 108'!$J:$J,'Doc''s Pagos | Rodopar 108'!$A:$A,$B109&amp;$E109&amp;$F109&amp;$J109,'Doc''s Pagos | Rodopar 108'!$B:$B,V$1)+SUMIFS('Doc Há Pagar | Rodopar 1015'!$J:$J,'Doc Há Pagar | Rodopar 1015'!$A:$A,$B109&amp;$E109&amp;$F109,'Doc Há Pagar | Rodopar 1015'!$B:$B,V$1)</f>
        <v>410</v>
      </c>
      <c r="W109" s="20">
        <f>SUMIFS('Doc''s Pagos | Rodopar 108'!$J:$J,'Doc''s Pagos | Rodopar 108'!$A:$A,$B109&amp;$E109&amp;$F109&amp;$J109,'Doc''s Pagos | Rodopar 108'!$B:$B,W$1)+SUMIFS('Doc Há Pagar | Rodopar 1015'!$J:$J,'Doc Há Pagar | Rodopar 1015'!$A:$A,$B109&amp;$E109&amp;$F109,'Doc Há Pagar | Rodopar 1015'!$B:$B,W$1)</f>
        <v>0</v>
      </c>
      <c r="X109" s="20">
        <f>SUMIFS('Doc''s Pagos | Rodopar 108'!$J:$J,'Doc''s Pagos | Rodopar 108'!$A:$A,$B109&amp;$E109&amp;$F109&amp;$J109,'Doc''s Pagos | Rodopar 108'!$B:$B,X$1)+SUMIFS('Doc Há Pagar | Rodopar 1015'!$J:$J,'Doc Há Pagar | Rodopar 1015'!$A:$A,$B109&amp;$E109&amp;$F109,'Doc Há Pagar | Rodopar 1015'!$B:$B,X$1)</f>
        <v>0</v>
      </c>
      <c r="Y109" s="20">
        <f>SUMIFS('Doc''s Pagos | Rodopar 108'!$J:$J,'Doc''s Pagos | Rodopar 108'!$A:$A,$B109&amp;$E109&amp;$F109&amp;$J109,'Doc''s Pagos | Rodopar 108'!$B:$B,Y$1)+SUMIFS('Doc Há Pagar | Rodopar 1015'!$J:$J,'Doc Há Pagar | Rodopar 1015'!$A:$A,$B109&amp;$E109&amp;$F109,'Doc Há Pagar | Rodopar 1015'!$B:$B,Y$1)</f>
        <v>0</v>
      </c>
      <c r="Z109" s="20">
        <f>SUMIFS('Doc''s Pagos | Rodopar 108'!$J:$J,'Doc''s Pagos | Rodopar 108'!$A:$A,$B109&amp;$E109&amp;$F109&amp;$J109,'Doc''s Pagos | Rodopar 108'!$B:$B,Z$1)+SUMIFS('Doc Há Pagar | Rodopar 1015'!$J:$J,'Doc Há Pagar | Rodopar 1015'!$A:$A,$B109&amp;$E109&amp;$F109,'Doc Há Pagar | Rodopar 1015'!$B:$B,Z$1)</f>
        <v>0</v>
      </c>
      <c r="AA109" s="20">
        <f>SUMIFS('Doc''s Pagos | Rodopar 108'!$J:$J,'Doc''s Pagos | Rodopar 108'!$A:$A,$B109&amp;$E109&amp;$F109&amp;$J109,'Doc''s Pagos | Rodopar 108'!$B:$B,AA$1)+SUMIFS('Doc Há Pagar | Rodopar 1015'!$J:$J,'Doc Há Pagar | Rodopar 1015'!$A:$A,$B109&amp;$E109&amp;$F109,'Doc Há Pagar | Rodopar 1015'!$B:$B,AA$1)</f>
        <v>0</v>
      </c>
      <c r="AB109" s="20">
        <f>SUMIFS('Doc''s Pagos | Rodopar 108'!$J:$J,'Doc''s Pagos | Rodopar 108'!$A:$A,$B109&amp;$E109&amp;$F109&amp;$J109,'Doc''s Pagos | Rodopar 108'!$B:$B,AB$1)+SUMIFS('Doc Há Pagar | Rodopar 1015'!$J:$J,'Doc Há Pagar | Rodopar 1015'!$A:$A,$B109&amp;$E109&amp;$F109,'Doc Há Pagar | Rodopar 1015'!$B:$B,AB$1)</f>
        <v>0</v>
      </c>
      <c r="AC109" s="20">
        <f>SUMIFS('Doc''s Pagos | Rodopar 108'!$J:$J,'Doc''s Pagos | Rodopar 108'!$A:$A,$B109&amp;$E109&amp;$F109&amp;$J109,'Doc''s Pagos | Rodopar 108'!$B:$B,AC$1)+SUMIFS('Doc Há Pagar | Rodopar 1015'!$J:$J,'Doc Há Pagar | Rodopar 1015'!$A:$A,$B109&amp;$E109&amp;$F109,'Doc Há Pagar | Rodopar 1015'!$B:$B,AC$1)</f>
        <v>0</v>
      </c>
      <c r="AD109" s="20">
        <f>SUMIFS('Doc''s Pagos | Rodopar 108'!$J:$J,'Doc''s Pagos | Rodopar 108'!$A:$A,$B109&amp;$E109&amp;$F109&amp;$J109,'Doc''s Pagos | Rodopar 108'!$B:$B,AD$1)+SUMIFS('Doc Há Pagar | Rodopar 1015'!$J:$J,'Doc Há Pagar | Rodopar 1015'!$A:$A,$B109&amp;$E109&amp;$F109,'Doc Há Pagar | Rodopar 1015'!$B:$B,AD$1)</f>
        <v>0</v>
      </c>
    </row>
    <row r="110" spans="1:30" x14ac:dyDescent="0.25">
      <c r="A110" s="1" t="str">
        <f>VLOOKUP($E110,Fornecedores!$A:$C,3,0)</f>
        <v>Frota</v>
      </c>
      <c r="B110" s="14" t="s">
        <v>312</v>
      </c>
      <c r="C110" s="14" t="str">
        <f>IFERROR(VLOOKUP($E110,Fornecedores!$A:$E,4,0),"")</f>
        <v>OPE Merchandising</v>
      </c>
      <c r="D110" s="14" t="str">
        <f>IFERROR(VLOOKUP($E110,Fornecedores!$A:$E,5,0),"")</f>
        <v>Locação</v>
      </c>
      <c r="E110" s="8" t="s">
        <v>112</v>
      </c>
      <c r="F110" s="14" t="s">
        <v>232</v>
      </c>
      <c r="G110" s="8" t="s">
        <v>289</v>
      </c>
      <c r="H110" s="9">
        <v>87</v>
      </c>
      <c r="I110" s="21">
        <v>139.13</v>
      </c>
      <c r="J110" s="11">
        <v>46097</v>
      </c>
      <c r="K110" s="11">
        <v>46112</v>
      </c>
      <c r="L110" s="8" t="s">
        <v>233</v>
      </c>
      <c r="M110" s="14" t="s">
        <v>234</v>
      </c>
      <c r="N110" s="16">
        <v>1556</v>
      </c>
      <c r="O110" s="14" t="s">
        <v>241</v>
      </c>
      <c r="P110" s="14"/>
      <c r="Q110" s="20">
        <f t="shared" si="1"/>
        <v>0</v>
      </c>
      <c r="S110" s="20">
        <f>SUMIFS('Doc''s Pagos | Rodopar 108'!$J:$J,'Doc''s Pagos | Rodopar 108'!$A:$A,$B110&amp;$E110&amp;$F110&amp;$J110,'Doc''s Pagos | Rodopar 108'!$B:$B,S$1)+SUMIFS('Doc Há Pagar | Rodopar 1015'!$J:$J,'Doc Há Pagar | Rodopar 1015'!$A:$A,$B110&amp;$E110&amp;$F110,'Doc Há Pagar | Rodopar 1015'!$B:$B,S$1)</f>
        <v>0</v>
      </c>
      <c r="T110" s="20">
        <f>SUMIFS('Doc''s Pagos | Rodopar 108'!$J:$J,'Doc''s Pagos | Rodopar 108'!$A:$A,$B110&amp;$E110&amp;$F110&amp;$J110,'Doc''s Pagos | Rodopar 108'!$B:$B,T$1)+SUMIFS('Doc Há Pagar | Rodopar 1015'!$J:$J,'Doc Há Pagar | Rodopar 1015'!$A:$A,$B110&amp;$E110&amp;$F110,'Doc Há Pagar | Rodopar 1015'!$B:$B,T$1)</f>
        <v>0</v>
      </c>
      <c r="U110" s="20">
        <f>SUMIFS('Doc''s Pagos | Rodopar 108'!$J:$J,'Doc''s Pagos | Rodopar 108'!$A:$A,$B110&amp;$E110&amp;$F110&amp;$J110,'Doc''s Pagos | Rodopar 108'!$B:$B,U$1)+SUMIFS('Doc Há Pagar | Rodopar 1015'!$J:$J,'Doc Há Pagar | Rodopar 1015'!$A:$A,$B110&amp;$E110&amp;$F110,'Doc Há Pagar | Rodopar 1015'!$B:$B,U$1)</f>
        <v>0</v>
      </c>
      <c r="V110" s="20">
        <f>SUMIFS('Doc''s Pagos | Rodopar 108'!$J:$J,'Doc''s Pagos | Rodopar 108'!$A:$A,$B110&amp;$E110&amp;$F110&amp;$J110,'Doc''s Pagos | Rodopar 108'!$B:$B,V$1)+SUMIFS('Doc Há Pagar | Rodopar 1015'!$J:$J,'Doc Há Pagar | Rodopar 1015'!$A:$A,$B110&amp;$E110&amp;$F110,'Doc Há Pagar | Rodopar 1015'!$B:$B,V$1)</f>
        <v>139.13</v>
      </c>
      <c r="W110" s="20">
        <f>SUMIFS('Doc''s Pagos | Rodopar 108'!$J:$J,'Doc''s Pagos | Rodopar 108'!$A:$A,$B110&amp;$E110&amp;$F110&amp;$J110,'Doc''s Pagos | Rodopar 108'!$B:$B,W$1)+SUMIFS('Doc Há Pagar | Rodopar 1015'!$J:$J,'Doc Há Pagar | Rodopar 1015'!$A:$A,$B110&amp;$E110&amp;$F110,'Doc Há Pagar | Rodopar 1015'!$B:$B,W$1)</f>
        <v>0</v>
      </c>
      <c r="X110" s="20">
        <f>SUMIFS('Doc''s Pagos | Rodopar 108'!$J:$J,'Doc''s Pagos | Rodopar 108'!$A:$A,$B110&amp;$E110&amp;$F110&amp;$J110,'Doc''s Pagos | Rodopar 108'!$B:$B,X$1)+SUMIFS('Doc Há Pagar | Rodopar 1015'!$J:$J,'Doc Há Pagar | Rodopar 1015'!$A:$A,$B110&amp;$E110&amp;$F110,'Doc Há Pagar | Rodopar 1015'!$B:$B,X$1)</f>
        <v>0</v>
      </c>
      <c r="Y110" s="20">
        <f>SUMIFS('Doc''s Pagos | Rodopar 108'!$J:$J,'Doc''s Pagos | Rodopar 108'!$A:$A,$B110&amp;$E110&amp;$F110&amp;$J110,'Doc''s Pagos | Rodopar 108'!$B:$B,Y$1)+SUMIFS('Doc Há Pagar | Rodopar 1015'!$J:$J,'Doc Há Pagar | Rodopar 1015'!$A:$A,$B110&amp;$E110&amp;$F110,'Doc Há Pagar | Rodopar 1015'!$B:$B,Y$1)</f>
        <v>0</v>
      </c>
      <c r="Z110" s="20">
        <f>SUMIFS('Doc''s Pagos | Rodopar 108'!$J:$J,'Doc''s Pagos | Rodopar 108'!$A:$A,$B110&amp;$E110&amp;$F110&amp;$J110,'Doc''s Pagos | Rodopar 108'!$B:$B,Z$1)+SUMIFS('Doc Há Pagar | Rodopar 1015'!$J:$J,'Doc Há Pagar | Rodopar 1015'!$A:$A,$B110&amp;$E110&amp;$F110,'Doc Há Pagar | Rodopar 1015'!$B:$B,Z$1)</f>
        <v>0</v>
      </c>
      <c r="AA110" s="20">
        <f>SUMIFS('Doc''s Pagos | Rodopar 108'!$J:$J,'Doc''s Pagos | Rodopar 108'!$A:$A,$B110&amp;$E110&amp;$F110&amp;$J110,'Doc''s Pagos | Rodopar 108'!$B:$B,AA$1)+SUMIFS('Doc Há Pagar | Rodopar 1015'!$J:$J,'Doc Há Pagar | Rodopar 1015'!$A:$A,$B110&amp;$E110&amp;$F110,'Doc Há Pagar | Rodopar 1015'!$B:$B,AA$1)</f>
        <v>0</v>
      </c>
      <c r="AB110" s="20">
        <f>SUMIFS('Doc''s Pagos | Rodopar 108'!$J:$J,'Doc''s Pagos | Rodopar 108'!$A:$A,$B110&amp;$E110&amp;$F110&amp;$J110,'Doc''s Pagos | Rodopar 108'!$B:$B,AB$1)+SUMIFS('Doc Há Pagar | Rodopar 1015'!$J:$J,'Doc Há Pagar | Rodopar 1015'!$A:$A,$B110&amp;$E110&amp;$F110,'Doc Há Pagar | Rodopar 1015'!$B:$B,AB$1)</f>
        <v>0</v>
      </c>
      <c r="AC110" s="20">
        <f>SUMIFS('Doc''s Pagos | Rodopar 108'!$J:$J,'Doc''s Pagos | Rodopar 108'!$A:$A,$B110&amp;$E110&amp;$F110&amp;$J110,'Doc''s Pagos | Rodopar 108'!$B:$B,AC$1)+SUMIFS('Doc Há Pagar | Rodopar 1015'!$J:$J,'Doc Há Pagar | Rodopar 1015'!$A:$A,$B110&amp;$E110&amp;$F110,'Doc Há Pagar | Rodopar 1015'!$B:$B,AC$1)</f>
        <v>0</v>
      </c>
      <c r="AD110" s="20">
        <f>SUMIFS('Doc''s Pagos | Rodopar 108'!$J:$J,'Doc''s Pagos | Rodopar 108'!$A:$A,$B110&amp;$E110&amp;$F110&amp;$J110,'Doc''s Pagos | Rodopar 108'!$B:$B,AD$1)+SUMIFS('Doc Há Pagar | Rodopar 1015'!$J:$J,'Doc Há Pagar | Rodopar 1015'!$A:$A,$B110&amp;$E110&amp;$F110,'Doc Há Pagar | Rodopar 1015'!$B:$B,AD$1)</f>
        <v>0</v>
      </c>
    </row>
    <row r="111" spans="1:30" x14ac:dyDescent="0.25">
      <c r="A111" s="1" t="str">
        <f>VLOOKUP($E111,Fornecedores!$A:$C,3,0)</f>
        <v>Frota</v>
      </c>
      <c r="B111" s="14" t="s">
        <v>336</v>
      </c>
      <c r="C111" s="14" t="str">
        <f>IFERROR(VLOOKUP($E111,Fornecedores!$A:$E,4,0),"")</f>
        <v>OPE Merchandising</v>
      </c>
      <c r="D111" s="14" t="str">
        <f>IFERROR(VLOOKUP($E111,Fornecedores!$A:$E,5,0),"")</f>
        <v>Locação</v>
      </c>
      <c r="E111" s="8" t="s">
        <v>112</v>
      </c>
      <c r="F111" s="14" t="s">
        <v>232</v>
      </c>
      <c r="G111" s="8" t="s">
        <v>289</v>
      </c>
      <c r="H111" s="9">
        <v>87</v>
      </c>
      <c r="I111" s="21">
        <v>139.13</v>
      </c>
      <c r="J111" s="11">
        <v>46097</v>
      </c>
      <c r="K111" s="11">
        <v>46112</v>
      </c>
      <c r="L111" s="8" t="s">
        <v>233</v>
      </c>
      <c r="M111" s="14" t="s">
        <v>234</v>
      </c>
      <c r="N111" s="16">
        <v>1556</v>
      </c>
      <c r="O111" s="14" t="s">
        <v>241</v>
      </c>
      <c r="P111" s="14"/>
      <c r="Q111" s="20">
        <f t="shared" si="1"/>
        <v>0</v>
      </c>
      <c r="S111" s="20">
        <f>SUMIFS('Doc''s Pagos | Rodopar 108'!$J:$J,'Doc''s Pagos | Rodopar 108'!$A:$A,$B111&amp;$E111&amp;$F111&amp;$J111,'Doc''s Pagos | Rodopar 108'!$B:$B,S$1)+SUMIFS('Doc Há Pagar | Rodopar 1015'!$J:$J,'Doc Há Pagar | Rodopar 1015'!$A:$A,$B111&amp;$E111&amp;$F111,'Doc Há Pagar | Rodopar 1015'!$B:$B,S$1)</f>
        <v>0</v>
      </c>
      <c r="T111" s="20">
        <f>SUMIFS('Doc''s Pagos | Rodopar 108'!$J:$J,'Doc''s Pagos | Rodopar 108'!$A:$A,$B111&amp;$E111&amp;$F111&amp;$J111,'Doc''s Pagos | Rodopar 108'!$B:$B,T$1)+SUMIFS('Doc Há Pagar | Rodopar 1015'!$J:$J,'Doc Há Pagar | Rodopar 1015'!$A:$A,$B111&amp;$E111&amp;$F111,'Doc Há Pagar | Rodopar 1015'!$B:$B,T$1)</f>
        <v>0</v>
      </c>
      <c r="U111" s="20">
        <f>SUMIFS('Doc''s Pagos | Rodopar 108'!$J:$J,'Doc''s Pagos | Rodopar 108'!$A:$A,$B111&amp;$E111&amp;$F111&amp;$J111,'Doc''s Pagos | Rodopar 108'!$B:$B,U$1)+SUMIFS('Doc Há Pagar | Rodopar 1015'!$J:$J,'Doc Há Pagar | Rodopar 1015'!$A:$A,$B111&amp;$E111&amp;$F111,'Doc Há Pagar | Rodopar 1015'!$B:$B,U$1)</f>
        <v>0</v>
      </c>
      <c r="V111" s="20">
        <f>SUMIFS('Doc''s Pagos | Rodopar 108'!$J:$J,'Doc''s Pagos | Rodopar 108'!$A:$A,$B111&amp;$E111&amp;$F111&amp;$J111,'Doc''s Pagos | Rodopar 108'!$B:$B,V$1)+SUMIFS('Doc Há Pagar | Rodopar 1015'!$J:$J,'Doc Há Pagar | Rodopar 1015'!$A:$A,$B111&amp;$E111&amp;$F111,'Doc Há Pagar | Rodopar 1015'!$B:$B,V$1)</f>
        <v>139.13</v>
      </c>
      <c r="W111" s="20">
        <f>SUMIFS('Doc''s Pagos | Rodopar 108'!$J:$J,'Doc''s Pagos | Rodopar 108'!$A:$A,$B111&amp;$E111&amp;$F111&amp;$J111,'Doc''s Pagos | Rodopar 108'!$B:$B,W$1)+SUMIFS('Doc Há Pagar | Rodopar 1015'!$J:$J,'Doc Há Pagar | Rodopar 1015'!$A:$A,$B111&amp;$E111&amp;$F111,'Doc Há Pagar | Rodopar 1015'!$B:$B,W$1)</f>
        <v>0</v>
      </c>
      <c r="X111" s="20">
        <f>SUMIFS('Doc''s Pagos | Rodopar 108'!$J:$J,'Doc''s Pagos | Rodopar 108'!$A:$A,$B111&amp;$E111&amp;$F111&amp;$J111,'Doc''s Pagos | Rodopar 108'!$B:$B,X$1)+SUMIFS('Doc Há Pagar | Rodopar 1015'!$J:$J,'Doc Há Pagar | Rodopar 1015'!$A:$A,$B111&amp;$E111&amp;$F111,'Doc Há Pagar | Rodopar 1015'!$B:$B,X$1)</f>
        <v>0</v>
      </c>
      <c r="Y111" s="20">
        <f>SUMIFS('Doc''s Pagos | Rodopar 108'!$J:$J,'Doc''s Pagos | Rodopar 108'!$A:$A,$B111&amp;$E111&amp;$F111&amp;$J111,'Doc''s Pagos | Rodopar 108'!$B:$B,Y$1)+SUMIFS('Doc Há Pagar | Rodopar 1015'!$J:$J,'Doc Há Pagar | Rodopar 1015'!$A:$A,$B111&amp;$E111&amp;$F111,'Doc Há Pagar | Rodopar 1015'!$B:$B,Y$1)</f>
        <v>0</v>
      </c>
      <c r="Z111" s="20">
        <f>SUMIFS('Doc''s Pagos | Rodopar 108'!$J:$J,'Doc''s Pagos | Rodopar 108'!$A:$A,$B111&amp;$E111&amp;$F111&amp;$J111,'Doc''s Pagos | Rodopar 108'!$B:$B,Z$1)+SUMIFS('Doc Há Pagar | Rodopar 1015'!$J:$J,'Doc Há Pagar | Rodopar 1015'!$A:$A,$B111&amp;$E111&amp;$F111,'Doc Há Pagar | Rodopar 1015'!$B:$B,Z$1)</f>
        <v>0</v>
      </c>
      <c r="AA111" s="20">
        <f>SUMIFS('Doc''s Pagos | Rodopar 108'!$J:$J,'Doc''s Pagos | Rodopar 108'!$A:$A,$B111&amp;$E111&amp;$F111&amp;$J111,'Doc''s Pagos | Rodopar 108'!$B:$B,AA$1)+SUMIFS('Doc Há Pagar | Rodopar 1015'!$J:$J,'Doc Há Pagar | Rodopar 1015'!$A:$A,$B111&amp;$E111&amp;$F111,'Doc Há Pagar | Rodopar 1015'!$B:$B,AA$1)</f>
        <v>0</v>
      </c>
      <c r="AB111" s="20">
        <f>SUMIFS('Doc''s Pagos | Rodopar 108'!$J:$J,'Doc''s Pagos | Rodopar 108'!$A:$A,$B111&amp;$E111&amp;$F111&amp;$J111,'Doc''s Pagos | Rodopar 108'!$B:$B,AB$1)+SUMIFS('Doc Há Pagar | Rodopar 1015'!$J:$J,'Doc Há Pagar | Rodopar 1015'!$A:$A,$B111&amp;$E111&amp;$F111,'Doc Há Pagar | Rodopar 1015'!$B:$B,AB$1)</f>
        <v>0</v>
      </c>
      <c r="AC111" s="20">
        <f>SUMIFS('Doc''s Pagos | Rodopar 108'!$J:$J,'Doc''s Pagos | Rodopar 108'!$A:$A,$B111&amp;$E111&amp;$F111&amp;$J111,'Doc''s Pagos | Rodopar 108'!$B:$B,AC$1)+SUMIFS('Doc Há Pagar | Rodopar 1015'!$J:$J,'Doc Há Pagar | Rodopar 1015'!$A:$A,$B111&amp;$E111&amp;$F111,'Doc Há Pagar | Rodopar 1015'!$B:$B,AC$1)</f>
        <v>0</v>
      </c>
      <c r="AD111" s="20">
        <f>SUMIFS('Doc''s Pagos | Rodopar 108'!$J:$J,'Doc''s Pagos | Rodopar 108'!$A:$A,$B111&amp;$E111&amp;$F111&amp;$J111,'Doc''s Pagos | Rodopar 108'!$B:$B,AD$1)+SUMIFS('Doc Há Pagar | Rodopar 1015'!$J:$J,'Doc Há Pagar | Rodopar 1015'!$A:$A,$B111&amp;$E111&amp;$F111,'Doc Há Pagar | Rodopar 1015'!$B:$B,AD$1)</f>
        <v>0</v>
      </c>
    </row>
    <row r="112" spans="1:30" x14ac:dyDescent="0.25">
      <c r="A112" s="1" t="str">
        <f>VLOOKUP($E112,Fornecedores!$A:$C,3,0)</f>
        <v>Frota</v>
      </c>
      <c r="B112" s="14">
        <v>136211</v>
      </c>
      <c r="C112" s="14" t="str">
        <f>IFERROR(VLOOKUP($E112,Fornecedores!$A:$E,4,0),"")</f>
        <v>Pneus</v>
      </c>
      <c r="D112" s="14" t="str">
        <f>IFERROR(VLOOKUP($E112,Fornecedores!$A:$E,5,0),"")</f>
        <v>Compra</v>
      </c>
      <c r="E112" s="8" t="s">
        <v>80</v>
      </c>
      <c r="F112" s="14" t="s">
        <v>380</v>
      </c>
      <c r="G112" s="8" t="s">
        <v>408</v>
      </c>
      <c r="H112" s="9">
        <v>87</v>
      </c>
      <c r="I112" s="21">
        <v>12270</v>
      </c>
      <c r="J112" s="11">
        <v>46097</v>
      </c>
      <c r="K112" s="11">
        <v>46100</v>
      </c>
      <c r="L112" s="8" t="s">
        <v>382</v>
      </c>
      <c r="M112" s="14" t="s">
        <v>234</v>
      </c>
      <c r="N112" s="16">
        <v>1556</v>
      </c>
      <c r="O112" s="14" t="s">
        <v>241</v>
      </c>
      <c r="P112" s="14"/>
      <c r="Q112" s="20">
        <f t="shared" si="1"/>
        <v>0</v>
      </c>
      <c r="S112" s="20">
        <f>SUMIFS('Doc''s Pagos | Rodopar 108'!$J:$J,'Doc''s Pagos | Rodopar 108'!$A:$A,$B112&amp;$E112&amp;$F112&amp;$J112,'Doc''s Pagos | Rodopar 108'!$B:$B,S$1)+SUMIFS('Doc Há Pagar | Rodopar 1015'!$J:$J,'Doc Há Pagar | Rodopar 1015'!$A:$A,$B112&amp;$E112&amp;$F112,'Doc Há Pagar | Rodopar 1015'!$B:$B,S$1)</f>
        <v>0</v>
      </c>
      <c r="T112" s="20">
        <f>SUMIFS('Doc''s Pagos | Rodopar 108'!$J:$J,'Doc''s Pagos | Rodopar 108'!$A:$A,$B112&amp;$E112&amp;$F112&amp;$J112,'Doc''s Pagos | Rodopar 108'!$B:$B,T$1)+SUMIFS('Doc Há Pagar | Rodopar 1015'!$J:$J,'Doc Há Pagar | Rodopar 1015'!$A:$A,$B112&amp;$E112&amp;$F112,'Doc Há Pagar | Rodopar 1015'!$B:$B,T$1)</f>
        <v>0</v>
      </c>
      <c r="U112" s="20">
        <f>SUMIFS('Doc''s Pagos | Rodopar 108'!$J:$J,'Doc''s Pagos | Rodopar 108'!$A:$A,$B112&amp;$E112&amp;$F112&amp;$J112,'Doc''s Pagos | Rodopar 108'!$B:$B,U$1)+SUMIFS('Doc Há Pagar | Rodopar 1015'!$J:$J,'Doc Há Pagar | Rodopar 1015'!$A:$A,$B112&amp;$E112&amp;$F112,'Doc Há Pagar | Rodopar 1015'!$B:$B,U$1)</f>
        <v>0</v>
      </c>
      <c r="V112" s="20">
        <f>SUMIFS('Doc''s Pagos | Rodopar 108'!$J:$J,'Doc''s Pagos | Rodopar 108'!$A:$A,$B112&amp;$E112&amp;$F112&amp;$J112,'Doc''s Pagos | Rodopar 108'!$B:$B,V$1)+SUMIFS('Doc Há Pagar | Rodopar 1015'!$J:$J,'Doc Há Pagar | Rodopar 1015'!$A:$A,$B112&amp;$E112&amp;$F112,'Doc Há Pagar | Rodopar 1015'!$B:$B,V$1)</f>
        <v>0</v>
      </c>
      <c r="W112" s="20">
        <f>SUMIFS('Doc''s Pagos | Rodopar 108'!$J:$J,'Doc''s Pagos | Rodopar 108'!$A:$A,$B112&amp;$E112&amp;$F112&amp;$J112,'Doc''s Pagos | Rodopar 108'!$B:$B,W$1)+SUMIFS('Doc Há Pagar | Rodopar 1015'!$J:$J,'Doc Há Pagar | Rodopar 1015'!$A:$A,$B112&amp;$E112&amp;$F112,'Doc Há Pagar | Rodopar 1015'!$B:$B,W$1)</f>
        <v>4090</v>
      </c>
      <c r="X112" s="20">
        <f>SUMIFS('Doc''s Pagos | Rodopar 108'!$J:$J,'Doc''s Pagos | Rodopar 108'!$A:$A,$B112&amp;$E112&amp;$F112&amp;$J112,'Doc''s Pagos | Rodopar 108'!$B:$B,X$1)+SUMIFS('Doc Há Pagar | Rodopar 1015'!$J:$J,'Doc Há Pagar | Rodopar 1015'!$A:$A,$B112&amp;$E112&amp;$F112,'Doc Há Pagar | Rodopar 1015'!$B:$B,X$1)</f>
        <v>4090</v>
      </c>
      <c r="Y112" s="20">
        <f>SUMIFS('Doc''s Pagos | Rodopar 108'!$J:$J,'Doc''s Pagos | Rodopar 108'!$A:$A,$B112&amp;$E112&amp;$F112&amp;$J112,'Doc''s Pagos | Rodopar 108'!$B:$B,Y$1)+SUMIFS('Doc Há Pagar | Rodopar 1015'!$J:$J,'Doc Há Pagar | Rodopar 1015'!$A:$A,$B112&amp;$E112&amp;$F112,'Doc Há Pagar | Rodopar 1015'!$B:$B,Y$1)</f>
        <v>4090</v>
      </c>
      <c r="Z112" s="20">
        <f>SUMIFS('Doc''s Pagos | Rodopar 108'!$J:$J,'Doc''s Pagos | Rodopar 108'!$A:$A,$B112&amp;$E112&amp;$F112&amp;$J112,'Doc''s Pagos | Rodopar 108'!$B:$B,Z$1)+SUMIFS('Doc Há Pagar | Rodopar 1015'!$J:$J,'Doc Há Pagar | Rodopar 1015'!$A:$A,$B112&amp;$E112&amp;$F112,'Doc Há Pagar | Rodopar 1015'!$B:$B,Z$1)</f>
        <v>0</v>
      </c>
      <c r="AA112" s="20">
        <f>SUMIFS('Doc''s Pagos | Rodopar 108'!$J:$J,'Doc''s Pagos | Rodopar 108'!$A:$A,$B112&amp;$E112&amp;$F112&amp;$J112,'Doc''s Pagos | Rodopar 108'!$B:$B,AA$1)+SUMIFS('Doc Há Pagar | Rodopar 1015'!$J:$J,'Doc Há Pagar | Rodopar 1015'!$A:$A,$B112&amp;$E112&amp;$F112,'Doc Há Pagar | Rodopar 1015'!$B:$B,AA$1)</f>
        <v>0</v>
      </c>
      <c r="AB112" s="20">
        <f>SUMIFS('Doc''s Pagos | Rodopar 108'!$J:$J,'Doc''s Pagos | Rodopar 108'!$A:$A,$B112&amp;$E112&amp;$F112&amp;$J112,'Doc''s Pagos | Rodopar 108'!$B:$B,AB$1)+SUMIFS('Doc Há Pagar | Rodopar 1015'!$J:$J,'Doc Há Pagar | Rodopar 1015'!$A:$A,$B112&amp;$E112&amp;$F112,'Doc Há Pagar | Rodopar 1015'!$B:$B,AB$1)</f>
        <v>0</v>
      </c>
      <c r="AC112" s="20">
        <f>SUMIFS('Doc''s Pagos | Rodopar 108'!$J:$J,'Doc''s Pagos | Rodopar 108'!$A:$A,$B112&amp;$E112&amp;$F112&amp;$J112,'Doc''s Pagos | Rodopar 108'!$B:$B,AC$1)+SUMIFS('Doc Há Pagar | Rodopar 1015'!$J:$J,'Doc Há Pagar | Rodopar 1015'!$A:$A,$B112&amp;$E112&amp;$F112,'Doc Há Pagar | Rodopar 1015'!$B:$B,AC$1)</f>
        <v>0</v>
      </c>
      <c r="AD112" s="20">
        <f>SUMIFS('Doc''s Pagos | Rodopar 108'!$J:$J,'Doc''s Pagos | Rodopar 108'!$A:$A,$B112&amp;$E112&amp;$F112&amp;$J112,'Doc''s Pagos | Rodopar 108'!$B:$B,AD$1)+SUMIFS('Doc Há Pagar | Rodopar 1015'!$J:$J,'Doc Há Pagar | Rodopar 1015'!$A:$A,$B112&amp;$E112&amp;$F112,'Doc Há Pagar | Rodopar 1015'!$B:$B,AD$1)</f>
        <v>0</v>
      </c>
    </row>
    <row r="113" spans="1:30" x14ac:dyDescent="0.25">
      <c r="A113" s="1" t="str">
        <f>VLOOKUP($E113,Fornecedores!$A:$C,3,0)</f>
        <v>Frota</v>
      </c>
      <c r="B113" s="14">
        <v>1004593</v>
      </c>
      <c r="C113" s="14" t="str">
        <f>IFERROR(VLOOKUP($E113,Fornecedores!$A:$E,4,0),"")</f>
        <v>Manutenção</v>
      </c>
      <c r="D113" s="14" t="str">
        <f>IFERROR(VLOOKUP($E113,Fornecedores!$A:$E,5,0),"")</f>
        <v>Caminhão</v>
      </c>
      <c r="E113" s="8" t="s">
        <v>190</v>
      </c>
      <c r="F113" s="14" t="s">
        <v>380</v>
      </c>
      <c r="G113" s="8" t="s">
        <v>381</v>
      </c>
      <c r="H113" s="9">
        <v>87</v>
      </c>
      <c r="I113" s="21">
        <v>1981.04</v>
      </c>
      <c r="J113" s="11">
        <v>46098</v>
      </c>
      <c r="K113" s="11">
        <v>46100</v>
      </c>
      <c r="L113" s="8" t="s">
        <v>382</v>
      </c>
      <c r="M113" s="14" t="s">
        <v>234</v>
      </c>
      <c r="N113" s="16">
        <v>1556</v>
      </c>
      <c r="O113" s="14" t="s">
        <v>241</v>
      </c>
      <c r="P113" s="14"/>
      <c r="Q113" s="20">
        <f t="shared" si="1"/>
        <v>0</v>
      </c>
      <c r="S113" s="20">
        <f>SUMIFS('Doc''s Pagos | Rodopar 108'!$J:$J,'Doc''s Pagos | Rodopar 108'!$A:$A,$B113&amp;$E113&amp;$F113&amp;$J113,'Doc''s Pagos | Rodopar 108'!$B:$B,S$1)+SUMIFS('Doc Há Pagar | Rodopar 1015'!$J:$J,'Doc Há Pagar | Rodopar 1015'!$A:$A,$B113&amp;$E113&amp;$F113,'Doc Há Pagar | Rodopar 1015'!$B:$B,S$1)</f>
        <v>0</v>
      </c>
      <c r="T113" s="20">
        <f>SUMIFS('Doc''s Pagos | Rodopar 108'!$J:$J,'Doc''s Pagos | Rodopar 108'!$A:$A,$B113&amp;$E113&amp;$F113&amp;$J113,'Doc''s Pagos | Rodopar 108'!$B:$B,T$1)+SUMIFS('Doc Há Pagar | Rodopar 1015'!$J:$J,'Doc Há Pagar | Rodopar 1015'!$A:$A,$B113&amp;$E113&amp;$F113,'Doc Há Pagar | Rodopar 1015'!$B:$B,T$1)</f>
        <v>0</v>
      </c>
      <c r="U113" s="20">
        <f>SUMIFS('Doc''s Pagos | Rodopar 108'!$J:$J,'Doc''s Pagos | Rodopar 108'!$A:$A,$B113&amp;$E113&amp;$F113&amp;$J113,'Doc''s Pagos | Rodopar 108'!$B:$B,U$1)+SUMIFS('Doc Há Pagar | Rodopar 1015'!$J:$J,'Doc Há Pagar | Rodopar 1015'!$A:$A,$B113&amp;$E113&amp;$F113,'Doc Há Pagar | Rodopar 1015'!$B:$B,U$1)</f>
        <v>0</v>
      </c>
      <c r="V113" s="20">
        <f>SUMIFS('Doc''s Pagos | Rodopar 108'!$J:$J,'Doc''s Pagos | Rodopar 108'!$A:$A,$B113&amp;$E113&amp;$F113&amp;$J113,'Doc''s Pagos | Rodopar 108'!$B:$B,V$1)+SUMIFS('Doc Há Pagar | Rodopar 1015'!$J:$J,'Doc Há Pagar | Rodopar 1015'!$A:$A,$B113&amp;$E113&amp;$F113,'Doc Há Pagar | Rodopar 1015'!$B:$B,V$1)</f>
        <v>1981.04</v>
      </c>
      <c r="W113" s="20">
        <f>SUMIFS('Doc''s Pagos | Rodopar 108'!$J:$J,'Doc''s Pagos | Rodopar 108'!$A:$A,$B113&amp;$E113&amp;$F113&amp;$J113,'Doc''s Pagos | Rodopar 108'!$B:$B,W$1)+SUMIFS('Doc Há Pagar | Rodopar 1015'!$J:$J,'Doc Há Pagar | Rodopar 1015'!$A:$A,$B113&amp;$E113&amp;$F113,'Doc Há Pagar | Rodopar 1015'!$B:$B,W$1)</f>
        <v>0</v>
      </c>
      <c r="X113" s="20">
        <f>SUMIFS('Doc''s Pagos | Rodopar 108'!$J:$J,'Doc''s Pagos | Rodopar 108'!$A:$A,$B113&amp;$E113&amp;$F113&amp;$J113,'Doc''s Pagos | Rodopar 108'!$B:$B,X$1)+SUMIFS('Doc Há Pagar | Rodopar 1015'!$J:$J,'Doc Há Pagar | Rodopar 1015'!$A:$A,$B113&amp;$E113&amp;$F113,'Doc Há Pagar | Rodopar 1015'!$B:$B,X$1)</f>
        <v>0</v>
      </c>
      <c r="Y113" s="20">
        <f>SUMIFS('Doc''s Pagos | Rodopar 108'!$J:$J,'Doc''s Pagos | Rodopar 108'!$A:$A,$B113&amp;$E113&amp;$F113&amp;$J113,'Doc''s Pagos | Rodopar 108'!$B:$B,Y$1)+SUMIFS('Doc Há Pagar | Rodopar 1015'!$J:$J,'Doc Há Pagar | Rodopar 1015'!$A:$A,$B113&amp;$E113&amp;$F113,'Doc Há Pagar | Rodopar 1015'!$B:$B,Y$1)</f>
        <v>0</v>
      </c>
      <c r="Z113" s="20">
        <f>SUMIFS('Doc''s Pagos | Rodopar 108'!$J:$J,'Doc''s Pagos | Rodopar 108'!$A:$A,$B113&amp;$E113&amp;$F113&amp;$J113,'Doc''s Pagos | Rodopar 108'!$B:$B,Z$1)+SUMIFS('Doc Há Pagar | Rodopar 1015'!$J:$J,'Doc Há Pagar | Rodopar 1015'!$A:$A,$B113&amp;$E113&amp;$F113,'Doc Há Pagar | Rodopar 1015'!$B:$B,Z$1)</f>
        <v>0</v>
      </c>
      <c r="AA113" s="20">
        <f>SUMIFS('Doc''s Pagos | Rodopar 108'!$J:$J,'Doc''s Pagos | Rodopar 108'!$A:$A,$B113&amp;$E113&amp;$F113&amp;$J113,'Doc''s Pagos | Rodopar 108'!$B:$B,AA$1)+SUMIFS('Doc Há Pagar | Rodopar 1015'!$J:$J,'Doc Há Pagar | Rodopar 1015'!$A:$A,$B113&amp;$E113&amp;$F113,'Doc Há Pagar | Rodopar 1015'!$B:$B,AA$1)</f>
        <v>0</v>
      </c>
      <c r="AB113" s="20">
        <f>SUMIFS('Doc''s Pagos | Rodopar 108'!$J:$J,'Doc''s Pagos | Rodopar 108'!$A:$A,$B113&amp;$E113&amp;$F113&amp;$J113,'Doc''s Pagos | Rodopar 108'!$B:$B,AB$1)+SUMIFS('Doc Há Pagar | Rodopar 1015'!$J:$J,'Doc Há Pagar | Rodopar 1015'!$A:$A,$B113&amp;$E113&amp;$F113,'Doc Há Pagar | Rodopar 1015'!$B:$B,AB$1)</f>
        <v>0</v>
      </c>
      <c r="AC113" s="20">
        <f>SUMIFS('Doc''s Pagos | Rodopar 108'!$J:$J,'Doc''s Pagos | Rodopar 108'!$A:$A,$B113&amp;$E113&amp;$F113&amp;$J113,'Doc''s Pagos | Rodopar 108'!$B:$B,AC$1)+SUMIFS('Doc Há Pagar | Rodopar 1015'!$J:$J,'Doc Há Pagar | Rodopar 1015'!$A:$A,$B113&amp;$E113&amp;$F113,'Doc Há Pagar | Rodopar 1015'!$B:$B,AC$1)</f>
        <v>0</v>
      </c>
      <c r="AD113" s="20">
        <f>SUMIFS('Doc''s Pagos | Rodopar 108'!$J:$J,'Doc''s Pagos | Rodopar 108'!$A:$A,$B113&amp;$E113&amp;$F113&amp;$J113,'Doc''s Pagos | Rodopar 108'!$B:$B,AD$1)+SUMIFS('Doc Há Pagar | Rodopar 1015'!$J:$J,'Doc Há Pagar | Rodopar 1015'!$A:$A,$B113&amp;$E113&amp;$F113,'Doc Há Pagar | Rodopar 1015'!$B:$B,AD$1)</f>
        <v>0</v>
      </c>
    </row>
    <row r="114" spans="1:30" x14ac:dyDescent="0.25">
      <c r="A114" s="1" t="str">
        <f>VLOOKUP($E114,Fornecedores!$A:$C,3,0)</f>
        <v>Frota</v>
      </c>
      <c r="B114" s="14">
        <v>3009</v>
      </c>
      <c r="C114" s="14" t="str">
        <f>IFERROR(VLOOKUP($E114,Fornecedores!$A:$E,4,0),"")</f>
        <v>Pneus</v>
      </c>
      <c r="D114" s="14" t="str">
        <f>IFERROR(VLOOKUP($E114,Fornecedores!$A:$E,5,0),"")</f>
        <v>Ressolagem</v>
      </c>
      <c r="E114" s="8" t="s">
        <v>166</v>
      </c>
      <c r="F114" s="14" t="s">
        <v>665</v>
      </c>
      <c r="G114" s="8" t="s">
        <v>611</v>
      </c>
      <c r="H114" s="9">
        <v>87</v>
      </c>
      <c r="I114" s="21">
        <v>210</v>
      </c>
      <c r="J114" s="11">
        <v>46098</v>
      </c>
      <c r="K114" s="11">
        <v>46100</v>
      </c>
      <c r="L114" s="8" t="s">
        <v>382</v>
      </c>
      <c r="M114" s="14" t="s">
        <v>234</v>
      </c>
      <c r="N114" s="16">
        <v>1556</v>
      </c>
      <c r="O114" s="14" t="s">
        <v>241</v>
      </c>
      <c r="P114" s="14"/>
      <c r="Q114" s="20">
        <f t="shared" si="1"/>
        <v>0</v>
      </c>
      <c r="S114" s="20">
        <f>SUMIFS('Doc''s Pagos | Rodopar 108'!$J:$J,'Doc''s Pagos | Rodopar 108'!$A:$A,$B114&amp;$E114&amp;$F114&amp;$J114,'Doc''s Pagos | Rodopar 108'!$B:$B,S$1)+SUMIFS('Doc Há Pagar | Rodopar 1015'!$J:$J,'Doc Há Pagar | Rodopar 1015'!$A:$A,$B114&amp;$E114&amp;$F114,'Doc Há Pagar | Rodopar 1015'!$B:$B,S$1)</f>
        <v>0</v>
      </c>
      <c r="T114" s="20">
        <f>SUMIFS('Doc''s Pagos | Rodopar 108'!$J:$J,'Doc''s Pagos | Rodopar 108'!$A:$A,$B114&amp;$E114&amp;$F114&amp;$J114,'Doc''s Pagos | Rodopar 108'!$B:$B,T$1)+SUMIFS('Doc Há Pagar | Rodopar 1015'!$J:$J,'Doc Há Pagar | Rodopar 1015'!$A:$A,$B114&amp;$E114&amp;$F114,'Doc Há Pagar | Rodopar 1015'!$B:$B,T$1)</f>
        <v>0</v>
      </c>
      <c r="U114" s="20">
        <f>SUMIFS('Doc''s Pagos | Rodopar 108'!$J:$J,'Doc''s Pagos | Rodopar 108'!$A:$A,$B114&amp;$E114&amp;$F114&amp;$J114,'Doc''s Pagos | Rodopar 108'!$B:$B,U$1)+SUMIFS('Doc Há Pagar | Rodopar 1015'!$J:$J,'Doc Há Pagar | Rodopar 1015'!$A:$A,$B114&amp;$E114&amp;$F114,'Doc Há Pagar | Rodopar 1015'!$B:$B,U$1)</f>
        <v>0</v>
      </c>
      <c r="V114" s="20">
        <f>SUMIFS('Doc''s Pagos | Rodopar 108'!$J:$J,'Doc''s Pagos | Rodopar 108'!$A:$A,$B114&amp;$E114&amp;$F114&amp;$J114,'Doc''s Pagos | Rodopar 108'!$B:$B,V$1)+SUMIFS('Doc Há Pagar | Rodopar 1015'!$J:$J,'Doc Há Pagar | Rodopar 1015'!$A:$A,$B114&amp;$E114&amp;$F114,'Doc Há Pagar | Rodopar 1015'!$B:$B,V$1)</f>
        <v>210</v>
      </c>
      <c r="W114" s="20">
        <f>SUMIFS('Doc''s Pagos | Rodopar 108'!$J:$J,'Doc''s Pagos | Rodopar 108'!$A:$A,$B114&amp;$E114&amp;$F114&amp;$J114,'Doc''s Pagos | Rodopar 108'!$B:$B,W$1)+SUMIFS('Doc Há Pagar | Rodopar 1015'!$J:$J,'Doc Há Pagar | Rodopar 1015'!$A:$A,$B114&amp;$E114&amp;$F114,'Doc Há Pagar | Rodopar 1015'!$B:$B,W$1)</f>
        <v>0</v>
      </c>
      <c r="X114" s="20">
        <f>SUMIFS('Doc''s Pagos | Rodopar 108'!$J:$J,'Doc''s Pagos | Rodopar 108'!$A:$A,$B114&amp;$E114&amp;$F114&amp;$J114,'Doc''s Pagos | Rodopar 108'!$B:$B,X$1)+SUMIFS('Doc Há Pagar | Rodopar 1015'!$J:$J,'Doc Há Pagar | Rodopar 1015'!$A:$A,$B114&amp;$E114&amp;$F114,'Doc Há Pagar | Rodopar 1015'!$B:$B,X$1)</f>
        <v>0</v>
      </c>
      <c r="Y114" s="20">
        <f>SUMIFS('Doc''s Pagos | Rodopar 108'!$J:$J,'Doc''s Pagos | Rodopar 108'!$A:$A,$B114&amp;$E114&amp;$F114&amp;$J114,'Doc''s Pagos | Rodopar 108'!$B:$B,Y$1)+SUMIFS('Doc Há Pagar | Rodopar 1015'!$J:$J,'Doc Há Pagar | Rodopar 1015'!$A:$A,$B114&amp;$E114&amp;$F114,'Doc Há Pagar | Rodopar 1015'!$B:$B,Y$1)</f>
        <v>0</v>
      </c>
      <c r="Z114" s="20">
        <f>SUMIFS('Doc''s Pagos | Rodopar 108'!$J:$J,'Doc''s Pagos | Rodopar 108'!$A:$A,$B114&amp;$E114&amp;$F114&amp;$J114,'Doc''s Pagos | Rodopar 108'!$B:$B,Z$1)+SUMIFS('Doc Há Pagar | Rodopar 1015'!$J:$J,'Doc Há Pagar | Rodopar 1015'!$A:$A,$B114&amp;$E114&amp;$F114,'Doc Há Pagar | Rodopar 1015'!$B:$B,Z$1)</f>
        <v>0</v>
      </c>
      <c r="AA114" s="20">
        <f>SUMIFS('Doc''s Pagos | Rodopar 108'!$J:$J,'Doc''s Pagos | Rodopar 108'!$A:$A,$B114&amp;$E114&amp;$F114&amp;$J114,'Doc''s Pagos | Rodopar 108'!$B:$B,AA$1)+SUMIFS('Doc Há Pagar | Rodopar 1015'!$J:$J,'Doc Há Pagar | Rodopar 1015'!$A:$A,$B114&amp;$E114&amp;$F114,'Doc Há Pagar | Rodopar 1015'!$B:$B,AA$1)</f>
        <v>0</v>
      </c>
      <c r="AB114" s="20">
        <f>SUMIFS('Doc''s Pagos | Rodopar 108'!$J:$J,'Doc''s Pagos | Rodopar 108'!$A:$A,$B114&amp;$E114&amp;$F114&amp;$J114,'Doc''s Pagos | Rodopar 108'!$B:$B,AB$1)+SUMIFS('Doc Há Pagar | Rodopar 1015'!$J:$J,'Doc Há Pagar | Rodopar 1015'!$A:$A,$B114&amp;$E114&amp;$F114,'Doc Há Pagar | Rodopar 1015'!$B:$B,AB$1)</f>
        <v>0</v>
      </c>
      <c r="AC114" s="20">
        <f>SUMIFS('Doc''s Pagos | Rodopar 108'!$J:$J,'Doc''s Pagos | Rodopar 108'!$A:$A,$B114&amp;$E114&amp;$F114&amp;$J114,'Doc''s Pagos | Rodopar 108'!$B:$B,AC$1)+SUMIFS('Doc Há Pagar | Rodopar 1015'!$J:$J,'Doc Há Pagar | Rodopar 1015'!$A:$A,$B114&amp;$E114&amp;$F114,'Doc Há Pagar | Rodopar 1015'!$B:$B,AC$1)</f>
        <v>0</v>
      </c>
      <c r="AD114" s="20">
        <f>SUMIFS('Doc''s Pagos | Rodopar 108'!$J:$J,'Doc''s Pagos | Rodopar 108'!$A:$A,$B114&amp;$E114&amp;$F114&amp;$J114,'Doc''s Pagos | Rodopar 108'!$B:$B,AD$1)+SUMIFS('Doc Há Pagar | Rodopar 1015'!$J:$J,'Doc Há Pagar | Rodopar 1015'!$A:$A,$B114&amp;$E114&amp;$F114,'Doc Há Pagar | Rodopar 1015'!$B:$B,AD$1)</f>
        <v>0</v>
      </c>
    </row>
    <row r="115" spans="1:30" x14ac:dyDescent="0.25">
      <c r="A115" s="1" t="str">
        <f>VLOOKUP($E115,Fornecedores!$A:$C,3,0)</f>
        <v>Frota</v>
      </c>
      <c r="B115" s="14">
        <v>7084</v>
      </c>
      <c r="C115" s="14" t="str">
        <f>IFERROR(VLOOKUP($E115,Fornecedores!$A:$E,4,0),"")</f>
        <v>Manutenção</v>
      </c>
      <c r="D115" s="14" t="str">
        <f>IFERROR(VLOOKUP($E115,Fornecedores!$A:$E,5,0),"")</f>
        <v>Caminhão</v>
      </c>
      <c r="E115" s="8" t="s">
        <v>190</v>
      </c>
      <c r="F115" s="14" t="s">
        <v>665</v>
      </c>
      <c r="G115" s="8" t="s">
        <v>381</v>
      </c>
      <c r="H115" s="9">
        <v>87</v>
      </c>
      <c r="I115" s="21">
        <v>1231.99</v>
      </c>
      <c r="J115" s="11">
        <v>46098</v>
      </c>
      <c r="K115" s="11">
        <v>46100</v>
      </c>
      <c r="L115" s="8" t="s">
        <v>382</v>
      </c>
      <c r="M115" s="14" t="s">
        <v>234</v>
      </c>
      <c r="N115" s="16">
        <v>1556</v>
      </c>
      <c r="O115" s="14" t="s">
        <v>241</v>
      </c>
      <c r="P115" s="14"/>
      <c r="Q115" s="20">
        <f t="shared" si="1"/>
        <v>0</v>
      </c>
      <c r="S115" s="20">
        <f>SUMIFS('Doc''s Pagos | Rodopar 108'!$J:$J,'Doc''s Pagos | Rodopar 108'!$A:$A,$B115&amp;$E115&amp;$F115&amp;$J115,'Doc''s Pagos | Rodopar 108'!$B:$B,S$1)+SUMIFS('Doc Há Pagar | Rodopar 1015'!$J:$J,'Doc Há Pagar | Rodopar 1015'!$A:$A,$B115&amp;$E115&amp;$F115,'Doc Há Pagar | Rodopar 1015'!$B:$B,S$1)</f>
        <v>0</v>
      </c>
      <c r="T115" s="20">
        <f>SUMIFS('Doc''s Pagos | Rodopar 108'!$J:$J,'Doc''s Pagos | Rodopar 108'!$A:$A,$B115&amp;$E115&amp;$F115&amp;$J115,'Doc''s Pagos | Rodopar 108'!$B:$B,T$1)+SUMIFS('Doc Há Pagar | Rodopar 1015'!$J:$J,'Doc Há Pagar | Rodopar 1015'!$A:$A,$B115&amp;$E115&amp;$F115,'Doc Há Pagar | Rodopar 1015'!$B:$B,T$1)</f>
        <v>0</v>
      </c>
      <c r="U115" s="20">
        <f>SUMIFS('Doc''s Pagos | Rodopar 108'!$J:$J,'Doc''s Pagos | Rodopar 108'!$A:$A,$B115&amp;$E115&amp;$F115&amp;$J115,'Doc''s Pagos | Rodopar 108'!$B:$B,U$1)+SUMIFS('Doc Há Pagar | Rodopar 1015'!$J:$J,'Doc Há Pagar | Rodopar 1015'!$A:$A,$B115&amp;$E115&amp;$F115,'Doc Há Pagar | Rodopar 1015'!$B:$B,U$1)</f>
        <v>0</v>
      </c>
      <c r="V115" s="20">
        <f>SUMIFS('Doc''s Pagos | Rodopar 108'!$J:$J,'Doc''s Pagos | Rodopar 108'!$A:$A,$B115&amp;$E115&amp;$F115&amp;$J115,'Doc''s Pagos | Rodopar 108'!$B:$B,V$1)+SUMIFS('Doc Há Pagar | Rodopar 1015'!$J:$J,'Doc Há Pagar | Rodopar 1015'!$A:$A,$B115&amp;$E115&amp;$F115,'Doc Há Pagar | Rodopar 1015'!$B:$B,V$1)</f>
        <v>1231.99</v>
      </c>
      <c r="W115" s="20">
        <f>SUMIFS('Doc''s Pagos | Rodopar 108'!$J:$J,'Doc''s Pagos | Rodopar 108'!$A:$A,$B115&amp;$E115&amp;$F115&amp;$J115,'Doc''s Pagos | Rodopar 108'!$B:$B,W$1)+SUMIFS('Doc Há Pagar | Rodopar 1015'!$J:$J,'Doc Há Pagar | Rodopar 1015'!$A:$A,$B115&amp;$E115&amp;$F115,'Doc Há Pagar | Rodopar 1015'!$B:$B,W$1)</f>
        <v>0</v>
      </c>
      <c r="X115" s="20">
        <f>SUMIFS('Doc''s Pagos | Rodopar 108'!$J:$J,'Doc''s Pagos | Rodopar 108'!$A:$A,$B115&amp;$E115&amp;$F115&amp;$J115,'Doc''s Pagos | Rodopar 108'!$B:$B,X$1)+SUMIFS('Doc Há Pagar | Rodopar 1015'!$J:$J,'Doc Há Pagar | Rodopar 1015'!$A:$A,$B115&amp;$E115&amp;$F115,'Doc Há Pagar | Rodopar 1015'!$B:$B,X$1)</f>
        <v>0</v>
      </c>
      <c r="Y115" s="20">
        <f>SUMIFS('Doc''s Pagos | Rodopar 108'!$J:$J,'Doc''s Pagos | Rodopar 108'!$A:$A,$B115&amp;$E115&amp;$F115&amp;$J115,'Doc''s Pagos | Rodopar 108'!$B:$B,Y$1)+SUMIFS('Doc Há Pagar | Rodopar 1015'!$J:$J,'Doc Há Pagar | Rodopar 1015'!$A:$A,$B115&amp;$E115&amp;$F115,'Doc Há Pagar | Rodopar 1015'!$B:$B,Y$1)</f>
        <v>0</v>
      </c>
      <c r="Z115" s="20">
        <f>SUMIFS('Doc''s Pagos | Rodopar 108'!$J:$J,'Doc''s Pagos | Rodopar 108'!$A:$A,$B115&amp;$E115&amp;$F115&amp;$J115,'Doc''s Pagos | Rodopar 108'!$B:$B,Z$1)+SUMIFS('Doc Há Pagar | Rodopar 1015'!$J:$J,'Doc Há Pagar | Rodopar 1015'!$A:$A,$B115&amp;$E115&amp;$F115,'Doc Há Pagar | Rodopar 1015'!$B:$B,Z$1)</f>
        <v>0</v>
      </c>
      <c r="AA115" s="20">
        <f>SUMIFS('Doc''s Pagos | Rodopar 108'!$J:$J,'Doc''s Pagos | Rodopar 108'!$A:$A,$B115&amp;$E115&amp;$F115&amp;$J115,'Doc''s Pagos | Rodopar 108'!$B:$B,AA$1)+SUMIFS('Doc Há Pagar | Rodopar 1015'!$J:$J,'Doc Há Pagar | Rodopar 1015'!$A:$A,$B115&amp;$E115&amp;$F115,'Doc Há Pagar | Rodopar 1015'!$B:$B,AA$1)</f>
        <v>0</v>
      </c>
      <c r="AB115" s="20">
        <f>SUMIFS('Doc''s Pagos | Rodopar 108'!$J:$J,'Doc''s Pagos | Rodopar 108'!$A:$A,$B115&amp;$E115&amp;$F115&amp;$J115,'Doc''s Pagos | Rodopar 108'!$B:$B,AB$1)+SUMIFS('Doc Há Pagar | Rodopar 1015'!$J:$J,'Doc Há Pagar | Rodopar 1015'!$A:$A,$B115&amp;$E115&amp;$F115,'Doc Há Pagar | Rodopar 1015'!$B:$B,AB$1)</f>
        <v>0</v>
      </c>
      <c r="AC115" s="20">
        <f>SUMIFS('Doc''s Pagos | Rodopar 108'!$J:$J,'Doc''s Pagos | Rodopar 108'!$A:$A,$B115&amp;$E115&amp;$F115&amp;$J115,'Doc''s Pagos | Rodopar 108'!$B:$B,AC$1)+SUMIFS('Doc Há Pagar | Rodopar 1015'!$J:$J,'Doc Há Pagar | Rodopar 1015'!$A:$A,$B115&amp;$E115&amp;$F115,'Doc Há Pagar | Rodopar 1015'!$B:$B,AC$1)</f>
        <v>0</v>
      </c>
      <c r="AD115" s="20">
        <f>SUMIFS('Doc''s Pagos | Rodopar 108'!$J:$J,'Doc''s Pagos | Rodopar 108'!$A:$A,$B115&amp;$E115&amp;$F115&amp;$J115,'Doc''s Pagos | Rodopar 108'!$B:$B,AD$1)+SUMIFS('Doc Há Pagar | Rodopar 1015'!$J:$J,'Doc Há Pagar | Rodopar 1015'!$A:$A,$B115&amp;$E115&amp;$F115,'Doc Há Pagar | Rodopar 1015'!$B:$B,AD$1)</f>
        <v>0</v>
      </c>
    </row>
    <row r="116" spans="1:30" x14ac:dyDescent="0.25">
      <c r="A116" s="1" t="str">
        <f>VLOOKUP($E116,Fornecedores!$A:$C,3,0)</f>
        <v>Frota</v>
      </c>
      <c r="B116" s="14">
        <v>7814</v>
      </c>
      <c r="C116" s="14" t="str">
        <f>IFERROR(VLOOKUP($E116,Fornecedores!$A:$E,4,0),"")</f>
        <v>Manutenção</v>
      </c>
      <c r="D116" s="14" t="str">
        <f>IFERROR(VLOOKUP($E116,Fornecedores!$A:$E,5,0),"")</f>
        <v>Peças E Serviços</v>
      </c>
      <c r="E116" s="8" t="s">
        <v>581</v>
      </c>
      <c r="F116" s="14" t="s">
        <v>380</v>
      </c>
      <c r="G116" s="8" t="s">
        <v>582</v>
      </c>
      <c r="H116" s="9">
        <v>87</v>
      </c>
      <c r="I116" s="21">
        <v>4000</v>
      </c>
      <c r="J116" s="11">
        <v>46099</v>
      </c>
      <c r="K116" s="11">
        <v>46108</v>
      </c>
      <c r="L116" s="8" t="s">
        <v>233</v>
      </c>
      <c r="M116" s="14" t="s">
        <v>234</v>
      </c>
      <c r="N116" s="16">
        <v>1556</v>
      </c>
      <c r="O116" s="14" t="s">
        <v>241</v>
      </c>
      <c r="P116" s="14"/>
      <c r="Q116" s="20">
        <f t="shared" si="1"/>
        <v>0</v>
      </c>
      <c r="S116" s="20">
        <f>SUMIFS('Doc''s Pagos | Rodopar 108'!$J:$J,'Doc''s Pagos | Rodopar 108'!$A:$A,$B116&amp;$E116&amp;$F116&amp;$J116,'Doc''s Pagos | Rodopar 108'!$B:$B,S$1)+SUMIFS('Doc Há Pagar | Rodopar 1015'!$J:$J,'Doc Há Pagar | Rodopar 1015'!$A:$A,$B116&amp;$E116&amp;$F116,'Doc Há Pagar | Rodopar 1015'!$B:$B,S$1)</f>
        <v>0</v>
      </c>
      <c r="T116" s="20">
        <f>SUMIFS('Doc''s Pagos | Rodopar 108'!$J:$J,'Doc''s Pagos | Rodopar 108'!$A:$A,$B116&amp;$E116&amp;$F116&amp;$J116,'Doc''s Pagos | Rodopar 108'!$B:$B,T$1)+SUMIFS('Doc Há Pagar | Rodopar 1015'!$J:$J,'Doc Há Pagar | Rodopar 1015'!$A:$A,$B116&amp;$E116&amp;$F116,'Doc Há Pagar | Rodopar 1015'!$B:$B,T$1)</f>
        <v>0</v>
      </c>
      <c r="U116" s="20">
        <f>SUMIFS('Doc''s Pagos | Rodopar 108'!$J:$J,'Doc''s Pagos | Rodopar 108'!$A:$A,$B116&amp;$E116&amp;$F116&amp;$J116,'Doc''s Pagos | Rodopar 108'!$B:$B,U$1)+SUMIFS('Doc Há Pagar | Rodopar 1015'!$J:$J,'Doc Há Pagar | Rodopar 1015'!$A:$A,$B116&amp;$E116&amp;$F116,'Doc Há Pagar | Rodopar 1015'!$B:$B,U$1)</f>
        <v>0</v>
      </c>
      <c r="V116" s="20">
        <f>SUMIFS('Doc''s Pagos | Rodopar 108'!$J:$J,'Doc''s Pagos | Rodopar 108'!$A:$A,$B116&amp;$E116&amp;$F116&amp;$J116,'Doc''s Pagos | Rodopar 108'!$B:$B,V$1)+SUMIFS('Doc Há Pagar | Rodopar 1015'!$J:$J,'Doc Há Pagar | Rodopar 1015'!$A:$A,$B116&amp;$E116&amp;$F116,'Doc Há Pagar | Rodopar 1015'!$B:$B,V$1)</f>
        <v>2000</v>
      </c>
      <c r="W116" s="20">
        <f>SUMIFS('Doc''s Pagos | Rodopar 108'!$J:$J,'Doc''s Pagos | Rodopar 108'!$A:$A,$B116&amp;$E116&amp;$F116&amp;$J116,'Doc''s Pagos | Rodopar 108'!$B:$B,W$1)+SUMIFS('Doc Há Pagar | Rodopar 1015'!$J:$J,'Doc Há Pagar | Rodopar 1015'!$A:$A,$B116&amp;$E116&amp;$F116,'Doc Há Pagar | Rodopar 1015'!$B:$B,W$1)</f>
        <v>2000</v>
      </c>
      <c r="X116" s="20">
        <f>SUMIFS('Doc''s Pagos | Rodopar 108'!$J:$J,'Doc''s Pagos | Rodopar 108'!$A:$A,$B116&amp;$E116&amp;$F116&amp;$J116,'Doc''s Pagos | Rodopar 108'!$B:$B,X$1)+SUMIFS('Doc Há Pagar | Rodopar 1015'!$J:$J,'Doc Há Pagar | Rodopar 1015'!$A:$A,$B116&amp;$E116&amp;$F116,'Doc Há Pagar | Rodopar 1015'!$B:$B,X$1)</f>
        <v>0</v>
      </c>
      <c r="Y116" s="20">
        <f>SUMIFS('Doc''s Pagos | Rodopar 108'!$J:$J,'Doc''s Pagos | Rodopar 108'!$A:$A,$B116&amp;$E116&amp;$F116&amp;$J116,'Doc''s Pagos | Rodopar 108'!$B:$B,Y$1)+SUMIFS('Doc Há Pagar | Rodopar 1015'!$J:$J,'Doc Há Pagar | Rodopar 1015'!$A:$A,$B116&amp;$E116&amp;$F116,'Doc Há Pagar | Rodopar 1015'!$B:$B,Y$1)</f>
        <v>0</v>
      </c>
      <c r="Z116" s="20">
        <f>SUMIFS('Doc''s Pagos | Rodopar 108'!$J:$J,'Doc''s Pagos | Rodopar 108'!$A:$A,$B116&amp;$E116&amp;$F116&amp;$J116,'Doc''s Pagos | Rodopar 108'!$B:$B,Z$1)+SUMIFS('Doc Há Pagar | Rodopar 1015'!$J:$J,'Doc Há Pagar | Rodopar 1015'!$A:$A,$B116&amp;$E116&amp;$F116,'Doc Há Pagar | Rodopar 1015'!$B:$B,Z$1)</f>
        <v>0</v>
      </c>
      <c r="AA116" s="20">
        <f>SUMIFS('Doc''s Pagos | Rodopar 108'!$J:$J,'Doc''s Pagos | Rodopar 108'!$A:$A,$B116&amp;$E116&amp;$F116&amp;$J116,'Doc''s Pagos | Rodopar 108'!$B:$B,AA$1)+SUMIFS('Doc Há Pagar | Rodopar 1015'!$J:$J,'Doc Há Pagar | Rodopar 1015'!$A:$A,$B116&amp;$E116&amp;$F116,'Doc Há Pagar | Rodopar 1015'!$B:$B,AA$1)</f>
        <v>0</v>
      </c>
      <c r="AB116" s="20">
        <f>SUMIFS('Doc''s Pagos | Rodopar 108'!$J:$J,'Doc''s Pagos | Rodopar 108'!$A:$A,$B116&amp;$E116&amp;$F116&amp;$J116,'Doc''s Pagos | Rodopar 108'!$B:$B,AB$1)+SUMIFS('Doc Há Pagar | Rodopar 1015'!$J:$J,'Doc Há Pagar | Rodopar 1015'!$A:$A,$B116&amp;$E116&amp;$F116,'Doc Há Pagar | Rodopar 1015'!$B:$B,AB$1)</f>
        <v>0</v>
      </c>
      <c r="AC116" s="20">
        <f>SUMIFS('Doc''s Pagos | Rodopar 108'!$J:$J,'Doc''s Pagos | Rodopar 108'!$A:$A,$B116&amp;$E116&amp;$F116&amp;$J116,'Doc''s Pagos | Rodopar 108'!$B:$B,AC$1)+SUMIFS('Doc Há Pagar | Rodopar 1015'!$J:$J,'Doc Há Pagar | Rodopar 1015'!$A:$A,$B116&amp;$E116&amp;$F116,'Doc Há Pagar | Rodopar 1015'!$B:$B,AC$1)</f>
        <v>0</v>
      </c>
      <c r="AD116" s="20">
        <f>SUMIFS('Doc''s Pagos | Rodopar 108'!$J:$J,'Doc''s Pagos | Rodopar 108'!$A:$A,$B116&amp;$E116&amp;$F116&amp;$J116,'Doc''s Pagos | Rodopar 108'!$B:$B,AD$1)+SUMIFS('Doc Há Pagar | Rodopar 1015'!$J:$J,'Doc Há Pagar | Rodopar 1015'!$A:$A,$B116&amp;$E116&amp;$F116,'Doc Há Pagar | Rodopar 1015'!$B:$B,AD$1)</f>
        <v>0</v>
      </c>
    </row>
    <row r="117" spans="1:30" x14ac:dyDescent="0.25">
      <c r="A117" s="1" t="str">
        <f>VLOOKUP($E117,Fornecedores!$A:$C,3,0)</f>
        <v>Frota</v>
      </c>
      <c r="B117" s="14">
        <v>2729</v>
      </c>
      <c r="C117" s="14" t="str">
        <f>IFERROR(VLOOKUP($E117,Fornecedores!$A:$E,4,0),"")</f>
        <v>Manutenção</v>
      </c>
      <c r="D117" s="14" t="str">
        <f>IFERROR(VLOOKUP($E117,Fornecedores!$A:$E,5,0),"")</f>
        <v>Frota Leve OPE</v>
      </c>
      <c r="E117" s="8" t="s">
        <v>125</v>
      </c>
      <c r="F117" s="14" t="s">
        <v>380</v>
      </c>
      <c r="G117" s="8" t="s">
        <v>467</v>
      </c>
      <c r="H117" s="9">
        <v>87</v>
      </c>
      <c r="I117" s="21">
        <v>816.5</v>
      </c>
      <c r="J117" s="11">
        <v>46100</v>
      </c>
      <c r="K117" s="11">
        <v>46119</v>
      </c>
      <c r="L117" s="8" t="s">
        <v>282</v>
      </c>
      <c r="M117" s="14" t="s">
        <v>234</v>
      </c>
      <c r="N117" s="16">
        <v>1556</v>
      </c>
      <c r="O117" s="14" t="s">
        <v>241</v>
      </c>
      <c r="P117" s="14"/>
      <c r="Q117" s="20">
        <f t="shared" si="1"/>
        <v>0</v>
      </c>
      <c r="S117" s="20">
        <f>SUMIFS('Doc''s Pagos | Rodopar 108'!$J:$J,'Doc''s Pagos | Rodopar 108'!$A:$A,$B117&amp;$E117&amp;$F117&amp;$J117,'Doc''s Pagos | Rodopar 108'!$B:$B,S$1)+SUMIFS('Doc Há Pagar | Rodopar 1015'!$J:$J,'Doc Há Pagar | Rodopar 1015'!$A:$A,$B117&amp;$E117&amp;$F117,'Doc Há Pagar | Rodopar 1015'!$B:$B,S$1)</f>
        <v>0</v>
      </c>
      <c r="T117" s="20">
        <f>SUMIFS('Doc''s Pagos | Rodopar 108'!$J:$J,'Doc''s Pagos | Rodopar 108'!$A:$A,$B117&amp;$E117&amp;$F117&amp;$J117,'Doc''s Pagos | Rodopar 108'!$B:$B,T$1)+SUMIFS('Doc Há Pagar | Rodopar 1015'!$J:$J,'Doc Há Pagar | Rodopar 1015'!$A:$A,$B117&amp;$E117&amp;$F117,'Doc Há Pagar | Rodopar 1015'!$B:$B,T$1)</f>
        <v>0</v>
      </c>
      <c r="U117" s="20">
        <f>SUMIFS('Doc''s Pagos | Rodopar 108'!$J:$J,'Doc''s Pagos | Rodopar 108'!$A:$A,$B117&amp;$E117&amp;$F117&amp;$J117,'Doc''s Pagos | Rodopar 108'!$B:$B,U$1)+SUMIFS('Doc Há Pagar | Rodopar 1015'!$J:$J,'Doc Há Pagar | Rodopar 1015'!$A:$A,$B117&amp;$E117&amp;$F117,'Doc Há Pagar | Rodopar 1015'!$B:$B,U$1)</f>
        <v>0</v>
      </c>
      <c r="V117" s="20">
        <f>SUMIFS('Doc''s Pagos | Rodopar 108'!$J:$J,'Doc''s Pagos | Rodopar 108'!$A:$A,$B117&amp;$E117&amp;$F117&amp;$J117,'Doc''s Pagos | Rodopar 108'!$B:$B,V$1)+SUMIFS('Doc Há Pagar | Rodopar 1015'!$J:$J,'Doc Há Pagar | Rodopar 1015'!$A:$A,$B117&amp;$E117&amp;$F117,'Doc Há Pagar | Rodopar 1015'!$B:$B,V$1)</f>
        <v>816.5</v>
      </c>
      <c r="W117" s="20">
        <f>SUMIFS('Doc''s Pagos | Rodopar 108'!$J:$J,'Doc''s Pagos | Rodopar 108'!$A:$A,$B117&amp;$E117&amp;$F117&amp;$J117,'Doc''s Pagos | Rodopar 108'!$B:$B,W$1)+SUMIFS('Doc Há Pagar | Rodopar 1015'!$J:$J,'Doc Há Pagar | Rodopar 1015'!$A:$A,$B117&amp;$E117&amp;$F117,'Doc Há Pagar | Rodopar 1015'!$B:$B,W$1)</f>
        <v>0</v>
      </c>
      <c r="X117" s="20">
        <f>SUMIFS('Doc''s Pagos | Rodopar 108'!$J:$J,'Doc''s Pagos | Rodopar 108'!$A:$A,$B117&amp;$E117&amp;$F117&amp;$J117,'Doc''s Pagos | Rodopar 108'!$B:$B,X$1)+SUMIFS('Doc Há Pagar | Rodopar 1015'!$J:$J,'Doc Há Pagar | Rodopar 1015'!$A:$A,$B117&amp;$E117&amp;$F117,'Doc Há Pagar | Rodopar 1015'!$B:$B,X$1)</f>
        <v>0</v>
      </c>
      <c r="Y117" s="20">
        <f>SUMIFS('Doc''s Pagos | Rodopar 108'!$J:$J,'Doc''s Pagos | Rodopar 108'!$A:$A,$B117&amp;$E117&amp;$F117&amp;$J117,'Doc''s Pagos | Rodopar 108'!$B:$B,Y$1)+SUMIFS('Doc Há Pagar | Rodopar 1015'!$J:$J,'Doc Há Pagar | Rodopar 1015'!$A:$A,$B117&amp;$E117&amp;$F117,'Doc Há Pagar | Rodopar 1015'!$B:$B,Y$1)</f>
        <v>0</v>
      </c>
      <c r="Z117" s="20">
        <f>SUMIFS('Doc''s Pagos | Rodopar 108'!$J:$J,'Doc''s Pagos | Rodopar 108'!$A:$A,$B117&amp;$E117&amp;$F117&amp;$J117,'Doc''s Pagos | Rodopar 108'!$B:$B,Z$1)+SUMIFS('Doc Há Pagar | Rodopar 1015'!$J:$J,'Doc Há Pagar | Rodopar 1015'!$A:$A,$B117&amp;$E117&amp;$F117,'Doc Há Pagar | Rodopar 1015'!$B:$B,Z$1)</f>
        <v>0</v>
      </c>
      <c r="AA117" s="20">
        <f>SUMIFS('Doc''s Pagos | Rodopar 108'!$J:$J,'Doc''s Pagos | Rodopar 108'!$A:$A,$B117&amp;$E117&amp;$F117&amp;$J117,'Doc''s Pagos | Rodopar 108'!$B:$B,AA$1)+SUMIFS('Doc Há Pagar | Rodopar 1015'!$J:$J,'Doc Há Pagar | Rodopar 1015'!$A:$A,$B117&amp;$E117&amp;$F117,'Doc Há Pagar | Rodopar 1015'!$B:$B,AA$1)</f>
        <v>0</v>
      </c>
      <c r="AB117" s="20">
        <f>SUMIFS('Doc''s Pagos | Rodopar 108'!$J:$J,'Doc''s Pagos | Rodopar 108'!$A:$A,$B117&amp;$E117&amp;$F117&amp;$J117,'Doc''s Pagos | Rodopar 108'!$B:$B,AB$1)+SUMIFS('Doc Há Pagar | Rodopar 1015'!$J:$J,'Doc Há Pagar | Rodopar 1015'!$A:$A,$B117&amp;$E117&amp;$F117,'Doc Há Pagar | Rodopar 1015'!$B:$B,AB$1)</f>
        <v>0</v>
      </c>
      <c r="AC117" s="20">
        <f>SUMIFS('Doc''s Pagos | Rodopar 108'!$J:$J,'Doc''s Pagos | Rodopar 108'!$A:$A,$B117&amp;$E117&amp;$F117&amp;$J117,'Doc''s Pagos | Rodopar 108'!$B:$B,AC$1)+SUMIFS('Doc Há Pagar | Rodopar 1015'!$J:$J,'Doc Há Pagar | Rodopar 1015'!$A:$A,$B117&amp;$E117&amp;$F117,'Doc Há Pagar | Rodopar 1015'!$B:$B,AC$1)</f>
        <v>0</v>
      </c>
      <c r="AD117" s="20">
        <f>SUMIFS('Doc''s Pagos | Rodopar 108'!$J:$J,'Doc''s Pagos | Rodopar 108'!$A:$A,$B117&amp;$E117&amp;$F117&amp;$J117,'Doc''s Pagos | Rodopar 108'!$B:$B,AD$1)+SUMIFS('Doc Há Pagar | Rodopar 1015'!$J:$J,'Doc Há Pagar | Rodopar 1015'!$A:$A,$B117&amp;$E117&amp;$F117,'Doc Há Pagar | Rodopar 1015'!$B:$B,AD$1)</f>
        <v>0</v>
      </c>
    </row>
    <row r="118" spans="1:30" x14ac:dyDescent="0.25">
      <c r="A118" s="1" t="str">
        <f>VLOOKUP($E118,Fornecedores!$A:$C,3,0)</f>
        <v>Frota</v>
      </c>
      <c r="B118" s="14">
        <v>8085</v>
      </c>
      <c r="C118" s="14" t="str">
        <f>IFERROR(VLOOKUP($E118,Fornecedores!$A:$E,4,0),"")</f>
        <v>Manutenção</v>
      </c>
      <c r="D118" s="14" t="str">
        <f>IFERROR(VLOOKUP($E118,Fornecedores!$A:$E,5,0),"")</f>
        <v>Peças E Serviços</v>
      </c>
      <c r="E118" s="8" t="s">
        <v>77</v>
      </c>
      <c r="F118" s="14" t="s">
        <v>380</v>
      </c>
      <c r="G118" s="8" t="s">
        <v>585</v>
      </c>
      <c r="H118" s="9">
        <v>87</v>
      </c>
      <c r="I118" s="21">
        <v>1030</v>
      </c>
      <c r="J118" s="11">
        <v>46104</v>
      </c>
      <c r="K118" s="11">
        <v>46108</v>
      </c>
      <c r="L118" s="8" t="s">
        <v>501</v>
      </c>
      <c r="M118" s="14" t="s">
        <v>234</v>
      </c>
      <c r="N118" s="16">
        <v>1556</v>
      </c>
      <c r="O118" s="14" t="s">
        <v>241</v>
      </c>
      <c r="P118" s="14"/>
      <c r="Q118" s="20">
        <f t="shared" si="1"/>
        <v>0</v>
      </c>
      <c r="S118" s="20">
        <f>SUMIFS('Doc''s Pagos | Rodopar 108'!$J:$J,'Doc''s Pagos | Rodopar 108'!$A:$A,$B118&amp;$E118&amp;$F118&amp;$J118,'Doc''s Pagos | Rodopar 108'!$B:$B,S$1)+SUMIFS('Doc Há Pagar | Rodopar 1015'!$J:$J,'Doc Há Pagar | Rodopar 1015'!$A:$A,$B118&amp;$E118&amp;$F118,'Doc Há Pagar | Rodopar 1015'!$B:$B,S$1)</f>
        <v>0</v>
      </c>
      <c r="T118" s="20">
        <f>SUMIFS('Doc''s Pagos | Rodopar 108'!$J:$J,'Doc''s Pagos | Rodopar 108'!$A:$A,$B118&amp;$E118&amp;$F118&amp;$J118,'Doc''s Pagos | Rodopar 108'!$B:$B,T$1)+SUMIFS('Doc Há Pagar | Rodopar 1015'!$J:$J,'Doc Há Pagar | Rodopar 1015'!$A:$A,$B118&amp;$E118&amp;$F118,'Doc Há Pagar | Rodopar 1015'!$B:$B,T$1)</f>
        <v>0</v>
      </c>
      <c r="U118" s="20">
        <f>SUMIFS('Doc''s Pagos | Rodopar 108'!$J:$J,'Doc''s Pagos | Rodopar 108'!$A:$A,$B118&amp;$E118&amp;$F118&amp;$J118,'Doc''s Pagos | Rodopar 108'!$B:$B,U$1)+SUMIFS('Doc Há Pagar | Rodopar 1015'!$J:$J,'Doc Há Pagar | Rodopar 1015'!$A:$A,$B118&amp;$E118&amp;$F118,'Doc Há Pagar | Rodopar 1015'!$B:$B,U$1)</f>
        <v>0</v>
      </c>
      <c r="V118" s="20">
        <f>SUMIFS('Doc''s Pagos | Rodopar 108'!$J:$J,'Doc''s Pagos | Rodopar 108'!$A:$A,$B118&amp;$E118&amp;$F118&amp;$J118,'Doc''s Pagos | Rodopar 108'!$B:$B,V$1)+SUMIFS('Doc Há Pagar | Rodopar 1015'!$J:$J,'Doc Há Pagar | Rodopar 1015'!$A:$A,$B118&amp;$E118&amp;$F118,'Doc Há Pagar | Rodopar 1015'!$B:$B,V$1)</f>
        <v>1030</v>
      </c>
      <c r="W118" s="20">
        <f>SUMIFS('Doc''s Pagos | Rodopar 108'!$J:$J,'Doc''s Pagos | Rodopar 108'!$A:$A,$B118&amp;$E118&amp;$F118&amp;$J118,'Doc''s Pagos | Rodopar 108'!$B:$B,W$1)+SUMIFS('Doc Há Pagar | Rodopar 1015'!$J:$J,'Doc Há Pagar | Rodopar 1015'!$A:$A,$B118&amp;$E118&amp;$F118,'Doc Há Pagar | Rodopar 1015'!$B:$B,W$1)</f>
        <v>0</v>
      </c>
      <c r="X118" s="20">
        <f>SUMIFS('Doc''s Pagos | Rodopar 108'!$J:$J,'Doc''s Pagos | Rodopar 108'!$A:$A,$B118&amp;$E118&amp;$F118&amp;$J118,'Doc''s Pagos | Rodopar 108'!$B:$B,X$1)+SUMIFS('Doc Há Pagar | Rodopar 1015'!$J:$J,'Doc Há Pagar | Rodopar 1015'!$A:$A,$B118&amp;$E118&amp;$F118,'Doc Há Pagar | Rodopar 1015'!$B:$B,X$1)</f>
        <v>0</v>
      </c>
      <c r="Y118" s="20">
        <f>SUMIFS('Doc''s Pagos | Rodopar 108'!$J:$J,'Doc''s Pagos | Rodopar 108'!$A:$A,$B118&amp;$E118&amp;$F118&amp;$J118,'Doc''s Pagos | Rodopar 108'!$B:$B,Y$1)+SUMIFS('Doc Há Pagar | Rodopar 1015'!$J:$J,'Doc Há Pagar | Rodopar 1015'!$A:$A,$B118&amp;$E118&amp;$F118,'Doc Há Pagar | Rodopar 1015'!$B:$B,Y$1)</f>
        <v>0</v>
      </c>
      <c r="Z118" s="20">
        <f>SUMIFS('Doc''s Pagos | Rodopar 108'!$J:$J,'Doc''s Pagos | Rodopar 108'!$A:$A,$B118&amp;$E118&amp;$F118&amp;$J118,'Doc''s Pagos | Rodopar 108'!$B:$B,Z$1)+SUMIFS('Doc Há Pagar | Rodopar 1015'!$J:$J,'Doc Há Pagar | Rodopar 1015'!$A:$A,$B118&amp;$E118&amp;$F118,'Doc Há Pagar | Rodopar 1015'!$B:$B,Z$1)</f>
        <v>0</v>
      </c>
      <c r="AA118" s="20">
        <f>SUMIFS('Doc''s Pagos | Rodopar 108'!$J:$J,'Doc''s Pagos | Rodopar 108'!$A:$A,$B118&amp;$E118&amp;$F118&amp;$J118,'Doc''s Pagos | Rodopar 108'!$B:$B,AA$1)+SUMIFS('Doc Há Pagar | Rodopar 1015'!$J:$J,'Doc Há Pagar | Rodopar 1015'!$A:$A,$B118&amp;$E118&amp;$F118,'Doc Há Pagar | Rodopar 1015'!$B:$B,AA$1)</f>
        <v>0</v>
      </c>
      <c r="AB118" s="20">
        <f>SUMIFS('Doc''s Pagos | Rodopar 108'!$J:$J,'Doc''s Pagos | Rodopar 108'!$A:$A,$B118&amp;$E118&amp;$F118&amp;$J118,'Doc''s Pagos | Rodopar 108'!$B:$B,AB$1)+SUMIFS('Doc Há Pagar | Rodopar 1015'!$J:$J,'Doc Há Pagar | Rodopar 1015'!$A:$A,$B118&amp;$E118&amp;$F118,'Doc Há Pagar | Rodopar 1015'!$B:$B,AB$1)</f>
        <v>0</v>
      </c>
      <c r="AC118" s="20">
        <f>SUMIFS('Doc''s Pagos | Rodopar 108'!$J:$J,'Doc''s Pagos | Rodopar 108'!$A:$A,$B118&amp;$E118&amp;$F118&amp;$J118,'Doc''s Pagos | Rodopar 108'!$B:$B,AC$1)+SUMIFS('Doc Há Pagar | Rodopar 1015'!$J:$J,'Doc Há Pagar | Rodopar 1015'!$A:$A,$B118&amp;$E118&amp;$F118,'Doc Há Pagar | Rodopar 1015'!$B:$B,AC$1)</f>
        <v>0</v>
      </c>
      <c r="AD118" s="20">
        <f>SUMIFS('Doc''s Pagos | Rodopar 108'!$J:$J,'Doc''s Pagos | Rodopar 108'!$A:$A,$B118&amp;$E118&amp;$F118&amp;$J118,'Doc''s Pagos | Rodopar 108'!$B:$B,AD$1)+SUMIFS('Doc Há Pagar | Rodopar 1015'!$J:$J,'Doc Há Pagar | Rodopar 1015'!$A:$A,$B118&amp;$E118&amp;$F118,'Doc Há Pagar | Rodopar 1015'!$B:$B,AD$1)</f>
        <v>0</v>
      </c>
    </row>
    <row r="119" spans="1:30" x14ac:dyDescent="0.25">
      <c r="A119" s="1" t="str">
        <f>VLOOKUP($E119,Fornecedores!$A:$C,3,0)</f>
        <v>Frota</v>
      </c>
      <c r="B119" s="14">
        <v>8086</v>
      </c>
      <c r="C119" s="14" t="str">
        <f>IFERROR(VLOOKUP($E119,Fornecedores!$A:$E,4,0),"")</f>
        <v>Manutenção</v>
      </c>
      <c r="D119" s="14" t="str">
        <f>IFERROR(VLOOKUP($E119,Fornecedores!$A:$E,5,0),"")</f>
        <v>Peças E Serviços</v>
      </c>
      <c r="E119" s="8" t="s">
        <v>77</v>
      </c>
      <c r="F119" s="14" t="s">
        <v>380</v>
      </c>
      <c r="G119" s="8" t="s">
        <v>585</v>
      </c>
      <c r="H119" s="9">
        <v>87</v>
      </c>
      <c r="I119" s="21">
        <v>130</v>
      </c>
      <c r="J119" s="11">
        <v>46104</v>
      </c>
      <c r="K119" s="11">
        <v>46108</v>
      </c>
      <c r="L119" s="8" t="s">
        <v>501</v>
      </c>
      <c r="M119" s="14" t="s">
        <v>234</v>
      </c>
      <c r="N119" s="16">
        <v>1556</v>
      </c>
      <c r="O119" s="14" t="s">
        <v>241</v>
      </c>
      <c r="P119" s="14"/>
      <c r="Q119" s="20">
        <f t="shared" si="1"/>
        <v>0</v>
      </c>
      <c r="S119" s="20">
        <f>SUMIFS('Doc''s Pagos | Rodopar 108'!$J:$J,'Doc''s Pagos | Rodopar 108'!$A:$A,$B119&amp;$E119&amp;$F119&amp;$J119,'Doc''s Pagos | Rodopar 108'!$B:$B,S$1)+SUMIFS('Doc Há Pagar | Rodopar 1015'!$J:$J,'Doc Há Pagar | Rodopar 1015'!$A:$A,$B119&amp;$E119&amp;$F119,'Doc Há Pagar | Rodopar 1015'!$B:$B,S$1)</f>
        <v>0</v>
      </c>
      <c r="T119" s="20">
        <f>SUMIFS('Doc''s Pagos | Rodopar 108'!$J:$J,'Doc''s Pagos | Rodopar 108'!$A:$A,$B119&amp;$E119&amp;$F119&amp;$J119,'Doc''s Pagos | Rodopar 108'!$B:$B,T$1)+SUMIFS('Doc Há Pagar | Rodopar 1015'!$J:$J,'Doc Há Pagar | Rodopar 1015'!$A:$A,$B119&amp;$E119&amp;$F119,'Doc Há Pagar | Rodopar 1015'!$B:$B,T$1)</f>
        <v>0</v>
      </c>
      <c r="U119" s="20">
        <f>SUMIFS('Doc''s Pagos | Rodopar 108'!$J:$J,'Doc''s Pagos | Rodopar 108'!$A:$A,$B119&amp;$E119&amp;$F119&amp;$J119,'Doc''s Pagos | Rodopar 108'!$B:$B,U$1)+SUMIFS('Doc Há Pagar | Rodopar 1015'!$J:$J,'Doc Há Pagar | Rodopar 1015'!$A:$A,$B119&amp;$E119&amp;$F119,'Doc Há Pagar | Rodopar 1015'!$B:$B,U$1)</f>
        <v>0</v>
      </c>
      <c r="V119" s="20">
        <f>SUMIFS('Doc''s Pagos | Rodopar 108'!$J:$J,'Doc''s Pagos | Rodopar 108'!$A:$A,$B119&amp;$E119&amp;$F119&amp;$J119,'Doc''s Pagos | Rodopar 108'!$B:$B,V$1)+SUMIFS('Doc Há Pagar | Rodopar 1015'!$J:$J,'Doc Há Pagar | Rodopar 1015'!$A:$A,$B119&amp;$E119&amp;$F119,'Doc Há Pagar | Rodopar 1015'!$B:$B,V$1)</f>
        <v>130</v>
      </c>
      <c r="W119" s="20">
        <f>SUMIFS('Doc''s Pagos | Rodopar 108'!$J:$J,'Doc''s Pagos | Rodopar 108'!$A:$A,$B119&amp;$E119&amp;$F119&amp;$J119,'Doc''s Pagos | Rodopar 108'!$B:$B,W$1)+SUMIFS('Doc Há Pagar | Rodopar 1015'!$J:$J,'Doc Há Pagar | Rodopar 1015'!$A:$A,$B119&amp;$E119&amp;$F119,'Doc Há Pagar | Rodopar 1015'!$B:$B,W$1)</f>
        <v>0</v>
      </c>
      <c r="X119" s="20">
        <f>SUMIFS('Doc''s Pagos | Rodopar 108'!$J:$J,'Doc''s Pagos | Rodopar 108'!$A:$A,$B119&amp;$E119&amp;$F119&amp;$J119,'Doc''s Pagos | Rodopar 108'!$B:$B,X$1)+SUMIFS('Doc Há Pagar | Rodopar 1015'!$J:$J,'Doc Há Pagar | Rodopar 1015'!$A:$A,$B119&amp;$E119&amp;$F119,'Doc Há Pagar | Rodopar 1015'!$B:$B,X$1)</f>
        <v>0</v>
      </c>
      <c r="Y119" s="20">
        <f>SUMIFS('Doc''s Pagos | Rodopar 108'!$J:$J,'Doc''s Pagos | Rodopar 108'!$A:$A,$B119&amp;$E119&amp;$F119&amp;$J119,'Doc''s Pagos | Rodopar 108'!$B:$B,Y$1)+SUMIFS('Doc Há Pagar | Rodopar 1015'!$J:$J,'Doc Há Pagar | Rodopar 1015'!$A:$A,$B119&amp;$E119&amp;$F119,'Doc Há Pagar | Rodopar 1015'!$B:$B,Y$1)</f>
        <v>0</v>
      </c>
      <c r="Z119" s="20">
        <f>SUMIFS('Doc''s Pagos | Rodopar 108'!$J:$J,'Doc''s Pagos | Rodopar 108'!$A:$A,$B119&amp;$E119&amp;$F119&amp;$J119,'Doc''s Pagos | Rodopar 108'!$B:$B,Z$1)+SUMIFS('Doc Há Pagar | Rodopar 1015'!$J:$J,'Doc Há Pagar | Rodopar 1015'!$A:$A,$B119&amp;$E119&amp;$F119,'Doc Há Pagar | Rodopar 1015'!$B:$B,Z$1)</f>
        <v>0</v>
      </c>
      <c r="AA119" s="20">
        <f>SUMIFS('Doc''s Pagos | Rodopar 108'!$J:$J,'Doc''s Pagos | Rodopar 108'!$A:$A,$B119&amp;$E119&amp;$F119&amp;$J119,'Doc''s Pagos | Rodopar 108'!$B:$B,AA$1)+SUMIFS('Doc Há Pagar | Rodopar 1015'!$J:$J,'Doc Há Pagar | Rodopar 1015'!$A:$A,$B119&amp;$E119&amp;$F119,'Doc Há Pagar | Rodopar 1015'!$B:$B,AA$1)</f>
        <v>0</v>
      </c>
      <c r="AB119" s="20">
        <f>SUMIFS('Doc''s Pagos | Rodopar 108'!$J:$J,'Doc''s Pagos | Rodopar 108'!$A:$A,$B119&amp;$E119&amp;$F119&amp;$J119,'Doc''s Pagos | Rodopar 108'!$B:$B,AB$1)+SUMIFS('Doc Há Pagar | Rodopar 1015'!$J:$J,'Doc Há Pagar | Rodopar 1015'!$A:$A,$B119&amp;$E119&amp;$F119,'Doc Há Pagar | Rodopar 1015'!$B:$B,AB$1)</f>
        <v>0</v>
      </c>
      <c r="AC119" s="20">
        <f>SUMIFS('Doc''s Pagos | Rodopar 108'!$J:$J,'Doc''s Pagos | Rodopar 108'!$A:$A,$B119&amp;$E119&amp;$F119&amp;$J119,'Doc''s Pagos | Rodopar 108'!$B:$B,AC$1)+SUMIFS('Doc Há Pagar | Rodopar 1015'!$J:$J,'Doc Há Pagar | Rodopar 1015'!$A:$A,$B119&amp;$E119&amp;$F119,'Doc Há Pagar | Rodopar 1015'!$B:$B,AC$1)</f>
        <v>0</v>
      </c>
      <c r="AD119" s="20">
        <f>SUMIFS('Doc''s Pagos | Rodopar 108'!$J:$J,'Doc''s Pagos | Rodopar 108'!$A:$A,$B119&amp;$E119&amp;$F119&amp;$J119,'Doc''s Pagos | Rodopar 108'!$B:$B,AD$1)+SUMIFS('Doc Há Pagar | Rodopar 1015'!$J:$J,'Doc Há Pagar | Rodopar 1015'!$A:$A,$B119&amp;$E119&amp;$F119,'Doc Há Pagar | Rodopar 1015'!$B:$B,AD$1)</f>
        <v>0</v>
      </c>
    </row>
    <row r="120" spans="1:30" x14ac:dyDescent="0.25">
      <c r="A120" s="1" t="str">
        <f>VLOOKUP($E120,Fornecedores!$A:$C,3,0)</f>
        <v>Frota</v>
      </c>
      <c r="B120" s="14">
        <v>127</v>
      </c>
      <c r="C120" s="14" t="str">
        <f>IFERROR(VLOOKUP($E120,Fornecedores!$A:$E,4,0),"")</f>
        <v>Manutenção</v>
      </c>
      <c r="D120" s="14" t="str">
        <f>IFERROR(VLOOKUP($E120,Fornecedores!$A:$E,5,0),"")</f>
        <v>Peças E Serviços</v>
      </c>
      <c r="E120" s="8" t="s">
        <v>77</v>
      </c>
      <c r="F120" s="14" t="s">
        <v>665</v>
      </c>
      <c r="G120" s="8" t="s">
        <v>585</v>
      </c>
      <c r="H120" s="9">
        <v>87</v>
      </c>
      <c r="I120" s="21">
        <v>340</v>
      </c>
      <c r="J120" s="11">
        <v>46104</v>
      </c>
      <c r="K120" s="11">
        <v>46108</v>
      </c>
      <c r="L120" s="8" t="s">
        <v>501</v>
      </c>
      <c r="M120" s="14" t="s">
        <v>234</v>
      </c>
      <c r="N120" s="16">
        <v>1556</v>
      </c>
      <c r="O120" s="14" t="s">
        <v>241</v>
      </c>
      <c r="P120" s="14"/>
      <c r="Q120" s="20">
        <f t="shared" si="1"/>
        <v>0</v>
      </c>
      <c r="S120" s="20">
        <f>SUMIFS('Doc''s Pagos | Rodopar 108'!$J:$J,'Doc''s Pagos | Rodopar 108'!$A:$A,$B120&amp;$E120&amp;$F120&amp;$J120,'Doc''s Pagos | Rodopar 108'!$B:$B,S$1)+SUMIFS('Doc Há Pagar | Rodopar 1015'!$J:$J,'Doc Há Pagar | Rodopar 1015'!$A:$A,$B120&amp;$E120&amp;$F120,'Doc Há Pagar | Rodopar 1015'!$B:$B,S$1)</f>
        <v>0</v>
      </c>
      <c r="T120" s="20">
        <f>SUMIFS('Doc''s Pagos | Rodopar 108'!$J:$J,'Doc''s Pagos | Rodopar 108'!$A:$A,$B120&amp;$E120&amp;$F120&amp;$J120,'Doc''s Pagos | Rodopar 108'!$B:$B,T$1)+SUMIFS('Doc Há Pagar | Rodopar 1015'!$J:$J,'Doc Há Pagar | Rodopar 1015'!$A:$A,$B120&amp;$E120&amp;$F120,'Doc Há Pagar | Rodopar 1015'!$B:$B,T$1)</f>
        <v>0</v>
      </c>
      <c r="U120" s="20">
        <f>SUMIFS('Doc''s Pagos | Rodopar 108'!$J:$J,'Doc''s Pagos | Rodopar 108'!$A:$A,$B120&amp;$E120&amp;$F120&amp;$J120,'Doc''s Pagos | Rodopar 108'!$B:$B,U$1)+SUMIFS('Doc Há Pagar | Rodopar 1015'!$J:$J,'Doc Há Pagar | Rodopar 1015'!$A:$A,$B120&amp;$E120&amp;$F120,'Doc Há Pagar | Rodopar 1015'!$B:$B,U$1)</f>
        <v>0</v>
      </c>
      <c r="V120" s="20">
        <f>SUMIFS('Doc''s Pagos | Rodopar 108'!$J:$J,'Doc''s Pagos | Rodopar 108'!$A:$A,$B120&amp;$E120&amp;$F120&amp;$J120,'Doc''s Pagos | Rodopar 108'!$B:$B,V$1)+SUMIFS('Doc Há Pagar | Rodopar 1015'!$J:$J,'Doc Há Pagar | Rodopar 1015'!$A:$A,$B120&amp;$E120&amp;$F120,'Doc Há Pagar | Rodopar 1015'!$B:$B,V$1)</f>
        <v>340</v>
      </c>
      <c r="W120" s="20">
        <f>SUMIFS('Doc''s Pagos | Rodopar 108'!$J:$J,'Doc''s Pagos | Rodopar 108'!$A:$A,$B120&amp;$E120&amp;$F120&amp;$J120,'Doc''s Pagos | Rodopar 108'!$B:$B,W$1)+SUMIFS('Doc Há Pagar | Rodopar 1015'!$J:$J,'Doc Há Pagar | Rodopar 1015'!$A:$A,$B120&amp;$E120&amp;$F120,'Doc Há Pagar | Rodopar 1015'!$B:$B,W$1)</f>
        <v>0</v>
      </c>
      <c r="X120" s="20">
        <f>SUMIFS('Doc''s Pagos | Rodopar 108'!$J:$J,'Doc''s Pagos | Rodopar 108'!$A:$A,$B120&amp;$E120&amp;$F120&amp;$J120,'Doc''s Pagos | Rodopar 108'!$B:$B,X$1)+SUMIFS('Doc Há Pagar | Rodopar 1015'!$J:$J,'Doc Há Pagar | Rodopar 1015'!$A:$A,$B120&amp;$E120&amp;$F120,'Doc Há Pagar | Rodopar 1015'!$B:$B,X$1)</f>
        <v>0</v>
      </c>
      <c r="Y120" s="20">
        <f>SUMIFS('Doc''s Pagos | Rodopar 108'!$J:$J,'Doc''s Pagos | Rodopar 108'!$A:$A,$B120&amp;$E120&amp;$F120&amp;$J120,'Doc''s Pagos | Rodopar 108'!$B:$B,Y$1)+SUMIFS('Doc Há Pagar | Rodopar 1015'!$J:$J,'Doc Há Pagar | Rodopar 1015'!$A:$A,$B120&amp;$E120&amp;$F120,'Doc Há Pagar | Rodopar 1015'!$B:$B,Y$1)</f>
        <v>0</v>
      </c>
      <c r="Z120" s="20">
        <f>SUMIFS('Doc''s Pagos | Rodopar 108'!$J:$J,'Doc''s Pagos | Rodopar 108'!$A:$A,$B120&amp;$E120&amp;$F120&amp;$J120,'Doc''s Pagos | Rodopar 108'!$B:$B,Z$1)+SUMIFS('Doc Há Pagar | Rodopar 1015'!$J:$J,'Doc Há Pagar | Rodopar 1015'!$A:$A,$B120&amp;$E120&amp;$F120,'Doc Há Pagar | Rodopar 1015'!$B:$B,Z$1)</f>
        <v>0</v>
      </c>
      <c r="AA120" s="20">
        <f>SUMIFS('Doc''s Pagos | Rodopar 108'!$J:$J,'Doc''s Pagos | Rodopar 108'!$A:$A,$B120&amp;$E120&amp;$F120&amp;$J120,'Doc''s Pagos | Rodopar 108'!$B:$B,AA$1)+SUMIFS('Doc Há Pagar | Rodopar 1015'!$J:$J,'Doc Há Pagar | Rodopar 1015'!$A:$A,$B120&amp;$E120&amp;$F120,'Doc Há Pagar | Rodopar 1015'!$B:$B,AA$1)</f>
        <v>0</v>
      </c>
      <c r="AB120" s="20">
        <f>SUMIFS('Doc''s Pagos | Rodopar 108'!$J:$J,'Doc''s Pagos | Rodopar 108'!$A:$A,$B120&amp;$E120&amp;$F120&amp;$J120,'Doc''s Pagos | Rodopar 108'!$B:$B,AB$1)+SUMIFS('Doc Há Pagar | Rodopar 1015'!$J:$J,'Doc Há Pagar | Rodopar 1015'!$A:$A,$B120&amp;$E120&amp;$F120,'Doc Há Pagar | Rodopar 1015'!$B:$B,AB$1)</f>
        <v>0</v>
      </c>
      <c r="AC120" s="20">
        <f>SUMIFS('Doc''s Pagos | Rodopar 108'!$J:$J,'Doc''s Pagos | Rodopar 108'!$A:$A,$B120&amp;$E120&amp;$F120&amp;$J120,'Doc''s Pagos | Rodopar 108'!$B:$B,AC$1)+SUMIFS('Doc Há Pagar | Rodopar 1015'!$J:$J,'Doc Há Pagar | Rodopar 1015'!$A:$A,$B120&amp;$E120&amp;$F120,'Doc Há Pagar | Rodopar 1015'!$B:$B,AC$1)</f>
        <v>0</v>
      </c>
      <c r="AD120" s="20">
        <f>SUMIFS('Doc''s Pagos | Rodopar 108'!$J:$J,'Doc''s Pagos | Rodopar 108'!$A:$A,$B120&amp;$E120&amp;$F120&amp;$J120,'Doc''s Pagos | Rodopar 108'!$B:$B,AD$1)+SUMIFS('Doc Há Pagar | Rodopar 1015'!$J:$J,'Doc Há Pagar | Rodopar 1015'!$A:$A,$B120&amp;$E120&amp;$F120,'Doc Há Pagar | Rodopar 1015'!$B:$B,AD$1)</f>
        <v>0</v>
      </c>
    </row>
    <row r="121" spans="1:30" x14ac:dyDescent="0.25">
      <c r="A121" s="1" t="str">
        <f>VLOOKUP($E121,Fornecedores!$A:$C,3,0)</f>
        <v>Frota</v>
      </c>
      <c r="B121" s="14">
        <v>128</v>
      </c>
      <c r="C121" s="14" t="str">
        <f>IFERROR(VLOOKUP($E121,Fornecedores!$A:$E,4,0),"")</f>
        <v>Manutenção</v>
      </c>
      <c r="D121" s="14" t="str">
        <f>IFERROR(VLOOKUP($E121,Fornecedores!$A:$E,5,0),"")</f>
        <v>Peças E Serviços</v>
      </c>
      <c r="E121" s="8" t="s">
        <v>77</v>
      </c>
      <c r="F121" s="14" t="s">
        <v>665</v>
      </c>
      <c r="G121" s="8" t="s">
        <v>585</v>
      </c>
      <c r="H121" s="9">
        <v>87</v>
      </c>
      <c r="I121" s="21">
        <v>140</v>
      </c>
      <c r="J121" s="11">
        <v>46104</v>
      </c>
      <c r="K121" s="11">
        <v>46108</v>
      </c>
      <c r="L121" s="8" t="s">
        <v>501</v>
      </c>
      <c r="M121" s="14" t="s">
        <v>234</v>
      </c>
      <c r="N121" s="16">
        <v>1556</v>
      </c>
      <c r="O121" s="14" t="s">
        <v>241</v>
      </c>
      <c r="P121" s="14"/>
      <c r="Q121" s="20">
        <f t="shared" si="1"/>
        <v>0</v>
      </c>
      <c r="S121" s="20">
        <f>SUMIFS('Doc''s Pagos | Rodopar 108'!$J:$J,'Doc''s Pagos | Rodopar 108'!$A:$A,$B121&amp;$E121&amp;$F121&amp;$J121,'Doc''s Pagos | Rodopar 108'!$B:$B,S$1)+SUMIFS('Doc Há Pagar | Rodopar 1015'!$J:$J,'Doc Há Pagar | Rodopar 1015'!$A:$A,$B121&amp;$E121&amp;$F121,'Doc Há Pagar | Rodopar 1015'!$B:$B,S$1)</f>
        <v>0</v>
      </c>
      <c r="T121" s="20">
        <f>SUMIFS('Doc''s Pagos | Rodopar 108'!$J:$J,'Doc''s Pagos | Rodopar 108'!$A:$A,$B121&amp;$E121&amp;$F121&amp;$J121,'Doc''s Pagos | Rodopar 108'!$B:$B,T$1)+SUMIFS('Doc Há Pagar | Rodopar 1015'!$J:$J,'Doc Há Pagar | Rodopar 1015'!$A:$A,$B121&amp;$E121&amp;$F121,'Doc Há Pagar | Rodopar 1015'!$B:$B,T$1)</f>
        <v>0</v>
      </c>
      <c r="U121" s="20">
        <f>SUMIFS('Doc''s Pagos | Rodopar 108'!$J:$J,'Doc''s Pagos | Rodopar 108'!$A:$A,$B121&amp;$E121&amp;$F121&amp;$J121,'Doc''s Pagos | Rodopar 108'!$B:$B,U$1)+SUMIFS('Doc Há Pagar | Rodopar 1015'!$J:$J,'Doc Há Pagar | Rodopar 1015'!$A:$A,$B121&amp;$E121&amp;$F121,'Doc Há Pagar | Rodopar 1015'!$B:$B,U$1)</f>
        <v>0</v>
      </c>
      <c r="V121" s="20">
        <f>SUMIFS('Doc''s Pagos | Rodopar 108'!$J:$J,'Doc''s Pagos | Rodopar 108'!$A:$A,$B121&amp;$E121&amp;$F121&amp;$J121,'Doc''s Pagos | Rodopar 108'!$B:$B,V$1)+SUMIFS('Doc Há Pagar | Rodopar 1015'!$J:$J,'Doc Há Pagar | Rodopar 1015'!$A:$A,$B121&amp;$E121&amp;$F121,'Doc Há Pagar | Rodopar 1015'!$B:$B,V$1)</f>
        <v>140</v>
      </c>
      <c r="W121" s="20">
        <f>SUMIFS('Doc''s Pagos | Rodopar 108'!$J:$J,'Doc''s Pagos | Rodopar 108'!$A:$A,$B121&amp;$E121&amp;$F121&amp;$J121,'Doc''s Pagos | Rodopar 108'!$B:$B,W$1)+SUMIFS('Doc Há Pagar | Rodopar 1015'!$J:$J,'Doc Há Pagar | Rodopar 1015'!$A:$A,$B121&amp;$E121&amp;$F121,'Doc Há Pagar | Rodopar 1015'!$B:$B,W$1)</f>
        <v>0</v>
      </c>
      <c r="X121" s="20">
        <f>SUMIFS('Doc''s Pagos | Rodopar 108'!$J:$J,'Doc''s Pagos | Rodopar 108'!$A:$A,$B121&amp;$E121&amp;$F121&amp;$J121,'Doc''s Pagos | Rodopar 108'!$B:$B,X$1)+SUMIFS('Doc Há Pagar | Rodopar 1015'!$J:$J,'Doc Há Pagar | Rodopar 1015'!$A:$A,$B121&amp;$E121&amp;$F121,'Doc Há Pagar | Rodopar 1015'!$B:$B,X$1)</f>
        <v>0</v>
      </c>
      <c r="Y121" s="20">
        <f>SUMIFS('Doc''s Pagos | Rodopar 108'!$J:$J,'Doc''s Pagos | Rodopar 108'!$A:$A,$B121&amp;$E121&amp;$F121&amp;$J121,'Doc''s Pagos | Rodopar 108'!$B:$B,Y$1)+SUMIFS('Doc Há Pagar | Rodopar 1015'!$J:$J,'Doc Há Pagar | Rodopar 1015'!$A:$A,$B121&amp;$E121&amp;$F121,'Doc Há Pagar | Rodopar 1015'!$B:$B,Y$1)</f>
        <v>0</v>
      </c>
      <c r="Z121" s="20">
        <f>SUMIFS('Doc''s Pagos | Rodopar 108'!$J:$J,'Doc''s Pagos | Rodopar 108'!$A:$A,$B121&amp;$E121&amp;$F121&amp;$J121,'Doc''s Pagos | Rodopar 108'!$B:$B,Z$1)+SUMIFS('Doc Há Pagar | Rodopar 1015'!$J:$J,'Doc Há Pagar | Rodopar 1015'!$A:$A,$B121&amp;$E121&amp;$F121,'Doc Há Pagar | Rodopar 1015'!$B:$B,Z$1)</f>
        <v>0</v>
      </c>
      <c r="AA121" s="20">
        <f>SUMIFS('Doc''s Pagos | Rodopar 108'!$J:$J,'Doc''s Pagos | Rodopar 108'!$A:$A,$B121&amp;$E121&amp;$F121&amp;$J121,'Doc''s Pagos | Rodopar 108'!$B:$B,AA$1)+SUMIFS('Doc Há Pagar | Rodopar 1015'!$J:$J,'Doc Há Pagar | Rodopar 1015'!$A:$A,$B121&amp;$E121&amp;$F121,'Doc Há Pagar | Rodopar 1015'!$B:$B,AA$1)</f>
        <v>0</v>
      </c>
      <c r="AB121" s="20">
        <f>SUMIFS('Doc''s Pagos | Rodopar 108'!$J:$J,'Doc''s Pagos | Rodopar 108'!$A:$A,$B121&amp;$E121&amp;$F121&amp;$J121,'Doc''s Pagos | Rodopar 108'!$B:$B,AB$1)+SUMIFS('Doc Há Pagar | Rodopar 1015'!$J:$J,'Doc Há Pagar | Rodopar 1015'!$A:$A,$B121&amp;$E121&amp;$F121,'Doc Há Pagar | Rodopar 1015'!$B:$B,AB$1)</f>
        <v>0</v>
      </c>
      <c r="AC121" s="20">
        <f>SUMIFS('Doc''s Pagos | Rodopar 108'!$J:$J,'Doc''s Pagos | Rodopar 108'!$A:$A,$B121&amp;$E121&amp;$F121&amp;$J121,'Doc''s Pagos | Rodopar 108'!$B:$B,AC$1)+SUMIFS('Doc Há Pagar | Rodopar 1015'!$J:$J,'Doc Há Pagar | Rodopar 1015'!$A:$A,$B121&amp;$E121&amp;$F121,'Doc Há Pagar | Rodopar 1015'!$B:$B,AC$1)</f>
        <v>0</v>
      </c>
      <c r="AD121" s="20">
        <f>SUMIFS('Doc''s Pagos | Rodopar 108'!$J:$J,'Doc''s Pagos | Rodopar 108'!$A:$A,$B121&amp;$E121&amp;$F121&amp;$J121,'Doc''s Pagos | Rodopar 108'!$B:$B,AD$1)+SUMIFS('Doc Há Pagar | Rodopar 1015'!$J:$J,'Doc Há Pagar | Rodopar 1015'!$A:$A,$B121&amp;$E121&amp;$F121,'Doc Há Pagar | Rodopar 1015'!$B:$B,AD$1)</f>
        <v>0</v>
      </c>
    </row>
    <row r="122" spans="1:30" x14ac:dyDescent="0.25">
      <c r="A122" s="1" t="str">
        <f>VLOOKUP($E122,Fornecedores!$A:$C,3,0)</f>
        <v>Frota</v>
      </c>
      <c r="B122" s="14">
        <v>7884</v>
      </c>
      <c r="C122" s="14" t="str">
        <f>IFERROR(VLOOKUP($E122,Fornecedores!$A:$E,4,0),"")</f>
        <v>Manutenção</v>
      </c>
      <c r="D122" s="14" t="str">
        <f>IFERROR(VLOOKUP($E122,Fornecedores!$A:$E,5,0),"")</f>
        <v>Peças E Serviços</v>
      </c>
      <c r="E122" s="8" t="s">
        <v>581</v>
      </c>
      <c r="F122" s="14" t="s">
        <v>380</v>
      </c>
      <c r="G122" s="8" t="s">
        <v>582</v>
      </c>
      <c r="H122" s="9">
        <v>87</v>
      </c>
      <c r="I122" s="21">
        <v>4420</v>
      </c>
      <c r="J122" s="11">
        <v>46105</v>
      </c>
      <c r="K122" s="11">
        <v>46108</v>
      </c>
      <c r="L122" s="8" t="s">
        <v>233</v>
      </c>
      <c r="M122" s="14" t="s">
        <v>234</v>
      </c>
      <c r="N122" s="16">
        <v>1556</v>
      </c>
      <c r="O122" s="14" t="s">
        <v>241</v>
      </c>
      <c r="P122" s="14"/>
      <c r="Q122" s="20">
        <f t="shared" si="1"/>
        <v>0</v>
      </c>
      <c r="S122" s="20">
        <f>SUMIFS('Doc''s Pagos | Rodopar 108'!$J:$J,'Doc''s Pagos | Rodopar 108'!$A:$A,$B122&amp;$E122&amp;$F122&amp;$J122,'Doc''s Pagos | Rodopar 108'!$B:$B,S$1)+SUMIFS('Doc Há Pagar | Rodopar 1015'!$J:$J,'Doc Há Pagar | Rodopar 1015'!$A:$A,$B122&amp;$E122&amp;$F122,'Doc Há Pagar | Rodopar 1015'!$B:$B,S$1)</f>
        <v>0</v>
      </c>
      <c r="T122" s="20">
        <f>SUMIFS('Doc''s Pagos | Rodopar 108'!$J:$J,'Doc''s Pagos | Rodopar 108'!$A:$A,$B122&amp;$E122&amp;$F122&amp;$J122,'Doc''s Pagos | Rodopar 108'!$B:$B,T$1)+SUMIFS('Doc Há Pagar | Rodopar 1015'!$J:$J,'Doc Há Pagar | Rodopar 1015'!$A:$A,$B122&amp;$E122&amp;$F122,'Doc Há Pagar | Rodopar 1015'!$B:$B,T$1)</f>
        <v>0</v>
      </c>
      <c r="U122" s="20">
        <f>SUMIFS('Doc''s Pagos | Rodopar 108'!$J:$J,'Doc''s Pagos | Rodopar 108'!$A:$A,$B122&amp;$E122&amp;$F122&amp;$J122,'Doc''s Pagos | Rodopar 108'!$B:$B,U$1)+SUMIFS('Doc Há Pagar | Rodopar 1015'!$J:$J,'Doc Há Pagar | Rodopar 1015'!$A:$A,$B122&amp;$E122&amp;$F122,'Doc Há Pagar | Rodopar 1015'!$B:$B,U$1)</f>
        <v>0</v>
      </c>
      <c r="V122" s="20">
        <f>SUMIFS('Doc''s Pagos | Rodopar 108'!$J:$J,'Doc''s Pagos | Rodopar 108'!$A:$A,$B122&amp;$E122&amp;$F122&amp;$J122,'Doc''s Pagos | Rodopar 108'!$B:$B,V$1)+SUMIFS('Doc Há Pagar | Rodopar 1015'!$J:$J,'Doc Há Pagar | Rodopar 1015'!$A:$A,$B122&amp;$E122&amp;$F122,'Doc Há Pagar | Rodopar 1015'!$B:$B,V$1)</f>
        <v>4420</v>
      </c>
      <c r="W122" s="20">
        <f>SUMIFS('Doc''s Pagos | Rodopar 108'!$J:$J,'Doc''s Pagos | Rodopar 108'!$A:$A,$B122&amp;$E122&amp;$F122&amp;$J122,'Doc''s Pagos | Rodopar 108'!$B:$B,W$1)+SUMIFS('Doc Há Pagar | Rodopar 1015'!$J:$J,'Doc Há Pagar | Rodopar 1015'!$A:$A,$B122&amp;$E122&amp;$F122,'Doc Há Pagar | Rodopar 1015'!$B:$B,W$1)</f>
        <v>0</v>
      </c>
      <c r="X122" s="20">
        <f>SUMIFS('Doc''s Pagos | Rodopar 108'!$J:$J,'Doc''s Pagos | Rodopar 108'!$A:$A,$B122&amp;$E122&amp;$F122&amp;$J122,'Doc''s Pagos | Rodopar 108'!$B:$B,X$1)+SUMIFS('Doc Há Pagar | Rodopar 1015'!$J:$J,'Doc Há Pagar | Rodopar 1015'!$A:$A,$B122&amp;$E122&amp;$F122,'Doc Há Pagar | Rodopar 1015'!$B:$B,X$1)</f>
        <v>0</v>
      </c>
      <c r="Y122" s="20">
        <f>SUMIFS('Doc''s Pagos | Rodopar 108'!$J:$J,'Doc''s Pagos | Rodopar 108'!$A:$A,$B122&amp;$E122&amp;$F122&amp;$J122,'Doc''s Pagos | Rodopar 108'!$B:$B,Y$1)+SUMIFS('Doc Há Pagar | Rodopar 1015'!$J:$J,'Doc Há Pagar | Rodopar 1015'!$A:$A,$B122&amp;$E122&amp;$F122,'Doc Há Pagar | Rodopar 1015'!$B:$B,Y$1)</f>
        <v>0</v>
      </c>
      <c r="Z122" s="20">
        <f>SUMIFS('Doc''s Pagos | Rodopar 108'!$J:$J,'Doc''s Pagos | Rodopar 108'!$A:$A,$B122&amp;$E122&amp;$F122&amp;$J122,'Doc''s Pagos | Rodopar 108'!$B:$B,Z$1)+SUMIFS('Doc Há Pagar | Rodopar 1015'!$J:$J,'Doc Há Pagar | Rodopar 1015'!$A:$A,$B122&amp;$E122&amp;$F122,'Doc Há Pagar | Rodopar 1015'!$B:$B,Z$1)</f>
        <v>0</v>
      </c>
      <c r="AA122" s="20">
        <f>SUMIFS('Doc''s Pagos | Rodopar 108'!$J:$J,'Doc''s Pagos | Rodopar 108'!$A:$A,$B122&amp;$E122&amp;$F122&amp;$J122,'Doc''s Pagos | Rodopar 108'!$B:$B,AA$1)+SUMIFS('Doc Há Pagar | Rodopar 1015'!$J:$J,'Doc Há Pagar | Rodopar 1015'!$A:$A,$B122&amp;$E122&amp;$F122,'Doc Há Pagar | Rodopar 1015'!$B:$B,AA$1)</f>
        <v>0</v>
      </c>
      <c r="AB122" s="20">
        <f>SUMIFS('Doc''s Pagos | Rodopar 108'!$J:$J,'Doc''s Pagos | Rodopar 108'!$A:$A,$B122&amp;$E122&amp;$F122&amp;$J122,'Doc''s Pagos | Rodopar 108'!$B:$B,AB$1)+SUMIFS('Doc Há Pagar | Rodopar 1015'!$J:$J,'Doc Há Pagar | Rodopar 1015'!$A:$A,$B122&amp;$E122&amp;$F122,'Doc Há Pagar | Rodopar 1015'!$B:$B,AB$1)</f>
        <v>0</v>
      </c>
      <c r="AC122" s="20">
        <f>SUMIFS('Doc''s Pagos | Rodopar 108'!$J:$J,'Doc''s Pagos | Rodopar 108'!$A:$A,$B122&amp;$E122&amp;$F122&amp;$J122,'Doc''s Pagos | Rodopar 108'!$B:$B,AC$1)+SUMIFS('Doc Há Pagar | Rodopar 1015'!$J:$J,'Doc Há Pagar | Rodopar 1015'!$A:$A,$B122&amp;$E122&amp;$F122,'Doc Há Pagar | Rodopar 1015'!$B:$B,AC$1)</f>
        <v>0</v>
      </c>
      <c r="AD122" s="20">
        <f>SUMIFS('Doc''s Pagos | Rodopar 108'!$J:$J,'Doc''s Pagos | Rodopar 108'!$A:$A,$B122&amp;$E122&amp;$F122&amp;$J122,'Doc''s Pagos | Rodopar 108'!$B:$B,AD$1)+SUMIFS('Doc Há Pagar | Rodopar 1015'!$J:$J,'Doc Há Pagar | Rodopar 1015'!$A:$A,$B122&amp;$E122&amp;$F122,'Doc Há Pagar | Rodopar 1015'!$B:$B,AD$1)</f>
        <v>0</v>
      </c>
    </row>
    <row r="123" spans="1:30" x14ac:dyDescent="0.25">
      <c r="A123" s="1" t="str">
        <f>VLOOKUP($E123,Fornecedores!$A:$C,3,0)</f>
        <v>Frota</v>
      </c>
      <c r="B123" s="14">
        <v>105</v>
      </c>
      <c r="C123" s="14" t="str">
        <f>IFERROR(VLOOKUP($E123,Fornecedores!$A:$E,4,0),"")</f>
        <v>Manutenção</v>
      </c>
      <c r="D123" s="14" t="str">
        <f>IFERROR(VLOOKUP($E123,Fornecedores!$A:$E,5,0),"")</f>
        <v>Peças E Serviços</v>
      </c>
      <c r="E123" s="8" t="s">
        <v>228</v>
      </c>
      <c r="F123" s="14" t="s">
        <v>665</v>
      </c>
      <c r="G123" s="8" t="s">
        <v>679</v>
      </c>
      <c r="H123" s="9">
        <v>87</v>
      </c>
      <c r="I123" s="21">
        <v>440</v>
      </c>
      <c r="J123" s="11">
        <v>46105</v>
      </c>
      <c r="K123" s="11">
        <v>46108</v>
      </c>
      <c r="L123" s="8" t="s">
        <v>233</v>
      </c>
      <c r="M123" s="14" t="s">
        <v>234</v>
      </c>
      <c r="N123" s="16">
        <v>1556</v>
      </c>
      <c r="O123" s="14" t="s">
        <v>241</v>
      </c>
      <c r="P123" s="14"/>
      <c r="Q123" s="20">
        <f t="shared" si="1"/>
        <v>0</v>
      </c>
      <c r="S123" s="20">
        <f>SUMIFS('Doc''s Pagos | Rodopar 108'!$J:$J,'Doc''s Pagos | Rodopar 108'!$A:$A,$B123&amp;$E123&amp;$F123&amp;$J123,'Doc''s Pagos | Rodopar 108'!$B:$B,S$1)+SUMIFS('Doc Há Pagar | Rodopar 1015'!$J:$J,'Doc Há Pagar | Rodopar 1015'!$A:$A,$B123&amp;$E123&amp;$F123,'Doc Há Pagar | Rodopar 1015'!$B:$B,S$1)</f>
        <v>0</v>
      </c>
      <c r="T123" s="20">
        <f>SUMIFS('Doc''s Pagos | Rodopar 108'!$J:$J,'Doc''s Pagos | Rodopar 108'!$A:$A,$B123&amp;$E123&amp;$F123&amp;$J123,'Doc''s Pagos | Rodopar 108'!$B:$B,T$1)+SUMIFS('Doc Há Pagar | Rodopar 1015'!$J:$J,'Doc Há Pagar | Rodopar 1015'!$A:$A,$B123&amp;$E123&amp;$F123,'Doc Há Pagar | Rodopar 1015'!$B:$B,T$1)</f>
        <v>0</v>
      </c>
      <c r="U123" s="20">
        <f>SUMIFS('Doc''s Pagos | Rodopar 108'!$J:$J,'Doc''s Pagos | Rodopar 108'!$A:$A,$B123&amp;$E123&amp;$F123&amp;$J123,'Doc''s Pagos | Rodopar 108'!$B:$B,U$1)+SUMIFS('Doc Há Pagar | Rodopar 1015'!$J:$J,'Doc Há Pagar | Rodopar 1015'!$A:$A,$B123&amp;$E123&amp;$F123,'Doc Há Pagar | Rodopar 1015'!$B:$B,U$1)</f>
        <v>0</v>
      </c>
      <c r="V123" s="20">
        <f>SUMIFS('Doc''s Pagos | Rodopar 108'!$J:$J,'Doc''s Pagos | Rodopar 108'!$A:$A,$B123&amp;$E123&amp;$F123&amp;$J123,'Doc''s Pagos | Rodopar 108'!$B:$B,V$1)+SUMIFS('Doc Há Pagar | Rodopar 1015'!$J:$J,'Doc Há Pagar | Rodopar 1015'!$A:$A,$B123&amp;$E123&amp;$F123,'Doc Há Pagar | Rodopar 1015'!$B:$B,V$1)</f>
        <v>440</v>
      </c>
      <c r="W123" s="20">
        <f>SUMIFS('Doc''s Pagos | Rodopar 108'!$J:$J,'Doc''s Pagos | Rodopar 108'!$A:$A,$B123&amp;$E123&amp;$F123&amp;$J123,'Doc''s Pagos | Rodopar 108'!$B:$B,W$1)+SUMIFS('Doc Há Pagar | Rodopar 1015'!$J:$J,'Doc Há Pagar | Rodopar 1015'!$A:$A,$B123&amp;$E123&amp;$F123,'Doc Há Pagar | Rodopar 1015'!$B:$B,W$1)</f>
        <v>0</v>
      </c>
      <c r="X123" s="20">
        <f>SUMIFS('Doc''s Pagos | Rodopar 108'!$J:$J,'Doc''s Pagos | Rodopar 108'!$A:$A,$B123&amp;$E123&amp;$F123&amp;$J123,'Doc''s Pagos | Rodopar 108'!$B:$B,X$1)+SUMIFS('Doc Há Pagar | Rodopar 1015'!$J:$J,'Doc Há Pagar | Rodopar 1015'!$A:$A,$B123&amp;$E123&amp;$F123,'Doc Há Pagar | Rodopar 1015'!$B:$B,X$1)</f>
        <v>0</v>
      </c>
      <c r="Y123" s="20">
        <f>SUMIFS('Doc''s Pagos | Rodopar 108'!$J:$J,'Doc''s Pagos | Rodopar 108'!$A:$A,$B123&amp;$E123&amp;$F123&amp;$J123,'Doc''s Pagos | Rodopar 108'!$B:$B,Y$1)+SUMIFS('Doc Há Pagar | Rodopar 1015'!$J:$J,'Doc Há Pagar | Rodopar 1015'!$A:$A,$B123&amp;$E123&amp;$F123,'Doc Há Pagar | Rodopar 1015'!$B:$B,Y$1)</f>
        <v>0</v>
      </c>
      <c r="Z123" s="20">
        <f>SUMIFS('Doc''s Pagos | Rodopar 108'!$J:$J,'Doc''s Pagos | Rodopar 108'!$A:$A,$B123&amp;$E123&amp;$F123&amp;$J123,'Doc''s Pagos | Rodopar 108'!$B:$B,Z$1)+SUMIFS('Doc Há Pagar | Rodopar 1015'!$J:$J,'Doc Há Pagar | Rodopar 1015'!$A:$A,$B123&amp;$E123&amp;$F123,'Doc Há Pagar | Rodopar 1015'!$B:$B,Z$1)</f>
        <v>0</v>
      </c>
      <c r="AA123" s="20">
        <f>SUMIFS('Doc''s Pagos | Rodopar 108'!$J:$J,'Doc''s Pagos | Rodopar 108'!$A:$A,$B123&amp;$E123&amp;$F123&amp;$J123,'Doc''s Pagos | Rodopar 108'!$B:$B,AA$1)+SUMIFS('Doc Há Pagar | Rodopar 1015'!$J:$J,'Doc Há Pagar | Rodopar 1015'!$A:$A,$B123&amp;$E123&amp;$F123,'Doc Há Pagar | Rodopar 1015'!$B:$B,AA$1)</f>
        <v>0</v>
      </c>
      <c r="AB123" s="20">
        <f>SUMIFS('Doc''s Pagos | Rodopar 108'!$J:$J,'Doc''s Pagos | Rodopar 108'!$A:$A,$B123&amp;$E123&amp;$F123&amp;$J123,'Doc''s Pagos | Rodopar 108'!$B:$B,AB$1)+SUMIFS('Doc Há Pagar | Rodopar 1015'!$J:$J,'Doc Há Pagar | Rodopar 1015'!$A:$A,$B123&amp;$E123&amp;$F123,'Doc Há Pagar | Rodopar 1015'!$B:$B,AB$1)</f>
        <v>0</v>
      </c>
      <c r="AC123" s="20">
        <f>SUMIFS('Doc''s Pagos | Rodopar 108'!$J:$J,'Doc''s Pagos | Rodopar 108'!$A:$A,$B123&amp;$E123&amp;$F123&amp;$J123,'Doc''s Pagos | Rodopar 108'!$B:$B,AC$1)+SUMIFS('Doc Há Pagar | Rodopar 1015'!$J:$J,'Doc Há Pagar | Rodopar 1015'!$A:$A,$B123&amp;$E123&amp;$F123,'Doc Há Pagar | Rodopar 1015'!$B:$B,AC$1)</f>
        <v>0</v>
      </c>
      <c r="AD123" s="20">
        <f>SUMIFS('Doc''s Pagos | Rodopar 108'!$J:$J,'Doc''s Pagos | Rodopar 108'!$A:$A,$B123&amp;$E123&amp;$F123&amp;$J123,'Doc''s Pagos | Rodopar 108'!$B:$B,AD$1)+SUMIFS('Doc Há Pagar | Rodopar 1015'!$J:$J,'Doc Há Pagar | Rodopar 1015'!$A:$A,$B123&amp;$E123&amp;$F123,'Doc Há Pagar | Rodopar 1015'!$B:$B,AD$1)</f>
        <v>0</v>
      </c>
    </row>
    <row r="124" spans="1:30" x14ac:dyDescent="0.25">
      <c r="A124" s="1" t="str">
        <f>VLOOKUP($E124,Fornecedores!$A:$C,3,0)</f>
        <v>Frota</v>
      </c>
      <c r="B124" s="14">
        <v>26</v>
      </c>
      <c r="C124" s="14" t="str">
        <f>IFERROR(VLOOKUP($E124,Fornecedores!$A:$E,4,0),"")</f>
        <v>Manutenção</v>
      </c>
      <c r="D124" s="14" t="str">
        <f>IFERROR(VLOOKUP($E124,Fornecedores!$A:$E,5,0),"")</f>
        <v>Frota Leve OPE</v>
      </c>
      <c r="E124" s="8" t="s">
        <v>125</v>
      </c>
      <c r="F124" s="14" t="s">
        <v>665</v>
      </c>
      <c r="G124" s="8" t="s">
        <v>467</v>
      </c>
      <c r="H124" s="9">
        <v>87</v>
      </c>
      <c r="I124" s="21">
        <v>530</v>
      </c>
      <c r="J124" s="11">
        <v>46105</v>
      </c>
      <c r="K124" s="11">
        <v>46108</v>
      </c>
      <c r="L124" s="8" t="s">
        <v>282</v>
      </c>
      <c r="M124" s="14" t="s">
        <v>234</v>
      </c>
      <c r="N124" s="16">
        <v>1556</v>
      </c>
      <c r="O124" s="14" t="s">
        <v>241</v>
      </c>
      <c r="P124" s="14"/>
      <c r="Q124" s="20">
        <f t="shared" si="1"/>
        <v>0</v>
      </c>
      <c r="S124" s="20">
        <f>SUMIFS('Doc''s Pagos | Rodopar 108'!$J:$J,'Doc''s Pagos | Rodopar 108'!$A:$A,$B124&amp;$E124&amp;$F124&amp;$J124,'Doc''s Pagos | Rodopar 108'!$B:$B,S$1)+SUMIFS('Doc Há Pagar | Rodopar 1015'!$J:$J,'Doc Há Pagar | Rodopar 1015'!$A:$A,$B124&amp;$E124&amp;$F124,'Doc Há Pagar | Rodopar 1015'!$B:$B,S$1)</f>
        <v>0</v>
      </c>
      <c r="T124" s="20">
        <f>SUMIFS('Doc''s Pagos | Rodopar 108'!$J:$J,'Doc''s Pagos | Rodopar 108'!$A:$A,$B124&amp;$E124&amp;$F124&amp;$J124,'Doc''s Pagos | Rodopar 108'!$B:$B,T$1)+SUMIFS('Doc Há Pagar | Rodopar 1015'!$J:$J,'Doc Há Pagar | Rodopar 1015'!$A:$A,$B124&amp;$E124&amp;$F124,'Doc Há Pagar | Rodopar 1015'!$B:$B,T$1)</f>
        <v>0</v>
      </c>
      <c r="U124" s="20">
        <f>SUMIFS('Doc''s Pagos | Rodopar 108'!$J:$J,'Doc''s Pagos | Rodopar 108'!$A:$A,$B124&amp;$E124&amp;$F124&amp;$J124,'Doc''s Pagos | Rodopar 108'!$B:$B,U$1)+SUMIFS('Doc Há Pagar | Rodopar 1015'!$J:$J,'Doc Há Pagar | Rodopar 1015'!$A:$A,$B124&amp;$E124&amp;$F124,'Doc Há Pagar | Rodopar 1015'!$B:$B,U$1)</f>
        <v>0</v>
      </c>
      <c r="V124" s="20">
        <f>SUMIFS('Doc''s Pagos | Rodopar 108'!$J:$J,'Doc''s Pagos | Rodopar 108'!$A:$A,$B124&amp;$E124&amp;$F124&amp;$J124,'Doc''s Pagos | Rodopar 108'!$B:$B,V$1)+SUMIFS('Doc Há Pagar | Rodopar 1015'!$J:$J,'Doc Há Pagar | Rodopar 1015'!$A:$A,$B124&amp;$E124&amp;$F124,'Doc Há Pagar | Rodopar 1015'!$B:$B,V$1)</f>
        <v>530</v>
      </c>
      <c r="W124" s="20">
        <f>SUMIFS('Doc''s Pagos | Rodopar 108'!$J:$J,'Doc''s Pagos | Rodopar 108'!$A:$A,$B124&amp;$E124&amp;$F124&amp;$J124,'Doc''s Pagos | Rodopar 108'!$B:$B,W$1)+SUMIFS('Doc Há Pagar | Rodopar 1015'!$J:$J,'Doc Há Pagar | Rodopar 1015'!$A:$A,$B124&amp;$E124&amp;$F124,'Doc Há Pagar | Rodopar 1015'!$B:$B,W$1)</f>
        <v>0</v>
      </c>
      <c r="X124" s="20">
        <f>SUMIFS('Doc''s Pagos | Rodopar 108'!$J:$J,'Doc''s Pagos | Rodopar 108'!$A:$A,$B124&amp;$E124&amp;$F124&amp;$J124,'Doc''s Pagos | Rodopar 108'!$B:$B,X$1)+SUMIFS('Doc Há Pagar | Rodopar 1015'!$J:$J,'Doc Há Pagar | Rodopar 1015'!$A:$A,$B124&amp;$E124&amp;$F124,'Doc Há Pagar | Rodopar 1015'!$B:$B,X$1)</f>
        <v>0</v>
      </c>
      <c r="Y124" s="20">
        <f>SUMIFS('Doc''s Pagos | Rodopar 108'!$J:$J,'Doc''s Pagos | Rodopar 108'!$A:$A,$B124&amp;$E124&amp;$F124&amp;$J124,'Doc''s Pagos | Rodopar 108'!$B:$B,Y$1)+SUMIFS('Doc Há Pagar | Rodopar 1015'!$J:$J,'Doc Há Pagar | Rodopar 1015'!$A:$A,$B124&amp;$E124&amp;$F124,'Doc Há Pagar | Rodopar 1015'!$B:$B,Y$1)</f>
        <v>0</v>
      </c>
      <c r="Z124" s="20">
        <f>SUMIFS('Doc''s Pagos | Rodopar 108'!$J:$J,'Doc''s Pagos | Rodopar 108'!$A:$A,$B124&amp;$E124&amp;$F124&amp;$J124,'Doc''s Pagos | Rodopar 108'!$B:$B,Z$1)+SUMIFS('Doc Há Pagar | Rodopar 1015'!$J:$J,'Doc Há Pagar | Rodopar 1015'!$A:$A,$B124&amp;$E124&amp;$F124,'Doc Há Pagar | Rodopar 1015'!$B:$B,Z$1)</f>
        <v>0</v>
      </c>
      <c r="AA124" s="20">
        <f>SUMIFS('Doc''s Pagos | Rodopar 108'!$J:$J,'Doc''s Pagos | Rodopar 108'!$A:$A,$B124&amp;$E124&amp;$F124&amp;$J124,'Doc''s Pagos | Rodopar 108'!$B:$B,AA$1)+SUMIFS('Doc Há Pagar | Rodopar 1015'!$J:$J,'Doc Há Pagar | Rodopar 1015'!$A:$A,$B124&amp;$E124&amp;$F124,'Doc Há Pagar | Rodopar 1015'!$B:$B,AA$1)</f>
        <v>0</v>
      </c>
      <c r="AB124" s="20">
        <f>SUMIFS('Doc''s Pagos | Rodopar 108'!$J:$J,'Doc''s Pagos | Rodopar 108'!$A:$A,$B124&amp;$E124&amp;$F124&amp;$J124,'Doc''s Pagos | Rodopar 108'!$B:$B,AB$1)+SUMIFS('Doc Há Pagar | Rodopar 1015'!$J:$J,'Doc Há Pagar | Rodopar 1015'!$A:$A,$B124&amp;$E124&amp;$F124,'Doc Há Pagar | Rodopar 1015'!$B:$B,AB$1)</f>
        <v>0</v>
      </c>
      <c r="AC124" s="20">
        <f>SUMIFS('Doc''s Pagos | Rodopar 108'!$J:$J,'Doc''s Pagos | Rodopar 108'!$A:$A,$B124&amp;$E124&amp;$F124&amp;$J124,'Doc''s Pagos | Rodopar 108'!$B:$B,AC$1)+SUMIFS('Doc Há Pagar | Rodopar 1015'!$J:$J,'Doc Há Pagar | Rodopar 1015'!$A:$A,$B124&amp;$E124&amp;$F124,'Doc Há Pagar | Rodopar 1015'!$B:$B,AC$1)</f>
        <v>0</v>
      </c>
      <c r="AD124" s="20">
        <f>SUMIFS('Doc''s Pagos | Rodopar 108'!$J:$J,'Doc''s Pagos | Rodopar 108'!$A:$A,$B124&amp;$E124&amp;$F124&amp;$J124,'Doc''s Pagos | Rodopar 108'!$B:$B,AD$1)+SUMIFS('Doc Há Pagar | Rodopar 1015'!$J:$J,'Doc Há Pagar | Rodopar 1015'!$A:$A,$B124&amp;$E124&amp;$F124,'Doc Há Pagar | Rodopar 1015'!$B:$B,AD$1)</f>
        <v>0</v>
      </c>
    </row>
    <row r="125" spans="1:30" x14ac:dyDescent="0.25">
      <c r="A125" s="1" t="str">
        <f>VLOOKUP($E125,Fornecedores!$A:$C,3,0)</f>
        <v>Frota</v>
      </c>
      <c r="B125" s="14">
        <v>1060</v>
      </c>
      <c r="C125" s="14" t="str">
        <f>IFERROR(VLOOKUP($E125,Fornecedores!$A:$E,4,0),"")</f>
        <v>Pneus</v>
      </c>
      <c r="D125" s="14" t="str">
        <f>IFERROR(VLOOKUP($E125,Fornecedores!$A:$E,5,0),"")</f>
        <v>Ressolagem</v>
      </c>
      <c r="E125" s="8" t="s">
        <v>81</v>
      </c>
      <c r="F125" s="14" t="s">
        <v>665</v>
      </c>
      <c r="G125" s="8" t="s">
        <v>612</v>
      </c>
      <c r="H125" s="9">
        <v>87</v>
      </c>
      <c r="I125" s="21">
        <v>8075</v>
      </c>
      <c r="J125" s="11">
        <v>46106</v>
      </c>
      <c r="K125" s="11">
        <v>46112</v>
      </c>
      <c r="L125" s="8" t="s">
        <v>382</v>
      </c>
      <c r="M125" s="14" t="s">
        <v>234</v>
      </c>
      <c r="N125" s="16">
        <v>1556</v>
      </c>
      <c r="O125" s="14" t="s">
        <v>241</v>
      </c>
      <c r="P125" s="14"/>
      <c r="Q125" s="20">
        <f t="shared" si="1"/>
        <v>0</v>
      </c>
      <c r="S125" s="20">
        <f>SUMIFS('Doc''s Pagos | Rodopar 108'!$J:$J,'Doc''s Pagos | Rodopar 108'!$A:$A,$B125&amp;$E125&amp;$F125&amp;$J125,'Doc''s Pagos | Rodopar 108'!$B:$B,S$1)+SUMIFS('Doc Há Pagar | Rodopar 1015'!$J:$J,'Doc Há Pagar | Rodopar 1015'!$A:$A,$B125&amp;$E125&amp;$F125,'Doc Há Pagar | Rodopar 1015'!$B:$B,S$1)</f>
        <v>0</v>
      </c>
      <c r="T125" s="20">
        <f>SUMIFS('Doc''s Pagos | Rodopar 108'!$J:$J,'Doc''s Pagos | Rodopar 108'!$A:$A,$B125&amp;$E125&amp;$F125&amp;$J125,'Doc''s Pagos | Rodopar 108'!$B:$B,T$1)+SUMIFS('Doc Há Pagar | Rodopar 1015'!$J:$J,'Doc Há Pagar | Rodopar 1015'!$A:$A,$B125&amp;$E125&amp;$F125,'Doc Há Pagar | Rodopar 1015'!$B:$B,T$1)</f>
        <v>0</v>
      </c>
      <c r="U125" s="20">
        <f>SUMIFS('Doc''s Pagos | Rodopar 108'!$J:$J,'Doc''s Pagos | Rodopar 108'!$A:$A,$B125&amp;$E125&amp;$F125&amp;$J125,'Doc''s Pagos | Rodopar 108'!$B:$B,U$1)+SUMIFS('Doc Há Pagar | Rodopar 1015'!$J:$J,'Doc Há Pagar | Rodopar 1015'!$A:$A,$B125&amp;$E125&amp;$F125,'Doc Há Pagar | Rodopar 1015'!$B:$B,U$1)</f>
        <v>0</v>
      </c>
      <c r="V125" s="20">
        <f>SUMIFS('Doc''s Pagos | Rodopar 108'!$J:$J,'Doc''s Pagos | Rodopar 108'!$A:$A,$B125&amp;$E125&amp;$F125&amp;$J125,'Doc''s Pagos | Rodopar 108'!$B:$B,V$1)+SUMIFS('Doc Há Pagar | Rodopar 1015'!$J:$J,'Doc Há Pagar | Rodopar 1015'!$A:$A,$B125&amp;$E125&amp;$F125,'Doc Há Pagar | Rodopar 1015'!$B:$B,V$1)</f>
        <v>2691.67</v>
      </c>
      <c r="W125" s="20">
        <f>SUMIFS('Doc''s Pagos | Rodopar 108'!$J:$J,'Doc''s Pagos | Rodopar 108'!$A:$A,$B125&amp;$E125&amp;$F125&amp;$J125,'Doc''s Pagos | Rodopar 108'!$B:$B,W$1)+SUMIFS('Doc Há Pagar | Rodopar 1015'!$J:$J,'Doc Há Pagar | Rodopar 1015'!$A:$A,$B125&amp;$E125&amp;$F125,'Doc Há Pagar | Rodopar 1015'!$B:$B,W$1)</f>
        <v>2691.66</v>
      </c>
      <c r="X125" s="20">
        <f>SUMIFS('Doc''s Pagos | Rodopar 108'!$J:$J,'Doc''s Pagos | Rodopar 108'!$A:$A,$B125&amp;$E125&amp;$F125&amp;$J125,'Doc''s Pagos | Rodopar 108'!$B:$B,X$1)+SUMIFS('Doc Há Pagar | Rodopar 1015'!$J:$J,'Doc Há Pagar | Rodopar 1015'!$A:$A,$B125&amp;$E125&amp;$F125,'Doc Há Pagar | Rodopar 1015'!$B:$B,X$1)</f>
        <v>2691.67</v>
      </c>
      <c r="Y125" s="20">
        <f>SUMIFS('Doc''s Pagos | Rodopar 108'!$J:$J,'Doc''s Pagos | Rodopar 108'!$A:$A,$B125&amp;$E125&amp;$F125&amp;$J125,'Doc''s Pagos | Rodopar 108'!$B:$B,Y$1)+SUMIFS('Doc Há Pagar | Rodopar 1015'!$J:$J,'Doc Há Pagar | Rodopar 1015'!$A:$A,$B125&amp;$E125&amp;$F125,'Doc Há Pagar | Rodopar 1015'!$B:$B,Y$1)</f>
        <v>0</v>
      </c>
      <c r="Z125" s="20">
        <f>SUMIFS('Doc''s Pagos | Rodopar 108'!$J:$J,'Doc''s Pagos | Rodopar 108'!$A:$A,$B125&amp;$E125&amp;$F125&amp;$J125,'Doc''s Pagos | Rodopar 108'!$B:$B,Z$1)+SUMIFS('Doc Há Pagar | Rodopar 1015'!$J:$J,'Doc Há Pagar | Rodopar 1015'!$A:$A,$B125&amp;$E125&amp;$F125,'Doc Há Pagar | Rodopar 1015'!$B:$B,Z$1)</f>
        <v>0</v>
      </c>
      <c r="AA125" s="20">
        <f>SUMIFS('Doc''s Pagos | Rodopar 108'!$J:$J,'Doc''s Pagos | Rodopar 108'!$A:$A,$B125&amp;$E125&amp;$F125&amp;$J125,'Doc''s Pagos | Rodopar 108'!$B:$B,AA$1)+SUMIFS('Doc Há Pagar | Rodopar 1015'!$J:$J,'Doc Há Pagar | Rodopar 1015'!$A:$A,$B125&amp;$E125&amp;$F125,'Doc Há Pagar | Rodopar 1015'!$B:$B,AA$1)</f>
        <v>0</v>
      </c>
      <c r="AB125" s="20">
        <f>SUMIFS('Doc''s Pagos | Rodopar 108'!$J:$J,'Doc''s Pagos | Rodopar 108'!$A:$A,$B125&amp;$E125&amp;$F125&amp;$J125,'Doc''s Pagos | Rodopar 108'!$B:$B,AB$1)+SUMIFS('Doc Há Pagar | Rodopar 1015'!$J:$J,'Doc Há Pagar | Rodopar 1015'!$A:$A,$B125&amp;$E125&amp;$F125,'Doc Há Pagar | Rodopar 1015'!$B:$B,AB$1)</f>
        <v>0</v>
      </c>
      <c r="AC125" s="20">
        <f>SUMIFS('Doc''s Pagos | Rodopar 108'!$J:$J,'Doc''s Pagos | Rodopar 108'!$A:$A,$B125&amp;$E125&amp;$F125&amp;$J125,'Doc''s Pagos | Rodopar 108'!$B:$B,AC$1)+SUMIFS('Doc Há Pagar | Rodopar 1015'!$J:$J,'Doc Há Pagar | Rodopar 1015'!$A:$A,$B125&amp;$E125&amp;$F125,'Doc Há Pagar | Rodopar 1015'!$B:$B,AC$1)</f>
        <v>0</v>
      </c>
      <c r="AD125" s="20">
        <f>SUMIFS('Doc''s Pagos | Rodopar 108'!$J:$J,'Doc''s Pagos | Rodopar 108'!$A:$A,$B125&amp;$E125&amp;$F125&amp;$J125,'Doc''s Pagos | Rodopar 108'!$B:$B,AD$1)+SUMIFS('Doc Há Pagar | Rodopar 1015'!$J:$J,'Doc Há Pagar | Rodopar 1015'!$A:$A,$B125&amp;$E125&amp;$F125,'Doc Há Pagar | Rodopar 1015'!$B:$B,AD$1)</f>
        <v>0</v>
      </c>
    </row>
    <row r="126" spans="1:30" x14ac:dyDescent="0.25">
      <c r="A126" s="1" t="str">
        <f>VLOOKUP($E126,Fornecedores!$A:$C,3,0)</f>
        <v>Frota</v>
      </c>
      <c r="B126" s="14" t="s">
        <v>279</v>
      </c>
      <c r="C126" s="14" t="str">
        <f>IFERROR(VLOOKUP($E126,Fornecedores!$A:$E,4,0),"")</f>
        <v>OPE Merchandising</v>
      </c>
      <c r="D126" s="14" t="str">
        <f>IFERROR(VLOOKUP($E126,Fornecedores!$A:$E,5,0),"")</f>
        <v>Locação</v>
      </c>
      <c r="E126" s="8" t="s">
        <v>280</v>
      </c>
      <c r="F126" s="14" t="s">
        <v>232</v>
      </c>
      <c r="G126" s="8" t="s">
        <v>281</v>
      </c>
      <c r="H126" s="9">
        <v>87</v>
      </c>
      <c r="I126" s="21">
        <v>3238.58</v>
      </c>
      <c r="J126" s="11">
        <v>46113</v>
      </c>
      <c r="K126" s="11">
        <v>46120</v>
      </c>
      <c r="L126" s="8" t="s">
        <v>282</v>
      </c>
      <c r="M126" s="14" t="s">
        <v>234</v>
      </c>
      <c r="N126" s="16">
        <v>1556</v>
      </c>
      <c r="O126" s="14" t="s">
        <v>241</v>
      </c>
      <c r="P126" s="14"/>
      <c r="Q126" s="20">
        <f t="shared" si="1"/>
        <v>0</v>
      </c>
      <c r="S126" s="20">
        <f>SUMIFS('Doc''s Pagos | Rodopar 108'!$J:$J,'Doc''s Pagos | Rodopar 108'!$A:$A,$B126&amp;$E126&amp;$F126&amp;$J126,'Doc''s Pagos | Rodopar 108'!$B:$B,S$1)+SUMIFS('Doc Há Pagar | Rodopar 1015'!$J:$J,'Doc Há Pagar | Rodopar 1015'!$A:$A,$B126&amp;$E126&amp;$F126,'Doc Há Pagar | Rodopar 1015'!$B:$B,S$1)</f>
        <v>0</v>
      </c>
      <c r="T126" s="20">
        <f>SUMIFS('Doc''s Pagos | Rodopar 108'!$J:$J,'Doc''s Pagos | Rodopar 108'!$A:$A,$B126&amp;$E126&amp;$F126&amp;$J126,'Doc''s Pagos | Rodopar 108'!$B:$B,T$1)+SUMIFS('Doc Há Pagar | Rodopar 1015'!$J:$J,'Doc Há Pagar | Rodopar 1015'!$A:$A,$B126&amp;$E126&amp;$F126,'Doc Há Pagar | Rodopar 1015'!$B:$B,T$1)</f>
        <v>0</v>
      </c>
      <c r="U126" s="20">
        <f>SUMIFS('Doc''s Pagos | Rodopar 108'!$J:$J,'Doc''s Pagos | Rodopar 108'!$A:$A,$B126&amp;$E126&amp;$F126&amp;$J126,'Doc''s Pagos | Rodopar 108'!$B:$B,U$1)+SUMIFS('Doc Há Pagar | Rodopar 1015'!$J:$J,'Doc Há Pagar | Rodopar 1015'!$A:$A,$B126&amp;$E126&amp;$F126,'Doc Há Pagar | Rodopar 1015'!$B:$B,U$1)</f>
        <v>0</v>
      </c>
      <c r="V126" s="20">
        <f>SUMIFS('Doc''s Pagos | Rodopar 108'!$J:$J,'Doc''s Pagos | Rodopar 108'!$A:$A,$B126&amp;$E126&amp;$F126&amp;$J126,'Doc''s Pagos | Rodopar 108'!$B:$B,V$1)+SUMIFS('Doc Há Pagar | Rodopar 1015'!$J:$J,'Doc Há Pagar | Rodopar 1015'!$A:$A,$B126&amp;$E126&amp;$F126,'Doc Há Pagar | Rodopar 1015'!$B:$B,V$1)</f>
        <v>3238.58</v>
      </c>
      <c r="W126" s="20">
        <f>SUMIFS('Doc''s Pagos | Rodopar 108'!$J:$J,'Doc''s Pagos | Rodopar 108'!$A:$A,$B126&amp;$E126&amp;$F126&amp;$J126,'Doc''s Pagos | Rodopar 108'!$B:$B,W$1)+SUMIFS('Doc Há Pagar | Rodopar 1015'!$J:$J,'Doc Há Pagar | Rodopar 1015'!$A:$A,$B126&amp;$E126&amp;$F126,'Doc Há Pagar | Rodopar 1015'!$B:$B,W$1)</f>
        <v>0</v>
      </c>
      <c r="X126" s="20">
        <f>SUMIFS('Doc''s Pagos | Rodopar 108'!$J:$J,'Doc''s Pagos | Rodopar 108'!$A:$A,$B126&amp;$E126&amp;$F126&amp;$J126,'Doc''s Pagos | Rodopar 108'!$B:$B,X$1)+SUMIFS('Doc Há Pagar | Rodopar 1015'!$J:$J,'Doc Há Pagar | Rodopar 1015'!$A:$A,$B126&amp;$E126&amp;$F126,'Doc Há Pagar | Rodopar 1015'!$B:$B,X$1)</f>
        <v>0</v>
      </c>
      <c r="Y126" s="20">
        <f>SUMIFS('Doc''s Pagos | Rodopar 108'!$J:$J,'Doc''s Pagos | Rodopar 108'!$A:$A,$B126&amp;$E126&amp;$F126&amp;$J126,'Doc''s Pagos | Rodopar 108'!$B:$B,Y$1)+SUMIFS('Doc Há Pagar | Rodopar 1015'!$J:$J,'Doc Há Pagar | Rodopar 1015'!$A:$A,$B126&amp;$E126&amp;$F126,'Doc Há Pagar | Rodopar 1015'!$B:$B,Y$1)</f>
        <v>0</v>
      </c>
      <c r="Z126" s="20">
        <f>SUMIFS('Doc''s Pagos | Rodopar 108'!$J:$J,'Doc''s Pagos | Rodopar 108'!$A:$A,$B126&amp;$E126&amp;$F126&amp;$J126,'Doc''s Pagos | Rodopar 108'!$B:$B,Z$1)+SUMIFS('Doc Há Pagar | Rodopar 1015'!$J:$J,'Doc Há Pagar | Rodopar 1015'!$A:$A,$B126&amp;$E126&amp;$F126,'Doc Há Pagar | Rodopar 1015'!$B:$B,Z$1)</f>
        <v>0</v>
      </c>
      <c r="AA126" s="20">
        <f>SUMIFS('Doc''s Pagos | Rodopar 108'!$J:$J,'Doc''s Pagos | Rodopar 108'!$A:$A,$B126&amp;$E126&amp;$F126&amp;$J126,'Doc''s Pagos | Rodopar 108'!$B:$B,AA$1)+SUMIFS('Doc Há Pagar | Rodopar 1015'!$J:$J,'Doc Há Pagar | Rodopar 1015'!$A:$A,$B126&amp;$E126&amp;$F126,'Doc Há Pagar | Rodopar 1015'!$B:$B,AA$1)</f>
        <v>0</v>
      </c>
      <c r="AB126" s="20">
        <f>SUMIFS('Doc''s Pagos | Rodopar 108'!$J:$J,'Doc''s Pagos | Rodopar 108'!$A:$A,$B126&amp;$E126&amp;$F126&amp;$J126,'Doc''s Pagos | Rodopar 108'!$B:$B,AB$1)+SUMIFS('Doc Há Pagar | Rodopar 1015'!$J:$J,'Doc Há Pagar | Rodopar 1015'!$A:$A,$B126&amp;$E126&amp;$F126,'Doc Há Pagar | Rodopar 1015'!$B:$B,AB$1)</f>
        <v>0</v>
      </c>
      <c r="AC126" s="20">
        <f>SUMIFS('Doc''s Pagos | Rodopar 108'!$J:$J,'Doc''s Pagos | Rodopar 108'!$A:$A,$B126&amp;$E126&amp;$F126&amp;$J126,'Doc''s Pagos | Rodopar 108'!$B:$B,AC$1)+SUMIFS('Doc Há Pagar | Rodopar 1015'!$J:$J,'Doc Há Pagar | Rodopar 1015'!$A:$A,$B126&amp;$E126&amp;$F126,'Doc Há Pagar | Rodopar 1015'!$B:$B,AC$1)</f>
        <v>0</v>
      </c>
      <c r="AD126" s="20">
        <f>SUMIFS('Doc''s Pagos | Rodopar 108'!$J:$J,'Doc''s Pagos | Rodopar 108'!$A:$A,$B126&amp;$E126&amp;$F126&amp;$J126,'Doc''s Pagos | Rodopar 108'!$B:$B,AD$1)+SUMIFS('Doc Há Pagar | Rodopar 1015'!$J:$J,'Doc Há Pagar | Rodopar 1015'!$A:$A,$B126&amp;$E126&amp;$F126,'Doc Há Pagar | Rodopar 1015'!$B:$B,AD$1)</f>
        <v>0</v>
      </c>
    </row>
    <row r="127" spans="1:30" x14ac:dyDescent="0.25">
      <c r="A127" s="1" t="str">
        <f>VLOOKUP($E127,Fornecedores!$A:$C,3,0)</f>
        <v>Frota</v>
      </c>
      <c r="B127" s="14" t="s">
        <v>283</v>
      </c>
      <c r="C127" s="14" t="str">
        <f>IFERROR(VLOOKUP($E127,Fornecedores!$A:$E,4,0),"")</f>
        <v>OPE Merchandising</v>
      </c>
      <c r="D127" s="14" t="str">
        <f>IFERROR(VLOOKUP($E127,Fornecedores!$A:$E,5,0),"")</f>
        <v>Locação</v>
      </c>
      <c r="E127" s="8" t="s">
        <v>280</v>
      </c>
      <c r="F127" s="14" t="s">
        <v>232</v>
      </c>
      <c r="G127" s="8" t="s">
        <v>281</v>
      </c>
      <c r="H127" s="9">
        <v>87</v>
      </c>
      <c r="I127" s="21">
        <v>50.06</v>
      </c>
      <c r="J127" s="11">
        <v>46113</v>
      </c>
      <c r="K127" s="11">
        <v>46120</v>
      </c>
      <c r="L127" s="8" t="s">
        <v>282</v>
      </c>
      <c r="M127" s="14" t="s">
        <v>234</v>
      </c>
      <c r="N127" s="16">
        <v>1556</v>
      </c>
      <c r="O127" s="14" t="s">
        <v>241</v>
      </c>
      <c r="P127" s="14"/>
      <c r="Q127" s="20">
        <f t="shared" si="1"/>
        <v>0</v>
      </c>
      <c r="S127" s="20">
        <f>SUMIFS('Doc''s Pagos | Rodopar 108'!$J:$J,'Doc''s Pagos | Rodopar 108'!$A:$A,$B127&amp;$E127&amp;$F127&amp;$J127,'Doc''s Pagos | Rodopar 108'!$B:$B,S$1)+SUMIFS('Doc Há Pagar | Rodopar 1015'!$J:$J,'Doc Há Pagar | Rodopar 1015'!$A:$A,$B127&amp;$E127&amp;$F127,'Doc Há Pagar | Rodopar 1015'!$B:$B,S$1)</f>
        <v>0</v>
      </c>
      <c r="T127" s="20">
        <f>SUMIFS('Doc''s Pagos | Rodopar 108'!$J:$J,'Doc''s Pagos | Rodopar 108'!$A:$A,$B127&amp;$E127&amp;$F127&amp;$J127,'Doc''s Pagos | Rodopar 108'!$B:$B,T$1)+SUMIFS('Doc Há Pagar | Rodopar 1015'!$J:$J,'Doc Há Pagar | Rodopar 1015'!$A:$A,$B127&amp;$E127&amp;$F127,'Doc Há Pagar | Rodopar 1015'!$B:$B,T$1)</f>
        <v>0</v>
      </c>
      <c r="U127" s="20">
        <f>SUMIFS('Doc''s Pagos | Rodopar 108'!$J:$J,'Doc''s Pagos | Rodopar 108'!$A:$A,$B127&amp;$E127&amp;$F127&amp;$J127,'Doc''s Pagos | Rodopar 108'!$B:$B,U$1)+SUMIFS('Doc Há Pagar | Rodopar 1015'!$J:$J,'Doc Há Pagar | Rodopar 1015'!$A:$A,$B127&amp;$E127&amp;$F127,'Doc Há Pagar | Rodopar 1015'!$B:$B,U$1)</f>
        <v>0</v>
      </c>
      <c r="V127" s="20">
        <f>SUMIFS('Doc''s Pagos | Rodopar 108'!$J:$J,'Doc''s Pagos | Rodopar 108'!$A:$A,$B127&amp;$E127&amp;$F127&amp;$J127,'Doc''s Pagos | Rodopar 108'!$B:$B,V$1)+SUMIFS('Doc Há Pagar | Rodopar 1015'!$J:$J,'Doc Há Pagar | Rodopar 1015'!$A:$A,$B127&amp;$E127&amp;$F127,'Doc Há Pagar | Rodopar 1015'!$B:$B,V$1)</f>
        <v>50.06</v>
      </c>
      <c r="W127" s="20">
        <f>SUMIFS('Doc''s Pagos | Rodopar 108'!$J:$J,'Doc''s Pagos | Rodopar 108'!$A:$A,$B127&amp;$E127&amp;$F127&amp;$J127,'Doc''s Pagos | Rodopar 108'!$B:$B,W$1)+SUMIFS('Doc Há Pagar | Rodopar 1015'!$J:$J,'Doc Há Pagar | Rodopar 1015'!$A:$A,$B127&amp;$E127&amp;$F127,'Doc Há Pagar | Rodopar 1015'!$B:$B,W$1)</f>
        <v>0</v>
      </c>
      <c r="X127" s="20">
        <f>SUMIFS('Doc''s Pagos | Rodopar 108'!$J:$J,'Doc''s Pagos | Rodopar 108'!$A:$A,$B127&amp;$E127&amp;$F127&amp;$J127,'Doc''s Pagos | Rodopar 108'!$B:$B,X$1)+SUMIFS('Doc Há Pagar | Rodopar 1015'!$J:$J,'Doc Há Pagar | Rodopar 1015'!$A:$A,$B127&amp;$E127&amp;$F127,'Doc Há Pagar | Rodopar 1015'!$B:$B,X$1)</f>
        <v>0</v>
      </c>
      <c r="Y127" s="20">
        <f>SUMIFS('Doc''s Pagos | Rodopar 108'!$J:$J,'Doc''s Pagos | Rodopar 108'!$A:$A,$B127&amp;$E127&amp;$F127&amp;$J127,'Doc''s Pagos | Rodopar 108'!$B:$B,Y$1)+SUMIFS('Doc Há Pagar | Rodopar 1015'!$J:$J,'Doc Há Pagar | Rodopar 1015'!$A:$A,$B127&amp;$E127&amp;$F127,'Doc Há Pagar | Rodopar 1015'!$B:$B,Y$1)</f>
        <v>0</v>
      </c>
      <c r="Z127" s="20">
        <f>SUMIFS('Doc''s Pagos | Rodopar 108'!$J:$J,'Doc''s Pagos | Rodopar 108'!$A:$A,$B127&amp;$E127&amp;$F127&amp;$J127,'Doc''s Pagos | Rodopar 108'!$B:$B,Z$1)+SUMIFS('Doc Há Pagar | Rodopar 1015'!$J:$J,'Doc Há Pagar | Rodopar 1015'!$A:$A,$B127&amp;$E127&amp;$F127,'Doc Há Pagar | Rodopar 1015'!$B:$B,Z$1)</f>
        <v>0</v>
      </c>
      <c r="AA127" s="20">
        <f>SUMIFS('Doc''s Pagos | Rodopar 108'!$J:$J,'Doc''s Pagos | Rodopar 108'!$A:$A,$B127&amp;$E127&amp;$F127&amp;$J127,'Doc''s Pagos | Rodopar 108'!$B:$B,AA$1)+SUMIFS('Doc Há Pagar | Rodopar 1015'!$J:$J,'Doc Há Pagar | Rodopar 1015'!$A:$A,$B127&amp;$E127&amp;$F127,'Doc Há Pagar | Rodopar 1015'!$B:$B,AA$1)</f>
        <v>0</v>
      </c>
      <c r="AB127" s="20">
        <f>SUMIFS('Doc''s Pagos | Rodopar 108'!$J:$J,'Doc''s Pagos | Rodopar 108'!$A:$A,$B127&amp;$E127&amp;$F127&amp;$J127,'Doc''s Pagos | Rodopar 108'!$B:$B,AB$1)+SUMIFS('Doc Há Pagar | Rodopar 1015'!$J:$J,'Doc Há Pagar | Rodopar 1015'!$A:$A,$B127&amp;$E127&amp;$F127,'Doc Há Pagar | Rodopar 1015'!$B:$B,AB$1)</f>
        <v>0</v>
      </c>
      <c r="AC127" s="20">
        <f>SUMIFS('Doc''s Pagos | Rodopar 108'!$J:$J,'Doc''s Pagos | Rodopar 108'!$A:$A,$B127&amp;$E127&amp;$F127&amp;$J127,'Doc''s Pagos | Rodopar 108'!$B:$B,AC$1)+SUMIFS('Doc Há Pagar | Rodopar 1015'!$J:$J,'Doc Há Pagar | Rodopar 1015'!$A:$A,$B127&amp;$E127&amp;$F127,'Doc Há Pagar | Rodopar 1015'!$B:$B,AC$1)</f>
        <v>0</v>
      </c>
      <c r="AD127" s="20">
        <f>SUMIFS('Doc''s Pagos | Rodopar 108'!$J:$J,'Doc''s Pagos | Rodopar 108'!$A:$A,$B127&amp;$E127&amp;$F127&amp;$J127,'Doc''s Pagos | Rodopar 108'!$B:$B,AD$1)+SUMIFS('Doc Há Pagar | Rodopar 1015'!$J:$J,'Doc Há Pagar | Rodopar 1015'!$A:$A,$B127&amp;$E127&amp;$F127,'Doc Há Pagar | Rodopar 1015'!$B:$B,AD$1)</f>
        <v>0</v>
      </c>
    </row>
    <row r="128" spans="1:30" x14ac:dyDescent="0.25">
      <c r="A128" s="1" t="str">
        <f>VLOOKUP($E128,Fornecedores!$A:$C,3,0)</f>
        <v>Frota</v>
      </c>
      <c r="B128" s="14" t="s">
        <v>284</v>
      </c>
      <c r="C128" s="14" t="str">
        <f>IFERROR(VLOOKUP($E128,Fornecedores!$A:$E,4,0),"")</f>
        <v>OPE Merchandising</v>
      </c>
      <c r="D128" s="14" t="str">
        <f>IFERROR(VLOOKUP($E128,Fornecedores!$A:$E,5,0),"")</f>
        <v>Locação</v>
      </c>
      <c r="E128" s="8" t="s">
        <v>280</v>
      </c>
      <c r="F128" s="14" t="s">
        <v>232</v>
      </c>
      <c r="G128" s="8" t="s">
        <v>281</v>
      </c>
      <c r="H128" s="9">
        <v>87</v>
      </c>
      <c r="I128" s="21">
        <v>3136.23</v>
      </c>
      <c r="J128" s="11">
        <v>46113</v>
      </c>
      <c r="K128" s="11">
        <v>46120</v>
      </c>
      <c r="L128" s="8" t="s">
        <v>282</v>
      </c>
      <c r="M128" s="14" t="s">
        <v>234</v>
      </c>
      <c r="N128" s="16">
        <v>1556</v>
      </c>
      <c r="O128" s="14" t="s">
        <v>241</v>
      </c>
      <c r="P128" s="14"/>
      <c r="Q128" s="20">
        <f t="shared" si="1"/>
        <v>0</v>
      </c>
      <c r="S128" s="20">
        <f>SUMIFS('Doc''s Pagos | Rodopar 108'!$J:$J,'Doc''s Pagos | Rodopar 108'!$A:$A,$B128&amp;$E128&amp;$F128&amp;$J128,'Doc''s Pagos | Rodopar 108'!$B:$B,S$1)+SUMIFS('Doc Há Pagar | Rodopar 1015'!$J:$J,'Doc Há Pagar | Rodopar 1015'!$A:$A,$B128&amp;$E128&amp;$F128,'Doc Há Pagar | Rodopar 1015'!$B:$B,S$1)</f>
        <v>0</v>
      </c>
      <c r="T128" s="20">
        <f>SUMIFS('Doc''s Pagos | Rodopar 108'!$J:$J,'Doc''s Pagos | Rodopar 108'!$A:$A,$B128&amp;$E128&amp;$F128&amp;$J128,'Doc''s Pagos | Rodopar 108'!$B:$B,T$1)+SUMIFS('Doc Há Pagar | Rodopar 1015'!$J:$J,'Doc Há Pagar | Rodopar 1015'!$A:$A,$B128&amp;$E128&amp;$F128,'Doc Há Pagar | Rodopar 1015'!$B:$B,T$1)</f>
        <v>0</v>
      </c>
      <c r="U128" s="20">
        <f>SUMIFS('Doc''s Pagos | Rodopar 108'!$J:$J,'Doc''s Pagos | Rodopar 108'!$A:$A,$B128&amp;$E128&amp;$F128&amp;$J128,'Doc''s Pagos | Rodopar 108'!$B:$B,U$1)+SUMIFS('Doc Há Pagar | Rodopar 1015'!$J:$J,'Doc Há Pagar | Rodopar 1015'!$A:$A,$B128&amp;$E128&amp;$F128,'Doc Há Pagar | Rodopar 1015'!$B:$B,U$1)</f>
        <v>0</v>
      </c>
      <c r="V128" s="20">
        <f>SUMIFS('Doc''s Pagos | Rodopar 108'!$J:$J,'Doc''s Pagos | Rodopar 108'!$A:$A,$B128&amp;$E128&amp;$F128&amp;$J128,'Doc''s Pagos | Rodopar 108'!$B:$B,V$1)+SUMIFS('Doc Há Pagar | Rodopar 1015'!$J:$J,'Doc Há Pagar | Rodopar 1015'!$A:$A,$B128&amp;$E128&amp;$F128,'Doc Há Pagar | Rodopar 1015'!$B:$B,V$1)</f>
        <v>3136.23</v>
      </c>
      <c r="W128" s="20">
        <f>SUMIFS('Doc''s Pagos | Rodopar 108'!$J:$J,'Doc''s Pagos | Rodopar 108'!$A:$A,$B128&amp;$E128&amp;$F128&amp;$J128,'Doc''s Pagos | Rodopar 108'!$B:$B,W$1)+SUMIFS('Doc Há Pagar | Rodopar 1015'!$J:$J,'Doc Há Pagar | Rodopar 1015'!$A:$A,$B128&amp;$E128&amp;$F128,'Doc Há Pagar | Rodopar 1015'!$B:$B,W$1)</f>
        <v>0</v>
      </c>
      <c r="X128" s="20">
        <f>SUMIFS('Doc''s Pagos | Rodopar 108'!$J:$J,'Doc''s Pagos | Rodopar 108'!$A:$A,$B128&amp;$E128&amp;$F128&amp;$J128,'Doc''s Pagos | Rodopar 108'!$B:$B,X$1)+SUMIFS('Doc Há Pagar | Rodopar 1015'!$J:$J,'Doc Há Pagar | Rodopar 1015'!$A:$A,$B128&amp;$E128&amp;$F128,'Doc Há Pagar | Rodopar 1015'!$B:$B,X$1)</f>
        <v>0</v>
      </c>
      <c r="Y128" s="20">
        <f>SUMIFS('Doc''s Pagos | Rodopar 108'!$J:$J,'Doc''s Pagos | Rodopar 108'!$A:$A,$B128&amp;$E128&amp;$F128&amp;$J128,'Doc''s Pagos | Rodopar 108'!$B:$B,Y$1)+SUMIFS('Doc Há Pagar | Rodopar 1015'!$J:$J,'Doc Há Pagar | Rodopar 1015'!$A:$A,$B128&amp;$E128&amp;$F128,'Doc Há Pagar | Rodopar 1015'!$B:$B,Y$1)</f>
        <v>0</v>
      </c>
      <c r="Z128" s="20">
        <f>SUMIFS('Doc''s Pagos | Rodopar 108'!$J:$J,'Doc''s Pagos | Rodopar 108'!$A:$A,$B128&amp;$E128&amp;$F128&amp;$J128,'Doc''s Pagos | Rodopar 108'!$B:$B,Z$1)+SUMIFS('Doc Há Pagar | Rodopar 1015'!$J:$J,'Doc Há Pagar | Rodopar 1015'!$A:$A,$B128&amp;$E128&amp;$F128,'Doc Há Pagar | Rodopar 1015'!$B:$B,Z$1)</f>
        <v>0</v>
      </c>
      <c r="AA128" s="20">
        <f>SUMIFS('Doc''s Pagos | Rodopar 108'!$J:$J,'Doc''s Pagos | Rodopar 108'!$A:$A,$B128&amp;$E128&amp;$F128&amp;$J128,'Doc''s Pagos | Rodopar 108'!$B:$B,AA$1)+SUMIFS('Doc Há Pagar | Rodopar 1015'!$J:$J,'Doc Há Pagar | Rodopar 1015'!$A:$A,$B128&amp;$E128&amp;$F128,'Doc Há Pagar | Rodopar 1015'!$B:$B,AA$1)</f>
        <v>0</v>
      </c>
      <c r="AB128" s="20">
        <f>SUMIFS('Doc''s Pagos | Rodopar 108'!$J:$J,'Doc''s Pagos | Rodopar 108'!$A:$A,$B128&amp;$E128&amp;$F128&amp;$J128,'Doc''s Pagos | Rodopar 108'!$B:$B,AB$1)+SUMIFS('Doc Há Pagar | Rodopar 1015'!$J:$J,'Doc Há Pagar | Rodopar 1015'!$A:$A,$B128&amp;$E128&amp;$F128,'Doc Há Pagar | Rodopar 1015'!$B:$B,AB$1)</f>
        <v>0</v>
      </c>
      <c r="AC128" s="20">
        <f>SUMIFS('Doc''s Pagos | Rodopar 108'!$J:$J,'Doc''s Pagos | Rodopar 108'!$A:$A,$B128&amp;$E128&amp;$F128&amp;$J128,'Doc''s Pagos | Rodopar 108'!$B:$B,AC$1)+SUMIFS('Doc Há Pagar | Rodopar 1015'!$J:$J,'Doc Há Pagar | Rodopar 1015'!$A:$A,$B128&amp;$E128&amp;$F128,'Doc Há Pagar | Rodopar 1015'!$B:$B,AC$1)</f>
        <v>0</v>
      </c>
      <c r="AD128" s="20">
        <f>SUMIFS('Doc''s Pagos | Rodopar 108'!$J:$J,'Doc''s Pagos | Rodopar 108'!$A:$A,$B128&amp;$E128&amp;$F128&amp;$J128,'Doc''s Pagos | Rodopar 108'!$B:$B,AD$1)+SUMIFS('Doc Há Pagar | Rodopar 1015'!$J:$J,'Doc Há Pagar | Rodopar 1015'!$A:$A,$B128&amp;$E128&amp;$F128,'Doc Há Pagar | Rodopar 1015'!$B:$B,AD$1)</f>
        <v>0</v>
      </c>
    </row>
    <row r="129" spans="1:30" x14ac:dyDescent="0.25">
      <c r="A129" s="1" t="str">
        <f>VLOOKUP($E129,Fornecedores!$A:$C,3,0)</f>
        <v>Frota</v>
      </c>
      <c r="B129" s="14" t="s">
        <v>285</v>
      </c>
      <c r="C129" s="14" t="str">
        <f>IFERROR(VLOOKUP($E129,Fornecedores!$A:$E,4,0),"")</f>
        <v>OPE Merchandising</v>
      </c>
      <c r="D129" s="14" t="str">
        <f>IFERROR(VLOOKUP($E129,Fornecedores!$A:$E,5,0),"")</f>
        <v>Locação</v>
      </c>
      <c r="E129" s="8" t="s">
        <v>280</v>
      </c>
      <c r="F129" s="14" t="s">
        <v>232</v>
      </c>
      <c r="G129" s="8" t="s">
        <v>281</v>
      </c>
      <c r="H129" s="9">
        <v>87</v>
      </c>
      <c r="I129" s="21">
        <v>50.06</v>
      </c>
      <c r="J129" s="11">
        <v>46113</v>
      </c>
      <c r="K129" s="11">
        <v>46120</v>
      </c>
      <c r="L129" s="8" t="s">
        <v>282</v>
      </c>
      <c r="M129" s="14" t="s">
        <v>234</v>
      </c>
      <c r="N129" s="16">
        <v>1556</v>
      </c>
      <c r="O129" s="14" t="s">
        <v>241</v>
      </c>
      <c r="P129" s="14"/>
      <c r="Q129" s="20">
        <f t="shared" si="1"/>
        <v>0</v>
      </c>
      <c r="S129" s="20">
        <f>SUMIFS('Doc''s Pagos | Rodopar 108'!$J:$J,'Doc''s Pagos | Rodopar 108'!$A:$A,$B129&amp;$E129&amp;$F129&amp;$J129,'Doc''s Pagos | Rodopar 108'!$B:$B,S$1)+SUMIFS('Doc Há Pagar | Rodopar 1015'!$J:$J,'Doc Há Pagar | Rodopar 1015'!$A:$A,$B129&amp;$E129&amp;$F129,'Doc Há Pagar | Rodopar 1015'!$B:$B,S$1)</f>
        <v>0</v>
      </c>
      <c r="T129" s="20">
        <f>SUMIFS('Doc''s Pagos | Rodopar 108'!$J:$J,'Doc''s Pagos | Rodopar 108'!$A:$A,$B129&amp;$E129&amp;$F129&amp;$J129,'Doc''s Pagos | Rodopar 108'!$B:$B,T$1)+SUMIFS('Doc Há Pagar | Rodopar 1015'!$J:$J,'Doc Há Pagar | Rodopar 1015'!$A:$A,$B129&amp;$E129&amp;$F129,'Doc Há Pagar | Rodopar 1015'!$B:$B,T$1)</f>
        <v>0</v>
      </c>
      <c r="U129" s="20">
        <f>SUMIFS('Doc''s Pagos | Rodopar 108'!$J:$J,'Doc''s Pagos | Rodopar 108'!$A:$A,$B129&amp;$E129&amp;$F129&amp;$J129,'Doc''s Pagos | Rodopar 108'!$B:$B,U$1)+SUMIFS('Doc Há Pagar | Rodopar 1015'!$J:$J,'Doc Há Pagar | Rodopar 1015'!$A:$A,$B129&amp;$E129&amp;$F129,'Doc Há Pagar | Rodopar 1015'!$B:$B,U$1)</f>
        <v>0</v>
      </c>
      <c r="V129" s="20">
        <f>SUMIFS('Doc''s Pagos | Rodopar 108'!$J:$J,'Doc''s Pagos | Rodopar 108'!$A:$A,$B129&amp;$E129&amp;$F129&amp;$J129,'Doc''s Pagos | Rodopar 108'!$B:$B,V$1)+SUMIFS('Doc Há Pagar | Rodopar 1015'!$J:$J,'Doc Há Pagar | Rodopar 1015'!$A:$A,$B129&amp;$E129&amp;$F129,'Doc Há Pagar | Rodopar 1015'!$B:$B,V$1)</f>
        <v>50.06</v>
      </c>
      <c r="W129" s="20">
        <f>SUMIFS('Doc''s Pagos | Rodopar 108'!$J:$J,'Doc''s Pagos | Rodopar 108'!$A:$A,$B129&amp;$E129&amp;$F129&amp;$J129,'Doc''s Pagos | Rodopar 108'!$B:$B,W$1)+SUMIFS('Doc Há Pagar | Rodopar 1015'!$J:$J,'Doc Há Pagar | Rodopar 1015'!$A:$A,$B129&amp;$E129&amp;$F129,'Doc Há Pagar | Rodopar 1015'!$B:$B,W$1)</f>
        <v>0</v>
      </c>
      <c r="X129" s="20">
        <f>SUMIFS('Doc''s Pagos | Rodopar 108'!$J:$J,'Doc''s Pagos | Rodopar 108'!$A:$A,$B129&amp;$E129&amp;$F129&amp;$J129,'Doc''s Pagos | Rodopar 108'!$B:$B,X$1)+SUMIFS('Doc Há Pagar | Rodopar 1015'!$J:$J,'Doc Há Pagar | Rodopar 1015'!$A:$A,$B129&amp;$E129&amp;$F129,'Doc Há Pagar | Rodopar 1015'!$B:$B,X$1)</f>
        <v>0</v>
      </c>
      <c r="Y129" s="20">
        <f>SUMIFS('Doc''s Pagos | Rodopar 108'!$J:$J,'Doc''s Pagos | Rodopar 108'!$A:$A,$B129&amp;$E129&amp;$F129&amp;$J129,'Doc''s Pagos | Rodopar 108'!$B:$B,Y$1)+SUMIFS('Doc Há Pagar | Rodopar 1015'!$J:$J,'Doc Há Pagar | Rodopar 1015'!$A:$A,$B129&amp;$E129&amp;$F129,'Doc Há Pagar | Rodopar 1015'!$B:$B,Y$1)</f>
        <v>0</v>
      </c>
      <c r="Z129" s="20">
        <f>SUMIFS('Doc''s Pagos | Rodopar 108'!$J:$J,'Doc''s Pagos | Rodopar 108'!$A:$A,$B129&amp;$E129&amp;$F129&amp;$J129,'Doc''s Pagos | Rodopar 108'!$B:$B,Z$1)+SUMIFS('Doc Há Pagar | Rodopar 1015'!$J:$J,'Doc Há Pagar | Rodopar 1015'!$A:$A,$B129&amp;$E129&amp;$F129,'Doc Há Pagar | Rodopar 1015'!$B:$B,Z$1)</f>
        <v>0</v>
      </c>
      <c r="AA129" s="20">
        <f>SUMIFS('Doc''s Pagos | Rodopar 108'!$J:$J,'Doc''s Pagos | Rodopar 108'!$A:$A,$B129&amp;$E129&amp;$F129&amp;$J129,'Doc''s Pagos | Rodopar 108'!$B:$B,AA$1)+SUMIFS('Doc Há Pagar | Rodopar 1015'!$J:$J,'Doc Há Pagar | Rodopar 1015'!$A:$A,$B129&amp;$E129&amp;$F129,'Doc Há Pagar | Rodopar 1015'!$B:$B,AA$1)</f>
        <v>0</v>
      </c>
      <c r="AB129" s="20">
        <f>SUMIFS('Doc''s Pagos | Rodopar 108'!$J:$J,'Doc''s Pagos | Rodopar 108'!$A:$A,$B129&amp;$E129&amp;$F129&amp;$J129,'Doc''s Pagos | Rodopar 108'!$B:$B,AB$1)+SUMIFS('Doc Há Pagar | Rodopar 1015'!$J:$J,'Doc Há Pagar | Rodopar 1015'!$A:$A,$B129&amp;$E129&amp;$F129,'Doc Há Pagar | Rodopar 1015'!$B:$B,AB$1)</f>
        <v>0</v>
      </c>
      <c r="AC129" s="20">
        <f>SUMIFS('Doc''s Pagos | Rodopar 108'!$J:$J,'Doc''s Pagos | Rodopar 108'!$A:$A,$B129&amp;$E129&amp;$F129&amp;$J129,'Doc''s Pagos | Rodopar 108'!$B:$B,AC$1)+SUMIFS('Doc Há Pagar | Rodopar 1015'!$J:$J,'Doc Há Pagar | Rodopar 1015'!$A:$A,$B129&amp;$E129&amp;$F129,'Doc Há Pagar | Rodopar 1015'!$B:$B,AC$1)</f>
        <v>0</v>
      </c>
      <c r="AD129" s="20">
        <f>SUMIFS('Doc''s Pagos | Rodopar 108'!$J:$J,'Doc''s Pagos | Rodopar 108'!$A:$A,$B129&amp;$E129&amp;$F129&amp;$J129,'Doc''s Pagos | Rodopar 108'!$B:$B,AD$1)+SUMIFS('Doc Há Pagar | Rodopar 1015'!$J:$J,'Doc Há Pagar | Rodopar 1015'!$A:$A,$B129&amp;$E129&amp;$F129,'Doc Há Pagar | Rodopar 1015'!$B:$B,AD$1)</f>
        <v>0</v>
      </c>
    </row>
    <row r="130" spans="1:30" x14ac:dyDescent="0.25">
      <c r="A130" s="1" t="str">
        <f>VLOOKUP($E130,Fornecedores!$A:$C,3,0)</f>
        <v>Frota</v>
      </c>
      <c r="B130" s="14">
        <v>5359</v>
      </c>
      <c r="C130" s="14" t="str">
        <f>IFERROR(VLOOKUP($E130,Fornecedores!$A:$E,4,0),"")</f>
        <v>Manutenção</v>
      </c>
      <c r="D130" s="14" t="str">
        <f>IFERROR(VLOOKUP($E130,Fornecedores!$A:$E,5,0),"")</f>
        <v>Vans</v>
      </c>
      <c r="E130" s="8" t="s">
        <v>560</v>
      </c>
      <c r="F130" s="14" t="s">
        <v>380</v>
      </c>
      <c r="G130" s="8" t="s">
        <v>561</v>
      </c>
      <c r="H130" s="9">
        <v>87</v>
      </c>
      <c r="I130" s="21">
        <v>1548.59</v>
      </c>
      <c r="J130" s="11">
        <v>46113</v>
      </c>
      <c r="K130" s="11">
        <v>46121</v>
      </c>
      <c r="L130" s="8" t="s">
        <v>501</v>
      </c>
      <c r="M130" s="14" t="s">
        <v>234</v>
      </c>
      <c r="N130" s="16">
        <v>1556</v>
      </c>
      <c r="O130" s="14" t="s">
        <v>241</v>
      </c>
      <c r="P130" s="14"/>
      <c r="Q130" s="20">
        <f t="shared" ref="Q130:Q193" si="2">SUM(R130:AD130)-I130</f>
        <v>0</v>
      </c>
      <c r="S130" s="20">
        <f>SUMIFS('Doc''s Pagos | Rodopar 108'!$J:$J,'Doc''s Pagos | Rodopar 108'!$A:$A,$B130&amp;$E130&amp;$F130&amp;$J130,'Doc''s Pagos | Rodopar 108'!$B:$B,S$1)+SUMIFS('Doc Há Pagar | Rodopar 1015'!$J:$J,'Doc Há Pagar | Rodopar 1015'!$A:$A,$B130&amp;$E130&amp;$F130,'Doc Há Pagar | Rodopar 1015'!$B:$B,S$1)</f>
        <v>0</v>
      </c>
      <c r="T130" s="20">
        <f>SUMIFS('Doc''s Pagos | Rodopar 108'!$J:$J,'Doc''s Pagos | Rodopar 108'!$A:$A,$B130&amp;$E130&amp;$F130&amp;$J130,'Doc''s Pagos | Rodopar 108'!$B:$B,T$1)+SUMIFS('Doc Há Pagar | Rodopar 1015'!$J:$J,'Doc Há Pagar | Rodopar 1015'!$A:$A,$B130&amp;$E130&amp;$F130,'Doc Há Pagar | Rodopar 1015'!$B:$B,T$1)</f>
        <v>0</v>
      </c>
      <c r="U130" s="20">
        <f>SUMIFS('Doc''s Pagos | Rodopar 108'!$J:$J,'Doc''s Pagos | Rodopar 108'!$A:$A,$B130&amp;$E130&amp;$F130&amp;$J130,'Doc''s Pagos | Rodopar 108'!$B:$B,U$1)+SUMIFS('Doc Há Pagar | Rodopar 1015'!$J:$J,'Doc Há Pagar | Rodopar 1015'!$A:$A,$B130&amp;$E130&amp;$F130,'Doc Há Pagar | Rodopar 1015'!$B:$B,U$1)</f>
        <v>0</v>
      </c>
      <c r="V130" s="20">
        <f>SUMIFS('Doc''s Pagos | Rodopar 108'!$J:$J,'Doc''s Pagos | Rodopar 108'!$A:$A,$B130&amp;$E130&amp;$F130&amp;$J130,'Doc''s Pagos | Rodopar 108'!$B:$B,V$1)+SUMIFS('Doc Há Pagar | Rodopar 1015'!$J:$J,'Doc Há Pagar | Rodopar 1015'!$A:$A,$B130&amp;$E130&amp;$F130,'Doc Há Pagar | Rodopar 1015'!$B:$B,V$1)</f>
        <v>0</v>
      </c>
      <c r="W130" s="20">
        <f>SUMIFS('Doc''s Pagos | Rodopar 108'!$J:$J,'Doc''s Pagos | Rodopar 108'!$A:$A,$B130&amp;$E130&amp;$F130&amp;$J130,'Doc''s Pagos | Rodopar 108'!$B:$B,W$1)+SUMIFS('Doc Há Pagar | Rodopar 1015'!$J:$J,'Doc Há Pagar | Rodopar 1015'!$A:$A,$B130&amp;$E130&amp;$F130,'Doc Há Pagar | Rodopar 1015'!$B:$B,W$1)</f>
        <v>1548.59</v>
      </c>
      <c r="X130" s="20">
        <f>SUMIFS('Doc''s Pagos | Rodopar 108'!$J:$J,'Doc''s Pagos | Rodopar 108'!$A:$A,$B130&amp;$E130&amp;$F130&amp;$J130,'Doc''s Pagos | Rodopar 108'!$B:$B,X$1)+SUMIFS('Doc Há Pagar | Rodopar 1015'!$J:$J,'Doc Há Pagar | Rodopar 1015'!$A:$A,$B130&amp;$E130&amp;$F130,'Doc Há Pagar | Rodopar 1015'!$B:$B,X$1)</f>
        <v>0</v>
      </c>
      <c r="Y130" s="20">
        <f>SUMIFS('Doc''s Pagos | Rodopar 108'!$J:$J,'Doc''s Pagos | Rodopar 108'!$A:$A,$B130&amp;$E130&amp;$F130&amp;$J130,'Doc''s Pagos | Rodopar 108'!$B:$B,Y$1)+SUMIFS('Doc Há Pagar | Rodopar 1015'!$J:$J,'Doc Há Pagar | Rodopar 1015'!$A:$A,$B130&amp;$E130&amp;$F130,'Doc Há Pagar | Rodopar 1015'!$B:$B,Y$1)</f>
        <v>0</v>
      </c>
      <c r="Z130" s="20">
        <f>SUMIFS('Doc''s Pagos | Rodopar 108'!$J:$J,'Doc''s Pagos | Rodopar 108'!$A:$A,$B130&amp;$E130&amp;$F130&amp;$J130,'Doc''s Pagos | Rodopar 108'!$B:$B,Z$1)+SUMIFS('Doc Há Pagar | Rodopar 1015'!$J:$J,'Doc Há Pagar | Rodopar 1015'!$A:$A,$B130&amp;$E130&amp;$F130,'Doc Há Pagar | Rodopar 1015'!$B:$B,Z$1)</f>
        <v>0</v>
      </c>
      <c r="AA130" s="20">
        <f>SUMIFS('Doc''s Pagos | Rodopar 108'!$J:$J,'Doc''s Pagos | Rodopar 108'!$A:$A,$B130&amp;$E130&amp;$F130&amp;$J130,'Doc''s Pagos | Rodopar 108'!$B:$B,AA$1)+SUMIFS('Doc Há Pagar | Rodopar 1015'!$J:$J,'Doc Há Pagar | Rodopar 1015'!$A:$A,$B130&amp;$E130&amp;$F130,'Doc Há Pagar | Rodopar 1015'!$B:$B,AA$1)</f>
        <v>0</v>
      </c>
      <c r="AB130" s="20">
        <f>SUMIFS('Doc''s Pagos | Rodopar 108'!$J:$J,'Doc''s Pagos | Rodopar 108'!$A:$A,$B130&amp;$E130&amp;$F130&amp;$J130,'Doc''s Pagos | Rodopar 108'!$B:$B,AB$1)+SUMIFS('Doc Há Pagar | Rodopar 1015'!$J:$J,'Doc Há Pagar | Rodopar 1015'!$A:$A,$B130&amp;$E130&amp;$F130,'Doc Há Pagar | Rodopar 1015'!$B:$B,AB$1)</f>
        <v>0</v>
      </c>
      <c r="AC130" s="20">
        <f>SUMIFS('Doc''s Pagos | Rodopar 108'!$J:$J,'Doc''s Pagos | Rodopar 108'!$A:$A,$B130&amp;$E130&amp;$F130&amp;$J130,'Doc''s Pagos | Rodopar 108'!$B:$B,AC$1)+SUMIFS('Doc Há Pagar | Rodopar 1015'!$J:$J,'Doc Há Pagar | Rodopar 1015'!$A:$A,$B130&amp;$E130&amp;$F130,'Doc Há Pagar | Rodopar 1015'!$B:$B,AC$1)</f>
        <v>0</v>
      </c>
      <c r="AD130" s="20">
        <f>SUMIFS('Doc''s Pagos | Rodopar 108'!$J:$J,'Doc''s Pagos | Rodopar 108'!$A:$A,$B130&amp;$E130&amp;$F130&amp;$J130,'Doc''s Pagos | Rodopar 108'!$B:$B,AD$1)+SUMIFS('Doc Há Pagar | Rodopar 1015'!$J:$J,'Doc Há Pagar | Rodopar 1015'!$A:$A,$B130&amp;$E130&amp;$F130,'Doc Há Pagar | Rodopar 1015'!$B:$B,AD$1)</f>
        <v>0</v>
      </c>
    </row>
    <row r="131" spans="1:30" x14ac:dyDescent="0.25">
      <c r="A131" s="1" t="str">
        <f>VLOOKUP($E131,Fornecedores!$A:$C,3,0)</f>
        <v>Frota</v>
      </c>
      <c r="B131" s="14">
        <v>279</v>
      </c>
      <c r="C131" s="14" t="str">
        <f>IFERROR(VLOOKUP($E131,Fornecedores!$A:$E,4,0),"")</f>
        <v>Manutenção</v>
      </c>
      <c r="D131" s="14" t="str">
        <f>IFERROR(VLOOKUP($E131,Fornecedores!$A:$E,5,0),"")</f>
        <v>Vans</v>
      </c>
      <c r="E131" s="8" t="s">
        <v>560</v>
      </c>
      <c r="F131" s="14" t="s">
        <v>665</v>
      </c>
      <c r="G131" s="8" t="s">
        <v>561</v>
      </c>
      <c r="H131" s="9">
        <v>87</v>
      </c>
      <c r="I131" s="21">
        <v>6170</v>
      </c>
      <c r="J131" s="11">
        <v>46113</v>
      </c>
      <c r="K131" s="11">
        <v>46121</v>
      </c>
      <c r="L131" s="8" t="s">
        <v>501</v>
      </c>
      <c r="M131" s="14" t="s">
        <v>234</v>
      </c>
      <c r="N131" s="16">
        <v>1556</v>
      </c>
      <c r="O131" s="14" t="s">
        <v>241</v>
      </c>
      <c r="P131" s="14"/>
      <c r="Q131" s="20">
        <f t="shared" si="2"/>
        <v>0</v>
      </c>
      <c r="S131" s="20">
        <f>SUMIFS('Doc''s Pagos | Rodopar 108'!$J:$J,'Doc''s Pagos | Rodopar 108'!$A:$A,$B131&amp;$E131&amp;$F131&amp;$J131,'Doc''s Pagos | Rodopar 108'!$B:$B,S$1)+SUMIFS('Doc Há Pagar | Rodopar 1015'!$J:$J,'Doc Há Pagar | Rodopar 1015'!$A:$A,$B131&amp;$E131&amp;$F131,'Doc Há Pagar | Rodopar 1015'!$B:$B,S$1)</f>
        <v>0</v>
      </c>
      <c r="T131" s="20">
        <f>SUMIFS('Doc''s Pagos | Rodopar 108'!$J:$J,'Doc''s Pagos | Rodopar 108'!$A:$A,$B131&amp;$E131&amp;$F131&amp;$J131,'Doc''s Pagos | Rodopar 108'!$B:$B,T$1)+SUMIFS('Doc Há Pagar | Rodopar 1015'!$J:$J,'Doc Há Pagar | Rodopar 1015'!$A:$A,$B131&amp;$E131&amp;$F131,'Doc Há Pagar | Rodopar 1015'!$B:$B,T$1)</f>
        <v>0</v>
      </c>
      <c r="U131" s="20">
        <f>SUMIFS('Doc''s Pagos | Rodopar 108'!$J:$J,'Doc''s Pagos | Rodopar 108'!$A:$A,$B131&amp;$E131&amp;$F131&amp;$J131,'Doc''s Pagos | Rodopar 108'!$B:$B,U$1)+SUMIFS('Doc Há Pagar | Rodopar 1015'!$J:$J,'Doc Há Pagar | Rodopar 1015'!$A:$A,$B131&amp;$E131&amp;$F131,'Doc Há Pagar | Rodopar 1015'!$B:$B,U$1)</f>
        <v>0</v>
      </c>
      <c r="V131" s="20">
        <f>SUMIFS('Doc''s Pagos | Rodopar 108'!$J:$J,'Doc''s Pagos | Rodopar 108'!$A:$A,$B131&amp;$E131&amp;$F131&amp;$J131,'Doc''s Pagos | Rodopar 108'!$B:$B,V$1)+SUMIFS('Doc Há Pagar | Rodopar 1015'!$J:$J,'Doc Há Pagar | Rodopar 1015'!$A:$A,$B131&amp;$E131&amp;$F131,'Doc Há Pagar | Rodopar 1015'!$B:$B,V$1)</f>
        <v>0</v>
      </c>
      <c r="W131" s="20">
        <f>SUMIFS('Doc''s Pagos | Rodopar 108'!$J:$J,'Doc''s Pagos | Rodopar 108'!$A:$A,$B131&amp;$E131&amp;$F131&amp;$J131,'Doc''s Pagos | Rodopar 108'!$B:$B,W$1)+SUMIFS('Doc Há Pagar | Rodopar 1015'!$J:$J,'Doc Há Pagar | Rodopar 1015'!$A:$A,$B131&amp;$E131&amp;$F131,'Doc Há Pagar | Rodopar 1015'!$B:$B,W$1)</f>
        <v>6170</v>
      </c>
      <c r="X131" s="20">
        <f>SUMIFS('Doc''s Pagos | Rodopar 108'!$J:$J,'Doc''s Pagos | Rodopar 108'!$A:$A,$B131&amp;$E131&amp;$F131&amp;$J131,'Doc''s Pagos | Rodopar 108'!$B:$B,X$1)+SUMIFS('Doc Há Pagar | Rodopar 1015'!$J:$J,'Doc Há Pagar | Rodopar 1015'!$A:$A,$B131&amp;$E131&amp;$F131,'Doc Há Pagar | Rodopar 1015'!$B:$B,X$1)</f>
        <v>0</v>
      </c>
      <c r="Y131" s="20">
        <f>SUMIFS('Doc''s Pagos | Rodopar 108'!$J:$J,'Doc''s Pagos | Rodopar 108'!$A:$A,$B131&amp;$E131&amp;$F131&amp;$J131,'Doc''s Pagos | Rodopar 108'!$B:$B,Y$1)+SUMIFS('Doc Há Pagar | Rodopar 1015'!$J:$J,'Doc Há Pagar | Rodopar 1015'!$A:$A,$B131&amp;$E131&amp;$F131,'Doc Há Pagar | Rodopar 1015'!$B:$B,Y$1)</f>
        <v>0</v>
      </c>
      <c r="Z131" s="20">
        <f>SUMIFS('Doc''s Pagos | Rodopar 108'!$J:$J,'Doc''s Pagos | Rodopar 108'!$A:$A,$B131&amp;$E131&amp;$F131&amp;$J131,'Doc''s Pagos | Rodopar 108'!$B:$B,Z$1)+SUMIFS('Doc Há Pagar | Rodopar 1015'!$J:$J,'Doc Há Pagar | Rodopar 1015'!$A:$A,$B131&amp;$E131&amp;$F131,'Doc Há Pagar | Rodopar 1015'!$B:$B,Z$1)</f>
        <v>0</v>
      </c>
      <c r="AA131" s="20">
        <f>SUMIFS('Doc''s Pagos | Rodopar 108'!$J:$J,'Doc''s Pagos | Rodopar 108'!$A:$A,$B131&amp;$E131&amp;$F131&amp;$J131,'Doc''s Pagos | Rodopar 108'!$B:$B,AA$1)+SUMIFS('Doc Há Pagar | Rodopar 1015'!$J:$J,'Doc Há Pagar | Rodopar 1015'!$A:$A,$B131&amp;$E131&amp;$F131,'Doc Há Pagar | Rodopar 1015'!$B:$B,AA$1)</f>
        <v>0</v>
      </c>
      <c r="AB131" s="20">
        <f>SUMIFS('Doc''s Pagos | Rodopar 108'!$J:$J,'Doc''s Pagos | Rodopar 108'!$A:$A,$B131&amp;$E131&amp;$F131&amp;$J131,'Doc''s Pagos | Rodopar 108'!$B:$B,AB$1)+SUMIFS('Doc Há Pagar | Rodopar 1015'!$J:$J,'Doc Há Pagar | Rodopar 1015'!$A:$A,$B131&amp;$E131&amp;$F131,'Doc Há Pagar | Rodopar 1015'!$B:$B,AB$1)</f>
        <v>0</v>
      </c>
      <c r="AC131" s="20">
        <f>SUMIFS('Doc''s Pagos | Rodopar 108'!$J:$J,'Doc''s Pagos | Rodopar 108'!$A:$A,$B131&amp;$E131&amp;$F131&amp;$J131,'Doc''s Pagos | Rodopar 108'!$B:$B,AC$1)+SUMIFS('Doc Há Pagar | Rodopar 1015'!$J:$J,'Doc Há Pagar | Rodopar 1015'!$A:$A,$B131&amp;$E131&amp;$F131,'Doc Há Pagar | Rodopar 1015'!$B:$B,AC$1)</f>
        <v>0</v>
      </c>
      <c r="AD131" s="20">
        <f>SUMIFS('Doc''s Pagos | Rodopar 108'!$J:$J,'Doc''s Pagos | Rodopar 108'!$A:$A,$B131&amp;$E131&amp;$F131&amp;$J131,'Doc''s Pagos | Rodopar 108'!$B:$B,AD$1)+SUMIFS('Doc Há Pagar | Rodopar 1015'!$J:$J,'Doc Há Pagar | Rodopar 1015'!$A:$A,$B131&amp;$E131&amp;$F131,'Doc Há Pagar | Rodopar 1015'!$B:$B,AD$1)</f>
        <v>0</v>
      </c>
    </row>
    <row r="132" spans="1:30" x14ac:dyDescent="0.25">
      <c r="A132" s="1" t="str">
        <f>VLOOKUP($E132,Fornecedores!$A:$C,3,0)</f>
        <v>Frota</v>
      </c>
      <c r="B132" s="14" t="s">
        <v>286</v>
      </c>
      <c r="C132" s="14" t="str">
        <f>IFERROR(VLOOKUP($E132,Fornecedores!$A:$E,4,0),"")</f>
        <v>OPE Merchandising</v>
      </c>
      <c r="D132" s="14" t="str">
        <f>IFERROR(VLOOKUP($E132,Fornecedores!$A:$E,5,0),"")</f>
        <v>Locação</v>
      </c>
      <c r="E132" s="8" t="s">
        <v>280</v>
      </c>
      <c r="F132" s="14" t="s">
        <v>232</v>
      </c>
      <c r="G132" s="8" t="s">
        <v>281</v>
      </c>
      <c r="H132" s="9">
        <v>87</v>
      </c>
      <c r="I132" s="21">
        <v>209.08</v>
      </c>
      <c r="J132" s="11">
        <v>46114</v>
      </c>
      <c r="K132" s="11">
        <v>46120</v>
      </c>
      <c r="L132" s="8" t="s">
        <v>282</v>
      </c>
      <c r="M132" s="14" t="s">
        <v>234</v>
      </c>
      <c r="N132" s="16">
        <v>1556</v>
      </c>
      <c r="O132" s="14" t="s">
        <v>241</v>
      </c>
      <c r="P132" s="14"/>
      <c r="Q132" s="20">
        <f t="shared" si="2"/>
        <v>0</v>
      </c>
      <c r="S132" s="20">
        <f>SUMIFS('Doc''s Pagos | Rodopar 108'!$J:$J,'Doc''s Pagos | Rodopar 108'!$A:$A,$B132&amp;$E132&amp;$F132&amp;$J132,'Doc''s Pagos | Rodopar 108'!$B:$B,S$1)+SUMIFS('Doc Há Pagar | Rodopar 1015'!$J:$J,'Doc Há Pagar | Rodopar 1015'!$A:$A,$B132&amp;$E132&amp;$F132,'Doc Há Pagar | Rodopar 1015'!$B:$B,S$1)</f>
        <v>0</v>
      </c>
      <c r="T132" s="20">
        <f>SUMIFS('Doc''s Pagos | Rodopar 108'!$J:$J,'Doc''s Pagos | Rodopar 108'!$A:$A,$B132&amp;$E132&amp;$F132&amp;$J132,'Doc''s Pagos | Rodopar 108'!$B:$B,T$1)+SUMIFS('Doc Há Pagar | Rodopar 1015'!$J:$J,'Doc Há Pagar | Rodopar 1015'!$A:$A,$B132&amp;$E132&amp;$F132,'Doc Há Pagar | Rodopar 1015'!$B:$B,T$1)</f>
        <v>0</v>
      </c>
      <c r="U132" s="20">
        <f>SUMIFS('Doc''s Pagos | Rodopar 108'!$J:$J,'Doc''s Pagos | Rodopar 108'!$A:$A,$B132&amp;$E132&amp;$F132&amp;$J132,'Doc''s Pagos | Rodopar 108'!$B:$B,U$1)+SUMIFS('Doc Há Pagar | Rodopar 1015'!$J:$J,'Doc Há Pagar | Rodopar 1015'!$A:$A,$B132&amp;$E132&amp;$F132,'Doc Há Pagar | Rodopar 1015'!$B:$B,U$1)</f>
        <v>0</v>
      </c>
      <c r="V132" s="20">
        <f>SUMIFS('Doc''s Pagos | Rodopar 108'!$J:$J,'Doc''s Pagos | Rodopar 108'!$A:$A,$B132&amp;$E132&amp;$F132&amp;$J132,'Doc''s Pagos | Rodopar 108'!$B:$B,V$1)+SUMIFS('Doc Há Pagar | Rodopar 1015'!$J:$J,'Doc Há Pagar | Rodopar 1015'!$A:$A,$B132&amp;$E132&amp;$F132,'Doc Há Pagar | Rodopar 1015'!$B:$B,V$1)</f>
        <v>209.08</v>
      </c>
      <c r="W132" s="20">
        <f>SUMIFS('Doc''s Pagos | Rodopar 108'!$J:$J,'Doc''s Pagos | Rodopar 108'!$A:$A,$B132&amp;$E132&amp;$F132&amp;$J132,'Doc''s Pagos | Rodopar 108'!$B:$B,W$1)+SUMIFS('Doc Há Pagar | Rodopar 1015'!$J:$J,'Doc Há Pagar | Rodopar 1015'!$A:$A,$B132&amp;$E132&amp;$F132,'Doc Há Pagar | Rodopar 1015'!$B:$B,W$1)</f>
        <v>0</v>
      </c>
      <c r="X132" s="20">
        <f>SUMIFS('Doc''s Pagos | Rodopar 108'!$J:$J,'Doc''s Pagos | Rodopar 108'!$A:$A,$B132&amp;$E132&amp;$F132&amp;$J132,'Doc''s Pagos | Rodopar 108'!$B:$B,X$1)+SUMIFS('Doc Há Pagar | Rodopar 1015'!$J:$J,'Doc Há Pagar | Rodopar 1015'!$A:$A,$B132&amp;$E132&amp;$F132,'Doc Há Pagar | Rodopar 1015'!$B:$B,X$1)</f>
        <v>0</v>
      </c>
      <c r="Y132" s="20">
        <f>SUMIFS('Doc''s Pagos | Rodopar 108'!$J:$J,'Doc''s Pagos | Rodopar 108'!$A:$A,$B132&amp;$E132&amp;$F132&amp;$J132,'Doc''s Pagos | Rodopar 108'!$B:$B,Y$1)+SUMIFS('Doc Há Pagar | Rodopar 1015'!$J:$J,'Doc Há Pagar | Rodopar 1015'!$A:$A,$B132&amp;$E132&amp;$F132,'Doc Há Pagar | Rodopar 1015'!$B:$B,Y$1)</f>
        <v>0</v>
      </c>
      <c r="Z132" s="20">
        <f>SUMIFS('Doc''s Pagos | Rodopar 108'!$J:$J,'Doc''s Pagos | Rodopar 108'!$A:$A,$B132&amp;$E132&amp;$F132&amp;$J132,'Doc''s Pagos | Rodopar 108'!$B:$B,Z$1)+SUMIFS('Doc Há Pagar | Rodopar 1015'!$J:$J,'Doc Há Pagar | Rodopar 1015'!$A:$A,$B132&amp;$E132&amp;$F132,'Doc Há Pagar | Rodopar 1015'!$B:$B,Z$1)</f>
        <v>0</v>
      </c>
      <c r="AA132" s="20">
        <f>SUMIFS('Doc''s Pagos | Rodopar 108'!$J:$J,'Doc''s Pagos | Rodopar 108'!$A:$A,$B132&amp;$E132&amp;$F132&amp;$J132,'Doc''s Pagos | Rodopar 108'!$B:$B,AA$1)+SUMIFS('Doc Há Pagar | Rodopar 1015'!$J:$J,'Doc Há Pagar | Rodopar 1015'!$A:$A,$B132&amp;$E132&amp;$F132,'Doc Há Pagar | Rodopar 1015'!$B:$B,AA$1)</f>
        <v>0</v>
      </c>
      <c r="AB132" s="20">
        <f>SUMIFS('Doc''s Pagos | Rodopar 108'!$J:$J,'Doc''s Pagos | Rodopar 108'!$A:$A,$B132&amp;$E132&amp;$F132&amp;$J132,'Doc''s Pagos | Rodopar 108'!$B:$B,AB$1)+SUMIFS('Doc Há Pagar | Rodopar 1015'!$J:$J,'Doc Há Pagar | Rodopar 1015'!$A:$A,$B132&amp;$E132&amp;$F132,'Doc Há Pagar | Rodopar 1015'!$B:$B,AB$1)</f>
        <v>0</v>
      </c>
      <c r="AC132" s="20">
        <f>SUMIFS('Doc''s Pagos | Rodopar 108'!$J:$J,'Doc''s Pagos | Rodopar 108'!$A:$A,$B132&amp;$E132&amp;$F132&amp;$J132,'Doc''s Pagos | Rodopar 108'!$B:$B,AC$1)+SUMIFS('Doc Há Pagar | Rodopar 1015'!$J:$J,'Doc Há Pagar | Rodopar 1015'!$A:$A,$B132&amp;$E132&amp;$F132,'Doc Há Pagar | Rodopar 1015'!$B:$B,AC$1)</f>
        <v>0</v>
      </c>
      <c r="AD132" s="20">
        <f>SUMIFS('Doc''s Pagos | Rodopar 108'!$J:$J,'Doc''s Pagos | Rodopar 108'!$A:$A,$B132&amp;$E132&amp;$F132&amp;$J132,'Doc''s Pagos | Rodopar 108'!$B:$B,AD$1)+SUMIFS('Doc Há Pagar | Rodopar 1015'!$J:$J,'Doc Há Pagar | Rodopar 1015'!$A:$A,$B132&amp;$E132&amp;$F132,'Doc Há Pagar | Rodopar 1015'!$B:$B,AD$1)</f>
        <v>0</v>
      </c>
    </row>
    <row r="133" spans="1:30" x14ac:dyDescent="0.25">
      <c r="A133" s="1" t="str">
        <f>VLOOKUP($E133,Fornecedores!$A:$C,3,0)</f>
        <v>Frota</v>
      </c>
      <c r="B133" s="14" t="s">
        <v>287</v>
      </c>
      <c r="C133" s="14" t="str">
        <f>IFERROR(VLOOKUP($E133,Fornecedores!$A:$E,4,0),"")</f>
        <v>OPE Merchandising</v>
      </c>
      <c r="D133" s="14" t="str">
        <f>IFERROR(VLOOKUP($E133,Fornecedores!$A:$E,5,0),"")</f>
        <v>Locação</v>
      </c>
      <c r="E133" s="8" t="s">
        <v>280</v>
      </c>
      <c r="F133" s="14" t="s">
        <v>232</v>
      </c>
      <c r="G133" s="8" t="s">
        <v>281</v>
      </c>
      <c r="H133" s="9">
        <v>87</v>
      </c>
      <c r="I133" s="21">
        <v>287.42</v>
      </c>
      <c r="J133" s="11">
        <v>46114</v>
      </c>
      <c r="K133" s="11">
        <v>46120</v>
      </c>
      <c r="L133" s="8" t="s">
        <v>282</v>
      </c>
      <c r="M133" s="14" t="s">
        <v>234</v>
      </c>
      <c r="N133" s="16">
        <v>1556</v>
      </c>
      <c r="O133" s="14" t="s">
        <v>241</v>
      </c>
      <c r="P133" s="14"/>
      <c r="Q133" s="20">
        <f t="shared" si="2"/>
        <v>0</v>
      </c>
      <c r="S133" s="20">
        <f>SUMIFS('Doc''s Pagos | Rodopar 108'!$J:$J,'Doc''s Pagos | Rodopar 108'!$A:$A,$B133&amp;$E133&amp;$F133&amp;$J133,'Doc''s Pagos | Rodopar 108'!$B:$B,S$1)+SUMIFS('Doc Há Pagar | Rodopar 1015'!$J:$J,'Doc Há Pagar | Rodopar 1015'!$A:$A,$B133&amp;$E133&amp;$F133,'Doc Há Pagar | Rodopar 1015'!$B:$B,S$1)</f>
        <v>0</v>
      </c>
      <c r="T133" s="20">
        <f>SUMIFS('Doc''s Pagos | Rodopar 108'!$J:$J,'Doc''s Pagos | Rodopar 108'!$A:$A,$B133&amp;$E133&amp;$F133&amp;$J133,'Doc''s Pagos | Rodopar 108'!$B:$B,T$1)+SUMIFS('Doc Há Pagar | Rodopar 1015'!$J:$J,'Doc Há Pagar | Rodopar 1015'!$A:$A,$B133&amp;$E133&amp;$F133,'Doc Há Pagar | Rodopar 1015'!$B:$B,T$1)</f>
        <v>0</v>
      </c>
      <c r="U133" s="20">
        <f>SUMIFS('Doc''s Pagos | Rodopar 108'!$J:$J,'Doc''s Pagos | Rodopar 108'!$A:$A,$B133&amp;$E133&amp;$F133&amp;$J133,'Doc''s Pagos | Rodopar 108'!$B:$B,U$1)+SUMIFS('Doc Há Pagar | Rodopar 1015'!$J:$J,'Doc Há Pagar | Rodopar 1015'!$A:$A,$B133&amp;$E133&amp;$F133,'Doc Há Pagar | Rodopar 1015'!$B:$B,U$1)</f>
        <v>0</v>
      </c>
      <c r="V133" s="20">
        <f>SUMIFS('Doc''s Pagos | Rodopar 108'!$J:$J,'Doc''s Pagos | Rodopar 108'!$A:$A,$B133&amp;$E133&amp;$F133&amp;$J133,'Doc''s Pagos | Rodopar 108'!$B:$B,V$1)+SUMIFS('Doc Há Pagar | Rodopar 1015'!$J:$J,'Doc Há Pagar | Rodopar 1015'!$A:$A,$B133&amp;$E133&amp;$F133,'Doc Há Pagar | Rodopar 1015'!$B:$B,V$1)</f>
        <v>287.42</v>
      </c>
      <c r="W133" s="20">
        <f>SUMIFS('Doc''s Pagos | Rodopar 108'!$J:$J,'Doc''s Pagos | Rodopar 108'!$A:$A,$B133&amp;$E133&amp;$F133&amp;$J133,'Doc''s Pagos | Rodopar 108'!$B:$B,W$1)+SUMIFS('Doc Há Pagar | Rodopar 1015'!$J:$J,'Doc Há Pagar | Rodopar 1015'!$A:$A,$B133&amp;$E133&amp;$F133,'Doc Há Pagar | Rodopar 1015'!$B:$B,W$1)</f>
        <v>0</v>
      </c>
      <c r="X133" s="20">
        <f>SUMIFS('Doc''s Pagos | Rodopar 108'!$J:$J,'Doc''s Pagos | Rodopar 108'!$A:$A,$B133&amp;$E133&amp;$F133&amp;$J133,'Doc''s Pagos | Rodopar 108'!$B:$B,X$1)+SUMIFS('Doc Há Pagar | Rodopar 1015'!$J:$J,'Doc Há Pagar | Rodopar 1015'!$A:$A,$B133&amp;$E133&amp;$F133,'Doc Há Pagar | Rodopar 1015'!$B:$B,X$1)</f>
        <v>0</v>
      </c>
      <c r="Y133" s="20">
        <f>SUMIFS('Doc''s Pagos | Rodopar 108'!$J:$J,'Doc''s Pagos | Rodopar 108'!$A:$A,$B133&amp;$E133&amp;$F133&amp;$J133,'Doc''s Pagos | Rodopar 108'!$B:$B,Y$1)+SUMIFS('Doc Há Pagar | Rodopar 1015'!$J:$J,'Doc Há Pagar | Rodopar 1015'!$A:$A,$B133&amp;$E133&amp;$F133,'Doc Há Pagar | Rodopar 1015'!$B:$B,Y$1)</f>
        <v>0</v>
      </c>
      <c r="Z133" s="20">
        <f>SUMIFS('Doc''s Pagos | Rodopar 108'!$J:$J,'Doc''s Pagos | Rodopar 108'!$A:$A,$B133&amp;$E133&amp;$F133&amp;$J133,'Doc''s Pagos | Rodopar 108'!$B:$B,Z$1)+SUMIFS('Doc Há Pagar | Rodopar 1015'!$J:$J,'Doc Há Pagar | Rodopar 1015'!$A:$A,$B133&amp;$E133&amp;$F133,'Doc Há Pagar | Rodopar 1015'!$B:$B,Z$1)</f>
        <v>0</v>
      </c>
      <c r="AA133" s="20">
        <f>SUMIFS('Doc''s Pagos | Rodopar 108'!$J:$J,'Doc''s Pagos | Rodopar 108'!$A:$A,$B133&amp;$E133&amp;$F133&amp;$J133,'Doc''s Pagos | Rodopar 108'!$B:$B,AA$1)+SUMIFS('Doc Há Pagar | Rodopar 1015'!$J:$J,'Doc Há Pagar | Rodopar 1015'!$A:$A,$B133&amp;$E133&amp;$F133,'Doc Há Pagar | Rodopar 1015'!$B:$B,AA$1)</f>
        <v>0</v>
      </c>
      <c r="AB133" s="20">
        <f>SUMIFS('Doc''s Pagos | Rodopar 108'!$J:$J,'Doc''s Pagos | Rodopar 108'!$A:$A,$B133&amp;$E133&amp;$F133&amp;$J133,'Doc''s Pagos | Rodopar 108'!$B:$B,AB$1)+SUMIFS('Doc Há Pagar | Rodopar 1015'!$J:$J,'Doc Há Pagar | Rodopar 1015'!$A:$A,$B133&amp;$E133&amp;$F133,'Doc Há Pagar | Rodopar 1015'!$B:$B,AB$1)</f>
        <v>0</v>
      </c>
      <c r="AC133" s="20">
        <f>SUMIFS('Doc''s Pagos | Rodopar 108'!$J:$J,'Doc''s Pagos | Rodopar 108'!$A:$A,$B133&amp;$E133&amp;$F133&amp;$J133,'Doc''s Pagos | Rodopar 108'!$B:$B,AC$1)+SUMIFS('Doc Há Pagar | Rodopar 1015'!$J:$J,'Doc Há Pagar | Rodopar 1015'!$A:$A,$B133&amp;$E133&amp;$F133,'Doc Há Pagar | Rodopar 1015'!$B:$B,AC$1)</f>
        <v>0</v>
      </c>
      <c r="AD133" s="20">
        <f>SUMIFS('Doc''s Pagos | Rodopar 108'!$J:$J,'Doc''s Pagos | Rodopar 108'!$A:$A,$B133&amp;$E133&amp;$F133&amp;$J133,'Doc''s Pagos | Rodopar 108'!$B:$B,AD$1)+SUMIFS('Doc Há Pagar | Rodopar 1015'!$J:$J,'Doc Há Pagar | Rodopar 1015'!$A:$A,$B133&amp;$E133&amp;$F133,'Doc Há Pagar | Rodopar 1015'!$B:$B,AD$1)</f>
        <v>0</v>
      </c>
    </row>
    <row r="134" spans="1:30" x14ac:dyDescent="0.25">
      <c r="A134" s="1" t="str">
        <f>VLOOKUP($E134,Fornecedores!$A:$C,3,0)</f>
        <v>Frota</v>
      </c>
      <c r="B134" s="14">
        <v>1007751</v>
      </c>
      <c r="C134" s="14" t="str">
        <f>IFERROR(VLOOKUP($E134,Fornecedores!$A:$E,4,0),"")</f>
        <v>Manutenção</v>
      </c>
      <c r="D134" s="14" t="str">
        <f>IFERROR(VLOOKUP($E134,Fornecedores!$A:$E,5,0),"")</f>
        <v>Caminhão</v>
      </c>
      <c r="E134" s="8" t="s">
        <v>190</v>
      </c>
      <c r="F134" s="14" t="s">
        <v>380</v>
      </c>
      <c r="G134" s="8" t="s">
        <v>381</v>
      </c>
      <c r="H134" s="9">
        <v>87</v>
      </c>
      <c r="I134" s="21">
        <v>16700.919999999998</v>
      </c>
      <c r="J134" s="11">
        <v>46114</v>
      </c>
      <c r="K134" s="11">
        <v>46120</v>
      </c>
      <c r="L134" s="8" t="s">
        <v>382</v>
      </c>
      <c r="M134" s="14" t="s">
        <v>234</v>
      </c>
      <c r="N134" s="16">
        <v>1556</v>
      </c>
      <c r="O134" s="14" t="s">
        <v>241</v>
      </c>
      <c r="P134" s="14"/>
      <c r="Q134" s="20">
        <f t="shared" si="2"/>
        <v>0</v>
      </c>
      <c r="S134" s="20">
        <f>SUMIFS('Doc''s Pagos | Rodopar 108'!$J:$J,'Doc''s Pagos | Rodopar 108'!$A:$A,$B134&amp;$E134&amp;$F134&amp;$J134,'Doc''s Pagos | Rodopar 108'!$B:$B,S$1)+SUMIFS('Doc Há Pagar | Rodopar 1015'!$J:$J,'Doc Há Pagar | Rodopar 1015'!$A:$A,$B134&amp;$E134&amp;$F134,'Doc Há Pagar | Rodopar 1015'!$B:$B,S$1)</f>
        <v>0</v>
      </c>
      <c r="T134" s="20">
        <f>SUMIFS('Doc''s Pagos | Rodopar 108'!$J:$J,'Doc''s Pagos | Rodopar 108'!$A:$A,$B134&amp;$E134&amp;$F134&amp;$J134,'Doc''s Pagos | Rodopar 108'!$B:$B,T$1)+SUMIFS('Doc Há Pagar | Rodopar 1015'!$J:$J,'Doc Há Pagar | Rodopar 1015'!$A:$A,$B134&amp;$E134&amp;$F134,'Doc Há Pagar | Rodopar 1015'!$B:$B,T$1)</f>
        <v>0</v>
      </c>
      <c r="U134" s="20">
        <f>SUMIFS('Doc''s Pagos | Rodopar 108'!$J:$J,'Doc''s Pagos | Rodopar 108'!$A:$A,$B134&amp;$E134&amp;$F134&amp;$J134,'Doc''s Pagos | Rodopar 108'!$B:$B,U$1)+SUMIFS('Doc Há Pagar | Rodopar 1015'!$J:$J,'Doc Há Pagar | Rodopar 1015'!$A:$A,$B134&amp;$E134&amp;$F134,'Doc Há Pagar | Rodopar 1015'!$B:$B,U$1)</f>
        <v>0</v>
      </c>
      <c r="V134" s="20">
        <f>SUMIFS('Doc''s Pagos | Rodopar 108'!$J:$J,'Doc''s Pagos | Rodopar 108'!$A:$A,$B134&amp;$E134&amp;$F134&amp;$J134,'Doc''s Pagos | Rodopar 108'!$B:$B,V$1)+SUMIFS('Doc Há Pagar | Rodopar 1015'!$J:$J,'Doc Há Pagar | Rodopar 1015'!$A:$A,$B134&amp;$E134&amp;$F134,'Doc Há Pagar | Rodopar 1015'!$B:$B,V$1)</f>
        <v>5566.97</v>
      </c>
      <c r="W134" s="20">
        <f>SUMIFS('Doc''s Pagos | Rodopar 108'!$J:$J,'Doc''s Pagos | Rodopar 108'!$A:$A,$B134&amp;$E134&amp;$F134&amp;$J134,'Doc''s Pagos | Rodopar 108'!$B:$B,W$1)+SUMIFS('Doc Há Pagar | Rodopar 1015'!$J:$J,'Doc Há Pagar | Rodopar 1015'!$A:$A,$B134&amp;$E134&amp;$F134,'Doc Há Pagar | Rodopar 1015'!$B:$B,W$1)</f>
        <v>5566.97</v>
      </c>
      <c r="X134" s="20">
        <f>SUMIFS('Doc''s Pagos | Rodopar 108'!$J:$J,'Doc''s Pagos | Rodopar 108'!$A:$A,$B134&amp;$E134&amp;$F134&amp;$J134,'Doc''s Pagos | Rodopar 108'!$B:$B,X$1)+SUMIFS('Doc Há Pagar | Rodopar 1015'!$J:$J,'Doc Há Pagar | Rodopar 1015'!$A:$A,$B134&amp;$E134&amp;$F134,'Doc Há Pagar | Rodopar 1015'!$B:$B,X$1)</f>
        <v>5566.98</v>
      </c>
      <c r="Y134" s="20">
        <f>SUMIFS('Doc''s Pagos | Rodopar 108'!$J:$J,'Doc''s Pagos | Rodopar 108'!$A:$A,$B134&amp;$E134&amp;$F134&amp;$J134,'Doc''s Pagos | Rodopar 108'!$B:$B,Y$1)+SUMIFS('Doc Há Pagar | Rodopar 1015'!$J:$J,'Doc Há Pagar | Rodopar 1015'!$A:$A,$B134&amp;$E134&amp;$F134,'Doc Há Pagar | Rodopar 1015'!$B:$B,Y$1)</f>
        <v>0</v>
      </c>
      <c r="Z134" s="20">
        <f>SUMIFS('Doc''s Pagos | Rodopar 108'!$J:$J,'Doc''s Pagos | Rodopar 108'!$A:$A,$B134&amp;$E134&amp;$F134&amp;$J134,'Doc''s Pagos | Rodopar 108'!$B:$B,Z$1)+SUMIFS('Doc Há Pagar | Rodopar 1015'!$J:$J,'Doc Há Pagar | Rodopar 1015'!$A:$A,$B134&amp;$E134&amp;$F134,'Doc Há Pagar | Rodopar 1015'!$B:$B,Z$1)</f>
        <v>0</v>
      </c>
      <c r="AA134" s="20">
        <f>SUMIFS('Doc''s Pagos | Rodopar 108'!$J:$J,'Doc''s Pagos | Rodopar 108'!$A:$A,$B134&amp;$E134&amp;$F134&amp;$J134,'Doc''s Pagos | Rodopar 108'!$B:$B,AA$1)+SUMIFS('Doc Há Pagar | Rodopar 1015'!$J:$J,'Doc Há Pagar | Rodopar 1015'!$A:$A,$B134&amp;$E134&amp;$F134,'Doc Há Pagar | Rodopar 1015'!$B:$B,AA$1)</f>
        <v>0</v>
      </c>
      <c r="AB134" s="20">
        <f>SUMIFS('Doc''s Pagos | Rodopar 108'!$J:$J,'Doc''s Pagos | Rodopar 108'!$A:$A,$B134&amp;$E134&amp;$F134&amp;$J134,'Doc''s Pagos | Rodopar 108'!$B:$B,AB$1)+SUMIFS('Doc Há Pagar | Rodopar 1015'!$J:$J,'Doc Há Pagar | Rodopar 1015'!$A:$A,$B134&amp;$E134&amp;$F134,'Doc Há Pagar | Rodopar 1015'!$B:$B,AB$1)</f>
        <v>0</v>
      </c>
      <c r="AC134" s="20">
        <f>SUMIFS('Doc''s Pagos | Rodopar 108'!$J:$J,'Doc''s Pagos | Rodopar 108'!$A:$A,$B134&amp;$E134&amp;$F134&amp;$J134,'Doc''s Pagos | Rodopar 108'!$B:$B,AC$1)+SUMIFS('Doc Há Pagar | Rodopar 1015'!$J:$J,'Doc Há Pagar | Rodopar 1015'!$A:$A,$B134&amp;$E134&amp;$F134,'Doc Há Pagar | Rodopar 1015'!$B:$B,AC$1)</f>
        <v>0</v>
      </c>
      <c r="AD134" s="20">
        <f>SUMIFS('Doc''s Pagos | Rodopar 108'!$J:$J,'Doc''s Pagos | Rodopar 108'!$A:$A,$B134&amp;$E134&amp;$F134&amp;$J134,'Doc''s Pagos | Rodopar 108'!$B:$B,AD$1)+SUMIFS('Doc Há Pagar | Rodopar 1015'!$J:$J,'Doc Há Pagar | Rodopar 1015'!$A:$A,$B134&amp;$E134&amp;$F134,'Doc Há Pagar | Rodopar 1015'!$B:$B,AD$1)</f>
        <v>0</v>
      </c>
    </row>
    <row r="135" spans="1:30" x14ac:dyDescent="0.25">
      <c r="A135" s="1" t="str">
        <f>VLOOKUP($E135,Fornecedores!$A:$C,3,0)</f>
        <v>Frota</v>
      </c>
      <c r="B135" s="14">
        <v>2762</v>
      </c>
      <c r="C135" s="14" t="str">
        <f>IFERROR(VLOOKUP($E135,Fornecedores!$A:$E,4,0),"")</f>
        <v>Manutenção</v>
      </c>
      <c r="D135" s="14" t="str">
        <f>IFERROR(VLOOKUP($E135,Fornecedores!$A:$E,5,0),"")</f>
        <v>Frota Leve OPE</v>
      </c>
      <c r="E135" s="8" t="s">
        <v>125</v>
      </c>
      <c r="F135" s="14" t="s">
        <v>380</v>
      </c>
      <c r="G135" s="8" t="s">
        <v>467</v>
      </c>
      <c r="H135" s="9">
        <v>87</v>
      </c>
      <c r="I135" s="21">
        <v>359.5</v>
      </c>
      <c r="J135" s="11">
        <v>46114</v>
      </c>
      <c r="K135" s="11">
        <v>46120</v>
      </c>
      <c r="L135" s="8" t="s">
        <v>282</v>
      </c>
      <c r="M135" s="14" t="s">
        <v>234</v>
      </c>
      <c r="N135" s="16">
        <v>1556</v>
      </c>
      <c r="O135" s="14" t="s">
        <v>241</v>
      </c>
      <c r="P135" s="14"/>
      <c r="Q135" s="20">
        <f t="shared" si="2"/>
        <v>0</v>
      </c>
      <c r="S135" s="20">
        <f>SUMIFS('Doc''s Pagos | Rodopar 108'!$J:$J,'Doc''s Pagos | Rodopar 108'!$A:$A,$B135&amp;$E135&amp;$F135&amp;$J135,'Doc''s Pagos | Rodopar 108'!$B:$B,S$1)+SUMIFS('Doc Há Pagar | Rodopar 1015'!$J:$J,'Doc Há Pagar | Rodopar 1015'!$A:$A,$B135&amp;$E135&amp;$F135,'Doc Há Pagar | Rodopar 1015'!$B:$B,S$1)</f>
        <v>0</v>
      </c>
      <c r="T135" s="20">
        <f>SUMIFS('Doc''s Pagos | Rodopar 108'!$J:$J,'Doc''s Pagos | Rodopar 108'!$A:$A,$B135&amp;$E135&amp;$F135&amp;$J135,'Doc''s Pagos | Rodopar 108'!$B:$B,T$1)+SUMIFS('Doc Há Pagar | Rodopar 1015'!$J:$J,'Doc Há Pagar | Rodopar 1015'!$A:$A,$B135&amp;$E135&amp;$F135,'Doc Há Pagar | Rodopar 1015'!$B:$B,T$1)</f>
        <v>0</v>
      </c>
      <c r="U135" s="20">
        <f>SUMIFS('Doc''s Pagos | Rodopar 108'!$J:$J,'Doc''s Pagos | Rodopar 108'!$A:$A,$B135&amp;$E135&amp;$F135&amp;$J135,'Doc''s Pagos | Rodopar 108'!$B:$B,U$1)+SUMIFS('Doc Há Pagar | Rodopar 1015'!$J:$J,'Doc Há Pagar | Rodopar 1015'!$A:$A,$B135&amp;$E135&amp;$F135,'Doc Há Pagar | Rodopar 1015'!$B:$B,U$1)</f>
        <v>0</v>
      </c>
      <c r="V135" s="20">
        <f>SUMIFS('Doc''s Pagos | Rodopar 108'!$J:$J,'Doc''s Pagos | Rodopar 108'!$A:$A,$B135&amp;$E135&amp;$F135&amp;$J135,'Doc''s Pagos | Rodopar 108'!$B:$B,V$1)+SUMIFS('Doc Há Pagar | Rodopar 1015'!$J:$J,'Doc Há Pagar | Rodopar 1015'!$A:$A,$B135&amp;$E135&amp;$F135,'Doc Há Pagar | Rodopar 1015'!$B:$B,V$1)</f>
        <v>0</v>
      </c>
      <c r="W135" s="20">
        <f>SUMIFS('Doc''s Pagos | Rodopar 108'!$J:$J,'Doc''s Pagos | Rodopar 108'!$A:$A,$B135&amp;$E135&amp;$F135&amp;$J135,'Doc''s Pagos | Rodopar 108'!$B:$B,W$1)+SUMIFS('Doc Há Pagar | Rodopar 1015'!$J:$J,'Doc Há Pagar | Rodopar 1015'!$A:$A,$B135&amp;$E135&amp;$F135,'Doc Há Pagar | Rodopar 1015'!$B:$B,W$1)</f>
        <v>359.5</v>
      </c>
      <c r="X135" s="20">
        <f>SUMIFS('Doc''s Pagos | Rodopar 108'!$J:$J,'Doc''s Pagos | Rodopar 108'!$A:$A,$B135&amp;$E135&amp;$F135&amp;$J135,'Doc''s Pagos | Rodopar 108'!$B:$B,X$1)+SUMIFS('Doc Há Pagar | Rodopar 1015'!$J:$J,'Doc Há Pagar | Rodopar 1015'!$A:$A,$B135&amp;$E135&amp;$F135,'Doc Há Pagar | Rodopar 1015'!$B:$B,X$1)</f>
        <v>0</v>
      </c>
      <c r="Y135" s="20">
        <f>SUMIFS('Doc''s Pagos | Rodopar 108'!$J:$J,'Doc''s Pagos | Rodopar 108'!$A:$A,$B135&amp;$E135&amp;$F135&amp;$J135,'Doc''s Pagos | Rodopar 108'!$B:$B,Y$1)+SUMIFS('Doc Há Pagar | Rodopar 1015'!$J:$J,'Doc Há Pagar | Rodopar 1015'!$A:$A,$B135&amp;$E135&amp;$F135,'Doc Há Pagar | Rodopar 1015'!$B:$B,Y$1)</f>
        <v>0</v>
      </c>
      <c r="Z135" s="20">
        <f>SUMIFS('Doc''s Pagos | Rodopar 108'!$J:$J,'Doc''s Pagos | Rodopar 108'!$A:$A,$B135&amp;$E135&amp;$F135&amp;$J135,'Doc''s Pagos | Rodopar 108'!$B:$B,Z$1)+SUMIFS('Doc Há Pagar | Rodopar 1015'!$J:$J,'Doc Há Pagar | Rodopar 1015'!$A:$A,$B135&amp;$E135&amp;$F135,'Doc Há Pagar | Rodopar 1015'!$B:$B,Z$1)</f>
        <v>0</v>
      </c>
      <c r="AA135" s="20">
        <f>SUMIFS('Doc''s Pagos | Rodopar 108'!$J:$J,'Doc''s Pagos | Rodopar 108'!$A:$A,$B135&amp;$E135&amp;$F135&amp;$J135,'Doc''s Pagos | Rodopar 108'!$B:$B,AA$1)+SUMIFS('Doc Há Pagar | Rodopar 1015'!$J:$J,'Doc Há Pagar | Rodopar 1015'!$A:$A,$B135&amp;$E135&amp;$F135,'Doc Há Pagar | Rodopar 1015'!$B:$B,AA$1)</f>
        <v>0</v>
      </c>
      <c r="AB135" s="20">
        <f>SUMIFS('Doc''s Pagos | Rodopar 108'!$J:$J,'Doc''s Pagos | Rodopar 108'!$A:$A,$B135&amp;$E135&amp;$F135&amp;$J135,'Doc''s Pagos | Rodopar 108'!$B:$B,AB$1)+SUMIFS('Doc Há Pagar | Rodopar 1015'!$J:$J,'Doc Há Pagar | Rodopar 1015'!$A:$A,$B135&amp;$E135&amp;$F135,'Doc Há Pagar | Rodopar 1015'!$B:$B,AB$1)</f>
        <v>0</v>
      </c>
      <c r="AC135" s="20">
        <f>SUMIFS('Doc''s Pagos | Rodopar 108'!$J:$J,'Doc''s Pagos | Rodopar 108'!$A:$A,$B135&amp;$E135&amp;$F135&amp;$J135,'Doc''s Pagos | Rodopar 108'!$B:$B,AC$1)+SUMIFS('Doc Há Pagar | Rodopar 1015'!$J:$J,'Doc Há Pagar | Rodopar 1015'!$A:$A,$B135&amp;$E135&amp;$F135,'Doc Há Pagar | Rodopar 1015'!$B:$B,AC$1)</f>
        <v>0</v>
      </c>
      <c r="AD135" s="20">
        <f>SUMIFS('Doc''s Pagos | Rodopar 108'!$J:$J,'Doc''s Pagos | Rodopar 108'!$A:$A,$B135&amp;$E135&amp;$F135&amp;$J135,'Doc''s Pagos | Rodopar 108'!$B:$B,AD$1)+SUMIFS('Doc Há Pagar | Rodopar 1015'!$J:$J,'Doc Há Pagar | Rodopar 1015'!$A:$A,$B135&amp;$E135&amp;$F135,'Doc Há Pagar | Rodopar 1015'!$B:$B,AD$1)</f>
        <v>0</v>
      </c>
    </row>
    <row r="136" spans="1:30" x14ac:dyDescent="0.25">
      <c r="A136" s="1" t="str">
        <f>VLOOKUP($E136,Fornecedores!$A:$C,3,0)</f>
        <v>Frota</v>
      </c>
      <c r="B136" s="14">
        <v>2763</v>
      </c>
      <c r="C136" s="14" t="str">
        <f>IFERROR(VLOOKUP($E136,Fornecedores!$A:$E,4,0),"")</f>
        <v>Manutenção</v>
      </c>
      <c r="D136" s="14" t="str">
        <f>IFERROR(VLOOKUP($E136,Fornecedores!$A:$E,5,0),"")</f>
        <v>Frota Leve OPE</v>
      </c>
      <c r="E136" s="8" t="s">
        <v>125</v>
      </c>
      <c r="F136" s="14" t="s">
        <v>380</v>
      </c>
      <c r="G136" s="8" t="s">
        <v>467</v>
      </c>
      <c r="H136" s="9">
        <v>87</v>
      </c>
      <c r="I136" s="21">
        <v>97</v>
      </c>
      <c r="J136" s="11">
        <v>46114</v>
      </c>
      <c r="K136" s="11">
        <v>46120</v>
      </c>
      <c r="L136" s="8" t="s">
        <v>282</v>
      </c>
      <c r="M136" s="14" t="s">
        <v>234</v>
      </c>
      <c r="N136" s="16">
        <v>1556</v>
      </c>
      <c r="O136" s="14" t="s">
        <v>241</v>
      </c>
      <c r="P136" s="14"/>
      <c r="Q136" s="20">
        <f t="shared" si="2"/>
        <v>0</v>
      </c>
      <c r="S136" s="20">
        <f>SUMIFS('Doc''s Pagos | Rodopar 108'!$J:$J,'Doc''s Pagos | Rodopar 108'!$A:$A,$B136&amp;$E136&amp;$F136&amp;$J136,'Doc''s Pagos | Rodopar 108'!$B:$B,S$1)+SUMIFS('Doc Há Pagar | Rodopar 1015'!$J:$J,'Doc Há Pagar | Rodopar 1015'!$A:$A,$B136&amp;$E136&amp;$F136,'Doc Há Pagar | Rodopar 1015'!$B:$B,S$1)</f>
        <v>0</v>
      </c>
      <c r="T136" s="20">
        <f>SUMIFS('Doc''s Pagos | Rodopar 108'!$J:$J,'Doc''s Pagos | Rodopar 108'!$A:$A,$B136&amp;$E136&amp;$F136&amp;$J136,'Doc''s Pagos | Rodopar 108'!$B:$B,T$1)+SUMIFS('Doc Há Pagar | Rodopar 1015'!$J:$J,'Doc Há Pagar | Rodopar 1015'!$A:$A,$B136&amp;$E136&amp;$F136,'Doc Há Pagar | Rodopar 1015'!$B:$B,T$1)</f>
        <v>0</v>
      </c>
      <c r="U136" s="20">
        <f>SUMIFS('Doc''s Pagos | Rodopar 108'!$J:$J,'Doc''s Pagos | Rodopar 108'!$A:$A,$B136&amp;$E136&amp;$F136&amp;$J136,'Doc''s Pagos | Rodopar 108'!$B:$B,U$1)+SUMIFS('Doc Há Pagar | Rodopar 1015'!$J:$J,'Doc Há Pagar | Rodopar 1015'!$A:$A,$B136&amp;$E136&amp;$F136,'Doc Há Pagar | Rodopar 1015'!$B:$B,U$1)</f>
        <v>0</v>
      </c>
      <c r="V136" s="20">
        <f>SUMIFS('Doc''s Pagos | Rodopar 108'!$J:$J,'Doc''s Pagos | Rodopar 108'!$A:$A,$B136&amp;$E136&amp;$F136&amp;$J136,'Doc''s Pagos | Rodopar 108'!$B:$B,V$1)+SUMIFS('Doc Há Pagar | Rodopar 1015'!$J:$J,'Doc Há Pagar | Rodopar 1015'!$A:$A,$B136&amp;$E136&amp;$F136,'Doc Há Pagar | Rodopar 1015'!$B:$B,V$1)</f>
        <v>0</v>
      </c>
      <c r="W136" s="20">
        <f>SUMIFS('Doc''s Pagos | Rodopar 108'!$J:$J,'Doc''s Pagos | Rodopar 108'!$A:$A,$B136&amp;$E136&amp;$F136&amp;$J136,'Doc''s Pagos | Rodopar 108'!$B:$B,W$1)+SUMIFS('Doc Há Pagar | Rodopar 1015'!$J:$J,'Doc Há Pagar | Rodopar 1015'!$A:$A,$B136&amp;$E136&amp;$F136,'Doc Há Pagar | Rodopar 1015'!$B:$B,W$1)</f>
        <v>97</v>
      </c>
      <c r="X136" s="20">
        <f>SUMIFS('Doc''s Pagos | Rodopar 108'!$J:$J,'Doc''s Pagos | Rodopar 108'!$A:$A,$B136&amp;$E136&amp;$F136&amp;$J136,'Doc''s Pagos | Rodopar 108'!$B:$B,X$1)+SUMIFS('Doc Há Pagar | Rodopar 1015'!$J:$J,'Doc Há Pagar | Rodopar 1015'!$A:$A,$B136&amp;$E136&amp;$F136,'Doc Há Pagar | Rodopar 1015'!$B:$B,X$1)</f>
        <v>0</v>
      </c>
      <c r="Y136" s="20">
        <f>SUMIFS('Doc''s Pagos | Rodopar 108'!$J:$J,'Doc''s Pagos | Rodopar 108'!$A:$A,$B136&amp;$E136&amp;$F136&amp;$J136,'Doc''s Pagos | Rodopar 108'!$B:$B,Y$1)+SUMIFS('Doc Há Pagar | Rodopar 1015'!$J:$J,'Doc Há Pagar | Rodopar 1015'!$A:$A,$B136&amp;$E136&amp;$F136,'Doc Há Pagar | Rodopar 1015'!$B:$B,Y$1)</f>
        <v>0</v>
      </c>
      <c r="Z136" s="20">
        <f>SUMIFS('Doc''s Pagos | Rodopar 108'!$J:$J,'Doc''s Pagos | Rodopar 108'!$A:$A,$B136&amp;$E136&amp;$F136&amp;$J136,'Doc''s Pagos | Rodopar 108'!$B:$B,Z$1)+SUMIFS('Doc Há Pagar | Rodopar 1015'!$J:$J,'Doc Há Pagar | Rodopar 1015'!$A:$A,$B136&amp;$E136&amp;$F136,'Doc Há Pagar | Rodopar 1015'!$B:$B,Z$1)</f>
        <v>0</v>
      </c>
      <c r="AA136" s="20">
        <f>SUMIFS('Doc''s Pagos | Rodopar 108'!$J:$J,'Doc''s Pagos | Rodopar 108'!$A:$A,$B136&amp;$E136&amp;$F136&amp;$J136,'Doc''s Pagos | Rodopar 108'!$B:$B,AA$1)+SUMIFS('Doc Há Pagar | Rodopar 1015'!$J:$J,'Doc Há Pagar | Rodopar 1015'!$A:$A,$B136&amp;$E136&amp;$F136,'Doc Há Pagar | Rodopar 1015'!$B:$B,AA$1)</f>
        <v>0</v>
      </c>
      <c r="AB136" s="20">
        <f>SUMIFS('Doc''s Pagos | Rodopar 108'!$J:$J,'Doc''s Pagos | Rodopar 108'!$A:$A,$B136&amp;$E136&amp;$F136&amp;$J136,'Doc''s Pagos | Rodopar 108'!$B:$B,AB$1)+SUMIFS('Doc Há Pagar | Rodopar 1015'!$J:$J,'Doc Há Pagar | Rodopar 1015'!$A:$A,$B136&amp;$E136&amp;$F136,'Doc Há Pagar | Rodopar 1015'!$B:$B,AB$1)</f>
        <v>0</v>
      </c>
      <c r="AC136" s="20">
        <f>SUMIFS('Doc''s Pagos | Rodopar 108'!$J:$J,'Doc''s Pagos | Rodopar 108'!$A:$A,$B136&amp;$E136&amp;$F136&amp;$J136,'Doc''s Pagos | Rodopar 108'!$B:$B,AC$1)+SUMIFS('Doc Há Pagar | Rodopar 1015'!$J:$J,'Doc Há Pagar | Rodopar 1015'!$A:$A,$B136&amp;$E136&amp;$F136,'Doc Há Pagar | Rodopar 1015'!$B:$B,AC$1)</f>
        <v>0</v>
      </c>
      <c r="AD136" s="20">
        <f>SUMIFS('Doc''s Pagos | Rodopar 108'!$J:$J,'Doc''s Pagos | Rodopar 108'!$A:$A,$B136&amp;$E136&amp;$F136&amp;$J136,'Doc''s Pagos | Rodopar 108'!$B:$B,AD$1)+SUMIFS('Doc Há Pagar | Rodopar 1015'!$J:$J,'Doc Há Pagar | Rodopar 1015'!$A:$A,$B136&amp;$E136&amp;$F136,'Doc Há Pagar | Rodopar 1015'!$B:$B,AD$1)</f>
        <v>0</v>
      </c>
    </row>
    <row r="137" spans="1:30" x14ac:dyDescent="0.25">
      <c r="A137" s="1" t="str">
        <f>VLOOKUP($E137,Fornecedores!$A:$C,3,0)</f>
        <v>Frota</v>
      </c>
      <c r="B137" s="14">
        <v>2764</v>
      </c>
      <c r="C137" s="14" t="str">
        <f>IFERROR(VLOOKUP($E137,Fornecedores!$A:$E,4,0),"")</f>
        <v>Manutenção</v>
      </c>
      <c r="D137" s="14" t="str">
        <f>IFERROR(VLOOKUP($E137,Fornecedores!$A:$E,5,0),"")</f>
        <v>Frota Leve OPE</v>
      </c>
      <c r="E137" s="8" t="s">
        <v>125</v>
      </c>
      <c r="F137" s="14" t="s">
        <v>380</v>
      </c>
      <c r="G137" s="8" t="s">
        <v>467</v>
      </c>
      <c r="H137" s="9">
        <v>87</v>
      </c>
      <c r="I137" s="21">
        <v>1419.5</v>
      </c>
      <c r="J137" s="11">
        <v>46114</v>
      </c>
      <c r="K137" s="11">
        <v>46120</v>
      </c>
      <c r="L137" s="8" t="s">
        <v>282</v>
      </c>
      <c r="M137" s="14" t="s">
        <v>234</v>
      </c>
      <c r="N137" s="16">
        <v>1556</v>
      </c>
      <c r="O137" s="14" t="s">
        <v>241</v>
      </c>
      <c r="P137" s="14"/>
      <c r="Q137" s="20">
        <f t="shared" si="2"/>
        <v>0</v>
      </c>
      <c r="S137" s="20">
        <f>SUMIFS('Doc''s Pagos | Rodopar 108'!$J:$J,'Doc''s Pagos | Rodopar 108'!$A:$A,$B137&amp;$E137&amp;$F137&amp;$J137,'Doc''s Pagos | Rodopar 108'!$B:$B,S$1)+SUMIFS('Doc Há Pagar | Rodopar 1015'!$J:$J,'Doc Há Pagar | Rodopar 1015'!$A:$A,$B137&amp;$E137&amp;$F137,'Doc Há Pagar | Rodopar 1015'!$B:$B,S$1)</f>
        <v>0</v>
      </c>
      <c r="T137" s="20">
        <f>SUMIFS('Doc''s Pagos | Rodopar 108'!$J:$J,'Doc''s Pagos | Rodopar 108'!$A:$A,$B137&amp;$E137&amp;$F137&amp;$J137,'Doc''s Pagos | Rodopar 108'!$B:$B,T$1)+SUMIFS('Doc Há Pagar | Rodopar 1015'!$J:$J,'Doc Há Pagar | Rodopar 1015'!$A:$A,$B137&amp;$E137&amp;$F137,'Doc Há Pagar | Rodopar 1015'!$B:$B,T$1)</f>
        <v>0</v>
      </c>
      <c r="U137" s="20">
        <f>SUMIFS('Doc''s Pagos | Rodopar 108'!$J:$J,'Doc''s Pagos | Rodopar 108'!$A:$A,$B137&amp;$E137&amp;$F137&amp;$J137,'Doc''s Pagos | Rodopar 108'!$B:$B,U$1)+SUMIFS('Doc Há Pagar | Rodopar 1015'!$J:$J,'Doc Há Pagar | Rodopar 1015'!$A:$A,$B137&amp;$E137&amp;$F137,'Doc Há Pagar | Rodopar 1015'!$B:$B,U$1)</f>
        <v>0</v>
      </c>
      <c r="V137" s="20">
        <f>SUMIFS('Doc''s Pagos | Rodopar 108'!$J:$J,'Doc''s Pagos | Rodopar 108'!$A:$A,$B137&amp;$E137&amp;$F137&amp;$J137,'Doc''s Pagos | Rodopar 108'!$B:$B,V$1)+SUMIFS('Doc Há Pagar | Rodopar 1015'!$J:$J,'Doc Há Pagar | Rodopar 1015'!$A:$A,$B137&amp;$E137&amp;$F137,'Doc Há Pagar | Rodopar 1015'!$B:$B,V$1)</f>
        <v>0</v>
      </c>
      <c r="W137" s="20">
        <f>SUMIFS('Doc''s Pagos | Rodopar 108'!$J:$J,'Doc''s Pagos | Rodopar 108'!$A:$A,$B137&amp;$E137&amp;$F137&amp;$J137,'Doc''s Pagos | Rodopar 108'!$B:$B,W$1)+SUMIFS('Doc Há Pagar | Rodopar 1015'!$J:$J,'Doc Há Pagar | Rodopar 1015'!$A:$A,$B137&amp;$E137&amp;$F137,'Doc Há Pagar | Rodopar 1015'!$B:$B,W$1)</f>
        <v>1419.5</v>
      </c>
      <c r="X137" s="20">
        <f>SUMIFS('Doc''s Pagos | Rodopar 108'!$J:$J,'Doc''s Pagos | Rodopar 108'!$A:$A,$B137&amp;$E137&amp;$F137&amp;$J137,'Doc''s Pagos | Rodopar 108'!$B:$B,X$1)+SUMIFS('Doc Há Pagar | Rodopar 1015'!$J:$J,'Doc Há Pagar | Rodopar 1015'!$A:$A,$B137&amp;$E137&amp;$F137,'Doc Há Pagar | Rodopar 1015'!$B:$B,X$1)</f>
        <v>0</v>
      </c>
      <c r="Y137" s="20">
        <f>SUMIFS('Doc''s Pagos | Rodopar 108'!$J:$J,'Doc''s Pagos | Rodopar 108'!$A:$A,$B137&amp;$E137&amp;$F137&amp;$J137,'Doc''s Pagos | Rodopar 108'!$B:$B,Y$1)+SUMIFS('Doc Há Pagar | Rodopar 1015'!$J:$J,'Doc Há Pagar | Rodopar 1015'!$A:$A,$B137&amp;$E137&amp;$F137,'Doc Há Pagar | Rodopar 1015'!$B:$B,Y$1)</f>
        <v>0</v>
      </c>
      <c r="Z137" s="20">
        <f>SUMIFS('Doc''s Pagos | Rodopar 108'!$J:$J,'Doc''s Pagos | Rodopar 108'!$A:$A,$B137&amp;$E137&amp;$F137&amp;$J137,'Doc''s Pagos | Rodopar 108'!$B:$B,Z$1)+SUMIFS('Doc Há Pagar | Rodopar 1015'!$J:$J,'Doc Há Pagar | Rodopar 1015'!$A:$A,$B137&amp;$E137&amp;$F137,'Doc Há Pagar | Rodopar 1015'!$B:$B,Z$1)</f>
        <v>0</v>
      </c>
      <c r="AA137" s="20">
        <f>SUMIFS('Doc''s Pagos | Rodopar 108'!$J:$J,'Doc''s Pagos | Rodopar 108'!$A:$A,$B137&amp;$E137&amp;$F137&amp;$J137,'Doc''s Pagos | Rodopar 108'!$B:$B,AA$1)+SUMIFS('Doc Há Pagar | Rodopar 1015'!$J:$J,'Doc Há Pagar | Rodopar 1015'!$A:$A,$B137&amp;$E137&amp;$F137,'Doc Há Pagar | Rodopar 1015'!$B:$B,AA$1)</f>
        <v>0</v>
      </c>
      <c r="AB137" s="20">
        <f>SUMIFS('Doc''s Pagos | Rodopar 108'!$J:$J,'Doc''s Pagos | Rodopar 108'!$A:$A,$B137&amp;$E137&amp;$F137&amp;$J137,'Doc''s Pagos | Rodopar 108'!$B:$B,AB$1)+SUMIFS('Doc Há Pagar | Rodopar 1015'!$J:$J,'Doc Há Pagar | Rodopar 1015'!$A:$A,$B137&amp;$E137&amp;$F137,'Doc Há Pagar | Rodopar 1015'!$B:$B,AB$1)</f>
        <v>0</v>
      </c>
      <c r="AC137" s="20">
        <f>SUMIFS('Doc''s Pagos | Rodopar 108'!$J:$J,'Doc''s Pagos | Rodopar 108'!$A:$A,$B137&amp;$E137&amp;$F137&amp;$J137,'Doc''s Pagos | Rodopar 108'!$B:$B,AC$1)+SUMIFS('Doc Há Pagar | Rodopar 1015'!$J:$J,'Doc Há Pagar | Rodopar 1015'!$A:$A,$B137&amp;$E137&amp;$F137,'Doc Há Pagar | Rodopar 1015'!$B:$B,AC$1)</f>
        <v>0</v>
      </c>
      <c r="AD137" s="20">
        <f>SUMIFS('Doc''s Pagos | Rodopar 108'!$J:$J,'Doc''s Pagos | Rodopar 108'!$A:$A,$B137&amp;$E137&amp;$F137&amp;$J137,'Doc''s Pagos | Rodopar 108'!$B:$B,AD$1)+SUMIFS('Doc Há Pagar | Rodopar 1015'!$J:$J,'Doc Há Pagar | Rodopar 1015'!$A:$A,$B137&amp;$E137&amp;$F137,'Doc Há Pagar | Rodopar 1015'!$B:$B,AD$1)</f>
        <v>0</v>
      </c>
    </row>
    <row r="138" spans="1:30" x14ac:dyDescent="0.25">
      <c r="A138" s="1" t="str">
        <f>VLOOKUP($E138,Fornecedores!$A:$C,3,0)</f>
        <v>Frota</v>
      </c>
      <c r="B138" s="14">
        <v>37</v>
      </c>
      <c r="C138" s="14" t="str">
        <f>IFERROR(VLOOKUP($E138,Fornecedores!$A:$E,4,0),"")</f>
        <v>Manutenção</v>
      </c>
      <c r="D138" s="14" t="str">
        <f>IFERROR(VLOOKUP($E138,Fornecedores!$A:$E,5,0),"")</f>
        <v>Frota Leve OPE</v>
      </c>
      <c r="E138" s="8" t="s">
        <v>125</v>
      </c>
      <c r="F138" s="14" t="s">
        <v>665</v>
      </c>
      <c r="G138" s="8" t="s">
        <v>467</v>
      </c>
      <c r="H138" s="9">
        <v>87</v>
      </c>
      <c r="I138" s="21">
        <v>240</v>
      </c>
      <c r="J138" s="11">
        <v>46114</v>
      </c>
      <c r="K138" s="11">
        <v>46120</v>
      </c>
      <c r="L138" s="8" t="s">
        <v>282</v>
      </c>
      <c r="M138" s="14" t="s">
        <v>234</v>
      </c>
      <c r="N138" s="16">
        <v>1556</v>
      </c>
      <c r="O138" s="14" t="s">
        <v>241</v>
      </c>
      <c r="P138" s="14"/>
      <c r="Q138" s="20">
        <f t="shared" si="2"/>
        <v>0</v>
      </c>
      <c r="S138" s="20">
        <f>SUMIFS('Doc''s Pagos | Rodopar 108'!$J:$J,'Doc''s Pagos | Rodopar 108'!$A:$A,$B138&amp;$E138&amp;$F138&amp;$J138,'Doc''s Pagos | Rodopar 108'!$B:$B,S$1)+SUMIFS('Doc Há Pagar | Rodopar 1015'!$J:$J,'Doc Há Pagar | Rodopar 1015'!$A:$A,$B138&amp;$E138&amp;$F138,'Doc Há Pagar | Rodopar 1015'!$B:$B,S$1)</f>
        <v>0</v>
      </c>
      <c r="T138" s="20">
        <f>SUMIFS('Doc''s Pagos | Rodopar 108'!$J:$J,'Doc''s Pagos | Rodopar 108'!$A:$A,$B138&amp;$E138&amp;$F138&amp;$J138,'Doc''s Pagos | Rodopar 108'!$B:$B,T$1)+SUMIFS('Doc Há Pagar | Rodopar 1015'!$J:$J,'Doc Há Pagar | Rodopar 1015'!$A:$A,$B138&amp;$E138&amp;$F138,'Doc Há Pagar | Rodopar 1015'!$B:$B,T$1)</f>
        <v>0</v>
      </c>
      <c r="U138" s="20">
        <f>SUMIFS('Doc''s Pagos | Rodopar 108'!$J:$J,'Doc''s Pagos | Rodopar 108'!$A:$A,$B138&amp;$E138&amp;$F138&amp;$J138,'Doc''s Pagos | Rodopar 108'!$B:$B,U$1)+SUMIFS('Doc Há Pagar | Rodopar 1015'!$J:$J,'Doc Há Pagar | Rodopar 1015'!$A:$A,$B138&amp;$E138&amp;$F138,'Doc Há Pagar | Rodopar 1015'!$B:$B,U$1)</f>
        <v>0</v>
      </c>
      <c r="V138" s="20">
        <f>SUMIFS('Doc''s Pagos | Rodopar 108'!$J:$J,'Doc''s Pagos | Rodopar 108'!$A:$A,$B138&amp;$E138&amp;$F138&amp;$J138,'Doc''s Pagos | Rodopar 108'!$B:$B,V$1)+SUMIFS('Doc Há Pagar | Rodopar 1015'!$J:$J,'Doc Há Pagar | Rodopar 1015'!$A:$A,$B138&amp;$E138&amp;$F138,'Doc Há Pagar | Rodopar 1015'!$B:$B,V$1)</f>
        <v>0</v>
      </c>
      <c r="W138" s="20">
        <f>SUMIFS('Doc''s Pagos | Rodopar 108'!$J:$J,'Doc''s Pagos | Rodopar 108'!$A:$A,$B138&amp;$E138&amp;$F138&amp;$J138,'Doc''s Pagos | Rodopar 108'!$B:$B,W$1)+SUMIFS('Doc Há Pagar | Rodopar 1015'!$J:$J,'Doc Há Pagar | Rodopar 1015'!$A:$A,$B138&amp;$E138&amp;$F138,'Doc Há Pagar | Rodopar 1015'!$B:$B,W$1)</f>
        <v>240</v>
      </c>
      <c r="X138" s="20">
        <f>SUMIFS('Doc''s Pagos | Rodopar 108'!$J:$J,'Doc''s Pagos | Rodopar 108'!$A:$A,$B138&amp;$E138&amp;$F138&amp;$J138,'Doc''s Pagos | Rodopar 108'!$B:$B,X$1)+SUMIFS('Doc Há Pagar | Rodopar 1015'!$J:$J,'Doc Há Pagar | Rodopar 1015'!$A:$A,$B138&amp;$E138&amp;$F138,'Doc Há Pagar | Rodopar 1015'!$B:$B,X$1)</f>
        <v>0</v>
      </c>
      <c r="Y138" s="20">
        <f>SUMIFS('Doc''s Pagos | Rodopar 108'!$J:$J,'Doc''s Pagos | Rodopar 108'!$A:$A,$B138&amp;$E138&amp;$F138&amp;$J138,'Doc''s Pagos | Rodopar 108'!$B:$B,Y$1)+SUMIFS('Doc Há Pagar | Rodopar 1015'!$J:$J,'Doc Há Pagar | Rodopar 1015'!$A:$A,$B138&amp;$E138&amp;$F138,'Doc Há Pagar | Rodopar 1015'!$B:$B,Y$1)</f>
        <v>0</v>
      </c>
      <c r="Z138" s="20">
        <f>SUMIFS('Doc''s Pagos | Rodopar 108'!$J:$J,'Doc''s Pagos | Rodopar 108'!$A:$A,$B138&amp;$E138&amp;$F138&amp;$J138,'Doc''s Pagos | Rodopar 108'!$B:$B,Z$1)+SUMIFS('Doc Há Pagar | Rodopar 1015'!$J:$J,'Doc Há Pagar | Rodopar 1015'!$A:$A,$B138&amp;$E138&amp;$F138,'Doc Há Pagar | Rodopar 1015'!$B:$B,Z$1)</f>
        <v>0</v>
      </c>
      <c r="AA138" s="20">
        <f>SUMIFS('Doc''s Pagos | Rodopar 108'!$J:$J,'Doc''s Pagos | Rodopar 108'!$A:$A,$B138&amp;$E138&amp;$F138&amp;$J138,'Doc''s Pagos | Rodopar 108'!$B:$B,AA$1)+SUMIFS('Doc Há Pagar | Rodopar 1015'!$J:$J,'Doc Há Pagar | Rodopar 1015'!$A:$A,$B138&amp;$E138&amp;$F138,'Doc Há Pagar | Rodopar 1015'!$B:$B,AA$1)</f>
        <v>0</v>
      </c>
      <c r="AB138" s="20">
        <f>SUMIFS('Doc''s Pagos | Rodopar 108'!$J:$J,'Doc''s Pagos | Rodopar 108'!$A:$A,$B138&amp;$E138&amp;$F138&amp;$J138,'Doc''s Pagos | Rodopar 108'!$B:$B,AB$1)+SUMIFS('Doc Há Pagar | Rodopar 1015'!$J:$J,'Doc Há Pagar | Rodopar 1015'!$A:$A,$B138&amp;$E138&amp;$F138,'Doc Há Pagar | Rodopar 1015'!$B:$B,AB$1)</f>
        <v>0</v>
      </c>
      <c r="AC138" s="20">
        <f>SUMIFS('Doc''s Pagos | Rodopar 108'!$J:$J,'Doc''s Pagos | Rodopar 108'!$A:$A,$B138&amp;$E138&amp;$F138&amp;$J138,'Doc''s Pagos | Rodopar 108'!$B:$B,AC$1)+SUMIFS('Doc Há Pagar | Rodopar 1015'!$J:$J,'Doc Há Pagar | Rodopar 1015'!$A:$A,$B138&amp;$E138&amp;$F138,'Doc Há Pagar | Rodopar 1015'!$B:$B,AC$1)</f>
        <v>0</v>
      </c>
      <c r="AD138" s="20">
        <f>SUMIFS('Doc''s Pagos | Rodopar 108'!$J:$J,'Doc''s Pagos | Rodopar 108'!$A:$A,$B138&amp;$E138&amp;$F138&amp;$J138,'Doc''s Pagos | Rodopar 108'!$B:$B,AD$1)+SUMIFS('Doc Há Pagar | Rodopar 1015'!$J:$J,'Doc Há Pagar | Rodopar 1015'!$A:$A,$B138&amp;$E138&amp;$F138,'Doc Há Pagar | Rodopar 1015'!$B:$B,AD$1)</f>
        <v>0</v>
      </c>
    </row>
    <row r="139" spans="1:30" x14ac:dyDescent="0.25">
      <c r="A139" s="1" t="str">
        <f>VLOOKUP($E139,Fornecedores!$A:$C,3,0)</f>
        <v>Frota</v>
      </c>
      <c r="B139" s="14">
        <v>8574</v>
      </c>
      <c r="C139" s="14" t="str">
        <f>IFERROR(VLOOKUP($E139,Fornecedores!$A:$E,4,0),"")</f>
        <v>Manutenção</v>
      </c>
      <c r="D139" s="14" t="str">
        <f>IFERROR(VLOOKUP($E139,Fornecedores!$A:$E,5,0),"")</f>
        <v>Caminhão</v>
      </c>
      <c r="E139" s="8" t="s">
        <v>190</v>
      </c>
      <c r="F139" s="14" t="s">
        <v>665</v>
      </c>
      <c r="G139" s="8" t="s">
        <v>381</v>
      </c>
      <c r="H139" s="9">
        <v>87</v>
      </c>
      <c r="I139" s="21">
        <v>2430.34</v>
      </c>
      <c r="J139" s="11">
        <v>46114</v>
      </c>
      <c r="K139" s="11">
        <v>46120</v>
      </c>
      <c r="L139" s="8" t="s">
        <v>382</v>
      </c>
      <c r="M139" s="14" t="s">
        <v>234</v>
      </c>
      <c r="N139" s="16">
        <v>1556</v>
      </c>
      <c r="O139" s="14" t="s">
        <v>241</v>
      </c>
      <c r="P139" s="14"/>
      <c r="Q139" s="20">
        <f t="shared" si="2"/>
        <v>0</v>
      </c>
      <c r="S139" s="20">
        <f>SUMIFS('Doc''s Pagos | Rodopar 108'!$J:$J,'Doc''s Pagos | Rodopar 108'!$A:$A,$B139&amp;$E139&amp;$F139&amp;$J139,'Doc''s Pagos | Rodopar 108'!$B:$B,S$1)+SUMIFS('Doc Há Pagar | Rodopar 1015'!$J:$J,'Doc Há Pagar | Rodopar 1015'!$A:$A,$B139&amp;$E139&amp;$F139,'Doc Há Pagar | Rodopar 1015'!$B:$B,S$1)</f>
        <v>0</v>
      </c>
      <c r="T139" s="20">
        <f>SUMIFS('Doc''s Pagos | Rodopar 108'!$J:$J,'Doc''s Pagos | Rodopar 108'!$A:$A,$B139&amp;$E139&amp;$F139&amp;$J139,'Doc''s Pagos | Rodopar 108'!$B:$B,T$1)+SUMIFS('Doc Há Pagar | Rodopar 1015'!$J:$J,'Doc Há Pagar | Rodopar 1015'!$A:$A,$B139&amp;$E139&amp;$F139,'Doc Há Pagar | Rodopar 1015'!$B:$B,T$1)</f>
        <v>0</v>
      </c>
      <c r="U139" s="20">
        <f>SUMIFS('Doc''s Pagos | Rodopar 108'!$J:$J,'Doc''s Pagos | Rodopar 108'!$A:$A,$B139&amp;$E139&amp;$F139&amp;$J139,'Doc''s Pagos | Rodopar 108'!$B:$B,U$1)+SUMIFS('Doc Há Pagar | Rodopar 1015'!$J:$J,'Doc Há Pagar | Rodopar 1015'!$A:$A,$B139&amp;$E139&amp;$F139,'Doc Há Pagar | Rodopar 1015'!$B:$B,U$1)</f>
        <v>0</v>
      </c>
      <c r="V139" s="20">
        <f>SUMIFS('Doc''s Pagos | Rodopar 108'!$J:$J,'Doc''s Pagos | Rodopar 108'!$A:$A,$B139&amp;$E139&amp;$F139&amp;$J139,'Doc''s Pagos | Rodopar 108'!$B:$B,V$1)+SUMIFS('Doc Há Pagar | Rodopar 1015'!$J:$J,'Doc Há Pagar | Rodopar 1015'!$A:$A,$B139&amp;$E139&amp;$F139,'Doc Há Pagar | Rodopar 1015'!$B:$B,V$1)</f>
        <v>810.11</v>
      </c>
      <c r="W139" s="20">
        <f>SUMIFS('Doc''s Pagos | Rodopar 108'!$J:$J,'Doc''s Pagos | Rodopar 108'!$A:$A,$B139&amp;$E139&amp;$F139&amp;$J139,'Doc''s Pagos | Rodopar 108'!$B:$B,W$1)+SUMIFS('Doc Há Pagar | Rodopar 1015'!$J:$J,'Doc Há Pagar | Rodopar 1015'!$A:$A,$B139&amp;$E139&amp;$F139,'Doc Há Pagar | Rodopar 1015'!$B:$B,W$1)</f>
        <v>810.11</v>
      </c>
      <c r="X139" s="20">
        <f>SUMIFS('Doc''s Pagos | Rodopar 108'!$J:$J,'Doc''s Pagos | Rodopar 108'!$A:$A,$B139&amp;$E139&amp;$F139&amp;$J139,'Doc''s Pagos | Rodopar 108'!$B:$B,X$1)+SUMIFS('Doc Há Pagar | Rodopar 1015'!$J:$J,'Doc Há Pagar | Rodopar 1015'!$A:$A,$B139&amp;$E139&amp;$F139,'Doc Há Pagar | Rodopar 1015'!$B:$B,X$1)</f>
        <v>810.12</v>
      </c>
      <c r="Y139" s="20">
        <f>SUMIFS('Doc''s Pagos | Rodopar 108'!$J:$J,'Doc''s Pagos | Rodopar 108'!$A:$A,$B139&amp;$E139&amp;$F139&amp;$J139,'Doc''s Pagos | Rodopar 108'!$B:$B,Y$1)+SUMIFS('Doc Há Pagar | Rodopar 1015'!$J:$J,'Doc Há Pagar | Rodopar 1015'!$A:$A,$B139&amp;$E139&amp;$F139,'Doc Há Pagar | Rodopar 1015'!$B:$B,Y$1)</f>
        <v>0</v>
      </c>
      <c r="Z139" s="20">
        <f>SUMIFS('Doc''s Pagos | Rodopar 108'!$J:$J,'Doc''s Pagos | Rodopar 108'!$A:$A,$B139&amp;$E139&amp;$F139&amp;$J139,'Doc''s Pagos | Rodopar 108'!$B:$B,Z$1)+SUMIFS('Doc Há Pagar | Rodopar 1015'!$J:$J,'Doc Há Pagar | Rodopar 1015'!$A:$A,$B139&amp;$E139&amp;$F139,'Doc Há Pagar | Rodopar 1015'!$B:$B,Z$1)</f>
        <v>0</v>
      </c>
      <c r="AA139" s="20">
        <f>SUMIFS('Doc''s Pagos | Rodopar 108'!$J:$J,'Doc''s Pagos | Rodopar 108'!$A:$A,$B139&amp;$E139&amp;$F139&amp;$J139,'Doc''s Pagos | Rodopar 108'!$B:$B,AA$1)+SUMIFS('Doc Há Pagar | Rodopar 1015'!$J:$J,'Doc Há Pagar | Rodopar 1015'!$A:$A,$B139&amp;$E139&amp;$F139,'Doc Há Pagar | Rodopar 1015'!$B:$B,AA$1)</f>
        <v>0</v>
      </c>
      <c r="AB139" s="20">
        <f>SUMIFS('Doc''s Pagos | Rodopar 108'!$J:$J,'Doc''s Pagos | Rodopar 108'!$A:$A,$B139&amp;$E139&amp;$F139&amp;$J139,'Doc''s Pagos | Rodopar 108'!$B:$B,AB$1)+SUMIFS('Doc Há Pagar | Rodopar 1015'!$J:$J,'Doc Há Pagar | Rodopar 1015'!$A:$A,$B139&amp;$E139&amp;$F139,'Doc Há Pagar | Rodopar 1015'!$B:$B,AB$1)</f>
        <v>0</v>
      </c>
      <c r="AC139" s="20">
        <f>SUMIFS('Doc''s Pagos | Rodopar 108'!$J:$J,'Doc''s Pagos | Rodopar 108'!$A:$A,$B139&amp;$E139&amp;$F139&amp;$J139,'Doc''s Pagos | Rodopar 108'!$B:$B,AC$1)+SUMIFS('Doc Há Pagar | Rodopar 1015'!$J:$J,'Doc Há Pagar | Rodopar 1015'!$A:$A,$B139&amp;$E139&amp;$F139,'Doc Há Pagar | Rodopar 1015'!$B:$B,AC$1)</f>
        <v>0</v>
      </c>
      <c r="AD139" s="20">
        <f>SUMIFS('Doc''s Pagos | Rodopar 108'!$J:$J,'Doc''s Pagos | Rodopar 108'!$A:$A,$B139&amp;$E139&amp;$F139&amp;$J139,'Doc''s Pagos | Rodopar 108'!$B:$B,AD$1)+SUMIFS('Doc Há Pagar | Rodopar 1015'!$J:$J,'Doc Há Pagar | Rodopar 1015'!$A:$A,$B139&amp;$E139&amp;$F139,'Doc Há Pagar | Rodopar 1015'!$B:$B,AD$1)</f>
        <v>0</v>
      </c>
    </row>
    <row r="140" spans="1:30" x14ac:dyDescent="0.25">
      <c r="A140" s="1" t="str">
        <f>VLOOKUP($E140,Fornecedores!$A:$C,3,0)</f>
        <v>Frota</v>
      </c>
      <c r="B140" s="14">
        <v>2678024538</v>
      </c>
      <c r="C140" s="14" t="str">
        <f>IFERROR(VLOOKUP($E140,Fornecedores!$A:$E,4,0),"")</f>
        <v>Pedagios</v>
      </c>
      <c r="D140" s="14" t="str">
        <f>IFERROR(VLOOKUP($E140,Fornecedores!$A:$E,5,0),"")</f>
        <v>Pedagios</v>
      </c>
      <c r="E140" s="8" t="s">
        <v>38</v>
      </c>
      <c r="F140" s="14" t="s">
        <v>232</v>
      </c>
      <c r="G140" s="8" t="s">
        <v>261</v>
      </c>
      <c r="H140" s="9">
        <v>87</v>
      </c>
      <c r="I140" s="21">
        <v>23322.61</v>
      </c>
      <c r="J140" s="11">
        <v>46116</v>
      </c>
      <c r="K140" s="11">
        <v>46118</v>
      </c>
      <c r="L140" s="8" t="s">
        <v>262</v>
      </c>
      <c r="M140" s="14" t="s">
        <v>263</v>
      </c>
      <c r="N140" s="16">
        <v>2556</v>
      </c>
      <c r="O140" s="14" t="s">
        <v>241</v>
      </c>
      <c r="P140" s="14"/>
      <c r="Q140" s="20">
        <f t="shared" si="2"/>
        <v>0</v>
      </c>
      <c r="S140" s="20">
        <f>SUMIFS('Doc''s Pagos | Rodopar 108'!$J:$J,'Doc''s Pagos | Rodopar 108'!$A:$A,$B140&amp;$E140&amp;$F140&amp;$J140,'Doc''s Pagos | Rodopar 108'!$B:$B,S$1)+SUMIFS('Doc Há Pagar | Rodopar 1015'!$J:$J,'Doc Há Pagar | Rodopar 1015'!$A:$A,$B140&amp;$E140&amp;$F140,'Doc Há Pagar | Rodopar 1015'!$B:$B,S$1)</f>
        <v>0</v>
      </c>
      <c r="T140" s="20">
        <f>SUMIFS('Doc''s Pagos | Rodopar 108'!$J:$J,'Doc''s Pagos | Rodopar 108'!$A:$A,$B140&amp;$E140&amp;$F140&amp;$J140,'Doc''s Pagos | Rodopar 108'!$B:$B,T$1)+SUMIFS('Doc Há Pagar | Rodopar 1015'!$J:$J,'Doc Há Pagar | Rodopar 1015'!$A:$A,$B140&amp;$E140&amp;$F140,'Doc Há Pagar | Rodopar 1015'!$B:$B,T$1)</f>
        <v>0</v>
      </c>
      <c r="U140" s="20">
        <f>SUMIFS('Doc''s Pagos | Rodopar 108'!$J:$J,'Doc''s Pagos | Rodopar 108'!$A:$A,$B140&amp;$E140&amp;$F140&amp;$J140,'Doc''s Pagos | Rodopar 108'!$B:$B,U$1)+SUMIFS('Doc Há Pagar | Rodopar 1015'!$J:$J,'Doc Há Pagar | Rodopar 1015'!$A:$A,$B140&amp;$E140&amp;$F140,'Doc Há Pagar | Rodopar 1015'!$B:$B,U$1)</f>
        <v>0</v>
      </c>
      <c r="V140" s="20">
        <f>SUMIFS('Doc''s Pagos | Rodopar 108'!$J:$J,'Doc''s Pagos | Rodopar 108'!$A:$A,$B140&amp;$E140&amp;$F140&amp;$J140,'Doc''s Pagos | Rodopar 108'!$B:$B,V$1)+SUMIFS('Doc Há Pagar | Rodopar 1015'!$J:$J,'Doc Há Pagar | Rodopar 1015'!$A:$A,$B140&amp;$E140&amp;$F140,'Doc Há Pagar | Rodopar 1015'!$B:$B,V$1)</f>
        <v>23322.61</v>
      </c>
      <c r="W140" s="20">
        <f>SUMIFS('Doc''s Pagos | Rodopar 108'!$J:$J,'Doc''s Pagos | Rodopar 108'!$A:$A,$B140&amp;$E140&amp;$F140&amp;$J140,'Doc''s Pagos | Rodopar 108'!$B:$B,W$1)+SUMIFS('Doc Há Pagar | Rodopar 1015'!$J:$J,'Doc Há Pagar | Rodopar 1015'!$A:$A,$B140&amp;$E140&amp;$F140,'Doc Há Pagar | Rodopar 1015'!$B:$B,W$1)</f>
        <v>0</v>
      </c>
      <c r="X140" s="20">
        <f>SUMIFS('Doc''s Pagos | Rodopar 108'!$J:$J,'Doc''s Pagos | Rodopar 108'!$A:$A,$B140&amp;$E140&amp;$F140&amp;$J140,'Doc''s Pagos | Rodopar 108'!$B:$B,X$1)+SUMIFS('Doc Há Pagar | Rodopar 1015'!$J:$J,'Doc Há Pagar | Rodopar 1015'!$A:$A,$B140&amp;$E140&amp;$F140,'Doc Há Pagar | Rodopar 1015'!$B:$B,X$1)</f>
        <v>0</v>
      </c>
      <c r="Y140" s="20">
        <f>SUMIFS('Doc''s Pagos | Rodopar 108'!$J:$J,'Doc''s Pagos | Rodopar 108'!$A:$A,$B140&amp;$E140&amp;$F140&amp;$J140,'Doc''s Pagos | Rodopar 108'!$B:$B,Y$1)+SUMIFS('Doc Há Pagar | Rodopar 1015'!$J:$J,'Doc Há Pagar | Rodopar 1015'!$A:$A,$B140&amp;$E140&amp;$F140,'Doc Há Pagar | Rodopar 1015'!$B:$B,Y$1)</f>
        <v>0</v>
      </c>
      <c r="Z140" s="20">
        <f>SUMIFS('Doc''s Pagos | Rodopar 108'!$J:$J,'Doc''s Pagos | Rodopar 108'!$A:$A,$B140&amp;$E140&amp;$F140&amp;$J140,'Doc''s Pagos | Rodopar 108'!$B:$B,Z$1)+SUMIFS('Doc Há Pagar | Rodopar 1015'!$J:$J,'Doc Há Pagar | Rodopar 1015'!$A:$A,$B140&amp;$E140&amp;$F140,'Doc Há Pagar | Rodopar 1015'!$B:$B,Z$1)</f>
        <v>0</v>
      </c>
      <c r="AA140" s="20">
        <f>SUMIFS('Doc''s Pagos | Rodopar 108'!$J:$J,'Doc''s Pagos | Rodopar 108'!$A:$A,$B140&amp;$E140&amp;$F140&amp;$J140,'Doc''s Pagos | Rodopar 108'!$B:$B,AA$1)+SUMIFS('Doc Há Pagar | Rodopar 1015'!$J:$J,'Doc Há Pagar | Rodopar 1015'!$A:$A,$B140&amp;$E140&amp;$F140,'Doc Há Pagar | Rodopar 1015'!$B:$B,AA$1)</f>
        <v>0</v>
      </c>
      <c r="AB140" s="20">
        <f>SUMIFS('Doc''s Pagos | Rodopar 108'!$J:$J,'Doc''s Pagos | Rodopar 108'!$A:$A,$B140&amp;$E140&amp;$F140&amp;$J140,'Doc''s Pagos | Rodopar 108'!$B:$B,AB$1)+SUMIFS('Doc Há Pagar | Rodopar 1015'!$J:$J,'Doc Há Pagar | Rodopar 1015'!$A:$A,$B140&amp;$E140&amp;$F140,'Doc Há Pagar | Rodopar 1015'!$B:$B,AB$1)</f>
        <v>0</v>
      </c>
      <c r="AC140" s="20">
        <f>SUMIFS('Doc''s Pagos | Rodopar 108'!$J:$J,'Doc''s Pagos | Rodopar 108'!$A:$A,$B140&amp;$E140&amp;$F140&amp;$J140,'Doc''s Pagos | Rodopar 108'!$B:$B,AC$1)+SUMIFS('Doc Há Pagar | Rodopar 1015'!$J:$J,'Doc Há Pagar | Rodopar 1015'!$A:$A,$B140&amp;$E140&amp;$F140,'Doc Há Pagar | Rodopar 1015'!$B:$B,AC$1)</f>
        <v>0</v>
      </c>
      <c r="AD140" s="20">
        <f>SUMIFS('Doc''s Pagos | Rodopar 108'!$J:$J,'Doc''s Pagos | Rodopar 108'!$A:$A,$B140&amp;$E140&amp;$F140&amp;$J140,'Doc''s Pagos | Rodopar 108'!$B:$B,AD$1)+SUMIFS('Doc Há Pagar | Rodopar 1015'!$J:$J,'Doc Há Pagar | Rodopar 1015'!$A:$A,$B140&amp;$E140&amp;$F140,'Doc Há Pagar | Rodopar 1015'!$B:$B,AD$1)</f>
        <v>0</v>
      </c>
    </row>
    <row r="141" spans="1:30" x14ac:dyDescent="0.25">
      <c r="A141" s="1" t="str">
        <f>VLOOKUP($E141,Fornecedores!$A:$C,3,0)</f>
        <v>Frota</v>
      </c>
      <c r="B141" s="14">
        <v>33</v>
      </c>
      <c r="C141" s="14" t="str">
        <f>IFERROR(VLOOKUP($E141,Fornecedores!$A:$E,4,0),"")</f>
        <v>Sinistro</v>
      </c>
      <c r="D141" s="14" t="str">
        <f>IFERROR(VLOOKUP($E141,Fornecedores!$A:$E,5,0),"")</f>
        <v>Lanternagem</v>
      </c>
      <c r="E141" s="8" t="s">
        <v>34</v>
      </c>
      <c r="F141" s="14" t="s">
        <v>665</v>
      </c>
      <c r="G141" s="8" t="s">
        <v>848</v>
      </c>
      <c r="H141" s="9">
        <v>87</v>
      </c>
      <c r="I141" s="21">
        <v>900</v>
      </c>
      <c r="J141" s="11">
        <v>46118</v>
      </c>
      <c r="K141" s="11">
        <v>46121</v>
      </c>
      <c r="L141" s="8" t="s">
        <v>382</v>
      </c>
      <c r="M141" s="14" t="s">
        <v>234</v>
      </c>
      <c r="N141" s="16">
        <v>1556</v>
      </c>
      <c r="O141" s="14" t="s">
        <v>241</v>
      </c>
      <c r="P141" s="14"/>
      <c r="Q141" s="20">
        <f t="shared" si="2"/>
        <v>0</v>
      </c>
      <c r="S141" s="20">
        <f>SUMIFS('Doc''s Pagos | Rodopar 108'!$J:$J,'Doc''s Pagos | Rodopar 108'!$A:$A,$B141&amp;$E141&amp;$F141&amp;$J141,'Doc''s Pagos | Rodopar 108'!$B:$B,S$1)+SUMIFS('Doc Há Pagar | Rodopar 1015'!$J:$J,'Doc Há Pagar | Rodopar 1015'!$A:$A,$B141&amp;$E141&amp;$F141,'Doc Há Pagar | Rodopar 1015'!$B:$B,S$1)</f>
        <v>0</v>
      </c>
      <c r="T141" s="20">
        <f>SUMIFS('Doc''s Pagos | Rodopar 108'!$J:$J,'Doc''s Pagos | Rodopar 108'!$A:$A,$B141&amp;$E141&amp;$F141&amp;$J141,'Doc''s Pagos | Rodopar 108'!$B:$B,T$1)+SUMIFS('Doc Há Pagar | Rodopar 1015'!$J:$J,'Doc Há Pagar | Rodopar 1015'!$A:$A,$B141&amp;$E141&amp;$F141,'Doc Há Pagar | Rodopar 1015'!$B:$B,T$1)</f>
        <v>0</v>
      </c>
      <c r="U141" s="20">
        <f>SUMIFS('Doc''s Pagos | Rodopar 108'!$J:$J,'Doc''s Pagos | Rodopar 108'!$A:$A,$B141&amp;$E141&amp;$F141&amp;$J141,'Doc''s Pagos | Rodopar 108'!$B:$B,U$1)+SUMIFS('Doc Há Pagar | Rodopar 1015'!$J:$J,'Doc Há Pagar | Rodopar 1015'!$A:$A,$B141&amp;$E141&amp;$F141,'Doc Há Pagar | Rodopar 1015'!$B:$B,U$1)</f>
        <v>0</v>
      </c>
      <c r="V141" s="20">
        <f>SUMIFS('Doc''s Pagos | Rodopar 108'!$J:$J,'Doc''s Pagos | Rodopar 108'!$A:$A,$B141&amp;$E141&amp;$F141&amp;$J141,'Doc''s Pagos | Rodopar 108'!$B:$B,V$1)+SUMIFS('Doc Há Pagar | Rodopar 1015'!$J:$J,'Doc Há Pagar | Rodopar 1015'!$A:$A,$B141&amp;$E141&amp;$F141,'Doc Há Pagar | Rodopar 1015'!$B:$B,V$1)</f>
        <v>0</v>
      </c>
      <c r="W141" s="20">
        <f>SUMIFS('Doc''s Pagos | Rodopar 108'!$J:$J,'Doc''s Pagos | Rodopar 108'!$A:$A,$B141&amp;$E141&amp;$F141&amp;$J141,'Doc''s Pagos | Rodopar 108'!$B:$B,W$1)+SUMIFS('Doc Há Pagar | Rodopar 1015'!$J:$J,'Doc Há Pagar | Rodopar 1015'!$A:$A,$B141&amp;$E141&amp;$F141,'Doc Há Pagar | Rodopar 1015'!$B:$B,W$1)</f>
        <v>900</v>
      </c>
      <c r="X141" s="20">
        <f>SUMIFS('Doc''s Pagos | Rodopar 108'!$J:$J,'Doc''s Pagos | Rodopar 108'!$A:$A,$B141&amp;$E141&amp;$F141&amp;$J141,'Doc''s Pagos | Rodopar 108'!$B:$B,X$1)+SUMIFS('Doc Há Pagar | Rodopar 1015'!$J:$J,'Doc Há Pagar | Rodopar 1015'!$A:$A,$B141&amp;$E141&amp;$F141,'Doc Há Pagar | Rodopar 1015'!$B:$B,X$1)</f>
        <v>0</v>
      </c>
      <c r="Y141" s="20">
        <f>SUMIFS('Doc''s Pagos | Rodopar 108'!$J:$J,'Doc''s Pagos | Rodopar 108'!$A:$A,$B141&amp;$E141&amp;$F141&amp;$J141,'Doc''s Pagos | Rodopar 108'!$B:$B,Y$1)+SUMIFS('Doc Há Pagar | Rodopar 1015'!$J:$J,'Doc Há Pagar | Rodopar 1015'!$A:$A,$B141&amp;$E141&amp;$F141,'Doc Há Pagar | Rodopar 1015'!$B:$B,Y$1)</f>
        <v>0</v>
      </c>
      <c r="Z141" s="20">
        <f>SUMIFS('Doc''s Pagos | Rodopar 108'!$J:$J,'Doc''s Pagos | Rodopar 108'!$A:$A,$B141&amp;$E141&amp;$F141&amp;$J141,'Doc''s Pagos | Rodopar 108'!$B:$B,Z$1)+SUMIFS('Doc Há Pagar | Rodopar 1015'!$J:$J,'Doc Há Pagar | Rodopar 1015'!$A:$A,$B141&amp;$E141&amp;$F141,'Doc Há Pagar | Rodopar 1015'!$B:$B,Z$1)</f>
        <v>0</v>
      </c>
      <c r="AA141" s="20">
        <f>SUMIFS('Doc''s Pagos | Rodopar 108'!$J:$J,'Doc''s Pagos | Rodopar 108'!$A:$A,$B141&amp;$E141&amp;$F141&amp;$J141,'Doc''s Pagos | Rodopar 108'!$B:$B,AA$1)+SUMIFS('Doc Há Pagar | Rodopar 1015'!$J:$J,'Doc Há Pagar | Rodopar 1015'!$A:$A,$B141&amp;$E141&amp;$F141,'Doc Há Pagar | Rodopar 1015'!$B:$B,AA$1)</f>
        <v>0</v>
      </c>
      <c r="AB141" s="20">
        <f>SUMIFS('Doc''s Pagos | Rodopar 108'!$J:$J,'Doc''s Pagos | Rodopar 108'!$A:$A,$B141&amp;$E141&amp;$F141&amp;$J141,'Doc''s Pagos | Rodopar 108'!$B:$B,AB$1)+SUMIFS('Doc Há Pagar | Rodopar 1015'!$J:$J,'Doc Há Pagar | Rodopar 1015'!$A:$A,$B141&amp;$E141&amp;$F141,'Doc Há Pagar | Rodopar 1015'!$B:$B,AB$1)</f>
        <v>0</v>
      </c>
      <c r="AC141" s="20">
        <f>SUMIFS('Doc''s Pagos | Rodopar 108'!$J:$J,'Doc''s Pagos | Rodopar 108'!$A:$A,$B141&amp;$E141&amp;$F141&amp;$J141,'Doc''s Pagos | Rodopar 108'!$B:$B,AC$1)+SUMIFS('Doc Há Pagar | Rodopar 1015'!$J:$J,'Doc Há Pagar | Rodopar 1015'!$A:$A,$B141&amp;$E141&amp;$F141,'Doc Há Pagar | Rodopar 1015'!$B:$B,AC$1)</f>
        <v>0</v>
      </c>
      <c r="AD141" s="20">
        <f>SUMIFS('Doc''s Pagos | Rodopar 108'!$J:$J,'Doc''s Pagos | Rodopar 108'!$A:$A,$B141&amp;$E141&amp;$F141&amp;$J141,'Doc''s Pagos | Rodopar 108'!$B:$B,AD$1)+SUMIFS('Doc Há Pagar | Rodopar 1015'!$J:$J,'Doc Há Pagar | Rodopar 1015'!$A:$A,$B141&amp;$E141&amp;$F141,'Doc Há Pagar | Rodopar 1015'!$B:$B,AD$1)</f>
        <v>0</v>
      </c>
    </row>
    <row r="142" spans="1:30" x14ac:dyDescent="0.25">
      <c r="A142" s="1" t="str">
        <f>VLOOKUP($E142,Fornecedores!$A:$C,3,0)</f>
        <v>Frota</v>
      </c>
      <c r="B142" s="14">
        <v>849369</v>
      </c>
      <c r="C142" s="14" t="str">
        <f>IFERROR(VLOOKUP($E142,Fornecedores!$A:$E,4,0),"")</f>
        <v>Telemetria</v>
      </c>
      <c r="D142" s="14" t="str">
        <f>IFERROR(VLOOKUP($E142,Fornecedores!$A:$E,5,0),"")</f>
        <v>Telemetria</v>
      </c>
      <c r="E142" s="8" t="s">
        <v>179</v>
      </c>
      <c r="F142" s="14" t="s">
        <v>665</v>
      </c>
      <c r="G142" s="8" t="s">
        <v>673</v>
      </c>
      <c r="H142" s="9">
        <v>87</v>
      </c>
      <c r="I142" s="21">
        <v>357.45</v>
      </c>
      <c r="J142" s="11">
        <v>46118</v>
      </c>
      <c r="K142" s="11">
        <v>46121</v>
      </c>
      <c r="L142" s="8" t="s">
        <v>674</v>
      </c>
      <c r="M142" s="14" t="s">
        <v>263</v>
      </c>
      <c r="N142" s="16">
        <v>2556</v>
      </c>
      <c r="O142" s="14" t="s">
        <v>241</v>
      </c>
      <c r="P142" s="14"/>
      <c r="Q142" s="20">
        <f t="shared" si="2"/>
        <v>0</v>
      </c>
      <c r="S142" s="20">
        <f>SUMIFS('Doc''s Pagos | Rodopar 108'!$J:$J,'Doc''s Pagos | Rodopar 108'!$A:$A,$B142&amp;$E142&amp;$F142&amp;$J142,'Doc''s Pagos | Rodopar 108'!$B:$B,S$1)+SUMIFS('Doc Há Pagar | Rodopar 1015'!$J:$J,'Doc Há Pagar | Rodopar 1015'!$A:$A,$B142&amp;$E142&amp;$F142,'Doc Há Pagar | Rodopar 1015'!$B:$B,S$1)</f>
        <v>0</v>
      </c>
      <c r="T142" s="20">
        <f>SUMIFS('Doc''s Pagos | Rodopar 108'!$J:$J,'Doc''s Pagos | Rodopar 108'!$A:$A,$B142&amp;$E142&amp;$F142&amp;$J142,'Doc''s Pagos | Rodopar 108'!$B:$B,T$1)+SUMIFS('Doc Há Pagar | Rodopar 1015'!$J:$J,'Doc Há Pagar | Rodopar 1015'!$A:$A,$B142&amp;$E142&amp;$F142,'Doc Há Pagar | Rodopar 1015'!$B:$B,T$1)</f>
        <v>0</v>
      </c>
      <c r="U142" s="20">
        <f>SUMIFS('Doc''s Pagos | Rodopar 108'!$J:$J,'Doc''s Pagos | Rodopar 108'!$A:$A,$B142&amp;$E142&amp;$F142&amp;$J142,'Doc''s Pagos | Rodopar 108'!$B:$B,U$1)+SUMIFS('Doc Há Pagar | Rodopar 1015'!$J:$J,'Doc Há Pagar | Rodopar 1015'!$A:$A,$B142&amp;$E142&amp;$F142,'Doc Há Pagar | Rodopar 1015'!$B:$B,U$1)</f>
        <v>0</v>
      </c>
      <c r="V142" s="20">
        <f>SUMIFS('Doc''s Pagos | Rodopar 108'!$J:$J,'Doc''s Pagos | Rodopar 108'!$A:$A,$B142&amp;$E142&amp;$F142&amp;$J142,'Doc''s Pagos | Rodopar 108'!$B:$B,V$1)+SUMIFS('Doc Há Pagar | Rodopar 1015'!$J:$J,'Doc Há Pagar | Rodopar 1015'!$A:$A,$B142&amp;$E142&amp;$F142,'Doc Há Pagar | Rodopar 1015'!$B:$B,V$1)</f>
        <v>0</v>
      </c>
      <c r="W142" s="20">
        <f>SUMIFS('Doc''s Pagos | Rodopar 108'!$J:$J,'Doc''s Pagos | Rodopar 108'!$A:$A,$B142&amp;$E142&amp;$F142&amp;$J142,'Doc''s Pagos | Rodopar 108'!$B:$B,W$1)+SUMIFS('Doc Há Pagar | Rodopar 1015'!$J:$J,'Doc Há Pagar | Rodopar 1015'!$A:$A,$B142&amp;$E142&amp;$F142,'Doc Há Pagar | Rodopar 1015'!$B:$B,W$1)</f>
        <v>357.45</v>
      </c>
      <c r="X142" s="20">
        <f>SUMIFS('Doc''s Pagos | Rodopar 108'!$J:$J,'Doc''s Pagos | Rodopar 108'!$A:$A,$B142&amp;$E142&amp;$F142&amp;$J142,'Doc''s Pagos | Rodopar 108'!$B:$B,X$1)+SUMIFS('Doc Há Pagar | Rodopar 1015'!$J:$J,'Doc Há Pagar | Rodopar 1015'!$A:$A,$B142&amp;$E142&amp;$F142,'Doc Há Pagar | Rodopar 1015'!$B:$B,X$1)</f>
        <v>0</v>
      </c>
      <c r="Y142" s="20">
        <f>SUMIFS('Doc''s Pagos | Rodopar 108'!$J:$J,'Doc''s Pagos | Rodopar 108'!$A:$A,$B142&amp;$E142&amp;$F142&amp;$J142,'Doc''s Pagos | Rodopar 108'!$B:$B,Y$1)+SUMIFS('Doc Há Pagar | Rodopar 1015'!$J:$J,'Doc Há Pagar | Rodopar 1015'!$A:$A,$B142&amp;$E142&amp;$F142,'Doc Há Pagar | Rodopar 1015'!$B:$B,Y$1)</f>
        <v>0</v>
      </c>
      <c r="Z142" s="20">
        <f>SUMIFS('Doc''s Pagos | Rodopar 108'!$J:$J,'Doc''s Pagos | Rodopar 108'!$A:$A,$B142&amp;$E142&amp;$F142&amp;$J142,'Doc''s Pagos | Rodopar 108'!$B:$B,Z$1)+SUMIFS('Doc Há Pagar | Rodopar 1015'!$J:$J,'Doc Há Pagar | Rodopar 1015'!$A:$A,$B142&amp;$E142&amp;$F142,'Doc Há Pagar | Rodopar 1015'!$B:$B,Z$1)</f>
        <v>0</v>
      </c>
      <c r="AA142" s="20">
        <f>SUMIFS('Doc''s Pagos | Rodopar 108'!$J:$J,'Doc''s Pagos | Rodopar 108'!$A:$A,$B142&amp;$E142&amp;$F142&amp;$J142,'Doc''s Pagos | Rodopar 108'!$B:$B,AA$1)+SUMIFS('Doc Há Pagar | Rodopar 1015'!$J:$J,'Doc Há Pagar | Rodopar 1015'!$A:$A,$B142&amp;$E142&amp;$F142,'Doc Há Pagar | Rodopar 1015'!$B:$B,AA$1)</f>
        <v>0</v>
      </c>
      <c r="AB142" s="20">
        <f>SUMIFS('Doc''s Pagos | Rodopar 108'!$J:$J,'Doc''s Pagos | Rodopar 108'!$A:$A,$B142&amp;$E142&amp;$F142&amp;$J142,'Doc''s Pagos | Rodopar 108'!$B:$B,AB$1)+SUMIFS('Doc Há Pagar | Rodopar 1015'!$J:$J,'Doc Há Pagar | Rodopar 1015'!$A:$A,$B142&amp;$E142&amp;$F142,'Doc Há Pagar | Rodopar 1015'!$B:$B,AB$1)</f>
        <v>0</v>
      </c>
      <c r="AC142" s="20">
        <f>SUMIFS('Doc''s Pagos | Rodopar 108'!$J:$J,'Doc''s Pagos | Rodopar 108'!$A:$A,$B142&amp;$E142&amp;$F142&amp;$J142,'Doc''s Pagos | Rodopar 108'!$B:$B,AC$1)+SUMIFS('Doc Há Pagar | Rodopar 1015'!$J:$J,'Doc Há Pagar | Rodopar 1015'!$A:$A,$B142&amp;$E142&amp;$F142,'Doc Há Pagar | Rodopar 1015'!$B:$B,AC$1)</f>
        <v>0</v>
      </c>
      <c r="AD142" s="20">
        <f>SUMIFS('Doc''s Pagos | Rodopar 108'!$J:$J,'Doc''s Pagos | Rodopar 108'!$A:$A,$B142&amp;$E142&amp;$F142&amp;$J142,'Doc''s Pagos | Rodopar 108'!$B:$B,AD$1)+SUMIFS('Doc Há Pagar | Rodopar 1015'!$J:$J,'Doc Há Pagar | Rodopar 1015'!$A:$A,$B142&amp;$E142&amp;$F142,'Doc Há Pagar | Rodopar 1015'!$B:$B,AD$1)</f>
        <v>0</v>
      </c>
    </row>
    <row r="143" spans="1:30" x14ac:dyDescent="0.25">
      <c r="A143" s="1" t="str">
        <f>VLOOKUP($E143,Fornecedores!$A:$C,3,0)</f>
        <v>Frota</v>
      </c>
      <c r="B143" s="14">
        <v>1487</v>
      </c>
      <c r="C143" s="14" t="str">
        <f>IFERROR(VLOOKUP($E143,Fornecedores!$A:$E,4,0),"")</f>
        <v>MTSR</v>
      </c>
      <c r="D143" s="14" t="str">
        <f>IFERROR(VLOOKUP($E143,Fornecedores!$A:$E,5,0),"")</f>
        <v>Tecnologia</v>
      </c>
      <c r="E143" s="8" t="s">
        <v>24</v>
      </c>
      <c r="F143" s="14" t="s">
        <v>232</v>
      </c>
      <c r="G143" s="8" t="s">
        <v>238</v>
      </c>
      <c r="H143" s="9">
        <v>87</v>
      </c>
      <c r="I143" s="21">
        <v>59176.89</v>
      </c>
      <c r="J143" s="11">
        <v>46119</v>
      </c>
      <c r="K143" s="11">
        <v>46120</v>
      </c>
      <c r="L143" s="8" t="s">
        <v>239</v>
      </c>
      <c r="M143" s="14" t="s">
        <v>240</v>
      </c>
      <c r="N143" s="16">
        <v>2556</v>
      </c>
      <c r="O143" s="14" t="s">
        <v>241</v>
      </c>
      <c r="P143" s="14"/>
      <c r="Q143" s="20">
        <f t="shared" si="2"/>
        <v>0</v>
      </c>
      <c r="S143" s="20">
        <f>SUMIFS('Doc''s Pagos | Rodopar 108'!$J:$J,'Doc''s Pagos | Rodopar 108'!$A:$A,$B143&amp;$E143&amp;$F143&amp;$J143,'Doc''s Pagos | Rodopar 108'!$B:$B,S$1)+SUMIFS('Doc Há Pagar | Rodopar 1015'!$J:$J,'Doc Há Pagar | Rodopar 1015'!$A:$A,$B143&amp;$E143&amp;$F143,'Doc Há Pagar | Rodopar 1015'!$B:$B,S$1)</f>
        <v>0</v>
      </c>
      <c r="T143" s="20">
        <f>SUMIFS('Doc''s Pagos | Rodopar 108'!$J:$J,'Doc''s Pagos | Rodopar 108'!$A:$A,$B143&amp;$E143&amp;$F143&amp;$J143,'Doc''s Pagos | Rodopar 108'!$B:$B,T$1)+SUMIFS('Doc Há Pagar | Rodopar 1015'!$J:$J,'Doc Há Pagar | Rodopar 1015'!$A:$A,$B143&amp;$E143&amp;$F143,'Doc Há Pagar | Rodopar 1015'!$B:$B,T$1)</f>
        <v>0</v>
      </c>
      <c r="U143" s="20">
        <f>SUMIFS('Doc''s Pagos | Rodopar 108'!$J:$J,'Doc''s Pagos | Rodopar 108'!$A:$A,$B143&amp;$E143&amp;$F143&amp;$J143,'Doc''s Pagos | Rodopar 108'!$B:$B,U$1)+SUMIFS('Doc Há Pagar | Rodopar 1015'!$J:$J,'Doc Há Pagar | Rodopar 1015'!$A:$A,$B143&amp;$E143&amp;$F143,'Doc Há Pagar | Rodopar 1015'!$B:$B,U$1)</f>
        <v>0</v>
      </c>
      <c r="V143" s="20">
        <f>SUMIFS('Doc''s Pagos | Rodopar 108'!$J:$J,'Doc''s Pagos | Rodopar 108'!$A:$A,$B143&amp;$E143&amp;$F143&amp;$J143,'Doc''s Pagos | Rodopar 108'!$B:$B,V$1)+SUMIFS('Doc Há Pagar | Rodopar 1015'!$J:$J,'Doc Há Pagar | Rodopar 1015'!$A:$A,$B143&amp;$E143&amp;$F143,'Doc Há Pagar | Rodopar 1015'!$B:$B,V$1)</f>
        <v>0</v>
      </c>
      <c r="W143" s="20">
        <f>SUMIFS('Doc''s Pagos | Rodopar 108'!$J:$J,'Doc''s Pagos | Rodopar 108'!$A:$A,$B143&amp;$E143&amp;$F143&amp;$J143,'Doc''s Pagos | Rodopar 108'!$B:$B,W$1)+SUMIFS('Doc Há Pagar | Rodopar 1015'!$J:$J,'Doc Há Pagar | Rodopar 1015'!$A:$A,$B143&amp;$E143&amp;$F143,'Doc Há Pagar | Rodopar 1015'!$B:$B,W$1)</f>
        <v>59176.89</v>
      </c>
      <c r="X143" s="20">
        <f>SUMIFS('Doc''s Pagos | Rodopar 108'!$J:$J,'Doc''s Pagos | Rodopar 108'!$A:$A,$B143&amp;$E143&amp;$F143&amp;$J143,'Doc''s Pagos | Rodopar 108'!$B:$B,X$1)+SUMIFS('Doc Há Pagar | Rodopar 1015'!$J:$J,'Doc Há Pagar | Rodopar 1015'!$A:$A,$B143&amp;$E143&amp;$F143,'Doc Há Pagar | Rodopar 1015'!$B:$B,X$1)</f>
        <v>0</v>
      </c>
      <c r="Y143" s="20">
        <f>SUMIFS('Doc''s Pagos | Rodopar 108'!$J:$J,'Doc''s Pagos | Rodopar 108'!$A:$A,$B143&amp;$E143&amp;$F143&amp;$J143,'Doc''s Pagos | Rodopar 108'!$B:$B,Y$1)+SUMIFS('Doc Há Pagar | Rodopar 1015'!$J:$J,'Doc Há Pagar | Rodopar 1015'!$A:$A,$B143&amp;$E143&amp;$F143,'Doc Há Pagar | Rodopar 1015'!$B:$B,Y$1)</f>
        <v>0</v>
      </c>
      <c r="Z143" s="20">
        <f>SUMIFS('Doc''s Pagos | Rodopar 108'!$J:$J,'Doc''s Pagos | Rodopar 108'!$A:$A,$B143&amp;$E143&amp;$F143&amp;$J143,'Doc''s Pagos | Rodopar 108'!$B:$B,Z$1)+SUMIFS('Doc Há Pagar | Rodopar 1015'!$J:$J,'Doc Há Pagar | Rodopar 1015'!$A:$A,$B143&amp;$E143&amp;$F143,'Doc Há Pagar | Rodopar 1015'!$B:$B,Z$1)</f>
        <v>0</v>
      </c>
      <c r="AA143" s="20">
        <f>SUMIFS('Doc''s Pagos | Rodopar 108'!$J:$J,'Doc''s Pagos | Rodopar 108'!$A:$A,$B143&amp;$E143&amp;$F143&amp;$J143,'Doc''s Pagos | Rodopar 108'!$B:$B,AA$1)+SUMIFS('Doc Há Pagar | Rodopar 1015'!$J:$J,'Doc Há Pagar | Rodopar 1015'!$A:$A,$B143&amp;$E143&amp;$F143,'Doc Há Pagar | Rodopar 1015'!$B:$B,AA$1)</f>
        <v>0</v>
      </c>
      <c r="AB143" s="20">
        <f>SUMIFS('Doc''s Pagos | Rodopar 108'!$J:$J,'Doc''s Pagos | Rodopar 108'!$A:$A,$B143&amp;$E143&amp;$F143&amp;$J143,'Doc''s Pagos | Rodopar 108'!$B:$B,AB$1)+SUMIFS('Doc Há Pagar | Rodopar 1015'!$J:$J,'Doc Há Pagar | Rodopar 1015'!$A:$A,$B143&amp;$E143&amp;$F143,'Doc Há Pagar | Rodopar 1015'!$B:$B,AB$1)</f>
        <v>0</v>
      </c>
      <c r="AC143" s="20">
        <f>SUMIFS('Doc''s Pagos | Rodopar 108'!$J:$J,'Doc''s Pagos | Rodopar 108'!$A:$A,$B143&amp;$E143&amp;$F143&amp;$J143,'Doc''s Pagos | Rodopar 108'!$B:$B,AC$1)+SUMIFS('Doc Há Pagar | Rodopar 1015'!$J:$J,'Doc Há Pagar | Rodopar 1015'!$A:$A,$B143&amp;$E143&amp;$F143,'Doc Há Pagar | Rodopar 1015'!$B:$B,AC$1)</f>
        <v>0</v>
      </c>
      <c r="AD143" s="20">
        <f>SUMIFS('Doc''s Pagos | Rodopar 108'!$J:$J,'Doc''s Pagos | Rodopar 108'!$A:$A,$B143&amp;$E143&amp;$F143&amp;$J143,'Doc''s Pagos | Rodopar 108'!$B:$B,AD$1)+SUMIFS('Doc Há Pagar | Rodopar 1015'!$J:$J,'Doc Há Pagar | Rodopar 1015'!$A:$A,$B143&amp;$E143&amp;$F143,'Doc Há Pagar | Rodopar 1015'!$B:$B,AD$1)</f>
        <v>0</v>
      </c>
    </row>
    <row r="144" spans="1:30" x14ac:dyDescent="0.25">
      <c r="A144" s="1" t="str">
        <f>VLOOKUP($E144,Fornecedores!$A:$C,3,0)</f>
        <v>Frota</v>
      </c>
      <c r="B144" s="14">
        <v>350</v>
      </c>
      <c r="C144" s="14" t="str">
        <f>IFERROR(VLOOKUP($E144,Fornecedores!$A:$E,4,0),"")</f>
        <v>Pneus</v>
      </c>
      <c r="D144" s="14" t="str">
        <f>IFERROR(VLOOKUP($E144,Fornecedores!$A:$E,5,0),"")</f>
        <v>Serviços Gerais</v>
      </c>
      <c r="E144" s="8" t="s">
        <v>164</v>
      </c>
      <c r="F144" s="14" t="s">
        <v>665</v>
      </c>
      <c r="G144" s="8" t="s">
        <v>465</v>
      </c>
      <c r="H144" s="9">
        <v>87</v>
      </c>
      <c r="I144" s="21">
        <v>2481</v>
      </c>
      <c r="J144" s="11">
        <v>46119</v>
      </c>
      <c r="K144" s="11">
        <v>46120</v>
      </c>
      <c r="L144" s="8" t="s">
        <v>282</v>
      </c>
      <c r="M144" s="14" t="s">
        <v>234</v>
      </c>
      <c r="N144" s="16">
        <v>1556</v>
      </c>
      <c r="O144" s="14" t="s">
        <v>241</v>
      </c>
      <c r="P144" s="14"/>
      <c r="Q144" s="20">
        <f t="shared" si="2"/>
        <v>0</v>
      </c>
      <c r="S144" s="20">
        <f>SUMIFS('Doc''s Pagos | Rodopar 108'!$J:$J,'Doc''s Pagos | Rodopar 108'!$A:$A,$B144&amp;$E144&amp;$F144&amp;$J144,'Doc''s Pagos | Rodopar 108'!$B:$B,S$1)+SUMIFS('Doc Há Pagar | Rodopar 1015'!$J:$J,'Doc Há Pagar | Rodopar 1015'!$A:$A,$B144&amp;$E144&amp;$F144,'Doc Há Pagar | Rodopar 1015'!$B:$B,S$1)</f>
        <v>0</v>
      </c>
      <c r="T144" s="20">
        <f>SUMIFS('Doc''s Pagos | Rodopar 108'!$J:$J,'Doc''s Pagos | Rodopar 108'!$A:$A,$B144&amp;$E144&amp;$F144&amp;$J144,'Doc''s Pagos | Rodopar 108'!$B:$B,T$1)+SUMIFS('Doc Há Pagar | Rodopar 1015'!$J:$J,'Doc Há Pagar | Rodopar 1015'!$A:$A,$B144&amp;$E144&amp;$F144,'Doc Há Pagar | Rodopar 1015'!$B:$B,T$1)</f>
        <v>0</v>
      </c>
      <c r="U144" s="20">
        <f>SUMIFS('Doc''s Pagos | Rodopar 108'!$J:$J,'Doc''s Pagos | Rodopar 108'!$A:$A,$B144&amp;$E144&amp;$F144&amp;$J144,'Doc''s Pagos | Rodopar 108'!$B:$B,U$1)+SUMIFS('Doc Há Pagar | Rodopar 1015'!$J:$J,'Doc Há Pagar | Rodopar 1015'!$A:$A,$B144&amp;$E144&amp;$F144,'Doc Há Pagar | Rodopar 1015'!$B:$B,U$1)</f>
        <v>0</v>
      </c>
      <c r="V144" s="20">
        <f>SUMIFS('Doc''s Pagos | Rodopar 108'!$J:$J,'Doc''s Pagos | Rodopar 108'!$A:$A,$B144&amp;$E144&amp;$F144&amp;$J144,'Doc''s Pagos | Rodopar 108'!$B:$B,V$1)+SUMIFS('Doc Há Pagar | Rodopar 1015'!$J:$J,'Doc Há Pagar | Rodopar 1015'!$A:$A,$B144&amp;$E144&amp;$F144,'Doc Há Pagar | Rodopar 1015'!$B:$B,V$1)</f>
        <v>0</v>
      </c>
      <c r="W144" s="20">
        <f>SUMIFS('Doc''s Pagos | Rodopar 108'!$J:$J,'Doc''s Pagos | Rodopar 108'!$A:$A,$B144&amp;$E144&amp;$F144&amp;$J144,'Doc''s Pagos | Rodopar 108'!$B:$B,W$1)+SUMIFS('Doc Há Pagar | Rodopar 1015'!$J:$J,'Doc Há Pagar | Rodopar 1015'!$A:$A,$B144&amp;$E144&amp;$F144,'Doc Há Pagar | Rodopar 1015'!$B:$B,W$1)</f>
        <v>2481</v>
      </c>
      <c r="X144" s="20">
        <f>SUMIFS('Doc''s Pagos | Rodopar 108'!$J:$J,'Doc''s Pagos | Rodopar 108'!$A:$A,$B144&amp;$E144&amp;$F144&amp;$J144,'Doc''s Pagos | Rodopar 108'!$B:$B,X$1)+SUMIFS('Doc Há Pagar | Rodopar 1015'!$J:$J,'Doc Há Pagar | Rodopar 1015'!$A:$A,$B144&amp;$E144&amp;$F144,'Doc Há Pagar | Rodopar 1015'!$B:$B,X$1)</f>
        <v>0</v>
      </c>
      <c r="Y144" s="20">
        <f>SUMIFS('Doc''s Pagos | Rodopar 108'!$J:$J,'Doc''s Pagos | Rodopar 108'!$A:$A,$B144&amp;$E144&amp;$F144&amp;$J144,'Doc''s Pagos | Rodopar 108'!$B:$B,Y$1)+SUMIFS('Doc Há Pagar | Rodopar 1015'!$J:$J,'Doc Há Pagar | Rodopar 1015'!$A:$A,$B144&amp;$E144&amp;$F144,'Doc Há Pagar | Rodopar 1015'!$B:$B,Y$1)</f>
        <v>0</v>
      </c>
      <c r="Z144" s="20">
        <f>SUMIFS('Doc''s Pagos | Rodopar 108'!$J:$J,'Doc''s Pagos | Rodopar 108'!$A:$A,$B144&amp;$E144&amp;$F144&amp;$J144,'Doc''s Pagos | Rodopar 108'!$B:$B,Z$1)+SUMIFS('Doc Há Pagar | Rodopar 1015'!$J:$J,'Doc Há Pagar | Rodopar 1015'!$A:$A,$B144&amp;$E144&amp;$F144,'Doc Há Pagar | Rodopar 1015'!$B:$B,Z$1)</f>
        <v>0</v>
      </c>
      <c r="AA144" s="20">
        <f>SUMIFS('Doc''s Pagos | Rodopar 108'!$J:$J,'Doc''s Pagos | Rodopar 108'!$A:$A,$B144&amp;$E144&amp;$F144&amp;$J144,'Doc''s Pagos | Rodopar 108'!$B:$B,AA$1)+SUMIFS('Doc Há Pagar | Rodopar 1015'!$J:$J,'Doc Há Pagar | Rodopar 1015'!$A:$A,$B144&amp;$E144&amp;$F144,'Doc Há Pagar | Rodopar 1015'!$B:$B,AA$1)</f>
        <v>0</v>
      </c>
      <c r="AB144" s="20">
        <f>SUMIFS('Doc''s Pagos | Rodopar 108'!$J:$J,'Doc''s Pagos | Rodopar 108'!$A:$A,$B144&amp;$E144&amp;$F144&amp;$J144,'Doc''s Pagos | Rodopar 108'!$B:$B,AB$1)+SUMIFS('Doc Há Pagar | Rodopar 1015'!$J:$J,'Doc Há Pagar | Rodopar 1015'!$A:$A,$B144&amp;$E144&amp;$F144,'Doc Há Pagar | Rodopar 1015'!$B:$B,AB$1)</f>
        <v>0</v>
      </c>
      <c r="AC144" s="20">
        <f>SUMIFS('Doc''s Pagos | Rodopar 108'!$J:$J,'Doc''s Pagos | Rodopar 108'!$A:$A,$B144&amp;$E144&amp;$F144&amp;$J144,'Doc''s Pagos | Rodopar 108'!$B:$B,AC$1)+SUMIFS('Doc Há Pagar | Rodopar 1015'!$J:$J,'Doc Há Pagar | Rodopar 1015'!$A:$A,$B144&amp;$E144&amp;$F144,'Doc Há Pagar | Rodopar 1015'!$B:$B,AC$1)</f>
        <v>0</v>
      </c>
      <c r="AD144" s="20">
        <f>SUMIFS('Doc''s Pagos | Rodopar 108'!$J:$J,'Doc''s Pagos | Rodopar 108'!$A:$A,$B144&amp;$E144&amp;$F144&amp;$J144,'Doc''s Pagos | Rodopar 108'!$B:$B,AD$1)+SUMIFS('Doc Há Pagar | Rodopar 1015'!$J:$J,'Doc Há Pagar | Rodopar 1015'!$A:$A,$B144&amp;$E144&amp;$F144,'Doc Há Pagar | Rodopar 1015'!$B:$B,AD$1)</f>
        <v>0</v>
      </c>
    </row>
    <row r="145" spans="1:30" x14ac:dyDescent="0.25">
      <c r="A145" s="1" t="str">
        <f>VLOOKUP($E145,Fornecedores!$A:$C,3,0)</f>
        <v>Frota</v>
      </c>
      <c r="B145" s="14">
        <v>78</v>
      </c>
      <c r="C145" s="14" t="str">
        <f>IFERROR(VLOOKUP($E145,Fornecedores!$A:$E,4,0),"")</f>
        <v>Manutenção</v>
      </c>
      <c r="D145" s="14" t="str">
        <f>IFERROR(VLOOKUP($E145,Fornecedores!$A:$E,5,0),"")</f>
        <v>Peças E Serviços</v>
      </c>
      <c r="E145" s="8" t="s">
        <v>204</v>
      </c>
      <c r="F145" s="14" t="s">
        <v>665</v>
      </c>
      <c r="G145" s="8" t="s">
        <v>396</v>
      </c>
      <c r="H145" s="9">
        <v>87</v>
      </c>
      <c r="I145" s="21">
        <v>250</v>
      </c>
      <c r="J145" s="11">
        <v>46119</v>
      </c>
      <c r="K145" s="11">
        <v>46120</v>
      </c>
      <c r="L145" s="8" t="s">
        <v>282</v>
      </c>
      <c r="M145" s="14" t="s">
        <v>234</v>
      </c>
      <c r="N145" s="16">
        <v>1556</v>
      </c>
      <c r="O145" s="14" t="s">
        <v>241</v>
      </c>
      <c r="P145" s="14"/>
      <c r="Q145" s="20">
        <f t="shared" si="2"/>
        <v>0</v>
      </c>
      <c r="S145" s="20">
        <f>SUMIFS('Doc''s Pagos | Rodopar 108'!$J:$J,'Doc''s Pagos | Rodopar 108'!$A:$A,$B145&amp;$E145&amp;$F145&amp;$J145,'Doc''s Pagos | Rodopar 108'!$B:$B,S$1)+SUMIFS('Doc Há Pagar | Rodopar 1015'!$J:$J,'Doc Há Pagar | Rodopar 1015'!$A:$A,$B145&amp;$E145&amp;$F145,'Doc Há Pagar | Rodopar 1015'!$B:$B,S$1)</f>
        <v>0</v>
      </c>
      <c r="T145" s="20">
        <f>SUMIFS('Doc''s Pagos | Rodopar 108'!$J:$J,'Doc''s Pagos | Rodopar 108'!$A:$A,$B145&amp;$E145&amp;$F145&amp;$J145,'Doc''s Pagos | Rodopar 108'!$B:$B,T$1)+SUMIFS('Doc Há Pagar | Rodopar 1015'!$J:$J,'Doc Há Pagar | Rodopar 1015'!$A:$A,$B145&amp;$E145&amp;$F145,'Doc Há Pagar | Rodopar 1015'!$B:$B,T$1)</f>
        <v>0</v>
      </c>
      <c r="U145" s="20">
        <f>SUMIFS('Doc''s Pagos | Rodopar 108'!$J:$J,'Doc''s Pagos | Rodopar 108'!$A:$A,$B145&amp;$E145&amp;$F145&amp;$J145,'Doc''s Pagos | Rodopar 108'!$B:$B,U$1)+SUMIFS('Doc Há Pagar | Rodopar 1015'!$J:$J,'Doc Há Pagar | Rodopar 1015'!$A:$A,$B145&amp;$E145&amp;$F145,'Doc Há Pagar | Rodopar 1015'!$B:$B,U$1)</f>
        <v>0</v>
      </c>
      <c r="V145" s="20">
        <f>SUMIFS('Doc''s Pagos | Rodopar 108'!$J:$J,'Doc''s Pagos | Rodopar 108'!$A:$A,$B145&amp;$E145&amp;$F145&amp;$J145,'Doc''s Pagos | Rodopar 108'!$B:$B,V$1)+SUMIFS('Doc Há Pagar | Rodopar 1015'!$J:$J,'Doc Há Pagar | Rodopar 1015'!$A:$A,$B145&amp;$E145&amp;$F145,'Doc Há Pagar | Rodopar 1015'!$B:$B,V$1)</f>
        <v>0</v>
      </c>
      <c r="W145" s="20">
        <f>SUMIFS('Doc''s Pagos | Rodopar 108'!$J:$J,'Doc''s Pagos | Rodopar 108'!$A:$A,$B145&amp;$E145&amp;$F145&amp;$J145,'Doc''s Pagos | Rodopar 108'!$B:$B,W$1)+SUMIFS('Doc Há Pagar | Rodopar 1015'!$J:$J,'Doc Há Pagar | Rodopar 1015'!$A:$A,$B145&amp;$E145&amp;$F145,'Doc Há Pagar | Rodopar 1015'!$B:$B,W$1)</f>
        <v>250</v>
      </c>
      <c r="X145" s="20">
        <f>SUMIFS('Doc''s Pagos | Rodopar 108'!$J:$J,'Doc''s Pagos | Rodopar 108'!$A:$A,$B145&amp;$E145&amp;$F145&amp;$J145,'Doc''s Pagos | Rodopar 108'!$B:$B,X$1)+SUMIFS('Doc Há Pagar | Rodopar 1015'!$J:$J,'Doc Há Pagar | Rodopar 1015'!$A:$A,$B145&amp;$E145&amp;$F145,'Doc Há Pagar | Rodopar 1015'!$B:$B,X$1)</f>
        <v>0</v>
      </c>
      <c r="Y145" s="20">
        <f>SUMIFS('Doc''s Pagos | Rodopar 108'!$J:$J,'Doc''s Pagos | Rodopar 108'!$A:$A,$B145&amp;$E145&amp;$F145&amp;$J145,'Doc''s Pagos | Rodopar 108'!$B:$B,Y$1)+SUMIFS('Doc Há Pagar | Rodopar 1015'!$J:$J,'Doc Há Pagar | Rodopar 1015'!$A:$A,$B145&amp;$E145&amp;$F145,'Doc Há Pagar | Rodopar 1015'!$B:$B,Y$1)</f>
        <v>0</v>
      </c>
      <c r="Z145" s="20">
        <f>SUMIFS('Doc''s Pagos | Rodopar 108'!$J:$J,'Doc''s Pagos | Rodopar 108'!$A:$A,$B145&amp;$E145&amp;$F145&amp;$J145,'Doc''s Pagos | Rodopar 108'!$B:$B,Z$1)+SUMIFS('Doc Há Pagar | Rodopar 1015'!$J:$J,'Doc Há Pagar | Rodopar 1015'!$A:$A,$B145&amp;$E145&amp;$F145,'Doc Há Pagar | Rodopar 1015'!$B:$B,Z$1)</f>
        <v>0</v>
      </c>
      <c r="AA145" s="20">
        <f>SUMIFS('Doc''s Pagos | Rodopar 108'!$J:$J,'Doc''s Pagos | Rodopar 108'!$A:$A,$B145&amp;$E145&amp;$F145&amp;$J145,'Doc''s Pagos | Rodopar 108'!$B:$B,AA$1)+SUMIFS('Doc Há Pagar | Rodopar 1015'!$J:$J,'Doc Há Pagar | Rodopar 1015'!$A:$A,$B145&amp;$E145&amp;$F145,'Doc Há Pagar | Rodopar 1015'!$B:$B,AA$1)</f>
        <v>0</v>
      </c>
      <c r="AB145" s="20">
        <f>SUMIFS('Doc''s Pagos | Rodopar 108'!$J:$J,'Doc''s Pagos | Rodopar 108'!$A:$A,$B145&amp;$E145&amp;$F145&amp;$J145,'Doc''s Pagos | Rodopar 108'!$B:$B,AB$1)+SUMIFS('Doc Há Pagar | Rodopar 1015'!$J:$J,'Doc Há Pagar | Rodopar 1015'!$A:$A,$B145&amp;$E145&amp;$F145,'Doc Há Pagar | Rodopar 1015'!$B:$B,AB$1)</f>
        <v>0</v>
      </c>
      <c r="AC145" s="20">
        <f>SUMIFS('Doc''s Pagos | Rodopar 108'!$J:$J,'Doc''s Pagos | Rodopar 108'!$A:$A,$B145&amp;$E145&amp;$F145&amp;$J145,'Doc''s Pagos | Rodopar 108'!$B:$B,AC$1)+SUMIFS('Doc Há Pagar | Rodopar 1015'!$J:$J,'Doc Há Pagar | Rodopar 1015'!$A:$A,$B145&amp;$E145&amp;$F145,'Doc Há Pagar | Rodopar 1015'!$B:$B,AC$1)</f>
        <v>0</v>
      </c>
      <c r="AD145" s="20">
        <f>SUMIFS('Doc''s Pagos | Rodopar 108'!$J:$J,'Doc''s Pagos | Rodopar 108'!$A:$A,$B145&amp;$E145&amp;$F145&amp;$J145,'Doc''s Pagos | Rodopar 108'!$B:$B,AD$1)+SUMIFS('Doc Há Pagar | Rodopar 1015'!$J:$J,'Doc Há Pagar | Rodopar 1015'!$A:$A,$B145&amp;$E145&amp;$F145,'Doc Há Pagar | Rodopar 1015'!$B:$B,AD$1)</f>
        <v>0</v>
      </c>
    </row>
    <row r="146" spans="1:30" x14ac:dyDescent="0.25">
      <c r="A146" s="1" t="str">
        <f>VLOOKUP($E146,Fornecedores!$A:$C,3,0)</f>
        <v>Frota</v>
      </c>
      <c r="B146" s="14">
        <v>780</v>
      </c>
      <c r="C146" s="14" t="str">
        <f>IFERROR(VLOOKUP($E146,Fornecedores!$A:$E,4,0),"")</f>
        <v>MTSR</v>
      </c>
      <c r="D146" s="14" t="str">
        <f>IFERROR(VLOOKUP($E146,Fornecedores!$A:$E,5,0),"")</f>
        <v>Tecnologia</v>
      </c>
      <c r="E146" s="8" t="s">
        <v>24</v>
      </c>
      <c r="F146" s="14" t="s">
        <v>665</v>
      </c>
      <c r="G146" s="8" t="s">
        <v>238</v>
      </c>
      <c r="H146" s="9">
        <v>87</v>
      </c>
      <c r="I146" s="21">
        <v>11929.32</v>
      </c>
      <c r="J146" s="11">
        <v>46119</v>
      </c>
      <c r="K146" s="11">
        <v>46120</v>
      </c>
      <c r="L146" s="8" t="s">
        <v>239</v>
      </c>
      <c r="M146" s="14" t="s">
        <v>240</v>
      </c>
      <c r="N146" s="16">
        <v>2556</v>
      </c>
      <c r="O146" s="14" t="s">
        <v>241</v>
      </c>
      <c r="P146" s="14"/>
      <c r="Q146" s="20">
        <f t="shared" si="2"/>
        <v>0</v>
      </c>
      <c r="S146" s="20">
        <f>SUMIFS('Doc''s Pagos | Rodopar 108'!$J:$J,'Doc''s Pagos | Rodopar 108'!$A:$A,$B146&amp;$E146&amp;$F146&amp;$J146,'Doc''s Pagos | Rodopar 108'!$B:$B,S$1)+SUMIFS('Doc Há Pagar | Rodopar 1015'!$J:$J,'Doc Há Pagar | Rodopar 1015'!$A:$A,$B146&amp;$E146&amp;$F146,'Doc Há Pagar | Rodopar 1015'!$B:$B,S$1)</f>
        <v>0</v>
      </c>
      <c r="T146" s="20">
        <f>SUMIFS('Doc''s Pagos | Rodopar 108'!$J:$J,'Doc''s Pagos | Rodopar 108'!$A:$A,$B146&amp;$E146&amp;$F146&amp;$J146,'Doc''s Pagos | Rodopar 108'!$B:$B,T$1)+SUMIFS('Doc Há Pagar | Rodopar 1015'!$J:$J,'Doc Há Pagar | Rodopar 1015'!$A:$A,$B146&amp;$E146&amp;$F146,'Doc Há Pagar | Rodopar 1015'!$B:$B,T$1)</f>
        <v>0</v>
      </c>
      <c r="U146" s="20">
        <f>SUMIFS('Doc''s Pagos | Rodopar 108'!$J:$J,'Doc''s Pagos | Rodopar 108'!$A:$A,$B146&amp;$E146&amp;$F146&amp;$J146,'Doc''s Pagos | Rodopar 108'!$B:$B,U$1)+SUMIFS('Doc Há Pagar | Rodopar 1015'!$J:$J,'Doc Há Pagar | Rodopar 1015'!$A:$A,$B146&amp;$E146&amp;$F146,'Doc Há Pagar | Rodopar 1015'!$B:$B,U$1)</f>
        <v>0</v>
      </c>
      <c r="V146" s="20">
        <f>SUMIFS('Doc''s Pagos | Rodopar 108'!$J:$J,'Doc''s Pagos | Rodopar 108'!$A:$A,$B146&amp;$E146&amp;$F146&amp;$J146,'Doc''s Pagos | Rodopar 108'!$B:$B,V$1)+SUMIFS('Doc Há Pagar | Rodopar 1015'!$J:$J,'Doc Há Pagar | Rodopar 1015'!$A:$A,$B146&amp;$E146&amp;$F146,'Doc Há Pagar | Rodopar 1015'!$B:$B,V$1)</f>
        <v>0</v>
      </c>
      <c r="W146" s="20">
        <f>SUMIFS('Doc''s Pagos | Rodopar 108'!$J:$J,'Doc''s Pagos | Rodopar 108'!$A:$A,$B146&amp;$E146&amp;$F146&amp;$J146,'Doc''s Pagos | Rodopar 108'!$B:$B,W$1)+SUMIFS('Doc Há Pagar | Rodopar 1015'!$J:$J,'Doc Há Pagar | Rodopar 1015'!$A:$A,$B146&amp;$E146&amp;$F146,'Doc Há Pagar | Rodopar 1015'!$B:$B,W$1)</f>
        <v>11929.32</v>
      </c>
      <c r="X146" s="20">
        <f>SUMIFS('Doc''s Pagos | Rodopar 108'!$J:$J,'Doc''s Pagos | Rodopar 108'!$A:$A,$B146&amp;$E146&amp;$F146&amp;$J146,'Doc''s Pagos | Rodopar 108'!$B:$B,X$1)+SUMIFS('Doc Há Pagar | Rodopar 1015'!$J:$J,'Doc Há Pagar | Rodopar 1015'!$A:$A,$B146&amp;$E146&amp;$F146,'Doc Há Pagar | Rodopar 1015'!$B:$B,X$1)</f>
        <v>0</v>
      </c>
      <c r="Y146" s="20">
        <f>SUMIFS('Doc''s Pagos | Rodopar 108'!$J:$J,'Doc''s Pagos | Rodopar 108'!$A:$A,$B146&amp;$E146&amp;$F146&amp;$J146,'Doc''s Pagos | Rodopar 108'!$B:$B,Y$1)+SUMIFS('Doc Há Pagar | Rodopar 1015'!$J:$J,'Doc Há Pagar | Rodopar 1015'!$A:$A,$B146&amp;$E146&amp;$F146,'Doc Há Pagar | Rodopar 1015'!$B:$B,Y$1)</f>
        <v>0</v>
      </c>
      <c r="Z146" s="20">
        <f>SUMIFS('Doc''s Pagos | Rodopar 108'!$J:$J,'Doc''s Pagos | Rodopar 108'!$A:$A,$B146&amp;$E146&amp;$F146&amp;$J146,'Doc''s Pagos | Rodopar 108'!$B:$B,Z$1)+SUMIFS('Doc Há Pagar | Rodopar 1015'!$J:$J,'Doc Há Pagar | Rodopar 1015'!$A:$A,$B146&amp;$E146&amp;$F146,'Doc Há Pagar | Rodopar 1015'!$B:$B,Z$1)</f>
        <v>0</v>
      </c>
      <c r="AA146" s="20">
        <f>SUMIFS('Doc''s Pagos | Rodopar 108'!$J:$J,'Doc''s Pagos | Rodopar 108'!$A:$A,$B146&amp;$E146&amp;$F146&amp;$J146,'Doc''s Pagos | Rodopar 108'!$B:$B,AA$1)+SUMIFS('Doc Há Pagar | Rodopar 1015'!$J:$J,'Doc Há Pagar | Rodopar 1015'!$A:$A,$B146&amp;$E146&amp;$F146,'Doc Há Pagar | Rodopar 1015'!$B:$B,AA$1)</f>
        <v>0</v>
      </c>
      <c r="AB146" s="20">
        <f>SUMIFS('Doc''s Pagos | Rodopar 108'!$J:$J,'Doc''s Pagos | Rodopar 108'!$A:$A,$B146&amp;$E146&amp;$F146&amp;$J146,'Doc''s Pagos | Rodopar 108'!$B:$B,AB$1)+SUMIFS('Doc Há Pagar | Rodopar 1015'!$J:$J,'Doc Há Pagar | Rodopar 1015'!$A:$A,$B146&amp;$E146&amp;$F146,'Doc Há Pagar | Rodopar 1015'!$B:$B,AB$1)</f>
        <v>0</v>
      </c>
      <c r="AC146" s="20">
        <f>SUMIFS('Doc''s Pagos | Rodopar 108'!$J:$J,'Doc''s Pagos | Rodopar 108'!$A:$A,$B146&amp;$E146&amp;$F146&amp;$J146,'Doc''s Pagos | Rodopar 108'!$B:$B,AC$1)+SUMIFS('Doc Há Pagar | Rodopar 1015'!$J:$J,'Doc Há Pagar | Rodopar 1015'!$A:$A,$B146&amp;$E146&amp;$F146,'Doc Há Pagar | Rodopar 1015'!$B:$B,AC$1)</f>
        <v>0</v>
      </c>
      <c r="AD146" s="20">
        <f>SUMIFS('Doc''s Pagos | Rodopar 108'!$J:$J,'Doc''s Pagos | Rodopar 108'!$A:$A,$B146&amp;$E146&amp;$F146&amp;$J146,'Doc''s Pagos | Rodopar 108'!$B:$B,AD$1)+SUMIFS('Doc Há Pagar | Rodopar 1015'!$J:$J,'Doc Há Pagar | Rodopar 1015'!$A:$A,$B146&amp;$E146&amp;$F146,'Doc Há Pagar | Rodopar 1015'!$B:$B,AD$1)</f>
        <v>0</v>
      </c>
    </row>
    <row r="147" spans="1:30" x14ac:dyDescent="0.25">
      <c r="A147" s="1" t="str">
        <f>VLOOKUP($E147,Fornecedores!$A:$C,3,0)</f>
        <v>Frota</v>
      </c>
      <c r="B147" s="14">
        <v>781</v>
      </c>
      <c r="C147" s="14" t="str">
        <f>IFERROR(VLOOKUP($E147,Fornecedores!$A:$E,4,0),"")</f>
        <v>MTSR</v>
      </c>
      <c r="D147" s="14" t="str">
        <f>IFERROR(VLOOKUP($E147,Fornecedores!$A:$E,5,0),"")</f>
        <v>Tecnologia</v>
      </c>
      <c r="E147" s="8" t="s">
        <v>24</v>
      </c>
      <c r="F147" s="14" t="s">
        <v>665</v>
      </c>
      <c r="G147" s="8" t="s">
        <v>238</v>
      </c>
      <c r="H147" s="9">
        <v>87</v>
      </c>
      <c r="I147" s="21">
        <v>4149.54</v>
      </c>
      <c r="J147" s="11">
        <v>46119</v>
      </c>
      <c r="K147" s="11">
        <v>46120</v>
      </c>
      <c r="L147" s="8" t="s">
        <v>239</v>
      </c>
      <c r="M147" s="14" t="s">
        <v>240</v>
      </c>
      <c r="N147" s="16">
        <v>2556</v>
      </c>
      <c r="O147" s="14" t="s">
        <v>241</v>
      </c>
      <c r="P147" s="14"/>
      <c r="Q147" s="20">
        <f t="shared" si="2"/>
        <v>0</v>
      </c>
      <c r="S147" s="20">
        <f>SUMIFS('Doc''s Pagos | Rodopar 108'!$J:$J,'Doc''s Pagos | Rodopar 108'!$A:$A,$B147&amp;$E147&amp;$F147&amp;$J147,'Doc''s Pagos | Rodopar 108'!$B:$B,S$1)+SUMIFS('Doc Há Pagar | Rodopar 1015'!$J:$J,'Doc Há Pagar | Rodopar 1015'!$A:$A,$B147&amp;$E147&amp;$F147,'Doc Há Pagar | Rodopar 1015'!$B:$B,S$1)</f>
        <v>0</v>
      </c>
      <c r="T147" s="20">
        <f>SUMIFS('Doc''s Pagos | Rodopar 108'!$J:$J,'Doc''s Pagos | Rodopar 108'!$A:$A,$B147&amp;$E147&amp;$F147&amp;$J147,'Doc''s Pagos | Rodopar 108'!$B:$B,T$1)+SUMIFS('Doc Há Pagar | Rodopar 1015'!$J:$J,'Doc Há Pagar | Rodopar 1015'!$A:$A,$B147&amp;$E147&amp;$F147,'Doc Há Pagar | Rodopar 1015'!$B:$B,T$1)</f>
        <v>0</v>
      </c>
      <c r="U147" s="20">
        <f>SUMIFS('Doc''s Pagos | Rodopar 108'!$J:$J,'Doc''s Pagos | Rodopar 108'!$A:$A,$B147&amp;$E147&amp;$F147&amp;$J147,'Doc''s Pagos | Rodopar 108'!$B:$B,U$1)+SUMIFS('Doc Há Pagar | Rodopar 1015'!$J:$J,'Doc Há Pagar | Rodopar 1015'!$A:$A,$B147&amp;$E147&amp;$F147,'Doc Há Pagar | Rodopar 1015'!$B:$B,U$1)</f>
        <v>0</v>
      </c>
      <c r="V147" s="20">
        <f>SUMIFS('Doc''s Pagos | Rodopar 108'!$J:$J,'Doc''s Pagos | Rodopar 108'!$A:$A,$B147&amp;$E147&amp;$F147&amp;$J147,'Doc''s Pagos | Rodopar 108'!$B:$B,V$1)+SUMIFS('Doc Há Pagar | Rodopar 1015'!$J:$J,'Doc Há Pagar | Rodopar 1015'!$A:$A,$B147&amp;$E147&amp;$F147,'Doc Há Pagar | Rodopar 1015'!$B:$B,V$1)</f>
        <v>0</v>
      </c>
      <c r="W147" s="20">
        <f>SUMIFS('Doc''s Pagos | Rodopar 108'!$J:$J,'Doc''s Pagos | Rodopar 108'!$A:$A,$B147&amp;$E147&amp;$F147&amp;$J147,'Doc''s Pagos | Rodopar 108'!$B:$B,W$1)+SUMIFS('Doc Há Pagar | Rodopar 1015'!$J:$J,'Doc Há Pagar | Rodopar 1015'!$A:$A,$B147&amp;$E147&amp;$F147,'Doc Há Pagar | Rodopar 1015'!$B:$B,W$1)</f>
        <v>4149.54</v>
      </c>
      <c r="X147" s="20">
        <f>SUMIFS('Doc''s Pagos | Rodopar 108'!$J:$J,'Doc''s Pagos | Rodopar 108'!$A:$A,$B147&amp;$E147&amp;$F147&amp;$J147,'Doc''s Pagos | Rodopar 108'!$B:$B,X$1)+SUMIFS('Doc Há Pagar | Rodopar 1015'!$J:$J,'Doc Há Pagar | Rodopar 1015'!$A:$A,$B147&amp;$E147&amp;$F147,'Doc Há Pagar | Rodopar 1015'!$B:$B,X$1)</f>
        <v>0</v>
      </c>
      <c r="Y147" s="20">
        <f>SUMIFS('Doc''s Pagos | Rodopar 108'!$J:$J,'Doc''s Pagos | Rodopar 108'!$A:$A,$B147&amp;$E147&amp;$F147&amp;$J147,'Doc''s Pagos | Rodopar 108'!$B:$B,Y$1)+SUMIFS('Doc Há Pagar | Rodopar 1015'!$J:$J,'Doc Há Pagar | Rodopar 1015'!$A:$A,$B147&amp;$E147&amp;$F147,'Doc Há Pagar | Rodopar 1015'!$B:$B,Y$1)</f>
        <v>0</v>
      </c>
      <c r="Z147" s="20">
        <f>SUMIFS('Doc''s Pagos | Rodopar 108'!$J:$J,'Doc''s Pagos | Rodopar 108'!$A:$A,$B147&amp;$E147&amp;$F147&amp;$J147,'Doc''s Pagos | Rodopar 108'!$B:$B,Z$1)+SUMIFS('Doc Há Pagar | Rodopar 1015'!$J:$J,'Doc Há Pagar | Rodopar 1015'!$A:$A,$B147&amp;$E147&amp;$F147,'Doc Há Pagar | Rodopar 1015'!$B:$B,Z$1)</f>
        <v>0</v>
      </c>
      <c r="AA147" s="20">
        <f>SUMIFS('Doc''s Pagos | Rodopar 108'!$J:$J,'Doc''s Pagos | Rodopar 108'!$A:$A,$B147&amp;$E147&amp;$F147&amp;$J147,'Doc''s Pagos | Rodopar 108'!$B:$B,AA$1)+SUMIFS('Doc Há Pagar | Rodopar 1015'!$J:$J,'Doc Há Pagar | Rodopar 1015'!$A:$A,$B147&amp;$E147&amp;$F147,'Doc Há Pagar | Rodopar 1015'!$B:$B,AA$1)</f>
        <v>0</v>
      </c>
      <c r="AB147" s="20">
        <f>SUMIFS('Doc''s Pagos | Rodopar 108'!$J:$J,'Doc''s Pagos | Rodopar 108'!$A:$A,$B147&amp;$E147&amp;$F147&amp;$J147,'Doc''s Pagos | Rodopar 108'!$B:$B,AB$1)+SUMIFS('Doc Há Pagar | Rodopar 1015'!$J:$J,'Doc Há Pagar | Rodopar 1015'!$A:$A,$B147&amp;$E147&amp;$F147,'Doc Há Pagar | Rodopar 1015'!$B:$B,AB$1)</f>
        <v>0</v>
      </c>
      <c r="AC147" s="20">
        <f>SUMIFS('Doc''s Pagos | Rodopar 108'!$J:$J,'Doc''s Pagos | Rodopar 108'!$A:$A,$B147&amp;$E147&amp;$F147&amp;$J147,'Doc''s Pagos | Rodopar 108'!$B:$B,AC$1)+SUMIFS('Doc Há Pagar | Rodopar 1015'!$J:$J,'Doc Há Pagar | Rodopar 1015'!$A:$A,$B147&amp;$E147&amp;$F147,'Doc Há Pagar | Rodopar 1015'!$B:$B,AC$1)</f>
        <v>0</v>
      </c>
      <c r="AD147" s="20">
        <f>SUMIFS('Doc''s Pagos | Rodopar 108'!$J:$J,'Doc''s Pagos | Rodopar 108'!$A:$A,$B147&amp;$E147&amp;$F147&amp;$J147,'Doc''s Pagos | Rodopar 108'!$B:$B,AD$1)+SUMIFS('Doc Há Pagar | Rodopar 1015'!$J:$J,'Doc Há Pagar | Rodopar 1015'!$A:$A,$B147&amp;$E147&amp;$F147,'Doc Há Pagar | Rodopar 1015'!$B:$B,AD$1)</f>
        <v>0</v>
      </c>
    </row>
    <row r="148" spans="1:30" x14ac:dyDescent="0.25">
      <c r="A148" s="1" t="str">
        <f>VLOOKUP($E148,Fornecedores!$A:$C,3,0)</f>
        <v>Frota</v>
      </c>
      <c r="B148" s="14">
        <v>1008420</v>
      </c>
      <c r="C148" s="14" t="str">
        <f>IFERROR(VLOOKUP($E148,Fornecedores!$A:$E,4,0),"")</f>
        <v>Manutenção</v>
      </c>
      <c r="D148" s="14" t="str">
        <f>IFERROR(VLOOKUP($E148,Fornecedores!$A:$E,5,0),"")</f>
        <v>Caminhão</v>
      </c>
      <c r="E148" s="8" t="s">
        <v>190</v>
      </c>
      <c r="F148" s="14" t="s">
        <v>380</v>
      </c>
      <c r="G148" s="8" t="s">
        <v>381</v>
      </c>
      <c r="H148" s="9">
        <v>87</v>
      </c>
      <c r="I148" s="21">
        <v>1981.04</v>
      </c>
      <c r="J148" s="11">
        <v>46120</v>
      </c>
      <c r="K148" s="11">
        <v>46121</v>
      </c>
      <c r="L148" s="8" t="s">
        <v>382</v>
      </c>
      <c r="M148" s="14" t="s">
        <v>234</v>
      </c>
      <c r="N148" s="16">
        <v>1556</v>
      </c>
      <c r="O148" s="14" t="s">
        <v>241</v>
      </c>
      <c r="P148" s="14"/>
      <c r="Q148" s="20">
        <f t="shared" si="2"/>
        <v>0</v>
      </c>
      <c r="S148" s="20">
        <f>SUMIFS('Doc''s Pagos | Rodopar 108'!$J:$J,'Doc''s Pagos | Rodopar 108'!$A:$A,$B148&amp;$E148&amp;$F148&amp;$J148,'Doc''s Pagos | Rodopar 108'!$B:$B,S$1)+SUMIFS('Doc Há Pagar | Rodopar 1015'!$J:$J,'Doc Há Pagar | Rodopar 1015'!$A:$A,$B148&amp;$E148&amp;$F148,'Doc Há Pagar | Rodopar 1015'!$B:$B,S$1)</f>
        <v>0</v>
      </c>
      <c r="T148" s="20">
        <f>SUMIFS('Doc''s Pagos | Rodopar 108'!$J:$J,'Doc''s Pagos | Rodopar 108'!$A:$A,$B148&amp;$E148&amp;$F148&amp;$J148,'Doc''s Pagos | Rodopar 108'!$B:$B,T$1)+SUMIFS('Doc Há Pagar | Rodopar 1015'!$J:$J,'Doc Há Pagar | Rodopar 1015'!$A:$A,$B148&amp;$E148&amp;$F148,'Doc Há Pagar | Rodopar 1015'!$B:$B,T$1)</f>
        <v>0</v>
      </c>
      <c r="U148" s="20">
        <f>SUMIFS('Doc''s Pagos | Rodopar 108'!$J:$J,'Doc''s Pagos | Rodopar 108'!$A:$A,$B148&amp;$E148&amp;$F148&amp;$J148,'Doc''s Pagos | Rodopar 108'!$B:$B,U$1)+SUMIFS('Doc Há Pagar | Rodopar 1015'!$J:$J,'Doc Há Pagar | Rodopar 1015'!$A:$A,$B148&amp;$E148&amp;$F148,'Doc Há Pagar | Rodopar 1015'!$B:$B,U$1)</f>
        <v>0</v>
      </c>
      <c r="V148" s="20">
        <f>SUMIFS('Doc''s Pagos | Rodopar 108'!$J:$J,'Doc''s Pagos | Rodopar 108'!$A:$A,$B148&amp;$E148&amp;$F148&amp;$J148,'Doc''s Pagos | Rodopar 108'!$B:$B,V$1)+SUMIFS('Doc Há Pagar | Rodopar 1015'!$J:$J,'Doc Há Pagar | Rodopar 1015'!$A:$A,$B148&amp;$E148&amp;$F148,'Doc Há Pagar | Rodopar 1015'!$B:$B,V$1)</f>
        <v>0</v>
      </c>
      <c r="W148" s="20">
        <f>SUMIFS('Doc''s Pagos | Rodopar 108'!$J:$J,'Doc''s Pagos | Rodopar 108'!$A:$A,$B148&amp;$E148&amp;$F148&amp;$J148,'Doc''s Pagos | Rodopar 108'!$B:$B,W$1)+SUMIFS('Doc Há Pagar | Rodopar 1015'!$J:$J,'Doc Há Pagar | Rodopar 1015'!$A:$A,$B148&amp;$E148&amp;$F148,'Doc Há Pagar | Rodopar 1015'!$B:$B,W$1)</f>
        <v>1981.04</v>
      </c>
      <c r="X148" s="20">
        <f>SUMIFS('Doc''s Pagos | Rodopar 108'!$J:$J,'Doc''s Pagos | Rodopar 108'!$A:$A,$B148&amp;$E148&amp;$F148&amp;$J148,'Doc''s Pagos | Rodopar 108'!$B:$B,X$1)+SUMIFS('Doc Há Pagar | Rodopar 1015'!$J:$J,'Doc Há Pagar | Rodopar 1015'!$A:$A,$B148&amp;$E148&amp;$F148,'Doc Há Pagar | Rodopar 1015'!$B:$B,X$1)</f>
        <v>0</v>
      </c>
      <c r="Y148" s="20">
        <f>SUMIFS('Doc''s Pagos | Rodopar 108'!$J:$J,'Doc''s Pagos | Rodopar 108'!$A:$A,$B148&amp;$E148&amp;$F148&amp;$J148,'Doc''s Pagos | Rodopar 108'!$B:$B,Y$1)+SUMIFS('Doc Há Pagar | Rodopar 1015'!$J:$J,'Doc Há Pagar | Rodopar 1015'!$A:$A,$B148&amp;$E148&amp;$F148,'Doc Há Pagar | Rodopar 1015'!$B:$B,Y$1)</f>
        <v>0</v>
      </c>
      <c r="Z148" s="20">
        <f>SUMIFS('Doc''s Pagos | Rodopar 108'!$J:$J,'Doc''s Pagos | Rodopar 108'!$A:$A,$B148&amp;$E148&amp;$F148&amp;$J148,'Doc''s Pagos | Rodopar 108'!$B:$B,Z$1)+SUMIFS('Doc Há Pagar | Rodopar 1015'!$J:$J,'Doc Há Pagar | Rodopar 1015'!$A:$A,$B148&amp;$E148&amp;$F148,'Doc Há Pagar | Rodopar 1015'!$B:$B,Z$1)</f>
        <v>0</v>
      </c>
      <c r="AA148" s="20">
        <f>SUMIFS('Doc''s Pagos | Rodopar 108'!$J:$J,'Doc''s Pagos | Rodopar 108'!$A:$A,$B148&amp;$E148&amp;$F148&amp;$J148,'Doc''s Pagos | Rodopar 108'!$B:$B,AA$1)+SUMIFS('Doc Há Pagar | Rodopar 1015'!$J:$J,'Doc Há Pagar | Rodopar 1015'!$A:$A,$B148&amp;$E148&amp;$F148,'Doc Há Pagar | Rodopar 1015'!$B:$B,AA$1)</f>
        <v>0</v>
      </c>
      <c r="AB148" s="20">
        <f>SUMIFS('Doc''s Pagos | Rodopar 108'!$J:$J,'Doc''s Pagos | Rodopar 108'!$A:$A,$B148&amp;$E148&amp;$F148&amp;$J148,'Doc''s Pagos | Rodopar 108'!$B:$B,AB$1)+SUMIFS('Doc Há Pagar | Rodopar 1015'!$J:$J,'Doc Há Pagar | Rodopar 1015'!$A:$A,$B148&amp;$E148&amp;$F148,'Doc Há Pagar | Rodopar 1015'!$B:$B,AB$1)</f>
        <v>0</v>
      </c>
      <c r="AC148" s="20">
        <f>SUMIFS('Doc''s Pagos | Rodopar 108'!$J:$J,'Doc''s Pagos | Rodopar 108'!$A:$A,$B148&amp;$E148&amp;$F148&amp;$J148,'Doc''s Pagos | Rodopar 108'!$B:$B,AC$1)+SUMIFS('Doc Há Pagar | Rodopar 1015'!$J:$J,'Doc Há Pagar | Rodopar 1015'!$A:$A,$B148&amp;$E148&amp;$F148,'Doc Há Pagar | Rodopar 1015'!$B:$B,AC$1)</f>
        <v>0</v>
      </c>
      <c r="AD148" s="20">
        <f>SUMIFS('Doc''s Pagos | Rodopar 108'!$J:$J,'Doc''s Pagos | Rodopar 108'!$A:$A,$B148&amp;$E148&amp;$F148&amp;$J148,'Doc''s Pagos | Rodopar 108'!$B:$B,AD$1)+SUMIFS('Doc Há Pagar | Rodopar 1015'!$J:$J,'Doc Há Pagar | Rodopar 1015'!$A:$A,$B148&amp;$E148&amp;$F148,'Doc Há Pagar | Rodopar 1015'!$B:$B,AD$1)</f>
        <v>0</v>
      </c>
    </row>
    <row r="149" spans="1:30" x14ac:dyDescent="0.25">
      <c r="A149" s="1" t="str">
        <f>VLOOKUP($E149,Fornecedores!$A:$C,3,0)</f>
        <v>Frota</v>
      </c>
      <c r="B149" s="14">
        <v>36144</v>
      </c>
      <c r="C149" s="14" t="str">
        <f>IFERROR(VLOOKUP($E149,Fornecedores!$A:$E,4,0),"")</f>
        <v>Manutenção</v>
      </c>
      <c r="D149" s="14" t="str">
        <f>IFERROR(VLOOKUP($E149,Fornecedores!$A:$E,5,0),"")</f>
        <v>Vans</v>
      </c>
      <c r="E149" s="8" t="s">
        <v>133</v>
      </c>
      <c r="F149" s="14" t="s">
        <v>380</v>
      </c>
      <c r="G149" s="8" t="s">
        <v>493</v>
      </c>
      <c r="H149" s="9">
        <v>87</v>
      </c>
      <c r="I149" s="21">
        <v>104.96</v>
      </c>
      <c r="J149" s="11">
        <v>46120</v>
      </c>
      <c r="K149" s="11">
        <v>46121</v>
      </c>
      <c r="L149" s="8" t="s">
        <v>494</v>
      </c>
      <c r="M149" s="14" t="s">
        <v>234</v>
      </c>
      <c r="N149" s="16">
        <v>1556</v>
      </c>
      <c r="O149" s="14" t="s">
        <v>241</v>
      </c>
      <c r="P149" s="14"/>
      <c r="Q149" s="20">
        <f t="shared" si="2"/>
        <v>0</v>
      </c>
      <c r="S149" s="20">
        <f>SUMIFS('Doc''s Pagos | Rodopar 108'!$J:$J,'Doc''s Pagos | Rodopar 108'!$A:$A,$B149&amp;$E149&amp;$F149&amp;$J149,'Doc''s Pagos | Rodopar 108'!$B:$B,S$1)+SUMIFS('Doc Há Pagar | Rodopar 1015'!$J:$J,'Doc Há Pagar | Rodopar 1015'!$A:$A,$B149&amp;$E149&amp;$F149,'Doc Há Pagar | Rodopar 1015'!$B:$B,S$1)</f>
        <v>0</v>
      </c>
      <c r="T149" s="20">
        <f>SUMIFS('Doc''s Pagos | Rodopar 108'!$J:$J,'Doc''s Pagos | Rodopar 108'!$A:$A,$B149&amp;$E149&amp;$F149&amp;$J149,'Doc''s Pagos | Rodopar 108'!$B:$B,T$1)+SUMIFS('Doc Há Pagar | Rodopar 1015'!$J:$J,'Doc Há Pagar | Rodopar 1015'!$A:$A,$B149&amp;$E149&amp;$F149,'Doc Há Pagar | Rodopar 1015'!$B:$B,T$1)</f>
        <v>0</v>
      </c>
      <c r="U149" s="20">
        <f>SUMIFS('Doc''s Pagos | Rodopar 108'!$J:$J,'Doc''s Pagos | Rodopar 108'!$A:$A,$B149&amp;$E149&amp;$F149&amp;$J149,'Doc''s Pagos | Rodopar 108'!$B:$B,U$1)+SUMIFS('Doc Há Pagar | Rodopar 1015'!$J:$J,'Doc Há Pagar | Rodopar 1015'!$A:$A,$B149&amp;$E149&amp;$F149,'Doc Há Pagar | Rodopar 1015'!$B:$B,U$1)</f>
        <v>0</v>
      </c>
      <c r="V149" s="20">
        <f>SUMIFS('Doc''s Pagos | Rodopar 108'!$J:$J,'Doc''s Pagos | Rodopar 108'!$A:$A,$B149&amp;$E149&amp;$F149&amp;$J149,'Doc''s Pagos | Rodopar 108'!$B:$B,V$1)+SUMIFS('Doc Há Pagar | Rodopar 1015'!$J:$J,'Doc Há Pagar | Rodopar 1015'!$A:$A,$B149&amp;$E149&amp;$F149,'Doc Há Pagar | Rodopar 1015'!$B:$B,V$1)</f>
        <v>0</v>
      </c>
      <c r="W149" s="20">
        <f>SUMIFS('Doc''s Pagos | Rodopar 108'!$J:$J,'Doc''s Pagos | Rodopar 108'!$A:$A,$B149&amp;$E149&amp;$F149&amp;$J149,'Doc''s Pagos | Rodopar 108'!$B:$B,W$1)+SUMIFS('Doc Há Pagar | Rodopar 1015'!$J:$J,'Doc Há Pagar | Rodopar 1015'!$A:$A,$B149&amp;$E149&amp;$F149,'Doc Há Pagar | Rodopar 1015'!$B:$B,W$1)</f>
        <v>104.96</v>
      </c>
      <c r="X149" s="20">
        <f>SUMIFS('Doc''s Pagos | Rodopar 108'!$J:$J,'Doc''s Pagos | Rodopar 108'!$A:$A,$B149&amp;$E149&amp;$F149&amp;$J149,'Doc''s Pagos | Rodopar 108'!$B:$B,X$1)+SUMIFS('Doc Há Pagar | Rodopar 1015'!$J:$J,'Doc Há Pagar | Rodopar 1015'!$A:$A,$B149&amp;$E149&amp;$F149,'Doc Há Pagar | Rodopar 1015'!$B:$B,X$1)</f>
        <v>0</v>
      </c>
      <c r="Y149" s="20">
        <f>SUMIFS('Doc''s Pagos | Rodopar 108'!$J:$J,'Doc''s Pagos | Rodopar 108'!$A:$A,$B149&amp;$E149&amp;$F149&amp;$J149,'Doc''s Pagos | Rodopar 108'!$B:$B,Y$1)+SUMIFS('Doc Há Pagar | Rodopar 1015'!$J:$J,'Doc Há Pagar | Rodopar 1015'!$A:$A,$B149&amp;$E149&amp;$F149,'Doc Há Pagar | Rodopar 1015'!$B:$B,Y$1)</f>
        <v>0</v>
      </c>
      <c r="Z149" s="20">
        <f>SUMIFS('Doc''s Pagos | Rodopar 108'!$J:$J,'Doc''s Pagos | Rodopar 108'!$A:$A,$B149&amp;$E149&amp;$F149&amp;$J149,'Doc''s Pagos | Rodopar 108'!$B:$B,Z$1)+SUMIFS('Doc Há Pagar | Rodopar 1015'!$J:$J,'Doc Há Pagar | Rodopar 1015'!$A:$A,$B149&amp;$E149&amp;$F149,'Doc Há Pagar | Rodopar 1015'!$B:$B,Z$1)</f>
        <v>0</v>
      </c>
      <c r="AA149" s="20">
        <f>SUMIFS('Doc''s Pagos | Rodopar 108'!$J:$J,'Doc''s Pagos | Rodopar 108'!$A:$A,$B149&amp;$E149&amp;$F149&amp;$J149,'Doc''s Pagos | Rodopar 108'!$B:$B,AA$1)+SUMIFS('Doc Há Pagar | Rodopar 1015'!$J:$J,'Doc Há Pagar | Rodopar 1015'!$A:$A,$B149&amp;$E149&amp;$F149,'Doc Há Pagar | Rodopar 1015'!$B:$B,AA$1)</f>
        <v>0</v>
      </c>
      <c r="AB149" s="20">
        <f>SUMIFS('Doc''s Pagos | Rodopar 108'!$J:$J,'Doc''s Pagos | Rodopar 108'!$A:$A,$B149&amp;$E149&amp;$F149&amp;$J149,'Doc''s Pagos | Rodopar 108'!$B:$B,AB$1)+SUMIFS('Doc Há Pagar | Rodopar 1015'!$J:$J,'Doc Há Pagar | Rodopar 1015'!$A:$A,$B149&amp;$E149&amp;$F149,'Doc Há Pagar | Rodopar 1015'!$B:$B,AB$1)</f>
        <v>0</v>
      </c>
      <c r="AC149" s="20">
        <f>SUMIFS('Doc''s Pagos | Rodopar 108'!$J:$J,'Doc''s Pagos | Rodopar 108'!$A:$A,$B149&amp;$E149&amp;$F149&amp;$J149,'Doc''s Pagos | Rodopar 108'!$B:$B,AC$1)+SUMIFS('Doc Há Pagar | Rodopar 1015'!$J:$J,'Doc Há Pagar | Rodopar 1015'!$A:$A,$B149&amp;$E149&amp;$F149,'Doc Há Pagar | Rodopar 1015'!$B:$B,AC$1)</f>
        <v>0</v>
      </c>
      <c r="AD149" s="20">
        <f>SUMIFS('Doc''s Pagos | Rodopar 108'!$J:$J,'Doc''s Pagos | Rodopar 108'!$A:$A,$B149&amp;$E149&amp;$F149&amp;$J149,'Doc''s Pagos | Rodopar 108'!$B:$B,AD$1)+SUMIFS('Doc Há Pagar | Rodopar 1015'!$J:$J,'Doc Há Pagar | Rodopar 1015'!$A:$A,$B149&amp;$E149&amp;$F149,'Doc Há Pagar | Rodopar 1015'!$B:$B,AD$1)</f>
        <v>0</v>
      </c>
    </row>
    <row r="150" spans="1:30" x14ac:dyDescent="0.25">
      <c r="A150" s="1" t="str">
        <f>VLOOKUP($E150,Fornecedores!$A:$C,3,0)</f>
        <v>Frota</v>
      </c>
      <c r="B150" s="14">
        <v>13</v>
      </c>
      <c r="C150" s="14" t="str">
        <f>IFERROR(VLOOKUP($E150,Fornecedores!$A:$E,4,0),"")</f>
        <v>Lavagem</v>
      </c>
      <c r="D150" s="14" t="str">
        <f>IFERROR(VLOOKUP($E150,Fornecedores!$A:$E,5,0),"")</f>
        <v>Lavagem</v>
      </c>
      <c r="E150" s="8" t="s">
        <v>85</v>
      </c>
      <c r="F150" s="14" t="s">
        <v>665</v>
      </c>
      <c r="G150" s="8" t="s">
        <v>633</v>
      </c>
      <c r="H150" s="9">
        <v>87</v>
      </c>
      <c r="I150" s="21">
        <v>10380</v>
      </c>
      <c r="J150" s="11">
        <v>46120</v>
      </c>
      <c r="K150" s="11">
        <v>46120</v>
      </c>
      <c r="L150" s="8" t="s">
        <v>282</v>
      </c>
      <c r="M150" s="14" t="s">
        <v>234</v>
      </c>
      <c r="N150" s="16">
        <v>1556</v>
      </c>
      <c r="O150" s="14" t="s">
        <v>241</v>
      </c>
      <c r="P150" s="14"/>
      <c r="Q150" s="20">
        <f t="shared" si="2"/>
        <v>0</v>
      </c>
      <c r="S150" s="20">
        <f>SUMIFS('Doc''s Pagos | Rodopar 108'!$J:$J,'Doc''s Pagos | Rodopar 108'!$A:$A,$B150&amp;$E150&amp;$F150&amp;$J150,'Doc''s Pagos | Rodopar 108'!$B:$B,S$1)+SUMIFS('Doc Há Pagar | Rodopar 1015'!$J:$J,'Doc Há Pagar | Rodopar 1015'!$A:$A,$B150&amp;$E150&amp;$F150,'Doc Há Pagar | Rodopar 1015'!$B:$B,S$1)</f>
        <v>0</v>
      </c>
      <c r="T150" s="20">
        <f>SUMIFS('Doc''s Pagos | Rodopar 108'!$J:$J,'Doc''s Pagos | Rodopar 108'!$A:$A,$B150&amp;$E150&amp;$F150&amp;$J150,'Doc''s Pagos | Rodopar 108'!$B:$B,T$1)+SUMIFS('Doc Há Pagar | Rodopar 1015'!$J:$J,'Doc Há Pagar | Rodopar 1015'!$A:$A,$B150&amp;$E150&amp;$F150,'Doc Há Pagar | Rodopar 1015'!$B:$B,T$1)</f>
        <v>0</v>
      </c>
      <c r="U150" s="20">
        <f>SUMIFS('Doc''s Pagos | Rodopar 108'!$J:$J,'Doc''s Pagos | Rodopar 108'!$A:$A,$B150&amp;$E150&amp;$F150&amp;$J150,'Doc''s Pagos | Rodopar 108'!$B:$B,U$1)+SUMIFS('Doc Há Pagar | Rodopar 1015'!$J:$J,'Doc Há Pagar | Rodopar 1015'!$A:$A,$B150&amp;$E150&amp;$F150,'Doc Há Pagar | Rodopar 1015'!$B:$B,U$1)</f>
        <v>0</v>
      </c>
      <c r="V150" s="20">
        <f>SUMIFS('Doc''s Pagos | Rodopar 108'!$J:$J,'Doc''s Pagos | Rodopar 108'!$A:$A,$B150&amp;$E150&amp;$F150&amp;$J150,'Doc''s Pagos | Rodopar 108'!$B:$B,V$1)+SUMIFS('Doc Há Pagar | Rodopar 1015'!$J:$J,'Doc Há Pagar | Rodopar 1015'!$A:$A,$B150&amp;$E150&amp;$F150,'Doc Há Pagar | Rodopar 1015'!$B:$B,V$1)</f>
        <v>0</v>
      </c>
      <c r="W150" s="20">
        <f>SUMIFS('Doc''s Pagos | Rodopar 108'!$J:$J,'Doc''s Pagos | Rodopar 108'!$A:$A,$B150&amp;$E150&amp;$F150&amp;$J150,'Doc''s Pagos | Rodopar 108'!$B:$B,W$1)+SUMIFS('Doc Há Pagar | Rodopar 1015'!$J:$J,'Doc Há Pagar | Rodopar 1015'!$A:$A,$B150&amp;$E150&amp;$F150,'Doc Há Pagar | Rodopar 1015'!$B:$B,W$1)</f>
        <v>10380</v>
      </c>
      <c r="X150" s="20">
        <f>SUMIFS('Doc''s Pagos | Rodopar 108'!$J:$J,'Doc''s Pagos | Rodopar 108'!$A:$A,$B150&amp;$E150&amp;$F150&amp;$J150,'Doc''s Pagos | Rodopar 108'!$B:$B,X$1)+SUMIFS('Doc Há Pagar | Rodopar 1015'!$J:$J,'Doc Há Pagar | Rodopar 1015'!$A:$A,$B150&amp;$E150&amp;$F150,'Doc Há Pagar | Rodopar 1015'!$B:$B,X$1)</f>
        <v>0</v>
      </c>
      <c r="Y150" s="20">
        <f>SUMIFS('Doc''s Pagos | Rodopar 108'!$J:$J,'Doc''s Pagos | Rodopar 108'!$A:$A,$B150&amp;$E150&amp;$F150&amp;$J150,'Doc''s Pagos | Rodopar 108'!$B:$B,Y$1)+SUMIFS('Doc Há Pagar | Rodopar 1015'!$J:$J,'Doc Há Pagar | Rodopar 1015'!$A:$A,$B150&amp;$E150&amp;$F150,'Doc Há Pagar | Rodopar 1015'!$B:$B,Y$1)</f>
        <v>0</v>
      </c>
      <c r="Z150" s="20">
        <f>SUMIFS('Doc''s Pagos | Rodopar 108'!$J:$J,'Doc''s Pagos | Rodopar 108'!$A:$A,$B150&amp;$E150&amp;$F150&amp;$J150,'Doc''s Pagos | Rodopar 108'!$B:$B,Z$1)+SUMIFS('Doc Há Pagar | Rodopar 1015'!$J:$J,'Doc Há Pagar | Rodopar 1015'!$A:$A,$B150&amp;$E150&amp;$F150,'Doc Há Pagar | Rodopar 1015'!$B:$B,Z$1)</f>
        <v>0</v>
      </c>
      <c r="AA150" s="20">
        <f>SUMIFS('Doc''s Pagos | Rodopar 108'!$J:$J,'Doc''s Pagos | Rodopar 108'!$A:$A,$B150&amp;$E150&amp;$F150&amp;$J150,'Doc''s Pagos | Rodopar 108'!$B:$B,AA$1)+SUMIFS('Doc Há Pagar | Rodopar 1015'!$J:$J,'Doc Há Pagar | Rodopar 1015'!$A:$A,$B150&amp;$E150&amp;$F150,'Doc Há Pagar | Rodopar 1015'!$B:$B,AA$1)</f>
        <v>0</v>
      </c>
      <c r="AB150" s="20">
        <f>SUMIFS('Doc''s Pagos | Rodopar 108'!$J:$J,'Doc''s Pagos | Rodopar 108'!$A:$A,$B150&amp;$E150&amp;$F150&amp;$J150,'Doc''s Pagos | Rodopar 108'!$B:$B,AB$1)+SUMIFS('Doc Há Pagar | Rodopar 1015'!$J:$J,'Doc Há Pagar | Rodopar 1015'!$A:$A,$B150&amp;$E150&amp;$F150,'Doc Há Pagar | Rodopar 1015'!$B:$B,AB$1)</f>
        <v>0</v>
      </c>
      <c r="AC150" s="20">
        <f>SUMIFS('Doc''s Pagos | Rodopar 108'!$J:$J,'Doc''s Pagos | Rodopar 108'!$A:$A,$B150&amp;$E150&amp;$F150&amp;$J150,'Doc''s Pagos | Rodopar 108'!$B:$B,AC$1)+SUMIFS('Doc Há Pagar | Rodopar 1015'!$J:$J,'Doc Há Pagar | Rodopar 1015'!$A:$A,$B150&amp;$E150&amp;$F150,'Doc Há Pagar | Rodopar 1015'!$B:$B,AC$1)</f>
        <v>0</v>
      </c>
      <c r="AD150" s="20">
        <f>SUMIFS('Doc''s Pagos | Rodopar 108'!$J:$J,'Doc''s Pagos | Rodopar 108'!$A:$A,$B150&amp;$E150&amp;$F150&amp;$J150,'Doc''s Pagos | Rodopar 108'!$B:$B,AD$1)+SUMIFS('Doc Há Pagar | Rodopar 1015'!$J:$J,'Doc Há Pagar | Rodopar 1015'!$A:$A,$B150&amp;$E150&amp;$F150,'Doc Há Pagar | Rodopar 1015'!$B:$B,AD$1)</f>
        <v>0</v>
      </c>
    </row>
    <row r="151" spans="1:30" x14ac:dyDescent="0.25">
      <c r="A151" s="1" t="str">
        <f>VLOOKUP($E151,Fornecedores!$A:$C,3,0)</f>
        <v>Frota</v>
      </c>
      <c r="B151" s="14">
        <v>3882</v>
      </c>
      <c r="C151" s="14" t="str">
        <f>IFERROR(VLOOKUP($E151,Fornecedores!$A:$E,4,0),"")</f>
        <v>Pneus</v>
      </c>
      <c r="D151" s="14" t="str">
        <f>IFERROR(VLOOKUP($E151,Fornecedores!$A:$E,5,0),"")</f>
        <v>Ressolagem</v>
      </c>
      <c r="E151" s="8" t="s">
        <v>166</v>
      </c>
      <c r="F151" s="14" t="s">
        <v>665</v>
      </c>
      <c r="G151" s="8" t="s">
        <v>611</v>
      </c>
      <c r="H151" s="9">
        <v>87</v>
      </c>
      <c r="I151" s="21">
        <v>210</v>
      </c>
      <c r="J151" s="11">
        <v>46120</v>
      </c>
      <c r="K151" s="11">
        <v>46120</v>
      </c>
      <c r="L151" s="8" t="s">
        <v>382</v>
      </c>
      <c r="M151" s="14" t="s">
        <v>234</v>
      </c>
      <c r="N151" s="16">
        <v>1556</v>
      </c>
      <c r="O151" s="14" t="s">
        <v>241</v>
      </c>
      <c r="P151" s="14"/>
      <c r="Q151" s="20">
        <f t="shared" si="2"/>
        <v>0</v>
      </c>
      <c r="S151" s="20">
        <f>SUMIFS('Doc''s Pagos | Rodopar 108'!$J:$J,'Doc''s Pagos | Rodopar 108'!$A:$A,$B151&amp;$E151&amp;$F151&amp;$J151,'Doc''s Pagos | Rodopar 108'!$B:$B,S$1)+SUMIFS('Doc Há Pagar | Rodopar 1015'!$J:$J,'Doc Há Pagar | Rodopar 1015'!$A:$A,$B151&amp;$E151&amp;$F151,'Doc Há Pagar | Rodopar 1015'!$B:$B,S$1)</f>
        <v>0</v>
      </c>
      <c r="T151" s="20">
        <f>SUMIFS('Doc''s Pagos | Rodopar 108'!$J:$J,'Doc''s Pagos | Rodopar 108'!$A:$A,$B151&amp;$E151&amp;$F151&amp;$J151,'Doc''s Pagos | Rodopar 108'!$B:$B,T$1)+SUMIFS('Doc Há Pagar | Rodopar 1015'!$J:$J,'Doc Há Pagar | Rodopar 1015'!$A:$A,$B151&amp;$E151&amp;$F151,'Doc Há Pagar | Rodopar 1015'!$B:$B,T$1)</f>
        <v>0</v>
      </c>
      <c r="U151" s="20">
        <f>SUMIFS('Doc''s Pagos | Rodopar 108'!$J:$J,'Doc''s Pagos | Rodopar 108'!$A:$A,$B151&amp;$E151&amp;$F151&amp;$J151,'Doc''s Pagos | Rodopar 108'!$B:$B,U$1)+SUMIFS('Doc Há Pagar | Rodopar 1015'!$J:$J,'Doc Há Pagar | Rodopar 1015'!$A:$A,$B151&amp;$E151&amp;$F151,'Doc Há Pagar | Rodopar 1015'!$B:$B,U$1)</f>
        <v>0</v>
      </c>
      <c r="V151" s="20">
        <f>SUMIFS('Doc''s Pagos | Rodopar 108'!$J:$J,'Doc''s Pagos | Rodopar 108'!$A:$A,$B151&amp;$E151&amp;$F151&amp;$J151,'Doc''s Pagos | Rodopar 108'!$B:$B,V$1)+SUMIFS('Doc Há Pagar | Rodopar 1015'!$J:$J,'Doc Há Pagar | Rodopar 1015'!$A:$A,$B151&amp;$E151&amp;$F151,'Doc Há Pagar | Rodopar 1015'!$B:$B,V$1)</f>
        <v>0</v>
      </c>
      <c r="W151" s="20">
        <f>SUMIFS('Doc''s Pagos | Rodopar 108'!$J:$J,'Doc''s Pagos | Rodopar 108'!$A:$A,$B151&amp;$E151&amp;$F151&amp;$J151,'Doc''s Pagos | Rodopar 108'!$B:$B,W$1)+SUMIFS('Doc Há Pagar | Rodopar 1015'!$J:$J,'Doc Há Pagar | Rodopar 1015'!$A:$A,$B151&amp;$E151&amp;$F151,'Doc Há Pagar | Rodopar 1015'!$B:$B,W$1)</f>
        <v>210</v>
      </c>
      <c r="X151" s="20">
        <f>SUMIFS('Doc''s Pagos | Rodopar 108'!$J:$J,'Doc''s Pagos | Rodopar 108'!$A:$A,$B151&amp;$E151&amp;$F151&amp;$J151,'Doc''s Pagos | Rodopar 108'!$B:$B,X$1)+SUMIFS('Doc Há Pagar | Rodopar 1015'!$J:$J,'Doc Há Pagar | Rodopar 1015'!$A:$A,$B151&amp;$E151&amp;$F151,'Doc Há Pagar | Rodopar 1015'!$B:$B,X$1)</f>
        <v>0</v>
      </c>
      <c r="Y151" s="20">
        <f>SUMIFS('Doc''s Pagos | Rodopar 108'!$J:$J,'Doc''s Pagos | Rodopar 108'!$A:$A,$B151&amp;$E151&amp;$F151&amp;$J151,'Doc''s Pagos | Rodopar 108'!$B:$B,Y$1)+SUMIFS('Doc Há Pagar | Rodopar 1015'!$J:$J,'Doc Há Pagar | Rodopar 1015'!$A:$A,$B151&amp;$E151&amp;$F151,'Doc Há Pagar | Rodopar 1015'!$B:$B,Y$1)</f>
        <v>0</v>
      </c>
      <c r="Z151" s="20">
        <f>SUMIFS('Doc''s Pagos | Rodopar 108'!$J:$J,'Doc''s Pagos | Rodopar 108'!$A:$A,$B151&amp;$E151&amp;$F151&amp;$J151,'Doc''s Pagos | Rodopar 108'!$B:$B,Z$1)+SUMIFS('Doc Há Pagar | Rodopar 1015'!$J:$J,'Doc Há Pagar | Rodopar 1015'!$A:$A,$B151&amp;$E151&amp;$F151,'Doc Há Pagar | Rodopar 1015'!$B:$B,Z$1)</f>
        <v>0</v>
      </c>
      <c r="AA151" s="20">
        <f>SUMIFS('Doc''s Pagos | Rodopar 108'!$J:$J,'Doc''s Pagos | Rodopar 108'!$A:$A,$B151&amp;$E151&amp;$F151&amp;$J151,'Doc''s Pagos | Rodopar 108'!$B:$B,AA$1)+SUMIFS('Doc Há Pagar | Rodopar 1015'!$J:$J,'Doc Há Pagar | Rodopar 1015'!$A:$A,$B151&amp;$E151&amp;$F151,'Doc Há Pagar | Rodopar 1015'!$B:$B,AA$1)</f>
        <v>0</v>
      </c>
      <c r="AB151" s="20">
        <f>SUMIFS('Doc''s Pagos | Rodopar 108'!$J:$J,'Doc''s Pagos | Rodopar 108'!$A:$A,$B151&amp;$E151&amp;$F151&amp;$J151,'Doc''s Pagos | Rodopar 108'!$B:$B,AB$1)+SUMIFS('Doc Há Pagar | Rodopar 1015'!$J:$J,'Doc Há Pagar | Rodopar 1015'!$A:$A,$B151&amp;$E151&amp;$F151,'Doc Há Pagar | Rodopar 1015'!$B:$B,AB$1)</f>
        <v>0</v>
      </c>
      <c r="AC151" s="20">
        <f>SUMIFS('Doc''s Pagos | Rodopar 108'!$J:$J,'Doc''s Pagos | Rodopar 108'!$A:$A,$B151&amp;$E151&amp;$F151&amp;$J151,'Doc''s Pagos | Rodopar 108'!$B:$B,AC$1)+SUMIFS('Doc Há Pagar | Rodopar 1015'!$J:$J,'Doc Há Pagar | Rodopar 1015'!$A:$A,$B151&amp;$E151&amp;$F151,'Doc Há Pagar | Rodopar 1015'!$B:$B,AC$1)</f>
        <v>0</v>
      </c>
      <c r="AD151" s="20">
        <f>SUMIFS('Doc''s Pagos | Rodopar 108'!$J:$J,'Doc''s Pagos | Rodopar 108'!$A:$A,$B151&amp;$E151&amp;$F151&amp;$J151,'Doc''s Pagos | Rodopar 108'!$B:$B,AD$1)+SUMIFS('Doc Há Pagar | Rodopar 1015'!$J:$J,'Doc Há Pagar | Rodopar 1015'!$A:$A,$B151&amp;$E151&amp;$F151,'Doc Há Pagar | Rodopar 1015'!$B:$B,AD$1)</f>
        <v>0</v>
      </c>
    </row>
    <row r="152" spans="1:30" x14ac:dyDescent="0.25">
      <c r="A152" s="1" t="str">
        <f>VLOOKUP($E152,Fornecedores!$A:$C,3,0)</f>
        <v>Frota</v>
      </c>
      <c r="B152" s="14">
        <v>49</v>
      </c>
      <c r="C152" s="14" t="str">
        <f>IFERROR(VLOOKUP($E152,Fornecedores!$A:$E,4,0),"")</f>
        <v>Lavagem</v>
      </c>
      <c r="D152" s="14" t="str">
        <f>IFERROR(VLOOKUP($E152,Fornecedores!$A:$E,5,0),"")</f>
        <v>Lavagem</v>
      </c>
      <c r="E152" s="8" t="s">
        <v>44</v>
      </c>
      <c r="F152" s="14" t="s">
        <v>665</v>
      </c>
      <c r="G152" s="8" t="s">
        <v>899</v>
      </c>
      <c r="H152" s="9">
        <v>87</v>
      </c>
      <c r="I152" s="21">
        <v>670</v>
      </c>
      <c r="J152" s="11">
        <v>46120</v>
      </c>
      <c r="K152" s="11">
        <v>46125</v>
      </c>
      <c r="L152" s="8" t="s">
        <v>435</v>
      </c>
      <c r="M152" s="14" t="s">
        <v>234</v>
      </c>
      <c r="N152" s="16">
        <v>1556</v>
      </c>
      <c r="O152" s="14" t="s">
        <v>241</v>
      </c>
      <c r="P152" s="14"/>
      <c r="Q152" s="20">
        <f t="shared" si="2"/>
        <v>0</v>
      </c>
      <c r="S152" s="20">
        <f>SUMIFS('Doc''s Pagos | Rodopar 108'!$J:$J,'Doc''s Pagos | Rodopar 108'!$A:$A,$B152&amp;$E152&amp;$F152&amp;$J152,'Doc''s Pagos | Rodopar 108'!$B:$B,S$1)+SUMIFS('Doc Há Pagar | Rodopar 1015'!$J:$J,'Doc Há Pagar | Rodopar 1015'!$A:$A,$B152&amp;$E152&amp;$F152,'Doc Há Pagar | Rodopar 1015'!$B:$B,S$1)</f>
        <v>0</v>
      </c>
      <c r="T152" s="20">
        <f>SUMIFS('Doc''s Pagos | Rodopar 108'!$J:$J,'Doc''s Pagos | Rodopar 108'!$A:$A,$B152&amp;$E152&amp;$F152&amp;$J152,'Doc''s Pagos | Rodopar 108'!$B:$B,T$1)+SUMIFS('Doc Há Pagar | Rodopar 1015'!$J:$J,'Doc Há Pagar | Rodopar 1015'!$A:$A,$B152&amp;$E152&amp;$F152,'Doc Há Pagar | Rodopar 1015'!$B:$B,T$1)</f>
        <v>0</v>
      </c>
      <c r="U152" s="20">
        <f>SUMIFS('Doc''s Pagos | Rodopar 108'!$J:$J,'Doc''s Pagos | Rodopar 108'!$A:$A,$B152&amp;$E152&amp;$F152&amp;$J152,'Doc''s Pagos | Rodopar 108'!$B:$B,U$1)+SUMIFS('Doc Há Pagar | Rodopar 1015'!$J:$J,'Doc Há Pagar | Rodopar 1015'!$A:$A,$B152&amp;$E152&amp;$F152,'Doc Há Pagar | Rodopar 1015'!$B:$B,U$1)</f>
        <v>0</v>
      </c>
      <c r="V152" s="20">
        <f>SUMIFS('Doc''s Pagos | Rodopar 108'!$J:$J,'Doc''s Pagos | Rodopar 108'!$A:$A,$B152&amp;$E152&amp;$F152&amp;$J152,'Doc''s Pagos | Rodopar 108'!$B:$B,V$1)+SUMIFS('Doc Há Pagar | Rodopar 1015'!$J:$J,'Doc Há Pagar | Rodopar 1015'!$A:$A,$B152&amp;$E152&amp;$F152,'Doc Há Pagar | Rodopar 1015'!$B:$B,V$1)</f>
        <v>0</v>
      </c>
      <c r="W152" s="20">
        <f>SUMIFS('Doc''s Pagos | Rodopar 108'!$J:$J,'Doc''s Pagos | Rodopar 108'!$A:$A,$B152&amp;$E152&amp;$F152&amp;$J152,'Doc''s Pagos | Rodopar 108'!$B:$B,W$1)+SUMIFS('Doc Há Pagar | Rodopar 1015'!$J:$J,'Doc Há Pagar | Rodopar 1015'!$A:$A,$B152&amp;$E152&amp;$F152,'Doc Há Pagar | Rodopar 1015'!$B:$B,W$1)</f>
        <v>670</v>
      </c>
      <c r="X152" s="20">
        <f>SUMIFS('Doc''s Pagos | Rodopar 108'!$J:$J,'Doc''s Pagos | Rodopar 108'!$A:$A,$B152&amp;$E152&amp;$F152&amp;$J152,'Doc''s Pagos | Rodopar 108'!$B:$B,X$1)+SUMIFS('Doc Há Pagar | Rodopar 1015'!$J:$J,'Doc Há Pagar | Rodopar 1015'!$A:$A,$B152&amp;$E152&amp;$F152,'Doc Há Pagar | Rodopar 1015'!$B:$B,X$1)</f>
        <v>0</v>
      </c>
      <c r="Y152" s="20">
        <f>SUMIFS('Doc''s Pagos | Rodopar 108'!$J:$J,'Doc''s Pagos | Rodopar 108'!$A:$A,$B152&amp;$E152&amp;$F152&amp;$J152,'Doc''s Pagos | Rodopar 108'!$B:$B,Y$1)+SUMIFS('Doc Há Pagar | Rodopar 1015'!$J:$J,'Doc Há Pagar | Rodopar 1015'!$A:$A,$B152&amp;$E152&amp;$F152,'Doc Há Pagar | Rodopar 1015'!$B:$B,Y$1)</f>
        <v>0</v>
      </c>
      <c r="Z152" s="20">
        <f>SUMIFS('Doc''s Pagos | Rodopar 108'!$J:$J,'Doc''s Pagos | Rodopar 108'!$A:$A,$B152&amp;$E152&amp;$F152&amp;$J152,'Doc''s Pagos | Rodopar 108'!$B:$B,Z$1)+SUMIFS('Doc Há Pagar | Rodopar 1015'!$J:$J,'Doc Há Pagar | Rodopar 1015'!$A:$A,$B152&amp;$E152&amp;$F152,'Doc Há Pagar | Rodopar 1015'!$B:$B,Z$1)</f>
        <v>0</v>
      </c>
      <c r="AA152" s="20">
        <f>SUMIFS('Doc''s Pagos | Rodopar 108'!$J:$J,'Doc''s Pagos | Rodopar 108'!$A:$A,$B152&amp;$E152&amp;$F152&amp;$J152,'Doc''s Pagos | Rodopar 108'!$B:$B,AA$1)+SUMIFS('Doc Há Pagar | Rodopar 1015'!$J:$J,'Doc Há Pagar | Rodopar 1015'!$A:$A,$B152&amp;$E152&amp;$F152,'Doc Há Pagar | Rodopar 1015'!$B:$B,AA$1)</f>
        <v>0</v>
      </c>
      <c r="AB152" s="20">
        <f>SUMIFS('Doc''s Pagos | Rodopar 108'!$J:$J,'Doc''s Pagos | Rodopar 108'!$A:$A,$B152&amp;$E152&amp;$F152&amp;$J152,'Doc''s Pagos | Rodopar 108'!$B:$B,AB$1)+SUMIFS('Doc Há Pagar | Rodopar 1015'!$J:$J,'Doc Há Pagar | Rodopar 1015'!$A:$A,$B152&amp;$E152&amp;$F152,'Doc Há Pagar | Rodopar 1015'!$B:$B,AB$1)</f>
        <v>0</v>
      </c>
      <c r="AC152" s="20">
        <f>SUMIFS('Doc''s Pagos | Rodopar 108'!$J:$J,'Doc''s Pagos | Rodopar 108'!$A:$A,$B152&amp;$E152&amp;$F152&amp;$J152,'Doc''s Pagos | Rodopar 108'!$B:$B,AC$1)+SUMIFS('Doc Há Pagar | Rodopar 1015'!$J:$J,'Doc Há Pagar | Rodopar 1015'!$A:$A,$B152&amp;$E152&amp;$F152,'Doc Há Pagar | Rodopar 1015'!$B:$B,AC$1)</f>
        <v>0</v>
      </c>
      <c r="AD152" s="20">
        <f>SUMIFS('Doc''s Pagos | Rodopar 108'!$J:$J,'Doc''s Pagos | Rodopar 108'!$A:$A,$B152&amp;$E152&amp;$F152&amp;$J152,'Doc''s Pagos | Rodopar 108'!$B:$B,AD$1)+SUMIFS('Doc Há Pagar | Rodopar 1015'!$J:$J,'Doc Há Pagar | Rodopar 1015'!$A:$A,$B152&amp;$E152&amp;$F152,'Doc Há Pagar | Rodopar 1015'!$B:$B,AD$1)</f>
        <v>0</v>
      </c>
    </row>
    <row r="153" spans="1:30" x14ac:dyDescent="0.25">
      <c r="A153" s="1" t="str">
        <f>VLOOKUP($E153,Fornecedores!$A:$C,3,0)</f>
        <v>Frota</v>
      </c>
      <c r="B153" s="14">
        <v>30149</v>
      </c>
      <c r="C153" s="14" t="str">
        <f>IFERROR(VLOOKUP($E153,Fornecedores!$A:$E,4,0),"")</f>
        <v>Manutenção</v>
      </c>
      <c r="D153" s="14" t="str">
        <f>IFERROR(VLOOKUP($E153,Fornecedores!$A:$E,5,0),"")</f>
        <v>Contrato</v>
      </c>
      <c r="E153" s="8" t="s">
        <v>127</v>
      </c>
      <c r="F153" s="14" t="s">
        <v>665</v>
      </c>
      <c r="G153" s="8" t="s">
        <v>809</v>
      </c>
      <c r="H153" s="9">
        <v>87</v>
      </c>
      <c r="I153" s="21">
        <v>52824.78</v>
      </c>
      <c r="J153" s="11">
        <v>46121</v>
      </c>
      <c r="K153" s="11">
        <v>46125</v>
      </c>
      <c r="L153" s="8" t="s">
        <v>810</v>
      </c>
      <c r="M153" s="14" t="s">
        <v>263</v>
      </c>
      <c r="N153" s="16">
        <v>2949</v>
      </c>
      <c r="O153" s="14" t="s">
        <v>410</v>
      </c>
      <c r="P153" s="14"/>
      <c r="Q153" s="20">
        <f t="shared" si="2"/>
        <v>0</v>
      </c>
      <c r="S153" s="20">
        <f>SUMIFS('Doc''s Pagos | Rodopar 108'!$J:$J,'Doc''s Pagos | Rodopar 108'!$A:$A,$B153&amp;$E153&amp;$F153&amp;$J153,'Doc''s Pagos | Rodopar 108'!$B:$B,S$1)+SUMIFS('Doc Há Pagar | Rodopar 1015'!$J:$J,'Doc Há Pagar | Rodopar 1015'!$A:$A,$B153&amp;$E153&amp;$F153,'Doc Há Pagar | Rodopar 1015'!$B:$B,S$1)</f>
        <v>0</v>
      </c>
      <c r="T153" s="20">
        <f>SUMIFS('Doc''s Pagos | Rodopar 108'!$J:$J,'Doc''s Pagos | Rodopar 108'!$A:$A,$B153&amp;$E153&amp;$F153&amp;$J153,'Doc''s Pagos | Rodopar 108'!$B:$B,T$1)+SUMIFS('Doc Há Pagar | Rodopar 1015'!$J:$J,'Doc Há Pagar | Rodopar 1015'!$A:$A,$B153&amp;$E153&amp;$F153,'Doc Há Pagar | Rodopar 1015'!$B:$B,T$1)</f>
        <v>0</v>
      </c>
      <c r="U153" s="20">
        <f>SUMIFS('Doc''s Pagos | Rodopar 108'!$J:$J,'Doc''s Pagos | Rodopar 108'!$A:$A,$B153&amp;$E153&amp;$F153&amp;$J153,'Doc''s Pagos | Rodopar 108'!$B:$B,U$1)+SUMIFS('Doc Há Pagar | Rodopar 1015'!$J:$J,'Doc Há Pagar | Rodopar 1015'!$A:$A,$B153&amp;$E153&amp;$F153,'Doc Há Pagar | Rodopar 1015'!$B:$B,U$1)</f>
        <v>0</v>
      </c>
      <c r="V153" s="20">
        <f>SUMIFS('Doc''s Pagos | Rodopar 108'!$J:$J,'Doc''s Pagos | Rodopar 108'!$A:$A,$B153&amp;$E153&amp;$F153&amp;$J153,'Doc''s Pagos | Rodopar 108'!$B:$B,V$1)+SUMIFS('Doc Há Pagar | Rodopar 1015'!$J:$J,'Doc Há Pagar | Rodopar 1015'!$A:$A,$B153&amp;$E153&amp;$F153,'Doc Há Pagar | Rodopar 1015'!$B:$B,V$1)</f>
        <v>0</v>
      </c>
      <c r="W153" s="20">
        <f>SUMIFS('Doc''s Pagos | Rodopar 108'!$J:$J,'Doc''s Pagos | Rodopar 108'!$A:$A,$B153&amp;$E153&amp;$F153&amp;$J153,'Doc''s Pagos | Rodopar 108'!$B:$B,W$1)+SUMIFS('Doc Há Pagar | Rodopar 1015'!$J:$J,'Doc Há Pagar | Rodopar 1015'!$A:$A,$B153&amp;$E153&amp;$F153,'Doc Há Pagar | Rodopar 1015'!$B:$B,W$1)</f>
        <v>52824.78</v>
      </c>
      <c r="X153" s="20">
        <f>SUMIFS('Doc''s Pagos | Rodopar 108'!$J:$J,'Doc''s Pagos | Rodopar 108'!$A:$A,$B153&amp;$E153&amp;$F153&amp;$J153,'Doc''s Pagos | Rodopar 108'!$B:$B,X$1)+SUMIFS('Doc Há Pagar | Rodopar 1015'!$J:$J,'Doc Há Pagar | Rodopar 1015'!$A:$A,$B153&amp;$E153&amp;$F153,'Doc Há Pagar | Rodopar 1015'!$B:$B,X$1)</f>
        <v>0</v>
      </c>
      <c r="Y153" s="20">
        <f>SUMIFS('Doc''s Pagos | Rodopar 108'!$J:$J,'Doc''s Pagos | Rodopar 108'!$A:$A,$B153&amp;$E153&amp;$F153&amp;$J153,'Doc''s Pagos | Rodopar 108'!$B:$B,Y$1)+SUMIFS('Doc Há Pagar | Rodopar 1015'!$J:$J,'Doc Há Pagar | Rodopar 1015'!$A:$A,$B153&amp;$E153&amp;$F153,'Doc Há Pagar | Rodopar 1015'!$B:$B,Y$1)</f>
        <v>0</v>
      </c>
      <c r="Z153" s="20">
        <f>SUMIFS('Doc''s Pagos | Rodopar 108'!$J:$J,'Doc''s Pagos | Rodopar 108'!$A:$A,$B153&amp;$E153&amp;$F153&amp;$J153,'Doc''s Pagos | Rodopar 108'!$B:$B,Z$1)+SUMIFS('Doc Há Pagar | Rodopar 1015'!$J:$J,'Doc Há Pagar | Rodopar 1015'!$A:$A,$B153&amp;$E153&amp;$F153,'Doc Há Pagar | Rodopar 1015'!$B:$B,Z$1)</f>
        <v>0</v>
      </c>
      <c r="AA153" s="20">
        <f>SUMIFS('Doc''s Pagos | Rodopar 108'!$J:$J,'Doc''s Pagos | Rodopar 108'!$A:$A,$B153&amp;$E153&amp;$F153&amp;$J153,'Doc''s Pagos | Rodopar 108'!$B:$B,AA$1)+SUMIFS('Doc Há Pagar | Rodopar 1015'!$J:$J,'Doc Há Pagar | Rodopar 1015'!$A:$A,$B153&amp;$E153&amp;$F153,'Doc Há Pagar | Rodopar 1015'!$B:$B,AA$1)</f>
        <v>0</v>
      </c>
      <c r="AB153" s="20">
        <f>SUMIFS('Doc''s Pagos | Rodopar 108'!$J:$J,'Doc''s Pagos | Rodopar 108'!$A:$A,$B153&amp;$E153&amp;$F153&amp;$J153,'Doc''s Pagos | Rodopar 108'!$B:$B,AB$1)+SUMIFS('Doc Há Pagar | Rodopar 1015'!$J:$J,'Doc Há Pagar | Rodopar 1015'!$A:$A,$B153&amp;$E153&amp;$F153,'Doc Há Pagar | Rodopar 1015'!$B:$B,AB$1)</f>
        <v>0</v>
      </c>
      <c r="AC153" s="20">
        <f>SUMIFS('Doc''s Pagos | Rodopar 108'!$J:$J,'Doc''s Pagos | Rodopar 108'!$A:$A,$B153&amp;$E153&amp;$F153&amp;$J153,'Doc''s Pagos | Rodopar 108'!$B:$B,AC$1)+SUMIFS('Doc Há Pagar | Rodopar 1015'!$J:$J,'Doc Há Pagar | Rodopar 1015'!$A:$A,$B153&amp;$E153&amp;$F153,'Doc Há Pagar | Rodopar 1015'!$B:$B,AC$1)</f>
        <v>0</v>
      </c>
      <c r="AD153" s="20">
        <f>SUMIFS('Doc''s Pagos | Rodopar 108'!$J:$J,'Doc''s Pagos | Rodopar 108'!$A:$A,$B153&amp;$E153&amp;$F153&amp;$J153,'Doc''s Pagos | Rodopar 108'!$B:$B,AD$1)+SUMIFS('Doc Há Pagar | Rodopar 1015'!$J:$J,'Doc Há Pagar | Rodopar 1015'!$A:$A,$B153&amp;$E153&amp;$F153,'Doc Há Pagar | Rodopar 1015'!$B:$B,AD$1)</f>
        <v>0</v>
      </c>
    </row>
    <row r="154" spans="1:30" x14ac:dyDescent="0.25">
      <c r="A154" s="1" t="str">
        <f>VLOOKUP($E154,Fornecedores!$A:$C,3,0)</f>
        <v>Frota</v>
      </c>
      <c r="B154" s="14">
        <v>3131</v>
      </c>
      <c r="C154" s="14" t="str">
        <f>IFERROR(VLOOKUP($E154,Fornecedores!$A:$E,4,0),"")</f>
        <v>Pneus</v>
      </c>
      <c r="D154" s="14" t="str">
        <f>IFERROR(VLOOKUP($E154,Fornecedores!$A:$E,5,0),"")</f>
        <v>Tecnologia</v>
      </c>
      <c r="E154" s="8" t="s">
        <v>145</v>
      </c>
      <c r="F154" s="14" t="s">
        <v>665</v>
      </c>
      <c r="G154" s="8" t="s">
        <v>644</v>
      </c>
      <c r="H154" s="9">
        <v>87</v>
      </c>
      <c r="I154" s="21">
        <v>936.1</v>
      </c>
      <c r="J154" s="11">
        <v>46121</v>
      </c>
      <c r="K154" s="11">
        <v>46125</v>
      </c>
      <c r="L154" s="8" t="s">
        <v>339</v>
      </c>
      <c r="M154" s="14" t="s">
        <v>263</v>
      </c>
      <c r="N154" s="16">
        <v>2949</v>
      </c>
      <c r="O154" s="14" t="s">
        <v>410</v>
      </c>
      <c r="P154" s="14"/>
      <c r="Q154" s="20">
        <f t="shared" si="2"/>
        <v>0</v>
      </c>
      <c r="S154" s="20">
        <f>SUMIFS('Doc''s Pagos | Rodopar 108'!$J:$J,'Doc''s Pagos | Rodopar 108'!$A:$A,$B154&amp;$E154&amp;$F154&amp;$J154,'Doc''s Pagos | Rodopar 108'!$B:$B,S$1)+SUMIFS('Doc Há Pagar | Rodopar 1015'!$J:$J,'Doc Há Pagar | Rodopar 1015'!$A:$A,$B154&amp;$E154&amp;$F154,'Doc Há Pagar | Rodopar 1015'!$B:$B,S$1)</f>
        <v>0</v>
      </c>
      <c r="T154" s="20">
        <f>SUMIFS('Doc''s Pagos | Rodopar 108'!$J:$J,'Doc''s Pagos | Rodopar 108'!$A:$A,$B154&amp;$E154&amp;$F154&amp;$J154,'Doc''s Pagos | Rodopar 108'!$B:$B,T$1)+SUMIFS('Doc Há Pagar | Rodopar 1015'!$J:$J,'Doc Há Pagar | Rodopar 1015'!$A:$A,$B154&amp;$E154&amp;$F154,'Doc Há Pagar | Rodopar 1015'!$B:$B,T$1)</f>
        <v>0</v>
      </c>
      <c r="U154" s="20">
        <f>SUMIFS('Doc''s Pagos | Rodopar 108'!$J:$J,'Doc''s Pagos | Rodopar 108'!$A:$A,$B154&amp;$E154&amp;$F154&amp;$J154,'Doc''s Pagos | Rodopar 108'!$B:$B,U$1)+SUMIFS('Doc Há Pagar | Rodopar 1015'!$J:$J,'Doc Há Pagar | Rodopar 1015'!$A:$A,$B154&amp;$E154&amp;$F154,'Doc Há Pagar | Rodopar 1015'!$B:$B,U$1)</f>
        <v>0</v>
      </c>
      <c r="V154" s="20">
        <f>SUMIFS('Doc''s Pagos | Rodopar 108'!$J:$J,'Doc''s Pagos | Rodopar 108'!$A:$A,$B154&amp;$E154&amp;$F154&amp;$J154,'Doc''s Pagos | Rodopar 108'!$B:$B,V$1)+SUMIFS('Doc Há Pagar | Rodopar 1015'!$J:$J,'Doc Há Pagar | Rodopar 1015'!$A:$A,$B154&amp;$E154&amp;$F154,'Doc Há Pagar | Rodopar 1015'!$B:$B,V$1)</f>
        <v>0</v>
      </c>
      <c r="W154" s="20">
        <f>SUMIFS('Doc''s Pagos | Rodopar 108'!$J:$J,'Doc''s Pagos | Rodopar 108'!$A:$A,$B154&amp;$E154&amp;$F154&amp;$J154,'Doc''s Pagos | Rodopar 108'!$B:$B,W$1)+SUMIFS('Doc Há Pagar | Rodopar 1015'!$J:$J,'Doc Há Pagar | Rodopar 1015'!$A:$A,$B154&amp;$E154&amp;$F154,'Doc Há Pagar | Rodopar 1015'!$B:$B,W$1)</f>
        <v>936.1</v>
      </c>
      <c r="X154" s="20">
        <f>SUMIFS('Doc''s Pagos | Rodopar 108'!$J:$J,'Doc''s Pagos | Rodopar 108'!$A:$A,$B154&amp;$E154&amp;$F154&amp;$J154,'Doc''s Pagos | Rodopar 108'!$B:$B,X$1)+SUMIFS('Doc Há Pagar | Rodopar 1015'!$J:$J,'Doc Há Pagar | Rodopar 1015'!$A:$A,$B154&amp;$E154&amp;$F154,'Doc Há Pagar | Rodopar 1015'!$B:$B,X$1)</f>
        <v>0</v>
      </c>
      <c r="Y154" s="20">
        <f>SUMIFS('Doc''s Pagos | Rodopar 108'!$J:$J,'Doc''s Pagos | Rodopar 108'!$A:$A,$B154&amp;$E154&amp;$F154&amp;$J154,'Doc''s Pagos | Rodopar 108'!$B:$B,Y$1)+SUMIFS('Doc Há Pagar | Rodopar 1015'!$J:$J,'Doc Há Pagar | Rodopar 1015'!$A:$A,$B154&amp;$E154&amp;$F154,'Doc Há Pagar | Rodopar 1015'!$B:$B,Y$1)</f>
        <v>0</v>
      </c>
      <c r="Z154" s="20">
        <f>SUMIFS('Doc''s Pagos | Rodopar 108'!$J:$J,'Doc''s Pagos | Rodopar 108'!$A:$A,$B154&amp;$E154&amp;$F154&amp;$J154,'Doc''s Pagos | Rodopar 108'!$B:$B,Z$1)+SUMIFS('Doc Há Pagar | Rodopar 1015'!$J:$J,'Doc Há Pagar | Rodopar 1015'!$A:$A,$B154&amp;$E154&amp;$F154,'Doc Há Pagar | Rodopar 1015'!$B:$B,Z$1)</f>
        <v>0</v>
      </c>
      <c r="AA154" s="20">
        <f>SUMIFS('Doc''s Pagos | Rodopar 108'!$J:$J,'Doc''s Pagos | Rodopar 108'!$A:$A,$B154&amp;$E154&amp;$F154&amp;$J154,'Doc''s Pagos | Rodopar 108'!$B:$B,AA$1)+SUMIFS('Doc Há Pagar | Rodopar 1015'!$J:$J,'Doc Há Pagar | Rodopar 1015'!$A:$A,$B154&amp;$E154&amp;$F154,'Doc Há Pagar | Rodopar 1015'!$B:$B,AA$1)</f>
        <v>0</v>
      </c>
      <c r="AB154" s="20">
        <f>SUMIFS('Doc''s Pagos | Rodopar 108'!$J:$J,'Doc''s Pagos | Rodopar 108'!$A:$A,$B154&amp;$E154&amp;$F154&amp;$J154,'Doc''s Pagos | Rodopar 108'!$B:$B,AB$1)+SUMIFS('Doc Há Pagar | Rodopar 1015'!$J:$J,'Doc Há Pagar | Rodopar 1015'!$A:$A,$B154&amp;$E154&amp;$F154,'Doc Há Pagar | Rodopar 1015'!$B:$B,AB$1)</f>
        <v>0</v>
      </c>
      <c r="AC154" s="20">
        <f>SUMIFS('Doc''s Pagos | Rodopar 108'!$J:$J,'Doc''s Pagos | Rodopar 108'!$A:$A,$B154&amp;$E154&amp;$F154&amp;$J154,'Doc''s Pagos | Rodopar 108'!$B:$B,AC$1)+SUMIFS('Doc Há Pagar | Rodopar 1015'!$J:$J,'Doc Há Pagar | Rodopar 1015'!$A:$A,$B154&amp;$E154&amp;$F154,'Doc Há Pagar | Rodopar 1015'!$B:$B,AC$1)</f>
        <v>0</v>
      </c>
      <c r="AD154" s="20">
        <f>SUMIFS('Doc''s Pagos | Rodopar 108'!$J:$J,'Doc''s Pagos | Rodopar 108'!$A:$A,$B154&amp;$E154&amp;$F154&amp;$J154,'Doc''s Pagos | Rodopar 108'!$B:$B,AD$1)+SUMIFS('Doc Há Pagar | Rodopar 1015'!$J:$J,'Doc Há Pagar | Rodopar 1015'!$A:$A,$B154&amp;$E154&amp;$F154,'Doc Há Pagar | Rodopar 1015'!$B:$B,AD$1)</f>
        <v>0</v>
      </c>
    </row>
    <row r="155" spans="1:30" x14ac:dyDescent="0.25">
      <c r="A155" s="1" t="str">
        <f>VLOOKUP($E155,Fornecedores!$A:$C,3,0)</f>
        <v>Frota</v>
      </c>
      <c r="B155" s="14">
        <v>74</v>
      </c>
      <c r="C155" s="14" t="str">
        <f>IFERROR(VLOOKUP($E155,Fornecedores!$A:$E,4,0),"")</f>
        <v>Manutenção</v>
      </c>
      <c r="D155" s="14" t="str">
        <f>IFERROR(VLOOKUP($E155,Fornecedores!$A:$E,5,0),"")</f>
        <v>Peças E Serviços</v>
      </c>
      <c r="E155" s="8" t="s">
        <v>67</v>
      </c>
      <c r="F155" s="14" t="s">
        <v>665</v>
      </c>
      <c r="G155" s="8" t="s">
        <v>931</v>
      </c>
      <c r="H155" s="9">
        <v>87</v>
      </c>
      <c r="I155" s="21">
        <v>2700</v>
      </c>
      <c r="J155" s="11">
        <v>46126</v>
      </c>
      <c r="K155" s="11">
        <v>46126</v>
      </c>
      <c r="L155" s="8" t="s">
        <v>932</v>
      </c>
      <c r="M155" s="14" t="s">
        <v>234</v>
      </c>
      <c r="N155" s="16">
        <v>1556</v>
      </c>
      <c r="O155" s="14" t="s">
        <v>241</v>
      </c>
      <c r="P155" s="14"/>
      <c r="Q155" s="20">
        <f t="shared" si="2"/>
        <v>0</v>
      </c>
      <c r="S155" s="20">
        <f>SUMIFS('Doc''s Pagos | Rodopar 108'!$J:$J,'Doc''s Pagos | Rodopar 108'!$A:$A,$B155&amp;$E155&amp;$F155&amp;$J155,'Doc''s Pagos | Rodopar 108'!$B:$B,S$1)+SUMIFS('Doc Há Pagar | Rodopar 1015'!$J:$J,'Doc Há Pagar | Rodopar 1015'!$A:$A,$B155&amp;$E155&amp;$F155,'Doc Há Pagar | Rodopar 1015'!$B:$B,S$1)</f>
        <v>0</v>
      </c>
      <c r="T155" s="20">
        <f>SUMIFS('Doc''s Pagos | Rodopar 108'!$J:$J,'Doc''s Pagos | Rodopar 108'!$A:$A,$B155&amp;$E155&amp;$F155&amp;$J155,'Doc''s Pagos | Rodopar 108'!$B:$B,T$1)+SUMIFS('Doc Há Pagar | Rodopar 1015'!$J:$J,'Doc Há Pagar | Rodopar 1015'!$A:$A,$B155&amp;$E155&amp;$F155,'Doc Há Pagar | Rodopar 1015'!$B:$B,T$1)</f>
        <v>0</v>
      </c>
      <c r="U155" s="20">
        <f>SUMIFS('Doc''s Pagos | Rodopar 108'!$J:$J,'Doc''s Pagos | Rodopar 108'!$A:$A,$B155&amp;$E155&amp;$F155&amp;$J155,'Doc''s Pagos | Rodopar 108'!$B:$B,U$1)+SUMIFS('Doc Há Pagar | Rodopar 1015'!$J:$J,'Doc Há Pagar | Rodopar 1015'!$A:$A,$B155&amp;$E155&amp;$F155,'Doc Há Pagar | Rodopar 1015'!$B:$B,U$1)</f>
        <v>0</v>
      </c>
      <c r="V155" s="20">
        <f>SUMIFS('Doc''s Pagos | Rodopar 108'!$J:$J,'Doc''s Pagos | Rodopar 108'!$A:$A,$B155&amp;$E155&amp;$F155&amp;$J155,'Doc''s Pagos | Rodopar 108'!$B:$B,V$1)+SUMIFS('Doc Há Pagar | Rodopar 1015'!$J:$J,'Doc Há Pagar | Rodopar 1015'!$A:$A,$B155&amp;$E155&amp;$F155,'Doc Há Pagar | Rodopar 1015'!$B:$B,V$1)</f>
        <v>0</v>
      </c>
      <c r="W155" s="20">
        <f>SUMIFS('Doc''s Pagos | Rodopar 108'!$J:$J,'Doc''s Pagos | Rodopar 108'!$A:$A,$B155&amp;$E155&amp;$F155&amp;$J155,'Doc''s Pagos | Rodopar 108'!$B:$B,W$1)+SUMIFS('Doc Há Pagar | Rodopar 1015'!$J:$J,'Doc Há Pagar | Rodopar 1015'!$A:$A,$B155&amp;$E155&amp;$F155,'Doc Há Pagar | Rodopar 1015'!$B:$B,W$1)</f>
        <v>2700</v>
      </c>
      <c r="X155" s="20">
        <f>SUMIFS('Doc''s Pagos | Rodopar 108'!$J:$J,'Doc''s Pagos | Rodopar 108'!$A:$A,$B155&amp;$E155&amp;$F155&amp;$J155,'Doc''s Pagos | Rodopar 108'!$B:$B,X$1)+SUMIFS('Doc Há Pagar | Rodopar 1015'!$J:$J,'Doc Há Pagar | Rodopar 1015'!$A:$A,$B155&amp;$E155&amp;$F155,'Doc Há Pagar | Rodopar 1015'!$B:$B,X$1)</f>
        <v>0</v>
      </c>
      <c r="Y155" s="20">
        <f>SUMIFS('Doc''s Pagos | Rodopar 108'!$J:$J,'Doc''s Pagos | Rodopar 108'!$A:$A,$B155&amp;$E155&amp;$F155&amp;$J155,'Doc''s Pagos | Rodopar 108'!$B:$B,Y$1)+SUMIFS('Doc Há Pagar | Rodopar 1015'!$J:$J,'Doc Há Pagar | Rodopar 1015'!$A:$A,$B155&amp;$E155&amp;$F155,'Doc Há Pagar | Rodopar 1015'!$B:$B,Y$1)</f>
        <v>0</v>
      </c>
      <c r="Z155" s="20">
        <f>SUMIFS('Doc''s Pagos | Rodopar 108'!$J:$J,'Doc''s Pagos | Rodopar 108'!$A:$A,$B155&amp;$E155&amp;$F155&amp;$J155,'Doc''s Pagos | Rodopar 108'!$B:$B,Z$1)+SUMIFS('Doc Há Pagar | Rodopar 1015'!$J:$J,'Doc Há Pagar | Rodopar 1015'!$A:$A,$B155&amp;$E155&amp;$F155,'Doc Há Pagar | Rodopar 1015'!$B:$B,Z$1)</f>
        <v>0</v>
      </c>
      <c r="AA155" s="20">
        <f>SUMIFS('Doc''s Pagos | Rodopar 108'!$J:$J,'Doc''s Pagos | Rodopar 108'!$A:$A,$B155&amp;$E155&amp;$F155&amp;$J155,'Doc''s Pagos | Rodopar 108'!$B:$B,AA$1)+SUMIFS('Doc Há Pagar | Rodopar 1015'!$J:$J,'Doc Há Pagar | Rodopar 1015'!$A:$A,$B155&amp;$E155&amp;$F155,'Doc Há Pagar | Rodopar 1015'!$B:$B,AA$1)</f>
        <v>0</v>
      </c>
      <c r="AB155" s="20">
        <f>SUMIFS('Doc''s Pagos | Rodopar 108'!$J:$J,'Doc''s Pagos | Rodopar 108'!$A:$A,$B155&amp;$E155&amp;$F155&amp;$J155,'Doc''s Pagos | Rodopar 108'!$B:$B,AB$1)+SUMIFS('Doc Há Pagar | Rodopar 1015'!$J:$J,'Doc Há Pagar | Rodopar 1015'!$A:$A,$B155&amp;$E155&amp;$F155,'Doc Há Pagar | Rodopar 1015'!$B:$B,AB$1)</f>
        <v>0</v>
      </c>
      <c r="AC155" s="20">
        <f>SUMIFS('Doc''s Pagos | Rodopar 108'!$J:$J,'Doc''s Pagos | Rodopar 108'!$A:$A,$B155&amp;$E155&amp;$F155&amp;$J155,'Doc''s Pagos | Rodopar 108'!$B:$B,AC$1)+SUMIFS('Doc Há Pagar | Rodopar 1015'!$J:$J,'Doc Há Pagar | Rodopar 1015'!$A:$A,$B155&amp;$E155&amp;$F155,'Doc Há Pagar | Rodopar 1015'!$B:$B,AC$1)</f>
        <v>0</v>
      </c>
      <c r="AD155" s="20">
        <f>SUMIFS('Doc''s Pagos | Rodopar 108'!$J:$J,'Doc''s Pagos | Rodopar 108'!$A:$A,$B155&amp;$E155&amp;$F155&amp;$J155,'Doc''s Pagos | Rodopar 108'!$B:$B,AD$1)+SUMIFS('Doc Há Pagar | Rodopar 1015'!$J:$J,'Doc Há Pagar | Rodopar 1015'!$A:$A,$B155&amp;$E155&amp;$F155,'Doc Há Pagar | Rodopar 1015'!$B:$B,AD$1)</f>
        <v>0</v>
      </c>
    </row>
    <row r="156" spans="1:30" x14ac:dyDescent="0.25">
      <c r="A156" s="1" t="str">
        <f>VLOOKUP($E156,Fornecedores!$A:$C,3,0)</f>
        <v>Frota</v>
      </c>
      <c r="B156" s="14" t="s">
        <v>293</v>
      </c>
      <c r="C156" s="14" t="str">
        <f>IFERROR(VLOOKUP($E156,Fornecedores!$A:$E,4,0),"")</f>
        <v>OPE Merchandising</v>
      </c>
      <c r="D156" s="14" t="str">
        <f>IFERROR(VLOOKUP($E156,Fornecedores!$A:$E,5,0),"")</f>
        <v>Locação</v>
      </c>
      <c r="E156" s="8" t="s">
        <v>112</v>
      </c>
      <c r="F156" s="14" t="s">
        <v>232</v>
      </c>
      <c r="G156" s="8" t="s">
        <v>289</v>
      </c>
      <c r="H156" s="9">
        <v>87</v>
      </c>
      <c r="I156" s="21">
        <v>32754.3</v>
      </c>
      <c r="J156" s="11">
        <v>46127</v>
      </c>
      <c r="K156" s="11">
        <v>46134</v>
      </c>
      <c r="L156" s="8" t="s">
        <v>233</v>
      </c>
      <c r="M156" s="14" t="s">
        <v>234</v>
      </c>
      <c r="N156" s="16">
        <v>1556</v>
      </c>
      <c r="O156" s="14" t="s">
        <v>241</v>
      </c>
      <c r="P156" s="14"/>
      <c r="Q156" s="20">
        <f t="shared" si="2"/>
        <v>0</v>
      </c>
      <c r="S156" s="20">
        <f>SUMIFS('Doc''s Pagos | Rodopar 108'!$J:$J,'Doc''s Pagos | Rodopar 108'!$A:$A,$B156&amp;$E156&amp;$F156&amp;$J156,'Doc''s Pagos | Rodopar 108'!$B:$B,S$1)+SUMIFS('Doc Há Pagar | Rodopar 1015'!$J:$J,'Doc Há Pagar | Rodopar 1015'!$A:$A,$B156&amp;$E156&amp;$F156,'Doc Há Pagar | Rodopar 1015'!$B:$B,S$1)</f>
        <v>0</v>
      </c>
      <c r="T156" s="20">
        <f>SUMIFS('Doc''s Pagos | Rodopar 108'!$J:$J,'Doc''s Pagos | Rodopar 108'!$A:$A,$B156&amp;$E156&amp;$F156&amp;$J156,'Doc''s Pagos | Rodopar 108'!$B:$B,T$1)+SUMIFS('Doc Há Pagar | Rodopar 1015'!$J:$J,'Doc Há Pagar | Rodopar 1015'!$A:$A,$B156&amp;$E156&amp;$F156,'Doc Há Pagar | Rodopar 1015'!$B:$B,T$1)</f>
        <v>0</v>
      </c>
      <c r="U156" s="20">
        <f>SUMIFS('Doc''s Pagos | Rodopar 108'!$J:$J,'Doc''s Pagos | Rodopar 108'!$A:$A,$B156&amp;$E156&amp;$F156&amp;$J156,'Doc''s Pagos | Rodopar 108'!$B:$B,U$1)+SUMIFS('Doc Há Pagar | Rodopar 1015'!$J:$J,'Doc Há Pagar | Rodopar 1015'!$A:$A,$B156&amp;$E156&amp;$F156,'Doc Há Pagar | Rodopar 1015'!$B:$B,U$1)</f>
        <v>0</v>
      </c>
      <c r="V156" s="20">
        <f>SUMIFS('Doc''s Pagos | Rodopar 108'!$J:$J,'Doc''s Pagos | Rodopar 108'!$A:$A,$B156&amp;$E156&amp;$F156&amp;$J156,'Doc''s Pagos | Rodopar 108'!$B:$B,V$1)+SUMIFS('Doc Há Pagar | Rodopar 1015'!$J:$J,'Doc Há Pagar | Rodopar 1015'!$A:$A,$B156&amp;$E156&amp;$F156,'Doc Há Pagar | Rodopar 1015'!$B:$B,V$1)</f>
        <v>32754.3</v>
      </c>
      <c r="W156" s="20">
        <f>SUMIFS('Doc''s Pagos | Rodopar 108'!$J:$J,'Doc''s Pagos | Rodopar 108'!$A:$A,$B156&amp;$E156&amp;$F156&amp;$J156,'Doc''s Pagos | Rodopar 108'!$B:$B,W$1)+SUMIFS('Doc Há Pagar | Rodopar 1015'!$J:$J,'Doc Há Pagar | Rodopar 1015'!$A:$A,$B156&amp;$E156&amp;$F156,'Doc Há Pagar | Rodopar 1015'!$B:$B,W$1)</f>
        <v>0</v>
      </c>
      <c r="X156" s="20">
        <f>SUMIFS('Doc''s Pagos | Rodopar 108'!$J:$J,'Doc''s Pagos | Rodopar 108'!$A:$A,$B156&amp;$E156&amp;$F156&amp;$J156,'Doc''s Pagos | Rodopar 108'!$B:$B,X$1)+SUMIFS('Doc Há Pagar | Rodopar 1015'!$J:$J,'Doc Há Pagar | Rodopar 1015'!$A:$A,$B156&amp;$E156&amp;$F156,'Doc Há Pagar | Rodopar 1015'!$B:$B,X$1)</f>
        <v>0</v>
      </c>
      <c r="Y156" s="20">
        <f>SUMIFS('Doc''s Pagos | Rodopar 108'!$J:$J,'Doc''s Pagos | Rodopar 108'!$A:$A,$B156&amp;$E156&amp;$F156&amp;$J156,'Doc''s Pagos | Rodopar 108'!$B:$B,Y$1)+SUMIFS('Doc Há Pagar | Rodopar 1015'!$J:$J,'Doc Há Pagar | Rodopar 1015'!$A:$A,$B156&amp;$E156&amp;$F156,'Doc Há Pagar | Rodopar 1015'!$B:$B,Y$1)</f>
        <v>0</v>
      </c>
      <c r="Z156" s="20">
        <f>SUMIFS('Doc''s Pagos | Rodopar 108'!$J:$J,'Doc''s Pagos | Rodopar 108'!$A:$A,$B156&amp;$E156&amp;$F156&amp;$J156,'Doc''s Pagos | Rodopar 108'!$B:$B,Z$1)+SUMIFS('Doc Há Pagar | Rodopar 1015'!$J:$J,'Doc Há Pagar | Rodopar 1015'!$A:$A,$B156&amp;$E156&amp;$F156,'Doc Há Pagar | Rodopar 1015'!$B:$B,Z$1)</f>
        <v>0</v>
      </c>
      <c r="AA156" s="20">
        <f>SUMIFS('Doc''s Pagos | Rodopar 108'!$J:$J,'Doc''s Pagos | Rodopar 108'!$A:$A,$B156&amp;$E156&amp;$F156&amp;$J156,'Doc''s Pagos | Rodopar 108'!$B:$B,AA$1)+SUMIFS('Doc Há Pagar | Rodopar 1015'!$J:$J,'Doc Há Pagar | Rodopar 1015'!$A:$A,$B156&amp;$E156&amp;$F156,'Doc Há Pagar | Rodopar 1015'!$B:$B,AA$1)</f>
        <v>0</v>
      </c>
      <c r="AB156" s="20">
        <f>SUMIFS('Doc''s Pagos | Rodopar 108'!$J:$J,'Doc''s Pagos | Rodopar 108'!$A:$A,$B156&amp;$E156&amp;$F156&amp;$J156,'Doc''s Pagos | Rodopar 108'!$B:$B,AB$1)+SUMIFS('Doc Há Pagar | Rodopar 1015'!$J:$J,'Doc Há Pagar | Rodopar 1015'!$A:$A,$B156&amp;$E156&amp;$F156,'Doc Há Pagar | Rodopar 1015'!$B:$B,AB$1)</f>
        <v>0</v>
      </c>
      <c r="AC156" s="20">
        <f>SUMIFS('Doc''s Pagos | Rodopar 108'!$J:$J,'Doc''s Pagos | Rodopar 108'!$A:$A,$B156&amp;$E156&amp;$F156&amp;$J156,'Doc''s Pagos | Rodopar 108'!$B:$B,AC$1)+SUMIFS('Doc Há Pagar | Rodopar 1015'!$J:$J,'Doc Há Pagar | Rodopar 1015'!$A:$A,$B156&amp;$E156&amp;$F156,'Doc Há Pagar | Rodopar 1015'!$B:$B,AC$1)</f>
        <v>0</v>
      </c>
      <c r="AD156" s="20">
        <f>SUMIFS('Doc''s Pagos | Rodopar 108'!$J:$J,'Doc''s Pagos | Rodopar 108'!$A:$A,$B156&amp;$E156&amp;$F156&amp;$J156,'Doc''s Pagos | Rodopar 108'!$B:$B,AD$1)+SUMIFS('Doc Há Pagar | Rodopar 1015'!$J:$J,'Doc Há Pagar | Rodopar 1015'!$A:$A,$B156&amp;$E156&amp;$F156,'Doc Há Pagar | Rodopar 1015'!$B:$B,AD$1)</f>
        <v>0</v>
      </c>
    </row>
    <row r="157" spans="1:30" x14ac:dyDescent="0.25">
      <c r="A157" s="1" t="str">
        <f>VLOOKUP($E157,Fornecedores!$A:$C,3,0)</f>
        <v>Frota</v>
      </c>
      <c r="B157" s="14" t="s">
        <v>305</v>
      </c>
      <c r="C157" s="14" t="str">
        <f>IFERROR(VLOOKUP($E157,Fornecedores!$A:$E,4,0),"")</f>
        <v>OPE Merchandising</v>
      </c>
      <c r="D157" s="14" t="str">
        <f>IFERROR(VLOOKUP($E157,Fornecedores!$A:$E,5,0),"")</f>
        <v>Locação</v>
      </c>
      <c r="E157" s="8" t="s">
        <v>303</v>
      </c>
      <c r="F157" s="14" t="s">
        <v>232</v>
      </c>
      <c r="G157" s="8" t="s">
        <v>304</v>
      </c>
      <c r="H157" s="9">
        <v>87</v>
      </c>
      <c r="I157" s="21">
        <v>570.87</v>
      </c>
      <c r="J157" s="11">
        <v>46127</v>
      </c>
      <c r="K157" s="11">
        <v>46142</v>
      </c>
      <c r="L157" s="8" t="s">
        <v>233</v>
      </c>
      <c r="M157" s="14" t="s">
        <v>234</v>
      </c>
      <c r="N157" s="16">
        <v>1556</v>
      </c>
      <c r="O157" s="14" t="s">
        <v>241</v>
      </c>
      <c r="P157" s="14"/>
      <c r="Q157" s="20">
        <f t="shared" si="2"/>
        <v>0</v>
      </c>
      <c r="S157" s="20">
        <f>SUMIFS('Doc''s Pagos | Rodopar 108'!$J:$J,'Doc''s Pagos | Rodopar 108'!$A:$A,$B157&amp;$E157&amp;$F157&amp;$J157,'Doc''s Pagos | Rodopar 108'!$B:$B,S$1)+SUMIFS('Doc Há Pagar | Rodopar 1015'!$J:$J,'Doc Há Pagar | Rodopar 1015'!$A:$A,$B157&amp;$E157&amp;$F157,'Doc Há Pagar | Rodopar 1015'!$B:$B,S$1)</f>
        <v>0</v>
      </c>
      <c r="T157" s="20">
        <f>SUMIFS('Doc''s Pagos | Rodopar 108'!$J:$J,'Doc''s Pagos | Rodopar 108'!$A:$A,$B157&amp;$E157&amp;$F157&amp;$J157,'Doc''s Pagos | Rodopar 108'!$B:$B,T$1)+SUMIFS('Doc Há Pagar | Rodopar 1015'!$J:$J,'Doc Há Pagar | Rodopar 1015'!$A:$A,$B157&amp;$E157&amp;$F157,'Doc Há Pagar | Rodopar 1015'!$B:$B,T$1)</f>
        <v>0</v>
      </c>
      <c r="U157" s="20">
        <f>SUMIFS('Doc''s Pagos | Rodopar 108'!$J:$J,'Doc''s Pagos | Rodopar 108'!$A:$A,$B157&amp;$E157&amp;$F157&amp;$J157,'Doc''s Pagos | Rodopar 108'!$B:$B,U$1)+SUMIFS('Doc Há Pagar | Rodopar 1015'!$J:$J,'Doc Há Pagar | Rodopar 1015'!$A:$A,$B157&amp;$E157&amp;$F157,'Doc Há Pagar | Rodopar 1015'!$B:$B,U$1)</f>
        <v>0</v>
      </c>
      <c r="V157" s="20">
        <f>SUMIFS('Doc''s Pagos | Rodopar 108'!$J:$J,'Doc''s Pagos | Rodopar 108'!$A:$A,$B157&amp;$E157&amp;$F157&amp;$J157,'Doc''s Pagos | Rodopar 108'!$B:$B,V$1)+SUMIFS('Doc Há Pagar | Rodopar 1015'!$J:$J,'Doc Há Pagar | Rodopar 1015'!$A:$A,$B157&amp;$E157&amp;$F157,'Doc Há Pagar | Rodopar 1015'!$B:$B,V$1)</f>
        <v>570.87</v>
      </c>
      <c r="W157" s="20">
        <f>SUMIFS('Doc''s Pagos | Rodopar 108'!$J:$J,'Doc''s Pagos | Rodopar 108'!$A:$A,$B157&amp;$E157&amp;$F157&amp;$J157,'Doc''s Pagos | Rodopar 108'!$B:$B,W$1)+SUMIFS('Doc Há Pagar | Rodopar 1015'!$J:$J,'Doc Há Pagar | Rodopar 1015'!$A:$A,$B157&amp;$E157&amp;$F157,'Doc Há Pagar | Rodopar 1015'!$B:$B,W$1)</f>
        <v>0</v>
      </c>
      <c r="X157" s="20">
        <f>SUMIFS('Doc''s Pagos | Rodopar 108'!$J:$J,'Doc''s Pagos | Rodopar 108'!$A:$A,$B157&amp;$E157&amp;$F157&amp;$J157,'Doc''s Pagos | Rodopar 108'!$B:$B,X$1)+SUMIFS('Doc Há Pagar | Rodopar 1015'!$J:$J,'Doc Há Pagar | Rodopar 1015'!$A:$A,$B157&amp;$E157&amp;$F157,'Doc Há Pagar | Rodopar 1015'!$B:$B,X$1)</f>
        <v>0</v>
      </c>
      <c r="Y157" s="20">
        <f>SUMIFS('Doc''s Pagos | Rodopar 108'!$J:$J,'Doc''s Pagos | Rodopar 108'!$A:$A,$B157&amp;$E157&amp;$F157&amp;$J157,'Doc''s Pagos | Rodopar 108'!$B:$B,Y$1)+SUMIFS('Doc Há Pagar | Rodopar 1015'!$J:$J,'Doc Há Pagar | Rodopar 1015'!$A:$A,$B157&amp;$E157&amp;$F157,'Doc Há Pagar | Rodopar 1015'!$B:$B,Y$1)</f>
        <v>0</v>
      </c>
      <c r="Z157" s="20">
        <f>SUMIFS('Doc''s Pagos | Rodopar 108'!$J:$J,'Doc''s Pagos | Rodopar 108'!$A:$A,$B157&amp;$E157&amp;$F157&amp;$J157,'Doc''s Pagos | Rodopar 108'!$B:$B,Z$1)+SUMIFS('Doc Há Pagar | Rodopar 1015'!$J:$J,'Doc Há Pagar | Rodopar 1015'!$A:$A,$B157&amp;$E157&amp;$F157,'Doc Há Pagar | Rodopar 1015'!$B:$B,Z$1)</f>
        <v>0</v>
      </c>
      <c r="AA157" s="20">
        <f>SUMIFS('Doc''s Pagos | Rodopar 108'!$J:$J,'Doc''s Pagos | Rodopar 108'!$A:$A,$B157&amp;$E157&amp;$F157&amp;$J157,'Doc''s Pagos | Rodopar 108'!$B:$B,AA$1)+SUMIFS('Doc Há Pagar | Rodopar 1015'!$J:$J,'Doc Há Pagar | Rodopar 1015'!$A:$A,$B157&amp;$E157&amp;$F157,'Doc Há Pagar | Rodopar 1015'!$B:$B,AA$1)</f>
        <v>0</v>
      </c>
      <c r="AB157" s="20">
        <f>SUMIFS('Doc''s Pagos | Rodopar 108'!$J:$J,'Doc''s Pagos | Rodopar 108'!$A:$A,$B157&amp;$E157&amp;$F157&amp;$J157,'Doc''s Pagos | Rodopar 108'!$B:$B,AB$1)+SUMIFS('Doc Há Pagar | Rodopar 1015'!$J:$J,'Doc Há Pagar | Rodopar 1015'!$A:$A,$B157&amp;$E157&amp;$F157,'Doc Há Pagar | Rodopar 1015'!$B:$B,AB$1)</f>
        <v>0</v>
      </c>
      <c r="AC157" s="20">
        <f>SUMIFS('Doc''s Pagos | Rodopar 108'!$J:$J,'Doc''s Pagos | Rodopar 108'!$A:$A,$B157&amp;$E157&amp;$F157&amp;$J157,'Doc''s Pagos | Rodopar 108'!$B:$B,AC$1)+SUMIFS('Doc Há Pagar | Rodopar 1015'!$J:$J,'Doc Há Pagar | Rodopar 1015'!$A:$A,$B157&amp;$E157&amp;$F157,'Doc Há Pagar | Rodopar 1015'!$B:$B,AC$1)</f>
        <v>0</v>
      </c>
      <c r="AD157" s="20">
        <f>SUMIFS('Doc''s Pagos | Rodopar 108'!$J:$J,'Doc''s Pagos | Rodopar 108'!$A:$A,$B157&amp;$E157&amp;$F157&amp;$J157,'Doc''s Pagos | Rodopar 108'!$B:$B,AD$1)+SUMIFS('Doc Há Pagar | Rodopar 1015'!$J:$J,'Doc Há Pagar | Rodopar 1015'!$A:$A,$B157&amp;$E157&amp;$F157,'Doc Há Pagar | Rodopar 1015'!$B:$B,AD$1)</f>
        <v>0</v>
      </c>
    </row>
    <row r="158" spans="1:30" x14ac:dyDescent="0.25">
      <c r="A158" s="1" t="str">
        <f>VLOOKUP($E158,Fornecedores!$A:$C,3,0)</f>
        <v>Frota</v>
      </c>
      <c r="B158" s="14" t="s">
        <v>306</v>
      </c>
      <c r="C158" s="14" t="str">
        <f>IFERROR(VLOOKUP($E158,Fornecedores!$A:$E,4,0),"")</f>
        <v>OPE Merchandising</v>
      </c>
      <c r="D158" s="14" t="str">
        <f>IFERROR(VLOOKUP($E158,Fornecedores!$A:$E,5,0),"")</f>
        <v>Locação</v>
      </c>
      <c r="E158" s="8" t="s">
        <v>303</v>
      </c>
      <c r="F158" s="14" t="s">
        <v>232</v>
      </c>
      <c r="G158" s="8" t="s">
        <v>304</v>
      </c>
      <c r="H158" s="9">
        <v>87</v>
      </c>
      <c r="I158" s="21">
        <v>570.87</v>
      </c>
      <c r="J158" s="11">
        <v>46127</v>
      </c>
      <c r="K158" s="11">
        <v>46142</v>
      </c>
      <c r="L158" s="8" t="s">
        <v>233</v>
      </c>
      <c r="M158" s="14" t="s">
        <v>234</v>
      </c>
      <c r="N158" s="16">
        <v>1556</v>
      </c>
      <c r="O158" s="14" t="s">
        <v>241</v>
      </c>
      <c r="P158" s="14"/>
      <c r="Q158" s="20">
        <f t="shared" si="2"/>
        <v>0</v>
      </c>
      <c r="S158" s="20">
        <f>SUMIFS('Doc''s Pagos | Rodopar 108'!$J:$J,'Doc''s Pagos | Rodopar 108'!$A:$A,$B158&amp;$E158&amp;$F158&amp;$J158,'Doc''s Pagos | Rodopar 108'!$B:$B,S$1)+SUMIFS('Doc Há Pagar | Rodopar 1015'!$J:$J,'Doc Há Pagar | Rodopar 1015'!$A:$A,$B158&amp;$E158&amp;$F158,'Doc Há Pagar | Rodopar 1015'!$B:$B,S$1)</f>
        <v>0</v>
      </c>
      <c r="T158" s="20">
        <f>SUMIFS('Doc''s Pagos | Rodopar 108'!$J:$J,'Doc''s Pagos | Rodopar 108'!$A:$A,$B158&amp;$E158&amp;$F158&amp;$J158,'Doc''s Pagos | Rodopar 108'!$B:$B,T$1)+SUMIFS('Doc Há Pagar | Rodopar 1015'!$J:$J,'Doc Há Pagar | Rodopar 1015'!$A:$A,$B158&amp;$E158&amp;$F158,'Doc Há Pagar | Rodopar 1015'!$B:$B,T$1)</f>
        <v>0</v>
      </c>
      <c r="U158" s="20">
        <f>SUMIFS('Doc''s Pagos | Rodopar 108'!$J:$J,'Doc''s Pagos | Rodopar 108'!$A:$A,$B158&amp;$E158&amp;$F158&amp;$J158,'Doc''s Pagos | Rodopar 108'!$B:$B,U$1)+SUMIFS('Doc Há Pagar | Rodopar 1015'!$J:$J,'Doc Há Pagar | Rodopar 1015'!$A:$A,$B158&amp;$E158&amp;$F158,'Doc Há Pagar | Rodopar 1015'!$B:$B,U$1)</f>
        <v>0</v>
      </c>
      <c r="V158" s="20">
        <f>SUMIFS('Doc''s Pagos | Rodopar 108'!$J:$J,'Doc''s Pagos | Rodopar 108'!$A:$A,$B158&amp;$E158&amp;$F158&amp;$J158,'Doc''s Pagos | Rodopar 108'!$B:$B,V$1)+SUMIFS('Doc Há Pagar | Rodopar 1015'!$J:$J,'Doc Há Pagar | Rodopar 1015'!$A:$A,$B158&amp;$E158&amp;$F158,'Doc Há Pagar | Rodopar 1015'!$B:$B,V$1)</f>
        <v>570.87</v>
      </c>
      <c r="W158" s="20">
        <f>SUMIFS('Doc''s Pagos | Rodopar 108'!$J:$J,'Doc''s Pagos | Rodopar 108'!$A:$A,$B158&amp;$E158&amp;$F158&amp;$J158,'Doc''s Pagos | Rodopar 108'!$B:$B,W$1)+SUMIFS('Doc Há Pagar | Rodopar 1015'!$J:$J,'Doc Há Pagar | Rodopar 1015'!$A:$A,$B158&amp;$E158&amp;$F158,'Doc Há Pagar | Rodopar 1015'!$B:$B,W$1)</f>
        <v>0</v>
      </c>
      <c r="X158" s="20">
        <f>SUMIFS('Doc''s Pagos | Rodopar 108'!$J:$J,'Doc''s Pagos | Rodopar 108'!$A:$A,$B158&amp;$E158&amp;$F158&amp;$J158,'Doc''s Pagos | Rodopar 108'!$B:$B,X$1)+SUMIFS('Doc Há Pagar | Rodopar 1015'!$J:$J,'Doc Há Pagar | Rodopar 1015'!$A:$A,$B158&amp;$E158&amp;$F158,'Doc Há Pagar | Rodopar 1015'!$B:$B,X$1)</f>
        <v>0</v>
      </c>
      <c r="Y158" s="20">
        <f>SUMIFS('Doc''s Pagos | Rodopar 108'!$J:$J,'Doc''s Pagos | Rodopar 108'!$A:$A,$B158&amp;$E158&amp;$F158&amp;$J158,'Doc''s Pagos | Rodopar 108'!$B:$B,Y$1)+SUMIFS('Doc Há Pagar | Rodopar 1015'!$J:$J,'Doc Há Pagar | Rodopar 1015'!$A:$A,$B158&amp;$E158&amp;$F158,'Doc Há Pagar | Rodopar 1015'!$B:$B,Y$1)</f>
        <v>0</v>
      </c>
      <c r="Z158" s="20">
        <f>SUMIFS('Doc''s Pagos | Rodopar 108'!$J:$J,'Doc''s Pagos | Rodopar 108'!$A:$A,$B158&amp;$E158&amp;$F158&amp;$J158,'Doc''s Pagos | Rodopar 108'!$B:$B,Z$1)+SUMIFS('Doc Há Pagar | Rodopar 1015'!$J:$J,'Doc Há Pagar | Rodopar 1015'!$A:$A,$B158&amp;$E158&amp;$F158,'Doc Há Pagar | Rodopar 1015'!$B:$B,Z$1)</f>
        <v>0</v>
      </c>
      <c r="AA158" s="20">
        <f>SUMIFS('Doc''s Pagos | Rodopar 108'!$J:$J,'Doc''s Pagos | Rodopar 108'!$A:$A,$B158&amp;$E158&amp;$F158&amp;$J158,'Doc''s Pagos | Rodopar 108'!$B:$B,AA$1)+SUMIFS('Doc Há Pagar | Rodopar 1015'!$J:$J,'Doc Há Pagar | Rodopar 1015'!$A:$A,$B158&amp;$E158&amp;$F158,'Doc Há Pagar | Rodopar 1015'!$B:$B,AA$1)</f>
        <v>0</v>
      </c>
      <c r="AB158" s="20">
        <f>SUMIFS('Doc''s Pagos | Rodopar 108'!$J:$J,'Doc''s Pagos | Rodopar 108'!$A:$A,$B158&amp;$E158&amp;$F158&amp;$J158,'Doc''s Pagos | Rodopar 108'!$B:$B,AB$1)+SUMIFS('Doc Há Pagar | Rodopar 1015'!$J:$J,'Doc Há Pagar | Rodopar 1015'!$A:$A,$B158&amp;$E158&amp;$F158,'Doc Há Pagar | Rodopar 1015'!$B:$B,AB$1)</f>
        <v>0</v>
      </c>
      <c r="AC158" s="20">
        <f>SUMIFS('Doc''s Pagos | Rodopar 108'!$J:$J,'Doc''s Pagos | Rodopar 108'!$A:$A,$B158&amp;$E158&amp;$F158&amp;$J158,'Doc''s Pagos | Rodopar 108'!$B:$B,AC$1)+SUMIFS('Doc Há Pagar | Rodopar 1015'!$J:$J,'Doc Há Pagar | Rodopar 1015'!$A:$A,$B158&amp;$E158&amp;$F158,'Doc Há Pagar | Rodopar 1015'!$B:$B,AC$1)</f>
        <v>0</v>
      </c>
      <c r="AD158" s="20">
        <f>SUMIFS('Doc''s Pagos | Rodopar 108'!$J:$J,'Doc''s Pagos | Rodopar 108'!$A:$A,$B158&amp;$E158&amp;$F158&amp;$J158,'Doc''s Pagos | Rodopar 108'!$B:$B,AD$1)+SUMIFS('Doc Há Pagar | Rodopar 1015'!$J:$J,'Doc Há Pagar | Rodopar 1015'!$A:$A,$B158&amp;$E158&amp;$F158,'Doc Há Pagar | Rodopar 1015'!$B:$B,AD$1)</f>
        <v>0</v>
      </c>
    </row>
    <row r="159" spans="1:30" x14ac:dyDescent="0.25">
      <c r="A159" s="1" t="str">
        <f>VLOOKUP($E159,Fornecedores!$A:$C,3,0)</f>
        <v>Frota</v>
      </c>
      <c r="B159" s="14">
        <v>1558567</v>
      </c>
      <c r="C159" s="14" t="str">
        <f>IFERROR(VLOOKUP($E159,Fornecedores!$A:$E,4,0),"")</f>
        <v>MTSR</v>
      </c>
      <c r="D159" s="14" t="str">
        <f>IFERROR(VLOOKUP($E159,Fornecedores!$A:$E,5,0),"")</f>
        <v>Tecnologia</v>
      </c>
      <c r="E159" s="8" t="s">
        <v>191</v>
      </c>
      <c r="F159" s="14" t="s">
        <v>665</v>
      </c>
      <c r="G159" s="8" t="s">
        <v>722</v>
      </c>
      <c r="H159" s="9">
        <v>87</v>
      </c>
      <c r="I159" s="21">
        <v>1615.49</v>
      </c>
      <c r="J159" s="11">
        <v>46127</v>
      </c>
      <c r="K159" s="11">
        <v>46128</v>
      </c>
      <c r="L159" s="8" t="s">
        <v>723</v>
      </c>
      <c r="M159" s="14" t="s">
        <v>684</v>
      </c>
      <c r="N159" s="16">
        <v>2556</v>
      </c>
      <c r="O159" s="14" t="s">
        <v>241</v>
      </c>
      <c r="P159" s="14"/>
      <c r="Q159" s="20">
        <f t="shared" si="2"/>
        <v>0</v>
      </c>
      <c r="S159" s="20">
        <f>SUMIFS('Doc''s Pagos | Rodopar 108'!$J:$J,'Doc''s Pagos | Rodopar 108'!$A:$A,$B159&amp;$E159&amp;$F159&amp;$J159,'Doc''s Pagos | Rodopar 108'!$B:$B,S$1)+SUMIFS('Doc Há Pagar | Rodopar 1015'!$J:$J,'Doc Há Pagar | Rodopar 1015'!$A:$A,$B159&amp;$E159&amp;$F159,'Doc Há Pagar | Rodopar 1015'!$B:$B,S$1)</f>
        <v>0</v>
      </c>
      <c r="T159" s="20">
        <f>SUMIFS('Doc''s Pagos | Rodopar 108'!$J:$J,'Doc''s Pagos | Rodopar 108'!$A:$A,$B159&amp;$E159&amp;$F159&amp;$J159,'Doc''s Pagos | Rodopar 108'!$B:$B,T$1)+SUMIFS('Doc Há Pagar | Rodopar 1015'!$J:$J,'Doc Há Pagar | Rodopar 1015'!$A:$A,$B159&amp;$E159&amp;$F159,'Doc Há Pagar | Rodopar 1015'!$B:$B,T$1)</f>
        <v>0</v>
      </c>
      <c r="U159" s="20">
        <f>SUMIFS('Doc''s Pagos | Rodopar 108'!$J:$J,'Doc''s Pagos | Rodopar 108'!$A:$A,$B159&amp;$E159&amp;$F159&amp;$J159,'Doc''s Pagos | Rodopar 108'!$B:$B,U$1)+SUMIFS('Doc Há Pagar | Rodopar 1015'!$J:$J,'Doc Há Pagar | Rodopar 1015'!$A:$A,$B159&amp;$E159&amp;$F159,'Doc Há Pagar | Rodopar 1015'!$B:$B,U$1)</f>
        <v>0</v>
      </c>
      <c r="V159" s="20">
        <f>SUMIFS('Doc''s Pagos | Rodopar 108'!$J:$J,'Doc''s Pagos | Rodopar 108'!$A:$A,$B159&amp;$E159&amp;$F159&amp;$J159,'Doc''s Pagos | Rodopar 108'!$B:$B,V$1)+SUMIFS('Doc Há Pagar | Rodopar 1015'!$J:$J,'Doc Há Pagar | Rodopar 1015'!$A:$A,$B159&amp;$E159&amp;$F159,'Doc Há Pagar | Rodopar 1015'!$B:$B,V$1)</f>
        <v>0</v>
      </c>
      <c r="W159" s="20">
        <f>SUMIFS('Doc''s Pagos | Rodopar 108'!$J:$J,'Doc''s Pagos | Rodopar 108'!$A:$A,$B159&amp;$E159&amp;$F159&amp;$J159,'Doc''s Pagos | Rodopar 108'!$B:$B,W$1)+SUMIFS('Doc Há Pagar | Rodopar 1015'!$J:$J,'Doc Há Pagar | Rodopar 1015'!$A:$A,$B159&amp;$E159&amp;$F159,'Doc Há Pagar | Rodopar 1015'!$B:$B,W$1)</f>
        <v>1615.49</v>
      </c>
      <c r="X159" s="20">
        <f>SUMIFS('Doc''s Pagos | Rodopar 108'!$J:$J,'Doc''s Pagos | Rodopar 108'!$A:$A,$B159&amp;$E159&amp;$F159&amp;$J159,'Doc''s Pagos | Rodopar 108'!$B:$B,X$1)+SUMIFS('Doc Há Pagar | Rodopar 1015'!$J:$J,'Doc Há Pagar | Rodopar 1015'!$A:$A,$B159&amp;$E159&amp;$F159,'Doc Há Pagar | Rodopar 1015'!$B:$B,X$1)</f>
        <v>0</v>
      </c>
      <c r="Y159" s="20">
        <f>SUMIFS('Doc''s Pagos | Rodopar 108'!$J:$J,'Doc''s Pagos | Rodopar 108'!$A:$A,$B159&amp;$E159&amp;$F159&amp;$J159,'Doc''s Pagos | Rodopar 108'!$B:$B,Y$1)+SUMIFS('Doc Há Pagar | Rodopar 1015'!$J:$J,'Doc Há Pagar | Rodopar 1015'!$A:$A,$B159&amp;$E159&amp;$F159,'Doc Há Pagar | Rodopar 1015'!$B:$B,Y$1)</f>
        <v>0</v>
      </c>
      <c r="Z159" s="20">
        <f>SUMIFS('Doc''s Pagos | Rodopar 108'!$J:$J,'Doc''s Pagos | Rodopar 108'!$A:$A,$B159&amp;$E159&amp;$F159&amp;$J159,'Doc''s Pagos | Rodopar 108'!$B:$B,Z$1)+SUMIFS('Doc Há Pagar | Rodopar 1015'!$J:$J,'Doc Há Pagar | Rodopar 1015'!$A:$A,$B159&amp;$E159&amp;$F159,'Doc Há Pagar | Rodopar 1015'!$B:$B,Z$1)</f>
        <v>0</v>
      </c>
      <c r="AA159" s="20">
        <f>SUMIFS('Doc''s Pagos | Rodopar 108'!$J:$J,'Doc''s Pagos | Rodopar 108'!$A:$A,$B159&amp;$E159&amp;$F159&amp;$J159,'Doc''s Pagos | Rodopar 108'!$B:$B,AA$1)+SUMIFS('Doc Há Pagar | Rodopar 1015'!$J:$J,'Doc Há Pagar | Rodopar 1015'!$A:$A,$B159&amp;$E159&amp;$F159,'Doc Há Pagar | Rodopar 1015'!$B:$B,AA$1)</f>
        <v>0</v>
      </c>
      <c r="AB159" s="20">
        <f>SUMIFS('Doc''s Pagos | Rodopar 108'!$J:$J,'Doc''s Pagos | Rodopar 108'!$A:$A,$B159&amp;$E159&amp;$F159&amp;$J159,'Doc''s Pagos | Rodopar 108'!$B:$B,AB$1)+SUMIFS('Doc Há Pagar | Rodopar 1015'!$J:$J,'Doc Há Pagar | Rodopar 1015'!$A:$A,$B159&amp;$E159&amp;$F159,'Doc Há Pagar | Rodopar 1015'!$B:$B,AB$1)</f>
        <v>0</v>
      </c>
      <c r="AC159" s="20">
        <f>SUMIFS('Doc''s Pagos | Rodopar 108'!$J:$J,'Doc''s Pagos | Rodopar 108'!$A:$A,$B159&amp;$E159&amp;$F159&amp;$J159,'Doc''s Pagos | Rodopar 108'!$B:$B,AC$1)+SUMIFS('Doc Há Pagar | Rodopar 1015'!$J:$J,'Doc Há Pagar | Rodopar 1015'!$A:$A,$B159&amp;$E159&amp;$F159,'Doc Há Pagar | Rodopar 1015'!$B:$B,AC$1)</f>
        <v>0</v>
      </c>
      <c r="AD159" s="20">
        <f>SUMIFS('Doc''s Pagos | Rodopar 108'!$J:$J,'Doc''s Pagos | Rodopar 108'!$A:$A,$B159&amp;$E159&amp;$F159&amp;$J159,'Doc''s Pagos | Rodopar 108'!$B:$B,AD$1)+SUMIFS('Doc Há Pagar | Rodopar 1015'!$J:$J,'Doc Há Pagar | Rodopar 1015'!$A:$A,$B159&amp;$E159&amp;$F159,'Doc Há Pagar | Rodopar 1015'!$B:$B,AD$1)</f>
        <v>0</v>
      </c>
    </row>
    <row r="160" spans="1:30" x14ac:dyDescent="0.25">
      <c r="A160" s="1" t="str">
        <f>VLOOKUP($E160,Fornecedores!$A:$C,3,0)</f>
        <v>Frota</v>
      </c>
      <c r="B160" s="14">
        <v>275</v>
      </c>
      <c r="C160" s="14" t="str">
        <f>IFERROR(VLOOKUP($E160,Fornecedores!$A:$E,4,0),"")</f>
        <v>Sinistro</v>
      </c>
      <c r="D160" s="14" t="str">
        <f>IFERROR(VLOOKUP($E160,Fornecedores!$A:$E,5,0),"")</f>
        <v>Guincho</v>
      </c>
      <c r="E160" s="8" t="s">
        <v>812</v>
      </c>
      <c r="F160" s="14" t="s">
        <v>665</v>
      </c>
      <c r="G160" s="8" t="s">
        <v>813</v>
      </c>
      <c r="H160" s="9">
        <v>87</v>
      </c>
      <c r="I160" s="21">
        <v>4700</v>
      </c>
      <c r="J160" s="11">
        <v>46127</v>
      </c>
      <c r="K160" s="11">
        <v>46127</v>
      </c>
      <c r="L160" s="8" t="s">
        <v>501</v>
      </c>
      <c r="M160" s="14" t="s">
        <v>234</v>
      </c>
      <c r="N160" s="16">
        <v>1556</v>
      </c>
      <c r="O160" s="14" t="s">
        <v>241</v>
      </c>
      <c r="P160" s="14"/>
      <c r="Q160" s="20">
        <f t="shared" si="2"/>
        <v>0</v>
      </c>
      <c r="S160" s="20">
        <f>SUMIFS('Doc''s Pagos | Rodopar 108'!$J:$J,'Doc''s Pagos | Rodopar 108'!$A:$A,$B160&amp;$E160&amp;$F160&amp;$J160,'Doc''s Pagos | Rodopar 108'!$B:$B,S$1)+SUMIFS('Doc Há Pagar | Rodopar 1015'!$J:$J,'Doc Há Pagar | Rodopar 1015'!$A:$A,$B160&amp;$E160&amp;$F160,'Doc Há Pagar | Rodopar 1015'!$B:$B,S$1)</f>
        <v>0</v>
      </c>
      <c r="T160" s="20">
        <f>SUMIFS('Doc''s Pagos | Rodopar 108'!$J:$J,'Doc''s Pagos | Rodopar 108'!$A:$A,$B160&amp;$E160&amp;$F160&amp;$J160,'Doc''s Pagos | Rodopar 108'!$B:$B,T$1)+SUMIFS('Doc Há Pagar | Rodopar 1015'!$J:$J,'Doc Há Pagar | Rodopar 1015'!$A:$A,$B160&amp;$E160&amp;$F160,'Doc Há Pagar | Rodopar 1015'!$B:$B,T$1)</f>
        <v>0</v>
      </c>
      <c r="U160" s="20">
        <f>SUMIFS('Doc''s Pagos | Rodopar 108'!$J:$J,'Doc''s Pagos | Rodopar 108'!$A:$A,$B160&amp;$E160&amp;$F160&amp;$J160,'Doc''s Pagos | Rodopar 108'!$B:$B,U$1)+SUMIFS('Doc Há Pagar | Rodopar 1015'!$J:$J,'Doc Há Pagar | Rodopar 1015'!$A:$A,$B160&amp;$E160&amp;$F160,'Doc Há Pagar | Rodopar 1015'!$B:$B,U$1)</f>
        <v>0</v>
      </c>
      <c r="V160" s="20">
        <f>SUMIFS('Doc''s Pagos | Rodopar 108'!$J:$J,'Doc''s Pagos | Rodopar 108'!$A:$A,$B160&amp;$E160&amp;$F160&amp;$J160,'Doc''s Pagos | Rodopar 108'!$B:$B,V$1)+SUMIFS('Doc Há Pagar | Rodopar 1015'!$J:$J,'Doc Há Pagar | Rodopar 1015'!$A:$A,$B160&amp;$E160&amp;$F160,'Doc Há Pagar | Rodopar 1015'!$B:$B,V$1)</f>
        <v>4700</v>
      </c>
      <c r="W160" s="20">
        <f>SUMIFS('Doc''s Pagos | Rodopar 108'!$J:$J,'Doc''s Pagos | Rodopar 108'!$A:$A,$B160&amp;$E160&amp;$F160&amp;$J160,'Doc''s Pagos | Rodopar 108'!$B:$B,W$1)+SUMIFS('Doc Há Pagar | Rodopar 1015'!$J:$J,'Doc Há Pagar | Rodopar 1015'!$A:$A,$B160&amp;$E160&amp;$F160,'Doc Há Pagar | Rodopar 1015'!$B:$B,W$1)</f>
        <v>0</v>
      </c>
      <c r="X160" s="20">
        <f>SUMIFS('Doc''s Pagos | Rodopar 108'!$J:$J,'Doc''s Pagos | Rodopar 108'!$A:$A,$B160&amp;$E160&amp;$F160&amp;$J160,'Doc''s Pagos | Rodopar 108'!$B:$B,X$1)+SUMIFS('Doc Há Pagar | Rodopar 1015'!$J:$J,'Doc Há Pagar | Rodopar 1015'!$A:$A,$B160&amp;$E160&amp;$F160,'Doc Há Pagar | Rodopar 1015'!$B:$B,X$1)</f>
        <v>0</v>
      </c>
      <c r="Y160" s="20">
        <f>SUMIFS('Doc''s Pagos | Rodopar 108'!$J:$J,'Doc''s Pagos | Rodopar 108'!$A:$A,$B160&amp;$E160&amp;$F160&amp;$J160,'Doc''s Pagos | Rodopar 108'!$B:$B,Y$1)+SUMIFS('Doc Há Pagar | Rodopar 1015'!$J:$J,'Doc Há Pagar | Rodopar 1015'!$A:$A,$B160&amp;$E160&amp;$F160,'Doc Há Pagar | Rodopar 1015'!$B:$B,Y$1)</f>
        <v>0</v>
      </c>
      <c r="Z160" s="20">
        <f>SUMIFS('Doc''s Pagos | Rodopar 108'!$J:$J,'Doc''s Pagos | Rodopar 108'!$A:$A,$B160&amp;$E160&amp;$F160&amp;$J160,'Doc''s Pagos | Rodopar 108'!$B:$B,Z$1)+SUMIFS('Doc Há Pagar | Rodopar 1015'!$J:$J,'Doc Há Pagar | Rodopar 1015'!$A:$A,$B160&amp;$E160&amp;$F160,'Doc Há Pagar | Rodopar 1015'!$B:$B,Z$1)</f>
        <v>0</v>
      </c>
      <c r="AA160" s="20">
        <f>SUMIFS('Doc''s Pagos | Rodopar 108'!$J:$J,'Doc''s Pagos | Rodopar 108'!$A:$A,$B160&amp;$E160&amp;$F160&amp;$J160,'Doc''s Pagos | Rodopar 108'!$B:$B,AA$1)+SUMIFS('Doc Há Pagar | Rodopar 1015'!$J:$J,'Doc Há Pagar | Rodopar 1015'!$A:$A,$B160&amp;$E160&amp;$F160,'Doc Há Pagar | Rodopar 1015'!$B:$B,AA$1)</f>
        <v>0</v>
      </c>
      <c r="AB160" s="20">
        <f>SUMIFS('Doc''s Pagos | Rodopar 108'!$J:$J,'Doc''s Pagos | Rodopar 108'!$A:$A,$B160&amp;$E160&amp;$F160&amp;$J160,'Doc''s Pagos | Rodopar 108'!$B:$B,AB$1)+SUMIFS('Doc Há Pagar | Rodopar 1015'!$J:$J,'Doc Há Pagar | Rodopar 1015'!$A:$A,$B160&amp;$E160&amp;$F160,'Doc Há Pagar | Rodopar 1015'!$B:$B,AB$1)</f>
        <v>0</v>
      </c>
      <c r="AC160" s="20">
        <f>SUMIFS('Doc''s Pagos | Rodopar 108'!$J:$J,'Doc''s Pagos | Rodopar 108'!$A:$A,$B160&amp;$E160&amp;$F160&amp;$J160,'Doc''s Pagos | Rodopar 108'!$B:$B,AC$1)+SUMIFS('Doc Há Pagar | Rodopar 1015'!$J:$J,'Doc Há Pagar | Rodopar 1015'!$A:$A,$B160&amp;$E160&amp;$F160,'Doc Há Pagar | Rodopar 1015'!$B:$B,AC$1)</f>
        <v>0</v>
      </c>
      <c r="AD160" s="20">
        <f>SUMIFS('Doc''s Pagos | Rodopar 108'!$J:$J,'Doc''s Pagos | Rodopar 108'!$A:$A,$B160&amp;$E160&amp;$F160&amp;$J160,'Doc''s Pagos | Rodopar 108'!$B:$B,AD$1)+SUMIFS('Doc Há Pagar | Rodopar 1015'!$J:$J,'Doc Há Pagar | Rodopar 1015'!$A:$A,$B160&amp;$E160&amp;$F160,'Doc Há Pagar | Rodopar 1015'!$B:$B,AD$1)</f>
        <v>0</v>
      </c>
    </row>
    <row r="161" spans="1:30" x14ac:dyDescent="0.25">
      <c r="A161" s="1" t="str">
        <f>VLOOKUP($E161,Fornecedores!$A:$C,3,0)</f>
        <v>Frota</v>
      </c>
      <c r="B161" s="14">
        <v>3253199</v>
      </c>
      <c r="C161" s="14" t="str">
        <f>IFERROR(VLOOKUP($E161,Fornecedores!$A:$E,4,0),"")</f>
        <v>MTSR</v>
      </c>
      <c r="D161" s="14" t="str">
        <f>IFERROR(VLOOKUP($E161,Fornecedores!$A:$E,5,0),"")</f>
        <v>Tecnologia</v>
      </c>
      <c r="E161" s="8" t="s">
        <v>192</v>
      </c>
      <c r="F161" s="14" t="s">
        <v>665</v>
      </c>
      <c r="G161" s="8" t="s">
        <v>837</v>
      </c>
      <c r="H161" s="9">
        <v>87</v>
      </c>
      <c r="I161" s="21">
        <v>9137.4699999999993</v>
      </c>
      <c r="J161" s="11">
        <v>46127</v>
      </c>
      <c r="K161" s="11">
        <v>46128</v>
      </c>
      <c r="L161" s="8" t="s">
        <v>723</v>
      </c>
      <c r="M161" s="14" t="s">
        <v>684</v>
      </c>
      <c r="N161" s="16">
        <v>2556</v>
      </c>
      <c r="O161" s="14" t="s">
        <v>241</v>
      </c>
      <c r="P161" s="14"/>
      <c r="Q161" s="20">
        <f t="shared" si="2"/>
        <v>0</v>
      </c>
      <c r="S161" s="20">
        <f>SUMIFS('Doc''s Pagos | Rodopar 108'!$J:$J,'Doc''s Pagos | Rodopar 108'!$A:$A,$B161&amp;$E161&amp;$F161&amp;$J161,'Doc''s Pagos | Rodopar 108'!$B:$B,S$1)+SUMIFS('Doc Há Pagar | Rodopar 1015'!$J:$J,'Doc Há Pagar | Rodopar 1015'!$A:$A,$B161&amp;$E161&amp;$F161,'Doc Há Pagar | Rodopar 1015'!$B:$B,S$1)</f>
        <v>0</v>
      </c>
      <c r="T161" s="20">
        <f>SUMIFS('Doc''s Pagos | Rodopar 108'!$J:$J,'Doc''s Pagos | Rodopar 108'!$A:$A,$B161&amp;$E161&amp;$F161&amp;$J161,'Doc''s Pagos | Rodopar 108'!$B:$B,T$1)+SUMIFS('Doc Há Pagar | Rodopar 1015'!$J:$J,'Doc Há Pagar | Rodopar 1015'!$A:$A,$B161&amp;$E161&amp;$F161,'Doc Há Pagar | Rodopar 1015'!$B:$B,T$1)</f>
        <v>0</v>
      </c>
      <c r="U161" s="20">
        <f>SUMIFS('Doc''s Pagos | Rodopar 108'!$J:$J,'Doc''s Pagos | Rodopar 108'!$A:$A,$B161&amp;$E161&amp;$F161&amp;$J161,'Doc''s Pagos | Rodopar 108'!$B:$B,U$1)+SUMIFS('Doc Há Pagar | Rodopar 1015'!$J:$J,'Doc Há Pagar | Rodopar 1015'!$A:$A,$B161&amp;$E161&amp;$F161,'Doc Há Pagar | Rodopar 1015'!$B:$B,U$1)</f>
        <v>0</v>
      </c>
      <c r="V161" s="20">
        <f>SUMIFS('Doc''s Pagos | Rodopar 108'!$J:$J,'Doc''s Pagos | Rodopar 108'!$A:$A,$B161&amp;$E161&amp;$F161&amp;$J161,'Doc''s Pagos | Rodopar 108'!$B:$B,V$1)+SUMIFS('Doc Há Pagar | Rodopar 1015'!$J:$J,'Doc Há Pagar | Rodopar 1015'!$A:$A,$B161&amp;$E161&amp;$F161,'Doc Há Pagar | Rodopar 1015'!$B:$B,V$1)</f>
        <v>0</v>
      </c>
      <c r="W161" s="20">
        <f>SUMIFS('Doc''s Pagos | Rodopar 108'!$J:$J,'Doc''s Pagos | Rodopar 108'!$A:$A,$B161&amp;$E161&amp;$F161&amp;$J161,'Doc''s Pagos | Rodopar 108'!$B:$B,W$1)+SUMIFS('Doc Há Pagar | Rodopar 1015'!$J:$J,'Doc Há Pagar | Rodopar 1015'!$A:$A,$B161&amp;$E161&amp;$F161,'Doc Há Pagar | Rodopar 1015'!$B:$B,W$1)</f>
        <v>9137.4699999999993</v>
      </c>
      <c r="X161" s="20">
        <f>SUMIFS('Doc''s Pagos | Rodopar 108'!$J:$J,'Doc''s Pagos | Rodopar 108'!$A:$A,$B161&amp;$E161&amp;$F161&amp;$J161,'Doc''s Pagos | Rodopar 108'!$B:$B,X$1)+SUMIFS('Doc Há Pagar | Rodopar 1015'!$J:$J,'Doc Há Pagar | Rodopar 1015'!$A:$A,$B161&amp;$E161&amp;$F161,'Doc Há Pagar | Rodopar 1015'!$B:$B,X$1)</f>
        <v>0</v>
      </c>
      <c r="Y161" s="20">
        <f>SUMIFS('Doc''s Pagos | Rodopar 108'!$J:$J,'Doc''s Pagos | Rodopar 108'!$A:$A,$B161&amp;$E161&amp;$F161&amp;$J161,'Doc''s Pagos | Rodopar 108'!$B:$B,Y$1)+SUMIFS('Doc Há Pagar | Rodopar 1015'!$J:$J,'Doc Há Pagar | Rodopar 1015'!$A:$A,$B161&amp;$E161&amp;$F161,'Doc Há Pagar | Rodopar 1015'!$B:$B,Y$1)</f>
        <v>0</v>
      </c>
      <c r="Z161" s="20">
        <f>SUMIFS('Doc''s Pagos | Rodopar 108'!$J:$J,'Doc''s Pagos | Rodopar 108'!$A:$A,$B161&amp;$E161&amp;$F161&amp;$J161,'Doc''s Pagos | Rodopar 108'!$B:$B,Z$1)+SUMIFS('Doc Há Pagar | Rodopar 1015'!$J:$J,'Doc Há Pagar | Rodopar 1015'!$A:$A,$B161&amp;$E161&amp;$F161,'Doc Há Pagar | Rodopar 1015'!$B:$B,Z$1)</f>
        <v>0</v>
      </c>
      <c r="AA161" s="20">
        <f>SUMIFS('Doc''s Pagos | Rodopar 108'!$J:$J,'Doc''s Pagos | Rodopar 108'!$A:$A,$B161&amp;$E161&amp;$F161&amp;$J161,'Doc''s Pagos | Rodopar 108'!$B:$B,AA$1)+SUMIFS('Doc Há Pagar | Rodopar 1015'!$J:$J,'Doc Há Pagar | Rodopar 1015'!$A:$A,$B161&amp;$E161&amp;$F161,'Doc Há Pagar | Rodopar 1015'!$B:$B,AA$1)</f>
        <v>0</v>
      </c>
      <c r="AB161" s="20">
        <f>SUMIFS('Doc''s Pagos | Rodopar 108'!$J:$J,'Doc''s Pagos | Rodopar 108'!$A:$A,$B161&amp;$E161&amp;$F161&amp;$J161,'Doc''s Pagos | Rodopar 108'!$B:$B,AB$1)+SUMIFS('Doc Há Pagar | Rodopar 1015'!$J:$J,'Doc Há Pagar | Rodopar 1015'!$A:$A,$B161&amp;$E161&amp;$F161,'Doc Há Pagar | Rodopar 1015'!$B:$B,AB$1)</f>
        <v>0</v>
      </c>
      <c r="AC161" s="20">
        <f>SUMIFS('Doc''s Pagos | Rodopar 108'!$J:$J,'Doc''s Pagos | Rodopar 108'!$A:$A,$B161&amp;$E161&amp;$F161&amp;$J161,'Doc''s Pagos | Rodopar 108'!$B:$B,AC$1)+SUMIFS('Doc Há Pagar | Rodopar 1015'!$J:$J,'Doc Há Pagar | Rodopar 1015'!$A:$A,$B161&amp;$E161&amp;$F161,'Doc Há Pagar | Rodopar 1015'!$B:$B,AC$1)</f>
        <v>0</v>
      </c>
      <c r="AD161" s="20">
        <f>SUMIFS('Doc''s Pagos | Rodopar 108'!$J:$J,'Doc''s Pagos | Rodopar 108'!$A:$A,$B161&amp;$E161&amp;$F161&amp;$J161,'Doc''s Pagos | Rodopar 108'!$B:$B,AD$1)+SUMIFS('Doc Há Pagar | Rodopar 1015'!$J:$J,'Doc Há Pagar | Rodopar 1015'!$A:$A,$B161&amp;$E161&amp;$F161,'Doc Há Pagar | Rodopar 1015'!$B:$B,AD$1)</f>
        <v>0</v>
      </c>
    </row>
    <row r="162" spans="1:30" x14ac:dyDescent="0.25">
      <c r="A162" s="1" t="str">
        <f>VLOOKUP($E162,Fornecedores!$A:$C,3,0)</f>
        <v>Frota</v>
      </c>
      <c r="B162" s="14" t="s">
        <v>313</v>
      </c>
      <c r="C162" s="14" t="str">
        <f>IFERROR(VLOOKUP($E162,Fornecedores!$A:$E,4,0),"")</f>
        <v>OPE Merchandising</v>
      </c>
      <c r="D162" s="14" t="str">
        <f>IFERROR(VLOOKUP($E162,Fornecedores!$A:$E,5,0),"")</f>
        <v>Locação</v>
      </c>
      <c r="E162" s="8" t="s">
        <v>112</v>
      </c>
      <c r="F162" s="14" t="s">
        <v>232</v>
      </c>
      <c r="G162" s="8" t="s">
        <v>289</v>
      </c>
      <c r="H162" s="9">
        <v>87</v>
      </c>
      <c r="I162" s="21">
        <v>269.77999999999997</v>
      </c>
      <c r="J162" s="11">
        <v>46128</v>
      </c>
      <c r="K162" s="11">
        <v>46134</v>
      </c>
      <c r="L162" s="8" t="s">
        <v>233</v>
      </c>
      <c r="M162" s="14" t="s">
        <v>234</v>
      </c>
      <c r="N162" s="16">
        <v>1556</v>
      </c>
      <c r="O162" s="14" t="s">
        <v>241</v>
      </c>
      <c r="P162" s="14"/>
      <c r="Q162" s="20">
        <f t="shared" si="2"/>
        <v>0</v>
      </c>
      <c r="S162" s="20">
        <f>SUMIFS('Doc''s Pagos | Rodopar 108'!$J:$J,'Doc''s Pagos | Rodopar 108'!$A:$A,$B162&amp;$E162&amp;$F162&amp;$J162,'Doc''s Pagos | Rodopar 108'!$B:$B,S$1)+SUMIFS('Doc Há Pagar | Rodopar 1015'!$J:$J,'Doc Há Pagar | Rodopar 1015'!$A:$A,$B162&amp;$E162&amp;$F162,'Doc Há Pagar | Rodopar 1015'!$B:$B,S$1)</f>
        <v>0</v>
      </c>
      <c r="T162" s="20">
        <f>SUMIFS('Doc''s Pagos | Rodopar 108'!$J:$J,'Doc''s Pagos | Rodopar 108'!$A:$A,$B162&amp;$E162&amp;$F162&amp;$J162,'Doc''s Pagos | Rodopar 108'!$B:$B,T$1)+SUMIFS('Doc Há Pagar | Rodopar 1015'!$J:$J,'Doc Há Pagar | Rodopar 1015'!$A:$A,$B162&amp;$E162&amp;$F162,'Doc Há Pagar | Rodopar 1015'!$B:$B,T$1)</f>
        <v>0</v>
      </c>
      <c r="U162" s="20">
        <f>SUMIFS('Doc''s Pagos | Rodopar 108'!$J:$J,'Doc''s Pagos | Rodopar 108'!$A:$A,$B162&amp;$E162&amp;$F162&amp;$J162,'Doc''s Pagos | Rodopar 108'!$B:$B,U$1)+SUMIFS('Doc Há Pagar | Rodopar 1015'!$J:$J,'Doc Há Pagar | Rodopar 1015'!$A:$A,$B162&amp;$E162&amp;$F162,'Doc Há Pagar | Rodopar 1015'!$B:$B,U$1)</f>
        <v>0</v>
      </c>
      <c r="V162" s="20">
        <f>SUMIFS('Doc''s Pagos | Rodopar 108'!$J:$J,'Doc''s Pagos | Rodopar 108'!$A:$A,$B162&amp;$E162&amp;$F162&amp;$J162,'Doc''s Pagos | Rodopar 108'!$B:$B,V$1)+SUMIFS('Doc Há Pagar | Rodopar 1015'!$J:$J,'Doc Há Pagar | Rodopar 1015'!$A:$A,$B162&amp;$E162&amp;$F162,'Doc Há Pagar | Rodopar 1015'!$B:$B,V$1)</f>
        <v>0</v>
      </c>
      <c r="W162" s="20">
        <f>SUMIFS('Doc''s Pagos | Rodopar 108'!$J:$J,'Doc''s Pagos | Rodopar 108'!$A:$A,$B162&amp;$E162&amp;$F162&amp;$J162,'Doc''s Pagos | Rodopar 108'!$B:$B,W$1)+SUMIFS('Doc Há Pagar | Rodopar 1015'!$J:$J,'Doc Há Pagar | Rodopar 1015'!$A:$A,$B162&amp;$E162&amp;$F162,'Doc Há Pagar | Rodopar 1015'!$B:$B,W$1)</f>
        <v>269.77999999999997</v>
      </c>
      <c r="X162" s="20">
        <f>SUMIFS('Doc''s Pagos | Rodopar 108'!$J:$J,'Doc''s Pagos | Rodopar 108'!$A:$A,$B162&amp;$E162&amp;$F162&amp;$J162,'Doc''s Pagos | Rodopar 108'!$B:$B,X$1)+SUMIFS('Doc Há Pagar | Rodopar 1015'!$J:$J,'Doc Há Pagar | Rodopar 1015'!$A:$A,$B162&amp;$E162&amp;$F162,'Doc Há Pagar | Rodopar 1015'!$B:$B,X$1)</f>
        <v>0</v>
      </c>
      <c r="Y162" s="20">
        <f>SUMIFS('Doc''s Pagos | Rodopar 108'!$J:$J,'Doc''s Pagos | Rodopar 108'!$A:$A,$B162&amp;$E162&amp;$F162&amp;$J162,'Doc''s Pagos | Rodopar 108'!$B:$B,Y$1)+SUMIFS('Doc Há Pagar | Rodopar 1015'!$J:$J,'Doc Há Pagar | Rodopar 1015'!$A:$A,$B162&amp;$E162&amp;$F162,'Doc Há Pagar | Rodopar 1015'!$B:$B,Y$1)</f>
        <v>0</v>
      </c>
      <c r="Z162" s="20">
        <f>SUMIFS('Doc''s Pagos | Rodopar 108'!$J:$J,'Doc''s Pagos | Rodopar 108'!$A:$A,$B162&amp;$E162&amp;$F162&amp;$J162,'Doc''s Pagos | Rodopar 108'!$B:$B,Z$1)+SUMIFS('Doc Há Pagar | Rodopar 1015'!$J:$J,'Doc Há Pagar | Rodopar 1015'!$A:$A,$B162&amp;$E162&amp;$F162,'Doc Há Pagar | Rodopar 1015'!$B:$B,Z$1)</f>
        <v>0</v>
      </c>
      <c r="AA162" s="20">
        <f>SUMIFS('Doc''s Pagos | Rodopar 108'!$J:$J,'Doc''s Pagos | Rodopar 108'!$A:$A,$B162&amp;$E162&amp;$F162&amp;$J162,'Doc''s Pagos | Rodopar 108'!$B:$B,AA$1)+SUMIFS('Doc Há Pagar | Rodopar 1015'!$J:$J,'Doc Há Pagar | Rodopar 1015'!$A:$A,$B162&amp;$E162&amp;$F162,'Doc Há Pagar | Rodopar 1015'!$B:$B,AA$1)</f>
        <v>0</v>
      </c>
      <c r="AB162" s="20">
        <f>SUMIFS('Doc''s Pagos | Rodopar 108'!$J:$J,'Doc''s Pagos | Rodopar 108'!$A:$A,$B162&amp;$E162&amp;$F162&amp;$J162,'Doc''s Pagos | Rodopar 108'!$B:$B,AB$1)+SUMIFS('Doc Há Pagar | Rodopar 1015'!$J:$J,'Doc Há Pagar | Rodopar 1015'!$A:$A,$B162&amp;$E162&amp;$F162,'Doc Há Pagar | Rodopar 1015'!$B:$B,AB$1)</f>
        <v>0</v>
      </c>
      <c r="AC162" s="20">
        <f>SUMIFS('Doc''s Pagos | Rodopar 108'!$J:$J,'Doc''s Pagos | Rodopar 108'!$A:$A,$B162&amp;$E162&amp;$F162&amp;$J162,'Doc''s Pagos | Rodopar 108'!$B:$B,AC$1)+SUMIFS('Doc Há Pagar | Rodopar 1015'!$J:$J,'Doc Há Pagar | Rodopar 1015'!$A:$A,$B162&amp;$E162&amp;$F162,'Doc Há Pagar | Rodopar 1015'!$B:$B,AC$1)</f>
        <v>0</v>
      </c>
      <c r="AD162" s="20">
        <f>SUMIFS('Doc''s Pagos | Rodopar 108'!$J:$J,'Doc''s Pagos | Rodopar 108'!$A:$A,$B162&amp;$E162&amp;$F162&amp;$J162,'Doc''s Pagos | Rodopar 108'!$B:$B,AD$1)+SUMIFS('Doc Há Pagar | Rodopar 1015'!$J:$J,'Doc Há Pagar | Rodopar 1015'!$A:$A,$B162&amp;$E162&amp;$F162,'Doc Há Pagar | Rodopar 1015'!$B:$B,AD$1)</f>
        <v>0</v>
      </c>
    </row>
    <row r="163" spans="1:30" x14ac:dyDescent="0.25">
      <c r="A163" s="1" t="str">
        <f>VLOOKUP($E163,Fornecedores!$A:$C,3,0)</f>
        <v>Frota</v>
      </c>
      <c r="B163" s="14" t="s">
        <v>314</v>
      </c>
      <c r="C163" s="14" t="str">
        <f>IFERROR(VLOOKUP($E163,Fornecedores!$A:$E,4,0),"")</f>
        <v>OPE Merchandising</v>
      </c>
      <c r="D163" s="14" t="str">
        <f>IFERROR(VLOOKUP($E163,Fornecedores!$A:$E,5,0),"")</f>
        <v>Locação</v>
      </c>
      <c r="E163" s="8" t="s">
        <v>112</v>
      </c>
      <c r="F163" s="14" t="s">
        <v>232</v>
      </c>
      <c r="G163" s="8" t="s">
        <v>289</v>
      </c>
      <c r="H163" s="9">
        <v>87</v>
      </c>
      <c r="I163" s="21">
        <v>139.13</v>
      </c>
      <c r="J163" s="11">
        <v>46128</v>
      </c>
      <c r="K163" s="11">
        <v>46134</v>
      </c>
      <c r="L163" s="8" t="s">
        <v>233</v>
      </c>
      <c r="M163" s="14" t="s">
        <v>234</v>
      </c>
      <c r="N163" s="16">
        <v>1556</v>
      </c>
      <c r="O163" s="14" t="s">
        <v>241</v>
      </c>
      <c r="P163" s="14"/>
      <c r="Q163" s="20">
        <f t="shared" si="2"/>
        <v>0</v>
      </c>
      <c r="S163" s="20">
        <f>SUMIFS('Doc''s Pagos | Rodopar 108'!$J:$J,'Doc''s Pagos | Rodopar 108'!$A:$A,$B163&amp;$E163&amp;$F163&amp;$J163,'Doc''s Pagos | Rodopar 108'!$B:$B,S$1)+SUMIFS('Doc Há Pagar | Rodopar 1015'!$J:$J,'Doc Há Pagar | Rodopar 1015'!$A:$A,$B163&amp;$E163&amp;$F163,'Doc Há Pagar | Rodopar 1015'!$B:$B,S$1)</f>
        <v>0</v>
      </c>
      <c r="T163" s="20">
        <f>SUMIFS('Doc''s Pagos | Rodopar 108'!$J:$J,'Doc''s Pagos | Rodopar 108'!$A:$A,$B163&amp;$E163&amp;$F163&amp;$J163,'Doc''s Pagos | Rodopar 108'!$B:$B,T$1)+SUMIFS('Doc Há Pagar | Rodopar 1015'!$J:$J,'Doc Há Pagar | Rodopar 1015'!$A:$A,$B163&amp;$E163&amp;$F163,'Doc Há Pagar | Rodopar 1015'!$B:$B,T$1)</f>
        <v>0</v>
      </c>
      <c r="U163" s="20">
        <f>SUMIFS('Doc''s Pagos | Rodopar 108'!$J:$J,'Doc''s Pagos | Rodopar 108'!$A:$A,$B163&amp;$E163&amp;$F163&amp;$J163,'Doc''s Pagos | Rodopar 108'!$B:$B,U$1)+SUMIFS('Doc Há Pagar | Rodopar 1015'!$J:$J,'Doc Há Pagar | Rodopar 1015'!$A:$A,$B163&amp;$E163&amp;$F163,'Doc Há Pagar | Rodopar 1015'!$B:$B,U$1)</f>
        <v>0</v>
      </c>
      <c r="V163" s="20">
        <f>SUMIFS('Doc''s Pagos | Rodopar 108'!$J:$J,'Doc''s Pagos | Rodopar 108'!$A:$A,$B163&amp;$E163&amp;$F163&amp;$J163,'Doc''s Pagos | Rodopar 108'!$B:$B,V$1)+SUMIFS('Doc Há Pagar | Rodopar 1015'!$J:$J,'Doc Há Pagar | Rodopar 1015'!$A:$A,$B163&amp;$E163&amp;$F163,'Doc Há Pagar | Rodopar 1015'!$B:$B,V$1)</f>
        <v>0</v>
      </c>
      <c r="W163" s="20">
        <f>SUMIFS('Doc''s Pagos | Rodopar 108'!$J:$J,'Doc''s Pagos | Rodopar 108'!$A:$A,$B163&amp;$E163&amp;$F163&amp;$J163,'Doc''s Pagos | Rodopar 108'!$B:$B,W$1)+SUMIFS('Doc Há Pagar | Rodopar 1015'!$J:$J,'Doc Há Pagar | Rodopar 1015'!$A:$A,$B163&amp;$E163&amp;$F163,'Doc Há Pagar | Rodopar 1015'!$B:$B,W$1)</f>
        <v>139.13</v>
      </c>
      <c r="X163" s="20">
        <f>SUMIFS('Doc''s Pagos | Rodopar 108'!$J:$J,'Doc''s Pagos | Rodopar 108'!$A:$A,$B163&amp;$E163&amp;$F163&amp;$J163,'Doc''s Pagos | Rodopar 108'!$B:$B,X$1)+SUMIFS('Doc Há Pagar | Rodopar 1015'!$J:$J,'Doc Há Pagar | Rodopar 1015'!$A:$A,$B163&amp;$E163&amp;$F163,'Doc Há Pagar | Rodopar 1015'!$B:$B,X$1)</f>
        <v>0</v>
      </c>
      <c r="Y163" s="20">
        <f>SUMIFS('Doc''s Pagos | Rodopar 108'!$J:$J,'Doc''s Pagos | Rodopar 108'!$A:$A,$B163&amp;$E163&amp;$F163&amp;$J163,'Doc''s Pagos | Rodopar 108'!$B:$B,Y$1)+SUMIFS('Doc Há Pagar | Rodopar 1015'!$J:$J,'Doc Há Pagar | Rodopar 1015'!$A:$A,$B163&amp;$E163&amp;$F163,'Doc Há Pagar | Rodopar 1015'!$B:$B,Y$1)</f>
        <v>0</v>
      </c>
      <c r="Z163" s="20">
        <f>SUMIFS('Doc''s Pagos | Rodopar 108'!$J:$J,'Doc''s Pagos | Rodopar 108'!$A:$A,$B163&amp;$E163&amp;$F163&amp;$J163,'Doc''s Pagos | Rodopar 108'!$B:$B,Z$1)+SUMIFS('Doc Há Pagar | Rodopar 1015'!$J:$J,'Doc Há Pagar | Rodopar 1015'!$A:$A,$B163&amp;$E163&amp;$F163,'Doc Há Pagar | Rodopar 1015'!$B:$B,Z$1)</f>
        <v>0</v>
      </c>
      <c r="AA163" s="20">
        <f>SUMIFS('Doc''s Pagos | Rodopar 108'!$J:$J,'Doc''s Pagos | Rodopar 108'!$A:$A,$B163&amp;$E163&amp;$F163&amp;$J163,'Doc''s Pagos | Rodopar 108'!$B:$B,AA$1)+SUMIFS('Doc Há Pagar | Rodopar 1015'!$J:$J,'Doc Há Pagar | Rodopar 1015'!$A:$A,$B163&amp;$E163&amp;$F163,'Doc Há Pagar | Rodopar 1015'!$B:$B,AA$1)</f>
        <v>0</v>
      </c>
      <c r="AB163" s="20">
        <f>SUMIFS('Doc''s Pagos | Rodopar 108'!$J:$J,'Doc''s Pagos | Rodopar 108'!$A:$A,$B163&amp;$E163&amp;$F163&amp;$J163,'Doc''s Pagos | Rodopar 108'!$B:$B,AB$1)+SUMIFS('Doc Há Pagar | Rodopar 1015'!$J:$J,'Doc Há Pagar | Rodopar 1015'!$A:$A,$B163&amp;$E163&amp;$F163,'Doc Há Pagar | Rodopar 1015'!$B:$B,AB$1)</f>
        <v>0</v>
      </c>
      <c r="AC163" s="20">
        <f>SUMIFS('Doc''s Pagos | Rodopar 108'!$J:$J,'Doc''s Pagos | Rodopar 108'!$A:$A,$B163&amp;$E163&amp;$F163&amp;$J163,'Doc''s Pagos | Rodopar 108'!$B:$B,AC$1)+SUMIFS('Doc Há Pagar | Rodopar 1015'!$J:$J,'Doc Há Pagar | Rodopar 1015'!$A:$A,$B163&amp;$E163&amp;$F163,'Doc Há Pagar | Rodopar 1015'!$B:$B,AC$1)</f>
        <v>0</v>
      </c>
      <c r="AD163" s="20">
        <f>SUMIFS('Doc''s Pagos | Rodopar 108'!$J:$J,'Doc''s Pagos | Rodopar 108'!$A:$A,$B163&amp;$E163&amp;$F163&amp;$J163,'Doc''s Pagos | Rodopar 108'!$B:$B,AD$1)+SUMIFS('Doc Há Pagar | Rodopar 1015'!$J:$J,'Doc Há Pagar | Rodopar 1015'!$A:$A,$B163&amp;$E163&amp;$F163,'Doc Há Pagar | Rodopar 1015'!$B:$B,AD$1)</f>
        <v>0</v>
      </c>
    </row>
    <row r="164" spans="1:30" x14ac:dyDescent="0.25">
      <c r="A164" s="1" t="str">
        <f>VLOOKUP($E164,Fornecedores!$A:$C,3,0)</f>
        <v>Frota</v>
      </c>
      <c r="B164" s="14" t="s">
        <v>315</v>
      </c>
      <c r="C164" s="14" t="str">
        <f>IFERROR(VLOOKUP($E164,Fornecedores!$A:$E,4,0),"")</f>
        <v>OPE Merchandising</v>
      </c>
      <c r="D164" s="14" t="str">
        <f>IFERROR(VLOOKUP($E164,Fornecedores!$A:$E,5,0),"")</f>
        <v>Locação</v>
      </c>
      <c r="E164" s="8" t="s">
        <v>112</v>
      </c>
      <c r="F164" s="14" t="s">
        <v>232</v>
      </c>
      <c r="G164" s="8" t="s">
        <v>289</v>
      </c>
      <c r="H164" s="9">
        <v>87</v>
      </c>
      <c r="I164" s="21">
        <v>139.13</v>
      </c>
      <c r="J164" s="11">
        <v>46128</v>
      </c>
      <c r="K164" s="11">
        <v>46134</v>
      </c>
      <c r="L164" s="8" t="s">
        <v>233</v>
      </c>
      <c r="M164" s="14" t="s">
        <v>234</v>
      </c>
      <c r="N164" s="16">
        <v>1556</v>
      </c>
      <c r="O164" s="14" t="s">
        <v>241</v>
      </c>
      <c r="P164" s="14"/>
      <c r="Q164" s="20">
        <f t="shared" si="2"/>
        <v>0</v>
      </c>
      <c r="S164" s="20">
        <f>SUMIFS('Doc''s Pagos | Rodopar 108'!$J:$J,'Doc''s Pagos | Rodopar 108'!$A:$A,$B164&amp;$E164&amp;$F164&amp;$J164,'Doc''s Pagos | Rodopar 108'!$B:$B,S$1)+SUMIFS('Doc Há Pagar | Rodopar 1015'!$J:$J,'Doc Há Pagar | Rodopar 1015'!$A:$A,$B164&amp;$E164&amp;$F164,'Doc Há Pagar | Rodopar 1015'!$B:$B,S$1)</f>
        <v>0</v>
      </c>
      <c r="T164" s="20">
        <f>SUMIFS('Doc''s Pagos | Rodopar 108'!$J:$J,'Doc''s Pagos | Rodopar 108'!$A:$A,$B164&amp;$E164&amp;$F164&amp;$J164,'Doc''s Pagos | Rodopar 108'!$B:$B,T$1)+SUMIFS('Doc Há Pagar | Rodopar 1015'!$J:$J,'Doc Há Pagar | Rodopar 1015'!$A:$A,$B164&amp;$E164&amp;$F164,'Doc Há Pagar | Rodopar 1015'!$B:$B,T$1)</f>
        <v>0</v>
      </c>
      <c r="U164" s="20">
        <f>SUMIFS('Doc''s Pagos | Rodopar 108'!$J:$J,'Doc''s Pagos | Rodopar 108'!$A:$A,$B164&amp;$E164&amp;$F164&amp;$J164,'Doc''s Pagos | Rodopar 108'!$B:$B,U$1)+SUMIFS('Doc Há Pagar | Rodopar 1015'!$J:$J,'Doc Há Pagar | Rodopar 1015'!$A:$A,$B164&amp;$E164&amp;$F164,'Doc Há Pagar | Rodopar 1015'!$B:$B,U$1)</f>
        <v>0</v>
      </c>
      <c r="V164" s="20">
        <f>SUMIFS('Doc''s Pagos | Rodopar 108'!$J:$J,'Doc''s Pagos | Rodopar 108'!$A:$A,$B164&amp;$E164&amp;$F164&amp;$J164,'Doc''s Pagos | Rodopar 108'!$B:$B,V$1)+SUMIFS('Doc Há Pagar | Rodopar 1015'!$J:$J,'Doc Há Pagar | Rodopar 1015'!$A:$A,$B164&amp;$E164&amp;$F164,'Doc Há Pagar | Rodopar 1015'!$B:$B,V$1)</f>
        <v>0</v>
      </c>
      <c r="W164" s="20">
        <f>SUMIFS('Doc''s Pagos | Rodopar 108'!$J:$J,'Doc''s Pagos | Rodopar 108'!$A:$A,$B164&amp;$E164&amp;$F164&amp;$J164,'Doc''s Pagos | Rodopar 108'!$B:$B,W$1)+SUMIFS('Doc Há Pagar | Rodopar 1015'!$J:$J,'Doc Há Pagar | Rodopar 1015'!$A:$A,$B164&amp;$E164&amp;$F164,'Doc Há Pagar | Rodopar 1015'!$B:$B,W$1)</f>
        <v>139.13</v>
      </c>
      <c r="X164" s="20">
        <f>SUMIFS('Doc''s Pagos | Rodopar 108'!$J:$J,'Doc''s Pagos | Rodopar 108'!$A:$A,$B164&amp;$E164&amp;$F164&amp;$J164,'Doc''s Pagos | Rodopar 108'!$B:$B,X$1)+SUMIFS('Doc Há Pagar | Rodopar 1015'!$J:$J,'Doc Há Pagar | Rodopar 1015'!$A:$A,$B164&amp;$E164&amp;$F164,'Doc Há Pagar | Rodopar 1015'!$B:$B,X$1)</f>
        <v>0</v>
      </c>
      <c r="Y164" s="20">
        <f>SUMIFS('Doc''s Pagos | Rodopar 108'!$J:$J,'Doc''s Pagos | Rodopar 108'!$A:$A,$B164&amp;$E164&amp;$F164&amp;$J164,'Doc''s Pagos | Rodopar 108'!$B:$B,Y$1)+SUMIFS('Doc Há Pagar | Rodopar 1015'!$J:$J,'Doc Há Pagar | Rodopar 1015'!$A:$A,$B164&amp;$E164&amp;$F164,'Doc Há Pagar | Rodopar 1015'!$B:$B,Y$1)</f>
        <v>0</v>
      </c>
      <c r="Z164" s="20">
        <f>SUMIFS('Doc''s Pagos | Rodopar 108'!$J:$J,'Doc''s Pagos | Rodopar 108'!$A:$A,$B164&amp;$E164&amp;$F164&amp;$J164,'Doc''s Pagos | Rodopar 108'!$B:$B,Z$1)+SUMIFS('Doc Há Pagar | Rodopar 1015'!$J:$J,'Doc Há Pagar | Rodopar 1015'!$A:$A,$B164&amp;$E164&amp;$F164,'Doc Há Pagar | Rodopar 1015'!$B:$B,Z$1)</f>
        <v>0</v>
      </c>
      <c r="AA164" s="20">
        <f>SUMIFS('Doc''s Pagos | Rodopar 108'!$J:$J,'Doc''s Pagos | Rodopar 108'!$A:$A,$B164&amp;$E164&amp;$F164&amp;$J164,'Doc''s Pagos | Rodopar 108'!$B:$B,AA$1)+SUMIFS('Doc Há Pagar | Rodopar 1015'!$J:$J,'Doc Há Pagar | Rodopar 1015'!$A:$A,$B164&amp;$E164&amp;$F164,'Doc Há Pagar | Rodopar 1015'!$B:$B,AA$1)</f>
        <v>0</v>
      </c>
      <c r="AB164" s="20">
        <f>SUMIFS('Doc''s Pagos | Rodopar 108'!$J:$J,'Doc''s Pagos | Rodopar 108'!$A:$A,$B164&amp;$E164&amp;$F164&amp;$J164,'Doc''s Pagos | Rodopar 108'!$B:$B,AB$1)+SUMIFS('Doc Há Pagar | Rodopar 1015'!$J:$J,'Doc Há Pagar | Rodopar 1015'!$A:$A,$B164&amp;$E164&amp;$F164,'Doc Há Pagar | Rodopar 1015'!$B:$B,AB$1)</f>
        <v>0</v>
      </c>
      <c r="AC164" s="20">
        <f>SUMIFS('Doc''s Pagos | Rodopar 108'!$J:$J,'Doc''s Pagos | Rodopar 108'!$A:$A,$B164&amp;$E164&amp;$F164&amp;$J164,'Doc''s Pagos | Rodopar 108'!$B:$B,AC$1)+SUMIFS('Doc Há Pagar | Rodopar 1015'!$J:$J,'Doc Há Pagar | Rodopar 1015'!$A:$A,$B164&amp;$E164&amp;$F164,'Doc Há Pagar | Rodopar 1015'!$B:$B,AC$1)</f>
        <v>0</v>
      </c>
      <c r="AD164" s="20">
        <f>SUMIFS('Doc''s Pagos | Rodopar 108'!$J:$J,'Doc''s Pagos | Rodopar 108'!$A:$A,$B164&amp;$E164&amp;$F164&amp;$J164,'Doc''s Pagos | Rodopar 108'!$B:$B,AD$1)+SUMIFS('Doc Há Pagar | Rodopar 1015'!$J:$J,'Doc Há Pagar | Rodopar 1015'!$A:$A,$B164&amp;$E164&amp;$F164,'Doc Há Pagar | Rodopar 1015'!$B:$B,AD$1)</f>
        <v>0</v>
      </c>
    </row>
    <row r="165" spans="1:30" x14ac:dyDescent="0.25">
      <c r="A165" s="1" t="str">
        <f>VLOOKUP($E165,Fornecedores!$A:$C,3,0)</f>
        <v>Frota</v>
      </c>
      <c r="B165" s="14" t="s">
        <v>316</v>
      </c>
      <c r="C165" s="14" t="str">
        <f>IFERROR(VLOOKUP($E165,Fornecedores!$A:$E,4,0),"")</f>
        <v>OPE Merchandising</v>
      </c>
      <c r="D165" s="14" t="str">
        <f>IFERROR(VLOOKUP($E165,Fornecedores!$A:$E,5,0),"")</f>
        <v>Locação</v>
      </c>
      <c r="E165" s="8" t="s">
        <v>112</v>
      </c>
      <c r="F165" s="14" t="s">
        <v>232</v>
      </c>
      <c r="G165" s="8" t="s">
        <v>289</v>
      </c>
      <c r="H165" s="9">
        <v>87</v>
      </c>
      <c r="I165" s="21">
        <v>347.36</v>
      </c>
      <c r="J165" s="11">
        <v>46128</v>
      </c>
      <c r="K165" s="11">
        <v>46134</v>
      </c>
      <c r="L165" s="8" t="s">
        <v>233</v>
      </c>
      <c r="M165" s="14" t="s">
        <v>234</v>
      </c>
      <c r="N165" s="16">
        <v>1556</v>
      </c>
      <c r="O165" s="14" t="s">
        <v>241</v>
      </c>
      <c r="P165" s="14"/>
      <c r="Q165" s="20">
        <f t="shared" si="2"/>
        <v>0</v>
      </c>
      <c r="S165" s="20">
        <f>SUMIFS('Doc''s Pagos | Rodopar 108'!$J:$J,'Doc''s Pagos | Rodopar 108'!$A:$A,$B165&amp;$E165&amp;$F165&amp;$J165,'Doc''s Pagos | Rodopar 108'!$B:$B,S$1)+SUMIFS('Doc Há Pagar | Rodopar 1015'!$J:$J,'Doc Há Pagar | Rodopar 1015'!$A:$A,$B165&amp;$E165&amp;$F165,'Doc Há Pagar | Rodopar 1015'!$B:$B,S$1)</f>
        <v>0</v>
      </c>
      <c r="T165" s="20">
        <f>SUMIFS('Doc''s Pagos | Rodopar 108'!$J:$J,'Doc''s Pagos | Rodopar 108'!$A:$A,$B165&amp;$E165&amp;$F165&amp;$J165,'Doc''s Pagos | Rodopar 108'!$B:$B,T$1)+SUMIFS('Doc Há Pagar | Rodopar 1015'!$J:$J,'Doc Há Pagar | Rodopar 1015'!$A:$A,$B165&amp;$E165&amp;$F165,'Doc Há Pagar | Rodopar 1015'!$B:$B,T$1)</f>
        <v>0</v>
      </c>
      <c r="U165" s="20">
        <f>SUMIFS('Doc''s Pagos | Rodopar 108'!$J:$J,'Doc''s Pagos | Rodopar 108'!$A:$A,$B165&amp;$E165&amp;$F165&amp;$J165,'Doc''s Pagos | Rodopar 108'!$B:$B,U$1)+SUMIFS('Doc Há Pagar | Rodopar 1015'!$J:$J,'Doc Há Pagar | Rodopar 1015'!$A:$A,$B165&amp;$E165&amp;$F165,'Doc Há Pagar | Rodopar 1015'!$B:$B,U$1)</f>
        <v>0</v>
      </c>
      <c r="V165" s="20">
        <f>SUMIFS('Doc''s Pagos | Rodopar 108'!$J:$J,'Doc''s Pagos | Rodopar 108'!$A:$A,$B165&amp;$E165&amp;$F165&amp;$J165,'Doc''s Pagos | Rodopar 108'!$B:$B,V$1)+SUMIFS('Doc Há Pagar | Rodopar 1015'!$J:$J,'Doc Há Pagar | Rodopar 1015'!$A:$A,$B165&amp;$E165&amp;$F165,'Doc Há Pagar | Rodopar 1015'!$B:$B,V$1)</f>
        <v>0</v>
      </c>
      <c r="W165" s="20">
        <f>SUMIFS('Doc''s Pagos | Rodopar 108'!$J:$J,'Doc''s Pagos | Rodopar 108'!$A:$A,$B165&amp;$E165&amp;$F165&amp;$J165,'Doc''s Pagos | Rodopar 108'!$B:$B,W$1)+SUMIFS('Doc Há Pagar | Rodopar 1015'!$J:$J,'Doc Há Pagar | Rodopar 1015'!$A:$A,$B165&amp;$E165&amp;$F165,'Doc Há Pagar | Rodopar 1015'!$B:$B,W$1)</f>
        <v>347.36</v>
      </c>
      <c r="X165" s="20">
        <f>SUMIFS('Doc''s Pagos | Rodopar 108'!$J:$J,'Doc''s Pagos | Rodopar 108'!$A:$A,$B165&amp;$E165&amp;$F165&amp;$J165,'Doc''s Pagos | Rodopar 108'!$B:$B,X$1)+SUMIFS('Doc Há Pagar | Rodopar 1015'!$J:$J,'Doc Há Pagar | Rodopar 1015'!$A:$A,$B165&amp;$E165&amp;$F165,'Doc Há Pagar | Rodopar 1015'!$B:$B,X$1)</f>
        <v>0</v>
      </c>
      <c r="Y165" s="20">
        <f>SUMIFS('Doc''s Pagos | Rodopar 108'!$J:$J,'Doc''s Pagos | Rodopar 108'!$A:$A,$B165&amp;$E165&amp;$F165&amp;$J165,'Doc''s Pagos | Rodopar 108'!$B:$B,Y$1)+SUMIFS('Doc Há Pagar | Rodopar 1015'!$J:$J,'Doc Há Pagar | Rodopar 1015'!$A:$A,$B165&amp;$E165&amp;$F165,'Doc Há Pagar | Rodopar 1015'!$B:$B,Y$1)</f>
        <v>0</v>
      </c>
      <c r="Z165" s="20">
        <f>SUMIFS('Doc''s Pagos | Rodopar 108'!$J:$J,'Doc''s Pagos | Rodopar 108'!$A:$A,$B165&amp;$E165&amp;$F165&amp;$J165,'Doc''s Pagos | Rodopar 108'!$B:$B,Z$1)+SUMIFS('Doc Há Pagar | Rodopar 1015'!$J:$J,'Doc Há Pagar | Rodopar 1015'!$A:$A,$B165&amp;$E165&amp;$F165,'Doc Há Pagar | Rodopar 1015'!$B:$B,Z$1)</f>
        <v>0</v>
      </c>
      <c r="AA165" s="20">
        <f>SUMIFS('Doc''s Pagos | Rodopar 108'!$J:$J,'Doc''s Pagos | Rodopar 108'!$A:$A,$B165&amp;$E165&amp;$F165&amp;$J165,'Doc''s Pagos | Rodopar 108'!$B:$B,AA$1)+SUMIFS('Doc Há Pagar | Rodopar 1015'!$J:$J,'Doc Há Pagar | Rodopar 1015'!$A:$A,$B165&amp;$E165&amp;$F165,'Doc Há Pagar | Rodopar 1015'!$B:$B,AA$1)</f>
        <v>0</v>
      </c>
      <c r="AB165" s="20">
        <f>SUMIFS('Doc''s Pagos | Rodopar 108'!$J:$J,'Doc''s Pagos | Rodopar 108'!$A:$A,$B165&amp;$E165&amp;$F165&amp;$J165,'Doc''s Pagos | Rodopar 108'!$B:$B,AB$1)+SUMIFS('Doc Há Pagar | Rodopar 1015'!$J:$J,'Doc Há Pagar | Rodopar 1015'!$A:$A,$B165&amp;$E165&amp;$F165,'Doc Há Pagar | Rodopar 1015'!$B:$B,AB$1)</f>
        <v>0</v>
      </c>
      <c r="AC165" s="20">
        <f>SUMIFS('Doc''s Pagos | Rodopar 108'!$J:$J,'Doc''s Pagos | Rodopar 108'!$A:$A,$B165&amp;$E165&amp;$F165&amp;$J165,'Doc''s Pagos | Rodopar 108'!$B:$B,AC$1)+SUMIFS('Doc Há Pagar | Rodopar 1015'!$J:$J,'Doc Há Pagar | Rodopar 1015'!$A:$A,$B165&amp;$E165&amp;$F165,'Doc Há Pagar | Rodopar 1015'!$B:$B,AC$1)</f>
        <v>0</v>
      </c>
      <c r="AD165" s="20">
        <f>SUMIFS('Doc''s Pagos | Rodopar 108'!$J:$J,'Doc''s Pagos | Rodopar 108'!$A:$A,$B165&amp;$E165&amp;$F165&amp;$J165,'Doc''s Pagos | Rodopar 108'!$B:$B,AD$1)+SUMIFS('Doc Há Pagar | Rodopar 1015'!$J:$J,'Doc Há Pagar | Rodopar 1015'!$A:$A,$B165&amp;$E165&amp;$F165,'Doc Há Pagar | Rodopar 1015'!$B:$B,AD$1)</f>
        <v>0</v>
      </c>
    </row>
    <row r="166" spans="1:30" x14ac:dyDescent="0.25">
      <c r="A166" s="1" t="str">
        <f>VLOOKUP($E166,Fornecedores!$A:$C,3,0)</f>
        <v>Frota</v>
      </c>
      <c r="B166" s="14">
        <v>2772</v>
      </c>
      <c r="C166" s="14" t="str">
        <f>IFERROR(VLOOKUP($E166,Fornecedores!$A:$E,4,0),"")</f>
        <v>Manutenção</v>
      </c>
      <c r="D166" s="14" t="str">
        <f>IFERROR(VLOOKUP($E166,Fornecedores!$A:$E,5,0),"")</f>
        <v>Frota Leve OPE</v>
      </c>
      <c r="E166" s="8" t="s">
        <v>125</v>
      </c>
      <c r="F166" s="14" t="s">
        <v>380</v>
      </c>
      <c r="G166" s="8" t="s">
        <v>467</v>
      </c>
      <c r="H166" s="9">
        <v>87</v>
      </c>
      <c r="I166" s="21">
        <v>358.78</v>
      </c>
      <c r="J166" s="11">
        <v>46134</v>
      </c>
      <c r="K166" s="11">
        <v>46139</v>
      </c>
      <c r="L166" s="8" t="s">
        <v>282</v>
      </c>
      <c r="M166" s="14" t="s">
        <v>234</v>
      </c>
      <c r="N166" s="16">
        <v>1556</v>
      </c>
      <c r="O166" s="14" t="s">
        <v>241</v>
      </c>
      <c r="P166" s="14"/>
      <c r="Q166" s="20">
        <f t="shared" si="2"/>
        <v>0</v>
      </c>
      <c r="S166" s="20">
        <f>SUMIFS('Doc''s Pagos | Rodopar 108'!$J:$J,'Doc''s Pagos | Rodopar 108'!$A:$A,$B166&amp;$E166&amp;$F166&amp;$J166,'Doc''s Pagos | Rodopar 108'!$B:$B,S$1)+SUMIFS('Doc Há Pagar | Rodopar 1015'!$J:$J,'Doc Há Pagar | Rodopar 1015'!$A:$A,$B166&amp;$E166&amp;$F166,'Doc Há Pagar | Rodopar 1015'!$B:$B,S$1)</f>
        <v>0</v>
      </c>
      <c r="T166" s="20">
        <f>SUMIFS('Doc''s Pagos | Rodopar 108'!$J:$J,'Doc''s Pagos | Rodopar 108'!$A:$A,$B166&amp;$E166&amp;$F166&amp;$J166,'Doc''s Pagos | Rodopar 108'!$B:$B,T$1)+SUMIFS('Doc Há Pagar | Rodopar 1015'!$J:$J,'Doc Há Pagar | Rodopar 1015'!$A:$A,$B166&amp;$E166&amp;$F166,'Doc Há Pagar | Rodopar 1015'!$B:$B,T$1)</f>
        <v>0</v>
      </c>
      <c r="U166" s="20">
        <f>SUMIFS('Doc''s Pagos | Rodopar 108'!$J:$J,'Doc''s Pagos | Rodopar 108'!$A:$A,$B166&amp;$E166&amp;$F166&amp;$J166,'Doc''s Pagos | Rodopar 108'!$B:$B,U$1)+SUMIFS('Doc Há Pagar | Rodopar 1015'!$J:$J,'Doc Há Pagar | Rodopar 1015'!$A:$A,$B166&amp;$E166&amp;$F166,'Doc Há Pagar | Rodopar 1015'!$B:$B,U$1)</f>
        <v>0</v>
      </c>
      <c r="V166" s="20">
        <f>SUMIFS('Doc''s Pagos | Rodopar 108'!$J:$J,'Doc''s Pagos | Rodopar 108'!$A:$A,$B166&amp;$E166&amp;$F166&amp;$J166,'Doc''s Pagos | Rodopar 108'!$B:$B,V$1)+SUMIFS('Doc Há Pagar | Rodopar 1015'!$J:$J,'Doc Há Pagar | Rodopar 1015'!$A:$A,$B166&amp;$E166&amp;$F166,'Doc Há Pagar | Rodopar 1015'!$B:$B,V$1)</f>
        <v>0</v>
      </c>
      <c r="W166" s="20">
        <f>SUMIFS('Doc''s Pagos | Rodopar 108'!$J:$J,'Doc''s Pagos | Rodopar 108'!$A:$A,$B166&amp;$E166&amp;$F166&amp;$J166,'Doc''s Pagos | Rodopar 108'!$B:$B,W$1)+SUMIFS('Doc Há Pagar | Rodopar 1015'!$J:$J,'Doc Há Pagar | Rodopar 1015'!$A:$A,$B166&amp;$E166&amp;$F166,'Doc Há Pagar | Rodopar 1015'!$B:$B,W$1)</f>
        <v>358.78</v>
      </c>
      <c r="X166" s="20">
        <f>SUMIFS('Doc''s Pagos | Rodopar 108'!$J:$J,'Doc''s Pagos | Rodopar 108'!$A:$A,$B166&amp;$E166&amp;$F166&amp;$J166,'Doc''s Pagos | Rodopar 108'!$B:$B,X$1)+SUMIFS('Doc Há Pagar | Rodopar 1015'!$J:$J,'Doc Há Pagar | Rodopar 1015'!$A:$A,$B166&amp;$E166&amp;$F166,'Doc Há Pagar | Rodopar 1015'!$B:$B,X$1)</f>
        <v>0</v>
      </c>
      <c r="Y166" s="20">
        <f>SUMIFS('Doc''s Pagos | Rodopar 108'!$J:$J,'Doc''s Pagos | Rodopar 108'!$A:$A,$B166&amp;$E166&amp;$F166&amp;$J166,'Doc''s Pagos | Rodopar 108'!$B:$B,Y$1)+SUMIFS('Doc Há Pagar | Rodopar 1015'!$J:$J,'Doc Há Pagar | Rodopar 1015'!$A:$A,$B166&amp;$E166&amp;$F166,'Doc Há Pagar | Rodopar 1015'!$B:$B,Y$1)</f>
        <v>0</v>
      </c>
      <c r="Z166" s="20">
        <f>SUMIFS('Doc''s Pagos | Rodopar 108'!$J:$J,'Doc''s Pagos | Rodopar 108'!$A:$A,$B166&amp;$E166&amp;$F166&amp;$J166,'Doc''s Pagos | Rodopar 108'!$B:$B,Z$1)+SUMIFS('Doc Há Pagar | Rodopar 1015'!$J:$J,'Doc Há Pagar | Rodopar 1015'!$A:$A,$B166&amp;$E166&amp;$F166,'Doc Há Pagar | Rodopar 1015'!$B:$B,Z$1)</f>
        <v>0</v>
      </c>
      <c r="AA166" s="20">
        <f>SUMIFS('Doc''s Pagos | Rodopar 108'!$J:$J,'Doc''s Pagos | Rodopar 108'!$A:$A,$B166&amp;$E166&amp;$F166&amp;$J166,'Doc''s Pagos | Rodopar 108'!$B:$B,AA$1)+SUMIFS('Doc Há Pagar | Rodopar 1015'!$J:$J,'Doc Há Pagar | Rodopar 1015'!$A:$A,$B166&amp;$E166&amp;$F166,'Doc Há Pagar | Rodopar 1015'!$B:$B,AA$1)</f>
        <v>0</v>
      </c>
      <c r="AB166" s="20">
        <f>SUMIFS('Doc''s Pagos | Rodopar 108'!$J:$J,'Doc''s Pagos | Rodopar 108'!$A:$A,$B166&amp;$E166&amp;$F166&amp;$J166,'Doc''s Pagos | Rodopar 108'!$B:$B,AB$1)+SUMIFS('Doc Há Pagar | Rodopar 1015'!$J:$J,'Doc Há Pagar | Rodopar 1015'!$A:$A,$B166&amp;$E166&amp;$F166,'Doc Há Pagar | Rodopar 1015'!$B:$B,AB$1)</f>
        <v>0</v>
      </c>
      <c r="AC166" s="20">
        <f>SUMIFS('Doc''s Pagos | Rodopar 108'!$J:$J,'Doc''s Pagos | Rodopar 108'!$A:$A,$B166&amp;$E166&amp;$F166&amp;$J166,'Doc''s Pagos | Rodopar 108'!$B:$B,AC$1)+SUMIFS('Doc Há Pagar | Rodopar 1015'!$J:$J,'Doc Há Pagar | Rodopar 1015'!$A:$A,$B166&amp;$E166&amp;$F166,'Doc Há Pagar | Rodopar 1015'!$B:$B,AC$1)</f>
        <v>0</v>
      </c>
      <c r="AD166" s="20">
        <f>SUMIFS('Doc''s Pagos | Rodopar 108'!$J:$J,'Doc''s Pagos | Rodopar 108'!$A:$A,$B166&amp;$E166&amp;$F166&amp;$J166,'Doc''s Pagos | Rodopar 108'!$B:$B,AD$1)+SUMIFS('Doc Há Pagar | Rodopar 1015'!$J:$J,'Doc Há Pagar | Rodopar 1015'!$A:$A,$B166&amp;$E166&amp;$F166,'Doc Há Pagar | Rodopar 1015'!$B:$B,AD$1)</f>
        <v>0</v>
      </c>
    </row>
    <row r="167" spans="1:30" x14ac:dyDescent="0.25">
      <c r="A167" s="1" t="str">
        <f>VLOOKUP($E167,Fornecedores!$A:$C,3,0)</f>
        <v>Frota</v>
      </c>
      <c r="B167" s="14">
        <v>42</v>
      </c>
      <c r="C167" s="14" t="str">
        <f>IFERROR(VLOOKUP($E167,Fornecedores!$A:$E,4,0),"")</f>
        <v>Manutenção</v>
      </c>
      <c r="D167" s="14" t="str">
        <f>IFERROR(VLOOKUP($E167,Fornecedores!$A:$E,5,0),"")</f>
        <v>Frota Leve OPE</v>
      </c>
      <c r="E167" s="8" t="s">
        <v>125</v>
      </c>
      <c r="F167" s="14" t="s">
        <v>665</v>
      </c>
      <c r="G167" s="8" t="s">
        <v>467</v>
      </c>
      <c r="H167" s="9">
        <v>87</v>
      </c>
      <c r="I167" s="21">
        <v>435</v>
      </c>
      <c r="J167" s="11">
        <v>46134</v>
      </c>
      <c r="K167" s="11">
        <v>46139</v>
      </c>
      <c r="L167" s="8" t="s">
        <v>282</v>
      </c>
      <c r="M167" s="14" t="s">
        <v>234</v>
      </c>
      <c r="N167" s="16">
        <v>1556</v>
      </c>
      <c r="O167" s="14" t="s">
        <v>241</v>
      </c>
      <c r="P167" s="14"/>
      <c r="Q167" s="20">
        <f t="shared" si="2"/>
        <v>0</v>
      </c>
      <c r="S167" s="20">
        <f>SUMIFS('Doc''s Pagos | Rodopar 108'!$J:$J,'Doc''s Pagos | Rodopar 108'!$A:$A,$B167&amp;$E167&amp;$F167&amp;$J167,'Doc''s Pagos | Rodopar 108'!$B:$B,S$1)+SUMIFS('Doc Há Pagar | Rodopar 1015'!$J:$J,'Doc Há Pagar | Rodopar 1015'!$A:$A,$B167&amp;$E167&amp;$F167,'Doc Há Pagar | Rodopar 1015'!$B:$B,S$1)</f>
        <v>0</v>
      </c>
      <c r="T167" s="20">
        <f>SUMIFS('Doc''s Pagos | Rodopar 108'!$J:$J,'Doc''s Pagos | Rodopar 108'!$A:$A,$B167&amp;$E167&amp;$F167&amp;$J167,'Doc''s Pagos | Rodopar 108'!$B:$B,T$1)+SUMIFS('Doc Há Pagar | Rodopar 1015'!$J:$J,'Doc Há Pagar | Rodopar 1015'!$A:$A,$B167&amp;$E167&amp;$F167,'Doc Há Pagar | Rodopar 1015'!$B:$B,T$1)</f>
        <v>0</v>
      </c>
      <c r="U167" s="20">
        <f>SUMIFS('Doc''s Pagos | Rodopar 108'!$J:$J,'Doc''s Pagos | Rodopar 108'!$A:$A,$B167&amp;$E167&amp;$F167&amp;$J167,'Doc''s Pagos | Rodopar 108'!$B:$B,U$1)+SUMIFS('Doc Há Pagar | Rodopar 1015'!$J:$J,'Doc Há Pagar | Rodopar 1015'!$A:$A,$B167&amp;$E167&amp;$F167,'Doc Há Pagar | Rodopar 1015'!$B:$B,U$1)</f>
        <v>0</v>
      </c>
      <c r="V167" s="20">
        <f>SUMIFS('Doc''s Pagos | Rodopar 108'!$J:$J,'Doc''s Pagos | Rodopar 108'!$A:$A,$B167&amp;$E167&amp;$F167&amp;$J167,'Doc''s Pagos | Rodopar 108'!$B:$B,V$1)+SUMIFS('Doc Há Pagar | Rodopar 1015'!$J:$J,'Doc Há Pagar | Rodopar 1015'!$A:$A,$B167&amp;$E167&amp;$F167,'Doc Há Pagar | Rodopar 1015'!$B:$B,V$1)</f>
        <v>0</v>
      </c>
      <c r="W167" s="20">
        <f>SUMIFS('Doc''s Pagos | Rodopar 108'!$J:$J,'Doc''s Pagos | Rodopar 108'!$A:$A,$B167&amp;$E167&amp;$F167&amp;$J167,'Doc''s Pagos | Rodopar 108'!$B:$B,W$1)+SUMIFS('Doc Há Pagar | Rodopar 1015'!$J:$J,'Doc Há Pagar | Rodopar 1015'!$A:$A,$B167&amp;$E167&amp;$F167,'Doc Há Pagar | Rodopar 1015'!$B:$B,W$1)</f>
        <v>435</v>
      </c>
      <c r="X167" s="20">
        <f>SUMIFS('Doc''s Pagos | Rodopar 108'!$J:$J,'Doc''s Pagos | Rodopar 108'!$A:$A,$B167&amp;$E167&amp;$F167&amp;$J167,'Doc''s Pagos | Rodopar 108'!$B:$B,X$1)+SUMIFS('Doc Há Pagar | Rodopar 1015'!$J:$J,'Doc Há Pagar | Rodopar 1015'!$A:$A,$B167&amp;$E167&amp;$F167,'Doc Há Pagar | Rodopar 1015'!$B:$B,X$1)</f>
        <v>0</v>
      </c>
      <c r="Y167" s="20">
        <f>SUMIFS('Doc''s Pagos | Rodopar 108'!$J:$J,'Doc''s Pagos | Rodopar 108'!$A:$A,$B167&amp;$E167&amp;$F167&amp;$J167,'Doc''s Pagos | Rodopar 108'!$B:$B,Y$1)+SUMIFS('Doc Há Pagar | Rodopar 1015'!$J:$J,'Doc Há Pagar | Rodopar 1015'!$A:$A,$B167&amp;$E167&amp;$F167,'Doc Há Pagar | Rodopar 1015'!$B:$B,Y$1)</f>
        <v>0</v>
      </c>
      <c r="Z167" s="20">
        <f>SUMIFS('Doc''s Pagos | Rodopar 108'!$J:$J,'Doc''s Pagos | Rodopar 108'!$A:$A,$B167&amp;$E167&amp;$F167&amp;$J167,'Doc''s Pagos | Rodopar 108'!$B:$B,Z$1)+SUMIFS('Doc Há Pagar | Rodopar 1015'!$J:$J,'Doc Há Pagar | Rodopar 1015'!$A:$A,$B167&amp;$E167&amp;$F167,'Doc Há Pagar | Rodopar 1015'!$B:$B,Z$1)</f>
        <v>0</v>
      </c>
      <c r="AA167" s="20">
        <f>SUMIFS('Doc''s Pagos | Rodopar 108'!$J:$J,'Doc''s Pagos | Rodopar 108'!$A:$A,$B167&amp;$E167&amp;$F167&amp;$J167,'Doc''s Pagos | Rodopar 108'!$B:$B,AA$1)+SUMIFS('Doc Há Pagar | Rodopar 1015'!$J:$J,'Doc Há Pagar | Rodopar 1015'!$A:$A,$B167&amp;$E167&amp;$F167,'Doc Há Pagar | Rodopar 1015'!$B:$B,AA$1)</f>
        <v>0</v>
      </c>
      <c r="AB167" s="20">
        <f>SUMIFS('Doc''s Pagos | Rodopar 108'!$J:$J,'Doc''s Pagos | Rodopar 108'!$A:$A,$B167&amp;$E167&amp;$F167&amp;$J167,'Doc''s Pagos | Rodopar 108'!$B:$B,AB$1)+SUMIFS('Doc Há Pagar | Rodopar 1015'!$J:$J,'Doc Há Pagar | Rodopar 1015'!$A:$A,$B167&amp;$E167&amp;$F167,'Doc Há Pagar | Rodopar 1015'!$B:$B,AB$1)</f>
        <v>0</v>
      </c>
      <c r="AC167" s="20">
        <f>SUMIFS('Doc''s Pagos | Rodopar 108'!$J:$J,'Doc''s Pagos | Rodopar 108'!$A:$A,$B167&amp;$E167&amp;$F167&amp;$J167,'Doc''s Pagos | Rodopar 108'!$B:$B,AC$1)+SUMIFS('Doc Há Pagar | Rodopar 1015'!$J:$J,'Doc Há Pagar | Rodopar 1015'!$A:$A,$B167&amp;$E167&amp;$F167,'Doc Há Pagar | Rodopar 1015'!$B:$B,AC$1)</f>
        <v>0</v>
      </c>
      <c r="AD167" s="20">
        <f>SUMIFS('Doc''s Pagos | Rodopar 108'!$J:$J,'Doc''s Pagos | Rodopar 108'!$A:$A,$B167&amp;$E167&amp;$F167&amp;$J167,'Doc''s Pagos | Rodopar 108'!$B:$B,AD$1)+SUMIFS('Doc Há Pagar | Rodopar 1015'!$J:$J,'Doc Há Pagar | Rodopar 1015'!$A:$A,$B167&amp;$E167&amp;$F167,'Doc Há Pagar | Rodopar 1015'!$B:$B,AD$1)</f>
        <v>0</v>
      </c>
    </row>
    <row r="168" spans="1:30" x14ac:dyDescent="0.25">
      <c r="A168" s="1" t="str">
        <f>VLOOKUP($E168,Fornecedores!$A:$C,3,0)</f>
        <v>Frota</v>
      </c>
      <c r="B168" s="14">
        <v>978</v>
      </c>
      <c r="C168" s="14" t="str">
        <f>IFERROR(VLOOKUP($E168,Fornecedores!$A:$E,4,0),"")</f>
        <v>Manutenção</v>
      </c>
      <c r="D168" s="14" t="str">
        <f>IFERROR(VLOOKUP($E168,Fornecedores!$A:$E,5,0),"")</f>
        <v>Peças E Serviços</v>
      </c>
      <c r="E168" s="8" t="s">
        <v>25</v>
      </c>
      <c r="F168" s="14" t="s">
        <v>380</v>
      </c>
      <c r="G168" s="8" t="s">
        <v>390</v>
      </c>
      <c r="H168" s="9">
        <v>87</v>
      </c>
      <c r="I168" s="21">
        <v>2990</v>
      </c>
      <c r="J168" s="11">
        <v>46135</v>
      </c>
      <c r="K168" s="11">
        <v>46135</v>
      </c>
      <c r="L168" s="8" t="s">
        <v>282</v>
      </c>
      <c r="M168" s="14" t="s">
        <v>234</v>
      </c>
      <c r="N168" s="16">
        <v>1556</v>
      </c>
      <c r="O168" s="14" t="s">
        <v>241</v>
      </c>
      <c r="P168" s="14"/>
      <c r="Q168" s="20">
        <f t="shared" si="2"/>
        <v>0</v>
      </c>
      <c r="S168" s="20">
        <f>SUMIFS('Doc''s Pagos | Rodopar 108'!$J:$J,'Doc''s Pagos | Rodopar 108'!$A:$A,$B168&amp;$E168&amp;$F168&amp;$J168,'Doc''s Pagos | Rodopar 108'!$B:$B,S$1)+SUMIFS('Doc Há Pagar | Rodopar 1015'!$J:$J,'Doc Há Pagar | Rodopar 1015'!$A:$A,$B168&amp;$E168&amp;$F168,'Doc Há Pagar | Rodopar 1015'!$B:$B,S$1)</f>
        <v>0</v>
      </c>
      <c r="T168" s="20">
        <f>SUMIFS('Doc''s Pagos | Rodopar 108'!$J:$J,'Doc''s Pagos | Rodopar 108'!$A:$A,$B168&amp;$E168&amp;$F168&amp;$J168,'Doc''s Pagos | Rodopar 108'!$B:$B,T$1)+SUMIFS('Doc Há Pagar | Rodopar 1015'!$J:$J,'Doc Há Pagar | Rodopar 1015'!$A:$A,$B168&amp;$E168&amp;$F168,'Doc Há Pagar | Rodopar 1015'!$B:$B,T$1)</f>
        <v>0</v>
      </c>
      <c r="U168" s="20">
        <f>SUMIFS('Doc''s Pagos | Rodopar 108'!$J:$J,'Doc''s Pagos | Rodopar 108'!$A:$A,$B168&amp;$E168&amp;$F168&amp;$J168,'Doc''s Pagos | Rodopar 108'!$B:$B,U$1)+SUMIFS('Doc Há Pagar | Rodopar 1015'!$J:$J,'Doc Há Pagar | Rodopar 1015'!$A:$A,$B168&amp;$E168&amp;$F168,'Doc Há Pagar | Rodopar 1015'!$B:$B,U$1)</f>
        <v>0</v>
      </c>
      <c r="V168" s="20">
        <f>SUMIFS('Doc''s Pagos | Rodopar 108'!$J:$J,'Doc''s Pagos | Rodopar 108'!$A:$A,$B168&amp;$E168&amp;$F168&amp;$J168,'Doc''s Pagos | Rodopar 108'!$B:$B,V$1)+SUMIFS('Doc Há Pagar | Rodopar 1015'!$J:$J,'Doc Há Pagar | Rodopar 1015'!$A:$A,$B168&amp;$E168&amp;$F168,'Doc Há Pagar | Rodopar 1015'!$B:$B,V$1)</f>
        <v>0</v>
      </c>
      <c r="W168" s="20">
        <f>SUMIFS('Doc''s Pagos | Rodopar 108'!$J:$J,'Doc''s Pagos | Rodopar 108'!$A:$A,$B168&amp;$E168&amp;$F168&amp;$J168,'Doc''s Pagos | Rodopar 108'!$B:$B,W$1)+SUMIFS('Doc Há Pagar | Rodopar 1015'!$J:$J,'Doc Há Pagar | Rodopar 1015'!$A:$A,$B168&amp;$E168&amp;$F168,'Doc Há Pagar | Rodopar 1015'!$B:$B,W$1)</f>
        <v>0</v>
      </c>
      <c r="X168" s="20">
        <f>SUMIFS('Doc''s Pagos | Rodopar 108'!$J:$J,'Doc''s Pagos | Rodopar 108'!$A:$A,$B168&amp;$E168&amp;$F168&amp;$J168,'Doc''s Pagos | Rodopar 108'!$B:$B,X$1)+SUMIFS('Doc Há Pagar | Rodopar 1015'!$J:$J,'Doc Há Pagar | Rodopar 1015'!$A:$A,$B168&amp;$E168&amp;$F168,'Doc Há Pagar | Rodopar 1015'!$B:$B,X$1)</f>
        <v>2990</v>
      </c>
      <c r="Y168" s="20">
        <f>SUMIFS('Doc''s Pagos | Rodopar 108'!$J:$J,'Doc''s Pagos | Rodopar 108'!$A:$A,$B168&amp;$E168&amp;$F168&amp;$J168,'Doc''s Pagos | Rodopar 108'!$B:$B,Y$1)+SUMIFS('Doc Há Pagar | Rodopar 1015'!$J:$J,'Doc Há Pagar | Rodopar 1015'!$A:$A,$B168&amp;$E168&amp;$F168,'Doc Há Pagar | Rodopar 1015'!$B:$B,Y$1)</f>
        <v>0</v>
      </c>
      <c r="Z168" s="20">
        <f>SUMIFS('Doc''s Pagos | Rodopar 108'!$J:$J,'Doc''s Pagos | Rodopar 108'!$A:$A,$B168&amp;$E168&amp;$F168&amp;$J168,'Doc''s Pagos | Rodopar 108'!$B:$B,Z$1)+SUMIFS('Doc Há Pagar | Rodopar 1015'!$J:$J,'Doc Há Pagar | Rodopar 1015'!$A:$A,$B168&amp;$E168&amp;$F168,'Doc Há Pagar | Rodopar 1015'!$B:$B,Z$1)</f>
        <v>0</v>
      </c>
      <c r="AA168" s="20">
        <f>SUMIFS('Doc''s Pagos | Rodopar 108'!$J:$J,'Doc''s Pagos | Rodopar 108'!$A:$A,$B168&amp;$E168&amp;$F168&amp;$J168,'Doc''s Pagos | Rodopar 108'!$B:$B,AA$1)+SUMIFS('Doc Há Pagar | Rodopar 1015'!$J:$J,'Doc Há Pagar | Rodopar 1015'!$A:$A,$B168&amp;$E168&amp;$F168,'Doc Há Pagar | Rodopar 1015'!$B:$B,AA$1)</f>
        <v>0</v>
      </c>
      <c r="AB168" s="20">
        <f>SUMIFS('Doc''s Pagos | Rodopar 108'!$J:$J,'Doc''s Pagos | Rodopar 108'!$A:$A,$B168&amp;$E168&amp;$F168&amp;$J168,'Doc''s Pagos | Rodopar 108'!$B:$B,AB$1)+SUMIFS('Doc Há Pagar | Rodopar 1015'!$J:$J,'Doc Há Pagar | Rodopar 1015'!$A:$A,$B168&amp;$E168&amp;$F168,'Doc Há Pagar | Rodopar 1015'!$B:$B,AB$1)</f>
        <v>0</v>
      </c>
      <c r="AC168" s="20">
        <f>SUMIFS('Doc''s Pagos | Rodopar 108'!$J:$J,'Doc''s Pagos | Rodopar 108'!$A:$A,$B168&amp;$E168&amp;$F168&amp;$J168,'Doc''s Pagos | Rodopar 108'!$B:$B,AC$1)+SUMIFS('Doc Há Pagar | Rodopar 1015'!$J:$J,'Doc Há Pagar | Rodopar 1015'!$A:$A,$B168&amp;$E168&amp;$F168,'Doc Há Pagar | Rodopar 1015'!$B:$B,AC$1)</f>
        <v>0</v>
      </c>
      <c r="AD168" s="20">
        <f>SUMIFS('Doc''s Pagos | Rodopar 108'!$J:$J,'Doc''s Pagos | Rodopar 108'!$A:$A,$B168&amp;$E168&amp;$F168&amp;$J168,'Doc''s Pagos | Rodopar 108'!$B:$B,AD$1)+SUMIFS('Doc Há Pagar | Rodopar 1015'!$J:$J,'Doc Há Pagar | Rodopar 1015'!$A:$A,$B168&amp;$E168&amp;$F168,'Doc Há Pagar | Rodopar 1015'!$B:$B,AD$1)</f>
        <v>0</v>
      </c>
    </row>
    <row r="169" spans="1:30" x14ac:dyDescent="0.25">
      <c r="A169" s="1" t="str">
        <f>VLOOKUP($E169,Fornecedores!$A:$C,3,0)</f>
        <v>Frota</v>
      </c>
      <c r="B169" s="14">
        <v>2790</v>
      </c>
      <c r="C169" s="14" t="str">
        <f>IFERROR(VLOOKUP($E169,Fornecedores!$A:$E,4,0),"")</f>
        <v>Manutenção</v>
      </c>
      <c r="D169" s="14" t="str">
        <f>IFERROR(VLOOKUP($E169,Fornecedores!$A:$E,5,0),"")</f>
        <v>Frota Leve OPE</v>
      </c>
      <c r="E169" s="8" t="s">
        <v>125</v>
      </c>
      <c r="F169" s="14" t="s">
        <v>380</v>
      </c>
      <c r="G169" s="8" t="s">
        <v>467</v>
      </c>
      <c r="H169" s="9">
        <v>87</v>
      </c>
      <c r="I169" s="21">
        <v>1016</v>
      </c>
      <c r="J169" s="11">
        <v>46136</v>
      </c>
      <c r="K169" s="11">
        <v>46147</v>
      </c>
      <c r="L169" s="8" t="s">
        <v>282</v>
      </c>
      <c r="M169" s="14" t="s">
        <v>234</v>
      </c>
      <c r="N169" s="16">
        <v>1556</v>
      </c>
      <c r="O169" s="14" t="s">
        <v>241</v>
      </c>
      <c r="P169" s="14"/>
      <c r="Q169" s="20">
        <f t="shared" si="2"/>
        <v>0</v>
      </c>
      <c r="S169" s="20">
        <f>SUMIFS('Doc''s Pagos | Rodopar 108'!$J:$J,'Doc''s Pagos | Rodopar 108'!$A:$A,$B169&amp;$E169&amp;$F169&amp;$J169,'Doc''s Pagos | Rodopar 108'!$B:$B,S$1)+SUMIFS('Doc Há Pagar | Rodopar 1015'!$J:$J,'Doc Há Pagar | Rodopar 1015'!$A:$A,$B169&amp;$E169&amp;$F169,'Doc Há Pagar | Rodopar 1015'!$B:$B,S$1)</f>
        <v>0</v>
      </c>
      <c r="T169" s="20">
        <f>SUMIFS('Doc''s Pagos | Rodopar 108'!$J:$J,'Doc''s Pagos | Rodopar 108'!$A:$A,$B169&amp;$E169&amp;$F169&amp;$J169,'Doc''s Pagos | Rodopar 108'!$B:$B,T$1)+SUMIFS('Doc Há Pagar | Rodopar 1015'!$J:$J,'Doc Há Pagar | Rodopar 1015'!$A:$A,$B169&amp;$E169&amp;$F169,'Doc Há Pagar | Rodopar 1015'!$B:$B,T$1)</f>
        <v>0</v>
      </c>
      <c r="U169" s="20">
        <f>SUMIFS('Doc''s Pagos | Rodopar 108'!$J:$J,'Doc''s Pagos | Rodopar 108'!$A:$A,$B169&amp;$E169&amp;$F169&amp;$J169,'Doc''s Pagos | Rodopar 108'!$B:$B,U$1)+SUMIFS('Doc Há Pagar | Rodopar 1015'!$J:$J,'Doc Há Pagar | Rodopar 1015'!$A:$A,$B169&amp;$E169&amp;$F169,'Doc Há Pagar | Rodopar 1015'!$B:$B,U$1)</f>
        <v>0</v>
      </c>
      <c r="V169" s="20">
        <f>SUMIFS('Doc''s Pagos | Rodopar 108'!$J:$J,'Doc''s Pagos | Rodopar 108'!$A:$A,$B169&amp;$E169&amp;$F169&amp;$J169,'Doc''s Pagos | Rodopar 108'!$B:$B,V$1)+SUMIFS('Doc Há Pagar | Rodopar 1015'!$J:$J,'Doc Há Pagar | Rodopar 1015'!$A:$A,$B169&amp;$E169&amp;$F169,'Doc Há Pagar | Rodopar 1015'!$B:$B,V$1)</f>
        <v>0</v>
      </c>
      <c r="W169" s="20">
        <f>SUMIFS('Doc''s Pagos | Rodopar 108'!$J:$J,'Doc''s Pagos | Rodopar 108'!$A:$A,$B169&amp;$E169&amp;$F169&amp;$J169,'Doc''s Pagos | Rodopar 108'!$B:$B,W$1)+SUMIFS('Doc Há Pagar | Rodopar 1015'!$J:$J,'Doc Há Pagar | Rodopar 1015'!$A:$A,$B169&amp;$E169&amp;$F169,'Doc Há Pagar | Rodopar 1015'!$B:$B,W$1)</f>
        <v>1016</v>
      </c>
      <c r="X169" s="20">
        <f>SUMIFS('Doc''s Pagos | Rodopar 108'!$J:$J,'Doc''s Pagos | Rodopar 108'!$A:$A,$B169&amp;$E169&amp;$F169&amp;$J169,'Doc''s Pagos | Rodopar 108'!$B:$B,X$1)+SUMIFS('Doc Há Pagar | Rodopar 1015'!$J:$J,'Doc Há Pagar | Rodopar 1015'!$A:$A,$B169&amp;$E169&amp;$F169,'Doc Há Pagar | Rodopar 1015'!$B:$B,X$1)</f>
        <v>0</v>
      </c>
      <c r="Y169" s="20">
        <f>SUMIFS('Doc''s Pagos | Rodopar 108'!$J:$J,'Doc''s Pagos | Rodopar 108'!$A:$A,$B169&amp;$E169&amp;$F169&amp;$J169,'Doc''s Pagos | Rodopar 108'!$B:$B,Y$1)+SUMIFS('Doc Há Pagar | Rodopar 1015'!$J:$J,'Doc Há Pagar | Rodopar 1015'!$A:$A,$B169&amp;$E169&amp;$F169,'Doc Há Pagar | Rodopar 1015'!$B:$B,Y$1)</f>
        <v>0</v>
      </c>
      <c r="Z169" s="20">
        <f>SUMIFS('Doc''s Pagos | Rodopar 108'!$J:$J,'Doc''s Pagos | Rodopar 108'!$A:$A,$B169&amp;$E169&amp;$F169&amp;$J169,'Doc''s Pagos | Rodopar 108'!$B:$B,Z$1)+SUMIFS('Doc Há Pagar | Rodopar 1015'!$J:$J,'Doc Há Pagar | Rodopar 1015'!$A:$A,$B169&amp;$E169&amp;$F169,'Doc Há Pagar | Rodopar 1015'!$B:$B,Z$1)</f>
        <v>0</v>
      </c>
      <c r="AA169" s="20">
        <f>SUMIFS('Doc''s Pagos | Rodopar 108'!$J:$J,'Doc''s Pagos | Rodopar 108'!$A:$A,$B169&amp;$E169&amp;$F169&amp;$J169,'Doc''s Pagos | Rodopar 108'!$B:$B,AA$1)+SUMIFS('Doc Há Pagar | Rodopar 1015'!$J:$J,'Doc Há Pagar | Rodopar 1015'!$A:$A,$B169&amp;$E169&amp;$F169,'Doc Há Pagar | Rodopar 1015'!$B:$B,AA$1)</f>
        <v>0</v>
      </c>
      <c r="AB169" s="20">
        <f>SUMIFS('Doc''s Pagos | Rodopar 108'!$J:$J,'Doc''s Pagos | Rodopar 108'!$A:$A,$B169&amp;$E169&amp;$F169&amp;$J169,'Doc''s Pagos | Rodopar 108'!$B:$B,AB$1)+SUMIFS('Doc Há Pagar | Rodopar 1015'!$J:$J,'Doc Há Pagar | Rodopar 1015'!$A:$A,$B169&amp;$E169&amp;$F169,'Doc Há Pagar | Rodopar 1015'!$B:$B,AB$1)</f>
        <v>0</v>
      </c>
      <c r="AC169" s="20">
        <f>SUMIFS('Doc''s Pagos | Rodopar 108'!$J:$J,'Doc''s Pagos | Rodopar 108'!$A:$A,$B169&amp;$E169&amp;$F169&amp;$J169,'Doc''s Pagos | Rodopar 108'!$B:$B,AC$1)+SUMIFS('Doc Há Pagar | Rodopar 1015'!$J:$J,'Doc Há Pagar | Rodopar 1015'!$A:$A,$B169&amp;$E169&amp;$F169,'Doc Há Pagar | Rodopar 1015'!$B:$B,AC$1)</f>
        <v>0</v>
      </c>
      <c r="AD169" s="20">
        <f>SUMIFS('Doc''s Pagos | Rodopar 108'!$J:$J,'Doc''s Pagos | Rodopar 108'!$A:$A,$B169&amp;$E169&amp;$F169&amp;$J169,'Doc''s Pagos | Rodopar 108'!$B:$B,AD$1)+SUMIFS('Doc Há Pagar | Rodopar 1015'!$J:$J,'Doc Há Pagar | Rodopar 1015'!$A:$A,$B169&amp;$E169&amp;$F169,'Doc Há Pagar | Rodopar 1015'!$B:$B,AD$1)</f>
        <v>0</v>
      </c>
    </row>
    <row r="170" spans="1:30" x14ac:dyDescent="0.25">
      <c r="A170" s="1" t="str">
        <f>VLOOKUP($E170,Fornecedores!$A:$C,3,0)</f>
        <v>Frota</v>
      </c>
      <c r="B170" s="14">
        <v>136578</v>
      </c>
      <c r="C170" s="14" t="str">
        <f>IFERROR(VLOOKUP($E170,Fornecedores!$A:$E,4,0),"")</f>
        <v>Pneus</v>
      </c>
      <c r="D170" s="14" t="str">
        <f>IFERROR(VLOOKUP($E170,Fornecedores!$A:$E,5,0),"")</f>
        <v>Compra</v>
      </c>
      <c r="E170" s="8" t="s">
        <v>80</v>
      </c>
      <c r="F170" s="14" t="s">
        <v>380</v>
      </c>
      <c r="G170" s="8" t="s">
        <v>408</v>
      </c>
      <c r="H170" s="9">
        <v>87</v>
      </c>
      <c r="I170" s="21">
        <v>12834</v>
      </c>
      <c r="J170" s="11">
        <v>46139</v>
      </c>
      <c r="K170" s="11">
        <v>46142</v>
      </c>
      <c r="L170" s="8" t="s">
        <v>382</v>
      </c>
      <c r="M170" s="14" t="s">
        <v>234</v>
      </c>
      <c r="N170" s="16">
        <v>1556</v>
      </c>
      <c r="O170" s="14" t="s">
        <v>410</v>
      </c>
      <c r="P170" s="14"/>
      <c r="Q170" s="20">
        <f t="shared" si="2"/>
        <v>0</v>
      </c>
      <c r="S170" s="20">
        <f>SUMIFS('Doc''s Pagos | Rodopar 108'!$J:$J,'Doc''s Pagos | Rodopar 108'!$A:$A,$B170&amp;$E170&amp;$F170&amp;$J170,'Doc''s Pagos | Rodopar 108'!$B:$B,S$1)+SUMIFS('Doc Há Pagar | Rodopar 1015'!$J:$J,'Doc Há Pagar | Rodopar 1015'!$A:$A,$B170&amp;$E170&amp;$F170,'Doc Há Pagar | Rodopar 1015'!$B:$B,S$1)</f>
        <v>0</v>
      </c>
      <c r="T170" s="20">
        <f>SUMIFS('Doc''s Pagos | Rodopar 108'!$J:$J,'Doc''s Pagos | Rodopar 108'!$A:$A,$B170&amp;$E170&amp;$F170&amp;$J170,'Doc''s Pagos | Rodopar 108'!$B:$B,T$1)+SUMIFS('Doc Há Pagar | Rodopar 1015'!$J:$J,'Doc Há Pagar | Rodopar 1015'!$A:$A,$B170&amp;$E170&amp;$F170,'Doc Há Pagar | Rodopar 1015'!$B:$B,T$1)</f>
        <v>0</v>
      </c>
      <c r="U170" s="20">
        <f>SUMIFS('Doc''s Pagos | Rodopar 108'!$J:$J,'Doc''s Pagos | Rodopar 108'!$A:$A,$B170&amp;$E170&amp;$F170&amp;$J170,'Doc''s Pagos | Rodopar 108'!$B:$B,U$1)+SUMIFS('Doc Há Pagar | Rodopar 1015'!$J:$J,'Doc Há Pagar | Rodopar 1015'!$A:$A,$B170&amp;$E170&amp;$F170,'Doc Há Pagar | Rodopar 1015'!$B:$B,U$1)</f>
        <v>0</v>
      </c>
      <c r="V170" s="20">
        <f>SUMIFS('Doc''s Pagos | Rodopar 108'!$J:$J,'Doc''s Pagos | Rodopar 108'!$A:$A,$B170&amp;$E170&amp;$F170&amp;$J170,'Doc''s Pagos | Rodopar 108'!$B:$B,V$1)+SUMIFS('Doc Há Pagar | Rodopar 1015'!$J:$J,'Doc Há Pagar | Rodopar 1015'!$A:$A,$B170&amp;$E170&amp;$F170,'Doc Há Pagar | Rodopar 1015'!$B:$B,V$1)</f>
        <v>0</v>
      </c>
      <c r="W170" s="20">
        <f>SUMIFS('Doc''s Pagos | Rodopar 108'!$J:$J,'Doc''s Pagos | Rodopar 108'!$A:$A,$B170&amp;$E170&amp;$F170&amp;$J170,'Doc''s Pagos | Rodopar 108'!$B:$B,W$1)+SUMIFS('Doc Há Pagar | Rodopar 1015'!$J:$J,'Doc Há Pagar | Rodopar 1015'!$A:$A,$B170&amp;$E170&amp;$F170,'Doc Há Pagar | Rodopar 1015'!$B:$B,W$1)</f>
        <v>0</v>
      </c>
      <c r="X170" s="20">
        <f>SUMIFS('Doc''s Pagos | Rodopar 108'!$J:$J,'Doc''s Pagos | Rodopar 108'!$A:$A,$B170&amp;$E170&amp;$F170&amp;$J170,'Doc''s Pagos | Rodopar 108'!$B:$B,X$1)+SUMIFS('Doc Há Pagar | Rodopar 1015'!$J:$J,'Doc Há Pagar | Rodopar 1015'!$A:$A,$B170&amp;$E170&amp;$F170,'Doc Há Pagar | Rodopar 1015'!$B:$B,X$1)</f>
        <v>4278</v>
      </c>
      <c r="Y170" s="20">
        <f>SUMIFS('Doc''s Pagos | Rodopar 108'!$J:$J,'Doc''s Pagos | Rodopar 108'!$A:$A,$B170&amp;$E170&amp;$F170&amp;$J170,'Doc''s Pagos | Rodopar 108'!$B:$B,Y$1)+SUMIFS('Doc Há Pagar | Rodopar 1015'!$J:$J,'Doc Há Pagar | Rodopar 1015'!$A:$A,$B170&amp;$E170&amp;$F170,'Doc Há Pagar | Rodopar 1015'!$B:$B,Y$1)</f>
        <v>4278</v>
      </c>
      <c r="Z170" s="20">
        <f>SUMIFS('Doc''s Pagos | Rodopar 108'!$J:$J,'Doc''s Pagos | Rodopar 108'!$A:$A,$B170&amp;$E170&amp;$F170&amp;$J170,'Doc''s Pagos | Rodopar 108'!$B:$B,Z$1)+SUMIFS('Doc Há Pagar | Rodopar 1015'!$J:$J,'Doc Há Pagar | Rodopar 1015'!$A:$A,$B170&amp;$E170&amp;$F170,'Doc Há Pagar | Rodopar 1015'!$B:$B,Z$1)</f>
        <v>4278</v>
      </c>
      <c r="AA170" s="20">
        <f>SUMIFS('Doc''s Pagos | Rodopar 108'!$J:$J,'Doc''s Pagos | Rodopar 108'!$A:$A,$B170&amp;$E170&amp;$F170&amp;$J170,'Doc''s Pagos | Rodopar 108'!$B:$B,AA$1)+SUMIFS('Doc Há Pagar | Rodopar 1015'!$J:$J,'Doc Há Pagar | Rodopar 1015'!$A:$A,$B170&amp;$E170&amp;$F170,'Doc Há Pagar | Rodopar 1015'!$B:$B,AA$1)</f>
        <v>0</v>
      </c>
      <c r="AB170" s="20">
        <f>SUMIFS('Doc''s Pagos | Rodopar 108'!$J:$J,'Doc''s Pagos | Rodopar 108'!$A:$A,$B170&amp;$E170&amp;$F170&amp;$J170,'Doc''s Pagos | Rodopar 108'!$B:$B,AB$1)+SUMIFS('Doc Há Pagar | Rodopar 1015'!$J:$J,'Doc Há Pagar | Rodopar 1015'!$A:$A,$B170&amp;$E170&amp;$F170,'Doc Há Pagar | Rodopar 1015'!$B:$B,AB$1)</f>
        <v>0</v>
      </c>
      <c r="AC170" s="20">
        <f>SUMIFS('Doc''s Pagos | Rodopar 108'!$J:$J,'Doc''s Pagos | Rodopar 108'!$A:$A,$B170&amp;$E170&amp;$F170&amp;$J170,'Doc''s Pagos | Rodopar 108'!$B:$B,AC$1)+SUMIFS('Doc Há Pagar | Rodopar 1015'!$J:$J,'Doc Há Pagar | Rodopar 1015'!$A:$A,$B170&amp;$E170&amp;$F170,'Doc Há Pagar | Rodopar 1015'!$B:$B,AC$1)</f>
        <v>0</v>
      </c>
      <c r="AD170" s="20">
        <f>SUMIFS('Doc''s Pagos | Rodopar 108'!$J:$J,'Doc''s Pagos | Rodopar 108'!$A:$A,$B170&amp;$E170&amp;$F170&amp;$J170,'Doc''s Pagos | Rodopar 108'!$B:$B,AD$1)+SUMIFS('Doc Há Pagar | Rodopar 1015'!$J:$J,'Doc Há Pagar | Rodopar 1015'!$A:$A,$B170&amp;$E170&amp;$F170,'Doc Há Pagar | Rodopar 1015'!$B:$B,AD$1)</f>
        <v>0</v>
      </c>
    </row>
    <row r="171" spans="1:30" x14ac:dyDescent="0.25">
      <c r="A171" s="1" t="str">
        <f>VLOOKUP($E171,Fornecedores!$A:$C,3,0)</f>
        <v>Frota</v>
      </c>
      <c r="B171" s="14">
        <v>442</v>
      </c>
      <c r="C171" s="14" t="str">
        <f>IFERROR(VLOOKUP($E171,Fornecedores!$A:$E,4,0),"")</f>
        <v>Manutenção</v>
      </c>
      <c r="D171" s="14" t="str">
        <f>IFERROR(VLOOKUP($E171,Fornecedores!$A:$E,5,0),"")</f>
        <v>Peças E Serviços</v>
      </c>
      <c r="E171" s="8" t="s">
        <v>195</v>
      </c>
      <c r="F171" s="14" t="s">
        <v>665</v>
      </c>
      <c r="G171" s="8" t="s">
        <v>418</v>
      </c>
      <c r="H171" s="9">
        <v>87</v>
      </c>
      <c r="I171" s="21">
        <v>1292.52</v>
      </c>
      <c r="J171" s="11">
        <v>46141</v>
      </c>
      <c r="K171" s="11">
        <v>46148</v>
      </c>
      <c r="L171" s="8" t="s">
        <v>282</v>
      </c>
      <c r="M171" s="14" t="s">
        <v>234</v>
      </c>
      <c r="N171" s="16">
        <v>1556</v>
      </c>
      <c r="O171" s="14" t="s">
        <v>241</v>
      </c>
      <c r="P171" s="14"/>
      <c r="Q171" s="20">
        <f t="shared" si="2"/>
        <v>0</v>
      </c>
      <c r="S171" s="20">
        <f>SUMIFS('Doc''s Pagos | Rodopar 108'!$J:$J,'Doc''s Pagos | Rodopar 108'!$A:$A,$B171&amp;$E171&amp;$F171&amp;$J171,'Doc''s Pagos | Rodopar 108'!$B:$B,S$1)+SUMIFS('Doc Há Pagar | Rodopar 1015'!$J:$J,'Doc Há Pagar | Rodopar 1015'!$A:$A,$B171&amp;$E171&amp;$F171,'Doc Há Pagar | Rodopar 1015'!$B:$B,S$1)</f>
        <v>0</v>
      </c>
      <c r="T171" s="20">
        <f>SUMIFS('Doc''s Pagos | Rodopar 108'!$J:$J,'Doc''s Pagos | Rodopar 108'!$A:$A,$B171&amp;$E171&amp;$F171&amp;$J171,'Doc''s Pagos | Rodopar 108'!$B:$B,T$1)+SUMIFS('Doc Há Pagar | Rodopar 1015'!$J:$J,'Doc Há Pagar | Rodopar 1015'!$A:$A,$B171&amp;$E171&amp;$F171,'Doc Há Pagar | Rodopar 1015'!$B:$B,T$1)</f>
        <v>0</v>
      </c>
      <c r="U171" s="20">
        <f>SUMIFS('Doc''s Pagos | Rodopar 108'!$J:$J,'Doc''s Pagos | Rodopar 108'!$A:$A,$B171&amp;$E171&amp;$F171&amp;$J171,'Doc''s Pagos | Rodopar 108'!$B:$B,U$1)+SUMIFS('Doc Há Pagar | Rodopar 1015'!$J:$J,'Doc Há Pagar | Rodopar 1015'!$A:$A,$B171&amp;$E171&amp;$F171,'Doc Há Pagar | Rodopar 1015'!$B:$B,U$1)</f>
        <v>0</v>
      </c>
      <c r="V171" s="20">
        <f>SUMIFS('Doc''s Pagos | Rodopar 108'!$J:$J,'Doc''s Pagos | Rodopar 108'!$A:$A,$B171&amp;$E171&amp;$F171&amp;$J171,'Doc''s Pagos | Rodopar 108'!$B:$B,V$1)+SUMIFS('Doc Há Pagar | Rodopar 1015'!$J:$J,'Doc Há Pagar | Rodopar 1015'!$A:$A,$B171&amp;$E171&amp;$F171,'Doc Há Pagar | Rodopar 1015'!$B:$B,V$1)</f>
        <v>0</v>
      </c>
      <c r="W171" s="20">
        <f>SUMIFS('Doc''s Pagos | Rodopar 108'!$J:$J,'Doc''s Pagos | Rodopar 108'!$A:$A,$B171&amp;$E171&amp;$F171&amp;$J171,'Doc''s Pagos | Rodopar 108'!$B:$B,W$1)+SUMIFS('Doc Há Pagar | Rodopar 1015'!$J:$J,'Doc Há Pagar | Rodopar 1015'!$A:$A,$B171&amp;$E171&amp;$F171,'Doc Há Pagar | Rodopar 1015'!$B:$B,W$1)</f>
        <v>0</v>
      </c>
      <c r="X171" s="20">
        <f>SUMIFS('Doc''s Pagos | Rodopar 108'!$J:$J,'Doc''s Pagos | Rodopar 108'!$A:$A,$B171&amp;$E171&amp;$F171&amp;$J171,'Doc''s Pagos | Rodopar 108'!$B:$B,X$1)+SUMIFS('Doc Há Pagar | Rodopar 1015'!$J:$J,'Doc Há Pagar | Rodopar 1015'!$A:$A,$B171&amp;$E171&amp;$F171,'Doc Há Pagar | Rodopar 1015'!$B:$B,X$1)</f>
        <v>1292.52</v>
      </c>
      <c r="Y171" s="20">
        <f>SUMIFS('Doc''s Pagos | Rodopar 108'!$J:$J,'Doc''s Pagos | Rodopar 108'!$A:$A,$B171&amp;$E171&amp;$F171&amp;$J171,'Doc''s Pagos | Rodopar 108'!$B:$B,Y$1)+SUMIFS('Doc Há Pagar | Rodopar 1015'!$J:$J,'Doc Há Pagar | Rodopar 1015'!$A:$A,$B171&amp;$E171&amp;$F171,'Doc Há Pagar | Rodopar 1015'!$B:$B,Y$1)</f>
        <v>0</v>
      </c>
      <c r="Z171" s="20">
        <f>SUMIFS('Doc''s Pagos | Rodopar 108'!$J:$J,'Doc''s Pagos | Rodopar 108'!$A:$A,$B171&amp;$E171&amp;$F171&amp;$J171,'Doc''s Pagos | Rodopar 108'!$B:$B,Z$1)+SUMIFS('Doc Há Pagar | Rodopar 1015'!$J:$J,'Doc Há Pagar | Rodopar 1015'!$A:$A,$B171&amp;$E171&amp;$F171,'Doc Há Pagar | Rodopar 1015'!$B:$B,Z$1)</f>
        <v>0</v>
      </c>
      <c r="AA171" s="20">
        <f>SUMIFS('Doc''s Pagos | Rodopar 108'!$J:$J,'Doc''s Pagos | Rodopar 108'!$A:$A,$B171&amp;$E171&amp;$F171&amp;$J171,'Doc''s Pagos | Rodopar 108'!$B:$B,AA$1)+SUMIFS('Doc Há Pagar | Rodopar 1015'!$J:$J,'Doc Há Pagar | Rodopar 1015'!$A:$A,$B171&amp;$E171&amp;$F171,'Doc Há Pagar | Rodopar 1015'!$B:$B,AA$1)</f>
        <v>0</v>
      </c>
      <c r="AB171" s="20">
        <f>SUMIFS('Doc''s Pagos | Rodopar 108'!$J:$J,'Doc''s Pagos | Rodopar 108'!$A:$A,$B171&amp;$E171&amp;$F171&amp;$J171,'Doc''s Pagos | Rodopar 108'!$B:$B,AB$1)+SUMIFS('Doc Há Pagar | Rodopar 1015'!$J:$J,'Doc Há Pagar | Rodopar 1015'!$A:$A,$B171&amp;$E171&amp;$F171,'Doc Há Pagar | Rodopar 1015'!$B:$B,AB$1)</f>
        <v>0</v>
      </c>
      <c r="AC171" s="20">
        <f>SUMIFS('Doc''s Pagos | Rodopar 108'!$J:$J,'Doc''s Pagos | Rodopar 108'!$A:$A,$B171&amp;$E171&amp;$F171&amp;$J171,'Doc''s Pagos | Rodopar 108'!$B:$B,AC$1)+SUMIFS('Doc Há Pagar | Rodopar 1015'!$J:$J,'Doc Há Pagar | Rodopar 1015'!$A:$A,$B171&amp;$E171&amp;$F171,'Doc Há Pagar | Rodopar 1015'!$B:$B,AC$1)</f>
        <v>0</v>
      </c>
      <c r="AD171" s="20">
        <f>SUMIFS('Doc''s Pagos | Rodopar 108'!$J:$J,'Doc''s Pagos | Rodopar 108'!$A:$A,$B171&amp;$E171&amp;$F171&amp;$J171,'Doc''s Pagos | Rodopar 108'!$B:$B,AD$1)+SUMIFS('Doc Há Pagar | Rodopar 1015'!$J:$J,'Doc Há Pagar | Rodopar 1015'!$A:$A,$B171&amp;$E171&amp;$F171,'Doc Há Pagar | Rodopar 1015'!$B:$B,AD$1)</f>
        <v>0</v>
      </c>
    </row>
    <row r="172" spans="1:30" x14ac:dyDescent="0.25">
      <c r="A172" s="1" t="str">
        <f>VLOOKUP($E172,Fornecedores!$A:$C,3,0)</f>
        <v>Frota</v>
      </c>
      <c r="B172" s="14">
        <v>26100527919</v>
      </c>
      <c r="C172" s="14" t="str">
        <f>IFERROR(VLOOKUP($E172,Fornecedores!$A:$E,4,0),"")</f>
        <v>Pedagios</v>
      </c>
      <c r="D172" s="14" t="str">
        <f>IFERROR(VLOOKUP($E172,Fornecedores!$A:$E,5,0),"")</f>
        <v>Pedagios</v>
      </c>
      <c r="E172" s="8" t="s">
        <v>38</v>
      </c>
      <c r="F172" s="14" t="s">
        <v>232</v>
      </c>
      <c r="G172" s="8" t="s">
        <v>261</v>
      </c>
      <c r="H172" s="9">
        <v>87</v>
      </c>
      <c r="I172" s="21">
        <v>19961.89</v>
      </c>
      <c r="J172" s="11">
        <v>46145</v>
      </c>
      <c r="K172" s="11">
        <v>46147</v>
      </c>
      <c r="L172" s="8" t="s">
        <v>262</v>
      </c>
      <c r="M172" s="14" t="s">
        <v>263</v>
      </c>
      <c r="N172" s="16">
        <v>2556</v>
      </c>
      <c r="O172" s="14" t="s">
        <v>241</v>
      </c>
      <c r="P172" s="14"/>
      <c r="Q172" s="20">
        <f t="shared" si="2"/>
        <v>0</v>
      </c>
      <c r="S172" s="20">
        <f>SUMIFS('Doc''s Pagos | Rodopar 108'!$J:$J,'Doc''s Pagos | Rodopar 108'!$A:$A,$B172&amp;$E172&amp;$F172&amp;$J172,'Doc''s Pagos | Rodopar 108'!$B:$B,S$1)+SUMIFS('Doc Há Pagar | Rodopar 1015'!$J:$J,'Doc Há Pagar | Rodopar 1015'!$A:$A,$B172&amp;$E172&amp;$F172,'Doc Há Pagar | Rodopar 1015'!$B:$B,S$1)</f>
        <v>0</v>
      </c>
      <c r="T172" s="20">
        <f>SUMIFS('Doc''s Pagos | Rodopar 108'!$J:$J,'Doc''s Pagos | Rodopar 108'!$A:$A,$B172&amp;$E172&amp;$F172&amp;$J172,'Doc''s Pagos | Rodopar 108'!$B:$B,T$1)+SUMIFS('Doc Há Pagar | Rodopar 1015'!$J:$J,'Doc Há Pagar | Rodopar 1015'!$A:$A,$B172&amp;$E172&amp;$F172,'Doc Há Pagar | Rodopar 1015'!$B:$B,T$1)</f>
        <v>0</v>
      </c>
      <c r="U172" s="20">
        <f>SUMIFS('Doc''s Pagos | Rodopar 108'!$J:$J,'Doc''s Pagos | Rodopar 108'!$A:$A,$B172&amp;$E172&amp;$F172&amp;$J172,'Doc''s Pagos | Rodopar 108'!$B:$B,U$1)+SUMIFS('Doc Há Pagar | Rodopar 1015'!$J:$J,'Doc Há Pagar | Rodopar 1015'!$A:$A,$B172&amp;$E172&amp;$F172,'Doc Há Pagar | Rodopar 1015'!$B:$B,U$1)</f>
        <v>0</v>
      </c>
      <c r="V172" s="20">
        <f>SUMIFS('Doc''s Pagos | Rodopar 108'!$J:$J,'Doc''s Pagos | Rodopar 108'!$A:$A,$B172&amp;$E172&amp;$F172&amp;$J172,'Doc''s Pagos | Rodopar 108'!$B:$B,V$1)+SUMIFS('Doc Há Pagar | Rodopar 1015'!$J:$J,'Doc Há Pagar | Rodopar 1015'!$A:$A,$B172&amp;$E172&amp;$F172,'Doc Há Pagar | Rodopar 1015'!$B:$B,V$1)</f>
        <v>0</v>
      </c>
      <c r="W172" s="20">
        <f>SUMIFS('Doc''s Pagos | Rodopar 108'!$J:$J,'Doc''s Pagos | Rodopar 108'!$A:$A,$B172&amp;$E172&amp;$F172&amp;$J172,'Doc''s Pagos | Rodopar 108'!$B:$B,W$1)+SUMIFS('Doc Há Pagar | Rodopar 1015'!$J:$J,'Doc Há Pagar | Rodopar 1015'!$A:$A,$B172&amp;$E172&amp;$F172,'Doc Há Pagar | Rodopar 1015'!$B:$B,W$1)</f>
        <v>19961.89</v>
      </c>
      <c r="X172" s="20">
        <f>SUMIFS('Doc''s Pagos | Rodopar 108'!$J:$J,'Doc''s Pagos | Rodopar 108'!$A:$A,$B172&amp;$E172&amp;$F172&amp;$J172,'Doc''s Pagos | Rodopar 108'!$B:$B,X$1)+SUMIFS('Doc Há Pagar | Rodopar 1015'!$J:$J,'Doc Há Pagar | Rodopar 1015'!$A:$A,$B172&amp;$E172&amp;$F172,'Doc Há Pagar | Rodopar 1015'!$B:$B,X$1)</f>
        <v>0</v>
      </c>
      <c r="Y172" s="20">
        <f>SUMIFS('Doc''s Pagos | Rodopar 108'!$J:$J,'Doc''s Pagos | Rodopar 108'!$A:$A,$B172&amp;$E172&amp;$F172&amp;$J172,'Doc''s Pagos | Rodopar 108'!$B:$B,Y$1)+SUMIFS('Doc Há Pagar | Rodopar 1015'!$J:$J,'Doc Há Pagar | Rodopar 1015'!$A:$A,$B172&amp;$E172&amp;$F172,'Doc Há Pagar | Rodopar 1015'!$B:$B,Y$1)</f>
        <v>0</v>
      </c>
      <c r="Z172" s="20">
        <f>SUMIFS('Doc''s Pagos | Rodopar 108'!$J:$J,'Doc''s Pagos | Rodopar 108'!$A:$A,$B172&amp;$E172&amp;$F172&amp;$J172,'Doc''s Pagos | Rodopar 108'!$B:$B,Z$1)+SUMIFS('Doc Há Pagar | Rodopar 1015'!$J:$J,'Doc Há Pagar | Rodopar 1015'!$A:$A,$B172&amp;$E172&amp;$F172,'Doc Há Pagar | Rodopar 1015'!$B:$B,Z$1)</f>
        <v>0</v>
      </c>
      <c r="AA172" s="20">
        <f>SUMIFS('Doc''s Pagos | Rodopar 108'!$J:$J,'Doc''s Pagos | Rodopar 108'!$A:$A,$B172&amp;$E172&amp;$F172&amp;$J172,'Doc''s Pagos | Rodopar 108'!$B:$B,AA$1)+SUMIFS('Doc Há Pagar | Rodopar 1015'!$J:$J,'Doc Há Pagar | Rodopar 1015'!$A:$A,$B172&amp;$E172&amp;$F172,'Doc Há Pagar | Rodopar 1015'!$B:$B,AA$1)</f>
        <v>0</v>
      </c>
      <c r="AB172" s="20">
        <f>SUMIFS('Doc''s Pagos | Rodopar 108'!$J:$J,'Doc''s Pagos | Rodopar 108'!$A:$A,$B172&amp;$E172&amp;$F172&amp;$J172,'Doc''s Pagos | Rodopar 108'!$B:$B,AB$1)+SUMIFS('Doc Há Pagar | Rodopar 1015'!$J:$J,'Doc Há Pagar | Rodopar 1015'!$A:$A,$B172&amp;$E172&amp;$F172,'Doc Há Pagar | Rodopar 1015'!$B:$B,AB$1)</f>
        <v>0</v>
      </c>
      <c r="AC172" s="20">
        <f>SUMIFS('Doc''s Pagos | Rodopar 108'!$J:$J,'Doc''s Pagos | Rodopar 108'!$A:$A,$B172&amp;$E172&amp;$F172&amp;$J172,'Doc''s Pagos | Rodopar 108'!$B:$B,AC$1)+SUMIFS('Doc Há Pagar | Rodopar 1015'!$J:$J,'Doc Há Pagar | Rodopar 1015'!$A:$A,$B172&amp;$E172&amp;$F172,'Doc Há Pagar | Rodopar 1015'!$B:$B,AC$1)</f>
        <v>0</v>
      </c>
      <c r="AD172" s="20">
        <f>SUMIFS('Doc''s Pagos | Rodopar 108'!$J:$J,'Doc''s Pagos | Rodopar 108'!$A:$A,$B172&amp;$E172&amp;$F172&amp;$J172,'Doc''s Pagos | Rodopar 108'!$B:$B,AD$1)+SUMIFS('Doc Há Pagar | Rodopar 1015'!$J:$J,'Doc Há Pagar | Rodopar 1015'!$A:$A,$B172&amp;$E172&amp;$F172,'Doc Há Pagar | Rodopar 1015'!$B:$B,AD$1)</f>
        <v>0</v>
      </c>
    </row>
    <row r="173" spans="1:30" x14ac:dyDescent="0.25">
      <c r="A173" s="1" t="str">
        <f>VLOOKUP($E173,Fornecedores!$A:$C,3,0)</f>
        <v>Frota</v>
      </c>
      <c r="B173" s="14">
        <v>1033</v>
      </c>
      <c r="C173" s="14" t="str">
        <f>IFERROR(VLOOKUP($E173,Fornecedores!$A:$E,4,0),"")</f>
        <v>Manutenção</v>
      </c>
      <c r="D173" s="14" t="str">
        <f>IFERROR(VLOOKUP($E173,Fornecedores!$A:$E,5,0),"")</f>
        <v>Peças E Serviços</v>
      </c>
      <c r="E173" s="8" t="s">
        <v>25</v>
      </c>
      <c r="F173" s="14" t="s">
        <v>380</v>
      </c>
      <c r="G173" s="8" t="s">
        <v>390</v>
      </c>
      <c r="H173" s="9">
        <v>87</v>
      </c>
      <c r="I173" s="21">
        <v>1276</v>
      </c>
      <c r="J173" s="11">
        <v>46146</v>
      </c>
      <c r="K173" s="11">
        <v>46153</v>
      </c>
      <c r="L173" s="8" t="s">
        <v>282</v>
      </c>
      <c r="M173" s="14" t="s">
        <v>234</v>
      </c>
      <c r="N173" s="16">
        <v>1556</v>
      </c>
      <c r="O173" s="14" t="s">
        <v>241</v>
      </c>
      <c r="P173" s="14"/>
      <c r="Q173" s="20">
        <f t="shared" si="2"/>
        <v>0</v>
      </c>
      <c r="S173" s="20">
        <f>SUMIFS('Doc''s Pagos | Rodopar 108'!$J:$J,'Doc''s Pagos | Rodopar 108'!$A:$A,$B173&amp;$E173&amp;$F173&amp;$J173,'Doc''s Pagos | Rodopar 108'!$B:$B,S$1)+SUMIFS('Doc Há Pagar | Rodopar 1015'!$J:$J,'Doc Há Pagar | Rodopar 1015'!$A:$A,$B173&amp;$E173&amp;$F173,'Doc Há Pagar | Rodopar 1015'!$B:$B,S$1)</f>
        <v>0</v>
      </c>
      <c r="T173" s="20">
        <f>SUMIFS('Doc''s Pagos | Rodopar 108'!$J:$J,'Doc''s Pagos | Rodopar 108'!$A:$A,$B173&amp;$E173&amp;$F173&amp;$J173,'Doc''s Pagos | Rodopar 108'!$B:$B,T$1)+SUMIFS('Doc Há Pagar | Rodopar 1015'!$J:$J,'Doc Há Pagar | Rodopar 1015'!$A:$A,$B173&amp;$E173&amp;$F173,'Doc Há Pagar | Rodopar 1015'!$B:$B,T$1)</f>
        <v>0</v>
      </c>
      <c r="U173" s="20">
        <f>SUMIFS('Doc''s Pagos | Rodopar 108'!$J:$J,'Doc''s Pagos | Rodopar 108'!$A:$A,$B173&amp;$E173&amp;$F173&amp;$J173,'Doc''s Pagos | Rodopar 108'!$B:$B,U$1)+SUMIFS('Doc Há Pagar | Rodopar 1015'!$J:$J,'Doc Há Pagar | Rodopar 1015'!$A:$A,$B173&amp;$E173&amp;$F173,'Doc Há Pagar | Rodopar 1015'!$B:$B,U$1)</f>
        <v>0</v>
      </c>
      <c r="V173" s="20">
        <f>SUMIFS('Doc''s Pagos | Rodopar 108'!$J:$J,'Doc''s Pagos | Rodopar 108'!$A:$A,$B173&amp;$E173&amp;$F173&amp;$J173,'Doc''s Pagos | Rodopar 108'!$B:$B,V$1)+SUMIFS('Doc Há Pagar | Rodopar 1015'!$J:$J,'Doc Há Pagar | Rodopar 1015'!$A:$A,$B173&amp;$E173&amp;$F173,'Doc Há Pagar | Rodopar 1015'!$B:$B,V$1)</f>
        <v>0</v>
      </c>
      <c r="W173" s="20">
        <f>SUMIFS('Doc''s Pagos | Rodopar 108'!$J:$J,'Doc''s Pagos | Rodopar 108'!$A:$A,$B173&amp;$E173&amp;$F173&amp;$J173,'Doc''s Pagos | Rodopar 108'!$B:$B,W$1)+SUMIFS('Doc Há Pagar | Rodopar 1015'!$J:$J,'Doc Há Pagar | Rodopar 1015'!$A:$A,$B173&amp;$E173&amp;$F173,'Doc Há Pagar | Rodopar 1015'!$B:$B,W$1)</f>
        <v>0</v>
      </c>
      <c r="X173" s="20">
        <f>SUMIFS('Doc''s Pagos | Rodopar 108'!$J:$J,'Doc''s Pagos | Rodopar 108'!$A:$A,$B173&amp;$E173&amp;$F173&amp;$J173,'Doc''s Pagos | Rodopar 108'!$B:$B,X$1)+SUMIFS('Doc Há Pagar | Rodopar 1015'!$J:$J,'Doc Há Pagar | Rodopar 1015'!$A:$A,$B173&amp;$E173&amp;$F173,'Doc Há Pagar | Rodopar 1015'!$B:$B,X$1)</f>
        <v>1276</v>
      </c>
      <c r="Y173" s="20">
        <f>SUMIFS('Doc''s Pagos | Rodopar 108'!$J:$J,'Doc''s Pagos | Rodopar 108'!$A:$A,$B173&amp;$E173&amp;$F173&amp;$J173,'Doc''s Pagos | Rodopar 108'!$B:$B,Y$1)+SUMIFS('Doc Há Pagar | Rodopar 1015'!$J:$J,'Doc Há Pagar | Rodopar 1015'!$A:$A,$B173&amp;$E173&amp;$F173,'Doc Há Pagar | Rodopar 1015'!$B:$B,Y$1)</f>
        <v>0</v>
      </c>
      <c r="Z173" s="20">
        <f>SUMIFS('Doc''s Pagos | Rodopar 108'!$J:$J,'Doc''s Pagos | Rodopar 108'!$A:$A,$B173&amp;$E173&amp;$F173&amp;$J173,'Doc''s Pagos | Rodopar 108'!$B:$B,Z$1)+SUMIFS('Doc Há Pagar | Rodopar 1015'!$J:$J,'Doc Há Pagar | Rodopar 1015'!$A:$A,$B173&amp;$E173&amp;$F173,'Doc Há Pagar | Rodopar 1015'!$B:$B,Z$1)</f>
        <v>0</v>
      </c>
      <c r="AA173" s="20">
        <f>SUMIFS('Doc''s Pagos | Rodopar 108'!$J:$J,'Doc''s Pagos | Rodopar 108'!$A:$A,$B173&amp;$E173&amp;$F173&amp;$J173,'Doc''s Pagos | Rodopar 108'!$B:$B,AA$1)+SUMIFS('Doc Há Pagar | Rodopar 1015'!$J:$J,'Doc Há Pagar | Rodopar 1015'!$A:$A,$B173&amp;$E173&amp;$F173,'Doc Há Pagar | Rodopar 1015'!$B:$B,AA$1)</f>
        <v>0</v>
      </c>
      <c r="AB173" s="20">
        <f>SUMIFS('Doc''s Pagos | Rodopar 108'!$J:$J,'Doc''s Pagos | Rodopar 108'!$A:$A,$B173&amp;$E173&amp;$F173&amp;$J173,'Doc''s Pagos | Rodopar 108'!$B:$B,AB$1)+SUMIFS('Doc Há Pagar | Rodopar 1015'!$J:$J,'Doc Há Pagar | Rodopar 1015'!$A:$A,$B173&amp;$E173&amp;$F173,'Doc Há Pagar | Rodopar 1015'!$B:$B,AB$1)</f>
        <v>0</v>
      </c>
      <c r="AC173" s="20">
        <f>SUMIFS('Doc''s Pagos | Rodopar 108'!$J:$J,'Doc''s Pagos | Rodopar 108'!$A:$A,$B173&amp;$E173&amp;$F173&amp;$J173,'Doc''s Pagos | Rodopar 108'!$B:$B,AC$1)+SUMIFS('Doc Há Pagar | Rodopar 1015'!$J:$J,'Doc Há Pagar | Rodopar 1015'!$A:$A,$B173&amp;$E173&amp;$F173,'Doc Há Pagar | Rodopar 1015'!$B:$B,AC$1)</f>
        <v>0</v>
      </c>
      <c r="AD173" s="20">
        <f>SUMIFS('Doc''s Pagos | Rodopar 108'!$J:$J,'Doc''s Pagos | Rodopar 108'!$A:$A,$B173&amp;$E173&amp;$F173&amp;$J173,'Doc''s Pagos | Rodopar 108'!$B:$B,AD$1)+SUMIFS('Doc Há Pagar | Rodopar 1015'!$J:$J,'Doc Há Pagar | Rodopar 1015'!$A:$A,$B173&amp;$E173&amp;$F173,'Doc Há Pagar | Rodopar 1015'!$B:$B,AD$1)</f>
        <v>0</v>
      </c>
    </row>
    <row r="174" spans="1:30" x14ac:dyDescent="0.25">
      <c r="A174" s="1" t="str">
        <f>VLOOKUP($E174,Fornecedores!$A:$C,3,0)</f>
        <v>Frota</v>
      </c>
      <c r="B174" s="14">
        <v>15</v>
      </c>
      <c r="C174" s="14" t="str">
        <f>IFERROR(VLOOKUP($E174,Fornecedores!$A:$E,4,0),"")</f>
        <v>Lavagem</v>
      </c>
      <c r="D174" s="14" t="str">
        <f>IFERROR(VLOOKUP($E174,Fornecedores!$A:$E,5,0),"")</f>
        <v>Lavagem</v>
      </c>
      <c r="E174" s="8" t="s">
        <v>85</v>
      </c>
      <c r="F174" s="14" t="s">
        <v>665</v>
      </c>
      <c r="G174" s="8" t="s">
        <v>633</v>
      </c>
      <c r="H174" s="9">
        <v>87</v>
      </c>
      <c r="I174" s="21">
        <v>10200</v>
      </c>
      <c r="J174" s="11">
        <v>46147</v>
      </c>
      <c r="K174" s="11">
        <v>46153</v>
      </c>
      <c r="L174" s="8" t="s">
        <v>282</v>
      </c>
      <c r="M174" s="14" t="s">
        <v>234</v>
      </c>
      <c r="N174" s="16">
        <v>1556</v>
      </c>
      <c r="O174" s="14" t="s">
        <v>241</v>
      </c>
      <c r="P174" s="14"/>
      <c r="Q174" s="20">
        <f t="shared" si="2"/>
        <v>0</v>
      </c>
      <c r="S174" s="20">
        <f>SUMIFS('Doc''s Pagos | Rodopar 108'!$J:$J,'Doc''s Pagos | Rodopar 108'!$A:$A,$B174&amp;$E174&amp;$F174&amp;$J174,'Doc''s Pagos | Rodopar 108'!$B:$B,S$1)+SUMIFS('Doc Há Pagar | Rodopar 1015'!$J:$J,'Doc Há Pagar | Rodopar 1015'!$A:$A,$B174&amp;$E174&amp;$F174,'Doc Há Pagar | Rodopar 1015'!$B:$B,S$1)</f>
        <v>0</v>
      </c>
      <c r="T174" s="20">
        <f>SUMIFS('Doc''s Pagos | Rodopar 108'!$J:$J,'Doc''s Pagos | Rodopar 108'!$A:$A,$B174&amp;$E174&amp;$F174&amp;$J174,'Doc''s Pagos | Rodopar 108'!$B:$B,T$1)+SUMIFS('Doc Há Pagar | Rodopar 1015'!$J:$J,'Doc Há Pagar | Rodopar 1015'!$A:$A,$B174&amp;$E174&amp;$F174,'Doc Há Pagar | Rodopar 1015'!$B:$B,T$1)</f>
        <v>0</v>
      </c>
      <c r="U174" s="20">
        <f>SUMIFS('Doc''s Pagos | Rodopar 108'!$J:$J,'Doc''s Pagos | Rodopar 108'!$A:$A,$B174&amp;$E174&amp;$F174&amp;$J174,'Doc''s Pagos | Rodopar 108'!$B:$B,U$1)+SUMIFS('Doc Há Pagar | Rodopar 1015'!$J:$J,'Doc Há Pagar | Rodopar 1015'!$A:$A,$B174&amp;$E174&amp;$F174,'Doc Há Pagar | Rodopar 1015'!$B:$B,U$1)</f>
        <v>0</v>
      </c>
      <c r="V174" s="20">
        <f>SUMIFS('Doc''s Pagos | Rodopar 108'!$J:$J,'Doc''s Pagos | Rodopar 108'!$A:$A,$B174&amp;$E174&amp;$F174&amp;$J174,'Doc''s Pagos | Rodopar 108'!$B:$B,V$1)+SUMIFS('Doc Há Pagar | Rodopar 1015'!$J:$J,'Doc Há Pagar | Rodopar 1015'!$A:$A,$B174&amp;$E174&amp;$F174,'Doc Há Pagar | Rodopar 1015'!$B:$B,V$1)</f>
        <v>0</v>
      </c>
      <c r="W174" s="20">
        <f>SUMIFS('Doc''s Pagos | Rodopar 108'!$J:$J,'Doc''s Pagos | Rodopar 108'!$A:$A,$B174&amp;$E174&amp;$F174&amp;$J174,'Doc''s Pagos | Rodopar 108'!$B:$B,W$1)+SUMIFS('Doc Há Pagar | Rodopar 1015'!$J:$J,'Doc Há Pagar | Rodopar 1015'!$A:$A,$B174&amp;$E174&amp;$F174,'Doc Há Pagar | Rodopar 1015'!$B:$B,W$1)</f>
        <v>0</v>
      </c>
      <c r="X174" s="20">
        <f>SUMIFS('Doc''s Pagos | Rodopar 108'!$J:$J,'Doc''s Pagos | Rodopar 108'!$A:$A,$B174&amp;$E174&amp;$F174&amp;$J174,'Doc''s Pagos | Rodopar 108'!$B:$B,X$1)+SUMIFS('Doc Há Pagar | Rodopar 1015'!$J:$J,'Doc Há Pagar | Rodopar 1015'!$A:$A,$B174&amp;$E174&amp;$F174,'Doc Há Pagar | Rodopar 1015'!$B:$B,X$1)</f>
        <v>10200</v>
      </c>
      <c r="Y174" s="20">
        <f>SUMIFS('Doc''s Pagos | Rodopar 108'!$J:$J,'Doc''s Pagos | Rodopar 108'!$A:$A,$B174&amp;$E174&amp;$F174&amp;$J174,'Doc''s Pagos | Rodopar 108'!$B:$B,Y$1)+SUMIFS('Doc Há Pagar | Rodopar 1015'!$J:$J,'Doc Há Pagar | Rodopar 1015'!$A:$A,$B174&amp;$E174&amp;$F174,'Doc Há Pagar | Rodopar 1015'!$B:$B,Y$1)</f>
        <v>0</v>
      </c>
      <c r="Z174" s="20">
        <f>SUMIFS('Doc''s Pagos | Rodopar 108'!$J:$J,'Doc''s Pagos | Rodopar 108'!$A:$A,$B174&amp;$E174&amp;$F174&amp;$J174,'Doc''s Pagos | Rodopar 108'!$B:$B,Z$1)+SUMIFS('Doc Há Pagar | Rodopar 1015'!$J:$J,'Doc Há Pagar | Rodopar 1015'!$A:$A,$B174&amp;$E174&amp;$F174,'Doc Há Pagar | Rodopar 1015'!$B:$B,Z$1)</f>
        <v>0</v>
      </c>
      <c r="AA174" s="20">
        <f>SUMIFS('Doc''s Pagos | Rodopar 108'!$J:$J,'Doc''s Pagos | Rodopar 108'!$A:$A,$B174&amp;$E174&amp;$F174&amp;$J174,'Doc''s Pagos | Rodopar 108'!$B:$B,AA$1)+SUMIFS('Doc Há Pagar | Rodopar 1015'!$J:$J,'Doc Há Pagar | Rodopar 1015'!$A:$A,$B174&amp;$E174&amp;$F174,'Doc Há Pagar | Rodopar 1015'!$B:$B,AA$1)</f>
        <v>0</v>
      </c>
      <c r="AB174" s="20">
        <f>SUMIFS('Doc''s Pagos | Rodopar 108'!$J:$J,'Doc''s Pagos | Rodopar 108'!$A:$A,$B174&amp;$E174&amp;$F174&amp;$J174,'Doc''s Pagos | Rodopar 108'!$B:$B,AB$1)+SUMIFS('Doc Há Pagar | Rodopar 1015'!$J:$J,'Doc Há Pagar | Rodopar 1015'!$A:$A,$B174&amp;$E174&amp;$F174,'Doc Há Pagar | Rodopar 1015'!$B:$B,AB$1)</f>
        <v>0</v>
      </c>
      <c r="AC174" s="20">
        <f>SUMIFS('Doc''s Pagos | Rodopar 108'!$J:$J,'Doc''s Pagos | Rodopar 108'!$A:$A,$B174&amp;$E174&amp;$F174&amp;$J174,'Doc''s Pagos | Rodopar 108'!$B:$B,AC$1)+SUMIFS('Doc Há Pagar | Rodopar 1015'!$J:$J,'Doc Há Pagar | Rodopar 1015'!$A:$A,$B174&amp;$E174&amp;$F174,'Doc Há Pagar | Rodopar 1015'!$B:$B,AC$1)</f>
        <v>0</v>
      </c>
      <c r="AD174" s="20">
        <f>SUMIFS('Doc''s Pagos | Rodopar 108'!$J:$J,'Doc''s Pagos | Rodopar 108'!$A:$A,$B174&amp;$E174&amp;$F174&amp;$J174,'Doc''s Pagos | Rodopar 108'!$B:$B,AD$1)+SUMIFS('Doc Há Pagar | Rodopar 1015'!$J:$J,'Doc Há Pagar | Rodopar 1015'!$A:$A,$B174&amp;$E174&amp;$F174,'Doc Há Pagar | Rodopar 1015'!$B:$B,AD$1)</f>
        <v>0</v>
      </c>
    </row>
    <row r="175" spans="1:30" x14ac:dyDescent="0.25">
      <c r="A175" s="1" t="str">
        <f>VLOOKUP($E175,Fornecedores!$A:$C,3,0)</f>
        <v>Frota</v>
      </c>
      <c r="B175" s="14">
        <v>541</v>
      </c>
      <c r="C175" s="14" t="str">
        <f>IFERROR(VLOOKUP($E175,Fornecedores!$A:$E,4,0),"")</f>
        <v>Pneus</v>
      </c>
      <c r="D175" s="14" t="str">
        <f>IFERROR(VLOOKUP($E175,Fornecedores!$A:$E,5,0),"")</f>
        <v>Serviços Gerais</v>
      </c>
      <c r="E175" s="8" t="s">
        <v>164</v>
      </c>
      <c r="F175" s="14" t="s">
        <v>665</v>
      </c>
      <c r="G175" s="8" t="s">
        <v>465</v>
      </c>
      <c r="H175" s="9">
        <v>87</v>
      </c>
      <c r="I175" s="21">
        <v>1389</v>
      </c>
      <c r="J175" s="11">
        <v>46147</v>
      </c>
      <c r="K175" s="11">
        <v>46153</v>
      </c>
      <c r="L175" s="8" t="s">
        <v>282</v>
      </c>
      <c r="M175" s="14" t="s">
        <v>234</v>
      </c>
      <c r="N175" s="16">
        <v>1556</v>
      </c>
      <c r="O175" s="14" t="s">
        <v>241</v>
      </c>
      <c r="P175" s="14"/>
      <c r="Q175" s="20">
        <f t="shared" si="2"/>
        <v>0</v>
      </c>
      <c r="S175" s="20">
        <f>SUMIFS('Doc''s Pagos | Rodopar 108'!$J:$J,'Doc''s Pagos | Rodopar 108'!$A:$A,$B175&amp;$E175&amp;$F175&amp;$J175,'Doc''s Pagos | Rodopar 108'!$B:$B,S$1)+SUMIFS('Doc Há Pagar | Rodopar 1015'!$J:$J,'Doc Há Pagar | Rodopar 1015'!$A:$A,$B175&amp;$E175&amp;$F175,'Doc Há Pagar | Rodopar 1015'!$B:$B,S$1)</f>
        <v>0</v>
      </c>
      <c r="T175" s="20">
        <f>SUMIFS('Doc''s Pagos | Rodopar 108'!$J:$J,'Doc''s Pagos | Rodopar 108'!$A:$A,$B175&amp;$E175&amp;$F175&amp;$J175,'Doc''s Pagos | Rodopar 108'!$B:$B,T$1)+SUMIFS('Doc Há Pagar | Rodopar 1015'!$J:$J,'Doc Há Pagar | Rodopar 1015'!$A:$A,$B175&amp;$E175&amp;$F175,'Doc Há Pagar | Rodopar 1015'!$B:$B,T$1)</f>
        <v>0</v>
      </c>
      <c r="U175" s="20">
        <f>SUMIFS('Doc''s Pagos | Rodopar 108'!$J:$J,'Doc''s Pagos | Rodopar 108'!$A:$A,$B175&amp;$E175&amp;$F175&amp;$J175,'Doc''s Pagos | Rodopar 108'!$B:$B,U$1)+SUMIFS('Doc Há Pagar | Rodopar 1015'!$J:$J,'Doc Há Pagar | Rodopar 1015'!$A:$A,$B175&amp;$E175&amp;$F175,'Doc Há Pagar | Rodopar 1015'!$B:$B,U$1)</f>
        <v>0</v>
      </c>
      <c r="V175" s="20">
        <f>SUMIFS('Doc''s Pagos | Rodopar 108'!$J:$J,'Doc''s Pagos | Rodopar 108'!$A:$A,$B175&amp;$E175&amp;$F175&amp;$J175,'Doc''s Pagos | Rodopar 108'!$B:$B,V$1)+SUMIFS('Doc Há Pagar | Rodopar 1015'!$J:$J,'Doc Há Pagar | Rodopar 1015'!$A:$A,$B175&amp;$E175&amp;$F175,'Doc Há Pagar | Rodopar 1015'!$B:$B,V$1)</f>
        <v>0</v>
      </c>
      <c r="W175" s="20">
        <f>SUMIFS('Doc''s Pagos | Rodopar 108'!$J:$J,'Doc''s Pagos | Rodopar 108'!$A:$A,$B175&amp;$E175&amp;$F175&amp;$J175,'Doc''s Pagos | Rodopar 108'!$B:$B,W$1)+SUMIFS('Doc Há Pagar | Rodopar 1015'!$J:$J,'Doc Há Pagar | Rodopar 1015'!$A:$A,$B175&amp;$E175&amp;$F175,'Doc Há Pagar | Rodopar 1015'!$B:$B,W$1)</f>
        <v>0</v>
      </c>
      <c r="X175" s="20">
        <f>SUMIFS('Doc''s Pagos | Rodopar 108'!$J:$J,'Doc''s Pagos | Rodopar 108'!$A:$A,$B175&amp;$E175&amp;$F175&amp;$J175,'Doc''s Pagos | Rodopar 108'!$B:$B,X$1)+SUMIFS('Doc Há Pagar | Rodopar 1015'!$J:$J,'Doc Há Pagar | Rodopar 1015'!$A:$A,$B175&amp;$E175&amp;$F175,'Doc Há Pagar | Rodopar 1015'!$B:$B,X$1)</f>
        <v>1389</v>
      </c>
      <c r="Y175" s="20">
        <f>SUMIFS('Doc''s Pagos | Rodopar 108'!$J:$J,'Doc''s Pagos | Rodopar 108'!$A:$A,$B175&amp;$E175&amp;$F175&amp;$J175,'Doc''s Pagos | Rodopar 108'!$B:$B,Y$1)+SUMIFS('Doc Há Pagar | Rodopar 1015'!$J:$J,'Doc Há Pagar | Rodopar 1015'!$A:$A,$B175&amp;$E175&amp;$F175,'Doc Há Pagar | Rodopar 1015'!$B:$B,Y$1)</f>
        <v>0</v>
      </c>
      <c r="Z175" s="20">
        <f>SUMIFS('Doc''s Pagos | Rodopar 108'!$J:$J,'Doc''s Pagos | Rodopar 108'!$A:$A,$B175&amp;$E175&amp;$F175&amp;$J175,'Doc''s Pagos | Rodopar 108'!$B:$B,Z$1)+SUMIFS('Doc Há Pagar | Rodopar 1015'!$J:$J,'Doc Há Pagar | Rodopar 1015'!$A:$A,$B175&amp;$E175&amp;$F175,'Doc Há Pagar | Rodopar 1015'!$B:$B,Z$1)</f>
        <v>0</v>
      </c>
      <c r="AA175" s="20">
        <f>SUMIFS('Doc''s Pagos | Rodopar 108'!$J:$J,'Doc''s Pagos | Rodopar 108'!$A:$A,$B175&amp;$E175&amp;$F175&amp;$J175,'Doc''s Pagos | Rodopar 108'!$B:$B,AA$1)+SUMIFS('Doc Há Pagar | Rodopar 1015'!$J:$J,'Doc Há Pagar | Rodopar 1015'!$A:$A,$B175&amp;$E175&amp;$F175,'Doc Há Pagar | Rodopar 1015'!$B:$B,AA$1)</f>
        <v>0</v>
      </c>
      <c r="AB175" s="20">
        <f>SUMIFS('Doc''s Pagos | Rodopar 108'!$J:$J,'Doc''s Pagos | Rodopar 108'!$A:$A,$B175&amp;$E175&amp;$F175&amp;$J175,'Doc''s Pagos | Rodopar 108'!$B:$B,AB$1)+SUMIFS('Doc Há Pagar | Rodopar 1015'!$J:$J,'Doc Há Pagar | Rodopar 1015'!$A:$A,$B175&amp;$E175&amp;$F175,'Doc Há Pagar | Rodopar 1015'!$B:$B,AB$1)</f>
        <v>0</v>
      </c>
      <c r="AC175" s="20">
        <f>SUMIFS('Doc''s Pagos | Rodopar 108'!$J:$J,'Doc''s Pagos | Rodopar 108'!$A:$A,$B175&amp;$E175&amp;$F175&amp;$J175,'Doc''s Pagos | Rodopar 108'!$B:$B,AC$1)+SUMIFS('Doc Há Pagar | Rodopar 1015'!$J:$J,'Doc Há Pagar | Rodopar 1015'!$A:$A,$B175&amp;$E175&amp;$F175,'Doc Há Pagar | Rodopar 1015'!$B:$B,AC$1)</f>
        <v>0</v>
      </c>
      <c r="AD175" s="20">
        <f>SUMIFS('Doc''s Pagos | Rodopar 108'!$J:$J,'Doc''s Pagos | Rodopar 108'!$A:$A,$B175&amp;$E175&amp;$F175&amp;$J175,'Doc''s Pagos | Rodopar 108'!$B:$B,AD$1)+SUMIFS('Doc Há Pagar | Rodopar 1015'!$J:$J,'Doc Há Pagar | Rodopar 1015'!$A:$A,$B175&amp;$E175&amp;$F175,'Doc Há Pagar | Rodopar 1015'!$B:$B,AD$1)</f>
        <v>0</v>
      </c>
    </row>
    <row r="176" spans="1:30" x14ac:dyDescent="0.25">
      <c r="A176" s="1" t="str">
        <f>VLOOKUP($E176,Fornecedores!$A:$C,3,0)</f>
        <v>Frota</v>
      </c>
      <c r="B176" s="14">
        <v>1503</v>
      </c>
      <c r="C176" s="14" t="str">
        <f>IFERROR(VLOOKUP($E176,Fornecedores!$A:$E,4,0),"")</f>
        <v>MTSR</v>
      </c>
      <c r="D176" s="14" t="str">
        <f>IFERROR(VLOOKUP($E176,Fornecedores!$A:$E,5,0),"")</f>
        <v>Tecnologia</v>
      </c>
      <c r="E176" s="8" t="s">
        <v>24</v>
      </c>
      <c r="F176" s="14" t="s">
        <v>232</v>
      </c>
      <c r="G176" s="8" t="s">
        <v>238</v>
      </c>
      <c r="H176" s="9">
        <v>87</v>
      </c>
      <c r="I176" s="21">
        <v>59176.89</v>
      </c>
      <c r="J176" s="11">
        <v>46148</v>
      </c>
      <c r="K176" s="11">
        <v>46153</v>
      </c>
      <c r="L176" s="8" t="s">
        <v>239</v>
      </c>
      <c r="M176" s="14" t="s">
        <v>240</v>
      </c>
      <c r="N176" s="16">
        <v>2556</v>
      </c>
      <c r="O176" s="14" t="s">
        <v>241</v>
      </c>
      <c r="P176" s="14"/>
      <c r="Q176" s="20">
        <f t="shared" si="2"/>
        <v>0</v>
      </c>
      <c r="S176" s="20">
        <f>SUMIFS('Doc''s Pagos | Rodopar 108'!$J:$J,'Doc''s Pagos | Rodopar 108'!$A:$A,$B176&amp;$E176&amp;$F176&amp;$J176,'Doc''s Pagos | Rodopar 108'!$B:$B,S$1)+SUMIFS('Doc Há Pagar | Rodopar 1015'!$J:$J,'Doc Há Pagar | Rodopar 1015'!$A:$A,$B176&amp;$E176&amp;$F176,'Doc Há Pagar | Rodopar 1015'!$B:$B,S$1)</f>
        <v>0</v>
      </c>
      <c r="T176" s="20">
        <f>SUMIFS('Doc''s Pagos | Rodopar 108'!$J:$J,'Doc''s Pagos | Rodopar 108'!$A:$A,$B176&amp;$E176&amp;$F176&amp;$J176,'Doc''s Pagos | Rodopar 108'!$B:$B,T$1)+SUMIFS('Doc Há Pagar | Rodopar 1015'!$J:$J,'Doc Há Pagar | Rodopar 1015'!$A:$A,$B176&amp;$E176&amp;$F176,'Doc Há Pagar | Rodopar 1015'!$B:$B,T$1)</f>
        <v>0</v>
      </c>
      <c r="U176" s="20">
        <f>SUMIFS('Doc''s Pagos | Rodopar 108'!$J:$J,'Doc''s Pagos | Rodopar 108'!$A:$A,$B176&amp;$E176&amp;$F176&amp;$J176,'Doc''s Pagos | Rodopar 108'!$B:$B,U$1)+SUMIFS('Doc Há Pagar | Rodopar 1015'!$J:$J,'Doc Há Pagar | Rodopar 1015'!$A:$A,$B176&amp;$E176&amp;$F176,'Doc Há Pagar | Rodopar 1015'!$B:$B,U$1)</f>
        <v>0</v>
      </c>
      <c r="V176" s="20">
        <f>SUMIFS('Doc''s Pagos | Rodopar 108'!$J:$J,'Doc''s Pagos | Rodopar 108'!$A:$A,$B176&amp;$E176&amp;$F176&amp;$J176,'Doc''s Pagos | Rodopar 108'!$B:$B,V$1)+SUMIFS('Doc Há Pagar | Rodopar 1015'!$J:$J,'Doc Há Pagar | Rodopar 1015'!$A:$A,$B176&amp;$E176&amp;$F176,'Doc Há Pagar | Rodopar 1015'!$B:$B,V$1)</f>
        <v>0</v>
      </c>
      <c r="W176" s="20">
        <f>SUMIFS('Doc''s Pagos | Rodopar 108'!$J:$J,'Doc''s Pagos | Rodopar 108'!$A:$A,$B176&amp;$E176&amp;$F176&amp;$J176,'Doc''s Pagos | Rodopar 108'!$B:$B,W$1)+SUMIFS('Doc Há Pagar | Rodopar 1015'!$J:$J,'Doc Há Pagar | Rodopar 1015'!$A:$A,$B176&amp;$E176&amp;$F176,'Doc Há Pagar | Rodopar 1015'!$B:$B,W$1)</f>
        <v>0</v>
      </c>
      <c r="X176" s="20">
        <f>SUMIFS('Doc''s Pagos | Rodopar 108'!$J:$J,'Doc''s Pagos | Rodopar 108'!$A:$A,$B176&amp;$E176&amp;$F176&amp;$J176,'Doc''s Pagos | Rodopar 108'!$B:$B,X$1)+SUMIFS('Doc Há Pagar | Rodopar 1015'!$J:$J,'Doc Há Pagar | Rodopar 1015'!$A:$A,$B176&amp;$E176&amp;$F176,'Doc Há Pagar | Rodopar 1015'!$B:$B,X$1)</f>
        <v>59176.89</v>
      </c>
      <c r="Y176" s="20">
        <f>SUMIFS('Doc''s Pagos | Rodopar 108'!$J:$J,'Doc''s Pagos | Rodopar 108'!$A:$A,$B176&amp;$E176&amp;$F176&amp;$J176,'Doc''s Pagos | Rodopar 108'!$B:$B,Y$1)+SUMIFS('Doc Há Pagar | Rodopar 1015'!$J:$J,'Doc Há Pagar | Rodopar 1015'!$A:$A,$B176&amp;$E176&amp;$F176,'Doc Há Pagar | Rodopar 1015'!$B:$B,Y$1)</f>
        <v>0</v>
      </c>
      <c r="Z176" s="20">
        <f>SUMIFS('Doc''s Pagos | Rodopar 108'!$J:$J,'Doc''s Pagos | Rodopar 108'!$A:$A,$B176&amp;$E176&amp;$F176&amp;$J176,'Doc''s Pagos | Rodopar 108'!$B:$B,Z$1)+SUMIFS('Doc Há Pagar | Rodopar 1015'!$J:$J,'Doc Há Pagar | Rodopar 1015'!$A:$A,$B176&amp;$E176&amp;$F176,'Doc Há Pagar | Rodopar 1015'!$B:$B,Z$1)</f>
        <v>0</v>
      </c>
      <c r="AA176" s="20">
        <f>SUMIFS('Doc''s Pagos | Rodopar 108'!$J:$J,'Doc''s Pagos | Rodopar 108'!$A:$A,$B176&amp;$E176&amp;$F176&amp;$J176,'Doc''s Pagos | Rodopar 108'!$B:$B,AA$1)+SUMIFS('Doc Há Pagar | Rodopar 1015'!$J:$J,'Doc Há Pagar | Rodopar 1015'!$A:$A,$B176&amp;$E176&amp;$F176,'Doc Há Pagar | Rodopar 1015'!$B:$B,AA$1)</f>
        <v>0</v>
      </c>
      <c r="AB176" s="20">
        <f>SUMIFS('Doc''s Pagos | Rodopar 108'!$J:$J,'Doc''s Pagos | Rodopar 108'!$A:$A,$B176&amp;$E176&amp;$F176&amp;$J176,'Doc''s Pagos | Rodopar 108'!$B:$B,AB$1)+SUMIFS('Doc Há Pagar | Rodopar 1015'!$J:$J,'Doc Há Pagar | Rodopar 1015'!$A:$A,$B176&amp;$E176&amp;$F176,'Doc Há Pagar | Rodopar 1015'!$B:$B,AB$1)</f>
        <v>0</v>
      </c>
      <c r="AC176" s="20">
        <f>SUMIFS('Doc''s Pagos | Rodopar 108'!$J:$J,'Doc''s Pagos | Rodopar 108'!$A:$A,$B176&amp;$E176&amp;$F176&amp;$J176,'Doc''s Pagos | Rodopar 108'!$B:$B,AC$1)+SUMIFS('Doc Há Pagar | Rodopar 1015'!$J:$J,'Doc Há Pagar | Rodopar 1015'!$A:$A,$B176&amp;$E176&amp;$F176,'Doc Há Pagar | Rodopar 1015'!$B:$B,AC$1)</f>
        <v>0</v>
      </c>
      <c r="AD176" s="20">
        <f>SUMIFS('Doc''s Pagos | Rodopar 108'!$J:$J,'Doc''s Pagos | Rodopar 108'!$A:$A,$B176&amp;$E176&amp;$F176&amp;$J176,'Doc''s Pagos | Rodopar 108'!$B:$B,AD$1)+SUMIFS('Doc Há Pagar | Rodopar 1015'!$J:$J,'Doc Há Pagar | Rodopar 1015'!$A:$A,$B176&amp;$E176&amp;$F176,'Doc Há Pagar | Rodopar 1015'!$B:$B,AD$1)</f>
        <v>0</v>
      </c>
    </row>
    <row r="177" spans="1:30" x14ac:dyDescent="0.25">
      <c r="A177" s="1" t="str">
        <f>VLOOKUP($E177,Fornecedores!$A:$C,3,0)</f>
        <v>Frota</v>
      </c>
      <c r="B177" s="14">
        <v>6308</v>
      </c>
      <c r="C177" s="14" t="str">
        <f>IFERROR(VLOOKUP($E177,Fornecedores!$A:$E,4,0),"")</f>
        <v>Manutenção</v>
      </c>
      <c r="D177" s="14" t="str">
        <f>IFERROR(VLOOKUP($E177,Fornecedores!$A:$E,5,0),"")</f>
        <v>Peças E Serviços</v>
      </c>
      <c r="E177" s="8" t="s">
        <v>111</v>
      </c>
      <c r="F177" s="14" t="s">
        <v>380</v>
      </c>
      <c r="G177" s="8" t="s">
        <v>563</v>
      </c>
      <c r="H177" s="9">
        <v>87</v>
      </c>
      <c r="I177" s="21">
        <v>335</v>
      </c>
      <c r="J177" s="11">
        <v>46148</v>
      </c>
      <c r="K177" s="11">
        <v>46153</v>
      </c>
      <c r="L177" s="8" t="s">
        <v>282</v>
      </c>
      <c r="M177" s="14" t="s">
        <v>234</v>
      </c>
      <c r="N177" s="16">
        <v>1556</v>
      </c>
      <c r="O177" s="14" t="s">
        <v>241</v>
      </c>
      <c r="P177" s="14"/>
      <c r="Q177" s="20">
        <f t="shared" si="2"/>
        <v>0</v>
      </c>
      <c r="S177" s="20">
        <f>SUMIFS('Doc''s Pagos | Rodopar 108'!$J:$J,'Doc''s Pagos | Rodopar 108'!$A:$A,$B177&amp;$E177&amp;$F177&amp;$J177,'Doc''s Pagos | Rodopar 108'!$B:$B,S$1)+SUMIFS('Doc Há Pagar | Rodopar 1015'!$J:$J,'Doc Há Pagar | Rodopar 1015'!$A:$A,$B177&amp;$E177&amp;$F177,'Doc Há Pagar | Rodopar 1015'!$B:$B,S$1)</f>
        <v>0</v>
      </c>
      <c r="T177" s="20">
        <f>SUMIFS('Doc''s Pagos | Rodopar 108'!$J:$J,'Doc''s Pagos | Rodopar 108'!$A:$A,$B177&amp;$E177&amp;$F177&amp;$J177,'Doc''s Pagos | Rodopar 108'!$B:$B,T$1)+SUMIFS('Doc Há Pagar | Rodopar 1015'!$J:$J,'Doc Há Pagar | Rodopar 1015'!$A:$A,$B177&amp;$E177&amp;$F177,'Doc Há Pagar | Rodopar 1015'!$B:$B,T$1)</f>
        <v>0</v>
      </c>
      <c r="U177" s="20">
        <f>SUMIFS('Doc''s Pagos | Rodopar 108'!$J:$J,'Doc''s Pagos | Rodopar 108'!$A:$A,$B177&amp;$E177&amp;$F177&amp;$J177,'Doc''s Pagos | Rodopar 108'!$B:$B,U$1)+SUMIFS('Doc Há Pagar | Rodopar 1015'!$J:$J,'Doc Há Pagar | Rodopar 1015'!$A:$A,$B177&amp;$E177&amp;$F177,'Doc Há Pagar | Rodopar 1015'!$B:$B,U$1)</f>
        <v>0</v>
      </c>
      <c r="V177" s="20">
        <f>SUMIFS('Doc''s Pagos | Rodopar 108'!$J:$J,'Doc''s Pagos | Rodopar 108'!$A:$A,$B177&amp;$E177&amp;$F177&amp;$J177,'Doc''s Pagos | Rodopar 108'!$B:$B,V$1)+SUMIFS('Doc Há Pagar | Rodopar 1015'!$J:$J,'Doc Há Pagar | Rodopar 1015'!$A:$A,$B177&amp;$E177&amp;$F177,'Doc Há Pagar | Rodopar 1015'!$B:$B,V$1)</f>
        <v>0</v>
      </c>
      <c r="W177" s="20">
        <f>SUMIFS('Doc''s Pagos | Rodopar 108'!$J:$J,'Doc''s Pagos | Rodopar 108'!$A:$A,$B177&amp;$E177&amp;$F177&amp;$J177,'Doc''s Pagos | Rodopar 108'!$B:$B,W$1)+SUMIFS('Doc Há Pagar | Rodopar 1015'!$J:$J,'Doc Há Pagar | Rodopar 1015'!$A:$A,$B177&amp;$E177&amp;$F177,'Doc Há Pagar | Rodopar 1015'!$B:$B,W$1)</f>
        <v>0</v>
      </c>
      <c r="X177" s="20">
        <f>SUMIFS('Doc''s Pagos | Rodopar 108'!$J:$J,'Doc''s Pagos | Rodopar 108'!$A:$A,$B177&amp;$E177&amp;$F177&amp;$J177,'Doc''s Pagos | Rodopar 108'!$B:$B,X$1)+SUMIFS('Doc Há Pagar | Rodopar 1015'!$J:$J,'Doc Há Pagar | Rodopar 1015'!$A:$A,$B177&amp;$E177&amp;$F177,'Doc Há Pagar | Rodopar 1015'!$B:$B,X$1)</f>
        <v>335</v>
      </c>
      <c r="Y177" s="20">
        <f>SUMIFS('Doc''s Pagos | Rodopar 108'!$J:$J,'Doc''s Pagos | Rodopar 108'!$A:$A,$B177&amp;$E177&amp;$F177&amp;$J177,'Doc''s Pagos | Rodopar 108'!$B:$B,Y$1)+SUMIFS('Doc Há Pagar | Rodopar 1015'!$J:$J,'Doc Há Pagar | Rodopar 1015'!$A:$A,$B177&amp;$E177&amp;$F177,'Doc Há Pagar | Rodopar 1015'!$B:$B,Y$1)</f>
        <v>0</v>
      </c>
      <c r="Z177" s="20">
        <f>SUMIFS('Doc''s Pagos | Rodopar 108'!$J:$J,'Doc''s Pagos | Rodopar 108'!$A:$A,$B177&amp;$E177&amp;$F177&amp;$J177,'Doc''s Pagos | Rodopar 108'!$B:$B,Z$1)+SUMIFS('Doc Há Pagar | Rodopar 1015'!$J:$J,'Doc Há Pagar | Rodopar 1015'!$A:$A,$B177&amp;$E177&amp;$F177,'Doc Há Pagar | Rodopar 1015'!$B:$B,Z$1)</f>
        <v>0</v>
      </c>
      <c r="AA177" s="20">
        <f>SUMIFS('Doc''s Pagos | Rodopar 108'!$J:$J,'Doc''s Pagos | Rodopar 108'!$A:$A,$B177&amp;$E177&amp;$F177&amp;$J177,'Doc''s Pagos | Rodopar 108'!$B:$B,AA$1)+SUMIFS('Doc Há Pagar | Rodopar 1015'!$J:$J,'Doc Há Pagar | Rodopar 1015'!$A:$A,$B177&amp;$E177&amp;$F177,'Doc Há Pagar | Rodopar 1015'!$B:$B,AA$1)</f>
        <v>0</v>
      </c>
      <c r="AB177" s="20">
        <f>SUMIFS('Doc''s Pagos | Rodopar 108'!$J:$J,'Doc''s Pagos | Rodopar 108'!$A:$A,$B177&amp;$E177&amp;$F177&amp;$J177,'Doc''s Pagos | Rodopar 108'!$B:$B,AB$1)+SUMIFS('Doc Há Pagar | Rodopar 1015'!$J:$J,'Doc Há Pagar | Rodopar 1015'!$A:$A,$B177&amp;$E177&amp;$F177,'Doc Há Pagar | Rodopar 1015'!$B:$B,AB$1)</f>
        <v>0</v>
      </c>
      <c r="AC177" s="20">
        <f>SUMIFS('Doc''s Pagos | Rodopar 108'!$J:$J,'Doc''s Pagos | Rodopar 108'!$A:$A,$B177&amp;$E177&amp;$F177&amp;$J177,'Doc''s Pagos | Rodopar 108'!$B:$B,AC$1)+SUMIFS('Doc Há Pagar | Rodopar 1015'!$J:$J,'Doc Há Pagar | Rodopar 1015'!$A:$A,$B177&amp;$E177&amp;$F177,'Doc Há Pagar | Rodopar 1015'!$B:$B,AC$1)</f>
        <v>0</v>
      </c>
      <c r="AD177" s="20">
        <f>SUMIFS('Doc''s Pagos | Rodopar 108'!$J:$J,'Doc''s Pagos | Rodopar 108'!$A:$A,$B177&amp;$E177&amp;$F177&amp;$J177,'Doc''s Pagos | Rodopar 108'!$B:$B,AD$1)+SUMIFS('Doc Há Pagar | Rodopar 1015'!$J:$J,'Doc Há Pagar | Rodopar 1015'!$A:$A,$B177&amp;$E177&amp;$F177,'Doc Há Pagar | Rodopar 1015'!$B:$B,AD$1)</f>
        <v>0</v>
      </c>
    </row>
    <row r="178" spans="1:30" x14ac:dyDescent="0.25">
      <c r="A178" s="1" t="str">
        <f>VLOOKUP($E178,Fornecedores!$A:$C,3,0)</f>
        <v>Frota</v>
      </c>
      <c r="B178" s="14">
        <v>20</v>
      </c>
      <c r="C178" s="14" t="str">
        <f>IFERROR(VLOOKUP($E178,Fornecedores!$A:$E,4,0),"")</f>
        <v>Lavagem</v>
      </c>
      <c r="D178" s="14" t="str">
        <f>IFERROR(VLOOKUP($E178,Fornecedores!$A:$E,5,0),"")</f>
        <v>Lavagem</v>
      </c>
      <c r="E178" s="8" t="s">
        <v>18</v>
      </c>
      <c r="F178" s="14" t="s">
        <v>665</v>
      </c>
      <c r="G178" s="8" t="s">
        <v>650</v>
      </c>
      <c r="H178" s="9">
        <v>87</v>
      </c>
      <c r="I178" s="21">
        <v>350</v>
      </c>
      <c r="J178" s="11">
        <v>46148</v>
      </c>
      <c r="K178" s="11">
        <v>46153</v>
      </c>
      <c r="L178" s="8" t="s">
        <v>501</v>
      </c>
      <c r="M178" s="14" t="s">
        <v>234</v>
      </c>
      <c r="N178" s="16">
        <v>1556</v>
      </c>
      <c r="O178" s="14" t="s">
        <v>241</v>
      </c>
      <c r="P178" s="14"/>
      <c r="Q178" s="20">
        <f t="shared" si="2"/>
        <v>0</v>
      </c>
      <c r="S178" s="20">
        <f>SUMIFS('Doc''s Pagos | Rodopar 108'!$J:$J,'Doc''s Pagos | Rodopar 108'!$A:$A,$B178&amp;$E178&amp;$F178&amp;$J178,'Doc''s Pagos | Rodopar 108'!$B:$B,S$1)+SUMIFS('Doc Há Pagar | Rodopar 1015'!$J:$J,'Doc Há Pagar | Rodopar 1015'!$A:$A,$B178&amp;$E178&amp;$F178,'Doc Há Pagar | Rodopar 1015'!$B:$B,S$1)</f>
        <v>0</v>
      </c>
      <c r="T178" s="20">
        <f>SUMIFS('Doc''s Pagos | Rodopar 108'!$J:$J,'Doc''s Pagos | Rodopar 108'!$A:$A,$B178&amp;$E178&amp;$F178&amp;$J178,'Doc''s Pagos | Rodopar 108'!$B:$B,T$1)+SUMIFS('Doc Há Pagar | Rodopar 1015'!$J:$J,'Doc Há Pagar | Rodopar 1015'!$A:$A,$B178&amp;$E178&amp;$F178,'Doc Há Pagar | Rodopar 1015'!$B:$B,T$1)</f>
        <v>0</v>
      </c>
      <c r="U178" s="20">
        <f>SUMIFS('Doc''s Pagos | Rodopar 108'!$J:$J,'Doc''s Pagos | Rodopar 108'!$A:$A,$B178&amp;$E178&amp;$F178&amp;$J178,'Doc''s Pagos | Rodopar 108'!$B:$B,U$1)+SUMIFS('Doc Há Pagar | Rodopar 1015'!$J:$J,'Doc Há Pagar | Rodopar 1015'!$A:$A,$B178&amp;$E178&amp;$F178,'Doc Há Pagar | Rodopar 1015'!$B:$B,U$1)</f>
        <v>0</v>
      </c>
      <c r="V178" s="20">
        <f>SUMIFS('Doc''s Pagos | Rodopar 108'!$J:$J,'Doc''s Pagos | Rodopar 108'!$A:$A,$B178&amp;$E178&amp;$F178&amp;$J178,'Doc''s Pagos | Rodopar 108'!$B:$B,V$1)+SUMIFS('Doc Há Pagar | Rodopar 1015'!$J:$J,'Doc Há Pagar | Rodopar 1015'!$A:$A,$B178&amp;$E178&amp;$F178,'Doc Há Pagar | Rodopar 1015'!$B:$B,V$1)</f>
        <v>0</v>
      </c>
      <c r="W178" s="20">
        <f>SUMIFS('Doc''s Pagos | Rodopar 108'!$J:$J,'Doc''s Pagos | Rodopar 108'!$A:$A,$B178&amp;$E178&amp;$F178&amp;$J178,'Doc''s Pagos | Rodopar 108'!$B:$B,W$1)+SUMIFS('Doc Há Pagar | Rodopar 1015'!$J:$J,'Doc Há Pagar | Rodopar 1015'!$A:$A,$B178&amp;$E178&amp;$F178,'Doc Há Pagar | Rodopar 1015'!$B:$B,W$1)</f>
        <v>0</v>
      </c>
      <c r="X178" s="20">
        <f>SUMIFS('Doc''s Pagos | Rodopar 108'!$J:$J,'Doc''s Pagos | Rodopar 108'!$A:$A,$B178&amp;$E178&amp;$F178&amp;$J178,'Doc''s Pagos | Rodopar 108'!$B:$B,X$1)+SUMIFS('Doc Há Pagar | Rodopar 1015'!$J:$J,'Doc Há Pagar | Rodopar 1015'!$A:$A,$B178&amp;$E178&amp;$F178,'Doc Há Pagar | Rodopar 1015'!$B:$B,X$1)</f>
        <v>350</v>
      </c>
      <c r="Y178" s="20">
        <f>SUMIFS('Doc''s Pagos | Rodopar 108'!$J:$J,'Doc''s Pagos | Rodopar 108'!$A:$A,$B178&amp;$E178&amp;$F178&amp;$J178,'Doc''s Pagos | Rodopar 108'!$B:$B,Y$1)+SUMIFS('Doc Há Pagar | Rodopar 1015'!$J:$J,'Doc Há Pagar | Rodopar 1015'!$A:$A,$B178&amp;$E178&amp;$F178,'Doc Há Pagar | Rodopar 1015'!$B:$B,Y$1)</f>
        <v>0</v>
      </c>
      <c r="Z178" s="20">
        <f>SUMIFS('Doc''s Pagos | Rodopar 108'!$J:$J,'Doc''s Pagos | Rodopar 108'!$A:$A,$B178&amp;$E178&amp;$F178&amp;$J178,'Doc''s Pagos | Rodopar 108'!$B:$B,Z$1)+SUMIFS('Doc Há Pagar | Rodopar 1015'!$J:$J,'Doc Há Pagar | Rodopar 1015'!$A:$A,$B178&amp;$E178&amp;$F178,'Doc Há Pagar | Rodopar 1015'!$B:$B,Z$1)</f>
        <v>0</v>
      </c>
      <c r="AA178" s="20">
        <f>SUMIFS('Doc''s Pagos | Rodopar 108'!$J:$J,'Doc''s Pagos | Rodopar 108'!$A:$A,$B178&amp;$E178&amp;$F178&amp;$J178,'Doc''s Pagos | Rodopar 108'!$B:$B,AA$1)+SUMIFS('Doc Há Pagar | Rodopar 1015'!$J:$J,'Doc Há Pagar | Rodopar 1015'!$A:$A,$B178&amp;$E178&amp;$F178,'Doc Há Pagar | Rodopar 1015'!$B:$B,AA$1)</f>
        <v>0</v>
      </c>
      <c r="AB178" s="20">
        <f>SUMIFS('Doc''s Pagos | Rodopar 108'!$J:$J,'Doc''s Pagos | Rodopar 108'!$A:$A,$B178&amp;$E178&amp;$F178&amp;$J178,'Doc''s Pagos | Rodopar 108'!$B:$B,AB$1)+SUMIFS('Doc Há Pagar | Rodopar 1015'!$J:$J,'Doc Há Pagar | Rodopar 1015'!$A:$A,$B178&amp;$E178&amp;$F178,'Doc Há Pagar | Rodopar 1015'!$B:$B,AB$1)</f>
        <v>0</v>
      </c>
      <c r="AC178" s="20">
        <f>SUMIFS('Doc''s Pagos | Rodopar 108'!$J:$J,'Doc''s Pagos | Rodopar 108'!$A:$A,$B178&amp;$E178&amp;$F178&amp;$J178,'Doc''s Pagos | Rodopar 108'!$B:$B,AC$1)+SUMIFS('Doc Há Pagar | Rodopar 1015'!$J:$J,'Doc Há Pagar | Rodopar 1015'!$A:$A,$B178&amp;$E178&amp;$F178,'Doc Há Pagar | Rodopar 1015'!$B:$B,AC$1)</f>
        <v>0</v>
      </c>
      <c r="AD178" s="20">
        <f>SUMIFS('Doc''s Pagos | Rodopar 108'!$J:$J,'Doc''s Pagos | Rodopar 108'!$A:$A,$B178&amp;$E178&amp;$F178&amp;$J178,'Doc''s Pagos | Rodopar 108'!$B:$B,AD$1)+SUMIFS('Doc Há Pagar | Rodopar 1015'!$J:$J,'Doc Há Pagar | Rodopar 1015'!$A:$A,$B178&amp;$E178&amp;$F178,'Doc Há Pagar | Rodopar 1015'!$B:$B,AD$1)</f>
        <v>0</v>
      </c>
    </row>
    <row r="179" spans="1:30" x14ac:dyDescent="0.25">
      <c r="A179" s="1" t="str">
        <f>VLOOKUP($E179,Fornecedores!$A:$C,3,0)</f>
        <v>Frota</v>
      </c>
      <c r="B179" s="14">
        <v>3235</v>
      </c>
      <c r="C179" s="14" t="str">
        <f>IFERROR(VLOOKUP($E179,Fornecedores!$A:$E,4,0),"")</f>
        <v>Pneus</v>
      </c>
      <c r="D179" s="14" t="str">
        <f>IFERROR(VLOOKUP($E179,Fornecedores!$A:$E,5,0),"")</f>
        <v>Tecnologia</v>
      </c>
      <c r="E179" s="8" t="s">
        <v>145</v>
      </c>
      <c r="F179" s="14" t="s">
        <v>665</v>
      </c>
      <c r="G179" s="8" t="s">
        <v>644</v>
      </c>
      <c r="H179" s="9">
        <v>87</v>
      </c>
      <c r="I179" s="21">
        <v>936.1</v>
      </c>
      <c r="J179" s="11">
        <v>46148</v>
      </c>
      <c r="K179" s="11">
        <v>46154</v>
      </c>
      <c r="L179" s="8" t="s">
        <v>339</v>
      </c>
      <c r="M179" s="14" t="s">
        <v>263</v>
      </c>
      <c r="N179" s="16">
        <v>2949</v>
      </c>
      <c r="O179" s="14" t="s">
        <v>410</v>
      </c>
      <c r="P179" s="14"/>
      <c r="Q179" s="20">
        <f t="shared" si="2"/>
        <v>0</v>
      </c>
      <c r="S179" s="20">
        <f>SUMIFS('Doc''s Pagos | Rodopar 108'!$J:$J,'Doc''s Pagos | Rodopar 108'!$A:$A,$B179&amp;$E179&amp;$F179&amp;$J179,'Doc''s Pagos | Rodopar 108'!$B:$B,S$1)+SUMIFS('Doc Há Pagar | Rodopar 1015'!$J:$J,'Doc Há Pagar | Rodopar 1015'!$A:$A,$B179&amp;$E179&amp;$F179,'Doc Há Pagar | Rodopar 1015'!$B:$B,S$1)</f>
        <v>0</v>
      </c>
      <c r="T179" s="20">
        <f>SUMIFS('Doc''s Pagos | Rodopar 108'!$J:$J,'Doc''s Pagos | Rodopar 108'!$A:$A,$B179&amp;$E179&amp;$F179&amp;$J179,'Doc''s Pagos | Rodopar 108'!$B:$B,T$1)+SUMIFS('Doc Há Pagar | Rodopar 1015'!$J:$J,'Doc Há Pagar | Rodopar 1015'!$A:$A,$B179&amp;$E179&amp;$F179,'Doc Há Pagar | Rodopar 1015'!$B:$B,T$1)</f>
        <v>0</v>
      </c>
      <c r="U179" s="20">
        <f>SUMIFS('Doc''s Pagos | Rodopar 108'!$J:$J,'Doc''s Pagos | Rodopar 108'!$A:$A,$B179&amp;$E179&amp;$F179&amp;$J179,'Doc''s Pagos | Rodopar 108'!$B:$B,U$1)+SUMIFS('Doc Há Pagar | Rodopar 1015'!$J:$J,'Doc Há Pagar | Rodopar 1015'!$A:$A,$B179&amp;$E179&amp;$F179,'Doc Há Pagar | Rodopar 1015'!$B:$B,U$1)</f>
        <v>0</v>
      </c>
      <c r="V179" s="20">
        <f>SUMIFS('Doc''s Pagos | Rodopar 108'!$J:$J,'Doc''s Pagos | Rodopar 108'!$A:$A,$B179&amp;$E179&amp;$F179&amp;$J179,'Doc''s Pagos | Rodopar 108'!$B:$B,V$1)+SUMIFS('Doc Há Pagar | Rodopar 1015'!$J:$J,'Doc Há Pagar | Rodopar 1015'!$A:$A,$B179&amp;$E179&amp;$F179,'Doc Há Pagar | Rodopar 1015'!$B:$B,V$1)</f>
        <v>0</v>
      </c>
      <c r="W179" s="20">
        <f>SUMIFS('Doc''s Pagos | Rodopar 108'!$J:$J,'Doc''s Pagos | Rodopar 108'!$A:$A,$B179&amp;$E179&amp;$F179&amp;$J179,'Doc''s Pagos | Rodopar 108'!$B:$B,W$1)+SUMIFS('Doc Há Pagar | Rodopar 1015'!$J:$J,'Doc Há Pagar | Rodopar 1015'!$A:$A,$B179&amp;$E179&amp;$F179,'Doc Há Pagar | Rodopar 1015'!$B:$B,W$1)</f>
        <v>0</v>
      </c>
      <c r="X179" s="20">
        <f>SUMIFS('Doc''s Pagos | Rodopar 108'!$J:$J,'Doc''s Pagos | Rodopar 108'!$A:$A,$B179&amp;$E179&amp;$F179&amp;$J179,'Doc''s Pagos | Rodopar 108'!$B:$B,X$1)+SUMIFS('Doc Há Pagar | Rodopar 1015'!$J:$J,'Doc Há Pagar | Rodopar 1015'!$A:$A,$B179&amp;$E179&amp;$F179,'Doc Há Pagar | Rodopar 1015'!$B:$B,X$1)</f>
        <v>936.1</v>
      </c>
      <c r="Y179" s="20">
        <f>SUMIFS('Doc''s Pagos | Rodopar 108'!$J:$J,'Doc''s Pagos | Rodopar 108'!$A:$A,$B179&amp;$E179&amp;$F179&amp;$J179,'Doc''s Pagos | Rodopar 108'!$B:$B,Y$1)+SUMIFS('Doc Há Pagar | Rodopar 1015'!$J:$J,'Doc Há Pagar | Rodopar 1015'!$A:$A,$B179&amp;$E179&amp;$F179,'Doc Há Pagar | Rodopar 1015'!$B:$B,Y$1)</f>
        <v>0</v>
      </c>
      <c r="Z179" s="20">
        <f>SUMIFS('Doc''s Pagos | Rodopar 108'!$J:$J,'Doc''s Pagos | Rodopar 108'!$A:$A,$B179&amp;$E179&amp;$F179&amp;$J179,'Doc''s Pagos | Rodopar 108'!$B:$B,Z$1)+SUMIFS('Doc Há Pagar | Rodopar 1015'!$J:$J,'Doc Há Pagar | Rodopar 1015'!$A:$A,$B179&amp;$E179&amp;$F179,'Doc Há Pagar | Rodopar 1015'!$B:$B,Z$1)</f>
        <v>0</v>
      </c>
      <c r="AA179" s="20">
        <f>SUMIFS('Doc''s Pagos | Rodopar 108'!$J:$J,'Doc''s Pagos | Rodopar 108'!$A:$A,$B179&amp;$E179&amp;$F179&amp;$J179,'Doc''s Pagos | Rodopar 108'!$B:$B,AA$1)+SUMIFS('Doc Há Pagar | Rodopar 1015'!$J:$J,'Doc Há Pagar | Rodopar 1015'!$A:$A,$B179&amp;$E179&amp;$F179,'Doc Há Pagar | Rodopar 1015'!$B:$B,AA$1)</f>
        <v>0</v>
      </c>
      <c r="AB179" s="20">
        <f>SUMIFS('Doc''s Pagos | Rodopar 108'!$J:$J,'Doc''s Pagos | Rodopar 108'!$A:$A,$B179&amp;$E179&amp;$F179&amp;$J179,'Doc''s Pagos | Rodopar 108'!$B:$B,AB$1)+SUMIFS('Doc Há Pagar | Rodopar 1015'!$J:$J,'Doc Há Pagar | Rodopar 1015'!$A:$A,$B179&amp;$E179&amp;$F179,'Doc Há Pagar | Rodopar 1015'!$B:$B,AB$1)</f>
        <v>0</v>
      </c>
      <c r="AC179" s="20">
        <f>SUMIFS('Doc''s Pagos | Rodopar 108'!$J:$J,'Doc''s Pagos | Rodopar 108'!$A:$A,$B179&amp;$E179&amp;$F179&amp;$J179,'Doc''s Pagos | Rodopar 108'!$B:$B,AC$1)+SUMIFS('Doc Há Pagar | Rodopar 1015'!$J:$J,'Doc Há Pagar | Rodopar 1015'!$A:$A,$B179&amp;$E179&amp;$F179,'Doc Há Pagar | Rodopar 1015'!$B:$B,AC$1)</f>
        <v>0</v>
      </c>
      <c r="AD179" s="20">
        <f>SUMIFS('Doc''s Pagos | Rodopar 108'!$J:$J,'Doc''s Pagos | Rodopar 108'!$A:$A,$B179&amp;$E179&amp;$F179&amp;$J179,'Doc''s Pagos | Rodopar 108'!$B:$B,AD$1)+SUMIFS('Doc Há Pagar | Rodopar 1015'!$J:$J,'Doc Há Pagar | Rodopar 1015'!$A:$A,$B179&amp;$E179&amp;$F179,'Doc Há Pagar | Rodopar 1015'!$B:$B,AD$1)</f>
        <v>0</v>
      </c>
    </row>
    <row r="180" spans="1:30" x14ac:dyDescent="0.25">
      <c r="A180" s="1" t="str">
        <f>VLOOKUP($E180,Fornecedores!$A:$C,3,0)</f>
        <v>Frota</v>
      </c>
      <c r="B180" s="14">
        <v>466</v>
      </c>
      <c r="C180" s="14" t="str">
        <f>IFERROR(VLOOKUP($E180,Fornecedores!$A:$E,4,0),"")</f>
        <v>Manutenção</v>
      </c>
      <c r="D180" s="14" t="str">
        <f>IFERROR(VLOOKUP($E180,Fornecedores!$A:$E,5,0),"")</f>
        <v>Vans</v>
      </c>
      <c r="E180" s="8" t="s">
        <v>23</v>
      </c>
      <c r="F180" s="14" t="s">
        <v>665</v>
      </c>
      <c r="G180" s="8" t="s">
        <v>557</v>
      </c>
      <c r="H180" s="9">
        <v>87</v>
      </c>
      <c r="I180" s="21">
        <v>500</v>
      </c>
      <c r="J180" s="11">
        <v>46148</v>
      </c>
      <c r="K180" s="11">
        <v>46153</v>
      </c>
      <c r="L180" s="8" t="s">
        <v>501</v>
      </c>
      <c r="M180" s="14" t="s">
        <v>234</v>
      </c>
      <c r="N180" s="16">
        <v>1556</v>
      </c>
      <c r="O180" s="14" t="s">
        <v>241</v>
      </c>
      <c r="P180" s="14"/>
      <c r="Q180" s="20">
        <f t="shared" si="2"/>
        <v>0</v>
      </c>
      <c r="S180" s="20">
        <f>SUMIFS('Doc''s Pagos | Rodopar 108'!$J:$J,'Doc''s Pagos | Rodopar 108'!$A:$A,$B180&amp;$E180&amp;$F180&amp;$J180,'Doc''s Pagos | Rodopar 108'!$B:$B,S$1)+SUMIFS('Doc Há Pagar | Rodopar 1015'!$J:$J,'Doc Há Pagar | Rodopar 1015'!$A:$A,$B180&amp;$E180&amp;$F180,'Doc Há Pagar | Rodopar 1015'!$B:$B,S$1)</f>
        <v>0</v>
      </c>
      <c r="T180" s="20">
        <f>SUMIFS('Doc''s Pagos | Rodopar 108'!$J:$J,'Doc''s Pagos | Rodopar 108'!$A:$A,$B180&amp;$E180&amp;$F180&amp;$J180,'Doc''s Pagos | Rodopar 108'!$B:$B,T$1)+SUMIFS('Doc Há Pagar | Rodopar 1015'!$J:$J,'Doc Há Pagar | Rodopar 1015'!$A:$A,$B180&amp;$E180&amp;$F180,'Doc Há Pagar | Rodopar 1015'!$B:$B,T$1)</f>
        <v>0</v>
      </c>
      <c r="U180" s="20">
        <f>SUMIFS('Doc''s Pagos | Rodopar 108'!$J:$J,'Doc''s Pagos | Rodopar 108'!$A:$A,$B180&amp;$E180&amp;$F180&amp;$J180,'Doc''s Pagos | Rodopar 108'!$B:$B,U$1)+SUMIFS('Doc Há Pagar | Rodopar 1015'!$J:$J,'Doc Há Pagar | Rodopar 1015'!$A:$A,$B180&amp;$E180&amp;$F180,'Doc Há Pagar | Rodopar 1015'!$B:$B,U$1)</f>
        <v>0</v>
      </c>
      <c r="V180" s="20">
        <f>SUMIFS('Doc''s Pagos | Rodopar 108'!$J:$J,'Doc''s Pagos | Rodopar 108'!$A:$A,$B180&amp;$E180&amp;$F180&amp;$J180,'Doc''s Pagos | Rodopar 108'!$B:$B,V$1)+SUMIFS('Doc Há Pagar | Rodopar 1015'!$J:$J,'Doc Há Pagar | Rodopar 1015'!$A:$A,$B180&amp;$E180&amp;$F180,'Doc Há Pagar | Rodopar 1015'!$B:$B,V$1)</f>
        <v>0</v>
      </c>
      <c r="W180" s="20">
        <f>SUMIFS('Doc''s Pagos | Rodopar 108'!$J:$J,'Doc''s Pagos | Rodopar 108'!$A:$A,$B180&amp;$E180&amp;$F180&amp;$J180,'Doc''s Pagos | Rodopar 108'!$B:$B,W$1)+SUMIFS('Doc Há Pagar | Rodopar 1015'!$J:$J,'Doc Há Pagar | Rodopar 1015'!$A:$A,$B180&amp;$E180&amp;$F180,'Doc Há Pagar | Rodopar 1015'!$B:$B,W$1)</f>
        <v>0</v>
      </c>
      <c r="X180" s="20">
        <f>SUMIFS('Doc''s Pagos | Rodopar 108'!$J:$J,'Doc''s Pagos | Rodopar 108'!$A:$A,$B180&amp;$E180&amp;$F180&amp;$J180,'Doc''s Pagos | Rodopar 108'!$B:$B,X$1)+SUMIFS('Doc Há Pagar | Rodopar 1015'!$J:$J,'Doc Há Pagar | Rodopar 1015'!$A:$A,$B180&amp;$E180&amp;$F180,'Doc Há Pagar | Rodopar 1015'!$B:$B,X$1)</f>
        <v>500</v>
      </c>
      <c r="Y180" s="20">
        <f>SUMIFS('Doc''s Pagos | Rodopar 108'!$J:$J,'Doc''s Pagos | Rodopar 108'!$A:$A,$B180&amp;$E180&amp;$F180&amp;$J180,'Doc''s Pagos | Rodopar 108'!$B:$B,Y$1)+SUMIFS('Doc Há Pagar | Rodopar 1015'!$J:$J,'Doc Há Pagar | Rodopar 1015'!$A:$A,$B180&amp;$E180&amp;$F180,'Doc Há Pagar | Rodopar 1015'!$B:$B,Y$1)</f>
        <v>0</v>
      </c>
      <c r="Z180" s="20">
        <f>SUMIFS('Doc''s Pagos | Rodopar 108'!$J:$J,'Doc''s Pagos | Rodopar 108'!$A:$A,$B180&amp;$E180&amp;$F180&amp;$J180,'Doc''s Pagos | Rodopar 108'!$B:$B,Z$1)+SUMIFS('Doc Há Pagar | Rodopar 1015'!$J:$J,'Doc Há Pagar | Rodopar 1015'!$A:$A,$B180&amp;$E180&amp;$F180,'Doc Há Pagar | Rodopar 1015'!$B:$B,Z$1)</f>
        <v>0</v>
      </c>
      <c r="AA180" s="20">
        <f>SUMIFS('Doc''s Pagos | Rodopar 108'!$J:$J,'Doc''s Pagos | Rodopar 108'!$A:$A,$B180&amp;$E180&amp;$F180&amp;$J180,'Doc''s Pagos | Rodopar 108'!$B:$B,AA$1)+SUMIFS('Doc Há Pagar | Rodopar 1015'!$J:$J,'Doc Há Pagar | Rodopar 1015'!$A:$A,$B180&amp;$E180&amp;$F180,'Doc Há Pagar | Rodopar 1015'!$B:$B,AA$1)</f>
        <v>0</v>
      </c>
      <c r="AB180" s="20">
        <f>SUMIFS('Doc''s Pagos | Rodopar 108'!$J:$J,'Doc''s Pagos | Rodopar 108'!$A:$A,$B180&amp;$E180&amp;$F180&amp;$J180,'Doc''s Pagos | Rodopar 108'!$B:$B,AB$1)+SUMIFS('Doc Há Pagar | Rodopar 1015'!$J:$J,'Doc Há Pagar | Rodopar 1015'!$A:$A,$B180&amp;$E180&amp;$F180,'Doc Há Pagar | Rodopar 1015'!$B:$B,AB$1)</f>
        <v>0</v>
      </c>
      <c r="AC180" s="20">
        <f>SUMIFS('Doc''s Pagos | Rodopar 108'!$J:$J,'Doc''s Pagos | Rodopar 108'!$A:$A,$B180&amp;$E180&amp;$F180&amp;$J180,'Doc''s Pagos | Rodopar 108'!$B:$B,AC$1)+SUMIFS('Doc Há Pagar | Rodopar 1015'!$J:$J,'Doc Há Pagar | Rodopar 1015'!$A:$A,$B180&amp;$E180&amp;$F180,'Doc Há Pagar | Rodopar 1015'!$B:$B,AC$1)</f>
        <v>0</v>
      </c>
      <c r="AD180" s="20">
        <f>SUMIFS('Doc''s Pagos | Rodopar 108'!$J:$J,'Doc''s Pagos | Rodopar 108'!$A:$A,$B180&amp;$E180&amp;$F180&amp;$J180,'Doc''s Pagos | Rodopar 108'!$B:$B,AD$1)+SUMIFS('Doc Há Pagar | Rodopar 1015'!$J:$J,'Doc Há Pagar | Rodopar 1015'!$A:$A,$B180&amp;$E180&amp;$F180,'Doc Há Pagar | Rodopar 1015'!$B:$B,AD$1)</f>
        <v>0</v>
      </c>
    </row>
    <row r="181" spans="1:30" x14ac:dyDescent="0.25">
      <c r="A181" s="1" t="str">
        <f>VLOOKUP($E181,Fornecedores!$A:$C,3,0)</f>
        <v>Frota</v>
      </c>
      <c r="B181" s="14">
        <v>469</v>
      </c>
      <c r="C181" s="14" t="str">
        <f>IFERROR(VLOOKUP($E181,Fornecedores!$A:$E,4,0),"")</f>
        <v>Manutenção</v>
      </c>
      <c r="D181" s="14" t="str">
        <f>IFERROR(VLOOKUP($E181,Fornecedores!$A:$E,5,0),"")</f>
        <v>Peças E Serviços</v>
      </c>
      <c r="E181" s="8" t="s">
        <v>195</v>
      </c>
      <c r="F181" s="14" t="s">
        <v>665</v>
      </c>
      <c r="G181" s="8" t="s">
        <v>418</v>
      </c>
      <c r="H181" s="9">
        <v>87</v>
      </c>
      <c r="I181" s="21">
        <v>635.5</v>
      </c>
      <c r="J181" s="11">
        <v>46148</v>
      </c>
      <c r="K181" s="11">
        <v>46150</v>
      </c>
      <c r="L181" s="8" t="s">
        <v>282</v>
      </c>
      <c r="M181" s="14" t="s">
        <v>234</v>
      </c>
      <c r="N181" s="16">
        <v>1556</v>
      </c>
      <c r="O181" s="14" t="s">
        <v>241</v>
      </c>
      <c r="P181" s="14"/>
      <c r="Q181" s="20">
        <f t="shared" si="2"/>
        <v>0</v>
      </c>
      <c r="S181" s="20">
        <f>SUMIFS('Doc''s Pagos | Rodopar 108'!$J:$J,'Doc''s Pagos | Rodopar 108'!$A:$A,$B181&amp;$E181&amp;$F181&amp;$J181,'Doc''s Pagos | Rodopar 108'!$B:$B,S$1)+SUMIFS('Doc Há Pagar | Rodopar 1015'!$J:$J,'Doc Há Pagar | Rodopar 1015'!$A:$A,$B181&amp;$E181&amp;$F181,'Doc Há Pagar | Rodopar 1015'!$B:$B,S$1)</f>
        <v>0</v>
      </c>
      <c r="T181" s="20">
        <f>SUMIFS('Doc''s Pagos | Rodopar 108'!$J:$J,'Doc''s Pagos | Rodopar 108'!$A:$A,$B181&amp;$E181&amp;$F181&amp;$J181,'Doc''s Pagos | Rodopar 108'!$B:$B,T$1)+SUMIFS('Doc Há Pagar | Rodopar 1015'!$J:$J,'Doc Há Pagar | Rodopar 1015'!$A:$A,$B181&amp;$E181&amp;$F181,'Doc Há Pagar | Rodopar 1015'!$B:$B,T$1)</f>
        <v>0</v>
      </c>
      <c r="U181" s="20">
        <f>SUMIFS('Doc''s Pagos | Rodopar 108'!$J:$J,'Doc''s Pagos | Rodopar 108'!$A:$A,$B181&amp;$E181&amp;$F181&amp;$J181,'Doc''s Pagos | Rodopar 108'!$B:$B,U$1)+SUMIFS('Doc Há Pagar | Rodopar 1015'!$J:$J,'Doc Há Pagar | Rodopar 1015'!$A:$A,$B181&amp;$E181&amp;$F181,'Doc Há Pagar | Rodopar 1015'!$B:$B,U$1)</f>
        <v>0</v>
      </c>
      <c r="V181" s="20">
        <f>SUMIFS('Doc''s Pagos | Rodopar 108'!$J:$J,'Doc''s Pagos | Rodopar 108'!$A:$A,$B181&amp;$E181&amp;$F181&amp;$J181,'Doc''s Pagos | Rodopar 108'!$B:$B,V$1)+SUMIFS('Doc Há Pagar | Rodopar 1015'!$J:$J,'Doc Há Pagar | Rodopar 1015'!$A:$A,$B181&amp;$E181&amp;$F181,'Doc Há Pagar | Rodopar 1015'!$B:$B,V$1)</f>
        <v>0</v>
      </c>
      <c r="W181" s="20">
        <f>SUMIFS('Doc''s Pagos | Rodopar 108'!$J:$J,'Doc''s Pagos | Rodopar 108'!$A:$A,$B181&amp;$E181&amp;$F181&amp;$J181,'Doc''s Pagos | Rodopar 108'!$B:$B,W$1)+SUMIFS('Doc Há Pagar | Rodopar 1015'!$J:$J,'Doc Há Pagar | Rodopar 1015'!$A:$A,$B181&amp;$E181&amp;$F181,'Doc Há Pagar | Rodopar 1015'!$B:$B,W$1)</f>
        <v>0</v>
      </c>
      <c r="X181" s="20">
        <f>SUMIFS('Doc''s Pagos | Rodopar 108'!$J:$J,'Doc''s Pagos | Rodopar 108'!$A:$A,$B181&amp;$E181&amp;$F181&amp;$J181,'Doc''s Pagos | Rodopar 108'!$B:$B,X$1)+SUMIFS('Doc Há Pagar | Rodopar 1015'!$J:$J,'Doc Há Pagar | Rodopar 1015'!$A:$A,$B181&amp;$E181&amp;$F181,'Doc Há Pagar | Rodopar 1015'!$B:$B,X$1)</f>
        <v>635.5</v>
      </c>
      <c r="Y181" s="20">
        <f>SUMIFS('Doc''s Pagos | Rodopar 108'!$J:$J,'Doc''s Pagos | Rodopar 108'!$A:$A,$B181&amp;$E181&amp;$F181&amp;$J181,'Doc''s Pagos | Rodopar 108'!$B:$B,Y$1)+SUMIFS('Doc Há Pagar | Rodopar 1015'!$J:$J,'Doc Há Pagar | Rodopar 1015'!$A:$A,$B181&amp;$E181&amp;$F181,'Doc Há Pagar | Rodopar 1015'!$B:$B,Y$1)</f>
        <v>0</v>
      </c>
      <c r="Z181" s="20">
        <f>SUMIFS('Doc''s Pagos | Rodopar 108'!$J:$J,'Doc''s Pagos | Rodopar 108'!$A:$A,$B181&amp;$E181&amp;$F181&amp;$J181,'Doc''s Pagos | Rodopar 108'!$B:$B,Z$1)+SUMIFS('Doc Há Pagar | Rodopar 1015'!$J:$J,'Doc Há Pagar | Rodopar 1015'!$A:$A,$B181&amp;$E181&amp;$F181,'Doc Há Pagar | Rodopar 1015'!$B:$B,Z$1)</f>
        <v>0</v>
      </c>
      <c r="AA181" s="20">
        <f>SUMIFS('Doc''s Pagos | Rodopar 108'!$J:$J,'Doc''s Pagos | Rodopar 108'!$A:$A,$B181&amp;$E181&amp;$F181&amp;$J181,'Doc''s Pagos | Rodopar 108'!$B:$B,AA$1)+SUMIFS('Doc Há Pagar | Rodopar 1015'!$J:$J,'Doc Há Pagar | Rodopar 1015'!$A:$A,$B181&amp;$E181&amp;$F181,'Doc Há Pagar | Rodopar 1015'!$B:$B,AA$1)</f>
        <v>0</v>
      </c>
      <c r="AB181" s="20">
        <f>SUMIFS('Doc''s Pagos | Rodopar 108'!$J:$J,'Doc''s Pagos | Rodopar 108'!$A:$A,$B181&amp;$E181&amp;$F181&amp;$J181,'Doc''s Pagos | Rodopar 108'!$B:$B,AB$1)+SUMIFS('Doc Há Pagar | Rodopar 1015'!$J:$J,'Doc Há Pagar | Rodopar 1015'!$A:$A,$B181&amp;$E181&amp;$F181,'Doc Há Pagar | Rodopar 1015'!$B:$B,AB$1)</f>
        <v>0</v>
      </c>
      <c r="AC181" s="20">
        <f>SUMIFS('Doc''s Pagos | Rodopar 108'!$J:$J,'Doc''s Pagos | Rodopar 108'!$A:$A,$B181&amp;$E181&amp;$F181&amp;$J181,'Doc''s Pagos | Rodopar 108'!$B:$B,AC$1)+SUMIFS('Doc Há Pagar | Rodopar 1015'!$J:$J,'Doc Há Pagar | Rodopar 1015'!$A:$A,$B181&amp;$E181&amp;$F181,'Doc Há Pagar | Rodopar 1015'!$B:$B,AC$1)</f>
        <v>0</v>
      </c>
      <c r="AD181" s="20">
        <f>SUMIFS('Doc''s Pagos | Rodopar 108'!$J:$J,'Doc''s Pagos | Rodopar 108'!$A:$A,$B181&amp;$E181&amp;$F181&amp;$J181,'Doc''s Pagos | Rodopar 108'!$B:$B,AD$1)+SUMIFS('Doc Há Pagar | Rodopar 1015'!$J:$J,'Doc Há Pagar | Rodopar 1015'!$A:$A,$B181&amp;$E181&amp;$F181,'Doc Há Pagar | Rodopar 1015'!$B:$B,AD$1)</f>
        <v>0</v>
      </c>
    </row>
    <row r="182" spans="1:30" x14ac:dyDescent="0.25">
      <c r="A182" s="1" t="str">
        <f>VLOOKUP($E182,Fornecedores!$A:$C,3,0)</f>
        <v>Frota</v>
      </c>
      <c r="B182" s="14">
        <v>868</v>
      </c>
      <c r="C182" s="14" t="str">
        <f>IFERROR(VLOOKUP($E182,Fornecedores!$A:$E,4,0),"")</f>
        <v>MTSR</v>
      </c>
      <c r="D182" s="14" t="str">
        <f>IFERROR(VLOOKUP($E182,Fornecedores!$A:$E,5,0),"")</f>
        <v>Tecnologia</v>
      </c>
      <c r="E182" s="8" t="s">
        <v>24</v>
      </c>
      <c r="F182" s="14" t="s">
        <v>665</v>
      </c>
      <c r="G182" s="8" t="s">
        <v>238</v>
      </c>
      <c r="H182" s="9">
        <v>87</v>
      </c>
      <c r="I182" s="21">
        <v>11929.32</v>
      </c>
      <c r="J182" s="11">
        <v>46148</v>
      </c>
      <c r="K182" s="11">
        <v>46153</v>
      </c>
      <c r="L182" s="8" t="s">
        <v>239</v>
      </c>
      <c r="M182" s="14" t="s">
        <v>240</v>
      </c>
      <c r="N182" s="16">
        <v>2556</v>
      </c>
      <c r="O182" s="14" t="s">
        <v>241</v>
      </c>
      <c r="P182" s="14"/>
      <c r="Q182" s="20">
        <f t="shared" si="2"/>
        <v>0</v>
      </c>
      <c r="S182" s="20">
        <f>SUMIFS('Doc''s Pagos | Rodopar 108'!$J:$J,'Doc''s Pagos | Rodopar 108'!$A:$A,$B182&amp;$E182&amp;$F182&amp;$J182,'Doc''s Pagos | Rodopar 108'!$B:$B,S$1)+SUMIFS('Doc Há Pagar | Rodopar 1015'!$J:$J,'Doc Há Pagar | Rodopar 1015'!$A:$A,$B182&amp;$E182&amp;$F182,'Doc Há Pagar | Rodopar 1015'!$B:$B,S$1)</f>
        <v>0</v>
      </c>
      <c r="T182" s="20">
        <f>SUMIFS('Doc''s Pagos | Rodopar 108'!$J:$J,'Doc''s Pagos | Rodopar 108'!$A:$A,$B182&amp;$E182&amp;$F182&amp;$J182,'Doc''s Pagos | Rodopar 108'!$B:$B,T$1)+SUMIFS('Doc Há Pagar | Rodopar 1015'!$J:$J,'Doc Há Pagar | Rodopar 1015'!$A:$A,$B182&amp;$E182&amp;$F182,'Doc Há Pagar | Rodopar 1015'!$B:$B,T$1)</f>
        <v>0</v>
      </c>
      <c r="U182" s="20">
        <f>SUMIFS('Doc''s Pagos | Rodopar 108'!$J:$J,'Doc''s Pagos | Rodopar 108'!$A:$A,$B182&amp;$E182&amp;$F182&amp;$J182,'Doc''s Pagos | Rodopar 108'!$B:$B,U$1)+SUMIFS('Doc Há Pagar | Rodopar 1015'!$J:$J,'Doc Há Pagar | Rodopar 1015'!$A:$A,$B182&amp;$E182&amp;$F182,'Doc Há Pagar | Rodopar 1015'!$B:$B,U$1)</f>
        <v>0</v>
      </c>
      <c r="V182" s="20">
        <f>SUMIFS('Doc''s Pagos | Rodopar 108'!$J:$J,'Doc''s Pagos | Rodopar 108'!$A:$A,$B182&amp;$E182&amp;$F182&amp;$J182,'Doc''s Pagos | Rodopar 108'!$B:$B,V$1)+SUMIFS('Doc Há Pagar | Rodopar 1015'!$J:$J,'Doc Há Pagar | Rodopar 1015'!$A:$A,$B182&amp;$E182&amp;$F182,'Doc Há Pagar | Rodopar 1015'!$B:$B,V$1)</f>
        <v>0</v>
      </c>
      <c r="W182" s="20">
        <f>SUMIFS('Doc''s Pagos | Rodopar 108'!$J:$J,'Doc''s Pagos | Rodopar 108'!$A:$A,$B182&amp;$E182&amp;$F182&amp;$J182,'Doc''s Pagos | Rodopar 108'!$B:$B,W$1)+SUMIFS('Doc Há Pagar | Rodopar 1015'!$J:$J,'Doc Há Pagar | Rodopar 1015'!$A:$A,$B182&amp;$E182&amp;$F182,'Doc Há Pagar | Rodopar 1015'!$B:$B,W$1)</f>
        <v>0</v>
      </c>
      <c r="X182" s="20">
        <f>SUMIFS('Doc''s Pagos | Rodopar 108'!$J:$J,'Doc''s Pagos | Rodopar 108'!$A:$A,$B182&amp;$E182&amp;$F182&amp;$J182,'Doc''s Pagos | Rodopar 108'!$B:$B,X$1)+SUMIFS('Doc Há Pagar | Rodopar 1015'!$J:$J,'Doc Há Pagar | Rodopar 1015'!$A:$A,$B182&amp;$E182&amp;$F182,'Doc Há Pagar | Rodopar 1015'!$B:$B,X$1)</f>
        <v>11929.32</v>
      </c>
      <c r="Y182" s="20">
        <f>SUMIFS('Doc''s Pagos | Rodopar 108'!$J:$J,'Doc''s Pagos | Rodopar 108'!$A:$A,$B182&amp;$E182&amp;$F182&amp;$J182,'Doc''s Pagos | Rodopar 108'!$B:$B,Y$1)+SUMIFS('Doc Há Pagar | Rodopar 1015'!$J:$J,'Doc Há Pagar | Rodopar 1015'!$A:$A,$B182&amp;$E182&amp;$F182,'Doc Há Pagar | Rodopar 1015'!$B:$B,Y$1)</f>
        <v>0</v>
      </c>
      <c r="Z182" s="20">
        <f>SUMIFS('Doc''s Pagos | Rodopar 108'!$J:$J,'Doc''s Pagos | Rodopar 108'!$A:$A,$B182&amp;$E182&amp;$F182&amp;$J182,'Doc''s Pagos | Rodopar 108'!$B:$B,Z$1)+SUMIFS('Doc Há Pagar | Rodopar 1015'!$J:$J,'Doc Há Pagar | Rodopar 1015'!$A:$A,$B182&amp;$E182&amp;$F182,'Doc Há Pagar | Rodopar 1015'!$B:$B,Z$1)</f>
        <v>0</v>
      </c>
      <c r="AA182" s="20">
        <f>SUMIFS('Doc''s Pagos | Rodopar 108'!$J:$J,'Doc''s Pagos | Rodopar 108'!$A:$A,$B182&amp;$E182&amp;$F182&amp;$J182,'Doc''s Pagos | Rodopar 108'!$B:$B,AA$1)+SUMIFS('Doc Há Pagar | Rodopar 1015'!$J:$J,'Doc Há Pagar | Rodopar 1015'!$A:$A,$B182&amp;$E182&amp;$F182,'Doc Há Pagar | Rodopar 1015'!$B:$B,AA$1)</f>
        <v>0</v>
      </c>
      <c r="AB182" s="20">
        <f>SUMIFS('Doc''s Pagos | Rodopar 108'!$J:$J,'Doc''s Pagos | Rodopar 108'!$A:$A,$B182&amp;$E182&amp;$F182&amp;$J182,'Doc''s Pagos | Rodopar 108'!$B:$B,AB$1)+SUMIFS('Doc Há Pagar | Rodopar 1015'!$J:$J,'Doc Há Pagar | Rodopar 1015'!$A:$A,$B182&amp;$E182&amp;$F182,'Doc Há Pagar | Rodopar 1015'!$B:$B,AB$1)</f>
        <v>0</v>
      </c>
      <c r="AC182" s="20">
        <f>SUMIFS('Doc''s Pagos | Rodopar 108'!$J:$J,'Doc''s Pagos | Rodopar 108'!$A:$A,$B182&amp;$E182&amp;$F182&amp;$J182,'Doc''s Pagos | Rodopar 108'!$B:$B,AC$1)+SUMIFS('Doc Há Pagar | Rodopar 1015'!$J:$J,'Doc Há Pagar | Rodopar 1015'!$A:$A,$B182&amp;$E182&amp;$F182,'Doc Há Pagar | Rodopar 1015'!$B:$B,AC$1)</f>
        <v>0</v>
      </c>
      <c r="AD182" s="20">
        <f>SUMIFS('Doc''s Pagos | Rodopar 108'!$J:$J,'Doc''s Pagos | Rodopar 108'!$A:$A,$B182&amp;$E182&amp;$F182&amp;$J182,'Doc''s Pagos | Rodopar 108'!$B:$B,AD$1)+SUMIFS('Doc Há Pagar | Rodopar 1015'!$J:$J,'Doc Há Pagar | Rodopar 1015'!$A:$A,$B182&amp;$E182&amp;$F182,'Doc Há Pagar | Rodopar 1015'!$B:$B,AD$1)</f>
        <v>0</v>
      </c>
    </row>
    <row r="183" spans="1:30" x14ac:dyDescent="0.25">
      <c r="A183" s="1" t="str">
        <f>VLOOKUP($E183,Fornecedores!$A:$C,3,0)</f>
        <v>Frota</v>
      </c>
      <c r="B183" s="14">
        <v>869</v>
      </c>
      <c r="C183" s="14" t="str">
        <f>IFERROR(VLOOKUP($E183,Fornecedores!$A:$E,4,0),"")</f>
        <v>MTSR</v>
      </c>
      <c r="D183" s="14" t="str">
        <f>IFERROR(VLOOKUP($E183,Fornecedores!$A:$E,5,0),"")</f>
        <v>Tecnologia</v>
      </c>
      <c r="E183" s="8" t="s">
        <v>24</v>
      </c>
      <c r="F183" s="14" t="s">
        <v>665</v>
      </c>
      <c r="G183" s="8" t="s">
        <v>238</v>
      </c>
      <c r="H183" s="9">
        <v>87</v>
      </c>
      <c r="I183" s="21">
        <v>6365.25</v>
      </c>
      <c r="J183" s="11">
        <v>46148</v>
      </c>
      <c r="K183" s="11">
        <v>46153</v>
      </c>
      <c r="L183" s="8" t="s">
        <v>239</v>
      </c>
      <c r="M183" s="14" t="s">
        <v>240</v>
      </c>
      <c r="N183" s="16">
        <v>2556</v>
      </c>
      <c r="O183" s="14" t="s">
        <v>241</v>
      </c>
      <c r="P183" s="14"/>
      <c r="Q183" s="20">
        <f t="shared" si="2"/>
        <v>0</v>
      </c>
      <c r="S183" s="20">
        <f>SUMIFS('Doc''s Pagos | Rodopar 108'!$J:$J,'Doc''s Pagos | Rodopar 108'!$A:$A,$B183&amp;$E183&amp;$F183&amp;$J183,'Doc''s Pagos | Rodopar 108'!$B:$B,S$1)+SUMIFS('Doc Há Pagar | Rodopar 1015'!$J:$J,'Doc Há Pagar | Rodopar 1015'!$A:$A,$B183&amp;$E183&amp;$F183,'Doc Há Pagar | Rodopar 1015'!$B:$B,S$1)</f>
        <v>0</v>
      </c>
      <c r="T183" s="20">
        <f>SUMIFS('Doc''s Pagos | Rodopar 108'!$J:$J,'Doc''s Pagos | Rodopar 108'!$A:$A,$B183&amp;$E183&amp;$F183&amp;$J183,'Doc''s Pagos | Rodopar 108'!$B:$B,T$1)+SUMIFS('Doc Há Pagar | Rodopar 1015'!$J:$J,'Doc Há Pagar | Rodopar 1015'!$A:$A,$B183&amp;$E183&amp;$F183,'Doc Há Pagar | Rodopar 1015'!$B:$B,T$1)</f>
        <v>0</v>
      </c>
      <c r="U183" s="20">
        <f>SUMIFS('Doc''s Pagos | Rodopar 108'!$J:$J,'Doc''s Pagos | Rodopar 108'!$A:$A,$B183&amp;$E183&amp;$F183&amp;$J183,'Doc''s Pagos | Rodopar 108'!$B:$B,U$1)+SUMIFS('Doc Há Pagar | Rodopar 1015'!$J:$J,'Doc Há Pagar | Rodopar 1015'!$A:$A,$B183&amp;$E183&amp;$F183,'Doc Há Pagar | Rodopar 1015'!$B:$B,U$1)</f>
        <v>0</v>
      </c>
      <c r="V183" s="20">
        <f>SUMIFS('Doc''s Pagos | Rodopar 108'!$J:$J,'Doc''s Pagos | Rodopar 108'!$A:$A,$B183&amp;$E183&amp;$F183&amp;$J183,'Doc''s Pagos | Rodopar 108'!$B:$B,V$1)+SUMIFS('Doc Há Pagar | Rodopar 1015'!$J:$J,'Doc Há Pagar | Rodopar 1015'!$A:$A,$B183&amp;$E183&amp;$F183,'Doc Há Pagar | Rodopar 1015'!$B:$B,V$1)</f>
        <v>0</v>
      </c>
      <c r="W183" s="20">
        <f>SUMIFS('Doc''s Pagos | Rodopar 108'!$J:$J,'Doc''s Pagos | Rodopar 108'!$A:$A,$B183&amp;$E183&amp;$F183&amp;$J183,'Doc''s Pagos | Rodopar 108'!$B:$B,W$1)+SUMIFS('Doc Há Pagar | Rodopar 1015'!$J:$J,'Doc Há Pagar | Rodopar 1015'!$A:$A,$B183&amp;$E183&amp;$F183,'Doc Há Pagar | Rodopar 1015'!$B:$B,W$1)</f>
        <v>0</v>
      </c>
      <c r="X183" s="20">
        <f>SUMIFS('Doc''s Pagos | Rodopar 108'!$J:$J,'Doc''s Pagos | Rodopar 108'!$A:$A,$B183&amp;$E183&amp;$F183&amp;$J183,'Doc''s Pagos | Rodopar 108'!$B:$B,X$1)+SUMIFS('Doc Há Pagar | Rodopar 1015'!$J:$J,'Doc Há Pagar | Rodopar 1015'!$A:$A,$B183&amp;$E183&amp;$F183,'Doc Há Pagar | Rodopar 1015'!$B:$B,X$1)</f>
        <v>6365.25</v>
      </c>
      <c r="Y183" s="20">
        <f>SUMIFS('Doc''s Pagos | Rodopar 108'!$J:$J,'Doc''s Pagos | Rodopar 108'!$A:$A,$B183&amp;$E183&amp;$F183&amp;$J183,'Doc''s Pagos | Rodopar 108'!$B:$B,Y$1)+SUMIFS('Doc Há Pagar | Rodopar 1015'!$J:$J,'Doc Há Pagar | Rodopar 1015'!$A:$A,$B183&amp;$E183&amp;$F183,'Doc Há Pagar | Rodopar 1015'!$B:$B,Y$1)</f>
        <v>0</v>
      </c>
      <c r="Z183" s="20">
        <f>SUMIFS('Doc''s Pagos | Rodopar 108'!$J:$J,'Doc''s Pagos | Rodopar 108'!$A:$A,$B183&amp;$E183&amp;$F183&amp;$J183,'Doc''s Pagos | Rodopar 108'!$B:$B,Z$1)+SUMIFS('Doc Há Pagar | Rodopar 1015'!$J:$J,'Doc Há Pagar | Rodopar 1015'!$A:$A,$B183&amp;$E183&amp;$F183,'Doc Há Pagar | Rodopar 1015'!$B:$B,Z$1)</f>
        <v>0</v>
      </c>
      <c r="AA183" s="20">
        <f>SUMIFS('Doc''s Pagos | Rodopar 108'!$J:$J,'Doc''s Pagos | Rodopar 108'!$A:$A,$B183&amp;$E183&amp;$F183&amp;$J183,'Doc''s Pagos | Rodopar 108'!$B:$B,AA$1)+SUMIFS('Doc Há Pagar | Rodopar 1015'!$J:$J,'Doc Há Pagar | Rodopar 1015'!$A:$A,$B183&amp;$E183&amp;$F183,'Doc Há Pagar | Rodopar 1015'!$B:$B,AA$1)</f>
        <v>0</v>
      </c>
      <c r="AB183" s="20">
        <f>SUMIFS('Doc''s Pagos | Rodopar 108'!$J:$J,'Doc''s Pagos | Rodopar 108'!$A:$A,$B183&amp;$E183&amp;$F183&amp;$J183,'Doc''s Pagos | Rodopar 108'!$B:$B,AB$1)+SUMIFS('Doc Há Pagar | Rodopar 1015'!$J:$J,'Doc Há Pagar | Rodopar 1015'!$A:$A,$B183&amp;$E183&amp;$F183,'Doc Há Pagar | Rodopar 1015'!$B:$B,AB$1)</f>
        <v>0</v>
      </c>
      <c r="AC183" s="20">
        <f>SUMIFS('Doc''s Pagos | Rodopar 108'!$J:$J,'Doc''s Pagos | Rodopar 108'!$A:$A,$B183&amp;$E183&amp;$F183&amp;$J183,'Doc''s Pagos | Rodopar 108'!$B:$B,AC$1)+SUMIFS('Doc Há Pagar | Rodopar 1015'!$J:$J,'Doc Há Pagar | Rodopar 1015'!$A:$A,$B183&amp;$E183&amp;$F183,'Doc Há Pagar | Rodopar 1015'!$B:$B,AC$1)</f>
        <v>0</v>
      </c>
      <c r="AD183" s="20">
        <f>SUMIFS('Doc''s Pagos | Rodopar 108'!$J:$J,'Doc''s Pagos | Rodopar 108'!$A:$A,$B183&amp;$E183&amp;$F183&amp;$J183,'Doc''s Pagos | Rodopar 108'!$B:$B,AD$1)+SUMIFS('Doc Há Pagar | Rodopar 1015'!$J:$J,'Doc Há Pagar | Rodopar 1015'!$A:$A,$B183&amp;$E183&amp;$F183,'Doc Há Pagar | Rodopar 1015'!$B:$B,AD$1)</f>
        <v>0</v>
      </c>
    </row>
    <row r="184" spans="1:30" x14ac:dyDescent="0.25">
      <c r="A184" s="1" t="str">
        <f>VLOOKUP($E184,Fornecedores!$A:$C,3,0)</f>
        <v>Frota</v>
      </c>
      <c r="B184" s="14">
        <v>92</v>
      </c>
      <c r="C184" s="14" t="str">
        <f>IFERROR(VLOOKUP($E184,Fornecedores!$A:$E,4,0),"")</f>
        <v>Manutenção</v>
      </c>
      <c r="D184" s="14" t="str">
        <f>IFERROR(VLOOKUP($E184,Fornecedores!$A:$E,5,0),"")</f>
        <v>Peças E Serviços</v>
      </c>
      <c r="E184" s="8" t="s">
        <v>204</v>
      </c>
      <c r="F184" s="14" t="s">
        <v>665</v>
      </c>
      <c r="G184" s="8" t="s">
        <v>396</v>
      </c>
      <c r="H184" s="9">
        <v>87</v>
      </c>
      <c r="I184" s="21">
        <v>465</v>
      </c>
      <c r="J184" s="11">
        <v>46148</v>
      </c>
      <c r="K184" s="11">
        <v>46153</v>
      </c>
      <c r="L184" s="8" t="s">
        <v>282</v>
      </c>
      <c r="M184" s="14" t="s">
        <v>234</v>
      </c>
      <c r="N184" s="16">
        <v>1556</v>
      </c>
      <c r="O184" s="14" t="s">
        <v>241</v>
      </c>
      <c r="P184" s="14"/>
      <c r="Q184" s="20">
        <f t="shared" si="2"/>
        <v>0</v>
      </c>
      <c r="S184" s="20">
        <f>SUMIFS('Doc''s Pagos | Rodopar 108'!$J:$J,'Doc''s Pagos | Rodopar 108'!$A:$A,$B184&amp;$E184&amp;$F184&amp;$J184,'Doc''s Pagos | Rodopar 108'!$B:$B,S$1)+SUMIFS('Doc Há Pagar | Rodopar 1015'!$J:$J,'Doc Há Pagar | Rodopar 1015'!$A:$A,$B184&amp;$E184&amp;$F184,'Doc Há Pagar | Rodopar 1015'!$B:$B,S$1)</f>
        <v>0</v>
      </c>
      <c r="T184" s="20">
        <f>SUMIFS('Doc''s Pagos | Rodopar 108'!$J:$J,'Doc''s Pagos | Rodopar 108'!$A:$A,$B184&amp;$E184&amp;$F184&amp;$J184,'Doc''s Pagos | Rodopar 108'!$B:$B,T$1)+SUMIFS('Doc Há Pagar | Rodopar 1015'!$J:$J,'Doc Há Pagar | Rodopar 1015'!$A:$A,$B184&amp;$E184&amp;$F184,'Doc Há Pagar | Rodopar 1015'!$B:$B,T$1)</f>
        <v>0</v>
      </c>
      <c r="U184" s="20">
        <f>SUMIFS('Doc''s Pagos | Rodopar 108'!$J:$J,'Doc''s Pagos | Rodopar 108'!$A:$A,$B184&amp;$E184&amp;$F184&amp;$J184,'Doc''s Pagos | Rodopar 108'!$B:$B,U$1)+SUMIFS('Doc Há Pagar | Rodopar 1015'!$J:$J,'Doc Há Pagar | Rodopar 1015'!$A:$A,$B184&amp;$E184&amp;$F184,'Doc Há Pagar | Rodopar 1015'!$B:$B,U$1)</f>
        <v>0</v>
      </c>
      <c r="V184" s="20">
        <f>SUMIFS('Doc''s Pagos | Rodopar 108'!$J:$J,'Doc''s Pagos | Rodopar 108'!$A:$A,$B184&amp;$E184&amp;$F184&amp;$J184,'Doc''s Pagos | Rodopar 108'!$B:$B,V$1)+SUMIFS('Doc Há Pagar | Rodopar 1015'!$J:$J,'Doc Há Pagar | Rodopar 1015'!$A:$A,$B184&amp;$E184&amp;$F184,'Doc Há Pagar | Rodopar 1015'!$B:$B,V$1)</f>
        <v>0</v>
      </c>
      <c r="W184" s="20">
        <f>SUMIFS('Doc''s Pagos | Rodopar 108'!$J:$J,'Doc''s Pagos | Rodopar 108'!$A:$A,$B184&amp;$E184&amp;$F184&amp;$J184,'Doc''s Pagos | Rodopar 108'!$B:$B,W$1)+SUMIFS('Doc Há Pagar | Rodopar 1015'!$J:$J,'Doc Há Pagar | Rodopar 1015'!$A:$A,$B184&amp;$E184&amp;$F184,'Doc Há Pagar | Rodopar 1015'!$B:$B,W$1)</f>
        <v>0</v>
      </c>
      <c r="X184" s="20">
        <f>SUMIFS('Doc''s Pagos | Rodopar 108'!$J:$J,'Doc''s Pagos | Rodopar 108'!$A:$A,$B184&amp;$E184&amp;$F184&amp;$J184,'Doc''s Pagos | Rodopar 108'!$B:$B,X$1)+SUMIFS('Doc Há Pagar | Rodopar 1015'!$J:$J,'Doc Há Pagar | Rodopar 1015'!$A:$A,$B184&amp;$E184&amp;$F184,'Doc Há Pagar | Rodopar 1015'!$B:$B,X$1)</f>
        <v>465</v>
      </c>
      <c r="Y184" s="20">
        <f>SUMIFS('Doc''s Pagos | Rodopar 108'!$J:$J,'Doc''s Pagos | Rodopar 108'!$A:$A,$B184&amp;$E184&amp;$F184&amp;$J184,'Doc''s Pagos | Rodopar 108'!$B:$B,Y$1)+SUMIFS('Doc Há Pagar | Rodopar 1015'!$J:$J,'Doc Há Pagar | Rodopar 1015'!$A:$A,$B184&amp;$E184&amp;$F184,'Doc Há Pagar | Rodopar 1015'!$B:$B,Y$1)</f>
        <v>0</v>
      </c>
      <c r="Z184" s="20">
        <f>SUMIFS('Doc''s Pagos | Rodopar 108'!$J:$J,'Doc''s Pagos | Rodopar 108'!$A:$A,$B184&amp;$E184&amp;$F184&amp;$J184,'Doc''s Pagos | Rodopar 108'!$B:$B,Z$1)+SUMIFS('Doc Há Pagar | Rodopar 1015'!$J:$J,'Doc Há Pagar | Rodopar 1015'!$A:$A,$B184&amp;$E184&amp;$F184,'Doc Há Pagar | Rodopar 1015'!$B:$B,Z$1)</f>
        <v>0</v>
      </c>
      <c r="AA184" s="20">
        <f>SUMIFS('Doc''s Pagos | Rodopar 108'!$J:$J,'Doc''s Pagos | Rodopar 108'!$A:$A,$B184&amp;$E184&amp;$F184&amp;$J184,'Doc''s Pagos | Rodopar 108'!$B:$B,AA$1)+SUMIFS('Doc Há Pagar | Rodopar 1015'!$J:$J,'Doc Há Pagar | Rodopar 1015'!$A:$A,$B184&amp;$E184&amp;$F184,'Doc Há Pagar | Rodopar 1015'!$B:$B,AA$1)</f>
        <v>0</v>
      </c>
      <c r="AB184" s="20">
        <f>SUMIFS('Doc''s Pagos | Rodopar 108'!$J:$J,'Doc''s Pagos | Rodopar 108'!$A:$A,$B184&amp;$E184&amp;$F184&amp;$J184,'Doc''s Pagos | Rodopar 108'!$B:$B,AB$1)+SUMIFS('Doc Há Pagar | Rodopar 1015'!$J:$J,'Doc Há Pagar | Rodopar 1015'!$A:$A,$B184&amp;$E184&amp;$F184,'Doc Há Pagar | Rodopar 1015'!$B:$B,AB$1)</f>
        <v>0</v>
      </c>
      <c r="AC184" s="20">
        <f>SUMIFS('Doc''s Pagos | Rodopar 108'!$J:$J,'Doc''s Pagos | Rodopar 108'!$A:$A,$B184&amp;$E184&amp;$F184&amp;$J184,'Doc''s Pagos | Rodopar 108'!$B:$B,AC$1)+SUMIFS('Doc Há Pagar | Rodopar 1015'!$J:$J,'Doc Há Pagar | Rodopar 1015'!$A:$A,$B184&amp;$E184&amp;$F184,'Doc Há Pagar | Rodopar 1015'!$B:$B,AC$1)</f>
        <v>0</v>
      </c>
      <c r="AD184" s="20">
        <f>SUMIFS('Doc''s Pagos | Rodopar 108'!$J:$J,'Doc''s Pagos | Rodopar 108'!$A:$A,$B184&amp;$E184&amp;$F184&amp;$J184,'Doc''s Pagos | Rodopar 108'!$B:$B,AD$1)+SUMIFS('Doc Há Pagar | Rodopar 1015'!$J:$J,'Doc Há Pagar | Rodopar 1015'!$A:$A,$B184&amp;$E184&amp;$F184,'Doc Há Pagar | Rodopar 1015'!$B:$B,AD$1)</f>
        <v>0</v>
      </c>
    </row>
    <row r="185" spans="1:30" x14ac:dyDescent="0.25">
      <c r="A185" s="1" t="str">
        <f>VLOOKUP($E185,Fornecedores!$A:$C,3,0)</f>
        <v>Frota</v>
      </c>
      <c r="B185" s="14">
        <v>101</v>
      </c>
      <c r="C185" s="14" t="str">
        <f>IFERROR(VLOOKUP($E185,Fornecedores!$A:$E,4,0),"")</f>
        <v>Lavagem</v>
      </c>
      <c r="D185" s="14" t="str">
        <f>IFERROR(VLOOKUP($E185,Fornecedores!$A:$E,5,0),"")</f>
        <v>Lavagem</v>
      </c>
      <c r="E185" s="8" t="s">
        <v>92</v>
      </c>
      <c r="F185" s="14" t="s">
        <v>665</v>
      </c>
      <c r="G185" s="8" t="s">
        <v>670</v>
      </c>
      <c r="H185" s="9">
        <v>87</v>
      </c>
      <c r="I185" s="21">
        <v>1910</v>
      </c>
      <c r="J185" s="11">
        <v>46149</v>
      </c>
      <c r="K185" s="11">
        <v>46155</v>
      </c>
      <c r="L185" s="8" t="s">
        <v>282</v>
      </c>
      <c r="M185" s="14" t="s">
        <v>234</v>
      </c>
      <c r="N185" s="16">
        <v>1556</v>
      </c>
      <c r="O185" s="14" t="s">
        <v>241</v>
      </c>
      <c r="P185" s="14"/>
      <c r="Q185" s="20">
        <f t="shared" si="2"/>
        <v>0</v>
      </c>
      <c r="S185" s="20">
        <f>SUMIFS('Doc''s Pagos | Rodopar 108'!$J:$J,'Doc''s Pagos | Rodopar 108'!$A:$A,$B185&amp;$E185&amp;$F185&amp;$J185,'Doc''s Pagos | Rodopar 108'!$B:$B,S$1)+SUMIFS('Doc Há Pagar | Rodopar 1015'!$J:$J,'Doc Há Pagar | Rodopar 1015'!$A:$A,$B185&amp;$E185&amp;$F185,'Doc Há Pagar | Rodopar 1015'!$B:$B,S$1)</f>
        <v>0</v>
      </c>
      <c r="T185" s="20">
        <f>SUMIFS('Doc''s Pagos | Rodopar 108'!$J:$J,'Doc''s Pagos | Rodopar 108'!$A:$A,$B185&amp;$E185&amp;$F185&amp;$J185,'Doc''s Pagos | Rodopar 108'!$B:$B,T$1)+SUMIFS('Doc Há Pagar | Rodopar 1015'!$J:$J,'Doc Há Pagar | Rodopar 1015'!$A:$A,$B185&amp;$E185&amp;$F185,'Doc Há Pagar | Rodopar 1015'!$B:$B,T$1)</f>
        <v>0</v>
      </c>
      <c r="U185" s="20">
        <f>SUMIFS('Doc''s Pagos | Rodopar 108'!$J:$J,'Doc''s Pagos | Rodopar 108'!$A:$A,$B185&amp;$E185&amp;$F185&amp;$J185,'Doc''s Pagos | Rodopar 108'!$B:$B,U$1)+SUMIFS('Doc Há Pagar | Rodopar 1015'!$J:$J,'Doc Há Pagar | Rodopar 1015'!$A:$A,$B185&amp;$E185&amp;$F185,'Doc Há Pagar | Rodopar 1015'!$B:$B,U$1)</f>
        <v>0</v>
      </c>
      <c r="V185" s="20">
        <f>SUMIFS('Doc''s Pagos | Rodopar 108'!$J:$J,'Doc''s Pagos | Rodopar 108'!$A:$A,$B185&amp;$E185&amp;$F185&amp;$J185,'Doc''s Pagos | Rodopar 108'!$B:$B,V$1)+SUMIFS('Doc Há Pagar | Rodopar 1015'!$J:$J,'Doc Há Pagar | Rodopar 1015'!$A:$A,$B185&amp;$E185&amp;$F185,'Doc Há Pagar | Rodopar 1015'!$B:$B,V$1)</f>
        <v>0</v>
      </c>
      <c r="W185" s="20">
        <f>SUMIFS('Doc''s Pagos | Rodopar 108'!$J:$J,'Doc''s Pagos | Rodopar 108'!$A:$A,$B185&amp;$E185&amp;$F185&amp;$J185,'Doc''s Pagos | Rodopar 108'!$B:$B,W$1)+SUMIFS('Doc Há Pagar | Rodopar 1015'!$J:$J,'Doc Há Pagar | Rodopar 1015'!$A:$A,$B185&amp;$E185&amp;$F185,'Doc Há Pagar | Rodopar 1015'!$B:$B,W$1)</f>
        <v>0</v>
      </c>
      <c r="X185" s="20">
        <f>SUMIFS('Doc''s Pagos | Rodopar 108'!$J:$J,'Doc''s Pagos | Rodopar 108'!$A:$A,$B185&amp;$E185&amp;$F185&amp;$J185,'Doc''s Pagos | Rodopar 108'!$B:$B,X$1)+SUMIFS('Doc Há Pagar | Rodopar 1015'!$J:$J,'Doc Há Pagar | Rodopar 1015'!$A:$A,$B185&amp;$E185&amp;$F185,'Doc Há Pagar | Rodopar 1015'!$B:$B,X$1)</f>
        <v>1910</v>
      </c>
      <c r="Y185" s="20">
        <f>SUMIFS('Doc''s Pagos | Rodopar 108'!$J:$J,'Doc''s Pagos | Rodopar 108'!$A:$A,$B185&amp;$E185&amp;$F185&amp;$J185,'Doc''s Pagos | Rodopar 108'!$B:$B,Y$1)+SUMIFS('Doc Há Pagar | Rodopar 1015'!$J:$J,'Doc Há Pagar | Rodopar 1015'!$A:$A,$B185&amp;$E185&amp;$F185,'Doc Há Pagar | Rodopar 1015'!$B:$B,Y$1)</f>
        <v>0</v>
      </c>
      <c r="Z185" s="20">
        <f>SUMIFS('Doc''s Pagos | Rodopar 108'!$J:$J,'Doc''s Pagos | Rodopar 108'!$A:$A,$B185&amp;$E185&amp;$F185&amp;$J185,'Doc''s Pagos | Rodopar 108'!$B:$B,Z$1)+SUMIFS('Doc Há Pagar | Rodopar 1015'!$J:$J,'Doc Há Pagar | Rodopar 1015'!$A:$A,$B185&amp;$E185&amp;$F185,'Doc Há Pagar | Rodopar 1015'!$B:$B,Z$1)</f>
        <v>0</v>
      </c>
      <c r="AA185" s="20">
        <f>SUMIFS('Doc''s Pagos | Rodopar 108'!$J:$J,'Doc''s Pagos | Rodopar 108'!$A:$A,$B185&amp;$E185&amp;$F185&amp;$J185,'Doc''s Pagos | Rodopar 108'!$B:$B,AA$1)+SUMIFS('Doc Há Pagar | Rodopar 1015'!$J:$J,'Doc Há Pagar | Rodopar 1015'!$A:$A,$B185&amp;$E185&amp;$F185,'Doc Há Pagar | Rodopar 1015'!$B:$B,AA$1)</f>
        <v>0</v>
      </c>
      <c r="AB185" s="20">
        <f>SUMIFS('Doc''s Pagos | Rodopar 108'!$J:$J,'Doc''s Pagos | Rodopar 108'!$A:$A,$B185&amp;$E185&amp;$F185&amp;$J185,'Doc''s Pagos | Rodopar 108'!$B:$B,AB$1)+SUMIFS('Doc Há Pagar | Rodopar 1015'!$J:$J,'Doc Há Pagar | Rodopar 1015'!$A:$A,$B185&amp;$E185&amp;$F185,'Doc Há Pagar | Rodopar 1015'!$B:$B,AB$1)</f>
        <v>0</v>
      </c>
      <c r="AC185" s="20">
        <f>SUMIFS('Doc''s Pagos | Rodopar 108'!$J:$J,'Doc''s Pagos | Rodopar 108'!$A:$A,$B185&amp;$E185&amp;$F185&amp;$J185,'Doc''s Pagos | Rodopar 108'!$B:$B,AC$1)+SUMIFS('Doc Há Pagar | Rodopar 1015'!$J:$J,'Doc Há Pagar | Rodopar 1015'!$A:$A,$B185&amp;$E185&amp;$F185,'Doc Há Pagar | Rodopar 1015'!$B:$B,AC$1)</f>
        <v>0</v>
      </c>
      <c r="AD185" s="20">
        <f>SUMIFS('Doc''s Pagos | Rodopar 108'!$J:$J,'Doc''s Pagos | Rodopar 108'!$A:$A,$B185&amp;$E185&amp;$F185&amp;$J185,'Doc''s Pagos | Rodopar 108'!$B:$B,AD$1)+SUMIFS('Doc Há Pagar | Rodopar 1015'!$J:$J,'Doc Há Pagar | Rodopar 1015'!$A:$A,$B185&amp;$E185&amp;$F185,'Doc Há Pagar | Rodopar 1015'!$B:$B,AD$1)</f>
        <v>0</v>
      </c>
    </row>
    <row r="186" spans="1:30" x14ac:dyDescent="0.25">
      <c r="A186" s="1" t="str">
        <f>VLOOKUP($E186,Fornecedores!$A:$C,3,0)</f>
        <v>Frota</v>
      </c>
      <c r="B186" s="14">
        <v>80</v>
      </c>
      <c r="C186" s="14" t="str">
        <f>IFERROR(VLOOKUP($E186,Fornecedores!$A:$E,4,0),"")</f>
        <v>Manutenção</v>
      </c>
      <c r="D186" s="14" t="str">
        <f>IFERROR(VLOOKUP($E186,Fornecedores!$A:$E,5,0),"")</f>
        <v>Peças E Serviços</v>
      </c>
      <c r="E186" s="8" t="s">
        <v>67</v>
      </c>
      <c r="F186" s="14" t="s">
        <v>665</v>
      </c>
      <c r="G186" s="8" t="s">
        <v>931</v>
      </c>
      <c r="H186" s="9">
        <v>87</v>
      </c>
      <c r="I186" s="21">
        <v>2700</v>
      </c>
      <c r="J186" s="11">
        <v>46149</v>
      </c>
      <c r="K186" s="11">
        <v>46153</v>
      </c>
      <c r="L186" s="8" t="s">
        <v>932</v>
      </c>
      <c r="M186" s="14" t="s">
        <v>234</v>
      </c>
      <c r="N186" s="16">
        <v>1556</v>
      </c>
      <c r="O186" s="14" t="s">
        <v>241</v>
      </c>
      <c r="P186" s="14"/>
      <c r="Q186" s="20">
        <f t="shared" si="2"/>
        <v>0</v>
      </c>
      <c r="S186" s="20">
        <f>SUMIFS('Doc''s Pagos | Rodopar 108'!$J:$J,'Doc''s Pagos | Rodopar 108'!$A:$A,$B186&amp;$E186&amp;$F186&amp;$J186,'Doc''s Pagos | Rodopar 108'!$B:$B,S$1)+SUMIFS('Doc Há Pagar | Rodopar 1015'!$J:$J,'Doc Há Pagar | Rodopar 1015'!$A:$A,$B186&amp;$E186&amp;$F186,'Doc Há Pagar | Rodopar 1015'!$B:$B,S$1)</f>
        <v>0</v>
      </c>
      <c r="T186" s="20">
        <f>SUMIFS('Doc''s Pagos | Rodopar 108'!$J:$J,'Doc''s Pagos | Rodopar 108'!$A:$A,$B186&amp;$E186&amp;$F186&amp;$J186,'Doc''s Pagos | Rodopar 108'!$B:$B,T$1)+SUMIFS('Doc Há Pagar | Rodopar 1015'!$J:$J,'Doc Há Pagar | Rodopar 1015'!$A:$A,$B186&amp;$E186&amp;$F186,'Doc Há Pagar | Rodopar 1015'!$B:$B,T$1)</f>
        <v>0</v>
      </c>
      <c r="U186" s="20">
        <f>SUMIFS('Doc''s Pagos | Rodopar 108'!$J:$J,'Doc''s Pagos | Rodopar 108'!$A:$A,$B186&amp;$E186&amp;$F186&amp;$J186,'Doc''s Pagos | Rodopar 108'!$B:$B,U$1)+SUMIFS('Doc Há Pagar | Rodopar 1015'!$J:$J,'Doc Há Pagar | Rodopar 1015'!$A:$A,$B186&amp;$E186&amp;$F186,'Doc Há Pagar | Rodopar 1015'!$B:$B,U$1)</f>
        <v>0</v>
      </c>
      <c r="V186" s="20">
        <f>SUMIFS('Doc''s Pagos | Rodopar 108'!$J:$J,'Doc''s Pagos | Rodopar 108'!$A:$A,$B186&amp;$E186&amp;$F186&amp;$J186,'Doc''s Pagos | Rodopar 108'!$B:$B,V$1)+SUMIFS('Doc Há Pagar | Rodopar 1015'!$J:$J,'Doc Há Pagar | Rodopar 1015'!$A:$A,$B186&amp;$E186&amp;$F186,'Doc Há Pagar | Rodopar 1015'!$B:$B,V$1)</f>
        <v>0</v>
      </c>
      <c r="W186" s="20">
        <f>SUMIFS('Doc''s Pagos | Rodopar 108'!$J:$J,'Doc''s Pagos | Rodopar 108'!$A:$A,$B186&amp;$E186&amp;$F186&amp;$J186,'Doc''s Pagos | Rodopar 108'!$B:$B,W$1)+SUMIFS('Doc Há Pagar | Rodopar 1015'!$J:$J,'Doc Há Pagar | Rodopar 1015'!$A:$A,$B186&amp;$E186&amp;$F186,'Doc Há Pagar | Rodopar 1015'!$B:$B,W$1)</f>
        <v>0</v>
      </c>
      <c r="X186" s="20">
        <f>SUMIFS('Doc''s Pagos | Rodopar 108'!$J:$J,'Doc''s Pagos | Rodopar 108'!$A:$A,$B186&amp;$E186&amp;$F186&amp;$J186,'Doc''s Pagos | Rodopar 108'!$B:$B,X$1)+SUMIFS('Doc Há Pagar | Rodopar 1015'!$J:$J,'Doc Há Pagar | Rodopar 1015'!$A:$A,$B186&amp;$E186&amp;$F186,'Doc Há Pagar | Rodopar 1015'!$B:$B,X$1)</f>
        <v>2700</v>
      </c>
      <c r="Y186" s="20">
        <f>SUMIFS('Doc''s Pagos | Rodopar 108'!$J:$J,'Doc''s Pagos | Rodopar 108'!$A:$A,$B186&amp;$E186&amp;$F186&amp;$J186,'Doc''s Pagos | Rodopar 108'!$B:$B,Y$1)+SUMIFS('Doc Há Pagar | Rodopar 1015'!$J:$J,'Doc Há Pagar | Rodopar 1015'!$A:$A,$B186&amp;$E186&amp;$F186,'Doc Há Pagar | Rodopar 1015'!$B:$B,Y$1)</f>
        <v>0</v>
      </c>
      <c r="Z186" s="20">
        <f>SUMIFS('Doc''s Pagos | Rodopar 108'!$J:$J,'Doc''s Pagos | Rodopar 108'!$A:$A,$B186&amp;$E186&amp;$F186&amp;$J186,'Doc''s Pagos | Rodopar 108'!$B:$B,Z$1)+SUMIFS('Doc Há Pagar | Rodopar 1015'!$J:$J,'Doc Há Pagar | Rodopar 1015'!$A:$A,$B186&amp;$E186&amp;$F186,'Doc Há Pagar | Rodopar 1015'!$B:$B,Z$1)</f>
        <v>0</v>
      </c>
      <c r="AA186" s="20">
        <f>SUMIFS('Doc''s Pagos | Rodopar 108'!$J:$J,'Doc''s Pagos | Rodopar 108'!$A:$A,$B186&amp;$E186&amp;$F186&amp;$J186,'Doc''s Pagos | Rodopar 108'!$B:$B,AA$1)+SUMIFS('Doc Há Pagar | Rodopar 1015'!$J:$J,'Doc Há Pagar | Rodopar 1015'!$A:$A,$B186&amp;$E186&amp;$F186,'Doc Há Pagar | Rodopar 1015'!$B:$B,AA$1)</f>
        <v>0</v>
      </c>
      <c r="AB186" s="20">
        <f>SUMIFS('Doc''s Pagos | Rodopar 108'!$J:$J,'Doc''s Pagos | Rodopar 108'!$A:$A,$B186&amp;$E186&amp;$F186&amp;$J186,'Doc''s Pagos | Rodopar 108'!$B:$B,AB$1)+SUMIFS('Doc Há Pagar | Rodopar 1015'!$J:$J,'Doc Há Pagar | Rodopar 1015'!$A:$A,$B186&amp;$E186&amp;$F186,'Doc Há Pagar | Rodopar 1015'!$B:$B,AB$1)</f>
        <v>0</v>
      </c>
      <c r="AC186" s="20">
        <f>SUMIFS('Doc''s Pagos | Rodopar 108'!$J:$J,'Doc''s Pagos | Rodopar 108'!$A:$A,$B186&amp;$E186&amp;$F186&amp;$J186,'Doc''s Pagos | Rodopar 108'!$B:$B,AC$1)+SUMIFS('Doc Há Pagar | Rodopar 1015'!$J:$J,'Doc Há Pagar | Rodopar 1015'!$A:$A,$B186&amp;$E186&amp;$F186,'Doc Há Pagar | Rodopar 1015'!$B:$B,AC$1)</f>
        <v>0</v>
      </c>
      <c r="AD186" s="20">
        <f>SUMIFS('Doc''s Pagos | Rodopar 108'!$J:$J,'Doc''s Pagos | Rodopar 108'!$A:$A,$B186&amp;$E186&amp;$F186&amp;$J186,'Doc''s Pagos | Rodopar 108'!$B:$B,AD$1)+SUMIFS('Doc Há Pagar | Rodopar 1015'!$J:$J,'Doc Há Pagar | Rodopar 1015'!$A:$A,$B186&amp;$E186&amp;$F186,'Doc Há Pagar | Rodopar 1015'!$B:$B,AD$1)</f>
        <v>0</v>
      </c>
    </row>
    <row r="187" spans="1:30" x14ac:dyDescent="0.25">
      <c r="A187" s="1" t="str">
        <f>VLOOKUP($E187,Fornecedores!$A:$C,3,0)</f>
        <v>Frota</v>
      </c>
      <c r="B187" s="14">
        <v>881973</v>
      </c>
      <c r="C187" s="14" t="str">
        <f>IFERROR(VLOOKUP($E187,Fornecedores!$A:$E,4,0),"")</f>
        <v>Telemetria</v>
      </c>
      <c r="D187" s="14" t="str">
        <f>IFERROR(VLOOKUP($E187,Fornecedores!$A:$E,5,0),"")</f>
        <v>Telemetria</v>
      </c>
      <c r="E187" s="8" t="s">
        <v>179</v>
      </c>
      <c r="F187" s="14" t="s">
        <v>665</v>
      </c>
      <c r="G187" s="8" t="s">
        <v>673</v>
      </c>
      <c r="H187" s="9">
        <v>87</v>
      </c>
      <c r="I187" s="21">
        <v>357.45</v>
      </c>
      <c r="J187" s="11">
        <v>46149</v>
      </c>
      <c r="K187" s="11">
        <v>46156</v>
      </c>
      <c r="L187" s="8" t="s">
        <v>674</v>
      </c>
      <c r="M187" s="14" t="s">
        <v>263</v>
      </c>
      <c r="N187" s="16">
        <v>2556</v>
      </c>
      <c r="O187" s="14" t="s">
        <v>241</v>
      </c>
      <c r="P187" s="14"/>
      <c r="Q187" s="20">
        <f t="shared" si="2"/>
        <v>0</v>
      </c>
      <c r="S187" s="20">
        <f>SUMIFS('Doc''s Pagos | Rodopar 108'!$J:$J,'Doc''s Pagos | Rodopar 108'!$A:$A,$B187&amp;$E187&amp;$F187&amp;$J187,'Doc''s Pagos | Rodopar 108'!$B:$B,S$1)+SUMIFS('Doc Há Pagar | Rodopar 1015'!$J:$J,'Doc Há Pagar | Rodopar 1015'!$A:$A,$B187&amp;$E187&amp;$F187,'Doc Há Pagar | Rodopar 1015'!$B:$B,S$1)</f>
        <v>0</v>
      </c>
      <c r="T187" s="20">
        <f>SUMIFS('Doc''s Pagos | Rodopar 108'!$J:$J,'Doc''s Pagos | Rodopar 108'!$A:$A,$B187&amp;$E187&amp;$F187&amp;$J187,'Doc''s Pagos | Rodopar 108'!$B:$B,T$1)+SUMIFS('Doc Há Pagar | Rodopar 1015'!$J:$J,'Doc Há Pagar | Rodopar 1015'!$A:$A,$B187&amp;$E187&amp;$F187,'Doc Há Pagar | Rodopar 1015'!$B:$B,T$1)</f>
        <v>0</v>
      </c>
      <c r="U187" s="20">
        <f>SUMIFS('Doc''s Pagos | Rodopar 108'!$J:$J,'Doc''s Pagos | Rodopar 108'!$A:$A,$B187&amp;$E187&amp;$F187&amp;$J187,'Doc''s Pagos | Rodopar 108'!$B:$B,U$1)+SUMIFS('Doc Há Pagar | Rodopar 1015'!$J:$J,'Doc Há Pagar | Rodopar 1015'!$A:$A,$B187&amp;$E187&amp;$F187,'Doc Há Pagar | Rodopar 1015'!$B:$B,U$1)</f>
        <v>0</v>
      </c>
      <c r="V187" s="20">
        <f>SUMIFS('Doc''s Pagos | Rodopar 108'!$J:$J,'Doc''s Pagos | Rodopar 108'!$A:$A,$B187&amp;$E187&amp;$F187&amp;$J187,'Doc''s Pagos | Rodopar 108'!$B:$B,V$1)+SUMIFS('Doc Há Pagar | Rodopar 1015'!$J:$J,'Doc Há Pagar | Rodopar 1015'!$A:$A,$B187&amp;$E187&amp;$F187,'Doc Há Pagar | Rodopar 1015'!$B:$B,V$1)</f>
        <v>0</v>
      </c>
      <c r="W187" s="20">
        <f>SUMIFS('Doc''s Pagos | Rodopar 108'!$J:$J,'Doc''s Pagos | Rodopar 108'!$A:$A,$B187&amp;$E187&amp;$F187&amp;$J187,'Doc''s Pagos | Rodopar 108'!$B:$B,W$1)+SUMIFS('Doc Há Pagar | Rodopar 1015'!$J:$J,'Doc Há Pagar | Rodopar 1015'!$A:$A,$B187&amp;$E187&amp;$F187,'Doc Há Pagar | Rodopar 1015'!$B:$B,W$1)</f>
        <v>0</v>
      </c>
      <c r="X187" s="20">
        <f>SUMIFS('Doc''s Pagos | Rodopar 108'!$J:$J,'Doc''s Pagos | Rodopar 108'!$A:$A,$B187&amp;$E187&amp;$F187&amp;$J187,'Doc''s Pagos | Rodopar 108'!$B:$B,X$1)+SUMIFS('Doc Há Pagar | Rodopar 1015'!$J:$J,'Doc Há Pagar | Rodopar 1015'!$A:$A,$B187&amp;$E187&amp;$F187,'Doc Há Pagar | Rodopar 1015'!$B:$B,X$1)</f>
        <v>357.45</v>
      </c>
      <c r="Y187" s="20">
        <f>SUMIFS('Doc''s Pagos | Rodopar 108'!$J:$J,'Doc''s Pagos | Rodopar 108'!$A:$A,$B187&amp;$E187&amp;$F187&amp;$J187,'Doc''s Pagos | Rodopar 108'!$B:$B,Y$1)+SUMIFS('Doc Há Pagar | Rodopar 1015'!$J:$J,'Doc Há Pagar | Rodopar 1015'!$A:$A,$B187&amp;$E187&amp;$F187,'Doc Há Pagar | Rodopar 1015'!$B:$B,Y$1)</f>
        <v>0</v>
      </c>
      <c r="Z187" s="20">
        <f>SUMIFS('Doc''s Pagos | Rodopar 108'!$J:$J,'Doc''s Pagos | Rodopar 108'!$A:$A,$B187&amp;$E187&amp;$F187&amp;$J187,'Doc''s Pagos | Rodopar 108'!$B:$B,Z$1)+SUMIFS('Doc Há Pagar | Rodopar 1015'!$J:$J,'Doc Há Pagar | Rodopar 1015'!$A:$A,$B187&amp;$E187&amp;$F187,'Doc Há Pagar | Rodopar 1015'!$B:$B,Z$1)</f>
        <v>0</v>
      </c>
      <c r="AA187" s="20">
        <f>SUMIFS('Doc''s Pagos | Rodopar 108'!$J:$J,'Doc''s Pagos | Rodopar 108'!$A:$A,$B187&amp;$E187&amp;$F187&amp;$J187,'Doc''s Pagos | Rodopar 108'!$B:$B,AA$1)+SUMIFS('Doc Há Pagar | Rodopar 1015'!$J:$J,'Doc Há Pagar | Rodopar 1015'!$A:$A,$B187&amp;$E187&amp;$F187,'Doc Há Pagar | Rodopar 1015'!$B:$B,AA$1)</f>
        <v>0</v>
      </c>
      <c r="AB187" s="20">
        <f>SUMIFS('Doc''s Pagos | Rodopar 108'!$J:$J,'Doc''s Pagos | Rodopar 108'!$A:$A,$B187&amp;$E187&amp;$F187&amp;$J187,'Doc''s Pagos | Rodopar 108'!$B:$B,AB$1)+SUMIFS('Doc Há Pagar | Rodopar 1015'!$J:$J,'Doc Há Pagar | Rodopar 1015'!$A:$A,$B187&amp;$E187&amp;$F187,'Doc Há Pagar | Rodopar 1015'!$B:$B,AB$1)</f>
        <v>0</v>
      </c>
      <c r="AC187" s="20">
        <f>SUMIFS('Doc''s Pagos | Rodopar 108'!$J:$J,'Doc''s Pagos | Rodopar 108'!$A:$A,$B187&amp;$E187&amp;$F187&amp;$J187,'Doc''s Pagos | Rodopar 108'!$B:$B,AC$1)+SUMIFS('Doc Há Pagar | Rodopar 1015'!$J:$J,'Doc Há Pagar | Rodopar 1015'!$A:$A,$B187&amp;$E187&amp;$F187,'Doc Há Pagar | Rodopar 1015'!$B:$B,AC$1)</f>
        <v>0</v>
      </c>
      <c r="AD187" s="20">
        <f>SUMIFS('Doc''s Pagos | Rodopar 108'!$J:$J,'Doc''s Pagos | Rodopar 108'!$A:$A,$B187&amp;$E187&amp;$F187&amp;$J187,'Doc''s Pagos | Rodopar 108'!$B:$B,AD$1)+SUMIFS('Doc Há Pagar | Rodopar 1015'!$J:$J,'Doc Há Pagar | Rodopar 1015'!$A:$A,$B187&amp;$E187&amp;$F187,'Doc Há Pagar | Rodopar 1015'!$B:$B,AD$1)</f>
        <v>0</v>
      </c>
    </row>
    <row r="188" spans="1:30" x14ac:dyDescent="0.25">
      <c r="A188" s="1" t="str">
        <f>VLOOKUP($E188,Fornecedores!$A:$C,3,0)</f>
        <v>Frota</v>
      </c>
      <c r="B188" s="14">
        <v>183</v>
      </c>
      <c r="C188" s="14" t="str">
        <f>IFERROR(VLOOKUP($E188,Fornecedores!$A:$E,4,0),"")</f>
        <v>Manutenção</v>
      </c>
      <c r="D188" s="14" t="str">
        <f>IFERROR(VLOOKUP($E188,Fornecedores!$A:$E,5,0),"")</f>
        <v>Peças E Serviços</v>
      </c>
      <c r="E188" s="8" t="s">
        <v>130</v>
      </c>
      <c r="F188" s="14" t="s">
        <v>380</v>
      </c>
      <c r="G188" s="8" t="s">
        <v>432</v>
      </c>
      <c r="H188" s="9">
        <v>87</v>
      </c>
      <c r="I188" s="21">
        <v>980</v>
      </c>
      <c r="J188" s="11">
        <v>46153</v>
      </c>
      <c r="K188" s="11">
        <v>46153</v>
      </c>
      <c r="L188" s="8" t="s">
        <v>428</v>
      </c>
      <c r="M188" s="14" t="s">
        <v>234</v>
      </c>
      <c r="N188" s="16">
        <v>1556</v>
      </c>
      <c r="O188" s="14" t="s">
        <v>241</v>
      </c>
      <c r="P188" s="14"/>
      <c r="Q188" s="20">
        <f t="shared" si="2"/>
        <v>0</v>
      </c>
      <c r="S188" s="20">
        <f>SUMIFS('Doc''s Pagos | Rodopar 108'!$J:$J,'Doc''s Pagos | Rodopar 108'!$A:$A,$B188&amp;$E188&amp;$F188&amp;$J188,'Doc''s Pagos | Rodopar 108'!$B:$B,S$1)+SUMIFS('Doc Há Pagar | Rodopar 1015'!$J:$J,'Doc Há Pagar | Rodopar 1015'!$A:$A,$B188&amp;$E188&amp;$F188,'Doc Há Pagar | Rodopar 1015'!$B:$B,S$1)</f>
        <v>0</v>
      </c>
      <c r="T188" s="20">
        <f>SUMIFS('Doc''s Pagos | Rodopar 108'!$J:$J,'Doc''s Pagos | Rodopar 108'!$A:$A,$B188&amp;$E188&amp;$F188&amp;$J188,'Doc''s Pagos | Rodopar 108'!$B:$B,T$1)+SUMIFS('Doc Há Pagar | Rodopar 1015'!$J:$J,'Doc Há Pagar | Rodopar 1015'!$A:$A,$B188&amp;$E188&amp;$F188,'Doc Há Pagar | Rodopar 1015'!$B:$B,T$1)</f>
        <v>0</v>
      </c>
      <c r="U188" s="20">
        <f>SUMIFS('Doc''s Pagos | Rodopar 108'!$J:$J,'Doc''s Pagos | Rodopar 108'!$A:$A,$B188&amp;$E188&amp;$F188&amp;$J188,'Doc''s Pagos | Rodopar 108'!$B:$B,U$1)+SUMIFS('Doc Há Pagar | Rodopar 1015'!$J:$J,'Doc Há Pagar | Rodopar 1015'!$A:$A,$B188&amp;$E188&amp;$F188,'Doc Há Pagar | Rodopar 1015'!$B:$B,U$1)</f>
        <v>0</v>
      </c>
      <c r="V188" s="20">
        <f>SUMIFS('Doc''s Pagos | Rodopar 108'!$J:$J,'Doc''s Pagos | Rodopar 108'!$A:$A,$B188&amp;$E188&amp;$F188&amp;$J188,'Doc''s Pagos | Rodopar 108'!$B:$B,V$1)+SUMIFS('Doc Há Pagar | Rodopar 1015'!$J:$J,'Doc Há Pagar | Rodopar 1015'!$A:$A,$B188&amp;$E188&amp;$F188,'Doc Há Pagar | Rodopar 1015'!$B:$B,V$1)</f>
        <v>0</v>
      </c>
      <c r="W188" s="20">
        <f>SUMIFS('Doc''s Pagos | Rodopar 108'!$J:$J,'Doc''s Pagos | Rodopar 108'!$A:$A,$B188&amp;$E188&amp;$F188&amp;$J188,'Doc''s Pagos | Rodopar 108'!$B:$B,W$1)+SUMIFS('Doc Há Pagar | Rodopar 1015'!$J:$J,'Doc Há Pagar | Rodopar 1015'!$A:$A,$B188&amp;$E188&amp;$F188,'Doc Há Pagar | Rodopar 1015'!$B:$B,W$1)</f>
        <v>980</v>
      </c>
      <c r="X188" s="20">
        <f>SUMIFS('Doc''s Pagos | Rodopar 108'!$J:$J,'Doc''s Pagos | Rodopar 108'!$A:$A,$B188&amp;$E188&amp;$F188&amp;$J188,'Doc''s Pagos | Rodopar 108'!$B:$B,X$1)+SUMIFS('Doc Há Pagar | Rodopar 1015'!$J:$J,'Doc Há Pagar | Rodopar 1015'!$A:$A,$B188&amp;$E188&amp;$F188,'Doc Há Pagar | Rodopar 1015'!$B:$B,X$1)</f>
        <v>0</v>
      </c>
      <c r="Y188" s="20">
        <f>SUMIFS('Doc''s Pagos | Rodopar 108'!$J:$J,'Doc''s Pagos | Rodopar 108'!$A:$A,$B188&amp;$E188&amp;$F188&amp;$J188,'Doc''s Pagos | Rodopar 108'!$B:$B,Y$1)+SUMIFS('Doc Há Pagar | Rodopar 1015'!$J:$J,'Doc Há Pagar | Rodopar 1015'!$A:$A,$B188&amp;$E188&amp;$F188,'Doc Há Pagar | Rodopar 1015'!$B:$B,Y$1)</f>
        <v>0</v>
      </c>
      <c r="Z188" s="20">
        <f>SUMIFS('Doc''s Pagos | Rodopar 108'!$J:$J,'Doc''s Pagos | Rodopar 108'!$A:$A,$B188&amp;$E188&amp;$F188&amp;$J188,'Doc''s Pagos | Rodopar 108'!$B:$B,Z$1)+SUMIFS('Doc Há Pagar | Rodopar 1015'!$J:$J,'Doc Há Pagar | Rodopar 1015'!$A:$A,$B188&amp;$E188&amp;$F188,'Doc Há Pagar | Rodopar 1015'!$B:$B,Z$1)</f>
        <v>0</v>
      </c>
      <c r="AA188" s="20">
        <f>SUMIFS('Doc''s Pagos | Rodopar 108'!$J:$J,'Doc''s Pagos | Rodopar 108'!$A:$A,$B188&amp;$E188&amp;$F188&amp;$J188,'Doc''s Pagos | Rodopar 108'!$B:$B,AA$1)+SUMIFS('Doc Há Pagar | Rodopar 1015'!$J:$J,'Doc Há Pagar | Rodopar 1015'!$A:$A,$B188&amp;$E188&amp;$F188,'Doc Há Pagar | Rodopar 1015'!$B:$B,AA$1)</f>
        <v>0</v>
      </c>
      <c r="AB188" s="20">
        <f>SUMIFS('Doc''s Pagos | Rodopar 108'!$J:$J,'Doc''s Pagos | Rodopar 108'!$A:$A,$B188&amp;$E188&amp;$F188&amp;$J188,'Doc''s Pagos | Rodopar 108'!$B:$B,AB$1)+SUMIFS('Doc Há Pagar | Rodopar 1015'!$J:$J,'Doc Há Pagar | Rodopar 1015'!$A:$A,$B188&amp;$E188&amp;$F188,'Doc Há Pagar | Rodopar 1015'!$B:$B,AB$1)</f>
        <v>0</v>
      </c>
      <c r="AC188" s="20">
        <f>SUMIFS('Doc''s Pagos | Rodopar 108'!$J:$J,'Doc''s Pagos | Rodopar 108'!$A:$A,$B188&amp;$E188&amp;$F188&amp;$J188,'Doc''s Pagos | Rodopar 108'!$B:$B,AC$1)+SUMIFS('Doc Há Pagar | Rodopar 1015'!$J:$J,'Doc Há Pagar | Rodopar 1015'!$A:$A,$B188&amp;$E188&amp;$F188,'Doc Há Pagar | Rodopar 1015'!$B:$B,AC$1)</f>
        <v>0</v>
      </c>
      <c r="AD188" s="20">
        <f>SUMIFS('Doc''s Pagos | Rodopar 108'!$J:$J,'Doc''s Pagos | Rodopar 108'!$A:$A,$B188&amp;$E188&amp;$F188&amp;$J188,'Doc''s Pagos | Rodopar 108'!$B:$B,AD$1)+SUMIFS('Doc Há Pagar | Rodopar 1015'!$J:$J,'Doc Há Pagar | Rodopar 1015'!$A:$A,$B188&amp;$E188&amp;$F188,'Doc Há Pagar | Rodopar 1015'!$B:$B,AD$1)</f>
        <v>0</v>
      </c>
    </row>
    <row r="189" spans="1:30" x14ac:dyDescent="0.25">
      <c r="A189" s="1" t="str">
        <f>VLOOKUP($E189,Fornecedores!$A:$C,3,0)</f>
        <v>Frota</v>
      </c>
      <c r="B189" s="14">
        <v>31018</v>
      </c>
      <c r="C189" s="14" t="str">
        <f>IFERROR(VLOOKUP($E189,Fornecedores!$A:$E,4,0),"")</f>
        <v>Manutenção</v>
      </c>
      <c r="D189" s="14" t="str">
        <f>IFERROR(VLOOKUP($E189,Fornecedores!$A:$E,5,0),"")</f>
        <v>Contrato</v>
      </c>
      <c r="E189" s="8" t="s">
        <v>127</v>
      </c>
      <c r="F189" s="14" t="s">
        <v>665</v>
      </c>
      <c r="G189" s="8" t="s">
        <v>809</v>
      </c>
      <c r="H189" s="9">
        <v>87</v>
      </c>
      <c r="I189" s="21">
        <v>52824.78</v>
      </c>
      <c r="J189" s="11">
        <v>46153</v>
      </c>
      <c r="K189" s="11">
        <v>46160</v>
      </c>
      <c r="L189" s="8" t="s">
        <v>810</v>
      </c>
      <c r="M189" s="14" t="s">
        <v>263</v>
      </c>
      <c r="N189" s="16">
        <v>2949</v>
      </c>
      <c r="O189" s="14" t="s">
        <v>410</v>
      </c>
      <c r="P189" s="14"/>
      <c r="Q189" s="20">
        <f t="shared" si="2"/>
        <v>0</v>
      </c>
      <c r="S189" s="20">
        <f>SUMIFS('Doc''s Pagos | Rodopar 108'!$J:$J,'Doc''s Pagos | Rodopar 108'!$A:$A,$B189&amp;$E189&amp;$F189&amp;$J189,'Doc''s Pagos | Rodopar 108'!$B:$B,S$1)+SUMIFS('Doc Há Pagar | Rodopar 1015'!$J:$J,'Doc Há Pagar | Rodopar 1015'!$A:$A,$B189&amp;$E189&amp;$F189,'Doc Há Pagar | Rodopar 1015'!$B:$B,S$1)</f>
        <v>0</v>
      </c>
      <c r="T189" s="20">
        <f>SUMIFS('Doc''s Pagos | Rodopar 108'!$J:$J,'Doc''s Pagos | Rodopar 108'!$A:$A,$B189&amp;$E189&amp;$F189&amp;$J189,'Doc''s Pagos | Rodopar 108'!$B:$B,T$1)+SUMIFS('Doc Há Pagar | Rodopar 1015'!$J:$J,'Doc Há Pagar | Rodopar 1015'!$A:$A,$B189&amp;$E189&amp;$F189,'Doc Há Pagar | Rodopar 1015'!$B:$B,T$1)</f>
        <v>0</v>
      </c>
      <c r="U189" s="20">
        <f>SUMIFS('Doc''s Pagos | Rodopar 108'!$J:$J,'Doc''s Pagos | Rodopar 108'!$A:$A,$B189&amp;$E189&amp;$F189&amp;$J189,'Doc''s Pagos | Rodopar 108'!$B:$B,U$1)+SUMIFS('Doc Há Pagar | Rodopar 1015'!$J:$J,'Doc Há Pagar | Rodopar 1015'!$A:$A,$B189&amp;$E189&amp;$F189,'Doc Há Pagar | Rodopar 1015'!$B:$B,U$1)</f>
        <v>0</v>
      </c>
      <c r="V189" s="20">
        <f>SUMIFS('Doc''s Pagos | Rodopar 108'!$J:$J,'Doc''s Pagos | Rodopar 108'!$A:$A,$B189&amp;$E189&amp;$F189&amp;$J189,'Doc''s Pagos | Rodopar 108'!$B:$B,V$1)+SUMIFS('Doc Há Pagar | Rodopar 1015'!$J:$J,'Doc Há Pagar | Rodopar 1015'!$A:$A,$B189&amp;$E189&amp;$F189,'Doc Há Pagar | Rodopar 1015'!$B:$B,V$1)</f>
        <v>0</v>
      </c>
      <c r="W189" s="20">
        <f>SUMIFS('Doc''s Pagos | Rodopar 108'!$J:$J,'Doc''s Pagos | Rodopar 108'!$A:$A,$B189&amp;$E189&amp;$F189&amp;$J189,'Doc''s Pagos | Rodopar 108'!$B:$B,W$1)+SUMIFS('Doc Há Pagar | Rodopar 1015'!$J:$J,'Doc Há Pagar | Rodopar 1015'!$A:$A,$B189&amp;$E189&amp;$F189,'Doc Há Pagar | Rodopar 1015'!$B:$B,W$1)</f>
        <v>0</v>
      </c>
      <c r="X189" s="20">
        <f>SUMIFS('Doc''s Pagos | Rodopar 108'!$J:$J,'Doc''s Pagos | Rodopar 108'!$A:$A,$B189&amp;$E189&amp;$F189&amp;$J189,'Doc''s Pagos | Rodopar 108'!$B:$B,X$1)+SUMIFS('Doc Há Pagar | Rodopar 1015'!$J:$J,'Doc Há Pagar | Rodopar 1015'!$A:$A,$B189&amp;$E189&amp;$F189,'Doc Há Pagar | Rodopar 1015'!$B:$B,X$1)</f>
        <v>52824.78</v>
      </c>
      <c r="Y189" s="20">
        <f>SUMIFS('Doc''s Pagos | Rodopar 108'!$J:$J,'Doc''s Pagos | Rodopar 108'!$A:$A,$B189&amp;$E189&amp;$F189&amp;$J189,'Doc''s Pagos | Rodopar 108'!$B:$B,Y$1)+SUMIFS('Doc Há Pagar | Rodopar 1015'!$J:$J,'Doc Há Pagar | Rodopar 1015'!$A:$A,$B189&amp;$E189&amp;$F189,'Doc Há Pagar | Rodopar 1015'!$B:$B,Y$1)</f>
        <v>0</v>
      </c>
      <c r="Z189" s="20">
        <f>SUMIFS('Doc''s Pagos | Rodopar 108'!$J:$J,'Doc''s Pagos | Rodopar 108'!$A:$A,$B189&amp;$E189&amp;$F189&amp;$J189,'Doc''s Pagos | Rodopar 108'!$B:$B,Z$1)+SUMIFS('Doc Há Pagar | Rodopar 1015'!$J:$J,'Doc Há Pagar | Rodopar 1015'!$A:$A,$B189&amp;$E189&amp;$F189,'Doc Há Pagar | Rodopar 1015'!$B:$B,Z$1)</f>
        <v>0</v>
      </c>
      <c r="AA189" s="20">
        <f>SUMIFS('Doc''s Pagos | Rodopar 108'!$J:$J,'Doc''s Pagos | Rodopar 108'!$A:$A,$B189&amp;$E189&amp;$F189&amp;$J189,'Doc''s Pagos | Rodopar 108'!$B:$B,AA$1)+SUMIFS('Doc Há Pagar | Rodopar 1015'!$J:$J,'Doc Há Pagar | Rodopar 1015'!$A:$A,$B189&amp;$E189&amp;$F189,'Doc Há Pagar | Rodopar 1015'!$B:$B,AA$1)</f>
        <v>0</v>
      </c>
      <c r="AB189" s="20">
        <f>SUMIFS('Doc''s Pagos | Rodopar 108'!$J:$J,'Doc''s Pagos | Rodopar 108'!$A:$A,$B189&amp;$E189&amp;$F189&amp;$J189,'Doc''s Pagos | Rodopar 108'!$B:$B,AB$1)+SUMIFS('Doc Há Pagar | Rodopar 1015'!$J:$J,'Doc Há Pagar | Rodopar 1015'!$A:$A,$B189&amp;$E189&amp;$F189,'Doc Há Pagar | Rodopar 1015'!$B:$B,AB$1)</f>
        <v>0</v>
      </c>
      <c r="AC189" s="20">
        <f>SUMIFS('Doc''s Pagos | Rodopar 108'!$J:$J,'Doc''s Pagos | Rodopar 108'!$A:$A,$B189&amp;$E189&amp;$F189&amp;$J189,'Doc''s Pagos | Rodopar 108'!$B:$B,AC$1)+SUMIFS('Doc Há Pagar | Rodopar 1015'!$J:$J,'Doc Há Pagar | Rodopar 1015'!$A:$A,$B189&amp;$E189&amp;$F189,'Doc Há Pagar | Rodopar 1015'!$B:$B,AC$1)</f>
        <v>0</v>
      </c>
      <c r="AD189" s="20">
        <f>SUMIFS('Doc''s Pagos | Rodopar 108'!$J:$J,'Doc''s Pagos | Rodopar 108'!$A:$A,$B189&amp;$E189&amp;$F189&amp;$J189,'Doc''s Pagos | Rodopar 108'!$B:$B,AD$1)+SUMIFS('Doc Há Pagar | Rodopar 1015'!$J:$J,'Doc Há Pagar | Rodopar 1015'!$A:$A,$B189&amp;$E189&amp;$F189,'Doc Há Pagar | Rodopar 1015'!$B:$B,AD$1)</f>
        <v>0</v>
      </c>
    </row>
    <row r="190" spans="1:30" x14ac:dyDescent="0.25">
      <c r="A190" s="1" t="str">
        <f>VLOOKUP($E190,Fornecedores!$A:$C,3,0)</f>
        <v>Frota</v>
      </c>
      <c r="B190" s="14">
        <v>37363</v>
      </c>
      <c r="C190" s="14" t="str">
        <f>IFERROR(VLOOKUP($E190,Fornecedores!$A:$E,4,0),"")</f>
        <v>Manutenção</v>
      </c>
      <c r="D190" s="14" t="str">
        <f>IFERROR(VLOOKUP($E190,Fornecedores!$A:$E,5,0),"")</f>
        <v>Vans</v>
      </c>
      <c r="E190" s="8" t="s">
        <v>133</v>
      </c>
      <c r="F190" s="14" t="s">
        <v>380</v>
      </c>
      <c r="G190" s="8" t="s">
        <v>493</v>
      </c>
      <c r="H190" s="9">
        <v>87</v>
      </c>
      <c r="I190" s="21">
        <v>225.18</v>
      </c>
      <c r="J190" s="11">
        <v>46154</v>
      </c>
      <c r="K190" s="11">
        <v>46155</v>
      </c>
      <c r="L190" s="8" t="s">
        <v>494</v>
      </c>
      <c r="M190" s="14" t="s">
        <v>234</v>
      </c>
      <c r="N190" s="16">
        <v>1556</v>
      </c>
      <c r="O190" s="14" t="s">
        <v>241</v>
      </c>
      <c r="P190" s="14"/>
      <c r="Q190" s="20">
        <f t="shared" si="2"/>
        <v>0</v>
      </c>
      <c r="S190" s="20">
        <f>SUMIFS('Doc''s Pagos | Rodopar 108'!$J:$J,'Doc''s Pagos | Rodopar 108'!$A:$A,$B190&amp;$E190&amp;$F190&amp;$J190,'Doc''s Pagos | Rodopar 108'!$B:$B,S$1)+SUMIFS('Doc Há Pagar | Rodopar 1015'!$J:$J,'Doc Há Pagar | Rodopar 1015'!$A:$A,$B190&amp;$E190&amp;$F190,'Doc Há Pagar | Rodopar 1015'!$B:$B,S$1)</f>
        <v>0</v>
      </c>
      <c r="T190" s="20">
        <f>SUMIFS('Doc''s Pagos | Rodopar 108'!$J:$J,'Doc''s Pagos | Rodopar 108'!$A:$A,$B190&amp;$E190&amp;$F190&amp;$J190,'Doc''s Pagos | Rodopar 108'!$B:$B,T$1)+SUMIFS('Doc Há Pagar | Rodopar 1015'!$J:$J,'Doc Há Pagar | Rodopar 1015'!$A:$A,$B190&amp;$E190&amp;$F190,'Doc Há Pagar | Rodopar 1015'!$B:$B,T$1)</f>
        <v>0</v>
      </c>
      <c r="U190" s="20">
        <f>SUMIFS('Doc''s Pagos | Rodopar 108'!$J:$J,'Doc''s Pagos | Rodopar 108'!$A:$A,$B190&amp;$E190&amp;$F190&amp;$J190,'Doc''s Pagos | Rodopar 108'!$B:$B,U$1)+SUMIFS('Doc Há Pagar | Rodopar 1015'!$J:$J,'Doc Há Pagar | Rodopar 1015'!$A:$A,$B190&amp;$E190&amp;$F190,'Doc Há Pagar | Rodopar 1015'!$B:$B,U$1)</f>
        <v>0</v>
      </c>
      <c r="V190" s="20">
        <f>SUMIFS('Doc''s Pagos | Rodopar 108'!$J:$J,'Doc''s Pagos | Rodopar 108'!$A:$A,$B190&amp;$E190&amp;$F190&amp;$J190,'Doc''s Pagos | Rodopar 108'!$B:$B,V$1)+SUMIFS('Doc Há Pagar | Rodopar 1015'!$J:$J,'Doc Há Pagar | Rodopar 1015'!$A:$A,$B190&amp;$E190&amp;$F190,'Doc Há Pagar | Rodopar 1015'!$B:$B,V$1)</f>
        <v>0</v>
      </c>
      <c r="W190" s="20">
        <f>SUMIFS('Doc''s Pagos | Rodopar 108'!$J:$J,'Doc''s Pagos | Rodopar 108'!$A:$A,$B190&amp;$E190&amp;$F190&amp;$J190,'Doc''s Pagos | Rodopar 108'!$B:$B,W$1)+SUMIFS('Doc Há Pagar | Rodopar 1015'!$J:$J,'Doc Há Pagar | Rodopar 1015'!$A:$A,$B190&amp;$E190&amp;$F190,'Doc Há Pagar | Rodopar 1015'!$B:$B,W$1)</f>
        <v>0</v>
      </c>
      <c r="X190" s="20">
        <f>SUMIFS('Doc''s Pagos | Rodopar 108'!$J:$J,'Doc''s Pagos | Rodopar 108'!$A:$A,$B190&amp;$E190&amp;$F190&amp;$J190,'Doc''s Pagos | Rodopar 108'!$B:$B,X$1)+SUMIFS('Doc Há Pagar | Rodopar 1015'!$J:$J,'Doc Há Pagar | Rodopar 1015'!$A:$A,$B190&amp;$E190&amp;$F190,'Doc Há Pagar | Rodopar 1015'!$B:$B,X$1)</f>
        <v>225.18</v>
      </c>
      <c r="Y190" s="20">
        <f>SUMIFS('Doc''s Pagos | Rodopar 108'!$J:$J,'Doc''s Pagos | Rodopar 108'!$A:$A,$B190&amp;$E190&amp;$F190&amp;$J190,'Doc''s Pagos | Rodopar 108'!$B:$B,Y$1)+SUMIFS('Doc Há Pagar | Rodopar 1015'!$J:$J,'Doc Há Pagar | Rodopar 1015'!$A:$A,$B190&amp;$E190&amp;$F190,'Doc Há Pagar | Rodopar 1015'!$B:$B,Y$1)</f>
        <v>0</v>
      </c>
      <c r="Z190" s="20">
        <f>SUMIFS('Doc''s Pagos | Rodopar 108'!$J:$J,'Doc''s Pagos | Rodopar 108'!$A:$A,$B190&amp;$E190&amp;$F190&amp;$J190,'Doc''s Pagos | Rodopar 108'!$B:$B,Z$1)+SUMIFS('Doc Há Pagar | Rodopar 1015'!$J:$J,'Doc Há Pagar | Rodopar 1015'!$A:$A,$B190&amp;$E190&amp;$F190,'Doc Há Pagar | Rodopar 1015'!$B:$B,Z$1)</f>
        <v>0</v>
      </c>
      <c r="AA190" s="20">
        <f>SUMIFS('Doc''s Pagos | Rodopar 108'!$J:$J,'Doc''s Pagos | Rodopar 108'!$A:$A,$B190&amp;$E190&amp;$F190&amp;$J190,'Doc''s Pagos | Rodopar 108'!$B:$B,AA$1)+SUMIFS('Doc Há Pagar | Rodopar 1015'!$J:$J,'Doc Há Pagar | Rodopar 1015'!$A:$A,$B190&amp;$E190&amp;$F190,'Doc Há Pagar | Rodopar 1015'!$B:$B,AA$1)</f>
        <v>0</v>
      </c>
      <c r="AB190" s="20">
        <f>SUMIFS('Doc''s Pagos | Rodopar 108'!$J:$J,'Doc''s Pagos | Rodopar 108'!$A:$A,$B190&amp;$E190&amp;$F190&amp;$J190,'Doc''s Pagos | Rodopar 108'!$B:$B,AB$1)+SUMIFS('Doc Há Pagar | Rodopar 1015'!$J:$J,'Doc Há Pagar | Rodopar 1015'!$A:$A,$B190&amp;$E190&amp;$F190,'Doc Há Pagar | Rodopar 1015'!$B:$B,AB$1)</f>
        <v>0</v>
      </c>
      <c r="AC190" s="20">
        <f>SUMIFS('Doc''s Pagos | Rodopar 108'!$J:$J,'Doc''s Pagos | Rodopar 108'!$A:$A,$B190&amp;$E190&amp;$F190&amp;$J190,'Doc''s Pagos | Rodopar 108'!$B:$B,AC$1)+SUMIFS('Doc Há Pagar | Rodopar 1015'!$J:$J,'Doc Há Pagar | Rodopar 1015'!$A:$A,$B190&amp;$E190&amp;$F190,'Doc Há Pagar | Rodopar 1015'!$B:$B,AC$1)</f>
        <v>0</v>
      </c>
      <c r="AD190" s="20">
        <f>SUMIFS('Doc''s Pagos | Rodopar 108'!$J:$J,'Doc''s Pagos | Rodopar 108'!$A:$A,$B190&amp;$E190&amp;$F190&amp;$J190,'Doc''s Pagos | Rodopar 108'!$B:$B,AD$1)+SUMIFS('Doc Há Pagar | Rodopar 1015'!$J:$J,'Doc Há Pagar | Rodopar 1015'!$A:$A,$B190&amp;$E190&amp;$F190,'Doc Há Pagar | Rodopar 1015'!$B:$B,AD$1)</f>
        <v>0</v>
      </c>
    </row>
    <row r="191" spans="1:30" x14ac:dyDescent="0.25">
      <c r="A191" s="1" t="str">
        <f>VLOOKUP($E191,Fornecedores!$A:$C,3,0)</f>
        <v>Frota</v>
      </c>
      <c r="B191" s="14">
        <v>37377</v>
      </c>
      <c r="C191" s="14" t="str">
        <f>IFERROR(VLOOKUP($E191,Fornecedores!$A:$E,4,0),"")</f>
        <v>Manutenção</v>
      </c>
      <c r="D191" s="14" t="str">
        <f>IFERROR(VLOOKUP($E191,Fornecedores!$A:$E,5,0),"")</f>
        <v>Vans</v>
      </c>
      <c r="E191" s="8" t="s">
        <v>133</v>
      </c>
      <c r="F191" s="14" t="s">
        <v>380</v>
      </c>
      <c r="G191" s="8" t="s">
        <v>493</v>
      </c>
      <c r="H191" s="9">
        <v>87</v>
      </c>
      <c r="I191" s="21">
        <v>2128.84</v>
      </c>
      <c r="J191" s="11">
        <v>46154</v>
      </c>
      <c r="K191" s="11">
        <v>46155</v>
      </c>
      <c r="L191" s="8" t="s">
        <v>494</v>
      </c>
      <c r="M191" s="14" t="s">
        <v>234</v>
      </c>
      <c r="N191" s="16">
        <v>1556</v>
      </c>
      <c r="O191" s="14" t="s">
        <v>241</v>
      </c>
      <c r="P191" s="14"/>
      <c r="Q191" s="20">
        <f t="shared" si="2"/>
        <v>0</v>
      </c>
      <c r="S191" s="20">
        <f>SUMIFS('Doc''s Pagos | Rodopar 108'!$J:$J,'Doc''s Pagos | Rodopar 108'!$A:$A,$B191&amp;$E191&amp;$F191&amp;$J191,'Doc''s Pagos | Rodopar 108'!$B:$B,S$1)+SUMIFS('Doc Há Pagar | Rodopar 1015'!$J:$J,'Doc Há Pagar | Rodopar 1015'!$A:$A,$B191&amp;$E191&amp;$F191,'Doc Há Pagar | Rodopar 1015'!$B:$B,S$1)</f>
        <v>0</v>
      </c>
      <c r="T191" s="20">
        <f>SUMIFS('Doc''s Pagos | Rodopar 108'!$J:$J,'Doc''s Pagos | Rodopar 108'!$A:$A,$B191&amp;$E191&amp;$F191&amp;$J191,'Doc''s Pagos | Rodopar 108'!$B:$B,T$1)+SUMIFS('Doc Há Pagar | Rodopar 1015'!$J:$J,'Doc Há Pagar | Rodopar 1015'!$A:$A,$B191&amp;$E191&amp;$F191,'Doc Há Pagar | Rodopar 1015'!$B:$B,T$1)</f>
        <v>0</v>
      </c>
      <c r="U191" s="20">
        <f>SUMIFS('Doc''s Pagos | Rodopar 108'!$J:$J,'Doc''s Pagos | Rodopar 108'!$A:$A,$B191&amp;$E191&amp;$F191&amp;$J191,'Doc''s Pagos | Rodopar 108'!$B:$B,U$1)+SUMIFS('Doc Há Pagar | Rodopar 1015'!$J:$J,'Doc Há Pagar | Rodopar 1015'!$A:$A,$B191&amp;$E191&amp;$F191,'Doc Há Pagar | Rodopar 1015'!$B:$B,U$1)</f>
        <v>0</v>
      </c>
      <c r="V191" s="20">
        <f>SUMIFS('Doc''s Pagos | Rodopar 108'!$J:$J,'Doc''s Pagos | Rodopar 108'!$A:$A,$B191&amp;$E191&amp;$F191&amp;$J191,'Doc''s Pagos | Rodopar 108'!$B:$B,V$1)+SUMIFS('Doc Há Pagar | Rodopar 1015'!$J:$J,'Doc Há Pagar | Rodopar 1015'!$A:$A,$B191&amp;$E191&amp;$F191,'Doc Há Pagar | Rodopar 1015'!$B:$B,V$1)</f>
        <v>0</v>
      </c>
      <c r="W191" s="20">
        <f>SUMIFS('Doc''s Pagos | Rodopar 108'!$J:$J,'Doc''s Pagos | Rodopar 108'!$A:$A,$B191&amp;$E191&amp;$F191&amp;$J191,'Doc''s Pagos | Rodopar 108'!$B:$B,W$1)+SUMIFS('Doc Há Pagar | Rodopar 1015'!$J:$J,'Doc Há Pagar | Rodopar 1015'!$A:$A,$B191&amp;$E191&amp;$F191,'Doc Há Pagar | Rodopar 1015'!$B:$B,W$1)</f>
        <v>0</v>
      </c>
      <c r="X191" s="20">
        <f>SUMIFS('Doc''s Pagos | Rodopar 108'!$J:$J,'Doc''s Pagos | Rodopar 108'!$A:$A,$B191&amp;$E191&amp;$F191&amp;$J191,'Doc''s Pagos | Rodopar 108'!$B:$B,X$1)+SUMIFS('Doc Há Pagar | Rodopar 1015'!$J:$J,'Doc Há Pagar | Rodopar 1015'!$A:$A,$B191&amp;$E191&amp;$F191,'Doc Há Pagar | Rodopar 1015'!$B:$B,X$1)</f>
        <v>1064.42</v>
      </c>
      <c r="Y191" s="20">
        <f>SUMIFS('Doc''s Pagos | Rodopar 108'!$J:$J,'Doc''s Pagos | Rodopar 108'!$A:$A,$B191&amp;$E191&amp;$F191&amp;$J191,'Doc''s Pagos | Rodopar 108'!$B:$B,Y$1)+SUMIFS('Doc Há Pagar | Rodopar 1015'!$J:$J,'Doc Há Pagar | Rodopar 1015'!$A:$A,$B191&amp;$E191&amp;$F191,'Doc Há Pagar | Rodopar 1015'!$B:$B,Y$1)</f>
        <v>1064.42</v>
      </c>
      <c r="Z191" s="20">
        <f>SUMIFS('Doc''s Pagos | Rodopar 108'!$J:$J,'Doc''s Pagos | Rodopar 108'!$A:$A,$B191&amp;$E191&amp;$F191&amp;$J191,'Doc''s Pagos | Rodopar 108'!$B:$B,Z$1)+SUMIFS('Doc Há Pagar | Rodopar 1015'!$J:$J,'Doc Há Pagar | Rodopar 1015'!$A:$A,$B191&amp;$E191&amp;$F191,'Doc Há Pagar | Rodopar 1015'!$B:$B,Z$1)</f>
        <v>0</v>
      </c>
      <c r="AA191" s="20">
        <f>SUMIFS('Doc''s Pagos | Rodopar 108'!$J:$J,'Doc''s Pagos | Rodopar 108'!$A:$A,$B191&amp;$E191&amp;$F191&amp;$J191,'Doc''s Pagos | Rodopar 108'!$B:$B,AA$1)+SUMIFS('Doc Há Pagar | Rodopar 1015'!$J:$J,'Doc Há Pagar | Rodopar 1015'!$A:$A,$B191&amp;$E191&amp;$F191,'Doc Há Pagar | Rodopar 1015'!$B:$B,AA$1)</f>
        <v>0</v>
      </c>
      <c r="AB191" s="20">
        <f>SUMIFS('Doc''s Pagos | Rodopar 108'!$J:$J,'Doc''s Pagos | Rodopar 108'!$A:$A,$B191&amp;$E191&amp;$F191&amp;$J191,'Doc''s Pagos | Rodopar 108'!$B:$B,AB$1)+SUMIFS('Doc Há Pagar | Rodopar 1015'!$J:$J,'Doc Há Pagar | Rodopar 1015'!$A:$A,$B191&amp;$E191&amp;$F191,'Doc Há Pagar | Rodopar 1015'!$B:$B,AB$1)</f>
        <v>0</v>
      </c>
      <c r="AC191" s="20">
        <f>SUMIFS('Doc''s Pagos | Rodopar 108'!$J:$J,'Doc''s Pagos | Rodopar 108'!$A:$A,$B191&amp;$E191&amp;$F191&amp;$J191,'Doc''s Pagos | Rodopar 108'!$B:$B,AC$1)+SUMIFS('Doc Há Pagar | Rodopar 1015'!$J:$J,'Doc Há Pagar | Rodopar 1015'!$A:$A,$B191&amp;$E191&amp;$F191,'Doc Há Pagar | Rodopar 1015'!$B:$B,AC$1)</f>
        <v>0</v>
      </c>
      <c r="AD191" s="20">
        <f>SUMIFS('Doc''s Pagos | Rodopar 108'!$J:$J,'Doc''s Pagos | Rodopar 108'!$A:$A,$B191&amp;$E191&amp;$F191&amp;$J191,'Doc''s Pagos | Rodopar 108'!$B:$B,AD$1)+SUMIFS('Doc Há Pagar | Rodopar 1015'!$J:$J,'Doc Há Pagar | Rodopar 1015'!$A:$A,$B191&amp;$E191&amp;$F191,'Doc Há Pagar | Rodopar 1015'!$B:$B,AD$1)</f>
        <v>0</v>
      </c>
    </row>
    <row r="192" spans="1:30" x14ac:dyDescent="0.25">
      <c r="A192" s="1" t="str">
        <f>VLOOKUP($E192,Fornecedores!$A:$C,3,0)</f>
        <v>Frota</v>
      </c>
      <c r="B192" s="14">
        <v>1199</v>
      </c>
      <c r="C192" s="14" t="str">
        <f>IFERROR(VLOOKUP($E192,Fornecedores!$A:$E,4,0),"")</f>
        <v>Manutenção</v>
      </c>
      <c r="D192" s="14" t="str">
        <f>IFERROR(VLOOKUP($E192,Fornecedores!$A:$E,5,0),"")</f>
        <v>Vans</v>
      </c>
      <c r="E192" s="8" t="s">
        <v>133</v>
      </c>
      <c r="F192" s="14" t="s">
        <v>665</v>
      </c>
      <c r="G192" s="8" t="s">
        <v>493</v>
      </c>
      <c r="H192" s="9">
        <v>87</v>
      </c>
      <c r="I192" s="21">
        <v>1390.5</v>
      </c>
      <c r="J192" s="11">
        <v>46154</v>
      </c>
      <c r="K192" s="11">
        <v>46155</v>
      </c>
      <c r="L192" s="8" t="s">
        <v>494</v>
      </c>
      <c r="M192" s="14" t="s">
        <v>234</v>
      </c>
      <c r="N192" s="16">
        <v>1556</v>
      </c>
      <c r="O192" s="14" t="s">
        <v>241</v>
      </c>
      <c r="P192" s="14"/>
      <c r="Q192" s="20">
        <f t="shared" si="2"/>
        <v>0</v>
      </c>
      <c r="S192" s="20">
        <f>SUMIFS('Doc''s Pagos | Rodopar 108'!$J:$J,'Doc''s Pagos | Rodopar 108'!$A:$A,$B192&amp;$E192&amp;$F192&amp;$J192,'Doc''s Pagos | Rodopar 108'!$B:$B,S$1)+SUMIFS('Doc Há Pagar | Rodopar 1015'!$J:$J,'Doc Há Pagar | Rodopar 1015'!$A:$A,$B192&amp;$E192&amp;$F192,'Doc Há Pagar | Rodopar 1015'!$B:$B,S$1)</f>
        <v>0</v>
      </c>
      <c r="T192" s="20">
        <f>SUMIFS('Doc''s Pagos | Rodopar 108'!$J:$J,'Doc''s Pagos | Rodopar 108'!$A:$A,$B192&amp;$E192&amp;$F192&amp;$J192,'Doc''s Pagos | Rodopar 108'!$B:$B,T$1)+SUMIFS('Doc Há Pagar | Rodopar 1015'!$J:$J,'Doc Há Pagar | Rodopar 1015'!$A:$A,$B192&amp;$E192&amp;$F192,'Doc Há Pagar | Rodopar 1015'!$B:$B,T$1)</f>
        <v>0</v>
      </c>
      <c r="U192" s="20">
        <f>SUMIFS('Doc''s Pagos | Rodopar 108'!$J:$J,'Doc''s Pagos | Rodopar 108'!$A:$A,$B192&amp;$E192&amp;$F192&amp;$J192,'Doc''s Pagos | Rodopar 108'!$B:$B,U$1)+SUMIFS('Doc Há Pagar | Rodopar 1015'!$J:$J,'Doc Há Pagar | Rodopar 1015'!$A:$A,$B192&amp;$E192&amp;$F192,'Doc Há Pagar | Rodopar 1015'!$B:$B,U$1)</f>
        <v>0</v>
      </c>
      <c r="V192" s="20">
        <f>SUMIFS('Doc''s Pagos | Rodopar 108'!$J:$J,'Doc''s Pagos | Rodopar 108'!$A:$A,$B192&amp;$E192&amp;$F192&amp;$J192,'Doc''s Pagos | Rodopar 108'!$B:$B,V$1)+SUMIFS('Doc Há Pagar | Rodopar 1015'!$J:$J,'Doc Há Pagar | Rodopar 1015'!$A:$A,$B192&amp;$E192&amp;$F192,'Doc Há Pagar | Rodopar 1015'!$B:$B,V$1)</f>
        <v>0</v>
      </c>
      <c r="W192" s="20">
        <f>SUMIFS('Doc''s Pagos | Rodopar 108'!$J:$J,'Doc''s Pagos | Rodopar 108'!$A:$A,$B192&amp;$E192&amp;$F192&amp;$J192,'Doc''s Pagos | Rodopar 108'!$B:$B,W$1)+SUMIFS('Doc Há Pagar | Rodopar 1015'!$J:$J,'Doc Há Pagar | Rodopar 1015'!$A:$A,$B192&amp;$E192&amp;$F192,'Doc Há Pagar | Rodopar 1015'!$B:$B,W$1)</f>
        <v>0</v>
      </c>
      <c r="X192" s="20">
        <f>SUMIFS('Doc''s Pagos | Rodopar 108'!$J:$J,'Doc''s Pagos | Rodopar 108'!$A:$A,$B192&amp;$E192&amp;$F192&amp;$J192,'Doc''s Pagos | Rodopar 108'!$B:$B,X$1)+SUMIFS('Doc Há Pagar | Rodopar 1015'!$J:$J,'Doc Há Pagar | Rodopar 1015'!$A:$A,$B192&amp;$E192&amp;$F192,'Doc Há Pagar | Rodopar 1015'!$B:$B,X$1)</f>
        <v>695.25</v>
      </c>
      <c r="Y192" s="20">
        <f>SUMIFS('Doc''s Pagos | Rodopar 108'!$J:$J,'Doc''s Pagos | Rodopar 108'!$A:$A,$B192&amp;$E192&amp;$F192&amp;$J192,'Doc''s Pagos | Rodopar 108'!$B:$B,Y$1)+SUMIFS('Doc Há Pagar | Rodopar 1015'!$J:$J,'Doc Há Pagar | Rodopar 1015'!$A:$A,$B192&amp;$E192&amp;$F192,'Doc Há Pagar | Rodopar 1015'!$B:$B,Y$1)</f>
        <v>695.25</v>
      </c>
      <c r="Z192" s="20">
        <f>SUMIFS('Doc''s Pagos | Rodopar 108'!$J:$J,'Doc''s Pagos | Rodopar 108'!$A:$A,$B192&amp;$E192&amp;$F192&amp;$J192,'Doc''s Pagos | Rodopar 108'!$B:$B,Z$1)+SUMIFS('Doc Há Pagar | Rodopar 1015'!$J:$J,'Doc Há Pagar | Rodopar 1015'!$A:$A,$B192&amp;$E192&amp;$F192,'Doc Há Pagar | Rodopar 1015'!$B:$B,Z$1)</f>
        <v>0</v>
      </c>
      <c r="AA192" s="20">
        <f>SUMIFS('Doc''s Pagos | Rodopar 108'!$J:$J,'Doc''s Pagos | Rodopar 108'!$A:$A,$B192&amp;$E192&amp;$F192&amp;$J192,'Doc''s Pagos | Rodopar 108'!$B:$B,AA$1)+SUMIFS('Doc Há Pagar | Rodopar 1015'!$J:$J,'Doc Há Pagar | Rodopar 1015'!$A:$A,$B192&amp;$E192&amp;$F192,'Doc Há Pagar | Rodopar 1015'!$B:$B,AA$1)</f>
        <v>0</v>
      </c>
      <c r="AB192" s="20">
        <f>SUMIFS('Doc''s Pagos | Rodopar 108'!$J:$J,'Doc''s Pagos | Rodopar 108'!$A:$A,$B192&amp;$E192&amp;$F192&amp;$J192,'Doc''s Pagos | Rodopar 108'!$B:$B,AB$1)+SUMIFS('Doc Há Pagar | Rodopar 1015'!$J:$J,'Doc Há Pagar | Rodopar 1015'!$A:$A,$B192&amp;$E192&amp;$F192,'Doc Há Pagar | Rodopar 1015'!$B:$B,AB$1)</f>
        <v>0</v>
      </c>
      <c r="AC192" s="20">
        <f>SUMIFS('Doc''s Pagos | Rodopar 108'!$J:$J,'Doc''s Pagos | Rodopar 108'!$A:$A,$B192&amp;$E192&amp;$F192&amp;$J192,'Doc''s Pagos | Rodopar 108'!$B:$B,AC$1)+SUMIFS('Doc Há Pagar | Rodopar 1015'!$J:$J,'Doc Há Pagar | Rodopar 1015'!$A:$A,$B192&amp;$E192&amp;$F192,'Doc Há Pagar | Rodopar 1015'!$B:$B,AC$1)</f>
        <v>0</v>
      </c>
      <c r="AD192" s="20">
        <f>SUMIFS('Doc''s Pagos | Rodopar 108'!$J:$J,'Doc''s Pagos | Rodopar 108'!$A:$A,$B192&amp;$E192&amp;$F192&amp;$J192,'Doc''s Pagos | Rodopar 108'!$B:$B,AD$1)+SUMIFS('Doc Há Pagar | Rodopar 1015'!$J:$J,'Doc Há Pagar | Rodopar 1015'!$A:$A,$B192&amp;$E192&amp;$F192,'Doc Há Pagar | Rodopar 1015'!$B:$B,AD$1)</f>
        <v>0</v>
      </c>
    </row>
    <row r="193" spans="1:30" x14ac:dyDescent="0.25">
      <c r="A193" s="1" t="str">
        <f>VLOOKUP($E193,Fornecedores!$A:$C,3,0)</f>
        <v>Frota</v>
      </c>
      <c r="B193" s="14">
        <v>5103</v>
      </c>
      <c r="C193" s="14" t="str">
        <f>IFERROR(VLOOKUP($E193,Fornecedores!$A:$E,4,0),"")</f>
        <v>Pneus</v>
      </c>
      <c r="D193" s="14" t="str">
        <f>IFERROR(VLOOKUP($E193,Fornecedores!$A:$E,5,0),"")</f>
        <v>Ressolagem</v>
      </c>
      <c r="E193" s="8" t="s">
        <v>166</v>
      </c>
      <c r="F193" s="14" t="s">
        <v>665</v>
      </c>
      <c r="G193" s="8" t="s">
        <v>611</v>
      </c>
      <c r="H193" s="9">
        <v>87</v>
      </c>
      <c r="I193" s="21">
        <v>4230</v>
      </c>
      <c r="J193" s="11">
        <v>46154</v>
      </c>
      <c r="K193" s="11">
        <v>46155</v>
      </c>
      <c r="L193" s="8" t="s">
        <v>382</v>
      </c>
      <c r="M193" s="14" t="s">
        <v>234</v>
      </c>
      <c r="N193" s="16">
        <v>1556</v>
      </c>
      <c r="O193" s="14" t="s">
        <v>241</v>
      </c>
      <c r="P193" s="14"/>
      <c r="Q193" s="20">
        <f t="shared" si="2"/>
        <v>0</v>
      </c>
      <c r="S193" s="20">
        <f>SUMIFS('Doc''s Pagos | Rodopar 108'!$J:$J,'Doc''s Pagos | Rodopar 108'!$A:$A,$B193&amp;$E193&amp;$F193&amp;$J193,'Doc''s Pagos | Rodopar 108'!$B:$B,S$1)+SUMIFS('Doc Há Pagar | Rodopar 1015'!$J:$J,'Doc Há Pagar | Rodopar 1015'!$A:$A,$B193&amp;$E193&amp;$F193,'Doc Há Pagar | Rodopar 1015'!$B:$B,S$1)</f>
        <v>0</v>
      </c>
      <c r="T193" s="20">
        <f>SUMIFS('Doc''s Pagos | Rodopar 108'!$J:$J,'Doc''s Pagos | Rodopar 108'!$A:$A,$B193&amp;$E193&amp;$F193&amp;$J193,'Doc''s Pagos | Rodopar 108'!$B:$B,T$1)+SUMIFS('Doc Há Pagar | Rodopar 1015'!$J:$J,'Doc Há Pagar | Rodopar 1015'!$A:$A,$B193&amp;$E193&amp;$F193,'Doc Há Pagar | Rodopar 1015'!$B:$B,T$1)</f>
        <v>0</v>
      </c>
      <c r="U193" s="20">
        <f>SUMIFS('Doc''s Pagos | Rodopar 108'!$J:$J,'Doc''s Pagos | Rodopar 108'!$A:$A,$B193&amp;$E193&amp;$F193&amp;$J193,'Doc''s Pagos | Rodopar 108'!$B:$B,U$1)+SUMIFS('Doc Há Pagar | Rodopar 1015'!$J:$J,'Doc Há Pagar | Rodopar 1015'!$A:$A,$B193&amp;$E193&amp;$F193,'Doc Há Pagar | Rodopar 1015'!$B:$B,U$1)</f>
        <v>0</v>
      </c>
      <c r="V193" s="20">
        <f>SUMIFS('Doc''s Pagos | Rodopar 108'!$J:$J,'Doc''s Pagos | Rodopar 108'!$A:$A,$B193&amp;$E193&amp;$F193&amp;$J193,'Doc''s Pagos | Rodopar 108'!$B:$B,V$1)+SUMIFS('Doc Há Pagar | Rodopar 1015'!$J:$J,'Doc Há Pagar | Rodopar 1015'!$A:$A,$B193&amp;$E193&amp;$F193,'Doc Há Pagar | Rodopar 1015'!$B:$B,V$1)</f>
        <v>0</v>
      </c>
      <c r="W193" s="20">
        <f>SUMIFS('Doc''s Pagos | Rodopar 108'!$J:$J,'Doc''s Pagos | Rodopar 108'!$A:$A,$B193&amp;$E193&amp;$F193&amp;$J193,'Doc''s Pagos | Rodopar 108'!$B:$B,W$1)+SUMIFS('Doc Há Pagar | Rodopar 1015'!$J:$J,'Doc Há Pagar | Rodopar 1015'!$A:$A,$B193&amp;$E193&amp;$F193,'Doc Há Pagar | Rodopar 1015'!$B:$B,W$1)</f>
        <v>0</v>
      </c>
      <c r="X193" s="20">
        <f>SUMIFS('Doc''s Pagos | Rodopar 108'!$J:$J,'Doc''s Pagos | Rodopar 108'!$A:$A,$B193&amp;$E193&amp;$F193&amp;$J193,'Doc''s Pagos | Rodopar 108'!$B:$B,X$1)+SUMIFS('Doc Há Pagar | Rodopar 1015'!$J:$J,'Doc Há Pagar | Rodopar 1015'!$A:$A,$B193&amp;$E193&amp;$F193,'Doc Há Pagar | Rodopar 1015'!$B:$B,X$1)</f>
        <v>1410</v>
      </c>
      <c r="Y193" s="20">
        <f>SUMIFS('Doc''s Pagos | Rodopar 108'!$J:$J,'Doc''s Pagos | Rodopar 108'!$A:$A,$B193&amp;$E193&amp;$F193&amp;$J193,'Doc''s Pagos | Rodopar 108'!$B:$B,Y$1)+SUMIFS('Doc Há Pagar | Rodopar 1015'!$J:$J,'Doc Há Pagar | Rodopar 1015'!$A:$A,$B193&amp;$E193&amp;$F193,'Doc Há Pagar | Rodopar 1015'!$B:$B,Y$1)</f>
        <v>1410</v>
      </c>
      <c r="Z193" s="20">
        <f>SUMIFS('Doc''s Pagos | Rodopar 108'!$J:$J,'Doc''s Pagos | Rodopar 108'!$A:$A,$B193&amp;$E193&amp;$F193&amp;$J193,'Doc''s Pagos | Rodopar 108'!$B:$B,Z$1)+SUMIFS('Doc Há Pagar | Rodopar 1015'!$J:$J,'Doc Há Pagar | Rodopar 1015'!$A:$A,$B193&amp;$E193&amp;$F193,'Doc Há Pagar | Rodopar 1015'!$B:$B,Z$1)</f>
        <v>1410</v>
      </c>
      <c r="AA193" s="20">
        <f>SUMIFS('Doc''s Pagos | Rodopar 108'!$J:$J,'Doc''s Pagos | Rodopar 108'!$A:$A,$B193&amp;$E193&amp;$F193&amp;$J193,'Doc''s Pagos | Rodopar 108'!$B:$B,AA$1)+SUMIFS('Doc Há Pagar | Rodopar 1015'!$J:$J,'Doc Há Pagar | Rodopar 1015'!$A:$A,$B193&amp;$E193&amp;$F193,'Doc Há Pagar | Rodopar 1015'!$B:$B,AA$1)</f>
        <v>0</v>
      </c>
      <c r="AB193" s="20">
        <f>SUMIFS('Doc''s Pagos | Rodopar 108'!$J:$J,'Doc''s Pagos | Rodopar 108'!$A:$A,$B193&amp;$E193&amp;$F193&amp;$J193,'Doc''s Pagos | Rodopar 108'!$B:$B,AB$1)+SUMIFS('Doc Há Pagar | Rodopar 1015'!$J:$J,'Doc Há Pagar | Rodopar 1015'!$A:$A,$B193&amp;$E193&amp;$F193,'Doc Há Pagar | Rodopar 1015'!$B:$B,AB$1)</f>
        <v>0</v>
      </c>
      <c r="AC193" s="20">
        <f>SUMIFS('Doc''s Pagos | Rodopar 108'!$J:$J,'Doc''s Pagos | Rodopar 108'!$A:$A,$B193&amp;$E193&amp;$F193&amp;$J193,'Doc''s Pagos | Rodopar 108'!$B:$B,AC$1)+SUMIFS('Doc Há Pagar | Rodopar 1015'!$J:$J,'Doc Há Pagar | Rodopar 1015'!$A:$A,$B193&amp;$E193&amp;$F193,'Doc Há Pagar | Rodopar 1015'!$B:$B,AC$1)</f>
        <v>0</v>
      </c>
      <c r="AD193" s="20">
        <f>SUMIFS('Doc''s Pagos | Rodopar 108'!$J:$J,'Doc''s Pagos | Rodopar 108'!$A:$A,$B193&amp;$E193&amp;$F193&amp;$J193,'Doc''s Pagos | Rodopar 108'!$B:$B,AD$1)+SUMIFS('Doc Há Pagar | Rodopar 1015'!$J:$J,'Doc Há Pagar | Rodopar 1015'!$A:$A,$B193&amp;$E193&amp;$F193,'Doc Há Pagar | Rodopar 1015'!$B:$B,AD$1)</f>
        <v>0</v>
      </c>
    </row>
    <row r="194" spans="1:30" x14ac:dyDescent="0.25">
      <c r="A194" s="1" t="str">
        <f>VLOOKUP($E194,Fornecedores!$A:$C,3,0)</f>
        <v>Frota</v>
      </c>
      <c r="B194" s="14">
        <v>1116</v>
      </c>
      <c r="C194" s="14" t="str">
        <f>IFERROR(VLOOKUP($E194,Fornecedores!$A:$E,4,0),"")</f>
        <v>Manutenção</v>
      </c>
      <c r="D194" s="14" t="str">
        <f>IFERROR(VLOOKUP($E194,Fornecedores!$A:$E,5,0),"")</f>
        <v>Peças E Serviços</v>
      </c>
      <c r="E194" s="8" t="s">
        <v>25</v>
      </c>
      <c r="F194" s="14" t="s">
        <v>380</v>
      </c>
      <c r="G194" s="8" t="s">
        <v>390</v>
      </c>
      <c r="H194" s="9">
        <v>87</v>
      </c>
      <c r="I194" s="21">
        <v>1148</v>
      </c>
      <c r="J194" s="11">
        <v>46155</v>
      </c>
      <c r="K194" s="11">
        <v>46155</v>
      </c>
      <c r="L194" s="8" t="s">
        <v>282</v>
      </c>
      <c r="M194" s="14" t="s">
        <v>234</v>
      </c>
      <c r="N194" s="16">
        <v>1556</v>
      </c>
      <c r="O194" s="14" t="s">
        <v>241</v>
      </c>
      <c r="P194" s="14"/>
      <c r="Q194" s="20">
        <f t="shared" ref="Q194:Q257" si="3">SUM(R194:AD194)-I194</f>
        <v>0</v>
      </c>
      <c r="S194" s="20">
        <f>SUMIFS('Doc''s Pagos | Rodopar 108'!$J:$J,'Doc''s Pagos | Rodopar 108'!$A:$A,$B194&amp;$E194&amp;$F194&amp;$J194,'Doc''s Pagos | Rodopar 108'!$B:$B,S$1)+SUMIFS('Doc Há Pagar | Rodopar 1015'!$J:$J,'Doc Há Pagar | Rodopar 1015'!$A:$A,$B194&amp;$E194&amp;$F194,'Doc Há Pagar | Rodopar 1015'!$B:$B,S$1)</f>
        <v>0</v>
      </c>
      <c r="T194" s="20">
        <f>SUMIFS('Doc''s Pagos | Rodopar 108'!$J:$J,'Doc''s Pagos | Rodopar 108'!$A:$A,$B194&amp;$E194&amp;$F194&amp;$J194,'Doc''s Pagos | Rodopar 108'!$B:$B,T$1)+SUMIFS('Doc Há Pagar | Rodopar 1015'!$J:$J,'Doc Há Pagar | Rodopar 1015'!$A:$A,$B194&amp;$E194&amp;$F194,'Doc Há Pagar | Rodopar 1015'!$B:$B,T$1)</f>
        <v>0</v>
      </c>
      <c r="U194" s="20">
        <f>SUMIFS('Doc''s Pagos | Rodopar 108'!$J:$J,'Doc''s Pagos | Rodopar 108'!$A:$A,$B194&amp;$E194&amp;$F194&amp;$J194,'Doc''s Pagos | Rodopar 108'!$B:$B,U$1)+SUMIFS('Doc Há Pagar | Rodopar 1015'!$J:$J,'Doc Há Pagar | Rodopar 1015'!$A:$A,$B194&amp;$E194&amp;$F194,'Doc Há Pagar | Rodopar 1015'!$B:$B,U$1)</f>
        <v>0</v>
      </c>
      <c r="V194" s="20">
        <f>SUMIFS('Doc''s Pagos | Rodopar 108'!$J:$J,'Doc''s Pagos | Rodopar 108'!$A:$A,$B194&amp;$E194&amp;$F194&amp;$J194,'Doc''s Pagos | Rodopar 108'!$B:$B,V$1)+SUMIFS('Doc Há Pagar | Rodopar 1015'!$J:$J,'Doc Há Pagar | Rodopar 1015'!$A:$A,$B194&amp;$E194&amp;$F194,'Doc Há Pagar | Rodopar 1015'!$B:$B,V$1)</f>
        <v>0</v>
      </c>
      <c r="W194" s="20">
        <f>SUMIFS('Doc''s Pagos | Rodopar 108'!$J:$J,'Doc''s Pagos | Rodopar 108'!$A:$A,$B194&amp;$E194&amp;$F194&amp;$J194,'Doc''s Pagos | Rodopar 108'!$B:$B,W$1)+SUMIFS('Doc Há Pagar | Rodopar 1015'!$J:$J,'Doc Há Pagar | Rodopar 1015'!$A:$A,$B194&amp;$E194&amp;$F194,'Doc Há Pagar | Rodopar 1015'!$B:$B,W$1)</f>
        <v>0</v>
      </c>
      <c r="X194" s="20">
        <f>SUMIFS('Doc''s Pagos | Rodopar 108'!$J:$J,'Doc''s Pagos | Rodopar 108'!$A:$A,$B194&amp;$E194&amp;$F194&amp;$J194,'Doc''s Pagos | Rodopar 108'!$B:$B,X$1)+SUMIFS('Doc Há Pagar | Rodopar 1015'!$J:$J,'Doc Há Pagar | Rodopar 1015'!$A:$A,$B194&amp;$E194&amp;$F194,'Doc Há Pagar | Rodopar 1015'!$B:$B,X$1)</f>
        <v>1148</v>
      </c>
      <c r="Y194" s="20">
        <f>SUMIFS('Doc''s Pagos | Rodopar 108'!$J:$J,'Doc''s Pagos | Rodopar 108'!$A:$A,$B194&amp;$E194&amp;$F194&amp;$J194,'Doc''s Pagos | Rodopar 108'!$B:$B,Y$1)+SUMIFS('Doc Há Pagar | Rodopar 1015'!$J:$J,'Doc Há Pagar | Rodopar 1015'!$A:$A,$B194&amp;$E194&amp;$F194,'Doc Há Pagar | Rodopar 1015'!$B:$B,Y$1)</f>
        <v>0</v>
      </c>
      <c r="Z194" s="20">
        <f>SUMIFS('Doc''s Pagos | Rodopar 108'!$J:$J,'Doc''s Pagos | Rodopar 108'!$A:$A,$B194&amp;$E194&amp;$F194&amp;$J194,'Doc''s Pagos | Rodopar 108'!$B:$B,Z$1)+SUMIFS('Doc Há Pagar | Rodopar 1015'!$J:$J,'Doc Há Pagar | Rodopar 1015'!$A:$A,$B194&amp;$E194&amp;$F194,'Doc Há Pagar | Rodopar 1015'!$B:$B,Z$1)</f>
        <v>0</v>
      </c>
      <c r="AA194" s="20">
        <f>SUMIFS('Doc''s Pagos | Rodopar 108'!$J:$J,'Doc''s Pagos | Rodopar 108'!$A:$A,$B194&amp;$E194&amp;$F194&amp;$J194,'Doc''s Pagos | Rodopar 108'!$B:$B,AA$1)+SUMIFS('Doc Há Pagar | Rodopar 1015'!$J:$J,'Doc Há Pagar | Rodopar 1015'!$A:$A,$B194&amp;$E194&amp;$F194,'Doc Há Pagar | Rodopar 1015'!$B:$B,AA$1)</f>
        <v>0</v>
      </c>
      <c r="AB194" s="20">
        <f>SUMIFS('Doc''s Pagos | Rodopar 108'!$J:$J,'Doc''s Pagos | Rodopar 108'!$A:$A,$B194&amp;$E194&amp;$F194&amp;$J194,'Doc''s Pagos | Rodopar 108'!$B:$B,AB$1)+SUMIFS('Doc Há Pagar | Rodopar 1015'!$J:$J,'Doc Há Pagar | Rodopar 1015'!$A:$A,$B194&amp;$E194&amp;$F194,'Doc Há Pagar | Rodopar 1015'!$B:$B,AB$1)</f>
        <v>0</v>
      </c>
      <c r="AC194" s="20">
        <f>SUMIFS('Doc''s Pagos | Rodopar 108'!$J:$J,'Doc''s Pagos | Rodopar 108'!$A:$A,$B194&amp;$E194&amp;$F194&amp;$J194,'Doc''s Pagos | Rodopar 108'!$B:$B,AC$1)+SUMIFS('Doc Há Pagar | Rodopar 1015'!$J:$J,'Doc Há Pagar | Rodopar 1015'!$A:$A,$B194&amp;$E194&amp;$F194,'Doc Há Pagar | Rodopar 1015'!$B:$B,AC$1)</f>
        <v>0</v>
      </c>
      <c r="AD194" s="20">
        <f>SUMIFS('Doc''s Pagos | Rodopar 108'!$J:$J,'Doc''s Pagos | Rodopar 108'!$A:$A,$B194&amp;$E194&amp;$F194&amp;$J194,'Doc''s Pagos | Rodopar 108'!$B:$B,AD$1)+SUMIFS('Doc Há Pagar | Rodopar 1015'!$J:$J,'Doc Há Pagar | Rodopar 1015'!$A:$A,$B194&amp;$E194&amp;$F194,'Doc Há Pagar | Rodopar 1015'!$B:$B,AD$1)</f>
        <v>0</v>
      </c>
    </row>
    <row r="195" spans="1:30" x14ac:dyDescent="0.25">
      <c r="A195" s="1" t="str">
        <f>VLOOKUP($E195,Fornecedores!$A:$C,3,0)</f>
        <v>Frota</v>
      </c>
      <c r="B195" s="14">
        <v>1609679</v>
      </c>
      <c r="C195" s="14" t="str">
        <f>IFERROR(VLOOKUP($E195,Fornecedores!$A:$E,4,0),"")</f>
        <v>MTSR</v>
      </c>
      <c r="D195" s="14" t="str">
        <f>IFERROR(VLOOKUP($E195,Fornecedores!$A:$E,5,0),"")</f>
        <v>Tecnologia</v>
      </c>
      <c r="E195" s="8" t="s">
        <v>191</v>
      </c>
      <c r="F195" s="14" t="s">
        <v>665</v>
      </c>
      <c r="G195" s="8" t="s">
        <v>722</v>
      </c>
      <c r="H195" s="9">
        <v>87</v>
      </c>
      <c r="I195" s="21">
        <v>1616.09</v>
      </c>
      <c r="J195" s="11">
        <v>46155</v>
      </c>
      <c r="K195" s="11">
        <v>46157</v>
      </c>
      <c r="L195" s="8" t="s">
        <v>723</v>
      </c>
      <c r="M195" s="14" t="s">
        <v>684</v>
      </c>
      <c r="N195" s="16">
        <v>2556</v>
      </c>
      <c r="O195" s="14" t="s">
        <v>241</v>
      </c>
      <c r="P195" s="14"/>
      <c r="Q195" s="20">
        <f t="shared" si="3"/>
        <v>0</v>
      </c>
      <c r="S195" s="20">
        <f>SUMIFS('Doc''s Pagos | Rodopar 108'!$J:$J,'Doc''s Pagos | Rodopar 108'!$A:$A,$B195&amp;$E195&amp;$F195&amp;$J195,'Doc''s Pagos | Rodopar 108'!$B:$B,S$1)+SUMIFS('Doc Há Pagar | Rodopar 1015'!$J:$J,'Doc Há Pagar | Rodopar 1015'!$A:$A,$B195&amp;$E195&amp;$F195,'Doc Há Pagar | Rodopar 1015'!$B:$B,S$1)</f>
        <v>0</v>
      </c>
      <c r="T195" s="20">
        <f>SUMIFS('Doc''s Pagos | Rodopar 108'!$J:$J,'Doc''s Pagos | Rodopar 108'!$A:$A,$B195&amp;$E195&amp;$F195&amp;$J195,'Doc''s Pagos | Rodopar 108'!$B:$B,T$1)+SUMIFS('Doc Há Pagar | Rodopar 1015'!$J:$J,'Doc Há Pagar | Rodopar 1015'!$A:$A,$B195&amp;$E195&amp;$F195,'Doc Há Pagar | Rodopar 1015'!$B:$B,T$1)</f>
        <v>0</v>
      </c>
      <c r="U195" s="20">
        <f>SUMIFS('Doc''s Pagos | Rodopar 108'!$J:$J,'Doc''s Pagos | Rodopar 108'!$A:$A,$B195&amp;$E195&amp;$F195&amp;$J195,'Doc''s Pagos | Rodopar 108'!$B:$B,U$1)+SUMIFS('Doc Há Pagar | Rodopar 1015'!$J:$J,'Doc Há Pagar | Rodopar 1015'!$A:$A,$B195&amp;$E195&amp;$F195,'Doc Há Pagar | Rodopar 1015'!$B:$B,U$1)</f>
        <v>0</v>
      </c>
      <c r="V195" s="20">
        <f>SUMIFS('Doc''s Pagos | Rodopar 108'!$J:$J,'Doc''s Pagos | Rodopar 108'!$A:$A,$B195&amp;$E195&amp;$F195&amp;$J195,'Doc''s Pagos | Rodopar 108'!$B:$B,V$1)+SUMIFS('Doc Há Pagar | Rodopar 1015'!$J:$J,'Doc Há Pagar | Rodopar 1015'!$A:$A,$B195&amp;$E195&amp;$F195,'Doc Há Pagar | Rodopar 1015'!$B:$B,V$1)</f>
        <v>0</v>
      </c>
      <c r="W195" s="20">
        <f>SUMIFS('Doc''s Pagos | Rodopar 108'!$J:$J,'Doc''s Pagos | Rodopar 108'!$A:$A,$B195&amp;$E195&amp;$F195&amp;$J195,'Doc''s Pagos | Rodopar 108'!$B:$B,W$1)+SUMIFS('Doc Há Pagar | Rodopar 1015'!$J:$J,'Doc Há Pagar | Rodopar 1015'!$A:$A,$B195&amp;$E195&amp;$F195,'Doc Há Pagar | Rodopar 1015'!$B:$B,W$1)</f>
        <v>0</v>
      </c>
      <c r="X195" s="20">
        <f>SUMIFS('Doc''s Pagos | Rodopar 108'!$J:$J,'Doc''s Pagos | Rodopar 108'!$A:$A,$B195&amp;$E195&amp;$F195&amp;$J195,'Doc''s Pagos | Rodopar 108'!$B:$B,X$1)+SUMIFS('Doc Há Pagar | Rodopar 1015'!$J:$J,'Doc Há Pagar | Rodopar 1015'!$A:$A,$B195&amp;$E195&amp;$F195,'Doc Há Pagar | Rodopar 1015'!$B:$B,X$1)</f>
        <v>1616.09</v>
      </c>
      <c r="Y195" s="20">
        <f>SUMIFS('Doc''s Pagos | Rodopar 108'!$J:$J,'Doc''s Pagos | Rodopar 108'!$A:$A,$B195&amp;$E195&amp;$F195&amp;$J195,'Doc''s Pagos | Rodopar 108'!$B:$B,Y$1)+SUMIFS('Doc Há Pagar | Rodopar 1015'!$J:$J,'Doc Há Pagar | Rodopar 1015'!$A:$A,$B195&amp;$E195&amp;$F195,'Doc Há Pagar | Rodopar 1015'!$B:$B,Y$1)</f>
        <v>0</v>
      </c>
      <c r="Z195" s="20">
        <f>SUMIFS('Doc''s Pagos | Rodopar 108'!$J:$J,'Doc''s Pagos | Rodopar 108'!$A:$A,$B195&amp;$E195&amp;$F195&amp;$J195,'Doc''s Pagos | Rodopar 108'!$B:$B,Z$1)+SUMIFS('Doc Há Pagar | Rodopar 1015'!$J:$J,'Doc Há Pagar | Rodopar 1015'!$A:$A,$B195&amp;$E195&amp;$F195,'Doc Há Pagar | Rodopar 1015'!$B:$B,Z$1)</f>
        <v>0</v>
      </c>
      <c r="AA195" s="20">
        <f>SUMIFS('Doc''s Pagos | Rodopar 108'!$J:$J,'Doc''s Pagos | Rodopar 108'!$A:$A,$B195&amp;$E195&amp;$F195&amp;$J195,'Doc''s Pagos | Rodopar 108'!$B:$B,AA$1)+SUMIFS('Doc Há Pagar | Rodopar 1015'!$J:$J,'Doc Há Pagar | Rodopar 1015'!$A:$A,$B195&amp;$E195&amp;$F195,'Doc Há Pagar | Rodopar 1015'!$B:$B,AA$1)</f>
        <v>0</v>
      </c>
      <c r="AB195" s="20">
        <f>SUMIFS('Doc''s Pagos | Rodopar 108'!$J:$J,'Doc''s Pagos | Rodopar 108'!$A:$A,$B195&amp;$E195&amp;$F195&amp;$J195,'Doc''s Pagos | Rodopar 108'!$B:$B,AB$1)+SUMIFS('Doc Há Pagar | Rodopar 1015'!$J:$J,'Doc Há Pagar | Rodopar 1015'!$A:$A,$B195&amp;$E195&amp;$F195,'Doc Há Pagar | Rodopar 1015'!$B:$B,AB$1)</f>
        <v>0</v>
      </c>
      <c r="AC195" s="20">
        <f>SUMIFS('Doc''s Pagos | Rodopar 108'!$J:$J,'Doc''s Pagos | Rodopar 108'!$A:$A,$B195&amp;$E195&amp;$F195&amp;$J195,'Doc''s Pagos | Rodopar 108'!$B:$B,AC$1)+SUMIFS('Doc Há Pagar | Rodopar 1015'!$J:$J,'Doc Há Pagar | Rodopar 1015'!$A:$A,$B195&amp;$E195&amp;$F195,'Doc Há Pagar | Rodopar 1015'!$B:$B,AC$1)</f>
        <v>0</v>
      </c>
      <c r="AD195" s="20">
        <f>SUMIFS('Doc''s Pagos | Rodopar 108'!$J:$J,'Doc''s Pagos | Rodopar 108'!$A:$A,$B195&amp;$E195&amp;$F195&amp;$J195,'Doc''s Pagos | Rodopar 108'!$B:$B,AD$1)+SUMIFS('Doc Há Pagar | Rodopar 1015'!$J:$J,'Doc Há Pagar | Rodopar 1015'!$A:$A,$B195&amp;$E195&amp;$F195,'Doc Há Pagar | Rodopar 1015'!$B:$B,AD$1)</f>
        <v>0</v>
      </c>
    </row>
    <row r="196" spans="1:30" x14ac:dyDescent="0.25">
      <c r="A196" s="1" t="str">
        <f>VLOOKUP($E196,Fornecedores!$A:$C,3,0)</f>
        <v>Frota</v>
      </c>
      <c r="B196" s="14">
        <v>3311036</v>
      </c>
      <c r="C196" s="14" t="str">
        <f>IFERROR(VLOOKUP($E196,Fornecedores!$A:$E,4,0),"")</f>
        <v>MTSR</v>
      </c>
      <c r="D196" s="14" t="str">
        <f>IFERROR(VLOOKUP($E196,Fornecedores!$A:$E,5,0),"")</f>
        <v>Tecnologia</v>
      </c>
      <c r="E196" s="8" t="s">
        <v>192</v>
      </c>
      <c r="F196" s="14" t="s">
        <v>665</v>
      </c>
      <c r="G196" s="8" t="s">
        <v>837</v>
      </c>
      <c r="H196" s="9">
        <v>87</v>
      </c>
      <c r="I196" s="21">
        <v>9137.4699999999993</v>
      </c>
      <c r="J196" s="11">
        <v>46155</v>
      </c>
      <c r="K196" s="11">
        <v>46156</v>
      </c>
      <c r="L196" s="8" t="s">
        <v>723</v>
      </c>
      <c r="M196" s="14" t="s">
        <v>684</v>
      </c>
      <c r="N196" s="16">
        <v>2556</v>
      </c>
      <c r="O196" s="14" t="s">
        <v>241</v>
      </c>
      <c r="P196" s="14"/>
      <c r="Q196" s="20">
        <f t="shared" si="3"/>
        <v>0</v>
      </c>
      <c r="S196" s="20">
        <f>SUMIFS('Doc''s Pagos | Rodopar 108'!$J:$J,'Doc''s Pagos | Rodopar 108'!$A:$A,$B196&amp;$E196&amp;$F196&amp;$J196,'Doc''s Pagos | Rodopar 108'!$B:$B,S$1)+SUMIFS('Doc Há Pagar | Rodopar 1015'!$J:$J,'Doc Há Pagar | Rodopar 1015'!$A:$A,$B196&amp;$E196&amp;$F196,'Doc Há Pagar | Rodopar 1015'!$B:$B,S$1)</f>
        <v>0</v>
      </c>
      <c r="T196" s="20">
        <f>SUMIFS('Doc''s Pagos | Rodopar 108'!$J:$J,'Doc''s Pagos | Rodopar 108'!$A:$A,$B196&amp;$E196&amp;$F196&amp;$J196,'Doc''s Pagos | Rodopar 108'!$B:$B,T$1)+SUMIFS('Doc Há Pagar | Rodopar 1015'!$J:$J,'Doc Há Pagar | Rodopar 1015'!$A:$A,$B196&amp;$E196&amp;$F196,'Doc Há Pagar | Rodopar 1015'!$B:$B,T$1)</f>
        <v>0</v>
      </c>
      <c r="U196" s="20">
        <f>SUMIFS('Doc''s Pagos | Rodopar 108'!$J:$J,'Doc''s Pagos | Rodopar 108'!$A:$A,$B196&amp;$E196&amp;$F196&amp;$J196,'Doc''s Pagos | Rodopar 108'!$B:$B,U$1)+SUMIFS('Doc Há Pagar | Rodopar 1015'!$J:$J,'Doc Há Pagar | Rodopar 1015'!$A:$A,$B196&amp;$E196&amp;$F196,'Doc Há Pagar | Rodopar 1015'!$B:$B,U$1)</f>
        <v>0</v>
      </c>
      <c r="V196" s="20">
        <f>SUMIFS('Doc''s Pagos | Rodopar 108'!$J:$J,'Doc''s Pagos | Rodopar 108'!$A:$A,$B196&amp;$E196&amp;$F196&amp;$J196,'Doc''s Pagos | Rodopar 108'!$B:$B,V$1)+SUMIFS('Doc Há Pagar | Rodopar 1015'!$J:$J,'Doc Há Pagar | Rodopar 1015'!$A:$A,$B196&amp;$E196&amp;$F196,'Doc Há Pagar | Rodopar 1015'!$B:$B,V$1)</f>
        <v>0</v>
      </c>
      <c r="W196" s="20">
        <f>SUMIFS('Doc''s Pagos | Rodopar 108'!$J:$J,'Doc''s Pagos | Rodopar 108'!$A:$A,$B196&amp;$E196&amp;$F196&amp;$J196,'Doc''s Pagos | Rodopar 108'!$B:$B,W$1)+SUMIFS('Doc Há Pagar | Rodopar 1015'!$J:$J,'Doc Há Pagar | Rodopar 1015'!$A:$A,$B196&amp;$E196&amp;$F196,'Doc Há Pagar | Rodopar 1015'!$B:$B,W$1)</f>
        <v>0</v>
      </c>
      <c r="X196" s="20">
        <f>SUMIFS('Doc''s Pagos | Rodopar 108'!$J:$J,'Doc''s Pagos | Rodopar 108'!$A:$A,$B196&amp;$E196&amp;$F196&amp;$J196,'Doc''s Pagos | Rodopar 108'!$B:$B,X$1)+SUMIFS('Doc Há Pagar | Rodopar 1015'!$J:$J,'Doc Há Pagar | Rodopar 1015'!$A:$A,$B196&amp;$E196&amp;$F196,'Doc Há Pagar | Rodopar 1015'!$B:$B,X$1)</f>
        <v>9137.4699999999993</v>
      </c>
      <c r="Y196" s="20">
        <f>SUMIFS('Doc''s Pagos | Rodopar 108'!$J:$J,'Doc''s Pagos | Rodopar 108'!$A:$A,$B196&amp;$E196&amp;$F196&amp;$J196,'Doc''s Pagos | Rodopar 108'!$B:$B,Y$1)+SUMIFS('Doc Há Pagar | Rodopar 1015'!$J:$J,'Doc Há Pagar | Rodopar 1015'!$A:$A,$B196&amp;$E196&amp;$F196,'Doc Há Pagar | Rodopar 1015'!$B:$B,Y$1)</f>
        <v>0</v>
      </c>
      <c r="Z196" s="20">
        <f>SUMIFS('Doc''s Pagos | Rodopar 108'!$J:$J,'Doc''s Pagos | Rodopar 108'!$A:$A,$B196&amp;$E196&amp;$F196&amp;$J196,'Doc''s Pagos | Rodopar 108'!$B:$B,Z$1)+SUMIFS('Doc Há Pagar | Rodopar 1015'!$J:$J,'Doc Há Pagar | Rodopar 1015'!$A:$A,$B196&amp;$E196&amp;$F196,'Doc Há Pagar | Rodopar 1015'!$B:$B,Z$1)</f>
        <v>0</v>
      </c>
      <c r="AA196" s="20">
        <f>SUMIFS('Doc''s Pagos | Rodopar 108'!$J:$J,'Doc''s Pagos | Rodopar 108'!$A:$A,$B196&amp;$E196&amp;$F196&amp;$J196,'Doc''s Pagos | Rodopar 108'!$B:$B,AA$1)+SUMIFS('Doc Há Pagar | Rodopar 1015'!$J:$J,'Doc Há Pagar | Rodopar 1015'!$A:$A,$B196&amp;$E196&amp;$F196,'Doc Há Pagar | Rodopar 1015'!$B:$B,AA$1)</f>
        <v>0</v>
      </c>
      <c r="AB196" s="20">
        <f>SUMIFS('Doc''s Pagos | Rodopar 108'!$J:$J,'Doc''s Pagos | Rodopar 108'!$A:$A,$B196&amp;$E196&amp;$F196&amp;$J196,'Doc''s Pagos | Rodopar 108'!$B:$B,AB$1)+SUMIFS('Doc Há Pagar | Rodopar 1015'!$J:$J,'Doc Há Pagar | Rodopar 1015'!$A:$A,$B196&amp;$E196&amp;$F196,'Doc Há Pagar | Rodopar 1015'!$B:$B,AB$1)</f>
        <v>0</v>
      </c>
      <c r="AC196" s="20">
        <f>SUMIFS('Doc''s Pagos | Rodopar 108'!$J:$J,'Doc''s Pagos | Rodopar 108'!$A:$A,$B196&amp;$E196&amp;$F196&amp;$J196,'Doc''s Pagos | Rodopar 108'!$B:$B,AC$1)+SUMIFS('Doc Há Pagar | Rodopar 1015'!$J:$J,'Doc Há Pagar | Rodopar 1015'!$A:$A,$B196&amp;$E196&amp;$F196,'Doc Há Pagar | Rodopar 1015'!$B:$B,AC$1)</f>
        <v>0</v>
      </c>
      <c r="AD196" s="20">
        <f>SUMIFS('Doc''s Pagos | Rodopar 108'!$J:$J,'Doc''s Pagos | Rodopar 108'!$A:$A,$B196&amp;$E196&amp;$F196&amp;$J196,'Doc''s Pagos | Rodopar 108'!$B:$B,AD$1)+SUMIFS('Doc Há Pagar | Rodopar 1015'!$J:$J,'Doc Há Pagar | Rodopar 1015'!$A:$A,$B196&amp;$E196&amp;$F196,'Doc Há Pagar | Rodopar 1015'!$B:$B,AD$1)</f>
        <v>0</v>
      </c>
    </row>
    <row r="197" spans="1:30" x14ac:dyDescent="0.25">
      <c r="A197" s="1" t="str">
        <f>VLOOKUP($E197,Fornecedores!$A:$C,3,0)</f>
        <v>Frota</v>
      </c>
      <c r="B197" s="14" t="s">
        <v>294</v>
      </c>
      <c r="C197" s="14" t="str">
        <f>IFERROR(VLOOKUP($E197,Fornecedores!$A:$E,4,0),"")</f>
        <v>OPE Merchandising</v>
      </c>
      <c r="D197" s="14" t="str">
        <f>IFERROR(VLOOKUP($E197,Fornecedores!$A:$E,5,0),"")</f>
        <v>Locação</v>
      </c>
      <c r="E197" s="8" t="s">
        <v>112</v>
      </c>
      <c r="F197" s="14" t="s">
        <v>232</v>
      </c>
      <c r="G197" s="8" t="s">
        <v>289</v>
      </c>
      <c r="H197" s="9">
        <v>87</v>
      </c>
      <c r="I197" s="21">
        <v>34681.019999999997</v>
      </c>
      <c r="J197" s="11">
        <v>46157</v>
      </c>
      <c r="K197" s="11">
        <v>46163</v>
      </c>
      <c r="L197" s="8" t="s">
        <v>233</v>
      </c>
      <c r="M197" s="14" t="s">
        <v>234</v>
      </c>
      <c r="N197" s="16">
        <v>1556</v>
      </c>
      <c r="O197" s="14" t="s">
        <v>250</v>
      </c>
      <c r="P197" s="14"/>
      <c r="Q197" s="20">
        <f t="shared" si="3"/>
        <v>0</v>
      </c>
      <c r="S197" s="20">
        <f>SUMIFS('Doc''s Pagos | Rodopar 108'!$J:$J,'Doc''s Pagos | Rodopar 108'!$A:$A,$B197&amp;$E197&amp;$F197&amp;$J197,'Doc''s Pagos | Rodopar 108'!$B:$B,S$1)+SUMIFS('Doc Há Pagar | Rodopar 1015'!$J:$J,'Doc Há Pagar | Rodopar 1015'!$A:$A,$B197&amp;$E197&amp;$F197,'Doc Há Pagar | Rodopar 1015'!$B:$B,S$1)</f>
        <v>0</v>
      </c>
      <c r="T197" s="20">
        <f>SUMIFS('Doc''s Pagos | Rodopar 108'!$J:$J,'Doc''s Pagos | Rodopar 108'!$A:$A,$B197&amp;$E197&amp;$F197&amp;$J197,'Doc''s Pagos | Rodopar 108'!$B:$B,T$1)+SUMIFS('Doc Há Pagar | Rodopar 1015'!$J:$J,'Doc Há Pagar | Rodopar 1015'!$A:$A,$B197&amp;$E197&amp;$F197,'Doc Há Pagar | Rodopar 1015'!$B:$B,T$1)</f>
        <v>0</v>
      </c>
      <c r="U197" s="20">
        <f>SUMIFS('Doc''s Pagos | Rodopar 108'!$J:$J,'Doc''s Pagos | Rodopar 108'!$A:$A,$B197&amp;$E197&amp;$F197&amp;$J197,'Doc''s Pagos | Rodopar 108'!$B:$B,U$1)+SUMIFS('Doc Há Pagar | Rodopar 1015'!$J:$J,'Doc Há Pagar | Rodopar 1015'!$A:$A,$B197&amp;$E197&amp;$F197,'Doc Há Pagar | Rodopar 1015'!$B:$B,U$1)</f>
        <v>0</v>
      </c>
      <c r="V197" s="20">
        <f>SUMIFS('Doc''s Pagos | Rodopar 108'!$J:$J,'Doc''s Pagos | Rodopar 108'!$A:$A,$B197&amp;$E197&amp;$F197&amp;$J197,'Doc''s Pagos | Rodopar 108'!$B:$B,V$1)+SUMIFS('Doc Há Pagar | Rodopar 1015'!$J:$J,'Doc Há Pagar | Rodopar 1015'!$A:$A,$B197&amp;$E197&amp;$F197,'Doc Há Pagar | Rodopar 1015'!$B:$B,V$1)</f>
        <v>0</v>
      </c>
      <c r="W197" s="20">
        <f>SUMIFS('Doc''s Pagos | Rodopar 108'!$J:$J,'Doc''s Pagos | Rodopar 108'!$A:$A,$B197&amp;$E197&amp;$F197&amp;$J197,'Doc''s Pagos | Rodopar 108'!$B:$B,W$1)+SUMIFS('Doc Há Pagar | Rodopar 1015'!$J:$J,'Doc Há Pagar | Rodopar 1015'!$A:$A,$B197&amp;$E197&amp;$F197,'Doc Há Pagar | Rodopar 1015'!$B:$B,W$1)</f>
        <v>34681.019999999997</v>
      </c>
      <c r="X197" s="20">
        <f>SUMIFS('Doc''s Pagos | Rodopar 108'!$J:$J,'Doc''s Pagos | Rodopar 108'!$A:$A,$B197&amp;$E197&amp;$F197&amp;$J197,'Doc''s Pagos | Rodopar 108'!$B:$B,X$1)+SUMIFS('Doc Há Pagar | Rodopar 1015'!$J:$J,'Doc Há Pagar | Rodopar 1015'!$A:$A,$B197&amp;$E197&amp;$F197,'Doc Há Pagar | Rodopar 1015'!$B:$B,X$1)</f>
        <v>0</v>
      </c>
      <c r="Y197" s="20">
        <f>SUMIFS('Doc''s Pagos | Rodopar 108'!$J:$J,'Doc''s Pagos | Rodopar 108'!$A:$A,$B197&amp;$E197&amp;$F197&amp;$J197,'Doc''s Pagos | Rodopar 108'!$B:$B,Y$1)+SUMIFS('Doc Há Pagar | Rodopar 1015'!$J:$J,'Doc Há Pagar | Rodopar 1015'!$A:$A,$B197&amp;$E197&amp;$F197,'Doc Há Pagar | Rodopar 1015'!$B:$B,Y$1)</f>
        <v>0</v>
      </c>
      <c r="Z197" s="20">
        <f>SUMIFS('Doc''s Pagos | Rodopar 108'!$J:$J,'Doc''s Pagos | Rodopar 108'!$A:$A,$B197&amp;$E197&amp;$F197&amp;$J197,'Doc''s Pagos | Rodopar 108'!$B:$B,Z$1)+SUMIFS('Doc Há Pagar | Rodopar 1015'!$J:$J,'Doc Há Pagar | Rodopar 1015'!$A:$A,$B197&amp;$E197&amp;$F197,'Doc Há Pagar | Rodopar 1015'!$B:$B,Z$1)</f>
        <v>0</v>
      </c>
      <c r="AA197" s="20">
        <f>SUMIFS('Doc''s Pagos | Rodopar 108'!$J:$J,'Doc''s Pagos | Rodopar 108'!$A:$A,$B197&amp;$E197&amp;$F197&amp;$J197,'Doc''s Pagos | Rodopar 108'!$B:$B,AA$1)+SUMIFS('Doc Há Pagar | Rodopar 1015'!$J:$J,'Doc Há Pagar | Rodopar 1015'!$A:$A,$B197&amp;$E197&amp;$F197,'Doc Há Pagar | Rodopar 1015'!$B:$B,AA$1)</f>
        <v>0</v>
      </c>
      <c r="AB197" s="20">
        <f>SUMIFS('Doc''s Pagos | Rodopar 108'!$J:$J,'Doc''s Pagos | Rodopar 108'!$A:$A,$B197&amp;$E197&amp;$F197&amp;$J197,'Doc''s Pagos | Rodopar 108'!$B:$B,AB$1)+SUMIFS('Doc Há Pagar | Rodopar 1015'!$J:$J,'Doc Há Pagar | Rodopar 1015'!$A:$A,$B197&amp;$E197&amp;$F197,'Doc Há Pagar | Rodopar 1015'!$B:$B,AB$1)</f>
        <v>0</v>
      </c>
      <c r="AC197" s="20">
        <f>SUMIFS('Doc''s Pagos | Rodopar 108'!$J:$J,'Doc''s Pagos | Rodopar 108'!$A:$A,$B197&amp;$E197&amp;$F197&amp;$J197,'Doc''s Pagos | Rodopar 108'!$B:$B,AC$1)+SUMIFS('Doc Há Pagar | Rodopar 1015'!$J:$J,'Doc Há Pagar | Rodopar 1015'!$A:$A,$B197&amp;$E197&amp;$F197,'Doc Há Pagar | Rodopar 1015'!$B:$B,AC$1)</f>
        <v>0</v>
      </c>
      <c r="AD197" s="20">
        <f>SUMIFS('Doc''s Pagos | Rodopar 108'!$J:$J,'Doc''s Pagos | Rodopar 108'!$A:$A,$B197&amp;$E197&amp;$F197&amp;$J197,'Doc''s Pagos | Rodopar 108'!$B:$B,AD$1)+SUMIFS('Doc Há Pagar | Rodopar 1015'!$J:$J,'Doc Há Pagar | Rodopar 1015'!$A:$A,$B197&amp;$E197&amp;$F197,'Doc Há Pagar | Rodopar 1015'!$B:$B,AD$1)</f>
        <v>0</v>
      </c>
    </row>
    <row r="198" spans="1:30" x14ac:dyDescent="0.25">
      <c r="A198" s="1" t="str">
        <f>VLOOKUP($E198,Fornecedores!$A:$C,3,0)</f>
        <v>Frota</v>
      </c>
      <c r="B198" s="14" t="s">
        <v>317</v>
      </c>
      <c r="C198" s="14" t="str">
        <f>IFERROR(VLOOKUP($E198,Fornecedores!$A:$E,4,0),"")</f>
        <v>OPE Merchandising</v>
      </c>
      <c r="D198" s="14" t="str">
        <f>IFERROR(VLOOKUP($E198,Fornecedores!$A:$E,5,0),"")</f>
        <v>Locação</v>
      </c>
      <c r="E198" s="8" t="s">
        <v>112</v>
      </c>
      <c r="F198" s="14" t="s">
        <v>232</v>
      </c>
      <c r="G198" s="8" t="s">
        <v>289</v>
      </c>
      <c r="H198" s="9">
        <v>87</v>
      </c>
      <c r="I198" s="21">
        <v>139.13</v>
      </c>
      <c r="J198" s="11">
        <v>46157</v>
      </c>
      <c r="K198" s="11">
        <v>46163</v>
      </c>
      <c r="L198" s="8" t="s">
        <v>233</v>
      </c>
      <c r="M198" s="14" t="s">
        <v>234</v>
      </c>
      <c r="N198" s="16">
        <v>1556</v>
      </c>
      <c r="O198" s="14" t="s">
        <v>250</v>
      </c>
      <c r="P198" s="14"/>
      <c r="Q198" s="20">
        <f t="shared" si="3"/>
        <v>0</v>
      </c>
      <c r="S198" s="20">
        <f>SUMIFS('Doc''s Pagos | Rodopar 108'!$J:$J,'Doc''s Pagos | Rodopar 108'!$A:$A,$B198&amp;$E198&amp;$F198&amp;$J198,'Doc''s Pagos | Rodopar 108'!$B:$B,S$1)+SUMIFS('Doc Há Pagar | Rodopar 1015'!$J:$J,'Doc Há Pagar | Rodopar 1015'!$A:$A,$B198&amp;$E198&amp;$F198,'Doc Há Pagar | Rodopar 1015'!$B:$B,S$1)</f>
        <v>0</v>
      </c>
      <c r="T198" s="20">
        <f>SUMIFS('Doc''s Pagos | Rodopar 108'!$J:$J,'Doc''s Pagos | Rodopar 108'!$A:$A,$B198&amp;$E198&amp;$F198&amp;$J198,'Doc''s Pagos | Rodopar 108'!$B:$B,T$1)+SUMIFS('Doc Há Pagar | Rodopar 1015'!$J:$J,'Doc Há Pagar | Rodopar 1015'!$A:$A,$B198&amp;$E198&amp;$F198,'Doc Há Pagar | Rodopar 1015'!$B:$B,T$1)</f>
        <v>0</v>
      </c>
      <c r="U198" s="20">
        <f>SUMIFS('Doc''s Pagos | Rodopar 108'!$J:$J,'Doc''s Pagos | Rodopar 108'!$A:$A,$B198&amp;$E198&amp;$F198&amp;$J198,'Doc''s Pagos | Rodopar 108'!$B:$B,U$1)+SUMIFS('Doc Há Pagar | Rodopar 1015'!$J:$J,'Doc Há Pagar | Rodopar 1015'!$A:$A,$B198&amp;$E198&amp;$F198,'Doc Há Pagar | Rodopar 1015'!$B:$B,U$1)</f>
        <v>0</v>
      </c>
      <c r="V198" s="20">
        <f>SUMIFS('Doc''s Pagos | Rodopar 108'!$J:$J,'Doc''s Pagos | Rodopar 108'!$A:$A,$B198&amp;$E198&amp;$F198&amp;$J198,'Doc''s Pagos | Rodopar 108'!$B:$B,V$1)+SUMIFS('Doc Há Pagar | Rodopar 1015'!$J:$J,'Doc Há Pagar | Rodopar 1015'!$A:$A,$B198&amp;$E198&amp;$F198,'Doc Há Pagar | Rodopar 1015'!$B:$B,V$1)</f>
        <v>0</v>
      </c>
      <c r="W198" s="20">
        <f>SUMIFS('Doc''s Pagos | Rodopar 108'!$J:$J,'Doc''s Pagos | Rodopar 108'!$A:$A,$B198&amp;$E198&amp;$F198&amp;$J198,'Doc''s Pagos | Rodopar 108'!$B:$B,W$1)+SUMIFS('Doc Há Pagar | Rodopar 1015'!$J:$J,'Doc Há Pagar | Rodopar 1015'!$A:$A,$B198&amp;$E198&amp;$F198,'Doc Há Pagar | Rodopar 1015'!$B:$B,W$1)</f>
        <v>0</v>
      </c>
      <c r="X198" s="20">
        <f>SUMIFS('Doc''s Pagos | Rodopar 108'!$J:$J,'Doc''s Pagos | Rodopar 108'!$A:$A,$B198&amp;$E198&amp;$F198&amp;$J198,'Doc''s Pagos | Rodopar 108'!$B:$B,X$1)+SUMIFS('Doc Há Pagar | Rodopar 1015'!$J:$J,'Doc Há Pagar | Rodopar 1015'!$A:$A,$B198&amp;$E198&amp;$F198,'Doc Há Pagar | Rodopar 1015'!$B:$B,X$1)</f>
        <v>139.13</v>
      </c>
      <c r="Y198" s="20">
        <f>SUMIFS('Doc''s Pagos | Rodopar 108'!$J:$J,'Doc''s Pagos | Rodopar 108'!$A:$A,$B198&amp;$E198&amp;$F198&amp;$J198,'Doc''s Pagos | Rodopar 108'!$B:$B,Y$1)+SUMIFS('Doc Há Pagar | Rodopar 1015'!$J:$J,'Doc Há Pagar | Rodopar 1015'!$A:$A,$B198&amp;$E198&amp;$F198,'Doc Há Pagar | Rodopar 1015'!$B:$B,Y$1)</f>
        <v>0</v>
      </c>
      <c r="Z198" s="20">
        <f>SUMIFS('Doc''s Pagos | Rodopar 108'!$J:$J,'Doc''s Pagos | Rodopar 108'!$A:$A,$B198&amp;$E198&amp;$F198&amp;$J198,'Doc''s Pagos | Rodopar 108'!$B:$B,Z$1)+SUMIFS('Doc Há Pagar | Rodopar 1015'!$J:$J,'Doc Há Pagar | Rodopar 1015'!$A:$A,$B198&amp;$E198&amp;$F198,'Doc Há Pagar | Rodopar 1015'!$B:$B,Z$1)</f>
        <v>0</v>
      </c>
      <c r="AA198" s="20">
        <f>SUMIFS('Doc''s Pagos | Rodopar 108'!$J:$J,'Doc''s Pagos | Rodopar 108'!$A:$A,$B198&amp;$E198&amp;$F198&amp;$J198,'Doc''s Pagos | Rodopar 108'!$B:$B,AA$1)+SUMIFS('Doc Há Pagar | Rodopar 1015'!$J:$J,'Doc Há Pagar | Rodopar 1015'!$A:$A,$B198&amp;$E198&amp;$F198,'Doc Há Pagar | Rodopar 1015'!$B:$B,AA$1)</f>
        <v>0</v>
      </c>
      <c r="AB198" s="20">
        <f>SUMIFS('Doc''s Pagos | Rodopar 108'!$J:$J,'Doc''s Pagos | Rodopar 108'!$A:$A,$B198&amp;$E198&amp;$F198&amp;$J198,'Doc''s Pagos | Rodopar 108'!$B:$B,AB$1)+SUMIFS('Doc Há Pagar | Rodopar 1015'!$J:$J,'Doc Há Pagar | Rodopar 1015'!$A:$A,$B198&amp;$E198&amp;$F198,'Doc Há Pagar | Rodopar 1015'!$B:$B,AB$1)</f>
        <v>0</v>
      </c>
      <c r="AC198" s="20">
        <f>SUMIFS('Doc''s Pagos | Rodopar 108'!$J:$J,'Doc''s Pagos | Rodopar 108'!$A:$A,$B198&amp;$E198&amp;$F198&amp;$J198,'Doc''s Pagos | Rodopar 108'!$B:$B,AC$1)+SUMIFS('Doc Há Pagar | Rodopar 1015'!$J:$J,'Doc Há Pagar | Rodopar 1015'!$A:$A,$B198&amp;$E198&amp;$F198,'Doc Há Pagar | Rodopar 1015'!$B:$B,AC$1)</f>
        <v>0</v>
      </c>
      <c r="AD198" s="20">
        <f>SUMIFS('Doc''s Pagos | Rodopar 108'!$J:$J,'Doc''s Pagos | Rodopar 108'!$A:$A,$B198&amp;$E198&amp;$F198&amp;$J198,'Doc''s Pagos | Rodopar 108'!$B:$B,AD$1)+SUMIFS('Doc Há Pagar | Rodopar 1015'!$J:$J,'Doc Há Pagar | Rodopar 1015'!$A:$A,$B198&amp;$E198&amp;$F198,'Doc Há Pagar | Rodopar 1015'!$B:$B,AD$1)</f>
        <v>0</v>
      </c>
    </row>
    <row r="199" spans="1:30" x14ac:dyDescent="0.25">
      <c r="A199" s="1" t="str">
        <f>VLOOKUP($E199,Fornecedores!$A:$C,3,0)</f>
        <v>Frota</v>
      </c>
      <c r="B199" s="14" t="s">
        <v>319</v>
      </c>
      <c r="C199" s="14" t="str">
        <f>IFERROR(VLOOKUP($E199,Fornecedores!$A:$E,4,0),"")</f>
        <v>OPE Merchandising</v>
      </c>
      <c r="D199" s="14" t="str">
        <f>IFERROR(VLOOKUP($E199,Fornecedores!$A:$E,5,0),"")</f>
        <v>Locação</v>
      </c>
      <c r="E199" s="8" t="s">
        <v>112</v>
      </c>
      <c r="F199" s="14" t="s">
        <v>232</v>
      </c>
      <c r="G199" s="8" t="s">
        <v>289</v>
      </c>
      <c r="H199" s="9">
        <v>87</v>
      </c>
      <c r="I199" s="21">
        <v>243.26</v>
      </c>
      <c r="J199" s="11">
        <v>46157</v>
      </c>
      <c r="K199" s="11">
        <v>46163</v>
      </c>
      <c r="L199" s="8" t="s">
        <v>233</v>
      </c>
      <c r="M199" s="14" t="s">
        <v>234</v>
      </c>
      <c r="N199" s="16">
        <v>1556</v>
      </c>
      <c r="O199" s="14" t="s">
        <v>250</v>
      </c>
      <c r="P199" s="14"/>
      <c r="Q199" s="20">
        <f t="shared" si="3"/>
        <v>0</v>
      </c>
      <c r="S199" s="20">
        <f>SUMIFS('Doc''s Pagos | Rodopar 108'!$J:$J,'Doc''s Pagos | Rodopar 108'!$A:$A,$B199&amp;$E199&amp;$F199&amp;$J199,'Doc''s Pagos | Rodopar 108'!$B:$B,S$1)+SUMIFS('Doc Há Pagar | Rodopar 1015'!$J:$J,'Doc Há Pagar | Rodopar 1015'!$A:$A,$B199&amp;$E199&amp;$F199,'Doc Há Pagar | Rodopar 1015'!$B:$B,S$1)</f>
        <v>0</v>
      </c>
      <c r="T199" s="20">
        <f>SUMIFS('Doc''s Pagos | Rodopar 108'!$J:$J,'Doc''s Pagos | Rodopar 108'!$A:$A,$B199&amp;$E199&amp;$F199&amp;$J199,'Doc''s Pagos | Rodopar 108'!$B:$B,T$1)+SUMIFS('Doc Há Pagar | Rodopar 1015'!$J:$J,'Doc Há Pagar | Rodopar 1015'!$A:$A,$B199&amp;$E199&amp;$F199,'Doc Há Pagar | Rodopar 1015'!$B:$B,T$1)</f>
        <v>0</v>
      </c>
      <c r="U199" s="20">
        <f>SUMIFS('Doc''s Pagos | Rodopar 108'!$J:$J,'Doc''s Pagos | Rodopar 108'!$A:$A,$B199&amp;$E199&amp;$F199&amp;$J199,'Doc''s Pagos | Rodopar 108'!$B:$B,U$1)+SUMIFS('Doc Há Pagar | Rodopar 1015'!$J:$J,'Doc Há Pagar | Rodopar 1015'!$A:$A,$B199&amp;$E199&amp;$F199,'Doc Há Pagar | Rodopar 1015'!$B:$B,U$1)</f>
        <v>0</v>
      </c>
      <c r="V199" s="20">
        <f>SUMIFS('Doc''s Pagos | Rodopar 108'!$J:$J,'Doc''s Pagos | Rodopar 108'!$A:$A,$B199&amp;$E199&amp;$F199&amp;$J199,'Doc''s Pagos | Rodopar 108'!$B:$B,V$1)+SUMIFS('Doc Há Pagar | Rodopar 1015'!$J:$J,'Doc Há Pagar | Rodopar 1015'!$A:$A,$B199&amp;$E199&amp;$F199,'Doc Há Pagar | Rodopar 1015'!$B:$B,V$1)</f>
        <v>0</v>
      </c>
      <c r="W199" s="20">
        <f>SUMIFS('Doc''s Pagos | Rodopar 108'!$J:$J,'Doc''s Pagos | Rodopar 108'!$A:$A,$B199&amp;$E199&amp;$F199&amp;$J199,'Doc''s Pagos | Rodopar 108'!$B:$B,W$1)+SUMIFS('Doc Há Pagar | Rodopar 1015'!$J:$J,'Doc Há Pagar | Rodopar 1015'!$A:$A,$B199&amp;$E199&amp;$F199,'Doc Há Pagar | Rodopar 1015'!$B:$B,W$1)</f>
        <v>0</v>
      </c>
      <c r="X199" s="20">
        <f>SUMIFS('Doc''s Pagos | Rodopar 108'!$J:$J,'Doc''s Pagos | Rodopar 108'!$A:$A,$B199&amp;$E199&amp;$F199&amp;$J199,'Doc''s Pagos | Rodopar 108'!$B:$B,X$1)+SUMIFS('Doc Há Pagar | Rodopar 1015'!$J:$J,'Doc Há Pagar | Rodopar 1015'!$A:$A,$B199&amp;$E199&amp;$F199,'Doc Há Pagar | Rodopar 1015'!$B:$B,X$1)</f>
        <v>243.26</v>
      </c>
      <c r="Y199" s="20">
        <f>SUMIFS('Doc''s Pagos | Rodopar 108'!$J:$J,'Doc''s Pagos | Rodopar 108'!$A:$A,$B199&amp;$E199&amp;$F199&amp;$J199,'Doc''s Pagos | Rodopar 108'!$B:$B,Y$1)+SUMIFS('Doc Há Pagar | Rodopar 1015'!$J:$J,'Doc Há Pagar | Rodopar 1015'!$A:$A,$B199&amp;$E199&amp;$F199,'Doc Há Pagar | Rodopar 1015'!$B:$B,Y$1)</f>
        <v>0</v>
      </c>
      <c r="Z199" s="20">
        <f>SUMIFS('Doc''s Pagos | Rodopar 108'!$J:$J,'Doc''s Pagos | Rodopar 108'!$A:$A,$B199&amp;$E199&amp;$F199&amp;$J199,'Doc''s Pagos | Rodopar 108'!$B:$B,Z$1)+SUMIFS('Doc Há Pagar | Rodopar 1015'!$J:$J,'Doc Há Pagar | Rodopar 1015'!$A:$A,$B199&amp;$E199&amp;$F199,'Doc Há Pagar | Rodopar 1015'!$B:$B,Z$1)</f>
        <v>0</v>
      </c>
      <c r="AA199" s="20">
        <f>SUMIFS('Doc''s Pagos | Rodopar 108'!$J:$J,'Doc''s Pagos | Rodopar 108'!$A:$A,$B199&amp;$E199&amp;$F199&amp;$J199,'Doc''s Pagos | Rodopar 108'!$B:$B,AA$1)+SUMIFS('Doc Há Pagar | Rodopar 1015'!$J:$J,'Doc Há Pagar | Rodopar 1015'!$A:$A,$B199&amp;$E199&amp;$F199,'Doc Há Pagar | Rodopar 1015'!$B:$B,AA$1)</f>
        <v>0</v>
      </c>
      <c r="AB199" s="20">
        <f>SUMIFS('Doc''s Pagos | Rodopar 108'!$J:$J,'Doc''s Pagos | Rodopar 108'!$A:$A,$B199&amp;$E199&amp;$F199&amp;$J199,'Doc''s Pagos | Rodopar 108'!$B:$B,AB$1)+SUMIFS('Doc Há Pagar | Rodopar 1015'!$J:$J,'Doc Há Pagar | Rodopar 1015'!$A:$A,$B199&amp;$E199&amp;$F199,'Doc Há Pagar | Rodopar 1015'!$B:$B,AB$1)</f>
        <v>0</v>
      </c>
      <c r="AC199" s="20">
        <f>SUMIFS('Doc''s Pagos | Rodopar 108'!$J:$J,'Doc''s Pagos | Rodopar 108'!$A:$A,$B199&amp;$E199&amp;$F199&amp;$J199,'Doc''s Pagos | Rodopar 108'!$B:$B,AC$1)+SUMIFS('Doc Há Pagar | Rodopar 1015'!$J:$J,'Doc Há Pagar | Rodopar 1015'!$A:$A,$B199&amp;$E199&amp;$F199,'Doc Há Pagar | Rodopar 1015'!$B:$B,AC$1)</f>
        <v>0</v>
      </c>
      <c r="AD199" s="20">
        <f>SUMIFS('Doc''s Pagos | Rodopar 108'!$J:$J,'Doc''s Pagos | Rodopar 108'!$A:$A,$B199&amp;$E199&amp;$F199&amp;$J199,'Doc''s Pagos | Rodopar 108'!$B:$B,AD$1)+SUMIFS('Doc Há Pagar | Rodopar 1015'!$J:$J,'Doc Há Pagar | Rodopar 1015'!$A:$A,$B199&amp;$E199&amp;$F199,'Doc Há Pagar | Rodopar 1015'!$B:$B,AD$1)</f>
        <v>0</v>
      </c>
    </row>
    <row r="200" spans="1:30" x14ac:dyDescent="0.25">
      <c r="A200" s="1" t="str">
        <f>VLOOKUP($E200,Fornecedores!$A:$C,3,0)</f>
        <v>Frota</v>
      </c>
      <c r="B200" s="14">
        <v>37533</v>
      </c>
      <c r="C200" s="14" t="str">
        <f>IFERROR(VLOOKUP($E200,Fornecedores!$A:$E,4,0),"")</f>
        <v>Manutenção</v>
      </c>
      <c r="D200" s="14" t="str">
        <f>IFERROR(VLOOKUP($E200,Fornecedores!$A:$E,5,0),"")</f>
        <v>Vans</v>
      </c>
      <c r="E200" s="8" t="s">
        <v>133</v>
      </c>
      <c r="F200" s="14" t="s">
        <v>380</v>
      </c>
      <c r="G200" s="8" t="s">
        <v>493</v>
      </c>
      <c r="H200" s="9">
        <v>87</v>
      </c>
      <c r="I200" s="21">
        <v>1596.98</v>
      </c>
      <c r="J200" s="11">
        <v>46157</v>
      </c>
      <c r="K200" s="11">
        <v>46160</v>
      </c>
      <c r="L200" s="8" t="s">
        <v>494</v>
      </c>
      <c r="M200" s="14" t="s">
        <v>234</v>
      </c>
      <c r="N200" s="16">
        <v>1556</v>
      </c>
      <c r="O200" s="14" t="s">
        <v>250</v>
      </c>
      <c r="P200" s="14"/>
      <c r="Q200" s="20">
        <f t="shared" si="3"/>
        <v>0</v>
      </c>
      <c r="S200" s="20">
        <f>SUMIFS('Doc''s Pagos | Rodopar 108'!$J:$J,'Doc''s Pagos | Rodopar 108'!$A:$A,$B200&amp;$E200&amp;$F200&amp;$J200,'Doc''s Pagos | Rodopar 108'!$B:$B,S$1)+SUMIFS('Doc Há Pagar | Rodopar 1015'!$J:$J,'Doc Há Pagar | Rodopar 1015'!$A:$A,$B200&amp;$E200&amp;$F200,'Doc Há Pagar | Rodopar 1015'!$B:$B,S$1)</f>
        <v>0</v>
      </c>
      <c r="T200" s="20">
        <f>SUMIFS('Doc''s Pagos | Rodopar 108'!$J:$J,'Doc''s Pagos | Rodopar 108'!$A:$A,$B200&amp;$E200&amp;$F200&amp;$J200,'Doc''s Pagos | Rodopar 108'!$B:$B,T$1)+SUMIFS('Doc Há Pagar | Rodopar 1015'!$J:$J,'Doc Há Pagar | Rodopar 1015'!$A:$A,$B200&amp;$E200&amp;$F200,'Doc Há Pagar | Rodopar 1015'!$B:$B,T$1)</f>
        <v>0</v>
      </c>
      <c r="U200" s="20">
        <f>SUMIFS('Doc''s Pagos | Rodopar 108'!$J:$J,'Doc''s Pagos | Rodopar 108'!$A:$A,$B200&amp;$E200&amp;$F200&amp;$J200,'Doc''s Pagos | Rodopar 108'!$B:$B,U$1)+SUMIFS('Doc Há Pagar | Rodopar 1015'!$J:$J,'Doc Há Pagar | Rodopar 1015'!$A:$A,$B200&amp;$E200&amp;$F200,'Doc Há Pagar | Rodopar 1015'!$B:$B,U$1)</f>
        <v>0</v>
      </c>
      <c r="V200" s="20">
        <f>SUMIFS('Doc''s Pagos | Rodopar 108'!$J:$J,'Doc''s Pagos | Rodopar 108'!$A:$A,$B200&amp;$E200&amp;$F200&amp;$J200,'Doc''s Pagos | Rodopar 108'!$B:$B,V$1)+SUMIFS('Doc Há Pagar | Rodopar 1015'!$J:$J,'Doc Há Pagar | Rodopar 1015'!$A:$A,$B200&amp;$E200&amp;$F200,'Doc Há Pagar | Rodopar 1015'!$B:$B,V$1)</f>
        <v>0</v>
      </c>
      <c r="W200" s="20">
        <f>SUMIFS('Doc''s Pagos | Rodopar 108'!$J:$J,'Doc''s Pagos | Rodopar 108'!$A:$A,$B200&amp;$E200&amp;$F200&amp;$J200,'Doc''s Pagos | Rodopar 108'!$B:$B,W$1)+SUMIFS('Doc Há Pagar | Rodopar 1015'!$J:$J,'Doc Há Pagar | Rodopar 1015'!$A:$A,$B200&amp;$E200&amp;$F200,'Doc Há Pagar | Rodopar 1015'!$B:$B,W$1)</f>
        <v>0</v>
      </c>
      <c r="X200" s="20">
        <f>SUMIFS('Doc''s Pagos | Rodopar 108'!$J:$J,'Doc''s Pagos | Rodopar 108'!$A:$A,$B200&amp;$E200&amp;$F200&amp;$J200,'Doc''s Pagos | Rodopar 108'!$B:$B,X$1)+SUMIFS('Doc Há Pagar | Rodopar 1015'!$J:$J,'Doc Há Pagar | Rodopar 1015'!$A:$A,$B200&amp;$E200&amp;$F200,'Doc Há Pagar | Rodopar 1015'!$B:$B,X$1)</f>
        <v>798.49</v>
      </c>
      <c r="Y200" s="20">
        <f>SUMIFS('Doc''s Pagos | Rodopar 108'!$J:$J,'Doc''s Pagos | Rodopar 108'!$A:$A,$B200&amp;$E200&amp;$F200&amp;$J200,'Doc''s Pagos | Rodopar 108'!$B:$B,Y$1)+SUMIFS('Doc Há Pagar | Rodopar 1015'!$J:$J,'Doc Há Pagar | Rodopar 1015'!$A:$A,$B200&amp;$E200&amp;$F200,'Doc Há Pagar | Rodopar 1015'!$B:$B,Y$1)</f>
        <v>798.49</v>
      </c>
      <c r="Z200" s="20">
        <f>SUMIFS('Doc''s Pagos | Rodopar 108'!$J:$J,'Doc''s Pagos | Rodopar 108'!$A:$A,$B200&amp;$E200&amp;$F200&amp;$J200,'Doc''s Pagos | Rodopar 108'!$B:$B,Z$1)+SUMIFS('Doc Há Pagar | Rodopar 1015'!$J:$J,'Doc Há Pagar | Rodopar 1015'!$A:$A,$B200&amp;$E200&amp;$F200,'Doc Há Pagar | Rodopar 1015'!$B:$B,Z$1)</f>
        <v>0</v>
      </c>
      <c r="AA200" s="20">
        <f>SUMIFS('Doc''s Pagos | Rodopar 108'!$J:$J,'Doc''s Pagos | Rodopar 108'!$A:$A,$B200&amp;$E200&amp;$F200&amp;$J200,'Doc''s Pagos | Rodopar 108'!$B:$B,AA$1)+SUMIFS('Doc Há Pagar | Rodopar 1015'!$J:$J,'Doc Há Pagar | Rodopar 1015'!$A:$A,$B200&amp;$E200&amp;$F200,'Doc Há Pagar | Rodopar 1015'!$B:$B,AA$1)</f>
        <v>0</v>
      </c>
      <c r="AB200" s="20">
        <f>SUMIFS('Doc''s Pagos | Rodopar 108'!$J:$J,'Doc''s Pagos | Rodopar 108'!$A:$A,$B200&amp;$E200&amp;$F200&amp;$J200,'Doc''s Pagos | Rodopar 108'!$B:$B,AB$1)+SUMIFS('Doc Há Pagar | Rodopar 1015'!$J:$J,'Doc Há Pagar | Rodopar 1015'!$A:$A,$B200&amp;$E200&amp;$F200,'Doc Há Pagar | Rodopar 1015'!$B:$B,AB$1)</f>
        <v>0</v>
      </c>
      <c r="AC200" s="20">
        <f>SUMIFS('Doc''s Pagos | Rodopar 108'!$J:$J,'Doc''s Pagos | Rodopar 108'!$A:$A,$B200&amp;$E200&amp;$F200&amp;$J200,'Doc''s Pagos | Rodopar 108'!$B:$B,AC$1)+SUMIFS('Doc Há Pagar | Rodopar 1015'!$J:$J,'Doc Há Pagar | Rodopar 1015'!$A:$A,$B200&amp;$E200&amp;$F200,'Doc Há Pagar | Rodopar 1015'!$B:$B,AC$1)</f>
        <v>0</v>
      </c>
      <c r="AD200" s="20">
        <f>SUMIFS('Doc''s Pagos | Rodopar 108'!$J:$J,'Doc''s Pagos | Rodopar 108'!$A:$A,$B200&amp;$E200&amp;$F200&amp;$J200,'Doc''s Pagos | Rodopar 108'!$B:$B,AD$1)+SUMIFS('Doc Há Pagar | Rodopar 1015'!$J:$J,'Doc Há Pagar | Rodopar 1015'!$A:$A,$B200&amp;$E200&amp;$F200,'Doc Há Pagar | Rodopar 1015'!$B:$B,AD$1)</f>
        <v>0</v>
      </c>
    </row>
    <row r="201" spans="1:30" x14ac:dyDescent="0.25">
      <c r="A201" s="1" t="str">
        <f>VLOOKUP($E201,Fornecedores!$A:$C,3,0)</f>
        <v>Frota</v>
      </c>
      <c r="B201" s="14">
        <v>1250</v>
      </c>
      <c r="C201" s="14" t="str">
        <f>IFERROR(VLOOKUP($E201,Fornecedores!$A:$E,4,0),"")</f>
        <v>Manutenção</v>
      </c>
      <c r="D201" s="14" t="str">
        <f>IFERROR(VLOOKUP($E201,Fornecedores!$A:$E,5,0),"")</f>
        <v>Vans</v>
      </c>
      <c r="E201" s="8" t="s">
        <v>133</v>
      </c>
      <c r="F201" s="14" t="s">
        <v>665</v>
      </c>
      <c r="G201" s="8" t="s">
        <v>493</v>
      </c>
      <c r="H201" s="9">
        <v>87</v>
      </c>
      <c r="I201" s="21">
        <v>875.5</v>
      </c>
      <c r="J201" s="11">
        <v>46157</v>
      </c>
      <c r="K201" s="11">
        <v>46160</v>
      </c>
      <c r="L201" s="8" t="s">
        <v>494</v>
      </c>
      <c r="M201" s="14" t="s">
        <v>234</v>
      </c>
      <c r="N201" s="16">
        <v>1556</v>
      </c>
      <c r="O201" s="14" t="s">
        <v>250</v>
      </c>
      <c r="P201" s="14"/>
      <c r="Q201" s="20">
        <f t="shared" si="3"/>
        <v>0</v>
      </c>
      <c r="S201" s="20">
        <f>SUMIFS('Doc''s Pagos | Rodopar 108'!$J:$J,'Doc''s Pagos | Rodopar 108'!$A:$A,$B201&amp;$E201&amp;$F201&amp;$J201,'Doc''s Pagos | Rodopar 108'!$B:$B,S$1)+SUMIFS('Doc Há Pagar | Rodopar 1015'!$J:$J,'Doc Há Pagar | Rodopar 1015'!$A:$A,$B201&amp;$E201&amp;$F201,'Doc Há Pagar | Rodopar 1015'!$B:$B,S$1)</f>
        <v>0</v>
      </c>
      <c r="T201" s="20">
        <f>SUMIFS('Doc''s Pagos | Rodopar 108'!$J:$J,'Doc''s Pagos | Rodopar 108'!$A:$A,$B201&amp;$E201&amp;$F201&amp;$J201,'Doc''s Pagos | Rodopar 108'!$B:$B,T$1)+SUMIFS('Doc Há Pagar | Rodopar 1015'!$J:$J,'Doc Há Pagar | Rodopar 1015'!$A:$A,$B201&amp;$E201&amp;$F201,'Doc Há Pagar | Rodopar 1015'!$B:$B,T$1)</f>
        <v>0</v>
      </c>
      <c r="U201" s="20">
        <f>SUMIFS('Doc''s Pagos | Rodopar 108'!$J:$J,'Doc''s Pagos | Rodopar 108'!$A:$A,$B201&amp;$E201&amp;$F201&amp;$J201,'Doc''s Pagos | Rodopar 108'!$B:$B,U$1)+SUMIFS('Doc Há Pagar | Rodopar 1015'!$J:$J,'Doc Há Pagar | Rodopar 1015'!$A:$A,$B201&amp;$E201&amp;$F201,'Doc Há Pagar | Rodopar 1015'!$B:$B,U$1)</f>
        <v>0</v>
      </c>
      <c r="V201" s="20">
        <f>SUMIFS('Doc''s Pagos | Rodopar 108'!$J:$J,'Doc''s Pagos | Rodopar 108'!$A:$A,$B201&amp;$E201&amp;$F201&amp;$J201,'Doc''s Pagos | Rodopar 108'!$B:$B,V$1)+SUMIFS('Doc Há Pagar | Rodopar 1015'!$J:$J,'Doc Há Pagar | Rodopar 1015'!$A:$A,$B201&amp;$E201&amp;$F201,'Doc Há Pagar | Rodopar 1015'!$B:$B,V$1)</f>
        <v>0</v>
      </c>
      <c r="W201" s="20">
        <f>SUMIFS('Doc''s Pagos | Rodopar 108'!$J:$J,'Doc''s Pagos | Rodopar 108'!$A:$A,$B201&amp;$E201&amp;$F201&amp;$J201,'Doc''s Pagos | Rodopar 108'!$B:$B,W$1)+SUMIFS('Doc Há Pagar | Rodopar 1015'!$J:$J,'Doc Há Pagar | Rodopar 1015'!$A:$A,$B201&amp;$E201&amp;$F201,'Doc Há Pagar | Rodopar 1015'!$B:$B,W$1)</f>
        <v>0</v>
      </c>
      <c r="X201" s="20">
        <f>SUMIFS('Doc''s Pagos | Rodopar 108'!$J:$J,'Doc''s Pagos | Rodopar 108'!$A:$A,$B201&amp;$E201&amp;$F201&amp;$J201,'Doc''s Pagos | Rodopar 108'!$B:$B,X$1)+SUMIFS('Doc Há Pagar | Rodopar 1015'!$J:$J,'Doc Há Pagar | Rodopar 1015'!$A:$A,$B201&amp;$E201&amp;$F201,'Doc Há Pagar | Rodopar 1015'!$B:$B,X$1)</f>
        <v>437.75</v>
      </c>
      <c r="Y201" s="20">
        <f>SUMIFS('Doc''s Pagos | Rodopar 108'!$J:$J,'Doc''s Pagos | Rodopar 108'!$A:$A,$B201&amp;$E201&amp;$F201&amp;$J201,'Doc''s Pagos | Rodopar 108'!$B:$B,Y$1)+SUMIFS('Doc Há Pagar | Rodopar 1015'!$J:$J,'Doc Há Pagar | Rodopar 1015'!$A:$A,$B201&amp;$E201&amp;$F201,'Doc Há Pagar | Rodopar 1015'!$B:$B,Y$1)</f>
        <v>437.75</v>
      </c>
      <c r="Z201" s="20">
        <f>SUMIFS('Doc''s Pagos | Rodopar 108'!$J:$J,'Doc''s Pagos | Rodopar 108'!$A:$A,$B201&amp;$E201&amp;$F201&amp;$J201,'Doc''s Pagos | Rodopar 108'!$B:$B,Z$1)+SUMIFS('Doc Há Pagar | Rodopar 1015'!$J:$J,'Doc Há Pagar | Rodopar 1015'!$A:$A,$B201&amp;$E201&amp;$F201,'Doc Há Pagar | Rodopar 1015'!$B:$B,Z$1)</f>
        <v>0</v>
      </c>
      <c r="AA201" s="20">
        <f>SUMIFS('Doc''s Pagos | Rodopar 108'!$J:$J,'Doc''s Pagos | Rodopar 108'!$A:$A,$B201&amp;$E201&amp;$F201&amp;$J201,'Doc''s Pagos | Rodopar 108'!$B:$B,AA$1)+SUMIFS('Doc Há Pagar | Rodopar 1015'!$J:$J,'Doc Há Pagar | Rodopar 1015'!$A:$A,$B201&amp;$E201&amp;$F201,'Doc Há Pagar | Rodopar 1015'!$B:$B,AA$1)</f>
        <v>0</v>
      </c>
      <c r="AB201" s="20">
        <f>SUMIFS('Doc''s Pagos | Rodopar 108'!$J:$J,'Doc''s Pagos | Rodopar 108'!$A:$A,$B201&amp;$E201&amp;$F201&amp;$J201,'Doc''s Pagos | Rodopar 108'!$B:$B,AB$1)+SUMIFS('Doc Há Pagar | Rodopar 1015'!$J:$J,'Doc Há Pagar | Rodopar 1015'!$A:$A,$B201&amp;$E201&amp;$F201,'Doc Há Pagar | Rodopar 1015'!$B:$B,AB$1)</f>
        <v>0</v>
      </c>
      <c r="AC201" s="20">
        <f>SUMIFS('Doc''s Pagos | Rodopar 108'!$J:$J,'Doc''s Pagos | Rodopar 108'!$A:$A,$B201&amp;$E201&amp;$F201&amp;$J201,'Doc''s Pagos | Rodopar 108'!$B:$B,AC$1)+SUMIFS('Doc Há Pagar | Rodopar 1015'!$J:$J,'Doc Há Pagar | Rodopar 1015'!$A:$A,$B201&amp;$E201&amp;$F201,'Doc Há Pagar | Rodopar 1015'!$B:$B,AC$1)</f>
        <v>0</v>
      </c>
      <c r="AD201" s="20">
        <f>SUMIFS('Doc''s Pagos | Rodopar 108'!$J:$J,'Doc''s Pagos | Rodopar 108'!$A:$A,$B201&amp;$E201&amp;$F201&amp;$J201,'Doc''s Pagos | Rodopar 108'!$B:$B,AD$1)+SUMIFS('Doc Há Pagar | Rodopar 1015'!$J:$J,'Doc Há Pagar | Rodopar 1015'!$A:$A,$B201&amp;$E201&amp;$F201,'Doc Há Pagar | Rodopar 1015'!$B:$B,AD$1)</f>
        <v>0</v>
      </c>
    </row>
    <row r="202" spans="1:30" x14ac:dyDescent="0.25">
      <c r="A202" s="1" t="str">
        <f>VLOOKUP($E202,Fornecedores!$A:$C,3,0)</f>
        <v>Frota</v>
      </c>
      <c r="B202" s="14">
        <v>3513392</v>
      </c>
      <c r="C202" s="14" t="str">
        <f>IFERROR(VLOOKUP($E202,Fornecedores!$A:$E,4,0),"")</f>
        <v>Pneus</v>
      </c>
      <c r="D202" s="14" t="str">
        <f>IFERROR(VLOOKUP($E202,Fornecedores!$A:$E,5,0),"")</f>
        <v>Compra</v>
      </c>
      <c r="E202" s="8" t="s">
        <v>75</v>
      </c>
      <c r="F202" s="14" t="s">
        <v>380</v>
      </c>
      <c r="G202" s="8" t="s">
        <v>504</v>
      </c>
      <c r="H202" s="9">
        <v>87</v>
      </c>
      <c r="I202" s="21">
        <v>4471.87</v>
      </c>
      <c r="J202" s="11">
        <v>46162</v>
      </c>
      <c r="K202" s="11">
        <v>46175</v>
      </c>
      <c r="L202" s="8" t="s">
        <v>505</v>
      </c>
      <c r="M202" s="14" t="s">
        <v>263</v>
      </c>
      <c r="N202" s="16">
        <v>2949</v>
      </c>
      <c r="O202" s="14" t="s">
        <v>506</v>
      </c>
      <c r="P202" s="14"/>
      <c r="Q202" s="20">
        <f t="shared" si="3"/>
        <v>0</v>
      </c>
      <c r="S202" s="20">
        <f>SUMIFS('Doc''s Pagos | Rodopar 108'!$J:$J,'Doc''s Pagos | Rodopar 108'!$A:$A,$B202&amp;$E202&amp;$F202&amp;$J202,'Doc''s Pagos | Rodopar 108'!$B:$B,S$1)+SUMIFS('Doc Há Pagar | Rodopar 1015'!$J:$J,'Doc Há Pagar | Rodopar 1015'!$A:$A,$B202&amp;$E202&amp;$F202,'Doc Há Pagar | Rodopar 1015'!$B:$B,S$1)</f>
        <v>0</v>
      </c>
      <c r="T202" s="20">
        <f>SUMIFS('Doc''s Pagos | Rodopar 108'!$J:$J,'Doc''s Pagos | Rodopar 108'!$A:$A,$B202&amp;$E202&amp;$F202&amp;$J202,'Doc''s Pagos | Rodopar 108'!$B:$B,T$1)+SUMIFS('Doc Há Pagar | Rodopar 1015'!$J:$J,'Doc Há Pagar | Rodopar 1015'!$A:$A,$B202&amp;$E202&amp;$F202,'Doc Há Pagar | Rodopar 1015'!$B:$B,T$1)</f>
        <v>0</v>
      </c>
      <c r="U202" s="20">
        <f>SUMIFS('Doc''s Pagos | Rodopar 108'!$J:$J,'Doc''s Pagos | Rodopar 108'!$A:$A,$B202&amp;$E202&amp;$F202&amp;$J202,'Doc''s Pagos | Rodopar 108'!$B:$B,U$1)+SUMIFS('Doc Há Pagar | Rodopar 1015'!$J:$J,'Doc Há Pagar | Rodopar 1015'!$A:$A,$B202&amp;$E202&amp;$F202,'Doc Há Pagar | Rodopar 1015'!$B:$B,U$1)</f>
        <v>0</v>
      </c>
      <c r="V202" s="20">
        <f>SUMIFS('Doc''s Pagos | Rodopar 108'!$J:$J,'Doc''s Pagos | Rodopar 108'!$A:$A,$B202&amp;$E202&amp;$F202&amp;$J202,'Doc''s Pagos | Rodopar 108'!$B:$B,V$1)+SUMIFS('Doc Há Pagar | Rodopar 1015'!$J:$J,'Doc Há Pagar | Rodopar 1015'!$A:$A,$B202&amp;$E202&amp;$F202,'Doc Há Pagar | Rodopar 1015'!$B:$B,V$1)</f>
        <v>0</v>
      </c>
      <c r="W202" s="20">
        <f>SUMIFS('Doc''s Pagos | Rodopar 108'!$J:$J,'Doc''s Pagos | Rodopar 108'!$A:$A,$B202&amp;$E202&amp;$F202&amp;$J202,'Doc''s Pagos | Rodopar 108'!$B:$B,W$1)+SUMIFS('Doc Há Pagar | Rodopar 1015'!$J:$J,'Doc Há Pagar | Rodopar 1015'!$A:$A,$B202&amp;$E202&amp;$F202,'Doc Há Pagar | Rodopar 1015'!$B:$B,W$1)</f>
        <v>0</v>
      </c>
      <c r="X202" s="20">
        <f>SUMIFS('Doc''s Pagos | Rodopar 108'!$J:$J,'Doc''s Pagos | Rodopar 108'!$A:$A,$B202&amp;$E202&amp;$F202&amp;$J202,'Doc''s Pagos | Rodopar 108'!$B:$B,X$1)+SUMIFS('Doc Há Pagar | Rodopar 1015'!$J:$J,'Doc Há Pagar | Rodopar 1015'!$A:$A,$B202&amp;$E202&amp;$F202,'Doc Há Pagar | Rodopar 1015'!$B:$B,X$1)</f>
        <v>1490.61</v>
      </c>
      <c r="Y202" s="20">
        <f>SUMIFS('Doc''s Pagos | Rodopar 108'!$J:$J,'Doc''s Pagos | Rodopar 108'!$A:$A,$B202&amp;$E202&amp;$F202&amp;$J202,'Doc''s Pagos | Rodopar 108'!$B:$B,Y$1)+SUMIFS('Doc Há Pagar | Rodopar 1015'!$J:$J,'Doc Há Pagar | Rodopar 1015'!$A:$A,$B202&amp;$E202&amp;$F202,'Doc Há Pagar | Rodopar 1015'!$B:$B,Y$1)</f>
        <v>1490.61</v>
      </c>
      <c r="Z202" s="20">
        <f>SUMIFS('Doc''s Pagos | Rodopar 108'!$J:$J,'Doc''s Pagos | Rodopar 108'!$A:$A,$B202&amp;$E202&amp;$F202&amp;$J202,'Doc''s Pagos | Rodopar 108'!$B:$B,Z$1)+SUMIFS('Doc Há Pagar | Rodopar 1015'!$J:$J,'Doc Há Pagar | Rodopar 1015'!$A:$A,$B202&amp;$E202&amp;$F202,'Doc Há Pagar | Rodopar 1015'!$B:$B,Z$1)</f>
        <v>1490.65</v>
      </c>
      <c r="AA202" s="20">
        <f>SUMIFS('Doc''s Pagos | Rodopar 108'!$J:$J,'Doc''s Pagos | Rodopar 108'!$A:$A,$B202&amp;$E202&amp;$F202&amp;$J202,'Doc''s Pagos | Rodopar 108'!$B:$B,AA$1)+SUMIFS('Doc Há Pagar | Rodopar 1015'!$J:$J,'Doc Há Pagar | Rodopar 1015'!$A:$A,$B202&amp;$E202&amp;$F202,'Doc Há Pagar | Rodopar 1015'!$B:$B,AA$1)</f>
        <v>0</v>
      </c>
      <c r="AB202" s="20">
        <f>SUMIFS('Doc''s Pagos | Rodopar 108'!$J:$J,'Doc''s Pagos | Rodopar 108'!$A:$A,$B202&amp;$E202&amp;$F202&amp;$J202,'Doc''s Pagos | Rodopar 108'!$B:$B,AB$1)+SUMIFS('Doc Há Pagar | Rodopar 1015'!$J:$J,'Doc Há Pagar | Rodopar 1015'!$A:$A,$B202&amp;$E202&amp;$F202,'Doc Há Pagar | Rodopar 1015'!$B:$B,AB$1)</f>
        <v>0</v>
      </c>
      <c r="AC202" s="20">
        <f>SUMIFS('Doc''s Pagos | Rodopar 108'!$J:$J,'Doc''s Pagos | Rodopar 108'!$A:$A,$B202&amp;$E202&amp;$F202&amp;$J202,'Doc''s Pagos | Rodopar 108'!$B:$B,AC$1)+SUMIFS('Doc Há Pagar | Rodopar 1015'!$J:$J,'Doc Há Pagar | Rodopar 1015'!$A:$A,$B202&amp;$E202&amp;$F202,'Doc Há Pagar | Rodopar 1015'!$B:$B,AC$1)</f>
        <v>0</v>
      </c>
      <c r="AD202" s="20">
        <f>SUMIFS('Doc''s Pagos | Rodopar 108'!$J:$J,'Doc''s Pagos | Rodopar 108'!$A:$A,$B202&amp;$E202&amp;$F202&amp;$J202,'Doc''s Pagos | Rodopar 108'!$B:$B,AD$1)+SUMIFS('Doc Há Pagar | Rodopar 1015'!$J:$J,'Doc Há Pagar | Rodopar 1015'!$A:$A,$B202&amp;$E202&amp;$F202,'Doc Há Pagar | Rodopar 1015'!$B:$B,AD$1)</f>
        <v>0</v>
      </c>
    </row>
    <row r="203" spans="1:30" x14ac:dyDescent="0.25">
      <c r="A203" s="1" t="str">
        <f>VLOOKUP($E203,Fornecedores!$A:$C,3,0)</f>
        <v>Frota</v>
      </c>
      <c r="B203" s="14">
        <v>37687</v>
      </c>
      <c r="C203" s="14" t="str">
        <f>IFERROR(VLOOKUP($E203,Fornecedores!$A:$E,4,0),"")</f>
        <v>Manutenção</v>
      </c>
      <c r="D203" s="14" t="str">
        <f>IFERROR(VLOOKUP($E203,Fornecedores!$A:$E,5,0),"")</f>
        <v>Vans</v>
      </c>
      <c r="E203" s="8" t="s">
        <v>133</v>
      </c>
      <c r="F203" s="14" t="s">
        <v>380</v>
      </c>
      <c r="G203" s="8" t="s">
        <v>493</v>
      </c>
      <c r="H203" s="9">
        <v>87</v>
      </c>
      <c r="I203" s="21">
        <v>8367.56</v>
      </c>
      <c r="J203" s="11">
        <v>46162</v>
      </c>
      <c r="K203" s="11">
        <v>46163</v>
      </c>
      <c r="L203" s="8" t="s">
        <v>494</v>
      </c>
      <c r="M203" s="14" t="s">
        <v>234</v>
      </c>
      <c r="N203" s="16">
        <v>1556</v>
      </c>
      <c r="O203" s="14" t="s">
        <v>250</v>
      </c>
      <c r="P203" s="14"/>
      <c r="Q203" s="20">
        <f t="shared" si="3"/>
        <v>0</v>
      </c>
      <c r="S203" s="20">
        <f>SUMIFS('Doc''s Pagos | Rodopar 108'!$J:$J,'Doc''s Pagos | Rodopar 108'!$A:$A,$B203&amp;$E203&amp;$F203&amp;$J203,'Doc''s Pagos | Rodopar 108'!$B:$B,S$1)+SUMIFS('Doc Há Pagar | Rodopar 1015'!$J:$J,'Doc Há Pagar | Rodopar 1015'!$A:$A,$B203&amp;$E203&amp;$F203,'Doc Há Pagar | Rodopar 1015'!$B:$B,S$1)</f>
        <v>0</v>
      </c>
      <c r="T203" s="20">
        <f>SUMIFS('Doc''s Pagos | Rodopar 108'!$J:$J,'Doc''s Pagos | Rodopar 108'!$A:$A,$B203&amp;$E203&amp;$F203&amp;$J203,'Doc''s Pagos | Rodopar 108'!$B:$B,T$1)+SUMIFS('Doc Há Pagar | Rodopar 1015'!$J:$J,'Doc Há Pagar | Rodopar 1015'!$A:$A,$B203&amp;$E203&amp;$F203,'Doc Há Pagar | Rodopar 1015'!$B:$B,T$1)</f>
        <v>0</v>
      </c>
      <c r="U203" s="20">
        <f>SUMIFS('Doc''s Pagos | Rodopar 108'!$J:$J,'Doc''s Pagos | Rodopar 108'!$A:$A,$B203&amp;$E203&amp;$F203&amp;$J203,'Doc''s Pagos | Rodopar 108'!$B:$B,U$1)+SUMIFS('Doc Há Pagar | Rodopar 1015'!$J:$J,'Doc Há Pagar | Rodopar 1015'!$A:$A,$B203&amp;$E203&amp;$F203,'Doc Há Pagar | Rodopar 1015'!$B:$B,U$1)</f>
        <v>0</v>
      </c>
      <c r="V203" s="20">
        <f>SUMIFS('Doc''s Pagos | Rodopar 108'!$J:$J,'Doc''s Pagos | Rodopar 108'!$A:$A,$B203&amp;$E203&amp;$F203&amp;$J203,'Doc''s Pagos | Rodopar 108'!$B:$B,V$1)+SUMIFS('Doc Há Pagar | Rodopar 1015'!$J:$J,'Doc Há Pagar | Rodopar 1015'!$A:$A,$B203&amp;$E203&amp;$F203,'Doc Há Pagar | Rodopar 1015'!$B:$B,V$1)</f>
        <v>0</v>
      </c>
      <c r="W203" s="20">
        <f>SUMIFS('Doc''s Pagos | Rodopar 108'!$J:$J,'Doc''s Pagos | Rodopar 108'!$A:$A,$B203&amp;$E203&amp;$F203&amp;$J203,'Doc''s Pagos | Rodopar 108'!$B:$B,W$1)+SUMIFS('Doc Há Pagar | Rodopar 1015'!$J:$J,'Doc Há Pagar | Rodopar 1015'!$A:$A,$B203&amp;$E203&amp;$F203,'Doc Há Pagar | Rodopar 1015'!$B:$B,W$1)</f>
        <v>0</v>
      </c>
      <c r="X203" s="20">
        <f>SUMIFS('Doc''s Pagos | Rodopar 108'!$J:$J,'Doc''s Pagos | Rodopar 108'!$A:$A,$B203&amp;$E203&amp;$F203&amp;$J203,'Doc''s Pagos | Rodopar 108'!$B:$B,X$1)+SUMIFS('Doc Há Pagar | Rodopar 1015'!$J:$J,'Doc Há Pagar | Rodopar 1015'!$A:$A,$B203&amp;$E203&amp;$F203,'Doc Há Pagar | Rodopar 1015'!$B:$B,X$1)</f>
        <v>2789.19</v>
      </c>
      <c r="Y203" s="20">
        <f>SUMIFS('Doc''s Pagos | Rodopar 108'!$J:$J,'Doc''s Pagos | Rodopar 108'!$A:$A,$B203&amp;$E203&amp;$F203&amp;$J203,'Doc''s Pagos | Rodopar 108'!$B:$B,Y$1)+SUMIFS('Doc Há Pagar | Rodopar 1015'!$J:$J,'Doc Há Pagar | Rodopar 1015'!$A:$A,$B203&amp;$E203&amp;$F203,'Doc Há Pagar | Rodopar 1015'!$B:$B,Y$1)</f>
        <v>2789.19</v>
      </c>
      <c r="Z203" s="20">
        <f>SUMIFS('Doc''s Pagos | Rodopar 108'!$J:$J,'Doc''s Pagos | Rodopar 108'!$A:$A,$B203&amp;$E203&amp;$F203&amp;$J203,'Doc''s Pagos | Rodopar 108'!$B:$B,Z$1)+SUMIFS('Doc Há Pagar | Rodopar 1015'!$J:$J,'Doc Há Pagar | Rodopar 1015'!$A:$A,$B203&amp;$E203&amp;$F203,'Doc Há Pagar | Rodopar 1015'!$B:$B,Z$1)</f>
        <v>2789.18</v>
      </c>
      <c r="AA203" s="20">
        <f>SUMIFS('Doc''s Pagos | Rodopar 108'!$J:$J,'Doc''s Pagos | Rodopar 108'!$A:$A,$B203&amp;$E203&amp;$F203&amp;$J203,'Doc''s Pagos | Rodopar 108'!$B:$B,AA$1)+SUMIFS('Doc Há Pagar | Rodopar 1015'!$J:$J,'Doc Há Pagar | Rodopar 1015'!$A:$A,$B203&amp;$E203&amp;$F203,'Doc Há Pagar | Rodopar 1015'!$B:$B,AA$1)</f>
        <v>0</v>
      </c>
      <c r="AB203" s="20">
        <f>SUMIFS('Doc''s Pagos | Rodopar 108'!$J:$J,'Doc''s Pagos | Rodopar 108'!$A:$A,$B203&amp;$E203&amp;$F203&amp;$J203,'Doc''s Pagos | Rodopar 108'!$B:$B,AB$1)+SUMIFS('Doc Há Pagar | Rodopar 1015'!$J:$J,'Doc Há Pagar | Rodopar 1015'!$A:$A,$B203&amp;$E203&amp;$F203,'Doc Há Pagar | Rodopar 1015'!$B:$B,AB$1)</f>
        <v>0</v>
      </c>
      <c r="AC203" s="20">
        <f>SUMIFS('Doc''s Pagos | Rodopar 108'!$J:$J,'Doc''s Pagos | Rodopar 108'!$A:$A,$B203&amp;$E203&amp;$F203&amp;$J203,'Doc''s Pagos | Rodopar 108'!$B:$B,AC$1)+SUMIFS('Doc Há Pagar | Rodopar 1015'!$J:$J,'Doc Há Pagar | Rodopar 1015'!$A:$A,$B203&amp;$E203&amp;$F203,'Doc Há Pagar | Rodopar 1015'!$B:$B,AC$1)</f>
        <v>0</v>
      </c>
      <c r="AD203" s="20">
        <f>SUMIFS('Doc''s Pagos | Rodopar 108'!$J:$J,'Doc''s Pagos | Rodopar 108'!$A:$A,$B203&amp;$E203&amp;$F203&amp;$J203,'Doc''s Pagos | Rodopar 108'!$B:$B,AD$1)+SUMIFS('Doc Há Pagar | Rodopar 1015'!$J:$J,'Doc Há Pagar | Rodopar 1015'!$A:$A,$B203&amp;$E203&amp;$F203,'Doc Há Pagar | Rodopar 1015'!$B:$B,AD$1)</f>
        <v>0</v>
      </c>
    </row>
    <row r="204" spans="1:30" x14ac:dyDescent="0.25">
      <c r="A204" s="1" t="str">
        <f>VLOOKUP($E204,Fornecedores!$A:$C,3,0)</f>
        <v>Frota</v>
      </c>
      <c r="B204" s="14">
        <v>1278</v>
      </c>
      <c r="C204" s="14" t="str">
        <f>IFERROR(VLOOKUP($E204,Fornecedores!$A:$E,4,0),"")</f>
        <v>Manutenção</v>
      </c>
      <c r="D204" s="14" t="str">
        <f>IFERROR(VLOOKUP($E204,Fornecedores!$A:$E,5,0),"")</f>
        <v>Vans</v>
      </c>
      <c r="E204" s="8" t="s">
        <v>133</v>
      </c>
      <c r="F204" s="14" t="s">
        <v>665</v>
      </c>
      <c r="G204" s="8" t="s">
        <v>493</v>
      </c>
      <c r="H204" s="9">
        <v>87</v>
      </c>
      <c r="I204" s="21">
        <v>2729.5</v>
      </c>
      <c r="J204" s="11">
        <v>46162</v>
      </c>
      <c r="K204" s="11">
        <v>46163</v>
      </c>
      <c r="L204" s="8" t="s">
        <v>494</v>
      </c>
      <c r="M204" s="14" t="s">
        <v>234</v>
      </c>
      <c r="N204" s="16">
        <v>1556</v>
      </c>
      <c r="O204" s="14" t="s">
        <v>250</v>
      </c>
      <c r="P204" s="14"/>
      <c r="Q204" s="20">
        <f t="shared" si="3"/>
        <v>0</v>
      </c>
      <c r="S204" s="20">
        <f>SUMIFS('Doc''s Pagos | Rodopar 108'!$J:$J,'Doc''s Pagos | Rodopar 108'!$A:$A,$B204&amp;$E204&amp;$F204&amp;$J204,'Doc''s Pagos | Rodopar 108'!$B:$B,S$1)+SUMIFS('Doc Há Pagar | Rodopar 1015'!$J:$J,'Doc Há Pagar | Rodopar 1015'!$A:$A,$B204&amp;$E204&amp;$F204,'Doc Há Pagar | Rodopar 1015'!$B:$B,S$1)</f>
        <v>0</v>
      </c>
      <c r="T204" s="20">
        <f>SUMIFS('Doc''s Pagos | Rodopar 108'!$J:$J,'Doc''s Pagos | Rodopar 108'!$A:$A,$B204&amp;$E204&amp;$F204&amp;$J204,'Doc''s Pagos | Rodopar 108'!$B:$B,T$1)+SUMIFS('Doc Há Pagar | Rodopar 1015'!$J:$J,'Doc Há Pagar | Rodopar 1015'!$A:$A,$B204&amp;$E204&amp;$F204,'Doc Há Pagar | Rodopar 1015'!$B:$B,T$1)</f>
        <v>0</v>
      </c>
      <c r="U204" s="20">
        <f>SUMIFS('Doc''s Pagos | Rodopar 108'!$J:$J,'Doc''s Pagos | Rodopar 108'!$A:$A,$B204&amp;$E204&amp;$F204&amp;$J204,'Doc''s Pagos | Rodopar 108'!$B:$B,U$1)+SUMIFS('Doc Há Pagar | Rodopar 1015'!$J:$J,'Doc Há Pagar | Rodopar 1015'!$A:$A,$B204&amp;$E204&amp;$F204,'Doc Há Pagar | Rodopar 1015'!$B:$B,U$1)</f>
        <v>0</v>
      </c>
      <c r="V204" s="20">
        <f>SUMIFS('Doc''s Pagos | Rodopar 108'!$J:$J,'Doc''s Pagos | Rodopar 108'!$A:$A,$B204&amp;$E204&amp;$F204&amp;$J204,'Doc''s Pagos | Rodopar 108'!$B:$B,V$1)+SUMIFS('Doc Há Pagar | Rodopar 1015'!$J:$J,'Doc Há Pagar | Rodopar 1015'!$A:$A,$B204&amp;$E204&amp;$F204,'Doc Há Pagar | Rodopar 1015'!$B:$B,V$1)</f>
        <v>0</v>
      </c>
      <c r="W204" s="20">
        <f>SUMIFS('Doc''s Pagos | Rodopar 108'!$J:$J,'Doc''s Pagos | Rodopar 108'!$A:$A,$B204&amp;$E204&amp;$F204&amp;$J204,'Doc''s Pagos | Rodopar 108'!$B:$B,W$1)+SUMIFS('Doc Há Pagar | Rodopar 1015'!$J:$J,'Doc Há Pagar | Rodopar 1015'!$A:$A,$B204&amp;$E204&amp;$F204,'Doc Há Pagar | Rodopar 1015'!$B:$B,W$1)</f>
        <v>0</v>
      </c>
      <c r="X204" s="20">
        <f>SUMIFS('Doc''s Pagos | Rodopar 108'!$J:$J,'Doc''s Pagos | Rodopar 108'!$A:$A,$B204&amp;$E204&amp;$F204&amp;$J204,'Doc''s Pagos | Rodopar 108'!$B:$B,X$1)+SUMIFS('Doc Há Pagar | Rodopar 1015'!$J:$J,'Doc Há Pagar | Rodopar 1015'!$A:$A,$B204&amp;$E204&amp;$F204,'Doc Há Pagar | Rodopar 1015'!$B:$B,X$1)</f>
        <v>909.84</v>
      </c>
      <c r="Y204" s="20">
        <f>SUMIFS('Doc''s Pagos | Rodopar 108'!$J:$J,'Doc''s Pagos | Rodopar 108'!$A:$A,$B204&amp;$E204&amp;$F204&amp;$J204,'Doc''s Pagos | Rodopar 108'!$B:$B,Y$1)+SUMIFS('Doc Há Pagar | Rodopar 1015'!$J:$J,'Doc Há Pagar | Rodopar 1015'!$A:$A,$B204&amp;$E204&amp;$F204,'Doc Há Pagar | Rodopar 1015'!$B:$B,Y$1)</f>
        <v>909.83</v>
      </c>
      <c r="Z204" s="20">
        <f>SUMIFS('Doc''s Pagos | Rodopar 108'!$J:$J,'Doc''s Pagos | Rodopar 108'!$A:$A,$B204&amp;$E204&amp;$F204&amp;$J204,'Doc''s Pagos | Rodopar 108'!$B:$B,Z$1)+SUMIFS('Doc Há Pagar | Rodopar 1015'!$J:$J,'Doc Há Pagar | Rodopar 1015'!$A:$A,$B204&amp;$E204&amp;$F204,'Doc Há Pagar | Rodopar 1015'!$B:$B,Z$1)</f>
        <v>909.83</v>
      </c>
      <c r="AA204" s="20">
        <f>SUMIFS('Doc''s Pagos | Rodopar 108'!$J:$J,'Doc''s Pagos | Rodopar 108'!$A:$A,$B204&amp;$E204&amp;$F204&amp;$J204,'Doc''s Pagos | Rodopar 108'!$B:$B,AA$1)+SUMIFS('Doc Há Pagar | Rodopar 1015'!$J:$J,'Doc Há Pagar | Rodopar 1015'!$A:$A,$B204&amp;$E204&amp;$F204,'Doc Há Pagar | Rodopar 1015'!$B:$B,AA$1)</f>
        <v>0</v>
      </c>
      <c r="AB204" s="20">
        <f>SUMIFS('Doc''s Pagos | Rodopar 108'!$J:$J,'Doc''s Pagos | Rodopar 108'!$A:$A,$B204&amp;$E204&amp;$F204&amp;$J204,'Doc''s Pagos | Rodopar 108'!$B:$B,AB$1)+SUMIFS('Doc Há Pagar | Rodopar 1015'!$J:$J,'Doc Há Pagar | Rodopar 1015'!$A:$A,$B204&amp;$E204&amp;$F204,'Doc Há Pagar | Rodopar 1015'!$B:$B,AB$1)</f>
        <v>0</v>
      </c>
      <c r="AC204" s="20">
        <f>SUMIFS('Doc''s Pagos | Rodopar 108'!$J:$J,'Doc''s Pagos | Rodopar 108'!$A:$A,$B204&amp;$E204&amp;$F204&amp;$J204,'Doc''s Pagos | Rodopar 108'!$B:$B,AC$1)+SUMIFS('Doc Há Pagar | Rodopar 1015'!$J:$J,'Doc Há Pagar | Rodopar 1015'!$A:$A,$B204&amp;$E204&amp;$F204,'Doc Há Pagar | Rodopar 1015'!$B:$B,AC$1)</f>
        <v>0</v>
      </c>
      <c r="AD204" s="20">
        <f>SUMIFS('Doc''s Pagos | Rodopar 108'!$J:$J,'Doc''s Pagos | Rodopar 108'!$A:$A,$B204&amp;$E204&amp;$F204&amp;$J204,'Doc''s Pagos | Rodopar 108'!$B:$B,AD$1)+SUMIFS('Doc Há Pagar | Rodopar 1015'!$J:$J,'Doc Há Pagar | Rodopar 1015'!$A:$A,$B204&amp;$E204&amp;$F204,'Doc Há Pagar | Rodopar 1015'!$B:$B,AD$1)</f>
        <v>0</v>
      </c>
    </row>
    <row r="205" spans="1:30" x14ac:dyDescent="0.25">
      <c r="A205" s="1" t="str">
        <f>VLOOKUP($E205,Fornecedores!$A:$C,3,0)</f>
        <v>Frota</v>
      </c>
      <c r="B205" s="14">
        <v>69</v>
      </c>
      <c r="C205" s="14" t="str">
        <f>IFERROR(VLOOKUP($E205,Fornecedores!$A:$E,4,0),"")</f>
        <v>Manutenção</v>
      </c>
      <c r="D205" s="14" t="str">
        <f>IFERROR(VLOOKUP($E205,Fornecedores!$A:$E,5,0),"")</f>
        <v>Peças E Serviços</v>
      </c>
      <c r="E205" s="8" t="s">
        <v>111</v>
      </c>
      <c r="F205" s="14" t="s">
        <v>665</v>
      </c>
      <c r="G205" s="8" t="s">
        <v>563</v>
      </c>
      <c r="H205" s="9">
        <v>87</v>
      </c>
      <c r="I205" s="21">
        <v>1480</v>
      </c>
      <c r="J205" s="11">
        <v>46162</v>
      </c>
      <c r="K205" s="11">
        <v>46163</v>
      </c>
      <c r="L205" s="8" t="s">
        <v>282</v>
      </c>
      <c r="M205" s="14" t="s">
        <v>234</v>
      </c>
      <c r="N205" s="16">
        <v>1556</v>
      </c>
      <c r="O205" s="14" t="s">
        <v>250</v>
      </c>
      <c r="P205" s="14"/>
      <c r="Q205" s="20">
        <f t="shared" si="3"/>
        <v>0</v>
      </c>
      <c r="S205" s="20">
        <f>SUMIFS('Doc''s Pagos | Rodopar 108'!$J:$J,'Doc''s Pagos | Rodopar 108'!$A:$A,$B205&amp;$E205&amp;$F205&amp;$J205,'Doc''s Pagos | Rodopar 108'!$B:$B,S$1)+SUMIFS('Doc Há Pagar | Rodopar 1015'!$J:$J,'Doc Há Pagar | Rodopar 1015'!$A:$A,$B205&amp;$E205&amp;$F205,'Doc Há Pagar | Rodopar 1015'!$B:$B,S$1)</f>
        <v>0</v>
      </c>
      <c r="T205" s="20">
        <f>SUMIFS('Doc''s Pagos | Rodopar 108'!$J:$J,'Doc''s Pagos | Rodopar 108'!$A:$A,$B205&amp;$E205&amp;$F205&amp;$J205,'Doc''s Pagos | Rodopar 108'!$B:$B,T$1)+SUMIFS('Doc Há Pagar | Rodopar 1015'!$J:$J,'Doc Há Pagar | Rodopar 1015'!$A:$A,$B205&amp;$E205&amp;$F205,'Doc Há Pagar | Rodopar 1015'!$B:$B,T$1)</f>
        <v>0</v>
      </c>
      <c r="U205" s="20">
        <f>SUMIFS('Doc''s Pagos | Rodopar 108'!$J:$J,'Doc''s Pagos | Rodopar 108'!$A:$A,$B205&amp;$E205&amp;$F205&amp;$J205,'Doc''s Pagos | Rodopar 108'!$B:$B,U$1)+SUMIFS('Doc Há Pagar | Rodopar 1015'!$J:$J,'Doc Há Pagar | Rodopar 1015'!$A:$A,$B205&amp;$E205&amp;$F205,'Doc Há Pagar | Rodopar 1015'!$B:$B,U$1)</f>
        <v>0</v>
      </c>
      <c r="V205" s="20">
        <f>SUMIFS('Doc''s Pagos | Rodopar 108'!$J:$J,'Doc''s Pagos | Rodopar 108'!$A:$A,$B205&amp;$E205&amp;$F205&amp;$J205,'Doc''s Pagos | Rodopar 108'!$B:$B,V$1)+SUMIFS('Doc Há Pagar | Rodopar 1015'!$J:$J,'Doc Há Pagar | Rodopar 1015'!$A:$A,$B205&amp;$E205&amp;$F205,'Doc Há Pagar | Rodopar 1015'!$B:$B,V$1)</f>
        <v>0</v>
      </c>
      <c r="W205" s="20">
        <f>SUMIFS('Doc''s Pagos | Rodopar 108'!$J:$J,'Doc''s Pagos | Rodopar 108'!$A:$A,$B205&amp;$E205&amp;$F205&amp;$J205,'Doc''s Pagos | Rodopar 108'!$B:$B,W$1)+SUMIFS('Doc Há Pagar | Rodopar 1015'!$J:$J,'Doc Há Pagar | Rodopar 1015'!$A:$A,$B205&amp;$E205&amp;$F205,'Doc Há Pagar | Rodopar 1015'!$B:$B,W$1)</f>
        <v>0</v>
      </c>
      <c r="X205" s="20">
        <f>SUMIFS('Doc''s Pagos | Rodopar 108'!$J:$J,'Doc''s Pagos | Rodopar 108'!$A:$A,$B205&amp;$E205&amp;$F205&amp;$J205,'Doc''s Pagos | Rodopar 108'!$B:$B,X$1)+SUMIFS('Doc Há Pagar | Rodopar 1015'!$J:$J,'Doc Há Pagar | Rodopar 1015'!$A:$A,$B205&amp;$E205&amp;$F205,'Doc Há Pagar | Rodopar 1015'!$B:$B,X$1)</f>
        <v>1480</v>
      </c>
      <c r="Y205" s="20">
        <f>SUMIFS('Doc''s Pagos | Rodopar 108'!$J:$J,'Doc''s Pagos | Rodopar 108'!$A:$A,$B205&amp;$E205&amp;$F205&amp;$J205,'Doc''s Pagos | Rodopar 108'!$B:$B,Y$1)+SUMIFS('Doc Há Pagar | Rodopar 1015'!$J:$J,'Doc Há Pagar | Rodopar 1015'!$A:$A,$B205&amp;$E205&amp;$F205,'Doc Há Pagar | Rodopar 1015'!$B:$B,Y$1)</f>
        <v>0</v>
      </c>
      <c r="Z205" s="20">
        <f>SUMIFS('Doc''s Pagos | Rodopar 108'!$J:$J,'Doc''s Pagos | Rodopar 108'!$A:$A,$B205&amp;$E205&amp;$F205&amp;$J205,'Doc''s Pagos | Rodopar 108'!$B:$B,Z$1)+SUMIFS('Doc Há Pagar | Rodopar 1015'!$J:$J,'Doc Há Pagar | Rodopar 1015'!$A:$A,$B205&amp;$E205&amp;$F205,'Doc Há Pagar | Rodopar 1015'!$B:$B,Z$1)</f>
        <v>0</v>
      </c>
      <c r="AA205" s="20">
        <f>SUMIFS('Doc''s Pagos | Rodopar 108'!$J:$J,'Doc''s Pagos | Rodopar 108'!$A:$A,$B205&amp;$E205&amp;$F205&amp;$J205,'Doc''s Pagos | Rodopar 108'!$B:$B,AA$1)+SUMIFS('Doc Há Pagar | Rodopar 1015'!$J:$J,'Doc Há Pagar | Rodopar 1015'!$A:$A,$B205&amp;$E205&amp;$F205,'Doc Há Pagar | Rodopar 1015'!$B:$B,AA$1)</f>
        <v>0</v>
      </c>
      <c r="AB205" s="20">
        <f>SUMIFS('Doc''s Pagos | Rodopar 108'!$J:$J,'Doc''s Pagos | Rodopar 108'!$A:$A,$B205&amp;$E205&amp;$F205&amp;$J205,'Doc''s Pagos | Rodopar 108'!$B:$B,AB$1)+SUMIFS('Doc Há Pagar | Rodopar 1015'!$J:$J,'Doc Há Pagar | Rodopar 1015'!$A:$A,$B205&amp;$E205&amp;$F205,'Doc Há Pagar | Rodopar 1015'!$B:$B,AB$1)</f>
        <v>0</v>
      </c>
      <c r="AC205" s="20">
        <f>SUMIFS('Doc''s Pagos | Rodopar 108'!$J:$J,'Doc''s Pagos | Rodopar 108'!$A:$A,$B205&amp;$E205&amp;$F205&amp;$J205,'Doc''s Pagos | Rodopar 108'!$B:$B,AC$1)+SUMIFS('Doc Há Pagar | Rodopar 1015'!$J:$J,'Doc Há Pagar | Rodopar 1015'!$A:$A,$B205&amp;$E205&amp;$F205,'Doc Há Pagar | Rodopar 1015'!$B:$B,AC$1)</f>
        <v>0</v>
      </c>
      <c r="AD205" s="20">
        <f>SUMIFS('Doc''s Pagos | Rodopar 108'!$J:$J,'Doc''s Pagos | Rodopar 108'!$A:$A,$B205&amp;$E205&amp;$F205&amp;$J205,'Doc''s Pagos | Rodopar 108'!$B:$B,AD$1)+SUMIFS('Doc Há Pagar | Rodopar 1015'!$J:$J,'Doc Há Pagar | Rodopar 1015'!$A:$A,$B205&amp;$E205&amp;$F205,'Doc Há Pagar | Rodopar 1015'!$B:$B,AD$1)</f>
        <v>0</v>
      </c>
    </row>
    <row r="206" spans="1:30" x14ac:dyDescent="0.25">
      <c r="A206" s="1" t="str">
        <f>VLOOKUP($E206,Fornecedores!$A:$C,3,0)</f>
        <v>Frota</v>
      </c>
      <c r="B206" s="14">
        <v>2807</v>
      </c>
      <c r="C206" s="14" t="str">
        <f>IFERROR(VLOOKUP($E206,Fornecedores!$A:$E,4,0),"")</f>
        <v>Manutenção</v>
      </c>
      <c r="D206" s="14" t="str">
        <f>IFERROR(VLOOKUP($E206,Fornecedores!$A:$E,5,0),"")</f>
        <v>Frota Leve OPE</v>
      </c>
      <c r="E206" s="8" t="s">
        <v>125</v>
      </c>
      <c r="F206" s="14" t="s">
        <v>380</v>
      </c>
      <c r="G206" s="8" t="s">
        <v>467</v>
      </c>
      <c r="H206" s="9">
        <v>87</v>
      </c>
      <c r="I206" s="21">
        <v>1021</v>
      </c>
      <c r="J206" s="11">
        <v>46163</v>
      </c>
      <c r="K206" s="11">
        <v>46163</v>
      </c>
      <c r="L206" s="8" t="s">
        <v>282</v>
      </c>
      <c r="M206" s="14" t="s">
        <v>234</v>
      </c>
      <c r="N206" s="16">
        <v>1556</v>
      </c>
      <c r="O206" s="14" t="s">
        <v>250</v>
      </c>
      <c r="P206" s="14"/>
      <c r="Q206" s="20">
        <f t="shared" si="3"/>
        <v>0</v>
      </c>
      <c r="S206" s="20">
        <f>SUMIFS('Doc''s Pagos | Rodopar 108'!$J:$J,'Doc''s Pagos | Rodopar 108'!$A:$A,$B206&amp;$E206&amp;$F206&amp;$J206,'Doc''s Pagos | Rodopar 108'!$B:$B,S$1)+SUMIFS('Doc Há Pagar | Rodopar 1015'!$J:$J,'Doc Há Pagar | Rodopar 1015'!$A:$A,$B206&amp;$E206&amp;$F206,'Doc Há Pagar | Rodopar 1015'!$B:$B,S$1)</f>
        <v>0</v>
      </c>
      <c r="T206" s="20">
        <f>SUMIFS('Doc''s Pagos | Rodopar 108'!$J:$J,'Doc''s Pagos | Rodopar 108'!$A:$A,$B206&amp;$E206&amp;$F206&amp;$J206,'Doc''s Pagos | Rodopar 108'!$B:$B,T$1)+SUMIFS('Doc Há Pagar | Rodopar 1015'!$J:$J,'Doc Há Pagar | Rodopar 1015'!$A:$A,$B206&amp;$E206&amp;$F206,'Doc Há Pagar | Rodopar 1015'!$B:$B,T$1)</f>
        <v>0</v>
      </c>
      <c r="U206" s="20">
        <f>SUMIFS('Doc''s Pagos | Rodopar 108'!$J:$J,'Doc''s Pagos | Rodopar 108'!$A:$A,$B206&amp;$E206&amp;$F206&amp;$J206,'Doc''s Pagos | Rodopar 108'!$B:$B,U$1)+SUMIFS('Doc Há Pagar | Rodopar 1015'!$J:$J,'Doc Há Pagar | Rodopar 1015'!$A:$A,$B206&amp;$E206&amp;$F206,'Doc Há Pagar | Rodopar 1015'!$B:$B,U$1)</f>
        <v>0</v>
      </c>
      <c r="V206" s="20">
        <f>SUMIFS('Doc''s Pagos | Rodopar 108'!$J:$J,'Doc''s Pagos | Rodopar 108'!$A:$A,$B206&amp;$E206&amp;$F206&amp;$J206,'Doc''s Pagos | Rodopar 108'!$B:$B,V$1)+SUMIFS('Doc Há Pagar | Rodopar 1015'!$J:$J,'Doc Há Pagar | Rodopar 1015'!$A:$A,$B206&amp;$E206&amp;$F206,'Doc Há Pagar | Rodopar 1015'!$B:$B,V$1)</f>
        <v>0</v>
      </c>
      <c r="W206" s="20">
        <f>SUMIFS('Doc''s Pagos | Rodopar 108'!$J:$J,'Doc''s Pagos | Rodopar 108'!$A:$A,$B206&amp;$E206&amp;$F206&amp;$J206,'Doc''s Pagos | Rodopar 108'!$B:$B,W$1)+SUMIFS('Doc Há Pagar | Rodopar 1015'!$J:$J,'Doc Há Pagar | Rodopar 1015'!$A:$A,$B206&amp;$E206&amp;$F206,'Doc Há Pagar | Rodopar 1015'!$B:$B,W$1)</f>
        <v>0</v>
      </c>
      <c r="X206" s="20">
        <f>SUMIFS('Doc''s Pagos | Rodopar 108'!$J:$J,'Doc''s Pagos | Rodopar 108'!$A:$A,$B206&amp;$E206&amp;$F206&amp;$J206,'Doc''s Pagos | Rodopar 108'!$B:$B,X$1)+SUMIFS('Doc Há Pagar | Rodopar 1015'!$J:$J,'Doc Há Pagar | Rodopar 1015'!$A:$A,$B206&amp;$E206&amp;$F206,'Doc Há Pagar | Rodopar 1015'!$B:$B,X$1)</f>
        <v>1021</v>
      </c>
      <c r="Y206" s="20">
        <f>SUMIFS('Doc''s Pagos | Rodopar 108'!$J:$J,'Doc''s Pagos | Rodopar 108'!$A:$A,$B206&amp;$E206&amp;$F206&amp;$J206,'Doc''s Pagos | Rodopar 108'!$B:$B,Y$1)+SUMIFS('Doc Há Pagar | Rodopar 1015'!$J:$J,'Doc Há Pagar | Rodopar 1015'!$A:$A,$B206&amp;$E206&amp;$F206,'Doc Há Pagar | Rodopar 1015'!$B:$B,Y$1)</f>
        <v>0</v>
      </c>
      <c r="Z206" s="20">
        <f>SUMIFS('Doc''s Pagos | Rodopar 108'!$J:$J,'Doc''s Pagos | Rodopar 108'!$A:$A,$B206&amp;$E206&amp;$F206&amp;$J206,'Doc''s Pagos | Rodopar 108'!$B:$B,Z$1)+SUMIFS('Doc Há Pagar | Rodopar 1015'!$J:$J,'Doc Há Pagar | Rodopar 1015'!$A:$A,$B206&amp;$E206&amp;$F206,'Doc Há Pagar | Rodopar 1015'!$B:$B,Z$1)</f>
        <v>0</v>
      </c>
      <c r="AA206" s="20">
        <f>SUMIFS('Doc''s Pagos | Rodopar 108'!$J:$J,'Doc''s Pagos | Rodopar 108'!$A:$A,$B206&amp;$E206&amp;$F206&amp;$J206,'Doc''s Pagos | Rodopar 108'!$B:$B,AA$1)+SUMIFS('Doc Há Pagar | Rodopar 1015'!$J:$J,'Doc Há Pagar | Rodopar 1015'!$A:$A,$B206&amp;$E206&amp;$F206,'Doc Há Pagar | Rodopar 1015'!$B:$B,AA$1)</f>
        <v>0</v>
      </c>
      <c r="AB206" s="20">
        <f>SUMIFS('Doc''s Pagos | Rodopar 108'!$J:$J,'Doc''s Pagos | Rodopar 108'!$A:$A,$B206&amp;$E206&amp;$F206&amp;$J206,'Doc''s Pagos | Rodopar 108'!$B:$B,AB$1)+SUMIFS('Doc Há Pagar | Rodopar 1015'!$J:$J,'Doc Há Pagar | Rodopar 1015'!$A:$A,$B206&amp;$E206&amp;$F206,'Doc Há Pagar | Rodopar 1015'!$B:$B,AB$1)</f>
        <v>0</v>
      </c>
      <c r="AC206" s="20">
        <f>SUMIFS('Doc''s Pagos | Rodopar 108'!$J:$J,'Doc''s Pagos | Rodopar 108'!$A:$A,$B206&amp;$E206&amp;$F206&amp;$J206,'Doc''s Pagos | Rodopar 108'!$B:$B,AC$1)+SUMIFS('Doc Há Pagar | Rodopar 1015'!$J:$J,'Doc Há Pagar | Rodopar 1015'!$A:$A,$B206&amp;$E206&amp;$F206,'Doc Há Pagar | Rodopar 1015'!$B:$B,AC$1)</f>
        <v>0</v>
      </c>
      <c r="AD206" s="20">
        <f>SUMIFS('Doc''s Pagos | Rodopar 108'!$J:$J,'Doc''s Pagos | Rodopar 108'!$A:$A,$B206&amp;$E206&amp;$F206&amp;$J206,'Doc''s Pagos | Rodopar 108'!$B:$B,AD$1)+SUMIFS('Doc Há Pagar | Rodopar 1015'!$J:$J,'Doc Há Pagar | Rodopar 1015'!$A:$A,$B206&amp;$E206&amp;$F206,'Doc Há Pagar | Rodopar 1015'!$B:$B,AD$1)</f>
        <v>0</v>
      </c>
    </row>
    <row r="207" spans="1:30" x14ac:dyDescent="0.25">
      <c r="A207" s="1" t="str">
        <f>VLOOKUP($E207,Fornecedores!$A:$C,3,0)</f>
        <v>Frota</v>
      </c>
      <c r="B207" s="14">
        <v>2808</v>
      </c>
      <c r="C207" s="14" t="str">
        <f>IFERROR(VLOOKUP($E207,Fornecedores!$A:$E,4,0),"")</f>
        <v>Manutenção</v>
      </c>
      <c r="D207" s="14" t="str">
        <f>IFERROR(VLOOKUP($E207,Fornecedores!$A:$E,5,0),"")</f>
        <v>Frota Leve OPE</v>
      </c>
      <c r="E207" s="8" t="s">
        <v>125</v>
      </c>
      <c r="F207" s="14" t="s">
        <v>380</v>
      </c>
      <c r="G207" s="8" t="s">
        <v>467</v>
      </c>
      <c r="H207" s="9">
        <v>87</v>
      </c>
      <c r="I207" s="21">
        <v>506.6</v>
      </c>
      <c r="J207" s="11">
        <v>46163</v>
      </c>
      <c r="K207" s="11">
        <v>46163</v>
      </c>
      <c r="L207" s="8" t="s">
        <v>282</v>
      </c>
      <c r="M207" s="14" t="s">
        <v>234</v>
      </c>
      <c r="N207" s="16">
        <v>1556</v>
      </c>
      <c r="O207" s="14" t="s">
        <v>250</v>
      </c>
      <c r="P207" s="14"/>
      <c r="Q207" s="20">
        <f t="shared" si="3"/>
        <v>0</v>
      </c>
      <c r="S207" s="20">
        <f>SUMIFS('Doc''s Pagos | Rodopar 108'!$J:$J,'Doc''s Pagos | Rodopar 108'!$A:$A,$B207&amp;$E207&amp;$F207&amp;$J207,'Doc''s Pagos | Rodopar 108'!$B:$B,S$1)+SUMIFS('Doc Há Pagar | Rodopar 1015'!$J:$J,'Doc Há Pagar | Rodopar 1015'!$A:$A,$B207&amp;$E207&amp;$F207,'Doc Há Pagar | Rodopar 1015'!$B:$B,S$1)</f>
        <v>0</v>
      </c>
      <c r="T207" s="20">
        <f>SUMIFS('Doc''s Pagos | Rodopar 108'!$J:$J,'Doc''s Pagos | Rodopar 108'!$A:$A,$B207&amp;$E207&amp;$F207&amp;$J207,'Doc''s Pagos | Rodopar 108'!$B:$B,T$1)+SUMIFS('Doc Há Pagar | Rodopar 1015'!$J:$J,'Doc Há Pagar | Rodopar 1015'!$A:$A,$B207&amp;$E207&amp;$F207,'Doc Há Pagar | Rodopar 1015'!$B:$B,T$1)</f>
        <v>0</v>
      </c>
      <c r="U207" s="20">
        <f>SUMIFS('Doc''s Pagos | Rodopar 108'!$J:$J,'Doc''s Pagos | Rodopar 108'!$A:$A,$B207&amp;$E207&amp;$F207&amp;$J207,'Doc''s Pagos | Rodopar 108'!$B:$B,U$1)+SUMIFS('Doc Há Pagar | Rodopar 1015'!$J:$J,'Doc Há Pagar | Rodopar 1015'!$A:$A,$B207&amp;$E207&amp;$F207,'Doc Há Pagar | Rodopar 1015'!$B:$B,U$1)</f>
        <v>0</v>
      </c>
      <c r="V207" s="20">
        <f>SUMIFS('Doc''s Pagos | Rodopar 108'!$J:$J,'Doc''s Pagos | Rodopar 108'!$A:$A,$B207&amp;$E207&amp;$F207&amp;$J207,'Doc''s Pagos | Rodopar 108'!$B:$B,V$1)+SUMIFS('Doc Há Pagar | Rodopar 1015'!$J:$J,'Doc Há Pagar | Rodopar 1015'!$A:$A,$B207&amp;$E207&amp;$F207,'Doc Há Pagar | Rodopar 1015'!$B:$B,V$1)</f>
        <v>0</v>
      </c>
      <c r="W207" s="20">
        <f>SUMIFS('Doc''s Pagos | Rodopar 108'!$J:$J,'Doc''s Pagos | Rodopar 108'!$A:$A,$B207&amp;$E207&amp;$F207&amp;$J207,'Doc''s Pagos | Rodopar 108'!$B:$B,W$1)+SUMIFS('Doc Há Pagar | Rodopar 1015'!$J:$J,'Doc Há Pagar | Rodopar 1015'!$A:$A,$B207&amp;$E207&amp;$F207,'Doc Há Pagar | Rodopar 1015'!$B:$B,W$1)</f>
        <v>0</v>
      </c>
      <c r="X207" s="20">
        <f>SUMIFS('Doc''s Pagos | Rodopar 108'!$J:$J,'Doc''s Pagos | Rodopar 108'!$A:$A,$B207&amp;$E207&amp;$F207&amp;$J207,'Doc''s Pagos | Rodopar 108'!$B:$B,X$1)+SUMIFS('Doc Há Pagar | Rodopar 1015'!$J:$J,'Doc Há Pagar | Rodopar 1015'!$A:$A,$B207&amp;$E207&amp;$F207,'Doc Há Pagar | Rodopar 1015'!$B:$B,X$1)</f>
        <v>506.6</v>
      </c>
      <c r="Y207" s="20">
        <f>SUMIFS('Doc''s Pagos | Rodopar 108'!$J:$J,'Doc''s Pagos | Rodopar 108'!$A:$A,$B207&amp;$E207&amp;$F207&amp;$J207,'Doc''s Pagos | Rodopar 108'!$B:$B,Y$1)+SUMIFS('Doc Há Pagar | Rodopar 1015'!$J:$J,'Doc Há Pagar | Rodopar 1015'!$A:$A,$B207&amp;$E207&amp;$F207,'Doc Há Pagar | Rodopar 1015'!$B:$B,Y$1)</f>
        <v>0</v>
      </c>
      <c r="Z207" s="20">
        <f>SUMIFS('Doc''s Pagos | Rodopar 108'!$J:$J,'Doc''s Pagos | Rodopar 108'!$A:$A,$B207&amp;$E207&amp;$F207&amp;$J207,'Doc''s Pagos | Rodopar 108'!$B:$B,Z$1)+SUMIFS('Doc Há Pagar | Rodopar 1015'!$J:$J,'Doc Há Pagar | Rodopar 1015'!$A:$A,$B207&amp;$E207&amp;$F207,'Doc Há Pagar | Rodopar 1015'!$B:$B,Z$1)</f>
        <v>0</v>
      </c>
      <c r="AA207" s="20">
        <f>SUMIFS('Doc''s Pagos | Rodopar 108'!$J:$J,'Doc''s Pagos | Rodopar 108'!$A:$A,$B207&amp;$E207&amp;$F207&amp;$J207,'Doc''s Pagos | Rodopar 108'!$B:$B,AA$1)+SUMIFS('Doc Há Pagar | Rodopar 1015'!$J:$J,'Doc Há Pagar | Rodopar 1015'!$A:$A,$B207&amp;$E207&amp;$F207,'Doc Há Pagar | Rodopar 1015'!$B:$B,AA$1)</f>
        <v>0</v>
      </c>
      <c r="AB207" s="20">
        <f>SUMIFS('Doc''s Pagos | Rodopar 108'!$J:$J,'Doc''s Pagos | Rodopar 108'!$A:$A,$B207&amp;$E207&amp;$F207&amp;$J207,'Doc''s Pagos | Rodopar 108'!$B:$B,AB$1)+SUMIFS('Doc Há Pagar | Rodopar 1015'!$J:$J,'Doc Há Pagar | Rodopar 1015'!$A:$A,$B207&amp;$E207&amp;$F207,'Doc Há Pagar | Rodopar 1015'!$B:$B,AB$1)</f>
        <v>0</v>
      </c>
      <c r="AC207" s="20">
        <f>SUMIFS('Doc''s Pagos | Rodopar 108'!$J:$J,'Doc''s Pagos | Rodopar 108'!$A:$A,$B207&amp;$E207&amp;$F207&amp;$J207,'Doc''s Pagos | Rodopar 108'!$B:$B,AC$1)+SUMIFS('Doc Há Pagar | Rodopar 1015'!$J:$J,'Doc Há Pagar | Rodopar 1015'!$A:$A,$B207&amp;$E207&amp;$F207,'Doc Há Pagar | Rodopar 1015'!$B:$B,AC$1)</f>
        <v>0</v>
      </c>
      <c r="AD207" s="20">
        <f>SUMIFS('Doc''s Pagos | Rodopar 108'!$J:$J,'Doc''s Pagos | Rodopar 108'!$A:$A,$B207&amp;$E207&amp;$F207&amp;$J207,'Doc''s Pagos | Rodopar 108'!$B:$B,AD$1)+SUMIFS('Doc Há Pagar | Rodopar 1015'!$J:$J,'Doc Há Pagar | Rodopar 1015'!$A:$A,$B207&amp;$E207&amp;$F207,'Doc Há Pagar | Rodopar 1015'!$B:$B,AD$1)</f>
        <v>0</v>
      </c>
    </row>
    <row r="208" spans="1:30" x14ac:dyDescent="0.25">
      <c r="A208" s="1" t="str">
        <f>VLOOKUP($E208,Fornecedores!$A:$C,3,0)</f>
        <v>Frota</v>
      </c>
      <c r="B208" s="14">
        <v>3514160</v>
      </c>
      <c r="C208" s="14" t="str">
        <f>IFERROR(VLOOKUP($E208,Fornecedores!$A:$E,4,0),"")</f>
        <v>Pneus</v>
      </c>
      <c r="D208" s="14" t="str">
        <f>IFERROR(VLOOKUP($E208,Fornecedores!$A:$E,5,0),"")</f>
        <v>Compra</v>
      </c>
      <c r="E208" s="8" t="s">
        <v>75</v>
      </c>
      <c r="F208" s="14" t="s">
        <v>380</v>
      </c>
      <c r="G208" s="8" t="s">
        <v>504</v>
      </c>
      <c r="H208" s="9">
        <v>87</v>
      </c>
      <c r="I208" s="21">
        <v>4993.88</v>
      </c>
      <c r="J208" s="11">
        <v>46163</v>
      </c>
      <c r="K208" s="11">
        <v>46175</v>
      </c>
      <c r="L208" s="8" t="s">
        <v>505</v>
      </c>
      <c r="M208" s="14" t="s">
        <v>263</v>
      </c>
      <c r="N208" s="16">
        <v>2949</v>
      </c>
      <c r="O208" s="14" t="s">
        <v>506</v>
      </c>
      <c r="P208" s="14"/>
      <c r="Q208" s="20">
        <f t="shared" si="3"/>
        <v>0</v>
      </c>
      <c r="S208" s="20">
        <f>SUMIFS('Doc''s Pagos | Rodopar 108'!$J:$J,'Doc''s Pagos | Rodopar 108'!$A:$A,$B208&amp;$E208&amp;$F208&amp;$J208,'Doc''s Pagos | Rodopar 108'!$B:$B,S$1)+SUMIFS('Doc Há Pagar | Rodopar 1015'!$J:$J,'Doc Há Pagar | Rodopar 1015'!$A:$A,$B208&amp;$E208&amp;$F208,'Doc Há Pagar | Rodopar 1015'!$B:$B,S$1)</f>
        <v>0</v>
      </c>
      <c r="T208" s="20">
        <f>SUMIFS('Doc''s Pagos | Rodopar 108'!$J:$J,'Doc''s Pagos | Rodopar 108'!$A:$A,$B208&amp;$E208&amp;$F208&amp;$J208,'Doc''s Pagos | Rodopar 108'!$B:$B,T$1)+SUMIFS('Doc Há Pagar | Rodopar 1015'!$J:$J,'Doc Há Pagar | Rodopar 1015'!$A:$A,$B208&amp;$E208&amp;$F208,'Doc Há Pagar | Rodopar 1015'!$B:$B,T$1)</f>
        <v>0</v>
      </c>
      <c r="U208" s="20">
        <f>SUMIFS('Doc''s Pagos | Rodopar 108'!$J:$J,'Doc''s Pagos | Rodopar 108'!$A:$A,$B208&amp;$E208&amp;$F208&amp;$J208,'Doc''s Pagos | Rodopar 108'!$B:$B,U$1)+SUMIFS('Doc Há Pagar | Rodopar 1015'!$J:$J,'Doc Há Pagar | Rodopar 1015'!$A:$A,$B208&amp;$E208&amp;$F208,'Doc Há Pagar | Rodopar 1015'!$B:$B,U$1)</f>
        <v>0</v>
      </c>
      <c r="V208" s="20">
        <f>SUMIFS('Doc''s Pagos | Rodopar 108'!$J:$J,'Doc''s Pagos | Rodopar 108'!$A:$A,$B208&amp;$E208&amp;$F208&amp;$J208,'Doc''s Pagos | Rodopar 108'!$B:$B,V$1)+SUMIFS('Doc Há Pagar | Rodopar 1015'!$J:$J,'Doc Há Pagar | Rodopar 1015'!$A:$A,$B208&amp;$E208&amp;$F208,'Doc Há Pagar | Rodopar 1015'!$B:$B,V$1)</f>
        <v>0</v>
      </c>
      <c r="W208" s="20">
        <f>SUMIFS('Doc''s Pagos | Rodopar 108'!$J:$J,'Doc''s Pagos | Rodopar 108'!$A:$A,$B208&amp;$E208&amp;$F208&amp;$J208,'Doc''s Pagos | Rodopar 108'!$B:$B,W$1)+SUMIFS('Doc Há Pagar | Rodopar 1015'!$J:$J,'Doc Há Pagar | Rodopar 1015'!$A:$A,$B208&amp;$E208&amp;$F208,'Doc Há Pagar | Rodopar 1015'!$B:$B,W$1)</f>
        <v>0</v>
      </c>
      <c r="X208" s="20">
        <f>SUMIFS('Doc''s Pagos | Rodopar 108'!$J:$J,'Doc''s Pagos | Rodopar 108'!$A:$A,$B208&amp;$E208&amp;$F208&amp;$J208,'Doc''s Pagos | Rodopar 108'!$B:$B,X$1)+SUMIFS('Doc Há Pagar | Rodopar 1015'!$J:$J,'Doc Há Pagar | Rodopar 1015'!$A:$A,$B208&amp;$E208&amp;$F208,'Doc Há Pagar | Rodopar 1015'!$B:$B,X$1)</f>
        <v>1664.61</v>
      </c>
      <c r="Y208" s="20">
        <f>SUMIFS('Doc''s Pagos | Rodopar 108'!$J:$J,'Doc''s Pagos | Rodopar 108'!$A:$A,$B208&amp;$E208&amp;$F208&amp;$J208,'Doc''s Pagos | Rodopar 108'!$B:$B,Y$1)+SUMIFS('Doc Há Pagar | Rodopar 1015'!$J:$J,'Doc Há Pagar | Rodopar 1015'!$A:$A,$B208&amp;$E208&amp;$F208,'Doc Há Pagar | Rodopar 1015'!$B:$B,Y$1)</f>
        <v>1664.61</v>
      </c>
      <c r="Z208" s="20">
        <f>SUMIFS('Doc''s Pagos | Rodopar 108'!$J:$J,'Doc''s Pagos | Rodopar 108'!$A:$A,$B208&amp;$E208&amp;$F208&amp;$J208,'Doc''s Pagos | Rodopar 108'!$B:$B,Z$1)+SUMIFS('Doc Há Pagar | Rodopar 1015'!$J:$J,'Doc Há Pagar | Rodopar 1015'!$A:$A,$B208&amp;$E208&amp;$F208,'Doc Há Pagar | Rodopar 1015'!$B:$B,Z$1)</f>
        <v>1664.66</v>
      </c>
      <c r="AA208" s="20">
        <f>SUMIFS('Doc''s Pagos | Rodopar 108'!$J:$J,'Doc''s Pagos | Rodopar 108'!$A:$A,$B208&amp;$E208&amp;$F208&amp;$J208,'Doc''s Pagos | Rodopar 108'!$B:$B,AA$1)+SUMIFS('Doc Há Pagar | Rodopar 1015'!$J:$J,'Doc Há Pagar | Rodopar 1015'!$A:$A,$B208&amp;$E208&amp;$F208,'Doc Há Pagar | Rodopar 1015'!$B:$B,AA$1)</f>
        <v>0</v>
      </c>
      <c r="AB208" s="20">
        <f>SUMIFS('Doc''s Pagos | Rodopar 108'!$J:$J,'Doc''s Pagos | Rodopar 108'!$A:$A,$B208&amp;$E208&amp;$F208&amp;$J208,'Doc''s Pagos | Rodopar 108'!$B:$B,AB$1)+SUMIFS('Doc Há Pagar | Rodopar 1015'!$J:$J,'Doc Há Pagar | Rodopar 1015'!$A:$A,$B208&amp;$E208&amp;$F208,'Doc Há Pagar | Rodopar 1015'!$B:$B,AB$1)</f>
        <v>0</v>
      </c>
      <c r="AC208" s="20">
        <f>SUMIFS('Doc''s Pagos | Rodopar 108'!$J:$J,'Doc''s Pagos | Rodopar 108'!$A:$A,$B208&amp;$E208&amp;$F208&amp;$J208,'Doc''s Pagos | Rodopar 108'!$B:$B,AC$1)+SUMIFS('Doc Há Pagar | Rodopar 1015'!$J:$J,'Doc Há Pagar | Rodopar 1015'!$A:$A,$B208&amp;$E208&amp;$F208,'Doc Há Pagar | Rodopar 1015'!$B:$B,AC$1)</f>
        <v>0</v>
      </c>
      <c r="AD208" s="20">
        <f>SUMIFS('Doc''s Pagos | Rodopar 108'!$J:$J,'Doc''s Pagos | Rodopar 108'!$A:$A,$B208&amp;$E208&amp;$F208&amp;$J208,'Doc''s Pagos | Rodopar 108'!$B:$B,AD$1)+SUMIFS('Doc Há Pagar | Rodopar 1015'!$J:$J,'Doc Há Pagar | Rodopar 1015'!$A:$A,$B208&amp;$E208&amp;$F208,'Doc Há Pagar | Rodopar 1015'!$B:$B,AD$1)</f>
        <v>0</v>
      </c>
    </row>
    <row r="209" spans="1:30" x14ac:dyDescent="0.25">
      <c r="A209" s="1" t="str">
        <f>VLOOKUP($E209,Fornecedores!$A:$C,3,0)</f>
        <v>Frota</v>
      </c>
      <c r="B209" s="14">
        <v>6333</v>
      </c>
      <c r="C209" s="14" t="str">
        <f>IFERROR(VLOOKUP($E209,Fornecedores!$A:$E,4,0),"")</f>
        <v>Manutenção</v>
      </c>
      <c r="D209" s="14" t="str">
        <f>IFERROR(VLOOKUP($E209,Fornecedores!$A:$E,5,0),"")</f>
        <v>Peças E Serviços</v>
      </c>
      <c r="E209" s="8" t="s">
        <v>111</v>
      </c>
      <c r="F209" s="14" t="s">
        <v>380</v>
      </c>
      <c r="G209" s="8" t="s">
        <v>563</v>
      </c>
      <c r="H209" s="9">
        <v>87</v>
      </c>
      <c r="I209" s="21">
        <v>226</v>
      </c>
      <c r="J209" s="11">
        <v>46163</v>
      </c>
      <c r="K209" s="11">
        <v>46163</v>
      </c>
      <c r="L209" s="8" t="s">
        <v>282</v>
      </c>
      <c r="M209" s="14" t="s">
        <v>234</v>
      </c>
      <c r="N209" s="16">
        <v>1556</v>
      </c>
      <c r="O209" s="14" t="s">
        <v>250</v>
      </c>
      <c r="P209" s="14"/>
      <c r="Q209" s="20">
        <f t="shared" si="3"/>
        <v>0</v>
      </c>
      <c r="S209" s="20">
        <f>SUMIFS('Doc''s Pagos | Rodopar 108'!$J:$J,'Doc''s Pagos | Rodopar 108'!$A:$A,$B209&amp;$E209&amp;$F209&amp;$J209,'Doc''s Pagos | Rodopar 108'!$B:$B,S$1)+SUMIFS('Doc Há Pagar | Rodopar 1015'!$J:$J,'Doc Há Pagar | Rodopar 1015'!$A:$A,$B209&amp;$E209&amp;$F209,'Doc Há Pagar | Rodopar 1015'!$B:$B,S$1)</f>
        <v>0</v>
      </c>
      <c r="T209" s="20">
        <f>SUMIFS('Doc''s Pagos | Rodopar 108'!$J:$J,'Doc''s Pagos | Rodopar 108'!$A:$A,$B209&amp;$E209&amp;$F209&amp;$J209,'Doc''s Pagos | Rodopar 108'!$B:$B,T$1)+SUMIFS('Doc Há Pagar | Rodopar 1015'!$J:$J,'Doc Há Pagar | Rodopar 1015'!$A:$A,$B209&amp;$E209&amp;$F209,'Doc Há Pagar | Rodopar 1015'!$B:$B,T$1)</f>
        <v>0</v>
      </c>
      <c r="U209" s="20">
        <f>SUMIFS('Doc''s Pagos | Rodopar 108'!$J:$J,'Doc''s Pagos | Rodopar 108'!$A:$A,$B209&amp;$E209&amp;$F209&amp;$J209,'Doc''s Pagos | Rodopar 108'!$B:$B,U$1)+SUMIFS('Doc Há Pagar | Rodopar 1015'!$J:$J,'Doc Há Pagar | Rodopar 1015'!$A:$A,$B209&amp;$E209&amp;$F209,'Doc Há Pagar | Rodopar 1015'!$B:$B,U$1)</f>
        <v>0</v>
      </c>
      <c r="V209" s="20">
        <f>SUMIFS('Doc''s Pagos | Rodopar 108'!$J:$J,'Doc''s Pagos | Rodopar 108'!$A:$A,$B209&amp;$E209&amp;$F209&amp;$J209,'Doc''s Pagos | Rodopar 108'!$B:$B,V$1)+SUMIFS('Doc Há Pagar | Rodopar 1015'!$J:$J,'Doc Há Pagar | Rodopar 1015'!$A:$A,$B209&amp;$E209&amp;$F209,'Doc Há Pagar | Rodopar 1015'!$B:$B,V$1)</f>
        <v>0</v>
      </c>
      <c r="W209" s="20">
        <f>SUMIFS('Doc''s Pagos | Rodopar 108'!$J:$J,'Doc''s Pagos | Rodopar 108'!$A:$A,$B209&amp;$E209&amp;$F209&amp;$J209,'Doc''s Pagos | Rodopar 108'!$B:$B,W$1)+SUMIFS('Doc Há Pagar | Rodopar 1015'!$J:$J,'Doc Há Pagar | Rodopar 1015'!$A:$A,$B209&amp;$E209&amp;$F209,'Doc Há Pagar | Rodopar 1015'!$B:$B,W$1)</f>
        <v>0</v>
      </c>
      <c r="X209" s="20">
        <f>SUMIFS('Doc''s Pagos | Rodopar 108'!$J:$J,'Doc''s Pagos | Rodopar 108'!$A:$A,$B209&amp;$E209&amp;$F209&amp;$J209,'Doc''s Pagos | Rodopar 108'!$B:$B,X$1)+SUMIFS('Doc Há Pagar | Rodopar 1015'!$J:$J,'Doc Há Pagar | Rodopar 1015'!$A:$A,$B209&amp;$E209&amp;$F209,'Doc Há Pagar | Rodopar 1015'!$B:$B,X$1)</f>
        <v>226</v>
      </c>
      <c r="Y209" s="20">
        <f>SUMIFS('Doc''s Pagos | Rodopar 108'!$J:$J,'Doc''s Pagos | Rodopar 108'!$A:$A,$B209&amp;$E209&amp;$F209&amp;$J209,'Doc''s Pagos | Rodopar 108'!$B:$B,Y$1)+SUMIFS('Doc Há Pagar | Rodopar 1015'!$J:$J,'Doc Há Pagar | Rodopar 1015'!$A:$A,$B209&amp;$E209&amp;$F209,'Doc Há Pagar | Rodopar 1015'!$B:$B,Y$1)</f>
        <v>0</v>
      </c>
      <c r="Z209" s="20">
        <f>SUMIFS('Doc''s Pagos | Rodopar 108'!$J:$J,'Doc''s Pagos | Rodopar 108'!$A:$A,$B209&amp;$E209&amp;$F209&amp;$J209,'Doc''s Pagos | Rodopar 108'!$B:$B,Z$1)+SUMIFS('Doc Há Pagar | Rodopar 1015'!$J:$J,'Doc Há Pagar | Rodopar 1015'!$A:$A,$B209&amp;$E209&amp;$F209,'Doc Há Pagar | Rodopar 1015'!$B:$B,Z$1)</f>
        <v>0</v>
      </c>
      <c r="AA209" s="20">
        <f>SUMIFS('Doc''s Pagos | Rodopar 108'!$J:$J,'Doc''s Pagos | Rodopar 108'!$A:$A,$B209&amp;$E209&amp;$F209&amp;$J209,'Doc''s Pagos | Rodopar 108'!$B:$B,AA$1)+SUMIFS('Doc Há Pagar | Rodopar 1015'!$J:$J,'Doc Há Pagar | Rodopar 1015'!$A:$A,$B209&amp;$E209&amp;$F209,'Doc Há Pagar | Rodopar 1015'!$B:$B,AA$1)</f>
        <v>0</v>
      </c>
      <c r="AB209" s="20">
        <f>SUMIFS('Doc''s Pagos | Rodopar 108'!$J:$J,'Doc''s Pagos | Rodopar 108'!$A:$A,$B209&amp;$E209&amp;$F209&amp;$J209,'Doc''s Pagos | Rodopar 108'!$B:$B,AB$1)+SUMIFS('Doc Há Pagar | Rodopar 1015'!$J:$J,'Doc Há Pagar | Rodopar 1015'!$A:$A,$B209&amp;$E209&amp;$F209,'Doc Há Pagar | Rodopar 1015'!$B:$B,AB$1)</f>
        <v>0</v>
      </c>
      <c r="AC209" s="20">
        <f>SUMIFS('Doc''s Pagos | Rodopar 108'!$J:$J,'Doc''s Pagos | Rodopar 108'!$A:$A,$B209&amp;$E209&amp;$F209&amp;$J209,'Doc''s Pagos | Rodopar 108'!$B:$B,AC$1)+SUMIFS('Doc Há Pagar | Rodopar 1015'!$J:$J,'Doc Há Pagar | Rodopar 1015'!$A:$A,$B209&amp;$E209&amp;$F209,'Doc Há Pagar | Rodopar 1015'!$B:$B,AC$1)</f>
        <v>0</v>
      </c>
      <c r="AD209" s="20">
        <f>SUMIFS('Doc''s Pagos | Rodopar 108'!$J:$J,'Doc''s Pagos | Rodopar 108'!$A:$A,$B209&amp;$E209&amp;$F209&amp;$J209,'Doc''s Pagos | Rodopar 108'!$B:$B,AD$1)+SUMIFS('Doc Há Pagar | Rodopar 1015'!$J:$J,'Doc Há Pagar | Rodopar 1015'!$A:$A,$B209&amp;$E209&amp;$F209,'Doc Há Pagar | Rodopar 1015'!$B:$B,AD$1)</f>
        <v>0</v>
      </c>
    </row>
    <row r="210" spans="1:30" x14ac:dyDescent="0.25">
      <c r="A210" s="1" t="str">
        <f>VLOOKUP($E210,Fornecedores!$A:$C,3,0)</f>
        <v>Frota</v>
      </c>
      <c r="B210" s="14">
        <v>3515063</v>
      </c>
      <c r="C210" s="14" t="str">
        <f>IFERROR(VLOOKUP($E210,Fornecedores!$A:$E,4,0),"")</f>
        <v>Pneus</v>
      </c>
      <c r="D210" s="14" t="str">
        <f>IFERROR(VLOOKUP($E210,Fornecedores!$A:$E,5,0),"")</f>
        <v>Compra</v>
      </c>
      <c r="E210" s="8" t="s">
        <v>75</v>
      </c>
      <c r="F210" s="14" t="s">
        <v>380</v>
      </c>
      <c r="G210" s="8" t="s">
        <v>504</v>
      </c>
      <c r="H210" s="9">
        <v>87</v>
      </c>
      <c r="I210" s="21">
        <v>6395.95</v>
      </c>
      <c r="J210" s="11">
        <v>46166</v>
      </c>
      <c r="K210" s="11">
        <v>46175</v>
      </c>
      <c r="L210" s="8" t="s">
        <v>505</v>
      </c>
      <c r="M210" s="14" t="s">
        <v>263</v>
      </c>
      <c r="N210" s="16">
        <v>2949</v>
      </c>
      <c r="O210" s="14" t="s">
        <v>506</v>
      </c>
      <c r="P210" s="14"/>
      <c r="Q210" s="20">
        <f t="shared" si="3"/>
        <v>0</v>
      </c>
      <c r="S210" s="20">
        <f>SUMIFS('Doc''s Pagos | Rodopar 108'!$J:$J,'Doc''s Pagos | Rodopar 108'!$A:$A,$B210&amp;$E210&amp;$F210&amp;$J210,'Doc''s Pagos | Rodopar 108'!$B:$B,S$1)+SUMIFS('Doc Há Pagar | Rodopar 1015'!$J:$J,'Doc Há Pagar | Rodopar 1015'!$A:$A,$B210&amp;$E210&amp;$F210,'Doc Há Pagar | Rodopar 1015'!$B:$B,S$1)</f>
        <v>0</v>
      </c>
      <c r="T210" s="20">
        <f>SUMIFS('Doc''s Pagos | Rodopar 108'!$J:$J,'Doc''s Pagos | Rodopar 108'!$A:$A,$B210&amp;$E210&amp;$F210&amp;$J210,'Doc''s Pagos | Rodopar 108'!$B:$B,T$1)+SUMIFS('Doc Há Pagar | Rodopar 1015'!$J:$J,'Doc Há Pagar | Rodopar 1015'!$A:$A,$B210&amp;$E210&amp;$F210,'Doc Há Pagar | Rodopar 1015'!$B:$B,T$1)</f>
        <v>0</v>
      </c>
      <c r="U210" s="20">
        <f>SUMIFS('Doc''s Pagos | Rodopar 108'!$J:$J,'Doc''s Pagos | Rodopar 108'!$A:$A,$B210&amp;$E210&amp;$F210&amp;$J210,'Doc''s Pagos | Rodopar 108'!$B:$B,U$1)+SUMIFS('Doc Há Pagar | Rodopar 1015'!$J:$J,'Doc Há Pagar | Rodopar 1015'!$A:$A,$B210&amp;$E210&amp;$F210,'Doc Há Pagar | Rodopar 1015'!$B:$B,U$1)</f>
        <v>0</v>
      </c>
      <c r="V210" s="20">
        <f>SUMIFS('Doc''s Pagos | Rodopar 108'!$J:$J,'Doc''s Pagos | Rodopar 108'!$A:$A,$B210&amp;$E210&amp;$F210&amp;$J210,'Doc''s Pagos | Rodopar 108'!$B:$B,V$1)+SUMIFS('Doc Há Pagar | Rodopar 1015'!$J:$J,'Doc Há Pagar | Rodopar 1015'!$A:$A,$B210&amp;$E210&amp;$F210,'Doc Há Pagar | Rodopar 1015'!$B:$B,V$1)</f>
        <v>0</v>
      </c>
      <c r="W210" s="20">
        <f>SUMIFS('Doc''s Pagos | Rodopar 108'!$J:$J,'Doc''s Pagos | Rodopar 108'!$A:$A,$B210&amp;$E210&amp;$F210&amp;$J210,'Doc''s Pagos | Rodopar 108'!$B:$B,W$1)+SUMIFS('Doc Há Pagar | Rodopar 1015'!$J:$J,'Doc Há Pagar | Rodopar 1015'!$A:$A,$B210&amp;$E210&amp;$F210,'Doc Há Pagar | Rodopar 1015'!$B:$B,W$1)</f>
        <v>0</v>
      </c>
      <c r="X210" s="20">
        <f>SUMIFS('Doc''s Pagos | Rodopar 108'!$J:$J,'Doc''s Pagos | Rodopar 108'!$A:$A,$B210&amp;$E210&amp;$F210&amp;$J210,'Doc''s Pagos | Rodopar 108'!$B:$B,X$1)+SUMIFS('Doc Há Pagar | Rodopar 1015'!$J:$J,'Doc Há Pagar | Rodopar 1015'!$A:$A,$B210&amp;$E210&amp;$F210,'Doc Há Pagar | Rodopar 1015'!$B:$B,X$1)</f>
        <v>2131.96</v>
      </c>
      <c r="Y210" s="20">
        <f>SUMIFS('Doc''s Pagos | Rodopar 108'!$J:$J,'Doc''s Pagos | Rodopar 108'!$A:$A,$B210&amp;$E210&amp;$F210&amp;$J210,'Doc''s Pagos | Rodopar 108'!$B:$B,Y$1)+SUMIFS('Doc Há Pagar | Rodopar 1015'!$J:$J,'Doc Há Pagar | Rodopar 1015'!$A:$A,$B210&amp;$E210&amp;$F210,'Doc Há Pagar | Rodopar 1015'!$B:$B,Y$1)</f>
        <v>2131.96</v>
      </c>
      <c r="Z210" s="20">
        <f>SUMIFS('Doc''s Pagos | Rodopar 108'!$J:$J,'Doc''s Pagos | Rodopar 108'!$A:$A,$B210&amp;$E210&amp;$F210&amp;$J210,'Doc''s Pagos | Rodopar 108'!$B:$B,Z$1)+SUMIFS('Doc Há Pagar | Rodopar 1015'!$J:$J,'Doc Há Pagar | Rodopar 1015'!$A:$A,$B210&amp;$E210&amp;$F210,'Doc Há Pagar | Rodopar 1015'!$B:$B,Z$1)</f>
        <v>2132.0300000000002</v>
      </c>
      <c r="AA210" s="20">
        <f>SUMIFS('Doc''s Pagos | Rodopar 108'!$J:$J,'Doc''s Pagos | Rodopar 108'!$A:$A,$B210&amp;$E210&amp;$F210&amp;$J210,'Doc''s Pagos | Rodopar 108'!$B:$B,AA$1)+SUMIFS('Doc Há Pagar | Rodopar 1015'!$J:$J,'Doc Há Pagar | Rodopar 1015'!$A:$A,$B210&amp;$E210&amp;$F210,'Doc Há Pagar | Rodopar 1015'!$B:$B,AA$1)</f>
        <v>0</v>
      </c>
      <c r="AB210" s="20">
        <f>SUMIFS('Doc''s Pagos | Rodopar 108'!$J:$J,'Doc''s Pagos | Rodopar 108'!$A:$A,$B210&amp;$E210&amp;$F210&amp;$J210,'Doc''s Pagos | Rodopar 108'!$B:$B,AB$1)+SUMIFS('Doc Há Pagar | Rodopar 1015'!$J:$J,'Doc Há Pagar | Rodopar 1015'!$A:$A,$B210&amp;$E210&amp;$F210,'Doc Há Pagar | Rodopar 1015'!$B:$B,AB$1)</f>
        <v>0</v>
      </c>
      <c r="AC210" s="20">
        <f>SUMIFS('Doc''s Pagos | Rodopar 108'!$J:$J,'Doc''s Pagos | Rodopar 108'!$A:$A,$B210&amp;$E210&amp;$F210&amp;$J210,'Doc''s Pagos | Rodopar 108'!$B:$B,AC$1)+SUMIFS('Doc Há Pagar | Rodopar 1015'!$J:$J,'Doc Há Pagar | Rodopar 1015'!$A:$A,$B210&amp;$E210&amp;$F210,'Doc Há Pagar | Rodopar 1015'!$B:$B,AC$1)</f>
        <v>0</v>
      </c>
      <c r="AD210" s="20">
        <f>SUMIFS('Doc''s Pagos | Rodopar 108'!$J:$J,'Doc''s Pagos | Rodopar 108'!$A:$A,$B210&amp;$E210&amp;$F210&amp;$J210,'Doc''s Pagos | Rodopar 108'!$B:$B,AD$1)+SUMIFS('Doc Há Pagar | Rodopar 1015'!$J:$J,'Doc Há Pagar | Rodopar 1015'!$A:$A,$B210&amp;$E210&amp;$F210,'Doc Há Pagar | Rodopar 1015'!$B:$B,AD$1)</f>
        <v>0</v>
      </c>
    </row>
    <row r="211" spans="1:30" x14ac:dyDescent="0.25">
      <c r="A211" s="1" t="str">
        <f>VLOOKUP($E211,Fornecedores!$A:$C,3,0)</f>
        <v>Frota</v>
      </c>
      <c r="B211" s="14">
        <v>115</v>
      </c>
      <c r="C211" s="14" t="str">
        <f>IFERROR(VLOOKUP($E211,Fornecedores!$A:$E,4,0),"")</f>
        <v>Manutenção</v>
      </c>
      <c r="D211" s="14" t="str">
        <f>IFERROR(VLOOKUP($E211,Fornecedores!$A:$E,5,0),"")</f>
        <v>Frota Leve OPE</v>
      </c>
      <c r="E211" s="8" t="s">
        <v>143</v>
      </c>
      <c r="F211" s="14" t="s">
        <v>665</v>
      </c>
      <c r="G211" s="8" t="s">
        <v>412</v>
      </c>
      <c r="H211" s="9">
        <v>87</v>
      </c>
      <c r="I211" s="21">
        <v>100</v>
      </c>
      <c r="J211" s="11">
        <v>46167</v>
      </c>
      <c r="K211" s="11">
        <v>46168</v>
      </c>
      <c r="L211" s="8" t="s">
        <v>282</v>
      </c>
      <c r="M211" s="14" t="s">
        <v>234</v>
      </c>
      <c r="N211" s="16">
        <v>1556</v>
      </c>
      <c r="O211" s="14" t="s">
        <v>250</v>
      </c>
      <c r="P211" s="14"/>
      <c r="Q211" s="20">
        <f t="shared" si="3"/>
        <v>0</v>
      </c>
      <c r="S211" s="20">
        <f>SUMIFS('Doc''s Pagos | Rodopar 108'!$J:$J,'Doc''s Pagos | Rodopar 108'!$A:$A,$B211&amp;$E211&amp;$F211&amp;$J211,'Doc''s Pagos | Rodopar 108'!$B:$B,S$1)+SUMIFS('Doc Há Pagar | Rodopar 1015'!$J:$J,'Doc Há Pagar | Rodopar 1015'!$A:$A,$B211&amp;$E211&amp;$F211,'Doc Há Pagar | Rodopar 1015'!$B:$B,S$1)</f>
        <v>0</v>
      </c>
      <c r="T211" s="20">
        <f>SUMIFS('Doc''s Pagos | Rodopar 108'!$J:$J,'Doc''s Pagos | Rodopar 108'!$A:$A,$B211&amp;$E211&amp;$F211&amp;$J211,'Doc''s Pagos | Rodopar 108'!$B:$B,T$1)+SUMIFS('Doc Há Pagar | Rodopar 1015'!$J:$J,'Doc Há Pagar | Rodopar 1015'!$A:$A,$B211&amp;$E211&amp;$F211,'Doc Há Pagar | Rodopar 1015'!$B:$B,T$1)</f>
        <v>0</v>
      </c>
      <c r="U211" s="20">
        <f>SUMIFS('Doc''s Pagos | Rodopar 108'!$J:$J,'Doc''s Pagos | Rodopar 108'!$A:$A,$B211&amp;$E211&amp;$F211&amp;$J211,'Doc''s Pagos | Rodopar 108'!$B:$B,U$1)+SUMIFS('Doc Há Pagar | Rodopar 1015'!$J:$J,'Doc Há Pagar | Rodopar 1015'!$A:$A,$B211&amp;$E211&amp;$F211,'Doc Há Pagar | Rodopar 1015'!$B:$B,U$1)</f>
        <v>0</v>
      </c>
      <c r="V211" s="20">
        <f>SUMIFS('Doc''s Pagos | Rodopar 108'!$J:$J,'Doc''s Pagos | Rodopar 108'!$A:$A,$B211&amp;$E211&amp;$F211&amp;$J211,'Doc''s Pagos | Rodopar 108'!$B:$B,V$1)+SUMIFS('Doc Há Pagar | Rodopar 1015'!$J:$J,'Doc Há Pagar | Rodopar 1015'!$A:$A,$B211&amp;$E211&amp;$F211,'Doc Há Pagar | Rodopar 1015'!$B:$B,V$1)</f>
        <v>0</v>
      </c>
      <c r="W211" s="20">
        <f>SUMIFS('Doc''s Pagos | Rodopar 108'!$J:$J,'Doc''s Pagos | Rodopar 108'!$A:$A,$B211&amp;$E211&amp;$F211&amp;$J211,'Doc''s Pagos | Rodopar 108'!$B:$B,W$1)+SUMIFS('Doc Há Pagar | Rodopar 1015'!$J:$J,'Doc Há Pagar | Rodopar 1015'!$A:$A,$B211&amp;$E211&amp;$F211,'Doc Há Pagar | Rodopar 1015'!$B:$B,W$1)</f>
        <v>100</v>
      </c>
      <c r="X211" s="20">
        <f>SUMIFS('Doc''s Pagos | Rodopar 108'!$J:$J,'Doc''s Pagos | Rodopar 108'!$A:$A,$B211&amp;$E211&amp;$F211&amp;$J211,'Doc''s Pagos | Rodopar 108'!$B:$B,X$1)+SUMIFS('Doc Há Pagar | Rodopar 1015'!$J:$J,'Doc Há Pagar | Rodopar 1015'!$A:$A,$B211&amp;$E211&amp;$F211,'Doc Há Pagar | Rodopar 1015'!$B:$B,X$1)</f>
        <v>0</v>
      </c>
      <c r="Y211" s="20">
        <f>SUMIFS('Doc''s Pagos | Rodopar 108'!$J:$J,'Doc''s Pagos | Rodopar 108'!$A:$A,$B211&amp;$E211&amp;$F211&amp;$J211,'Doc''s Pagos | Rodopar 108'!$B:$B,Y$1)+SUMIFS('Doc Há Pagar | Rodopar 1015'!$J:$J,'Doc Há Pagar | Rodopar 1015'!$A:$A,$B211&amp;$E211&amp;$F211,'Doc Há Pagar | Rodopar 1015'!$B:$B,Y$1)</f>
        <v>0</v>
      </c>
      <c r="Z211" s="20">
        <f>SUMIFS('Doc''s Pagos | Rodopar 108'!$J:$J,'Doc''s Pagos | Rodopar 108'!$A:$A,$B211&amp;$E211&amp;$F211&amp;$J211,'Doc''s Pagos | Rodopar 108'!$B:$B,Z$1)+SUMIFS('Doc Há Pagar | Rodopar 1015'!$J:$J,'Doc Há Pagar | Rodopar 1015'!$A:$A,$B211&amp;$E211&amp;$F211,'Doc Há Pagar | Rodopar 1015'!$B:$B,Z$1)</f>
        <v>0</v>
      </c>
      <c r="AA211" s="20">
        <f>SUMIFS('Doc''s Pagos | Rodopar 108'!$J:$J,'Doc''s Pagos | Rodopar 108'!$A:$A,$B211&amp;$E211&amp;$F211&amp;$J211,'Doc''s Pagos | Rodopar 108'!$B:$B,AA$1)+SUMIFS('Doc Há Pagar | Rodopar 1015'!$J:$J,'Doc Há Pagar | Rodopar 1015'!$A:$A,$B211&amp;$E211&amp;$F211,'Doc Há Pagar | Rodopar 1015'!$B:$B,AA$1)</f>
        <v>0</v>
      </c>
      <c r="AB211" s="20">
        <f>SUMIFS('Doc''s Pagos | Rodopar 108'!$J:$J,'Doc''s Pagos | Rodopar 108'!$A:$A,$B211&amp;$E211&amp;$F211&amp;$J211,'Doc''s Pagos | Rodopar 108'!$B:$B,AB$1)+SUMIFS('Doc Há Pagar | Rodopar 1015'!$J:$J,'Doc Há Pagar | Rodopar 1015'!$A:$A,$B211&amp;$E211&amp;$F211,'Doc Há Pagar | Rodopar 1015'!$B:$B,AB$1)</f>
        <v>0</v>
      </c>
      <c r="AC211" s="20">
        <f>SUMIFS('Doc''s Pagos | Rodopar 108'!$J:$J,'Doc''s Pagos | Rodopar 108'!$A:$A,$B211&amp;$E211&amp;$F211&amp;$J211,'Doc''s Pagos | Rodopar 108'!$B:$B,AC$1)+SUMIFS('Doc Há Pagar | Rodopar 1015'!$J:$J,'Doc Há Pagar | Rodopar 1015'!$A:$A,$B211&amp;$E211&amp;$F211,'Doc Há Pagar | Rodopar 1015'!$B:$B,AC$1)</f>
        <v>0</v>
      </c>
      <c r="AD211" s="20">
        <f>SUMIFS('Doc''s Pagos | Rodopar 108'!$J:$J,'Doc''s Pagos | Rodopar 108'!$A:$A,$B211&amp;$E211&amp;$F211&amp;$J211,'Doc''s Pagos | Rodopar 108'!$B:$B,AD$1)+SUMIFS('Doc Há Pagar | Rodopar 1015'!$J:$J,'Doc Há Pagar | Rodopar 1015'!$A:$A,$B211&amp;$E211&amp;$F211,'Doc Há Pagar | Rodopar 1015'!$B:$B,AD$1)</f>
        <v>0</v>
      </c>
    </row>
    <row r="212" spans="1:30" x14ac:dyDescent="0.25">
      <c r="A212" s="1" t="str">
        <f>VLOOKUP($E212,Fornecedores!$A:$C,3,0)</f>
        <v>Frota</v>
      </c>
      <c r="B212" s="14">
        <v>1414</v>
      </c>
      <c r="C212" s="14" t="str">
        <f>IFERROR(VLOOKUP($E212,Fornecedores!$A:$E,4,0),"")</f>
        <v>Manutenção</v>
      </c>
      <c r="D212" s="14" t="str">
        <f>IFERROR(VLOOKUP($E212,Fornecedores!$A:$E,5,0),"")</f>
        <v>Frota Leve OPE</v>
      </c>
      <c r="E212" s="8" t="s">
        <v>143</v>
      </c>
      <c r="F212" s="14" t="s">
        <v>380</v>
      </c>
      <c r="G212" s="8" t="s">
        <v>412</v>
      </c>
      <c r="H212" s="9">
        <v>87</v>
      </c>
      <c r="I212" s="21">
        <v>250</v>
      </c>
      <c r="J212" s="11">
        <v>46168</v>
      </c>
      <c r="K212" s="11">
        <v>46168</v>
      </c>
      <c r="L212" s="8" t="s">
        <v>282</v>
      </c>
      <c r="M212" s="14" t="s">
        <v>234</v>
      </c>
      <c r="N212" s="16">
        <v>1556</v>
      </c>
      <c r="O212" s="14" t="s">
        <v>250</v>
      </c>
      <c r="P212" s="14"/>
      <c r="Q212" s="20">
        <f t="shared" si="3"/>
        <v>0</v>
      </c>
      <c r="S212" s="20">
        <f>SUMIFS('Doc''s Pagos | Rodopar 108'!$J:$J,'Doc''s Pagos | Rodopar 108'!$A:$A,$B212&amp;$E212&amp;$F212&amp;$J212,'Doc''s Pagos | Rodopar 108'!$B:$B,S$1)+SUMIFS('Doc Há Pagar | Rodopar 1015'!$J:$J,'Doc Há Pagar | Rodopar 1015'!$A:$A,$B212&amp;$E212&amp;$F212,'Doc Há Pagar | Rodopar 1015'!$B:$B,S$1)</f>
        <v>0</v>
      </c>
      <c r="T212" s="20">
        <f>SUMIFS('Doc''s Pagos | Rodopar 108'!$J:$J,'Doc''s Pagos | Rodopar 108'!$A:$A,$B212&amp;$E212&amp;$F212&amp;$J212,'Doc''s Pagos | Rodopar 108'!$B:$B,T$1)+SUMIFS('Doc Há Pagar | Rodopar 1015'!$J:$J,'Doc Há Pagar | Rodopar 1015'!$A:$A,$B212&amp;$E212&amp;$F212,'Doc Há Pagar | Rodopar 1015'!$B:$B,T$1)</f>
        <v>0</v>
      </c>
      <c r="U212" s="20">
        <f>SUMIFS('Doc''s Pagos | Rodopar 108'!$J:$J,'Doc''s Pagos | Rodopar 108'!$A:$A,$B212&amp;$E212&amp;$F212&amp;$J212,'Doc''s Pagos | Rodopar 108'!$B:$B,U$1)+SUMIFS('Doc Há Pagar | Rodopar 1015'!$J:$J,'Doc Há Pagar | Rodopar 1015'!$A:$A,$B212&amp;$E212&amp;$F212,'Doc Há Pagar | Rodopar 1015'!$B:$B,U$1)</f>
        <v>0</v>
      </c>
      <c r="V212" s="20">
        <f>SUMIFS('Doc''s Pagos | Rodopar 108'!$J:$J,'Doc''s Pagos | Rodopar 108'!$A:$A,$B212&amp;$E212&amp;$F212&amp;$J212,'Doc''s Pagos | Rodopar 108'!$B:$B,V$1)+SUMIFS('Doc Há Pagar | Rodopar 1015'!$J:$J,'Doc Há Pagar | Rodopar 1015'!$A:$A,$B212&amp;$E212&amp;$F212,'Doc Há Pagar | Rodopar 1015'!$B:$B,V$1)</f>
        <v>0</v>
      </c>
      <c r="W212" s="20">
        <f>SUMIFS('Doc''s Pagos | Rodopar 108'!$J:$J,'Doc''s Pagos | Rodopar 108'!$A:$A,$B212&amp;$E212&amp;$F212&amp;$J212,'Doc''s Pagos | Rodopar 108'!$B:$B,W$1)+SUMIFS('Doc Há Pagar | Rodopar 1015'!$J:$J,'Doc Há Pagar | Rodopar 1015'!$A:$A,$B212&amp;$E212&amp;$F212,'Doc Há Pagar | Rodopar 1015'!$B:$B,W$1)</f>
        <v>250</v>
      </c>
      <c r="X212" s="20">
        <f>SUMIFS('Doc''s Pagos | Rodopar 108'!$J:$J,'Doc''s Pagos | Rodopar 108'!$A:$A,$B212&amp;$E212&amp;$F212&amp;$J212,'Doc''s Pagos | Rodopar 108'!$B:$B,X$1)+SUMIFS('Doc Há Pagar | Rodopar 1015'!$J:$J,'Doc Há Pagar | Rodopar 1015'!$A:$A,$B212&amp;$E212&amp;$F212,'Doc Há Pagar | Rodopar 1015'!$B:$B,X$1)</f>
        <v>0</v>
      </c>
      <c r="Y212" s="20">
        <f>SUMIFS('Doc''s Pagos | Rodopar 108'!$J:$J,'Doc''s Pagos | Rodopar 108'!$A:$A,$B212&amp;$E212&amp;$F212&amp;$J212,'Doc''s Pagos | Rodopar 108'!$B:$B,Y$1)+SUMIFS('Doc Há Pagar | Rodopar 1015'!$J:$J,'Doc Há Pagar | Rodopar 1015'!$A:$A,$B212&amp;$E212&amp;$F212,'Doc Há Pagar | Rodopar 1015'!$B:$B,Y$1)</f>
        <v>0</v>
      </c>
      <c r="Z212" s="20">
        <f>SUMIFS('Doc''s Pagos | Rodopar 108'!$J:$J,'Doc''s Pagos | Rodopar 108'!$A:$A,$B212&amp;$E212&amp;$F212&amp;$J212,'Doc''s Pagos | Rodopar 108'!$B:$B,Z$1)+SUMIFS('Doc Há Pagar | Rodopar 1015'!$J:$J,'Doc Há Pagar | Rodopar 1015'!$A:$A,$B212&amp;$E212&amp;$F212,'Doc Há Pagar | Rodopar 1015'!$B:$B,Z$1)</f>
        <v>0</v>
      </c>
      <c r="AA212" s="20">
        <f>SUMIFS('Doc''s Pagos | Rodopar 108'!$J:$J,'Doc''s Pagos | Rodopar 108'!$A:$A,$B212&amp;$E212&amp;$F212&amp;$J212,'Doc''s Pagos | Rodopar 108'!$B:$B,AA$1)+SUMIFS('Doc Há Pagar | Rodopar 1015'!$J:$J,'Doc Há Pagar | Rodopar 1015'!$A:$A,$B212&amp;$E212&amp;$F212,'Doc Há Pagar | Rodopar 1015'!$B:$B,AA$1)</f>
        <v>0</v>
      </c>
      <c r="AB212" s="20">
        <f>SUMIFS('Doc''s Pagos | Rodopar 108'!$J:$J,'Doc''s Pagos | Rodopar 108'!$A:$A,$B212&amp;$E212&amp;$F212&amp;$J212,'Doc''s Pagos | Rodopar 108'!$B:$B,AB$1)+SUMIFS('Doc Há Pagar | Rodopar 1015'!$J:$J,'Doc Há Pagar | Rodopar 1015'!$A:$A,$B212&amp;$E212&amp;$F212,'Doc Há Pagar | Rodopar 1015'!$B:$B,AB$1)</f>
        <v>0</v>
      </c>
      <c r="AC212" s="20">
        <f>SUMIFS('Doc''s Pagos | Rodopar 108'!$J:$J,'Doc''s Pagos | Rodopar 108'!$A:$A,$B212&amp;$E212&amp;$F212&amp;$J212,'Doc''s Pagos | Rodopar 108'!$B:$B,AC$1)+SUMIFS('Doc Há Pagar | Rodopar 1015'!$J:$J,'Doc Há Pagar | Rodopar 1015'!$A:$A,$B212&amp;$E212&amp;$F212,'Doc Há Pagar | Rodopar 1015'!$B:$B,AC$1)</f>
        <v>0</v>
      </c>
      <c r="AD212" s="20">
        <f>SUMIFS('Doc''s Pagos | Rodopar 108'!$J:$J,'Doc''s Pagos | Rodopar 108'!$A:$A,$B212&amp;$E212&amp;$F212&amp;$J212,'Doc''s Pagos | Rodopar 108'!$B:$B,AD$1)+SUMIFS('Doc Há Pagar | Rodopar 1015'!$J:$J,'Doc Há Pagar | Rodopar 1015'!$A:$A,$B212&amp;$E212&amp;$F212,'Doc Há Pagar | Rodopar 1015'!$B:$B,AD$1)</f>
        <v>0</v>
      </c>
    </row>
    <row r="213" spans="1:30" x14ac:dyDescent="0.25">
      <c r="A213" s="1" t="str">
        <f>VLOOKUP($E213,Fornecedores!$A:$C,3,0)</f>
        <v>Frota</v>
      </c>
      <c r="B213" s="14">
        <v>2853</v>
      </c>
      <c r="C213" s="14" t="str">
        <f>IFERROR(VLOOKUP($E213,Fornecedores!$A:$E,4,0),"")</f>
        <v>Manutenção</v>
      </c>
      <c r="D213" s="14" t="str">
        <f>IFERROR(VLOOKUP($E213,Fornecedores!$A:$E,5,0),"")</f>
        <v>Frota Leve OPE</v>
      </c>
      <c r="E213" s="8" t="s">
        <v>125</v>
      </c>
      <c r="F213" s="14" t="s">
        <v>380</v>
      </c>
      <c r="G213" s="8" t="s">
        <v>467</v>
      </c>
      <c r="H213" s="9">
        <v>87</v>
      </c>
      <c r="I213" s="21">
        <v>460</v>
      </c>
      <c r="J213" s="11">
        <v>46169</v>
      </c>
      <c r="K213" s="11">
        <v>46176</v>
      </c>
      <c r="L213" s="8" t="s">
        <v>282</v>
      </c>
      <c r="M213" s="14" t="s">
        <v>234</v>
      </c>
      <c r="N213" s="16">
        <v>1556</v>
      </c>
      <c r="O213" s="14" t="s">
        <v>250</v>
      </c>
      <c r="P213" s="14"/>
      <c r="Q213" s="20">
        <f t="shared" si="3"/>
        <v>0</v>
      </c>
      <c r="S213" s="20">
        <f>SUMIFS('Doc''s Pagos | Rodopar 108'!$J:$J,'Doc''s Pagos | Rodopar 108'!$A:$A,$B213&amp;$E213&amp;$F213&amp;$J213,'Doc''s Pagos | Rodopar 108'!$B:$B,S$1)+SUMIFS('Doc Há Pagar | Rodopar 1015'!$J:$J,'Doc Há Pagar | Rodopar 1015'!$A:$A,$B213&amp;$E213&amp;$F213,'Doc Há Pagar | Rodopar 1015'!$B:$B,S$1)</f>
        <v>0</v>
      </c>
      <c r="T213" s="20">
        <f>SUMIFS('Doc''s Pagos | Rodopar 108'!$J:$J,'Doc''s Pagos | Rodopar 108'!$A:$A,$B213&amp;$E213&amp;$F213&amp;$J213,'Doc''s Pagos | Rodopar 108'!$B:$B,T$1)+SUMIFS('Doc Há Pagar | Rodopar 1015'!$J:$J,'Doc Há Pagar | Rodopar 1015'!$A:$A,$B213&amp;$E213&amp;$F213,'Doc Há Pagar | Rodopar 1015'!$B:$B,T$1)</f>
        <v>0</v>
      </c>
      <c r="U213" s="20">
        <f>SUMIFS('Doc''s Pagos | Rodopar 108'!$J:$J,'Doc''s Pagos | Rodopar 108'!$A:$A,$B213&amp;$E213&amp;$F213&amp;$J213,'Doc''s Pagos | Rodopar 108'!$B:$B,U$1)+SUMIFS('Doc Há Pagar | Rodopar 1015'!$J:$J,'Doc Há Pagar | Rodopar 1015'!$A:$A,$B213&amp;$E213&amp;$F213,'Doc Há Pagar | Rodopar 1015'!$B:$B,U$1)</f>
        <v>0</v>
      </c>
      <c r="V213" s="20">
        <f>SUMIFS('Doc''s Pagos | Rodopar 108'!$J:$J,'Doc''s Pagos | Rodopar 108'!$A:$A,$B213&amp;$E213&amp;$F213&amp;$J213,'Doc''s Pagos | Rodopar 108'!$B:$B,V$1)+SUMIFS('Doc Há Pagar | Rodopar 1015'!$J:$J,'Doc Há Pagar | Rodopar 1015'!$A:$A,$B213&amp;$E213&amp;$F213,'Doc Há Pagar | Rodopar 1015'!$B:$B,V$1)</f>
        <v>0</v>
      </c>
      <c r="W213" s="20">
        <f>SUMIFS('Doc''s Pagos | Rodopar 108'!$J:$J,'Doc''s Pagos | Rodopar 108'!$A:$A,$B213&amp;$E213&amp;$F213&amp;$J213,'Doc''s Pagos | Rodopar 108'!$B:$B,W$1)+SUMIFS('Doc Há Pagar | Rodopar 1015'!$J:$J,'Doc Há Pagar | Rodopar 1015'!$A:$A,$B213&amp;$E213&amp;$F213,'Doc Há Pagar | Rodopar 1015'!$B:$B,W$1)</f>
        <v>0</v>
      </c>
      <c r="X213" s="20">
        <f>SUMIFS('Doc''s Pagos | Rodopar 108'!$J:$J,'Doc''s Pagos | Rodopar 108'!$A:$A,$B213&amp;$E213&amp;$F213&amp;$J213,'Doc''s Pagos | Rodopar 108'!$B:$B,X$1)+SUMIFS('Doc Há Pagar | Rodopar 1015'!$J:$J,'Doc Há Pagar | Rodopar 1015'!$A:$A,$B213&amp;$E213&amp;$F213,'Doc Há Pagar | Rodopar 1015'!$B:$B,X$1)</f>
        <v>460</v>
      </c>
      <c r="Y213" s="20">
        <f>SUMIFS('Doc''s Pagos | Rodopar 108'!$J:$J,'Doc''s Pagos | Rodopar 108'!$A:$A,$B213&amp;$E213&amp;$F213&amp;$J213,'Doc''s Pagos | Rodopar 108'!$B:$B,Y$1)+SUMIFS('Doc Há Pagar | Rodopar 1015'!$J:$J,'Doc Há Pagar | Rodopar 1015'!$A:$A,$B213&amp;$E213&amp;$F213,'Doc Há Pagar | Rodopar 1015'!$B:$B,Y$1)</f>
        <v>0</v>
      </c>
      <c r="Z213" s="20">
        <f>SUMIFS('Doc''s Pagos | Rodopar 108'!$J:$J,'Doc''s Pagos | Rodopar 108'!$A:$A,$B213&amp;$E213&amp;$F213&amp;$J213,'Doc''s Pagos | Rodopar 108'!$B:$B,Z$1)+SUMIFS('Doc Há Pagar | Rodopar 1015'!$J:$J,'Doc Há Pagar | Rodopar 1015'!$A:$A,$B213&amp;$E213&amp;$F213,'Doc Há Pagar | Rodopar 1015'!$B:$B,Z$1)</f>
        <v>0</v>
      </c>
      <c r="AA213" s="20">
        <f>SUMIFS('Doc''s Pagos | Rodopar 108'!$J:$J,'Doc''s Pagos | Rodopar 108'!$A:$A,$B213&amp;$E213&amp;$F213&amp;$J213,'Doc''s Pagos | Rodopar 108'!$B:$B,AA$1)+SUMIFS('Doc Há Pagar | Rodopar 1015'!$J:$J,'Doc Há Pagar | Rodopar 1015'!$A:$A,$B213&amp;$E213&amp;$F213,'Doc Há Pagar | Rodopar 1015'!$B:$B,AA$1)</f>
        <v>0</v>
      </c>
      <c r="AB213" s="20">
        <f>SUMIFS('Doc''s Pagos | Rodopar 108'!$J:$J,'Doc''s Pagos | Rodopar 108'!$A:$A,$B213&amp;$E213&amp;$F213&amp;$J213,'Doc''s Pagos | Rodopar 108'!$B:$B,AB$1)+SUMIFS('Doc Há Pagar | Rodopar 1015'!$J:$J,'Doc Há Pagar | Rodopar 1015'!$A:$A,$B213&amp;$E213&amp;$F213,'Doc Há Pagar | Rodopar 1015'!$B:$B,AB$1)</f>
        <v>0</v>
      </c>
      <c r="AC213" s="20">
        <f>SUMIFS('Doc''s Pagos | Rodopar 108'!$J:$J,'Doc''s Pagos | Rodopar 108'!$A:$A,$B213&amp;$E213&amp;$F213&amp;$J213,'Doc''s Pagos | Rodopar 108'!$B:$B,AC$1)+SUMIFS('Doc Há Pagar | Rodopar 1015'!$J:$J,'Doc Há Pagar | Rodopar 1015'!$A:$A,$B213&amp;$E213&amp;$F213,'Doc Há Pagar | Rodopar 1015'!$B:$B,AC$1)</f>
        <v>0</v>
      </c>
      <c r="AD213" s="20">
        <f>SUMIFS('Doc''s Pagos | Rodopar 108'!$J:$J,'Doc''s Pagos | Rodopar 108'!$A:$A,$B213&amp;$E213&amp;$F213&amp;$J213,'Doc''s Pagos | Rodopar 108'!$B:$B,AD$1)+SUMIFS('Doc Há Pagar | Rodopar 1015'!$J:$J,'Doc Há Pagar | Rodopar 1015'!$A:$A,$B213&amp;$E213&amp;$F213,'Doc Há Pagar | Rodopar 1015'!$B:$B,AD$1)</f>
        <v>0</v>
      </c>
    </row>
    <row r="214" spans="1:30" x14ac:dyDescent="0.25">
      <c r="A214" s="1" t="str">
        <f>VLOOKUP($E214,Fornecedores!$A:$C,3,0)</f>
        <v>Frota</v>
      </c>
      <c r="B214" s="14">
        <v>2856</v>
      </c>
      <c r="C214" s="14" t="str">
        <f>IFERROR(VLOOKUP($E214,Fornecedores!$A:$E,4,0),"")</f>
        <v>Manutenção</v>
      </c>
      <c r="D214" s="14" t="str">
        <f>IFERROR(VLOOKUP($E214,Fornecedores!$A:$E,5,0),"")</f>
        <v>Frota Leve OPE</v>
      </c>
      <c r="E214" s="8" t="s">
        <v>125</v>
      </c>
      <c r="F214" s="14" t="s">
        <v>380</v>
      </c>
      <c r="G214" s="8" t="s">
        <v>467</v>
      </c>
      <c r="H214" s="9">
        <v>87</v>
      </c>
      <c r="I214" s="21">
        <v>330</v>
      </c>
      <c r="J214" s="11">
        <v>46169</v>
      </c>
      <c r="K214" s="11">
        <v>46176</v>
      </c>
      <c r="L214" s="8" t="s">
        <v>282</v>
      </c>
      <c r="M214" s="14" t="s">
        <v>234</v>
      </c>
      <c r="N214" s="16">
        <v>1556</v>
      </c>
      <c r="O214" s="14" t="s">
        <v>250</v>
      </c>
      <c r="P214" s="14"/>
      <c r="Q214" s="20">
        <f t="shared" si="3"/>
        <v>0</v>
      </c>
      <c r="S214" s="20">
        <f>SUMIFS('Doc''s Pagos | Rodopar 108'!$J:$J,'Doc''s Pagos | Rodopar 108'!$A:$A,$B214&amp;$E214&amp;$F214&amp;$J214,'Doc''s Pagos | Rodopar 108'!$B:$B,S$1)+SUMIFS('Doc Há Pagar | Rodopar 1015'!$J:$J,'Doc Há Pagar | Rodopar 1015'!$A:$A,$B214&amp;$E214&amp;$F214,'Doc Há Pagar | Rodopar 1015'!$B:$B,S$1)</f>
        <v>0</v>
      </c>
      <c r="T214" s="20">
        <f>SUMIFS('Doc''s Pagos | Rodopar 108'!$J:$J,'Doc''s Pagos | Rodopar 108'!$A:$A,$B214&amp;$E214&amp;$F214&amp;$J214,'Doc''s Pagos | Rodopar 108'!$B:$B,T$1)+SUMIFS('Doc Há Pagar | Rodopar 1015'!$J:$J,'Doc Há Pagar | Rodopar 1015'!$A:$A,$B214&amp;$E214&amp;$F214,'Doc Há Pagar | Rodopar 1015'!$B:$B,T$1)</f>
        <v>0</v>
      </c>
      <c r="U214" s="20">
        <f>SUMIFS('Doc''s Pagos | Rodopar 108'!$J:$J,'Doc''s Pagos | Rodopar 108'!$A:$A,$B214&amp;$E214&amp;$F214&amp;$J214,'Doc''s Pagos | Rodopar 108'!$B:$B,U$1)+SUMIFS('Doc Há Pagar | Rodopar 1015'!$J:$J,'Doc Há Pagar | Rodopar 1015'!$A:$A,$B214&amp;$E214&amp;$F214,'Doc Há Pagar | Rodopar 1015'!$B:$B,U$1)</f>
        <v>0</v>
      </c>
      <c r="V214" s="20">
        <f>SUMIFS('Doc''s Pagos | Rodopar 108'!$J:$J,'Doc''s Pagos | Rodopar 108'!$A:$A,$B214&amp;$E214&amp;$F214&amp;$J214,'Doc''s Pagos | Rodopar 108'!$B:$B,V$1)+SUMIFS('Doc Há Pagar | Rodopar 1015'!$J:$J,'Doc Há Pagar | Rodopar 1015'!$A:$A,$B214&amp;$E214&amp;$F214,'Doc Há Pagar | Rodopar 1015'!$B:$B,V$1)</f>
        <v>0</v>
      </c>
      <c r="W214" s="20">
        <f>SUMIFS('Doc''s Pagos | Rodopar 108'!$J:$J,'Doc''s Pagos | Rodopar 108'!$A:$A,$B214&amp;$E214&amp;$F214&amp;$J214,'Doc''s Pagos | Rodopar 108'!$B:$B,W$1)+SUMIFS('Doc Há Pagar | Rodopar 1015'!$J:$J,'Doc Há Pagar | Rodopar 1015'!$A:$A,$B214&amp;$E214&amp;$F214,'Doc Há Pagar | Rodopar 1015'!$B:$B,W$1)</f>
        <v>0</v>
      </c>
      <c r="X214" s="20">
        <f>SUMIFS('Doc''s Pagos | Rodopar 108'!$J:$J,'Doc''s Pagos | Rodopar 108'!$A:$A,$B214&amp;$E214&amp;$F214&amp;$J214,'Doc''s Pagos | Rodopar 108'!$B:$B,X$1)+SUMIFS('Doc Há Pagar | Rodopar 1015'!$J:$J,'Doc Há Pagar | Rodopar 1015'!$A:$A,$B214&amp;$E214&amp;$F214,'Doc Há Pagar | Rodopar 1015'!$B:$B,X$1)</f>
        <v>330</v>
      </c>
      <c r="Y214" s="20">
        <f>SUMIFS('Doc''s Pagos | Rodopar 108'!$J:$J,'Doc''s Pagos | Rodopar 108'!$A:$A,$B214&amp;$E214&amp;$F214&amp;$J214,'Doc''s Pagos | Rodopar 108'!$B:$B,Y$1)+SUMIFS('Doc Há Pagar | Rodopar 1015'!$J:$J,'Doc Há Pagar | Rodopar 1015'!$A:$A,$B214&amp;$E214&amp;$F214,'Doc Há Pagar | Rodopar 1015'!$B:$B,Y$1)</f>
        <v>0</v>
      </c>
      <c r="Z214" s="20">
        <f>SUMIFS('Doc''s Pagos | Rodopar 108'!$J:$J,'Doc''s Pagos | Rodopar 108'!$A:$A,$B214&amp;$E214&amp;$F214&amp;$J214,'Doc''s Pagos | Rodopar 108'!$B:$B,Z$1)+SUMIFS('Doc Há Pagar | Rodopar 1015'!$J:$J,'Doc Há Pagar | Rodopar 1015'!$A:$A,$B214&amp;$E214&amp;$F214,'Doc Há Pagar | Rodopar 1015'!$B:$B,Z$1)</f>
        <v>0</v>
      </c>
      <c r="AA214" s="20">
        <f>SUMIFS('Doc''s Pagos | Rodopar 108'!$J:$J,'Doc''s Pagos | Rodopar 108'!$A:$A,$B214&amp;$E214&amp;$F214&amp;$J214,'Doc''s Pagos | Rodopar 108'!$B:$B,AA$1)+SUMIFS('Doc Há Pagar | Rodopar 1015'!$J:$J,'Doc Há Pagar | Rodopar 1015'!$A:$A,$B214&amp;$E214&amp;$F214,'Doc Há Pagar | Rodopar 1015'!$B:$B,AA$1)</f>
        <v>0</v>
      </c>
      <c r="AB214" s="20">
        <f>SUMIFS('Doc''s Pagos | Rodopar 108'!$J:$J,'Doc''s Pagos | Rodopar 108'!$A:$A,$B214&amp;$E214&amp;$F214&amp;$J214,'Doc''s Pagos | Rodopar 108'!$B:$B,AB$1)+SUMIFS('Doc Há Pagar | Rodopar 1015'!$J:$J,'Doc Há Pagar | Rodopar 1015'!$A:$A,$B214&amp;$E214&amp;$F214,'Doc Há Pagar | Rodopar 1015'!$B:$B,AB$1)</f>
        <v>0</v>
      </c>
      <c r="AC214" s="20">
        <f>SUMIFS('Doc''s Pagos | Rodopar 108'!$J:$J,'Doc''s Pagos | Rodopar 108'!$A:$A,$B214&amp;$E214&amp;$F214&amp;$J214,'Doc''s Pagos | Rodopar 108'!$B:$B,AC$1)+SUMIFS('Doc Há Pagar | Rodopar 1015'!$J:$J,'Doc Há Pagar | Rodopar 1015'!$A:$A,$B214&amp;$E214&amp;$F214,'Doc Há Pagar | Rodopar 1015'!$B:$B,AC$1)</f>
        <v>0</v>
      </c>
      <c r="AD214" s="20">
        <f>SUMIFS('Doc''s Pagos | Rodopar 108'!$J:$J,'Doc''s Pagos | Rodopar 108'!$A:$A,$B214&amp;$E214&amp;$F214&amp;$J214,'Doc''s Pagos | Rodopar 108'!$B:$B,AD$1)+SUMIFS('Doc Há Pagar | Rodopar 1015'!$J:$J,'Doc Há Pagar | Rodopar 1015'!$A:$A,$B214&amp;$E214&amp;$F214,'Doc Há Pagar | Rodopar 1015'!$B:$B,AD$1)</f>
        <v>0</v>
      </c>
    </row>
    <row r="215" spans="1:30" x14ac:dyDescent="0.25">
      <c r="A215" s="1" t="str">
        <f>VLOOKUP($E215,Fornecedores!$A:$C,3,0)</f>
        <v>Frota</v>
      </c>
      <c r="B215" s="14">
        <v>74</v>
      </c>
      <c r="C215" s="14" t="str">
        <f>IFERROR(VLOOKUP($E215,Fornecedores!$A:$E,4,0),"")</f>
        <v>Manutenção</v>
      </c>
      <c r="D215" s="14" t="str">
        <f>IFERROR(VLOOKUP($E215,Fornecedores!$A:$E,5,0),"")</f>
        <v>Frota Leve OPE</v>
      </c>
      <c r="E215" s="8" t="s">
        <v>125</v>
      </c>
      <c r="F215" s="14" t="s">
        <v>614</v>
      </c>
      <c r="G215" s="8" t="s">
        <v>467</v>
      </c>
      <c r="H215" s="9">
        <v>87</v>
      </c>
      <c r="I215" s="21">
        <v>550</v>
      </c>
      <c r="J215" s="11">
        <v>46169</v>
      </c>
      <c r="K215" s="11">
        <v>46176</v>
      </c>
      <c r="L215" s="8" t="s">
        <v>282</v>
      </c>
      <c r="M215" s="14" t="s">
        <v>234</v>
      </c>
      <c r="N215" s="16">
        <v>1556</v>
      </c>
      <c r="O215" s="14" t="s">
        <v>250</v>
      </c>
      <c r="P215" s="14"/>
      <c r="Q215" s="20">
        <f t="shared" si="3"/>
        <v>0</v>
      </c>
      <c r="S215" s="20">
        <f>SUMIFS('Doc''s Pagos | Rodopar 108'!$J:$J,'Doc''s Pagos | Rodopar 108'!$A:$A,$B215&amp;$E215&amp;$F215&amp;$J215,'Doc''s Pagos | Rodopar 108'!$B:$B,S$1)+SUMIFS('Doc Há Pagar | Rodopar 1015'!$J:$J,'Doc Há Pagar | Rodopar 1015'!$A:$A,$B215&amp;$E215&amp;$F215,'Doc Há Pagar | Rodopar 1015'!$B:$B,S$1)</f>
        <v>0</v>
      </c>
      <c r="T215" s="20">
        <f>SUMIFS('Doc''s Pagos | Rodopar 108'!$J:$J,'Doc''s Pagos | Rodopar 108'!$A:$A,$B215&amp;$E215&amp;$F215&amp;$J215,'Doc''s Pagos | Rodopar 108'!$B:$B,T$1)+SUMIFS('Doc Há Pagar | Rodopar 1015'!$J:$J,'Doc Há Pagar | Rodopar 1015'!$A:$A,$B215&amp;$E215&amp;$F215,'Doc Há Pagar | Rodopar 1015'!$B:$B,T$1)</f>
        <v>0</v>
      </c>
      <c r="U215" s="20">
        <f>SUMIFS('Doc''s Pagos | Rodopar 108'!$J:$J,'Doc''s Pagos | Rodopar 108'!$A:$A,$B215&amp;$E215&amp;$F215&amp;$J215,'Doc''s Pagos | Rodopar 108'!$B:$B,U$1)+SUMIFS('Doc Há Pagar | Rodopar 1015'!$J:$J,'Doc Há Pagar | Rodopar 1015'!$A:$A,$B215&amp;$E215&amp;$F215,'Doc Há Pagar | Rodopar 1015'!$B:$B,U$1)</f>
        <v>0</v>
      </c>
      <c r="V215" s="20">
        <f>SUMIFS('Doc''s Pagos | Rodopar 108'!$J:$J,'Doc''s Pagos | Rodopar 108'!$A:$A,$B215&amp;$E215&amp;$F215&amp;$J215,'Doc''s Pagos | Rodopar 108'!$B:$B,V$1)+SUMIFS('Doc Há Pagar | Rodopar 1015'!$J:$J,'Doc Há Pagar | Rodopar 1015'!$A:$A,$B215&amp;$E215&amp;$F215,'Doc Há Pagar | Rodopar 1015'!$B:$B,V$1)</f>
        <v>0</v>
      </c>
      <c r="W215" s="20">
        <f>SUMIFS('Doc''s Pagos | Rodopar 108'!$J:$J,'Doc''s Pagos | Rodopar 108'!$A:$A,$B215&amp;$E215&amp;$F215&amp;$J215,'Doc''s Pagos | Rodopar 108'!$B:$B,W$1)+SUMIFS('Doc Há Pagar | Rodopar 1015'!$J:$J,'Doc Há Pagar | Rodopar 1015'!$A:$A,$B215&amp;$E215&amp;$F215,'Doc Há Pagar | Rodopar 1015'!$B:$B,W$1)</f>
        <v>0</v>
      </c>
      <c r="X215" s="20">
        <f>SUMIFS('Doc''s Pagos | Rodopar 108'!$J:$J,'Doc''s Pagos | Rodopar 108'!$A:$A,$B215&amp;$E215&amp;$F215&amp;$J215,'Doc''s Pagos | Rodopar 108'!$B:$B,X$1)+SUMIFS('Doc Há Pagar | Rodopar 1015'!$J:$J,'Doc Há Pagar | Rodopar 1015'!$A:$A,$B215&amp;$E215&amp;$F215,'Doc Há Pagar | Rodopar 1015'!$B:$B,X$1)</f>
        <v>550</v>
      </c>
      <c r="Y215" s="20">
        <f>SUMIFS('Doc''s Pagos | Rodopar 108'!$J:$J,'Doc''s Pagos | Rodopar 108'!$A:$A,$B215&amp;$E215&amp;$F215&amp;$J215,'Doc''s Pagos | Rodopar 108'!$B:$B,Y$1)+SUMIFS('Doc Há Pagar | Rodopar 1015'!$J:$J,'Doc Há Pagar | Rodopar 1015'!$A:$A,$B215&amp;$E215&amp;$F215,'Doc Há Pagar | Rodopar 1015'!$B:$B,Y$1)</f>
        <v>0</v>
      </c>
      <c r="Z215" s="20">
        <f>SUMIFS('Doc''s Pagos | Rodopar 108'!$J:$J,'Doc''s Pagos | Rodopar 108'!$A:$A,$B215&amp;$E215&amp;$F215&amp;$J215,'Doc''s Pagos | Rodopar 108'!$B:$B,Z$1)+SUMIFS('Doc Há Pagar | Rodopar 1015'!$J:$J,'Doc Há Pagar | Rodopar 1015'!$A:$A,$B215&amp;$E215&amp;$F215,'Doc Há Pagar | Rodopar 1015'!$B:$B,Z$1)</f>
        <v>0</v>
      </c>
      <c r="AA215" s="20">
        <f>SUMIFS('Doc''s Pagos | Rodopar 108'!$J:$J,'Doc''s Pagos | Rodopar 108'!$A:$A,$B215&amp;$E215&amp;$F215&amp;$J215,'Doc''s Pagos | Rodopar 108'!$B:$B,AA$1)+SUMIFS('Doc Há Pagar | Rodopar 1015'!$J:$J,'Doc Há Pagar | Rodopar 1015'!$A:$A,$B215&amp;$E215&amp;$F215,'Doc Há Pagar | Rodopar 1015'!$B:$B,AA$1)</f>
        <v>0</v>
      </c>
      <c r="AB215" s="20">
        <f>SUMIFS('Doc''s Pagos | Rodopar 108'!$J:$J,'Doc''s Pagos | Rodopar 108'!$A:$A,$B215&amp;$E215&amp;$F215&amp;$J215,'Doc''s Pagos | Rodopar 108'!$B:$B,AB$1)+SUMIFS('Doc Há Pagar | Rodopar 1015'!$J:$J,'Doc Há Pagar | Rodopar 1015'!$A:$A,$B215&amp;$E215&amp;$F215,'Doc Há Pagar | Rodopar 1015'!$B:$B,AB$1)</f>
        <v>0</v>
      </c>
      <c r="AC215" s="20">
        <f>SUMIFS('Doc''s Pagos | Rodopar 108'!$J:$J,'Doc''s Pagos | Rodopar 108'!$A:$A,$B215&amp;$E215&amp;$F215&amp;$J215,'Doc''s Pagos | Rodopar 108'!$B:$B,AC$1)+SUMIFS('Doc Há Pagar | Rodopar 1015'!$J:$J,'Doc Há Pagar | Rodopar 1015'!$A:$A,$B215&amp;$E215&amp;$F215,'Doc Há Pagar | Rodopar 1015'!$B:$B,AC$1)</f>
        <v>0</v>
      </c>
      <c r="AD215" s="20">
        <f>SUMIFS('Doc''s Pagos | Rodopar 108'!$J:$J,'Doc''s Pagos | Rodopar 108'!$A:$A,$B215&amp;$E215&amp;$F215&amp;$J215,'Doc''s Pagos | Rodopar 108'!$B:$B,AD$1)+SUMIFS('Doc Há Pagar | Rodopar 1015'!$J:$J,'Doc Há Pagar | Rodopar 1015'!$A:$A,$B215&amp;$E215&amp;$F215,'Doc Há Pagar | Rodopar 1015'!$B:$B,AD$1)</f>
        <v>0</v>
      </c>
    </row>
    <row r="216" spans="1:30" x14ac:dyDescent="0.25">
      <c r="A216" s="1" t="str">
        <f>VLOOKUP($E216,Fornecedores!$A:$C,3,0)</f>
        <v>Frota</v>
      </c>
      <c r="B216" s="14">
        <v>75</v>
      </c>
      <c r="C216" s="14" t="str">
        <f>IFERROR(VLOOKUP($E216,Fornecedores!$A:$E,4,0),"")</f>
        <v>Manutenção</v>
      </c>
      <c r="D216" s="14" t="str">
        <f>IFERROR(VLOOKUP($E216,Fornecedores!$A:$E,5,0),"")</f>
        <v>Frota Leve OPE</v>
      </c>
      <c r="E216" s="8" t="s">
        <v>125</v>
      </c>
      <c r="F216" s="14" t="s">
        <v>614</v>
      </c>
      <c r="G216" s="8" t="s">
        <v>467</v>
      </c>
      <c r="H216" s="9">
        <v>87</v>
      </c>
      <c r="I216" s="21">
        <v>435</v>
      </c>
      <c r="J216" s="11">
        <v>46169</v>
      </c>
      <c r="K216" s="11">
        <v>46176</v>
      </c>
      <c r="L216" s="8" t="s">
        <v>282</v>
      </c>
      <c r="M216" s="14" t="s">
        <v>234</v>
      </c>
      <c r="N216" s="16">
        <v>1556</v>
      </c>
      <c r="O216" s="14" t="s">
        <v>250</v>
      </c>
      <c r="P216" s="14"/>
      <c r="Q216" s="20">
        <f t="shared" si="3"/>
        <v>0</v>
      </c>
      <c r="S216" s="20">
        <f>SUMIFS('Doc''s Pagos | Rodopar 108'!$J:$J,'Doc''s Pagos | Rodopar 108'!$A:$A,$B216&amp;$E216&amp;$F216&amp;$J216,'Doc''s Pagos | Rodopar 108'!$B:$B,S$1)+SUMIFS('Doc Há Pagar | Rodopar 1015'!$J:$J,'Doc Há Pagar | Rodopar 1015'!$A:$A,$B216&amp;$E216&amp;$F216,'Doc Há Pagar | Rodopar 1015'!$B:$B,S$1)</f>
        <v>0</v>
      </c>
      <c r="T216" s="20">
        <f>SUMIFS('Doc''s Pagos | Rodopar 108'!$J:$J,'Doc''s Pagos | Rodopar 108'!$A:$A,$B216&amp;$E216&amp;$F216&amp;$J216,'Doc''s Pagos | Rodopar 108'!$B:$B,T$1)+SUMIFS('Doc Há Pagar | Rodopar 1015'!$J:$J,'Doc Há Pagar | Rodopar 1015'!$A:$A,$B216&amp;$E216&amp;$F216,'Doc Há Pagar | Rodopar 1015'!$B:$B,T$1)</f>
        <v>0</v>
      </c>
      <c r="U216" s="20">
        <f>SUMIFS('Doc''s Pagos | Rodopar 108'!$J:$J,'Doc''s Pagos | Rodopar 108'!$A:$A,$B216&amp;$E216&amp;$F216&amp;$J216,'Doc''s Pagos | Rodopar 108'!$B:$B,U$1)+SUMIFS('Doc Há Pagar | Rodopar 1015'!$J:$J,'Doc Há Pagar | Rodopar 1015'!$A:$A,$B216&amp;$E216&amp;$F216,'Doc Há Pagar | Rodopar 1015'!$B:$B,U$1)</f>
        <v>0</v>
      </c>
      <c r="V216" s="20">
        <f>SUMIFS('Doc''s Pagos | Rodopar 108'!$J:$J,'Doc''s Pagos | Rodopar 108'!$A:$A,$B216&amp;$E216&amp;$F216&amp;$J216,'Doc''s Pagos | Rodopar 108'!$B:$B,V$1)+SUMIFS('Doc Há Pagar | Rodopar 1015'!$J:$J,'Doc Há Pagar | Rodopar 1015'!$A:$A,$B216&amp;$E216&amp;$F216,'Doc Há Pagar | Rodopar 1015'!$B:$B,V$1)</f>
        <v>0</v>
      </c>
      <c r="W216" s="20">
        <f>SUMIFS('Doc''s Pagos | Rodopar 108'!$J:$J,'Doc''s Pagos | Rodopar 108'!$A:$A,$B216&amp;$E216&amp;$F216&amp;$J216,'Doc''s Pagos | Rodopar 108'!$B:$B,W$1)+SUMIFS('Doc Há Pagar | Rodopar 1015'!$J:$J,'Doc Há Pagar | Rodopar 1015'!$A:$A,$B216&amp;$E216&amp;$F216,'Doc Há Pagar | Rodopar 1015'!$B:$B,W$1)</f>
        <v>0</v>
      </c>
      <c r="X216" s="20">
        <f>SUMIFS('Doc''s Pagos | Rodopar 108'!$J:$J,'Doc''s Pagos | Rodopar 108'!$A:$A,$B216&amp;$E216&amp;$F216&amp;$J216,'Doc''s Pagos | Rodopar 108'!$B:$B,X$1)+SUMIFS('Doc Há Pagar | Rodopar 1015'!$J:$J,'Doc Há Pagar | Rodopar 1015'!$A:$A,$B216&amp;$E216&amp;$F216,'Doc Há Pagar | Rodopar 1015'!$B:$B,X$1)</f>
        <v>435</v>
      </c>
      <c r="Y216" s="20">
        <f>SUMIFS('Doc''s Pagos | Rodopar 108'!$J:$J,'Doc''s Pagos | Rodopar 108'!$A:$A,$B216&amp;$E216&amp;$F216&amp;$J216,'Doc''s Pagos | Rodopar 108'!$B:$B,Y$1)+SUMIFS('Doc Há Pagar | Rodopar 1015'!$J:$J,'Doc Há Pagar | Rodopar 1015'!$A:$A,$B216&amp;$E216&amp;$F216,'Doc Há Pagar | Rodopar 1015'!$B:$B,Y$1)</f>
        <v>0</v>
      </c>
      <c r="Z216" s="20">
        <f>SUMIFS('Doc''s Pagos | Rodopar 108'!$J:$J,'Doc''s Pagos | Rodopar 108'!$A:$A,$B216&amp;$E216&amp;$F216&amp;$J216,'Doc''s Pagos | Rodopar 108'!$B:$B,Z$1)+SUMIFS('Doc Há Pagar | Rodopar 1015'!$J:$J,'Doc Há Pagar | Rodopar 1015'!$A:$A,$B216&amp;$E216&amp;$F216,'Doc Há Pagar | Rodopar 1015'!$B:$B,Z$1)</f>
        <v>0</v>
      </c>
      <c r="AA216" s="20">
        <f>SUMIFS('Doc''s Pagos | Rodopar 108'!$J:$J,'Doc''s Pagos | Rodopar 108'!$A:$A,$B216&amp;$E216&amp;$F216&amp;$J216,'Doc''s Pagos | Rodopar 108'!$B:$B,AA$1)+SUMIFS('Doc Há Pagar | Rodopar 1015'!$J:$J,'Doc Há Pagar | Rodopar 1015'!$A:$A,$B216&amp;$E216&amp;$F216,'Doc Há Pagar | Rodopar 1015'!$B:$B,AA$1)</f>
        <v>0</v>
      </c>
      <c r="AB216" s="20">
        <f>SUMIFS('Doc''s Pagos | Rodopar 108'!$J:$J,'Doc''s Pagos | Rodopar 108'!$A:$A,$B216&amp;$E216&amp;$F216&amp;$J216,'Doc''s Pagos | Rodopar 108'!$B:$B,AB$1)+SUMIFS('Doc Há Pagar | Rodopar 1015'!$J:$J,'Doc Há Pagar | Rodopar 1015'!$A:$A,$B216&amp;$E216&amp;$F216,'Doc Há Pagar | Rodopar 1015'!$B:$B,AB$1)</f>
        <v>0</v>
      </c>
      <c r="AC216" s="20">
        <f>SUMIFS('Doc''s Pagos | Rodopar 108'!$J:$J,'Doc''s Pagos | Rodopar 108'!$A:$A,$B216&amp;$E216&amp;$F216&amp;$J216,'Doc''s Pagos | Rodopar 108'!$B:$B,AC$1)+SUMIFS('Doc Há Pagar | Rodopar 1015'!$J:$J,'Doc Há Pagar | Rodopar 1015'!$A:$A,$B216&amp;$E216&amp;$F216,'Doc Há Pagar | Rodopar 1015'!$B:$B,AC$1)</f>
        <v>0</v>
      </c>
      <c r="AD216" s="20">
        <f>SUMIFS('Doc''s Pagos | Rodopar 108'!$J:$J,'Doc''s Pagos | Rodopar 108'!$A:$A,$B216&amp;$E216&amp;$F216&amp;$J216,'Doc''s Pagos | Rodopar 108'!$B:$B,AD$1)+SUMIFS('Doc Há Pagar | Rodopar 1015'!$J:$J,'Doc Há Pagar | Rodopar 1015'!$A:$A,$B216&amp;$E216&amp;$F216,'Doc Há Pagar | Rodopar 1015'!$B:$B,AD$1)</f>
        <v>0</v>
      </c>
    </row>
    <row r="217" spans="1:30" x14ac:dyDescent="0.25">
      <c r="A217" s="1" t="str">
        <f>VLOOKUP($E217,Fornecedores!$A:$C,3,0)</f>
        <v>Frota</v>
      </c>
      <c r="B217" s="14">
        <v>5708</v>
      </c>
      <c r="C217" s="14" t="str">
        <f>IFERROR(VLOOKUP($E217,Fornecedores!$A:$E,4,0),"")</f>
        <v>Pneus</v>
      </c>
      <c r="D217" s="14" t="str">
        <f>IFERROR(VLOOKUP($E217,Fornecedores!$A:$E,5,0),"")</f>
        <v>Ressolagem</v>
      </c>
      <c r="E217" s="8" t="s">
        <v>166</v>
      </c>
      <c r="F217" s="14" t="s">
        <v>665</v>
      </c>
      <c r="G217" s="8" t="s">
        <v>611</v>
      </c>
      <c r="H217" s="9">
        <v>87</v>
      </c>
      <c r="I217" s="21">
        <v>11200</v>
      </c>
      <c r="J217" s="11">
        <v>46169</v>
      </c>
      <c r="K217" s="11">
        <v>46202</v>
      </c>
      <c r="L217" s="8" t="s">
        <v>382</v>
      </c>
      <c r="M217" s="14" t="s">
        <v>234</v>
      </c>
      <c r="N217" s="16">
        <v>1556</v>
      </c>
      <c r="O217" s="14" t="s">
        <v>241</v>
      </c>
      <c r="P217" s="14"/>
      <c r="Q217" s="20">
        <f t="shared" si="3"/>
        <v>0</v>
      </c>
      <c r="S217" s="20">
        <f>SUMIFS('Doc''s Pagos | Rodopar 108'!$J:$J,'Doc''s Pagos | Rodopar 108'!$A:$A,$B217&amp;$E217&amp;$F217&amp;$J217,'Doc''s Pagos | Rodopar 108'!$B:$B,S$1)+SUMIFS('Doc Há Pagar | Rodopar 1015'!$J:$J,'Doc Há Pagar | Rodopar 1015'!$A:$A,$B217&amp;$E217&amp;$F217,'Doc Há Pagar | Rodopar 1015'!$B:$B,S$1)</f>
        <v>0</v>
      </c>
      <c r="T217" s="20">
        <f>SUMIFS('Doc''s Pagos | Rodopar 108'!$J:$J,'Doc''s Pagos | Rodopar 108'!$A:$A,$B217&amp;$E217&amp;$F217&amp;$J217,'Doc''s Pagos | Rodopar 108'!$B:$B,T$1)+SUMIFS('Doc Há Pagar | Rodopar 1015'!$J:$J,'Doc Há Pagar | Rodopar 1015'!$A:$A,$B217&amp;$E217&amp;$F217,'Doc Há Pagar | Rodopar 1015'!$B:$B,T$1)</f>
        <v>0</v>
      </c>
      <c r="U217" s="20">
        <f>SUMIFS('Doc''s Pagos | Rodopar 108'!$J:$J,'Doc''s Pagos | Rodopar 108'!$A:$A,$B217&amp;$E217&amp;$F217&amp;$J217,'Doc''s Pagos | Rodopar 108'!$B:$B,U$1)+SUMIFS('Doc Há Pagar | Rodopar 1015'!$J:$J,'Doc Há Pagar | Rodopar 1015'!$A:$A,$B217&amp;$E217&amp;$F217,'Doc Há Pagar | Rodopar 1015'!$B:$B,U$1)</f>
        <v>0</v>
      </c>
      <c r="V217" s="20">
        <f>SUMIFS('Doc''s Pagos | Rodopar 108'!$J:$J,'Doc''s Pagos | Rodopar 108'!$A:$A,$B217&amp;$E217&amp;$F217&amp;$J217,'Doc''s Pagos | Rodopar 108'!$B:$B,V$1)+SUMIFS('Doc Há Pagar | Rodopar 1015'!$J:$J,'Doc Há Pagar | Rodopar 1015'!$A:$A,$B217&amp;$E217&amp;$F217,'Doc Há Pagar | Rodopar 1015'!$B:$B,V$1)</f>
        <v>0</v>
      </c>
      <c r="W217" s="20">
        <f>SUMIFS('Doc''s Pagos | Rodopar 108'!$J:$J,'Doc''s Pagos | Rodopar 108'!$A:$A,$B217&amp;$E217&amp;$F217&amp;$J217,'Doc''s Pagos | Rodopar 108'!$B:$B,W$1)+SUMIFS('Doc Há Pagar | Rodopar 1015'!$J:$J,'Doc Há Pagar | Rodopar 1015'!$A:$A,$B217&amp;$E217&amp;$F217,'Doc Há Pagar | Rodopar 1015'!$B:$B,W$1)</f>
        <v>0</v>
      </c>
      <c r="X217" s="20">
        <f>SUMIFS('Doc''s Pagos | Rodopar 108'!$J:$J,'Doc''s Pagos | Rodopar 108'!$A:$A,$B217&amp;$E217&amp;$F217&amp;$J217,'Doc''s Pagos | Rodopar 108'!$B:$B,X$1)+SUMIFS('Doc Há Pagar | Rodopar 1015'!$J:$J,'Doc Há Pagar | Rodopar 1015'!$A:$A,$B217&amp;$E217&amp;$F217,'Doc Há Pagar | Rodopar 1015'!$B:$B,X$1)</f>
        <v>0</v>
      </c>
      <c r="Y217" s="20">
        <f>SUMIFS('Doc''s Pagos | Rodopar 108'!$J:$J,'Doc''s Pagos | Rodopar 108'!$A:$A,$B217&amp;$E217&amp;$F217&amp;$J217,'Doc''s Pagos | Rodopar 108'!$B:$B,Y$1)+SUMIFS('Doc Há Pagar | Rodopar 1015'!$J:$J,'Doc Há Pagar | Rodopar 1015'!$A:$A,$B217&amp;$E217&amp;$F217,'Doc Há Pagar | Rodopar 1015'!$B:$B,Y$1)</f>
        <v>5600</v>
      </c>
      <c r="Z217" s="20">
        <f>SUMIFS('Doc''s Pagos | Rodopar 108'!$J:$J,'Doc''s Pagos | Rodopar 108'!$A:$A,$B217&amp;$E217&amp;$F217&amp;$J217,'Doc''s Pagos | Rodopar 108'!$B:$B,Z$1)+SUMIFS('Doc Há Pagar | Rodopar 1015'!$J:$J,'Doc Há Pagar | Rodopar 1015'!$A:$A,$B217&amp;$E217&amp;$F217,'Doc Há Pagar | Rodopar 1015'!$B:$B,Z$1)</f>
        <v>5600</v>
      </c>
      <c r="AA217" s="20">
        <f>SUMIFS('Doc''s Pagos | Rodopar 108'!$J:$J,'Doc''s Pagos | Rodopar 108'!$A:$A,$B217&amp;$E217&amp;$F217&amp;$J217,'Doc''s Pagos | Rodopar 108'!$B:$B,AA$1)+SUMIFS('Doc Há Pagar | Rodopar 1015'!$J:$J,'Doc Há Pagar | Rodopar 1015'!$A:$A,$B217&amp;$E217&amp;$F217,'Doc Há Pagar | Rodopar 1015'!$B:$B,AA$1)</f>
        <v>0</v>
      </c>
      <c r="AB217" s="20">
        <f>SUMIFS('Doc''s Pagos | Rodopar 108'!$J:$J,'Doc''s Pagos | Rodopar 108'!$A:$A,$B217&amp;$E217&amp;$F217&amp;$J217,'Doc''s Pagos | Rodopar 108'!$B:$B,AB$1)+SUMIFS('Doc Há Pagar | Rodopar 1015'!$J:$J,'Doc Há Pagar | Rodopar 1015'!$A:$A,$B217&amp;$E217&amp;$F217,'Doc Há Pagar | Rodopar 1015'!$B:$B,AB$1)</f>
        <v>0</v>
      </c>
      <c r="AC217" s="20">
        <f>SUMIFS('Doc''s Pagos | Rodopar 108'!$J:$J,'Doc''s Pagos | Rodopar 108'!$A:$A,$B217&amp;$E217&amp;$F217&amp;$J217,'Doc''s Pagos | Rodopar 108'!$B:$B,AC$1)+SUMIFS('Doc Há Pagar | Rodopar 1015'!$J:$J,'Doc Há Pagar | Rodopar 1015'!$A:$A,$B217&amp;$E217&amp;$F217,'Doc Há Pagar | Rodopar 1015'!$B:$B,AC$1)</f>
        <v>0</v>
      </c>
      <c r="AD217" s="20">
        <f>SUMIFS('Doc''s Pagos | Rodopar 108'!$J:$J,'Doc''s Pagos | Rodopar 108'!$A:$A,$B217&amp;$E217&amp;$F217&amp;$J217,'Doc''s Pagos | Rodopar 108'!$B:$B,AD$1)+SUMIFS('Doc Há Pagar | Rodopar 1015'!$J:$J,'Doc Há Pagar | Rodopar 1015'!$A:$A,$B217&amp;$E217&amp;$F217,'Doc Há Pagar | Rodopar 1015'!$B:$B,AD$1)</f>
        <v>0</v>
      </c>
    </row>
    <row r="218" spans="1:30" x14ac:dyDescent="0.25">
      <c r="A218" s="1" t="str">
        <f>VLOOKUP($E218,Fornecedores!$A:$C,3,0)</f>
        <v>Frota</v>
      </c>
      <c r="B218" s="14" t="s">
        <v>318</v>
      </c>
      <c r="C218" s="14" t="str">
        <f>IFERROR(VLOOKUP($E218,Fornecedores!$A:$E,4,0),"")</f>
        <v>OPE Merchandising</v>
      </c>
      <c r="D218" s="14" t="str">
        <f>IFERROR(VLOOKUP($E218,Fornecedores!$A:$E,5,0),"")</f>
        <v>Locação</v>
      </c>
      <c r="E218" s="8" t="s">
        <v>112</v>
      </c>
      <c r="F218" s="14" t="s">
        <v>232</v>
      </c>
      <c r="G218" s="8" t="s">
        <v>289</v>
      </c>
      <c r="H218" s="9">
        <v>87</v>
      </c>
      <c r="I218" s="21">
        <v>24960</v>
      </c>
      <c r="J218" s="11">
        <v>46170</v>
      </c>
      <c r="K218" s="11">
        <v>46170</v>
      </c>
      <c r="L218" s="8" t="s">
        <v>233</v>
      </c>
      <c r="M218" s="14" t="s">
        <v>234</v>
      </c>
      <c r="N218" s="16">
        <v>1556</v>
      </c>
      <c r="O218" s="14" t="s">
        <v>250</v>
      </c>
      <c r="P218" s="14"/>
      <c r="Q218" s="20">
        <f t="shared" si="3"/>
        <v>0</v>
      </c>
      <c r="S218" s="20">
        <f>SUMIFS('Doc''s Pagos | Rodopar 108'!$J:$J,'Doc''s Pagos | Rodopar 108'!$A:$A,$B218&amp;$E218&amp;$F218&amp;$J218,'Doc''s Pagos | Rodopar 108'!$B:$B,S$1)+SUMIFS('Doc Há Pagar | Rodopar 1015'!$J:$J,'Doc Há Pagar | Rodopar 1015'!$A:$A,$B218&amp;$E218&amp;$F218,'Doc Há Pagar | Rodopar 1015'!$B:$B,S$1)</f>
        <v>0</v>
      </c>
      <c r="T218" s="20">
        <f>SUMIFS('Doc''s Pagos | Rodopar 108'!$J:$J,'Doc''s Pagos | Rodopar 108'!$A:$A,$B218&amp;$E218&amp;$F218&amp;$J218,'Doc''s Pagos | Rodopar 108'!$B:$B,T$1)+SUMIFS('Doc Há Pagar | Rodopar 1015'!$J:$J,'Doc Há Pagar | Rodopar 1015'!$A:$A,$B218&amp;$E218&amp;$F218,'Doc Há Pagar | Rodopar 1015'!$B:$B,T$1)</f>
        <v>0</v>
      </c>
      <c r="U218" s="20">
        <f>SUMIFS('Doc''s Pagos | Rodopar 108'!$J:$J,'Doc''s Pagos | Rodopar 108'!$A:$A,$B218&amp;$E218&amp;$F218&amp;$J218,'Doc''s Pagos | Rodopar 108'!$B:$B,U$1)+SUMIFS('Doc Há Pagar | Rodopar 1015'!$J:$J,'Doc Há Pagar | Rodopar 1015'!$A:$A,$B218&amp;$E218&amp;$F218,'Doc Há Pagar | Rodopar 1015'!$B:$B,U$1)</f>
        <v>0</v>
      </c>
      <c r="V218" s="20">
        <f>SUMIFS('Doc''s Pagos | Rodopar 108'!$J:$J,'Doc''s Pagos | Rodopar 108'!$A:$A,$B218&amp;$E218&amp;$F218&amp;$J218,'Doc''s Pagos | Rodopar 108'!$B:$B,V$1)+SUMIFS('Doc Há Pagar | Rodopar 1015'!$J:$J,'Doc Há Pagar | Rodopar 1015'!$A:$A,$B218&amp;$E218&amp;$F218,'Doc Há Pagar | Rodopar 1015'!$B:$B,V$1)</f>
        <v>0</v>
      </c>
      <c r="W218" s="20">
        <f>SUMIFS('Doc''s Pagos | Rodopar 108'!$J:$J,'Doc''s Pagos | Rodopar 108'!$A:$A,$B218&amp;$E218&amp;$F218&amp;$J218,'Doc''s Pagos | Rodopar 108'!$B:$B,W$1)+SUMIFS('Doc Há Pagar | Rodopar 1015'!$J:$J,'Doc Há Pagar | Rodopar 1015'!$A:$A,$B218&amp;$E218&amp;$F218,'Doc Há Pagar | Rodopar 1015'!$B:$B,W$1)</f>
        <v>0</v>
      </c>
      <c r="X218" s="20">
        <f>SUMIFS('Doc''s Pagos | Rodopar 108'!$J:$J,'Doc''s Pagos | Rodopar 108'!$A:$A,$B218&amp;$E218&amp;$F218&amp;$J218,'Doc''s Pagos | Rodopar 108'!$B:$B,X$1)+SUMIFS('Doc Há Pagar | Rodopar 1015'!$J:$J,'Doc Há Pagar | Rodopar 1015'!$A:$A,$B218&amp;$E218&amp;$F218,'Doc Há Pagar | Rodopar 1015'!$B:$B,X$1)</f>
        <v>24960</v>
      </c>
      <c r="Y218" s="20">
        <f>SUMIFS('Doc''s Pagos | Rodopar 108'!$J:$J,'Doc''s Pagos | Rodopar 108'!$A:$A,$B218&amp;$E218&amp;$F218&amp;$J218,'Doc''s Pagos | Rodopar 108'!$B:$B,Y$1)+SUMIFS('Doc Há Pagar | Rodopar 1015'!$J:$J,'Doc Há Pagar | Rodopar 1015'!$A:$A,$B218&amp;$E218&amp;$F218,'Doc Há Pagar | Rodopar 1015'!$B:$B,Y$1)</f>
        <v>0</v>
      </c>
      <c r="Z218" s="20">
        <f>SUMIFS('Doc''s Pagos | Rodopar 108'!$J:$J,'Doc''s Pagos | Rodopar 108'!$A:$A,$B218&amp;$E218&amp;$F218&amp;$J218,'Doc''s Pagos | Rodopar 108'!$B:$B,Z$1)+SUMIFS('Doc Há Pagar | Rodopar 1015'!$J:$J,'Doc Há Pagar | Rodopar 1015'!$A:$A,$B218&amp;$E218&amp;$F218,'Doc Há Pagar | Rodopar 1015'!$B:$B,Z$1)</f>
        <v>0</v>
      </c>
      <c r="AA218" s="20">
        <f>SUMIFS('Doc''s Pagos | Rodopar 108'!$J:$J,'Doc''s Pagos | Rodopar 108'!$A:$A,$B218&amp;$E218&amp;$F218&amp;$J218,'Doc''s Pagos | Rodopar 108'!$B:$B,AA$1)+SUMIFS('Doc Há Pagar | Rodopar 1015'!$J:$J,'Doc Há Pagar | Rodopar 1015'!$A:$A,$B218&amp;$E218&amp;$F218,'Doc Há Pagar | Rodopar 1015'!$B:$B,AA$1)</f>
        <v>0</v>
      </c>
      <c r="AB218" s="20">
        <f>SUMIFS('Doc''s Pagos | Rodopar 108'!$J:$J,'Doc''s Pagos | Rodopar 108'!$A:$A,$B218&amp;$E218&amp;$F218&amp;$J218,'Doc''s Pagos | Rodopar 108'!$B:$B,AB$1)+SUMIFS('Doc Há Pagar | Rodopar 1015'!$J:$J,'Doc Há Pagar | Rodopar 1015'!$A:$A,$B218&amp;$E218&amp;$F218,'Doc Há Pagar | Rodopar 1015'!$B:$B,AB$1)</f>
        <v>0</v>
      </c>
      <c r="AC218" s="20">
        <f>SUMIFS('Doc''s Pagos | Rodopar 108'!$J:$J,'Doc''s Pagos | Rodopar 108'!$A:$A,$B218&amp;$E218&amp;$F218&amp;$J218,'Doc''s Pagos | Rodopar 108'!$B:$B,AC$1)+SUMIFS('Doc Há Pagar | Rodopar 1015'!$J:$J,'Doc Há Pagar | Rodopar 1015'!$A:$A,$B218&amp;$E218&amp;$F218,'Doc Há Pagar | Rodopar 1015'!$B:$B,AC$1)</f>
        <v>0</v>
      </c>
      <c r="AD218" s="20">
        <f>SUMIFS('Doc''s Pagos | Rodopar 108'!$J:$J,'Doc''s Pagos | Rodopar 108'!$A:$A,$B218&amp;$E218&amp;$F218&amp;$J218,'Doc''s Pagos | Rodopar 108'!$B:$B,AD$1)+SUMIFS('Doc Há Pagar | Rodopar 1015'!$J:$J,'Doc Há Pagar | Rodopar 1015'!$A:$A,$B218&amp;$E218&amp;$F218,'Doc Há Pagar | Rodopar 1015'!$B:$B,AD$1)</f>
        <v>0</v>
      </c>
    </row>
    <row r="219" spans="1:30" x14ac:dyDescent="0.25">
      <c r="A219" s="1" t="str">
        <f>VLOOKUP($E219,Fornecedores!$A:$C,3,0)</f>
        <v>Frota</v>
      </c>
      <c r="B219" s="14">
        <v>38216</v>
      </c>
      <c r="C219" s="14" t="str">
        <f>IFERROR(VLOOKUP($E219,Fornecedores!$A:$E,4,0),"")</f>
        <v>Manutenção</v>
      </c>
      <c r="D219" s="14" t="str">
        <f>IFERROR(VLOOKUP($E219,Fornecedores!$A:$E,5,0),"")</f>
        <v>Vans</v>
      </c>
      <c r="E219" s="8" t="s">
        <v>133</v>
      </c>
      <c r="F219" s="14" t="s">
        <v>380</v>
      </c>
      <c r="G219" s="8" t="s">
        <v>493</v>
      </c>
      <c r="H219" s="9">
        <v>87</v>
      </c>
      <c r="I219" s="21">
        <v>225.18</v>
      </c>
      <c r="J219" s="11">
        <v>46175</v>
      </c>
      <c r="K219" s="11">
        <v>46176</v>
      </c>
      <c r="L219" s="8" t="s">
        <v>494</v>
      </c>
      <c r="M219" s="14" t="s">
        <v>234</v>
      </c>
      <c r="N219" s="16">
        <v>1556</v>
      </c>
      <c r="O219" s="14" t="s">
        <v>250</v>
      </c>
      <c r="P219" s="14"/>
      <c r="Q219" s="20">
        <f t="shared" si="3"/>
        <v>0</v>
      </c>
      <c r="S219" s="20">
        <f>SUMIFS('Doc''s Pagos | Rodopar 108'!$J:$J,'Doc''s Pagos | Rodopar 108'!$A:$A,$B219&amp;$E219&amp;$F219&amp;$J219,'Doc''s Pagos | Rodopar 108'!$B:$B,S$1)+SUMIFS('Doc Há Pagar | Rodopar 1015'!$J:$J,'Doc Há Pagar | Rodopar 1015'!$A:$A,$B219&amp;$E219&amp;$F219,'Doc Há Pagar | Rodopar 1015'!$B:$B,S$1)</f>
        <v>0</v>
      </c>
      <c r="T219" s="20">
        <f>SUMIFS('Doc''s Pagos | Rodopar 108'!$J:$J,'Doc''s Pagos | Rodopar 108'!$A:$A,$B219&amp;$E219&amp;$F219&amp;$J219,'Doc''s Pagos | Rodopar 108'!$B:$B,T$1)+SUMIFS('Doc Há Pagar | Rodopar 1015'!$J:$J,'Doc Há Pagar | Rodopar 1015'!$A:$A,$B219&amp;$E219&amp;$F219,'Doc Há Pagar | Rodopar 1015'!$B:$B,T$1)</f>
        <v>0</v>
      </c>
      <c r="U219" s="20">
        <f>SUMIFS('Doc''s Pagos | Rodopar 108'!$J:$J,'Doc''s Pagos | Rodopar 108'!$A:$A,$B219&amp;$E219&amp;$F219&amp;$J219,'Doc''s Pagos | Rodopar 108'!$B:$B,U$1)+SUMIFS('Doc Há Pagar | Rodopar 1015'!$J:$J,'Doc Há Pagar | Rodopar 1015'!$A:$A,$B219&amp;$E219&amp;$F219,'Doc Há Pagar | Rodopar 1015'!$B:$B,U$1)</f>
        <v>0</v>
      </c>
      <c r="V219" s="20">
        <f>SUMIFS('Doc''s Pagos | Rodopar 108'!$J:$J,'Doc''s Pagos | Rodopar 108'!$A:$A,$B219&amp;$E219&amp;$F219&amp;$J219,'Doc''s Pagos | Rodopar 108'!$B:$B,V$1)+SUMIFS('Doc Há Pagar | Rodopar 1015'!$J:$J,'Doc Há Pagar | Rodopar 1015'!$A:$A,$B219&amp;$E219&amp;$F219,'Doc Há Pagar | Rodopar 1015'!$B:$B,V$1)</f>
        <v>0</v>
      </c>
      <c r="W219" s="20">
        <f>SUMIFS('Doc''s Pagos | Rodopar 108'!$J:$J,'Doc''s Pagos | Rodopar 108'!$A:$A,$B219&amp;$E219&amp;$F219&amp;$J219,'Doc''s Pagos | Rodopar 108'!$B:$B,W$1)+SUMIFS('Doc Há Pagar | Rodopar 1015'!$J:$J,'Doc Há Pagar | Rodopar 1015'!$A:$A,$B219&amp;$E219&amp;$F219,'Doc Há Pagar | Rodopar 1015'!$B:$B,W$1)</f>
        <v>0</v>
      </c>
      <c r="X219" s="20">
        <f>SUMIFS('Doc''s Pagos | Rodopar 108'!$J:$J,'Doc''s Pagos | Rodopar 108'!$A:$A,$B219&amp;$E219&amp;$F219&amp;$J219,'Doc''s Pagos | Rodopar 108'!$B:$B,X$1)+SUMIFS('Doc Há Pagar | Rodopar 1015'!$J:$J,'Doc Há Pagar | Rodopar 1015'!$A:$A,$B219&amp;$E219&amp;$F219,'Doc Há Pagar | Rodopar 1015'!$B:$B,X$1)</f>
        <v>0</v>
      </c>
      <c r="Y219" s="20">
        <f>SUMIFS('Doc''s Pagos | Rodopar 108'!$J:$J,'Doc''s Pagos | Rodopar 108'!$A:$A,$B219&amp;$E219&amp;$F219&amp;$J219,'Doc''s Pagos | Rodopar 108'!$B:$B,Y$1)+SUMIFS('Doc Há Pagar | Rodopar 1015'!$J:$J,'Doc Há Pagar | Rodopar 1015'!$A:$A,$B219&amp;$E219&amp;$F219,'Doc Há Pagar | Rodopar 1015'!$B:$B,Y$1)</f>
        <v>225.18</v>
      </c>
      <c r="Z219" s="20">
        <f>SUMIFS('Doc''s Pagos | Rodopar 108'!$J:$J,'Doc''s Pagos | Rodopar 108'!$A:$A,$B219&amp;$E219&amp;$F219&amp;$J219,'Doc''s Pagos | Rodopar 108'!$B:$B,Z$1)+SUMIFS('Doc Há Pagar | Rodopar 1015'!$J:$J,'Doc Há Pagar | Rodopar 1015'!$A:$A,$B219&amp;$E219&amp;$F219,'Doc Há Pagar | Rodopar 1015'!$B:$B,Z$1)</f>
        <v>0</v>
      </c>
      <c r="AA219" s="20">
        <f>SUMIFS('Doc''s Pagos | Rodopar 108'!$J:$J,'Doc''s Pagos | Rodopar 108'!$A:$A,$B219&amp;$E219&amp;$F219&amp;$J219,'Doc''s Pagos | Rodopar 108'!$B:$B,AA$1)+SUMIFS('Doc Há Pagar | Rodopar 1015'!$J:$J,'Doc Há Pagar | Rodopar 1015'!$A:$A,$B219&amp;$E219&amp;$F219,'Doc Há Pagar | Rodopar 1015'!$B:$B,AA$1)</f>
        <v>0</v>
      </c>
      <c r="AB219" s="20">
        <f>SUMIFS('Doc''s Pagos | Rodopar 108'!$J:$J,'Doc''s Pagos | Rodopar 108'!$A:$A,$B219&amp;$E219&amp;$F219&amp;$J219,'Doc''s Pagos | Rodopar 108'!$B:$B,AB$1)+SUMIFS('Doc Há Pagar | Rodopar 1015'!$J:$J,'Doc Há Pagar | Rodopar 1015'!$A:$A,$B219&amp;$E219&amp;$F219,'Doc Há Pagar | Rodopar 1015'!$B:$B,AB$1)</f>
        <v>0</v>
      </c>
      <c r="AC219" s="20">
        <f>SUMIFS('Doc''s Pagos | Rodopar 108'!$J:$J,'Doc''s Pagos | Rodopar 108'!$A:$A,$B219&amp;$E219&amp;$F219&amp;$J219,'Doc''s Pagos | Rodopar 108'!$B:$B,AC$1)+SUMIFS('Doc Há Pagar | Rodopar 1015'!$J:$J,'Doc Há Pagar | Rodopar 1015'!$A:$A,$B219&amp;$E219&amp;$F219,'Doc Há Pagar | Rodopar 1015'!$B:$B,AC$1)</f>
        <v>0</v>
      </c>
      <c r="AD219" s="20">
        <f>SUMIFS('Doc''s Pagos | Rodopar 108'!$J:$J,'Doc''s Pagos | Rodopar 108'!$A:$A,$B219&amp;$E219&amp;$F219&amp;$J219,'Doc''s Pagos | Rodopar 108'!$B:$B,AD$1)+SUMIFS('Doc Há Pagar | Rodopar 1015'!$J:$J,'Doc Há Pagar | Rodopar 1015'!$A:$A,$B219&amp;$E219&amp;$F219,'Doc Há Pagar | Rodopar 1015'!$B:$B,AD$1)</f>
        <v>0</v>
      </c>
    </row>
    <row r="220" spans="1:30" x14ac:dyDescent="0.25">
      <c r="A220" s="1" t="str">
        <f>VLOOKUP($E220,Fornecedores!$A:$C,3,0)</f>
        <v>Frota</v>
      </c>
      <c r="B220" s="14">
        <v>26126749495</v>
      </c>
      <c r="C220" s="14" t="str">
        <f>IFERROR(VLOOKUP($E220,Fornecedores!$A:$E,4,0),"")</f>
        <v>Pedagios</v>
      </c>
      <c r="D220" s="14" t="str">
        <f>IFERROR(VLOOKUP($E220,Fornecedores!$A:$E,5,0),"")</f>
        <v>Pedagios</v>
      </c>
      <c r="E220" s="8" t="s">
        <v>38</v>
      </c>
      <c r="F220" s="14" t="s">
        <v>232</v>
      </c>
      <c r="G220" s="8" t="s">
        <v>261</v>
      </c>
      <c r="H220" s="9">
        <v>87</v>
      </c>
      <c r="I220" s="21">
        <v>23373.74</v>
      </c>
      <c r="J220" s="11">
        <v>46176</v>
      </c>
      <c r="K220" s="11">
        <v>46181</v>
      </c>
      <c r="L220" s="8" t="s">
        <v>262</v>
      </c>
      <c r="M220" s="14" t="s">
        <v>263</v>
      </c>
      <c r="N220" s="16">
        <v>2556</v>
      </c>
      <c r="O220" s="14" t="s">
        <v>241</v>
      </c>
      <c r="P220" s="14"/>
      <c r="Q220" s="20">
        <f t="shared" si="3"/>
        <v>0</v>
      </c>
      <c r="S220" s="20">
        <f>SUMIFS('Doc''s Pagos | Rodopar 108'!$J:$J,'Doc''s Pagos | Rodopar 108'!$A:$A,$B220&amp;$E220&amp;$F220&amp;$J220,'Doc''s Pagos | Rodopar 108'!$B:$B,S$1)+SUMIFS('Doc Há Pagar | Rodopar 1015'!$J:$J,'Doc Há Pagar | Rodopar 1015'!$A:$A,$B220&amp;$E220&amp;$F220,'Doc Há Pagar | Rodopar 1015'!$B:$B,S$1)</f>
        <v>0</v>
      </c>
      <c r="T220" s="20">
        <f>SUMIFS('Doc''s Pagos | Rodopar 108'!$J:$J,'Doc''s Pagos | Rodopar 108'!$A:$A,$B220&amp;$E220&amp;$F220&amp;$J220,'Doc''s Pagos | Rodopar 108'!$B:$B,T$1)+SUMIFS('Doc Há Pagar | Rodopar 1015'!$J:$J,'Doc Há Pagar | Rodopar 1015'!$A:$A,$B220&amp;$E220&amp;$F220,'Doc Há Pagar | Rodopar 1015'!$B:$B,T$1)</f>
        <v>0</v>
      </c>
      <c r="U220" s="20">
        <f>SUMIFS('Doc''s Pagos | Rodopar 108'!$J:$J,'Doc''s Pagos | Rodopar 108'!$A:$A,$B220&amp;$E220&amp;$F220&amp;$J220,'Doc''s Pagos | Rodopar 108'!$B:$B,U$1)+SUMIFS('Doc Há Pagar | Rodopar 1015'!$J:$J,'Doc Há Pagar | Rodopar 1015'!$A:$A,$B220&amp;$E220&amp;$F220,'Doc Há Pagar | Rodopar 1015'!$B:$B,U$1)</f>
        <v>0</v>
      </c>
      <c r="V220" s="20">
        <f>SUMIFS('Doc''s Pagos | Rodopar 108'!$J:$J,'Doc''s Pagos | Rodopar 108'!$A:$A,$B220&amp;$E220&amp;$F220&amp;$J220,'Doc''s Pagos | Rodopar 108'!$B:$B,V$1)+SUMIFS('Doc Há Pagar | Rodopar 1015'!$J:$J,'Doc Há Pagar | Rodopar 1015'!$A:$A,$B220&amp;$E220&amp;$F220,'Doc Há Pagar | Rodopar 1015'!$B:$B,V$1)</f>
        <v>0</v>
      </c>
      <c r="W220" s="20">
        <f>SUMIFS('Doc''s Pagos | Rodopar 108'!$J:$J,'Doc''s Pagos | Rodopar 108'!$A:$A,$B220&amp;$E220&amp;$F220&amp;$J220,'Doc''s Pagos | Rodopar 108'!$B:$B,W$1)+SUMIFS('Doc Há Pagar | Rodopar 1015'!$J:$J,'Doc Há Pagar | Rodopar 1015'!$A:$A,$B220&amp;$E220&amp;$F220,'Doc Há Pagar | Rodopar 1015'!$B:$B,W$1)</f>
        <v>0</v>
      </c>
      <c r="X220" s="20">
        <f>SUMIFS('Doc''s Pagos | Rodopar 108'!$J:$J,'Doc''s Pagos | Rodopar 108'!$A:$A,$B220&amp;$E220&amp;$F220&amp;$J220,'Doc''s Pagos | Rodopar 108'!$B:$B,X$1)+SUMIFS('Doc Há Pagar | Rodopar 1015'!$J:$J,'Doc Há Pagar | Rodopar 1015'!$A:$A,$B220&amp;$E220&amp;$F220,'Doc Há Pagar | Rodopar 1015'!$B:$B,X$1)</f>
        <v>23373.74</v>
      </c>
      <c r="Y220" s="20">
        <f>SUMIFS('Doc''s Pagos | Rodopar 108'!$J:$J,'Doc''s Pagos | Rodopar 108'!$A:$A,$B220&amp;$E220&amp;$F220&amp;$J220,'Doc''s Pagos | Rodopar 108'!$B:$B,Y$1)+SUMIFS('Doc Há Pagar | Rodopar 1015'!$J:$J,'Doc Há Pagar | Rodopar 1015'!$A:$A,$B220&amp;$E220&amp;$F220,'Doc Há Pagar | Rodopar 1015'!$B:$B,Y$1)</f>
        <v>0</v>
      </c>
      <c r="Z220" s="20">
        <f>SUMIFS('Doc''s Pagos | Rodopar 108'!$J:$J,'Doc''s Pagos | Rodopar 108'!$A:$A,$B220&amp;$E220&amp;$F220&amp;$J220,'Doc''s Pagos | Rodopar 108'!$B:$B,Z$1)+SUMIFS('Doc Há Pagar | Rodopar 1015'!$J:$J,'Doc Há Pagar | Rodopar 1015'!$A:$A,$B220&amp;$E220&amp;$F220,'Doc Há Pagar | Rodopar 1015'!$B:$B,Z$1)</f>
        <v>0</v>
      </c>
      <c r="AA220" s="20">
        <f>SUMIFS('Doc''s Pagos | Rodopar 108'!$J:$J,'Doc''s Pagos | Rodopar 108'!$A:$A,$B220&amp;$E220&amp;$F220&amp;$J220,'Doc''s Pagos | Rodopar 108'!$B:$B,AA$1)+SUMIFS('Doc Há Pagar | Rodopar 1015'!$J:$J,'Doc Há Pagar | Rodopar 1015'!$A:$A,$B220&amp;$E220&amp;$F220,'Doc Há Pagar | Rodopar 1015'!$B:$B,AA$1)</f>
        <v>0</v>
      </c>
      <c r="AB220" s="20">
        <f>SUMIFS('Doc''s Pagos | Rodopar 108'!$J:$J,'Doc''s Pagos | Rodopar 108'!$A:$A,$B220&amp;$E220&amp;$F220&amp;$J220,'Doc''s Pagos | Rodopar 108'!$B:$B,AB$1)+SUMIFS('Doc Há Pagar | Rodopar 1015'!$J:$J,'Doc Há Pagar | Rodopar 1015'!$A:$A,$B220&amp;$E220&amp;$F220,'Doc Há Pagar | Rodopar 1015'!$B:$B,AB$1)</f>
        <v>0</v>
      </c>
      <c r="AC220" s="20">
        <f>SUMIFS('Doc''s Pagos | Rodopar 108'!$J:$J,'Doc''s Pagos | Rodopar 108'!$A:$A,$B220&amp;$E220&amp;$F220&amp;$J220,'Doc''s Pagos | Rodopar 108'!$B:$B,AC$1)+SUMIFS('Doc Há Pagar | Rodopar 1015'!$J:$J,'Doc Há Pagar | Rodopar 1015'!$A:$A,$B220&amp;$E220&amp;$F220,'Doc Há Pagar | Rodopar 1015'!$B:$B,AC$1)</f>
        <v>0</v>
      </c>
      <c r="AD220" s="20">
        <f>SUMIFS('Doc''s Pagos | Rodopar 108'!$J:$J,'Doc''s Pagos | Rodopar 108'!$A:$A,$B220&amp;$E220&amp;$F220&amp;$J220,'Doc''s Pagos | Rodopar 108'!$B:$B,AD$1)+SUMIFS('Doc Há Pagar | Rodopar 1015'!$J:$J,'Doc Há Pagar | Rodopar 1015'!$A:$A,$B220&amp;$E220&amp;$F220,'Doc Há Pagar | Rodopar 1015'!$B:$B,AD$1)</f>
        <v>0</v>
      </c>
    </row>
    <row r="221" spans="1:30" x14ac:dyDescent="0.25">
      <c r="A221" s="1" t="str">
        <f>VLOOKUP($E221,Fornecedores!$A:$C,3,0)</f>
        <v>Frota</v>
      </c>
      <c r="B221" s="14">
        <v>1423</v>
      </c>
      <c r="C221" s="14" t="str">
        <f>IFERROR(VLOOKUP($E221,Fornecedores!$A:$E,4,0),"")</f>
        <v>Manutenção</v>
      </c>
      <c r="D221" s="14" t="str">
        <f>IFERROR(VLOOKUP($E221,Fornecedores!$A:$E,5,0),"")</f>
        <v>Frota Leve OPE</v>
      </c>
      <c r="E221" s="8" t="s">
        <v>143</v>
      </c>
      <c r="F221" s="14" t="s">
        <v>380</v>
      </c>
      <c r="G221" s="8" t="s">
        <v>412</v>
      </c>
      <c r="H221" s="9">
        <v>87</v>
      </c>
      <c r="I221" s="21">
        <v>120</v>
      </c>
      <c r="J221" s="11">
        <v>46176</v>
      </c>
      <c r="K221" s="11">
        <v>46176</v>
      </c>
      <c r="L221" s="8" t="s">
        <v>282</v>
      </c>
      <c r="M221" s="14" t="s">
        <v>234</v>
      </c>
      <c r="N221" s="16">
        <v>1556</v>
      </c>
      <c r="O221" s="14" t="s">
        <v>250</v>
      </c>
      <c r="P221" s="14"/>
      <c r="Q221" s="20">
        <f t="shared" si="3"/>
        <v>0</v>
      </c>
      <c r="S221" s="20">
        <f>SUMIFS('Doc''s Pagos | Rodopar 108'!$J:$J,'Doc''s Pagos | Rodopar 108'!$A:$A,$B221&amp;$E221&amp;$F221&amp;$J221,'Doc''s Pagos | Rodopar 108'!$B:$B,S$1)+SUMIFS('Doc Há Pagar | Rodopar 1015'!$J:$J,'Doc Há Pagar | Rodopar 1015'!$A:$A,$B221&amp;$E221&amp;$F221,'Doc Há Pagar | Rodopar 1015'!$B:$B,S$1)</f>
        <v>0</v>
      </c>
      <c r="T221" s="20">
        <f>SUMIFS('Doc''s Pagos | Rodopar 108'!$J:$J,'Doc''s Pagos | Rodopar 108'!$A:$A,$B221&amp;$E221&amp;$F221&amp;$J221,'Doc''s Pagos | Rodopar 108'!$B:$B,T$1)+SUMIFS('Doc Há Pagar | Rodopar 1015'!$J:$J,'Doc Há Pagar | Rodopar 1015'!$A:$A,$B221&amp;$E221&amp;$F221,'Doc Há Pagar | Rodopar 1015'!$B:$B,T$1)</f>
        <v>0</v>
      </c>
      <c r="U221" s="20">
        <f>SUMIFS('Doc''s Pagos | Rodopar 108'!$J:$J,'Doc''s Pagos | Rodopar 108'!$A:$A,$B221&amp;$E221&amp;$F221&amp;$J221,'Doc''s Pagos | Rodopar 108'!$B:$B,U$1)+SUMIFS('Doc Há Pagar | Rodopar 1015'!$J:$J,'Doc Há Pagar | Rodopar 1015'!$A:$A,$B221&amp;$E221&amp;$F221,'Doc Há Pagar | Rodopar 1015'!$B:$B,U$1)</f>
        <v>0</v>
      </c>
      <c r="V221" s="20">
        <f>SUMIFS('Doc''s Pagos | Rodopar 108'!$J:$J,'Doc''s Pagos | Rodopar 108'!$A:$A,$B221&amp;$E221&amp;$F221&amp;$J221,'Doc''s Pagos | Rodopar 108'!$B:$B,V$1)+SUMIFS('Doc Há Pagar | Rodopar 1015'!$J:$J,'Doc Há Pagar | Rodopar 1015'!$A:$A,$B221&amp;$E221&amp;$F221,'Doc Há Pagar | Rodopar 1015'!$B:$B,V$1)</f>
        <v>0</v>
      </c>
      <c r="W221" s="20">
        <f>SUMIFS('Doc''s Pagos | Rodopar 108'!$J:$J,'Doc''s Pagos | Rodopar 108'!$A:$A,$B221&amp;$E221&amp;$F221&amp;$J221,'Doc''s Pagos | Rodopar 108'!$B:$B,W$1)+SUMIFS('Doc Há Pagar | Rodopar 1015'!$J:$J,'Doc Há Pagar | Rodopar 1015'!$A:$A,$B221&amp;$E221&amp;$F221,'Doc Há Pagar | Rodopar 1015'!$B:$B,W$1)</f>
        <v>0</v>
      </c>
      <c r="X221" s="20">
        <f>SUMIFS('Doc''s Pagos | Rodopar 108'!$J:$J,'Doc''s Pagos | Rodopar 108'!$A:$A,$B221&amp;$E221&amp;$F221&amp;$J221,'Doc''s Pagos | Rodopar 108'!$B:$B,X$1)+SUMIFS('Doc Há Pagar | Rodopar 1015'!$J:$J,'Doc Há Pagar | Rodopar 1015'!$A:$A,$B221&amp;$E221&amp;$F221,'Doc Há Pagar | Rodopar 1015'!$B:$B,X$1)</f>
        <v>0</v>
      </c>
      <c r="Y221" s="20">
        <f>SUMIFS('Doc''s Pagos | Rodopar 108'!$J:$J,'Doc''s Pagos | Rodopar 108'!$A:$A,$B221&amp;$E221&amp;$F221&amp;$J221,'Doc''s Pagos | Rodopar 108'!$B:$B,Y$1)+SUMIFS('Doc Há Pagar | Rodopar 1015'!$J:$J,'Doc Há Pagar | Rodopar 1015'!$A:$A,$B221&amp;$E221&amp;$F221,'Doc Há Pagar | Rodopar 1015'!$B:$B,Y$1)</f>
        <v>120</v>
      </c>
      <c r="Z221" s="20">
        <f>SUMIFS('Doc''s Pagos | Rodopar 108'!$J:$J,'Doc''s Pagos | Rodopar 108'!$A:$A,$B221&amp;$E221&amp;$F221&amp;$J221,'Doc''s Pagos | Rodopar 108'!$B:$B,Z$1)+SUMIFS('Doc Há Pagar | Rodopar 1015'!$J:$J,'Doc Há Pagar | Rodopar 1015'!$A:$A,$B221&amp;$E221&amp;$F221,'Doc Há Pagar | Rodopar 1015'!$B:$B,Z$1)</f>
        <v>0</v>
      </c>
      <c r="AA221" s="20">
        <f>SUMIFS('Doc''s Pagos | Rodopar 108'!$J:$J,'Doc''s Pagos | Rodopar 108'!$A:$A,$B221&amp;$E221&amp;$F221&amp;$J221,'Doc''s Pagos | Rodopar 108'!$B:$B,AA$1)+SUMIFS('Doc Há Pagar | Rodopar 1015'!$J:$J,'Doc Há Pagar | Rodopar 1015'!$A:$A,$B221&amp;$E221&amp;$F221,'Doc Há Pagar | Rodopar 1015'!$B:$B,AA$1)</f>
        <v>0</v>
      </c>
      <c r="AB221" s="20">
        <f>SUMIFS('Doc''s Pagos | Rodopar 108'!$J:$J,'Doc''s Pagos | Rodopar 108'!$A:$A,$B221&amp;$E221&amp;$F221&amp;$J221,'Doc''s Pagos | Rodopar 108'!$B:$B,AB$1)+SUMIFS('Doc Há Pagar | Rodopar 1015'!$J:$J,'Doc Há Pagar | Rodopar 1015'!$A:$A,$B221&amp;$E221&amp;$F221,'Doc Há Pagar | Rodopar 1015'!$B:$B,AB$1)</f>
        <v>0</v>
      </c>
      <c r="AC221" s="20">
        <f>SUMIFS('Doc''s Pagos | Rodopar 108'!$J:$J,'Doc''s Pagos | Rodopar 108'!$A:$A,$B221&amp;$E221&amp;$F221&amp;$J221,'Doc''s Pagos | Rodopar 108'!$B:$B,AC$1)+SUMIFS('Doc Há Pagar | Rodopar 1015'!$J:$J,'Doc Há Pagar | Rodopar 1015'!$A:$A,$B221&amp;$E221&amp;$F221,'Doc Há Pagar | Rodopar 1015'!$B:$B,AC$1)</f>
        <v>0</v>
      </c>
      <c r="AD221" s="20">
        <f>SUMIFS('Doc''s Pagos | Rodopar 108'!$J:$J,'Doc''s Pagos | Rodopar 108'!$A:$A,$B221&amp;$E221&amp;$F221&amp;$J221,'Doc''s Pagos | Rodopar 108'!$B:$B,AD$1)+SUMIFS('Doc Há Pagar | Rodopar 1015'!$J:$J,'Doc Há Pagar | Rodopar 1015'!$A:$A,$B221&amp;$E221&amp;$F221,'Doc Há Pagar | Rodopar 1015'!$B:$B,AD$1)</f>
        <v>0</v>
      </c>
    </row>
    <row r="222" spans="1:30" x14ac:dyDescent="0.25">
      <c r="A222" s="1" t="str">
        <f>VLOOKUP($E222,Fornecedores!$A:$C,3,0)</f>
        <v>Frota</v>
      </c>
      <c r="B222" s="14">
        <v>126</v>
      </c>
      <c r="C222" s="14" t="str">
        <f>IFERROR(VLOOKUP($E222,Fornecedores!$A:$E,4,0),"")</f>
        <v>Manutenção</v>
      </c>
      <c r="D222" s="14" t="str">
        <f>IFERROR(VLOOKUP($E222,Fornecedores!$A:$E,5,0),"")</f>
        <v>Frota Leve OPE</v>
      </c>
      <c r="E222" s="8" t="s">
        <v>143</v>
      </c>
      <c r="F222" s="14" t="s">
        <v>665</v>
      </c>
      <c r="G222" s="8" t="s">
        <v>412</v>
      </c>
      <c r="H222" s="9">
        <v>87</v>
      </c>
      <c r="I222" s="21">
        <v>200</v>
      </c>
      <c r="J222" s="11">
        <v>46176</v>
      </c>
      <c r="K222" s="11">
        <v>46176</v>
      </c>
      <c r="L222" s="8" t="s">
        <v>282</v>
      </c>
      <c r="M222" s="14" t="s">
        <v>234</v>
      </c>
      <c r="N222" s="16">
        <v>1556</v>
      </c>
      <c r="O222" s="14" t="s">
        <v>250</v>
      </c>
      <c r="P222" s="14"/>
      <c r="Q222" s="20">
        <f t="shared" si="3"/>
        <v>0</v>
      </c>
      <c r="S222" s="20">
        <f>SUMIFS('Doc''s Pagos | Rodopar 108'!$J:$J,'Doc''s Pagos | Rodopar 108'!$A:$A,$B222&amp;$E222&amp;$F222&amp;$J222,'Doc''s Pagos | Rodopar 108'!$B:$B,S$1)+SUMIFS('Doc Há Pagar | Rodopar 1015'!$J:$J,'Doc Há Pagar | Rodopar 1015'!$A:$A,$B222&amp;$E222&amp;$F222,'Doc Há Pagar | Rodopar 1015'!$B:$B,S$1)</f>
        <v>0</v>
      </c>
      <c r="T222" s="20">
        <f>SUMIFS('Doc''s Pagos | Rodopar 108'!$J:$J,'Doc''s Pagos | Rodopar 108'!$A:$A,$B222&amp;$E222&amp;$F222&amp;$J222,'Doc''s Pagos | Rodopar 108'!$B:$B,T$1)+SUMIFS('Doc Há Pagar | Rodopar 1015'!$J:$J,'Doc Há Pagar | Rodopar 1015'!$A:$A,$B222&amp;$E222&amp;$F222,'Doc Há Pagar | Rodopar 1015'!$B:$B,T$1)</f>
        <v>0</v>
      </c>
      <c r="U222" s="20">
        <f>SUMIFS('Doc''s Pagos | Rodopar 108'!$J:$J,'Doc''s Pagos | Rodopar 108'!$A:$A,$B222&amp;$E222&amp;$F222&amp;$J222,'Doc''s Pagos | Rodopar 108'!$B:$B,U$1)+SUMIFS('Doc Há Pagar | Rodopar 1015'!$J:$J,'Doc Há Pagar | Rodopar 1015'!$A:$A,$B222&amp;$E222&amp;$F222,'Doc Há Pagar | Rodopar 1015'!$B:$B,U$1)</f>
        <v>0</v>
      </c>
      <c r="V222" s="20">
        <f>SUMIFS('Doc''s Pagos | Rodopar 108'!$J:$J,'Doc''s Pagos | Rodopar 108'!$A:$A,$B222&amp;$E222&amp;$F222&amp;$J222,'Doc''s Pagos | Rodopar 108'!$B:$B,V$1)+SUMIFS('Doc Há Pagar | Rodopar 1015'!$J:$J,'Doc Há Pagar | Rodopar 1015'!$A:$A,$B222&amp;$E222&amp;$F222,'Doc Há Pagar | Rodopar 1015'!$B:$B,V$1)</f>
        <v>0</v>
      </c>
      <c r="W222" s="20">
        <f>SUMIFS('Doc''s Pagos | Rodopar 108'!$J:$J,'Doc''s Pagos | Rodopar 108'!$A:$A,$B222&amp;$E222&amp;$F222&amp;$J222,'Doc''s Pagos | Rodopar 108'!$B:$B,W$1)+SUMIFS('Doc Há Pagar | Rodopar 1015'!$J:$J,'Doc Há Pagar | Rodopar 1015'!$A:$A,$B222&amp;$E222&amp;$F222,'Doc Há Pagar | Rodopar 1015'!$B:$B,W$1)</f>
        <v>0</v>
      </c>
      <c r="X222" s="20">
        <f>SUMIFS('Doc''s Pagos | Rodopar 108'!$J:$J,'Doc''s Pagos | Rodopar 108'!$A:$A,$B222&amp;$E222&amp;$F222&amp;$J222,'Doc''s Pagos | Rodopar 108'!$B:$B,X$1)+SUMIFS('Doc Há Pagar | Rodopar 1015'!$J:$J,'Doc Há Pagar | Rodopar 1015'!$A:$A,$B222&amp;$E222&amp;$F222,'Doc Há Pagar | Rodopar 1015'!$B:$B,X$1)</f>
        <v>0</v>
      </c>
      <c r="Y222" s="20">
        <f>SUMIFS('Doc''s Pagos | Rodopar 108'!$J:$J,'Doc''s Pagos | Rodopar 108'!$A:$A,$B222&amp;$E222&amp;$F222&amp;$J222,'Doc''s Pagos | Rodopar 108'!$B:$B,Y$1)+SUMIFS('Doc Há Pagar | Rodopar 1015'!$J:$J,'Doc Há Pagar | Rodopar 1015'!$A:$A,$B222&amp;$E222&amp;$F222,'Doc Há Pagar | Rodopar 1015'!$B:$B,Y$1)</f>
        <v>200</v>
      </c>
      <c r="Z222" s="20">
        <f>SUMIFS('Doc''s Pagos | Rodopar 108'!$J:$J,'Doc''s Pagos | Rodopar 108'!$A:$A,$B222&amp;$E222&amp;$F222&amp;$J222,'Doc''s Pagos | Rodopar 108'!$B:$B,Z$1)+SUMIFS('Doc Há Pagar | Rodopar 1015'!$J:$J,'Doc Há Pagar | Rodopar 1015'!$A:$A,$B222&amp;$E222&amp;$F222,'Doc Há Pagar | Rodopar 1015'!$B:$B,Z$1)</f>
        <v>0</v>
      </c>
      <c r="AA222" s="20">
        <f>SUMIFS('Doc''s Pagos | Rodopar 108'!$J:$J,'Doc''s Pagos | Rodopar 108'!$A:$A,$B222&amp;$E222&amp;$F222&amp;$J222,'Doc''s Pagos | Rodopar 108'!$B:$B,AA$1)+SUMIFS('Doc Há Pagar | Rodopar 1015'!$J:$J,'Doc Há Pagar | Rodopar 1015'!$A:$A,$B222&amp;$E222&amp;$F222,'Doc Há Pagar | Rodopar 1015'!$B:$B,AA$1)</f>
        <v>0</v>
      </c>
      <c r="AB222" s="20">
        <f>SUMIFS('Doc''s Pagos | Rodopar 108'!$J:$J,'Doc''s Pagos | Rodopar 108'!$A:$A,$B222&amp;$E222&amp;$F222&amp;$J222,'Doc''s Pagos | Rodopar 108'!$B:$B,AB$1)+SUMIFS('Doc Há Pagar | Rodopar 1015'!$J:$J,'Doc Há Pagar | Rodopar 1015'!$A:$A,$B222&amp;$E222&amp;$F222,'Doc Há Pagar | Rodopar 1015'!$B:$B,AB$1)</f>
        <v>0</v>
      </c>
      <c r="AC222" s="20">
        <f>SUMIFS('Doc''s Pagos | Rodopar 108'!$J:$J,'Doc''s Pagos | Rodopar 108'!$A:$A,$B222&amp;$E222&amp;$F222&amp;$J222,'Doc''s Pagos | Rodopar 108'!$B:$B,AC$1)+SUMIFS('Doc Há Pagar | Rodopar 1015'!$J:$J,'Doc Há Pagar | Rodopar 1015'!$A:$A,$B222&amp;$E222&amp;$F222,'Doc Há Pagar | Rodopar 1015'!$B:$B,AC$1)</f>
        <v>0</v>
      </c>
      <c r="AD222" s="20">
        <f>SUMIFS('Doc''s Pagos | Rodopar 108'!$J:$J,'Doc''s Pagos | Rodopar 108'!$A:$A,$B222&amp;$E222&amp;$F222&amp;$J222,'Doc''s Pagos | Rodopar 108'!$B:$B,AD$1)+SUMIFS('Doc Há Pagar | Rodopar 1015'!$J:$J,'Doc Há Pagar | Rodopar 1015'!$A:$A,$B222&amp;$E222&amp;$F222,'Doc Há Pagar | Rodopar 1015'!$B:$B,AD$1)</f>
        <v>0</v>
      </c>
    </row>
    <row r="223" spans="1:30" x14ac:dyDescent="0.25">
      <c r="A223" s="1" t="str">
        <f>VLOOKUP($E223,Fornecedores!$A:$C,3,0)</f>
        <v>Frota</v>
      </c>
      <c r="B223" s="14">
        <v>909152</v>
      </c>
      <c r="C223" s="14" t="str">
        <f>IFERROR(VLOOKUP($E223,Fornecedores!$A:$E,4,0),"")</f>
        <v>Telemetria</v>
      </c>
      <c r="D223" s="14" t="str">
        <f>IFERROR(VLOOKUP($E223,Fornecedores!$A:$E,5,0),"")</f>
        <v>Telemetria</v>
      </c>
      <c r="E223" s="8" t="s">
        <v>179</v>
      </c>
      <c r="F223" s="14" t="s">
        <v>665</v>
      </c>
      <c r="G223" s="8" t="s">
        <v>673</v>
      </c>
      <c r="H223" s="9">
        <v>87</v>
      </c>
      <c r="I223" s="21">
        <v>357.45</v>
      </c>
      <c r="J223" s="11">
        <v>46177</v>
      </c>
      <c r="K223" s="11">
        <v>46182</v>
      </c>
      <c r="L223" s="8" t="s">
        <v>674</v>
      </c>
      <c r="M223" s="14" t="s">
        <v>263</v>
      </c>
      <c r="N223" s="16">
        <v>2556</v>
      </c>
      <c r="O223" s="14" t="s">
        <v>241</v>
      </c>
      <c r="P223" s="14"/>
      <c r="Q223" s="20">
        <f t="shared" si="3"/>
        <v>0</v>
      </c>
      <c r="S223" s="20">
        <f>SUMIFS('Doc''s Pagos | Rodopar 108'!$J:$J,'Doc''s Pagos | Rodopar 108'!$A:$A,$B223&amp;$E223&amp;$F223&amp;$J223,'Doc''s Pagos | Rodopar 108'!$B:$B,S$1)+SUMIFS('Doc Há Pagar | Rodopar 1015'!$J:$J,'Doc Há Pagar | Rodopar 1015'!$A:$A,$B223&amp;$E223&amp;$F223,'Doc Há Pagar | Rodopar 1015'!$B:$B,S$1)</f>
        <v>0</v>
      </c>
      <c r="T223" s="20">
        <f>SUMIFS('Doc''s Pagos | Rodopar 108'!$J:$J,'Doc''s Pagos | Rodopar 108'!$A:$A,$B223&amp;$E223&amp;$F223&amp;$J223,'Doc''s Pagos | Rodopar 108'!$B:$B,T$1)+SUMIFS('Doc Há Pagar | Rodopar 1015'!$J:$J,'Doc Há Pagar | Rodopar 1015'!$A:$A,$B223&amp;$E223&amp;$F223,'Doc Há Pagar | Rodopar 1015'!$B:$B,T$1)</f>
        <v>0</v>
      </c>
      <c r="U223" s="20">
        <f>SUMIFS('Doc''s Pagos | Rodopar 108'!$J:$J,'Doc''s Pagos | Rodopar 108'!$A:$A,$B223&amp;$E223&amp;$F223&amp;$J223,'Doc''s Pagos | Rodopar 108'!$B:$B,U$1)+SUMIFS('Doc Há Pagar | Rodopar 1015'!$J:$J,'Doc Há Pagar | Rodopar 1015'!$A:$A,$B223&amp;$E223&amp;$F223,'Doc Há Pagar | Rodopar 1015'!$B:$B,U$1)</f>
        <v>0</v>
      </c>
      <c r="V223" s="20">
        <f>SUMIFS('Doc''s Pagos | Rodopar 108'!$J:$J,'Doc''s Pagos | Rodopar 108'!$A:$A,$B223&amp;$E223&amp;$F223&amp;$J223,'Doc''s Pagos | Rodopar 108'!$B:$B,V$1)+SUMIFS('Doc Há Pagar | Rodopar 1015'!$J:$J,'Doc Há Pagar | Rodopar 1015'!$A:$A,$B223&amp;$E223&amp;$F223,'Doc Há Pagar | Rodopar 1015'!$B:$B,V$1)</f>
        <v>0</v>
      </c>
      <c r="W223" s="20">
        <f>SUMIFS('Doc''s Pagos | Rodopar 108'!$J:$J,'Doc''s Pagos | Rodopar 108'!$A:$A,$B223&amp;$E223&amp;$F223&amp;$J223,'Doc''s Pagos | Rodopar 108'!$B:$B,W$1)+SUMIFS('Doc Há Pagar | Rodopar 1015'!$J:$J,'Doc Há Pagar | Rodopar 1015'!$A:$A,$B223&amp;$E223&amp;$F223,'Doc Há Pagar | Rodopar 1015'!$B:$B,W$1)</f>
        <v>0</v>
      </c>
      <c r="X223" s="20">
        <f>SUMIFS('Doc''s Pagos | Rodopar 108'!$J:$J,'Doc''s Pagos | Rodopar 108'!$A:$A,$B223&amp;$E223&amp;$F223&amp;$J223,'Doc''s Pagos | Rodopar 108'!$B:$B,X$1)+SUMIFS('Doc Há Pagar | Rodopar 1015'!$J:$J,'Doc Há Pagar | Rodopar 1015'!$A:$A,$B223&amp;$E223&amp;$F223,'Doc Há Pagar | Rodopar 1015'!$B:$B,X$1)</f>
        <v>0</v>
      </c>
      <c r="Y223" s="20">
        <f>SUMIFS('Doc''s Pagos | Rodopar 108'!$J:$J,'Doc''s Pagos | Rodopar 108'!$A:$A,$B223&amp;$E223&amp;$F223&amp;$J223,'Doc''s Pagos | Rodopar 108'!$B:$B,Y$1)+SUMIFS('Doc Há Pagar | Rodopar 1015'!$J:$J,'Doc Há Pagar | Rodopar 1015'!$A:$A,$B223&amp;$E223&amp;$F223,'Doc Há Pagar | Rodopar 1015'!$B:$B,Y$1)</f>
        <v>357.45</v>
      </c>
      <c r="Z223" s="20">
        <f>SUMIFS('Doc''s Pagos | Rodopar 108'!$J:$J,'Doc''s Pagos | Rodopar 108'!$A:$A,$B223&amp;$E223&amp;$F223&amp;$J223,'Doc''s Pagos | Rodopar 108'!$B:$B,Z$1)+SUMIFS('Doc Há Pagar | Rodopar 1015'!$J:$J,'Doc Há Pagar | Rodopar 1015'!$A:$A,$B223&amp;$E223&amp;$F223,'Doc Há Pagar | Rodopar 1015'!$B:$B,Z$1)</f>
        <v>0</v>
      </c>
      <c r="AA223" s="20">
        <f>SUMIFS('Doc''s Pagos | Rodopar 108'!$J:$J,'Doc''s Pagos | Rodopar 108'!$A:$A,$B223&amp;$E223&amp;$F223&amp;$J223,'Doc''s Pagos | Rodopar 108'!$B:$B,AA$1)+SUMIFS('Doc Há Pagar | Rodopar 1015'!$J:$J,'Doc Há Pagar | Rodopar 1015'!$A:$A,$B223&amp;$E223&amp;$F223,'Doc Há Pagar | Rodopar 1015'!$B:$B,AA$1)</f>
        <v>0</v>
      </c>
      <c r="AB223" s="20">
        <f>SUMIFS('Doc''s Pagos | Rodopar 108'!$J:$J,'Doc''s Pagos | Rodopar 108'!$A:$A,$B223&amp;$E223&amp;$F223&amp;$J223,'Doc''s Pagos | Rodopar 108'!$B:$B,AB$1)+SUMIFS('Doc Há Pagar | Rodopar 1015'!$J:$J,'Doc Há Pagar | Rodopar 1015'!$A:$A,$B223&amp;$E223&amp;$F223,'Doc Há Pagar | Rodopar 1015'!$B:$B,AB$1)</f>
        <v>0</v>
      </c>
      <c r="AC223" s="20">
        <f>SUMIFS('Doc''s Pagos | Rodopar 108'!$J:$J,'Doc''s Pagos | Rodopar 108'!$A:$A,$B223&amp;$E223&amp;$F223&amp;$J223,'Doc''s Pagos | Rodopar 108'!$B:$B,AC$1)+SUMIFS('Doc Há Pagar | Rodopar 1015'!$J:$J,'Doc Há Pagar | Rodopar 1015'!$A:$A,$B223&amp;$E223&amp;$F223,'Doc Há Pagar | Rodopar 1015'!$B:$B,AC$1)</f>
        <v>0</v>
      </c>
      <c r="AD223" s="20">
        <f>SUMIFS('Doc''s Pagos | Rodopar 108'!$J:$J,'Doc''s Pagos | Rodopar 108'!$A:$A,$B223&amp;$E223&amp;$F223&amp;$J223,'Doc''s Pagos | Rodopar 108'!$B:$B,AD$1)+SUMIFS('Doc Há Pagar | Rodopar 1015'!$J:$J,'Doc Há Pagar | Rodopar 1015'!$A:$A,$B223&amp;$E223&amp;$F223,'Doc Há Pagar | Rodopar 1015'!$B:$B,AD$1)</f>
        <v>0</v>
      </c>
    </row>
    <row r="224" spans="1:30" x14ac:dyDescent="0.25">
      <c r="A224" s="1" t="str">
        <f>VLOOKUP($E224,Fornecedores!$A:$C,3,0)</f>
        <v>Frota</v>
      </c>
      <c r="B224" s="14">
        <v>1531</v>
      </c>
      <c r="C224" s="14" t="str">
        <f>IFERROR(VLOOKUP($E224,Fornecedores!$A:$E,4,0),"")</f>
        <v>MTSR</v>
      </c>
      <c r="D224" s="14" t="str">
        <f>IFERROR(VLOOKUP($E224,Fornecedores!$A:$E,5,0),"")</f>
        <v>Tecnologia</v>
      </c>
      <c r="E224" s="8" t="s">
        <v>24</v>
      </c>
      <c r="F224" s="14" t="s">
        <v>232</v>
      </c>
      <c r="G224" s="8" t="s">
        <v>238</v>
      </c>
      <c r="H224" s="9">
        <v>87</v>
      </c>
      <c r="I224" s="21">
        <v>59176.89</v>
      </c>
      <c r="J224" s="11">
        <v>46178</v>
      </c>
      <c r="K224" s="11">
        <v>46182</v>
      </c>
      <c r="L224" s="8" t="s">
        <v>239</v>
      </c>
      <c r="M224" s="14" t="s">
        <v>240</v>
      </c>
      <c r="N224" s="16">
        <v>2556</v>
      </c>
      <c r="O224" s="14" t="s">
        <v>241</v>
      </c>
      <c r="P224" s="14"/>
      <c r="Q224" s="20">
        <f t="shared" si="3"/>
        <v>0</v>
      </c>
      <c r="S224" s="20">
        <f>SUMIFS('Doc''s Pagos | Rodopar 108'!$J:$J,'Doc''s Pagos | Rodopar 108'!$A:$A,$B224&amp;$E224&amp;$F224&amp;$J224,'Doc''s Pagos | Rodopar 108'!$B:$B,S$1)+SUMIFS('Doc Há Pagar | Rodopar 1015'!$J:$J,'Doc Há Pagar | Rodopar 1015'!$A:$A,$B224&amp;$E224&amp;$F224,'Doc Há Pagar | Rodopar 1015'!$B:$B,S$1)</f>
        <v>0</v>
      </c>
      <c r="T224" s="20">
        <f>SUMIFS('Doc''s Pagos | Rodopar 108'!$J:$J,'Doc''s Pagos | Rodopar 108'!$A:$A,$B224&amp;$E224&amp;$F224&amp;$J224,'Doc''s Pagos | Rodopar 108'!$B:$B,T$1)+SUMIFS('Doc Há Pagar | Rodopar 1015'!$J:$J,'Doc Há Pagar | Rodopar 1015'!$A:$A,$B224&amp;$E224&amp;$F224,'Doc Há Pagar | Rodopar 1015'!$B:$B,T$1)</f>
        <v>0</v>
      </c>
      <c r="U224" s="20">
        <f>SUMIFS('Doc''s Pagos | Rodopar 108'!$J:$J,'Doc''s Pagos | Rodopar 108'!$A:$A,$B224&amp;$E224&amp;$F224&amp;$J224,'Doc''s Pagos | Rodopar 108'!$B:$B,U$1)+SUMIFS('Doc Há Pagar | Rodopar 1015'!$J:$J,'Doc Há Pagar | Rodopar 1015'!$A:$A,$B224&amp;$E224&amp;$F224,'Doc Há Pagar | Rodopar 1015'!$B:$B,U$1)</f>
        <v>0</v>
      </c>
      <c r="V224" s="20">
        <f>SUMIFS('Doc''s Pagos | Rodopar 108'!$J:$J,'Doc''s Pagos | Rodopar 108'!$A:$A,$B224&amp;$E224&amp;$F224&amp;$J224,'Doc''s Pagos | Rodopar 108'!$B:$B,V$1)+SUMIFS('Doc Há Pagar | Rodopar 1015'!$J:$J,'Doc Há Pagar | Rodopar 1015'!$A:$A,$B224&amp;$E224&amp;$F224,'Doc Há Pagar | Rodopar 1015'!$B:$B,V$1)</f>
        <v>0</v>
      </c>
      <c r="W224" s="20">
        <f>SUMIFS('Doc''s Pagos | Rodopar 108'!$J:$J,'Doc''s Pagos | Rodopar 108'!$A:$A,$B224&amp;$E224&amp;$F224&amp;$J224,'Doc''s Pagos | Rodopar 108'!$B:$B,W$1)+SUMIFS('Doc Há Pagar | Rodopar 1015'!$J:$J,'Doc Há Pagar | Rodopar 1015'!$A:$A,$B224&amp;$E224&amp;$F224,'Doc Há Pagar | Rodopar 1015'!$B:$B,W$1)</f>
        <v>0</v>
      </c>
      <c r="X224" s="20">
        <f>SUMIFS('Doc''s Pagos | Rodopar 108'!$J:$J,'Doc''s Pagos | Rodopar 108'!$A:$A,$B224&amp;$E224&amp;$F224&amp;$J224,'Doc''s Pagos | Rodopar 108'!$B:$B,X$1)+SUMIFS('Doc Há Pagar | Rodopar 1015'!$J:$J,'Doc Há Pagar | Rodopar 1015'!$A:$A,$B224&amp;$E224&amp;$F224,'Doc Há Pagar | Rodopar 1015'!$B:$B,X$1)</f>
        <v>0</v>
      </c>
      <c r="Y224" s="20">
        <f>SUMIFS('Doc''s Pagos | Rodopar 108'!$J:$J,'Doc''s Pagos | Rodopar 108'!$A:$A,$B224&amp;$E224&amp;$F224&amp;$J224,'Doc''s Pagos | Rodopar 108'!$B:$B,Y$1)+SUMIFS('Doc Há Pagar | Rodopar 1015'!$J:$J,'Doc Há Pagar | Rodopar 1015'!$A:$A,$B224&amp;$E224&amp;$F224,'Doc Há Pagar | Rodopar 1015'!$B:$B,Y$1)</f>
        <v>59176.89</v>
      </c>
      <c r="Z224" s="20">
        <f>SUMIFS('Doc''s Pagos | Rodopar 108'!$J:$J,'Doc''s Pagos | Rodopar 108'!$A:$A,$B224&amp;$E224&amp;$F224&amp;$J224,'Doc''s Pagos | Rodopar 108'!$B:$B,Z$1)+SUMIFS('Doc Há Pagar | Rodopar 1015'!$J:$J,'Doc Há Pagar | Rodopar 1015'!$A:$A,$B224&amp;$E224&amp;$F224,'Doc Há Pagar | Rodopar 1015'!$B:$B,Z$1)</f>
        <v>0</v>
      </c>
      <c r="AA224" s="20">
        <f>SUMIFS('Doc''s Pagos | Rodopar 108'!$J:$J,'Doc''s Pagos | Rodopar 108'!$A:$A,$B224&amp;$E224&amp;$F224&amp;$J224,'Doc''s Pagos | Rodopar 108'!$B:$B,AA$1)+SUMIFS('Doc Há Pagar | Rodopar 1015'!$J:$J,'Doc Há Pagar | Rodopar 1015'!$A:$A,$B224&amp;$E224&amp;$F224,'Doc Há Pagar | Rodopar 1015'!$B:$B,AA$1)</f>
        <v>0</v>
      </c>
      <c r="AB224" s="20">
        <f>SUMIFS('Doc''s Pagos | Rodopar 108'!$J:$J,'Doc''s Pagos | Rodopar 108'!$A:$A,$B224&amp;$E224&amp;$F224&amp;$J224,'Doc''s Pagos | Rodopar 108'!$B:$B,AB$1)+SUMIFS('Doc Há Pagar | Rodopar 1015'!$J:$J,'Doc Há Pagar | Rodopar 1015'!$A:$A,$B224&amp;$E224&amp;$F224,'Doc Há Pagar | Rodopar 1015'!$B:$B,AB$1)</f>
        <v>0</v>
      </c>
      <c r="AC224" s="20">
        <f>SUMIFS('Doc''s Pagos | Rodopar 108'!$J:$J,'Doc''s Pagos | Rodopar 108'!$A:$A,$B224&amp;$E224&amp;$F224&amp;$J224,'Doc''s Pagos | Rodopar 108'!$B:$B,AC$1)+SUMIFS('Doc Há Pagar | Rodopar 1015'!$J:$J,'Doc Há Pagar | Rodopar 1015'!$A:$A,$B224&amp;$E224&amp;$F224,'Doc Há Pagar | Rodopar 1015'!$B:$B,AC$1)</f>
        <v>0</v>
      </c>
      <c r="AD224" s="20">
        <f>SUMIFS('Doc''s Pagos | Rodopar 108'!$J:$J,'Doc''s Pagos | Rodopar 108'!$A:$A,$B224&amp;$E224&amp;$F224&amp;$J224,'Doc''s Pagos | Rodopar 108'!$B:$B,AD$1)+SUMIFS('Doc Há Pagar | Rodopar 1015'!$J:$J,'Doc Há Pagar | Rodopar 1015'!$A:$A,$B224&amp;$E224&amp;$F224,'Doc Há Pagar | Rodopar 1015'!$B:$B,AD$1)</f>
        <v>0</v>
      </c>
    </row>
    <row r="225" spans="1:30" x14ac:dyDescent="0.25">
      <c r="A225" s="1" t="str">
        <f>VLOOKUP($E225,Fornecedores!$A:$C,3,0)</f>
        <v>Frota</v>
      </c>
      <c r="B225" s="14">
        <v>1019</v>
      </c>
      <c r="C225" s="14" t="str">
        <f>IFERROR(VLOOKUP($E225,Fornecedores!$A:$E,4,0),"")</f>
        <v>MTSR</v>
      </c>
      <c r="D225" s="14" t="str">
        <f>IFERROR(VLOOKUP($E225,Fornecedores!$A:$E,5,0),"")</f>
        <v>Tecnologia</v>
      </c>
      <c r="E225" s="8" t="s">
        <v>24</v>
      </c>
      <c r="F225" s="14" t="s">
        <v>665</v>
      </c>
      <c r="G225" s="8" t="s">
        <v>238</v>
      </c>
      <c r="H225" s="9">
        <v>87</v>
      </c>
      <c r="I225" s="21">
        <v>11929.32</v>
      </c>
      <c r="J225" s="11">
        <v>46178</v>
      </c>
      <c r="K225" s="11">
        <v>46182</v>
      </c>
      <c r="L225" s="8" t="s">
        <v>239</v>
      </c>
      <c r="M225" s="14" t="s">
        <v>240</v>
      </c>
      <c r="N225" s="16">
        <v>2556</v>
      </c>
      <c r="O225" s="14" t="s">
        <v>241</v>
      </c>
      <c r="P225" s="14"/>
      <c r="Q225" s="20">
        <f t="shared" si="3"/>
        <v>0</v>
      </c>
      <c r="S225" s="20">
        <f>SUMIFS('Doc''s Pagos | Rodopar 108'!$J:$J,'Doc''s Pagos | Rodopar 108'!$A:$A,$B225&amp;$E225&amp;$F225&amp;$J225,'Doc''s Pagos | Rodopar 108'!$B:$B,S$1)+SUMIFS('Doc Há Pagar | Rodopar 1015'!$J:$J,'Doc Há Pagar | Rodopar 1015'!$A:$A,$B225&amp;$E225&amp;$F225,'Doc Há Pagar | Rodopar 1015'!$B:$B,S$1)</f>
        <v>0</v>
      </c>
      <c r="T225" s="20">
        <f>SUMIFS('Doc''s Pagos | Rodopar 108'!$J:$J,'Doc''s Pagos | Rodopar 108'!$A:$A,$B225&amp;$E225&amp;$F225&amp;$J225,'Doc''s Pagos | Rodopar 108'!$B:$B,T$1)+SUMIFS('Doc Há Pagar | Rodopar 1015'!$J:$J,'Doc Há Pagar | Rodopar 1015'!$A:$A,$B225&amp;$E225&amp;$F225,'Doc Há Pagar | Rodopar 1015'!$B:$B,T$1)</f>
        <v>0</v>
      </c>
      <c r="U225" s="20">
        <f>SUMIFS('Doc''s Pagos | Rodopar 108'!$J:$J,'Doc''s Pagos | Rodopar 108'!$A:$A,$B225&amp;$E225&amp;$F225&amp;$J225,'Doc''s Pagos | Rodopar 108'!$B:$B,U$1)+SUMIFS('Doc Há Pagar | Rodopar 1015'!$J:$J,'Doc Há Pagar | Rodopar 1015'!$A:$A,$B225&amp;$E225&amp;$F225,'Doc Há Pagar | Rodopar 1015'!$B:$B,U$1)</f>
        <v>0</v>
      </c>
      <c r="V225" s="20">
        <f>SUMIFS('Doc''s Pagos | Rodopar 108'!$J:$J,'Doc''s Pagos | Rodopar 108'!$A:$A,$B225&amp;$E225&amp;$F225&amp;$J225,'Doc''s Pagos | Rodopar 108'!$B:$B,V$1)+SUMIFS('Doc Há Pagar | Rodopar 1015'!$J:$J,'Doc Há Pagar | Rodopar 1015'!$A:$A,$B225&amp;$E225&amp;$F225,'Doc Há Pagar | Rodopar 1015'!$B:$B,V$1)</f>
        <v>0</v>
      </c>
      <c r="W225" s="20">
        <f>SUMIFS('Doc''s Pagos | Rodopar 108'!$J:$J,'Doc''s Pagos | Rodopar 108'!$A:$A,$B225&amp;$E225&amp;$F225&amp;$J225,'Doc''s Pagos | Rodopar 108'!$B:$B,W$1)+SUMIFS('Doc Há Pagar | Rodopar 1015'!$J:$J,'Doc Há Pagar | Rodopar 1015'!$A:$A,$B225&amp;$E225&amp;$F225,'Doc Há Pagar | Rodopar 1015'!$B:$B,W$1)</f>
        <v>0</v>
      </c>
      <c r="X225" s="20">
        <f>SUMIFS('Doc''s Pagos | Rodopar 108'!$J:$J,'Doc''s Pagos | Rodopar 108'!$A:$A,$B225&amp;$E225&amp;$F225&amp;$J225,'Doc''s Pagos | Rodopar 108'!$B:$B,X$1)+SUMIFS('Doc Há Pagar | Rodopar 1015'!$J:$J,'Doc Há Pagar | Rodopar 1015'!$A:$A,$B225&amp;$E225&amp;$F225,'Doc Há Pagar | Rodopar 1015'!$B:$B,X$1)</f>
        <v>0</v>
      </c>
      <c r="Y225" s="20">
        <f>SUMIFS('Doc''s Pagos | Rodopar 108'!$J:$J,'Doc''s Pagos | Rodopar 108'!$A:$A,$B225&amp;$E225&amp;$F225&amp;$J225,'Doc''s Pagos | Rodopar 108'!$B:$B,Y$1)+SUMIFS('Doc Há Pagar | Rodopar 1015'!$J:$J,'Doc Há Pagar | Rodopar 1015'!$A:$A,$B225&amp;$E225&amp;$F225,'Doc Há Pagar | Rodopar 1015'!$B:$B,Y$1)</f>
        <v>11929.32</v>
      </c>
      <c r="Z225" s="20">
        <f>SUMIFS('Doc''s Pagos | Rodopar 108'!$J:$J,'Doc''s Pagos | Rodopar 108'!$A:$A,$B225&amp;$E225&amp;$F225&amp;$J225,'Doc''s Pagos | Rodopar 108'!$B:$B,Z$1)+SUMIFS('Doc Há Pagar | Rodopar 1015'!$J:$J,'Doc Há Pagar | Rodopar 1015'!$A:$A,$B225&amp;$E225&amp;$F225,'Doc Há Pagar | Rodopar 1015'!$B:$B,Z$1)</f>
        <v>0</v>
      </c>
      <c r="AA225" s="20">
        <f>SUMIFS('Doc''s Pagos | Rodopar 108'!$J:$J,'Doc''s Pagos | Rodopar 108'!$A:$A,$B225&amp;$E225&amp;$F225&amp;$J225,'Doc''s Pagos | Rodopar 108'!$B:$B,AA$1)+SUMIFS('Doc Há Pagar | Rodopar 1015'!$J:$J,'Doc Há Pagar | Rodopar 1015'!$A:$A,$B225&amp;$E225&amp;$F225,'Doc Há Pagar | Rodopar 1015'!$B:$B,AA$1)</f>
        <v>0</v>
      </c>
      <c r="AB225" s="20">
        <f>SUMIFS('Doc''s Pagos | Rodopar 108'!$J:$J,'Doc''s Pagos | Rodopar 108'!$A:$A,$B225&amp;$E225&amp;$F225&amp;$J225,'Doc''s Pagos | Rodopar 108'!$B:$B,AB$1)+SUMIFS('Doc Há Pagar | Rodopar 1015'!$J:$J,'Doc Há Pagar | Rodopar 1015'!$A:$A,$B225&amp;$E225&amp;$F225,'Doc Há Pagar | Rodopar 1015'!$B:$B,AB$1)</f>
        <v>0</v>
      </c>
      <c r="AC225" s="20">
        <f>SUMIFS('Doc''s Pagos | Rodopar 108'!$J:$J,'Doc''s Pagos | Rodopar 108'!$A:$A,$B225&amp;$E225&amp;$F225&amp;$J225,'Doc''s Pagos | Rodopar 108'!$B:$B,AC$1)+SUMIFS('Doc Há Pagar | Rodopar 1015'!$J:$J,'Doc Há Pagar | Rodopar 1015'!$A:$A,$B225&amp;$E225&amp;$F225,'Doc Há Pagar | Rodopar 1015'!$B:$B,AC$1)</f>
        <v>0</v>
      </c>
      <c r="AD225" s="20">
        <f>SUMIFS('Doc''s Pagos | Rodopar 108'!$J:$J,'Doc''s Pagos | Rodopar 108'!$A:$A,$B225&amp;$E225&amp;$F225&amp;$J225,'Doc''s Pagos | Rodopar 108'!$B:$B,AD$1)+SUMIFS('Doc Há Pagar | Rodopar 1015'!$J:$J,'Doc Há Pagar | Rodopar 1015'!$A:$A,$B225&amp;$E225&amp;$F225,'Doc Há Pagar | Rodopar 1015'!$B:$B,AD$1)</f>
        <v>0</v>
      </c>
    </row>
    <row r="226" spans="1:30" x14ac:dyDescent="0.25">
      <c r="A226" s="1" t="str">
        <f>VLOOKUP($E226,Fornecedores!$A:$C,3,0)</f>
        <v>Frota</v>
      </c>
      <c r="B226" s="14">
        <v>792</v>
      </c>
      <c r="C226" s="14" t="str">
        <f>IFERROR(VLOOKUP($E226,Fornecedores!$A:$E,4,0),"")</f>
        <v>Pneus</v>
      </c>
      <c r="D226" s="14" t="str">
        <f>IFERROR(VLOOKUP($E226,Fornecedores!$A:$E,5,0),"")</f>
        <v>Serviços Gerais</v>
      </c>
      <c r="E226" s="8" t="s">
        <v>164</v>
      </c>
      <c r="F226" s="14" t="s">
        <v>665</v>
      </c>
      <c r="G226" s="8" t="s">
        <v>465</v>
      </c>
      <c r="H226" s="9">
        <v>87</v>
      </c>
      <c r="I226" s="21">
        <v>1281</v>
      </c>
      <c r="J226" s="11">
        <v>46178</v>
      </c>
      <c r="K226" s="11">
        <v>46188</v>
      </c>
      <c r="L226" s="8" t="s">
        <v>282</v>
      </c>
      <c r="M226" s="14" t="s">
        <v>234</v>
      </c>
      <c r="N226" s="16">
        <v>1556</v>
      </c>
      <c r="O226" s="14" t="s">
        <v>241</v>
      </c>
      <c r="P226" s="14"/>
      <c r="Q226" s="20">
        <f t="shared" si="3"/>
        <v>0</v>
      </c>
      <c r="S226" s="20">
        <f>SUMIFS('Doc''s Pagos | Rodopar 108'!$J:$J,'Doc''s Pagos | Rodopar 108'!$A:$A,$B226&amp;$E226&amp;$F226&amp;$J226,'Doc''s Pagos | Rodopar 108'!$B:$B,S$1)+SUMIFS('Doc Há Pagar | Rodopar 1015'!$J:$J,'Doc Há Pagar | Rodopar 1015'!$A:$A,$B226&amp;$E226&amp;$F226,'Doc Há Pagar | Rodopar 1015'!$B:$B,S$1)</f>
        <v>0</v>
      </c>
      <c r="T226" s="20">
        <f>SUMIFS('Doc''s Pagos | Rodopar 108'!$J:$J,'Doc''s Pagos | Rodopar 108'!$A:$A,$B226&amp;$E226&amp;$F226&amp;$J226,'Doc''s Pagos | Rodopar 108'!$B:$B,T$1)+SUMIFS('Doc Há Pagar | Rodopar 1015'!$J:$J,'Doc Há Pagar | Rodopar 1015'!$A:$A,$B226&amp;$E226&amp;$F226,'Doc Há Pagar | Rodopar 1015'!$B:$B,T$1)</f>
        <v>0</v>
      </c>
      <c r="U226" s="20">
        <f>SUMIFS('Doc''s Pagos | Rodopar 108'!$J:$J,'Doc''s Pagos | Rodopar 108'!$A:$A,$B226&amp;$E226&amp;$F226&amp;$J226,'Doc''s Pagos | Rodopar 108'!$B:$B,U$1)+SUMIFS('Doc Há Pagar | Rodopar 1015'!$J:$J,'Doc Há Pagar | Rodopar 1015'!$A:$A,$B226&amp;$E226&amp;$F226,'Doc Há Pagar | Rodopar 1015'!$B:$B,U$1)</f>
        <v>0</v>
      </c>
      <c r="V226" s="20">
        <f>SUMIFS('Doc''s Pagos | Rodopar 108'!$J:$J,'Doc''s Pagos | Rodopar 108'!$A:$A,$B226&amp;$E226&amp;$F226&amp;$J226,'Doc''s Pagos | Rodopar 108'!$B:$B,V$1)+SUMIFS('Doc Há Pagar | Rodopar 1015'!$J:$J,'Doc Há Pagar | Rodopar 1015'!$A:$A,$B226&amp;$E226&amp;$F226,'Doc Há Pagar | Rodopar 1015'!$B:$B,V$1)</f>
        <v>0</v>
      </c>
      <c r="W226" s="20">
        <f>SUMIFS('Doc''s Pagos | Rodopar 108'!$J:$J,'Doc''s Pagos | Rodopar 108'!$A:$A,$B226&amp;$E226&amp;$F226&amp;$J226,'Doc''s Pagos | Rodopar 108'!$B:$B,W$1)+SUMIFS('Doc Há Pagar | Rodopar 1015'!$J:$J,'Doc Há Pagar | Rodopar 1015'!$A:$A,$B226&amp;$E226&amp;$F226,'Doc Há Pagar | Rodopar 1015'!$B:$B,W$1)</f>
        <v>0</v>
      </c>
      <c r="X226" s="20">
        <f>SUMIFS('Doc''s Pagos | Rodopar 108'!$J:$J,'Doc''s Pagos | Rodopar 108'!$A:$A,$B226&amp;$E226&amp;$F226&amp;$J226,'Doc''s Pagos | Rodopar 108'!$B:$B,X$1)+SUMIFS('Doc Há Pagar | Rodopar 1015'!$J:$J,'Doc Há Pagar | Rodopar 1015'!$A:$A,$B226&amp;$E226&amp;$F226,'Doc Há Pagar | Rodopar 1015'!$B:$B,X$1)</f>
        <v>0</v>
      </c>
      <c r="Y226" s="20">
        <f>SUMIFS('Doc''s Pagos | Rodopar 108'!$J:$J,'Doc''s Pagos | Rodopar 108'!$A:$A,$B226&amp;$E226&amp;$F226&amp;$J226,'Doc''s Pagos | Rodopar 108'!$B:$B,Y$1)+SUMIFS('Doc Há Pagar | Rodopar 1015'!$J:$J,'Doc Há Pagar | Rodopar 1015'!$A:$A,$B226&amp;$E226&amp;$F226,'Doc Há Pagar | Rodopar 1015'!$B:$B,Y$1)</f>
        <v>1281</v>
      </c>
      <c r="Z226" s="20">
        <f>SUMIFS('Doc''s Pagos | Rodopar 108'!$J:$J,'Doc''s Pagos | Rodopar 108'!$A:$A,$B226&amp;$E226&amp;$F226&amp;$J226,'Doc''s Pagos | Rodopar 108'!$B:$B,Z$1)+SUMIFS('Doc Há Pagar | Rodopar 1015'!$J:$J,'Doc Há Pagar | Rodopar 1015'!$A:$A,$B226&amp;$E226&amp;$F226,'Doc Há Pagar | Rodopar 1015'!$B:$B,Z$1)</f>
        <v>0</v>
      </c>
      <c r="AA226" s="20">
        <f>SUMIFS('Doc''s Pagos | Rodopar 108'!$J:$J,'Doc''s Pagos | Rodopar 108'!$A:$A,$B226&amp;$E226&amp;$F226&amp;$J226,'Doc''s Pagos | Rodopar 108'!$B:$B,AA$1)+SUMIFS('Doc Há Pagar | Rodopar 1015'!$J:$J,'Doc Há Pagar | Rodopar 1015'!$A:$A,$B226&amp;$E226&amp;$F226,'Doc Há Pagar | Rodopar 1015'!$B:$B,AA$1)</f>
        <v>0</v>
      </c>
      <c r="AB226" s="20">
        <f>SUMIFS('Doc''s Pagos | Rodopar 108'!$J:$J,'Doc''s Pagos | Rodopar 108'!$A:$A,$B226&amp;$E226&amp;$F226&amp;$J226,'Doc''s Pagos | Rodopar 108'!$B:$B,AB$1)+SUMIFS('Doc Há Pagar | Rodopar 1015'!$J:$J,'Doc Há Pagar | Rodopar 1015'!$A:$A,$B226&amp;$E226&amp;$F226,'Doc Há Pagar | Rodopar 1015'!$B:$B,AB$1)</f>
        <v>0</v>
      </c>
      <c r="AC226" s="20">
        <f>SUMIFS('Doc''s Pagos | Rodopar 108'!$J:$J,'Doc''s Pagos | Rodopar 108'!$A:$A,$B226&amp;$E226&amp;$F226&amp;$J226,'Doc''s Pagos | Rodopar 108'!$B:$B,AC$1)+SUMIFS('Doc Há Pagar | Rodopar 1015'!$J:$J,'Doc Há Pagar | Rodopar 1015'!$A:$A,$B226&amp;$E226&amp;$F226,'Doc Há Pagar | Rodopar 1015'!$B:$B,AC$1)</f>
        <v>0</v>
      </c>
      <c r="AD226" s="20">
        <f>SUMIFS('Doc''s Pagos | Rodopar 108'!$J:$J,'Doc''s Pagos | Rodopar 108'!$A:$A,$B226&amp;$E226&amp;$F226&amp;$J226,'Doc''s Pagos | Rodopar 108'!$B:$B,AD$1)+SUMIFS('Doc Há Pagar | Rodopar 1015'!$J:$J,'Doc Há Pagar | Rodopar 1015'!$A:$A,$B226&amp;$E226&amp;$F226,'Doc Há Pagar | Rodopar 1015'!$B:$B,AD$1)</f>
        <v>0</v>
      </c>
    </row>
    <row r="227" spans="1:30" x14ac:dyDescent="0.25">
      <c r="A227" s="1" t="str">
        <f>VLOOKUP($E227,Fornecedores!$A:$C,3,0)</f>
        <v>Frota</v>
      </c>
      <c r="B227" s="14">
        <v>132</v>
      </c>
      <c r="C227" s="14" t="str">
        <f>IFERROR(VLOOKUP($E227,Fornecedores!$A:$E,4,0),"")</f>
        <v>Manutenção</v>
      </c>
      <c r="D227" s="14" t="str">
        <f>IFERROR(VLOOKUP($E227,Fornecedores!$A:$E,5,0),"")</f>
        <v>Frota Leve OPE</v>
      </c>
      <c r="E227" s="8" t="s">
        <v>143</v>
      </c>
      <c r="F227" s="14" t="s">
        <v>614</v>
      </c>
      <c r="G227" s="8" t="s">
        <v>412</v>
      </c>
      <c r="H227" s="9">
        <v>87</v>
      </c>
      <c r="I227" s="21">
        <v>220</v>
      </c>
      <c r="J227" s="11">
        <v>46181</v>
      </c>
      <c r="K227" s="11">
        <v>46183</v>
      </c>
      <c r="L227" s="8" t="s">
        <v>282</v>
      </c>
      <c r="M227" s="14" t="s">
        <v>234</v>
      </c>
      <c r="N227" s="16">
        <v>1556</v>
      </c>
      <c r="O227" s="14" t="s">
        <v>250</v>
      </c>
      <c r="P227" s="14"/>
      <c r="Q227" s="20">
        <f t="shared" si="3"/>
        <v>0</v>
      </c>
      <c r="S227" s="20">
        <f>SUMIFS('Doc''s Pagos | Rodopar 108'!$J:$J,'Doc''s Pagos | Rodopar 108'!$A:$A,$B227&amp;$E227&amp;$F227&amp;$J227,'Doc''s Pagos | Rodopar 108'!$B:$B,S$1)+SUMIFS('Doc Há Pagar | Rodopar 1015'!$J:$J,'Doc Há Pagar | Rodopar 1015'!$A:$A,$B227&amp;$E227&amp;$F227,'Doc Há Pagar | Rodopar 1015'!$B:$B,S$1)</f>
        <v>0</v>
      </c>
      <c r="T227" s="20">
        <f>SUMIFS('Doc''s Pagos | Rodopar 108'!$J:$J,'Doc''s Pagos | Rodopar 108'!$A:$A,$B227&amp;$E227&amp;$F227&amp;$J227,'Doc''s Pagos | Rodopar 108'!$B:$B,T$1)+SUMIFS('Doc Há Pagar | Rodopar 1015'!$J:$J,'Doc Há Pagar | Rodopar 1015'!$A:$A,$B227&amp;$E227&amp;$F227,'Doc Há Pagar | Rodopar 1015'!$B:$B,T$1)</f>
        <v>0</v>
      </c>
      <c r="U227" s="20">
        <f>SUMIFS('Doc''s Pagos | Rodopar 108'!$J:$J,'Doc''s Pagos | Rodopar 108'!$A:$A,$B227&amp;$E227&amp;$F227&amp;$J227,'Doc''s Pagos | Rodopar 108'!$B:$B,U$1)+SUMIFS('Doc Há Pagar | Rodopar 1015'!$J:$J,'Doc Há Pagar | Rodopar 1015'!$A:$A,$B227&amp;$E227&amp;$F227,'Doc Há Pagar | Rodopar 1015'!$B:$B,U$1)</f>
        <v>0</v>
      </c>
      <c r="V227" s="20">
        <f>SUMIFS('Doc''s Pagos | Rodopar 108'!$J:$J,'Doc''s Pagos | Rodopar 108'!$A:$A,$B227&amp;$E227&amp;$F227&amp;$J227,'Doc''s Pagos | Rodopar 108'!$B:$B,V$1)+SUMIFS('Doc Há Pagar | Rodopar 1015'!$J:$J,'Doc Há Pagar | Rodopar 1015'!$A:$A,$B227&amp;$E227&amp;$F227,'Doc Há Pagar | Rodopar 1015'!$B:$B,V$1)</f>
        <v>0</v>
      </c>
      <c r="W227" s="20">
        <f>SUMIFS('Doc''s Pagos | Rodopar 108'!$J:$J,'Doc''s Pagos | Rodopar 108'!$A:$A,$B227&amp;$E227&amp;$F227&amp;$J227,'Doc''s Pagos | Rodopar 108'!$B:$B,W$1)+SUMIFS('Doc Há Pagar | Rodopar 1015'!$J:$J,'Doc Há Pagar | Rodopar 1015'!$A:$A,$B227&amp;$E227&amp;$F227,'Doc Há Pagar | Rodopar 1015'!$B:$B,W$1)</f>
        <v>0</v>
      </c>
      <c r="X227" s="20">
        <f>SUMIFS('Doc''s Pagos | Rodopar 108'!$J:$J,'Doc''s Pagos | Rodopar 108'!$A:$A,$B227&amp;$E227&amp;$F227&amp;$J227,'Doc''s Pagos | Rodopar 108'!$B:$B,X$1)+SUMIFS('Doc Há Pagar | Rodopar 1015'!$J:$J,'Doc Há Pagar | Rodopar 1015'!$A:$A,$B227&amp;$E227&amp;$F227,'Doc Há Pagar | Rodopar 1015'!$B:$B,X$1)</f>
        <v>0</v>
      </c>
      <c r="Y227" s="20">
        <f>SUMIFS('Doc''s Pagos | Rodopar 108'!$J:$J,'Doc''s Pagos | Rodopar 108'!$A:$A,$B227&amp;$E227&amp;$F227&amp;$J227,'Doc''s Pagos | Rodopar 108'!$B:$B,Y$1)+SUMIFS('Doc Há Pagar | Rodopar 1015'!$J:$J,'Doc Há Pagar | Rodopar 1015'!$A:$A,$B227&amp;$E227&amp;$F227,'Doc Há Pagar | Rodopar 1015'!$B:$B,Y$1)</f>
        <v>220</v>
      </c>
      <c r="Z227" s="20">
        <f>SUMIFS('Doc''s Pagos | Rodopar 108'!$J:$J,'Doc''s Pagos | Rodopar 108'!$A:$A,$B227&amp;$E227&amp;$F227&amp;$J227,'Doc''s Pagos | Rodopar 108'!$B:$B,Z$1)+SUMIFS('Doc Há Pagar | Rodopar 1015'!$J:$J,'Doc Há Pagar | Rodopar 1015'!$A:$A,$B227&amp;$E227&amp;$F227,'Doc Há Pagar | Rodopar 1015'!$B:$B,Z$1)</f>
        <v>0</v>
      </c>
      <c r="AA227" s="20">
        <f>SUMIFS('Doc''s Pagos | Rodopar 108'!$J:$J,'Doc''s Pagos | Rodopar 108'!$A:$A,$B227&amp;$E227&amp;$F227&amp;$J227,'Doc''s Pagos | Rodopar 108'!$B:$B,AA$1)+SUMIFS('Doc Há Pagar | Rodopar 1015'!$J:$J,'Doc Há Pagar | Rodopar 1015'!$A:$A,$B227&amp;$E227&amp;$F227,'Doc Há Pagar | Rodopar 1015'!$B:$B,AA$1)</f>
        <v>0</v>
      </c>
      <c r="AB227" s="20">
        <f>SUMIFS('Doc''s Pagos | Rodopar 108'!$J:$J,'Doc''s Pagos | Rodopar 108'!$A:$A,$B227&amp;$E227&amp;$F227&amp;$J227,'Doc''s Pagos | Rodopar 108'!$B:$B,AB$1)+SUMIFS('Doc Há Pagar | Rodopar 1015'!$J:$J,'Doc Há Pagar | Rodopar 1015'!$A:$A,$B227&amp;$E227&amp;$F227,'Doc Há Pagar | Rodopar 1015'!$B:$B,AB$1)</f>
        <v>0</v>
      </c>
      <c r="AC227" s="20">
        <f>SUMIFS('Doc''s Pagos | Rodopar 108'!$J:$J,'Doc''s Pagos | Rodopar 108'!$A:$A,$B227&amp;$E227&amp;$F227&amp;$J227,'Doc''s Pagos | Rodopar 108'!$B:$B,AC$1)+SUMIFS('Doc Há Pagar | Rodopar 1015'!$J:$J,'Doc Há Pagar | Rodopar 1015'!$A:$A,$B227&amp;$E227&amp;$F227,'Doc Há Pagar | Rodopar 1015'!$B:$B,AC$1)</f>
        <v>0</v>
      </c>
      <c r="AD227" s="20">
        <f>SUMIFS('Doc''s Pagos | Rodopar 108'!$J:$J,'Doc''s Pagos | Rodopar 108'!$A:$A,$B227&amp;$E227&amp;$F227&amp;$J227,'Doc''s Pagos | Rodopar 108'!$B:$B,AD$1)+SUMIFS('Doc Há Pagar | Rodopar 1015'!$J:$J,'Doc Há Pagar | Rodopar 1015'!$A:$A,$B227&amp;$E227&amp;$F227,'Doc Há Pagar | Rodopar 1015'!$B:$B,AD$1)</f>
        <v>0</v>
      </c>
    </row>
    <row r="228" spans="1:30" x14ac:dyDescent="0.25">
      <c r="A228" s="1" t="str">
        <f>VLOOKUP($E228,Fornecedores!$A:$C,3,0)</f>
        <v>Frota</v>
      </c>
      <c r="B228" s="14">
        <v>17</v>
      </c>
      <c r="C228" s="14" t="str">
        <f>IFERROR(VLOOKUP($E228,Fornecedores!$A:$E,4,0),"")</f>
        <v>Lavagem</v>
      </c>
      <c r="D228" s="14" t="str">
        <f>IFERROR(VLOOKUP($E228,Fornecedores!$A:$E,5,0),"")</f>
        <v>Lavagem</v>
      </c>
      <c r="E228" s="8" t="s">
        <v>85</v>
      </c>
      <c r="F228" s="14" t="s">
        <v>614</v>
      </c>
      <c r="G228" s="8" t="s">
        <v>633</v>
      </c>
      <c r="H228" s="9">
        <v>87</v>
      </c>
      <c r="I228" s="21">
        <v>7590</v>
      </c>
      <c r="J228" s="11">
        <v>46181</v>
      </c>
      <c r="K228" s="11">
        <v>46181</v>
      </c>
      <c r="L228" s="8" t="s">
        <v>282</v>
      </c>
      <c r="M228" s="14" t="s">
        <v>234</v>
      </c>
      <c r="N228" s="16">
        <v>1556</v>
      </c>
      <c r="O228" s="14" t="s">
        <v>250</v>
      </c>
      <c r="P228" s="14"/>
      <c r="Q228" s="20">
        <f t="shared" si="3"/>
        <v>0</v>
      </c>
      <c r="S228" s="20">
        <f>SUMIFS('Doc''s Pagos | Rodopar 108'!$J:$J,'Doc''s Pagos | Rodopar 108'!$A:$A,$B228&amp;$E228&amp;$F228&amp;$J228,'Doc''s Pagos | Rodopar 108'!$B:$B,S$1)+SUMIFS('Doc Há Pagar | Rodopar 1015'!$J:$J,'Doc Há Pagar | Rodopar 1015'!$A:$A,$B228&amp;$E228&amp;$F228,'Doc Há Pagar | Rodopar 1015'!$B:$B,S$1)</f>
        <v>0</v>
      </c>
      <c r="T228" s="20">
        <f>SUMIFS('Doc''s Pagos | Rodopar 108'!$J:$J,'Doc''s Pagos | Rodopar 108'!$A:$A,$B228&amp;$E228&amp;$F228&amp;$J228,'Doc''s Pagos | Rodopar 108'!$B:$B,T$1)+SUMIFS('Doc Há Pagar | Rodopar 1015'!$J:$J,'Doc Há Pagar | Rodopar 1015'!$A:$A,$B228&amp;$E228&amp;$F228,'Doc Há Pagar | Rodopar 1015'!$B:$B,T$1)</f>
        <v>0</v>
      </c>
      <c r="U228" s="20">
        <f>SUMIFS('Doc''s Pagos | Rodopar 108'!$J:$J,'Doc''s Pagos | Rodopar 108'!$A:$A,$B228&amp;$E228&amp;$F228&amp;$J228,'Doc''s Pagos | Rodopar 108'!$B:$B,U$1)+SUMIFS('Doc Há Pagar | Rodopar 1015'!$J:$J,'Doc Há Pagar | Rodopar 1015'!$A:$A,$B228&amp;$E228&amp;$F228,'Doc Há Pagar | Rodopar 1015'!$B:$B,U$1)</f>
        <v>0</v>
      </c>
      <c r="V228" s="20">
        <f>SUMIFS('Doc''s Pagos | Rodopar 108'!$J:$J,'Doc''s Pagos | Rodopar 108'!$A:$A,$B228&amp;$E228&amp;$F228&amp;$J228,'Doc''s Pagos | Rodopar 108'!$B:$B,V$1)+SUMIFS('Doc Há Pagar | Rodopar 1015'!$J:$J,'Doc Há Pagar | Rodopar 1015'!$A:$A,$B228&amp;$E228&amp;$F228,'Doc Há Pagar | Rodopar 1015'!$B:$B,V$1)</f>
        <v>0</v>
      </c>
      <c r="W228" s="20">
        <f>SUMIFS('Doc''s Pagos | Rodopar 108'!$J:$J,'Doc''s Pagos | Rodopar 108'!$A:$A,$B228&amp;$E228&amp;$F228&amp;$J228,'Doc''s Pagos | Rodopar 108'!$B:$B,W$1)+SUMIFS('Doc Há Pagar | Rodopar 1015'!$J:$J,'Doc Há Pagar | Rodopar 1015'!$A:$A,$B228&amp;$E228&amp;$F228,'Doc Há Pagar | Rodopar 1015'!$B:$B,W$1)</f>
        <v>0</v>
      </c>
      <c r="X228" s="20">
        <f>SUMIFS('Doc''s Pagos | Rodopar 108'!$J:$J,'Doc''s Pagos | Rodopar 108'!$A:$A,$B228&amp;$E228&amp;$F228&amp;$J228,'Doc''s Pagos | Rodopar 108'!$B:$B,X$1)+SUMIFS('Doc Há Pagar | Rodopar 1015'!$J:$J,'Doc Há Pagar | Rodopar 1015'!$A:$A,$B228&amp;$E228&amp;$F228,'Doc Há Pagar | Rodopar 1015'!$B:$B,X$1)</f>
        <v>0</v>
      </c>
      <c r="Y228" s="20">
        <f>SUMIFS('Doc''s Pagos | Rodopar 108'!$J:$J,'Doc''s Pagos | Rodopar 108'!$A:$A,$B228&amp;$E228&amp;$F228&amp;$J228,'Doc''s Pagos | Rodopar 108'!$B:$B,Y$1)+SUMIFS('Doc Há Pagar | Rodopar 1015'!$J:$J,'Doc Há Pagar | Rodopar 1015'!$A:$A,$B228&amp;$E228&amp;$F228,'Doc Há Pagar | Rodopar 1015'!$B:$B,Y$1)</f>
        <v>7590</v>
      </c>
      <c r="Z228" s="20">
        <f>SUMIFS('Doc''s Pagos | Rodopar 108'!$J:$J,'Doc''s Pagos | Rodopar 108'!$A:$A,$B228&amp;$E228&amp;$F228&amp;$J228,'Doc''s Pagos | Rodopar 108'!$B:$B,Z$1)+SUMIFS('Doc Há Pagar | Rodopar 1015'!$J:$J,'Doc Há Pagar | Rodopar 1015'!$A:$A,$B228&amp;$E228&amp;$F228,'Doc Há Pagar | Rodopar 1015'!$B:$B,Z$1)</f>
        <v>0</v>
      </c>
      <c r="AA228" s="20">
        <f>SUMIFS('Doc''s Pagos | Rodopar 108'!$J:$J,'Doc''s Pagos | Rodopar 108'!$A:$A,$B228&amp;$E228&amp;$F228&amp;$J228,'Doc''s Pagos | Rodopar 108'!$B:$B,AA$1)+SUMIFS('Doc Há Pagar | Rodopar 1015'!$J:$J,'Doc Há Pagar | Rodopar 1015'!$A:$A,$B228&amp;$E228&amp;$F228,'Doc Há Pagar | Rodopar 1015'!$B:$B,AA$1)</f>
        <v>0</v>
      </c>
      <c r="AB228" s="20">
        <f>SUMIFS('Doc''s Pagos | Rodopar 108'!$J:$J,'Doc''s Pagos | Rodopar 108'!$A:$A,$B228&amp;$E228&amp;$F228&amp;$J228,'Doc''s Pagos | Rodopar 108'!$B:$B,AB$1)+SUMIFS('Doc Há Pagar | Rodopar 1015'!$J:$J,'Doc Há Pagar | Rodopar 1015'!$A:$A,$B228&amp;$E228&amp;$F228,'Doc Há Pagar | Rodopar 1015'!$B:$B,AB$1)</f>
        <v>0</v>
      </c>
      <c r="AC228" s="20">
        <f>SUMIFS('Doc''s Pagos | Rodopar 108'!$J:$J,'Doc''s Pagos | Rodopar 108'!$A:$A,$B228&amp;$E228&amp;$F228&amp;$J228,'Doc''s Pagos | Rodopar 108'!$B:$B,AC$1)+SUMIFS('Doc Há Pagar | Rodopar 1015'!$J:$J,'Doc Há Pagar | Rodopar 1015'!$A:$A,$B228&amp;$E228&amp;$F228,'Doc Há Pagar | Rodopar 1015'!$B:$B,AC$1)</f>
        <v>0</v>
      </c>
      <c r="AD228" s="20">
        <f>SUMIFS('Doc''s Pagos | Rodopar 108'!$J:$J,'Doc''s Pagos | Rodopar 108'!$A:$A,$B228&amp;$E228&amp;$F228&amp;$J228,'Doc''s Pagos | Rodopar 108'!$B:$B,AD$1)+SUMIFS('Doc Há Pagar | Rodopar 1015'!$J:$J,'Doc Há Pagar | Rodopar 1015'!$A:$A,$B228&amp;$E228&amp;$F228,'Doc Há Pagar | Rodopar 1015'!$B:$B,AD$1)</f>
        <v>0</v>
      </c>
    </row>
    <row r="229" spans="1:30" x14ac:dyDescent="0.25">
      <c r="A229" s="1" t="str">
        <f>VLOOKUP($E229,Fornecedores!$A:$C,3,0)</f>
        <v>Frota</v>
      </c>
      <c r="B229" s="14">
        <v>114</v>
      </c>
      <c r="C229" s="14" t="str">
        <f>IFERROR(VLOOKUP($E229,Fornecedores!$A:$E,4,0),"")</f>
        <v>Manutenção</v>
      </c>
      <c r="D229" s="14" t="str">
        <f>IFERROR(VLOOKUP($E229,Fornecedores!$A:$E,5,0),"")</f>
        <v>Peças E Serviços</v>
      </c>
      <c r="E229" s="8" t="s">
        <v>204</v>
      </c>
      <c r="F229" s="14" t="s">
        <v>614</v>
      </c>
      <c r="G229" s="8" t="s">
        <v>396</v>
      </c>
      <c r="H229" s="9">
        <v>87</v>
      </c>
      <c r="I229" s="21">
        <v>120</v>
      </c>
      <c r="J229" s="11">
        <v>46182</v>
      </c>
      <c r="K229" s="11">
        <v>46184</v>
      </c>
      <c r="L229" s="8" t="s">
        <v>282</v>
      </c>
      <c r="M229" s="14" t="s">
        <v>234</v>
      </c>
      <c r="N229" s="16">
        <v>1556</v>
      </c>
      <c r="O229" s="14" t="s">
        <v>250</v>
      </c>
      <c r="P229" s="14"/>
      <c r="Q229" s="20">
        <f t="shared" si="3"/>
        <v>0</v>
      </c>
      <c r="S229" s="20">
        <f>SUMIFS('Doc''s Pagos | Rodopar 108'!$J:$J,'Doc''s Pagos | Rodopar 108'!$A:$A,$B229&amp;$E229&amp;$F229&amp;$J229,'Doc''s Pagos | Rodopar 108'!$B:$B,S$1)+SUMIFS('Doc Há Pagar | Rodopar 1015'!$J:$J,'Doc Há Pagar | Rodopar 1015'!$A:$A,$B229&amp;$E229&amp;$F229,'Doc Há Pagar | Rodopar 1015'!$B:$B,S$1)</f>
        <v>0</v>
      </c>
      <c r="T229" s="20">
        <f>SUMIFS('Doc''s Pagos | Rodopar 108'!$J:$J,'Doc''s Pagos | Rodopar 108'!$A:$A,$B229&amp;$E229&amp;$F229&amp;$J229,'Doc''s Pagos | Rodopar 108'!$B:$B,T$1)+SUMIFS('Doc Há Pagar | Rodopar 1015'!$J:$J,'Doc Há Pagar | Rodopar 1015'!$A:$A,$B229&amp;$E229&amp;$F229,'Doc Há Pagar | Rodopar 1015'!$B:$B,T$1)</f>
        <v>0</v>
      </c>
      <c r="U229" s="20">
        <f>SUMIFS('Doc''s Pagos | Rodopar 108'!$J:$J,'Doc''s Pagos | Rodopar 108'!$A:$A,$B229&amp;$E229&amp;$F229&amp;$J229,'Doc''s Pagos | Rodopar 108'!$B:$B,U$1)+SUMIFS('Doc Há Pagar | Rodopar 1015'!$J:$J,'Doc Há Pagar | Rodopar 1015'!$A:$A,$B229&amp;$E229&amp;$F229,'Doc Há Pagar | Rodopar 1015'!$B:$B,U$1)</f>
        <v>0</v>
      </c>
      <c r="V229" s="20">
        <f>SUMIFS('Doc''s Pagos | Rodopar 108'!$J:$J,'Doc''s Pagos | Rodopar 108'!$A:$A,$B229&amp;$E229&amp;$F229&amp;$J229,'Doc''s Pagos | Rodopar 108'!$B:$B,V$1)+SUMIFS('Doc Há Pagar | Rodopar 1015'!$J:$J,'Doc Há Pagar | Rodopar 1015'!$A:$A,$B229&amp;$E229&amp;$F229,'Doc Há Pagar | Rodopar 1015'!$B:$B,V$1)</f>
        <v>0</v>
      </c>
      <c r="W229" s="20">
        <f>SUMIFS('Doc''s Pagos | Rodopar 108'!$J:$J,'Doc''s Pagos | Rodopar 108'!$A:$A,$B229&amp;$E229&amp;$F229&amp;$J229,'Doc''s Pagos | Rodopar 108'!$B:$B,W$1)+SUMIFS('Doc Há Pagar | Rodopar 1015'!$J:$J,'Doc Há Pagar | Rodopar 1015'!$A:$A,$B229&amp;$E229&amp;$F229,'Doc Há Pagar | Rodopar 1015'!$B:$B,W$1)</f>
        <v>0</v>
      </c>
      <c r="X229" s="20">
        <f>SUMIFS('Doc''s Pagos | Rodopar 108'!$J:$J,'Doc''s Pagos | Rodopar 108'!$A:$A,$B229&amp;$E229&amp;$F229&amp;$J229,'Doc''s Pagos | Rodopar 108'!$B:$B,X$1)+SUMIFS('Doc Há Pagar | Rodopar 1015'!$J:$J,'Doc Há Pagar | Rodopar 1015'!$A:$A,$B229&amp;$E229&amp;$F229,'Doc Há Pagar | Rodopar 1015'!$B:$B,X$1)</f>
        <v>0</v>
      </c>
      <c r="Y229" s="20">
        <f>SUMIFS('Doc''s Pagos | Rodopar 108'!$J:$J,'Doc''s Pagos | Rodopar 108'!$A:$A,$B229&amp;$E229&amp;$F229&amp;$J229,'Doc''s Pagos | Rodopar 108'!$B:$B,Y$1)+SUMIFS('Doc Há Pagar | Rodopar 1015'!$J:$J,'Doc Há Pagar | Rodopar 1015'!$A:$A,$B229&amp;$E229&amp;$F229,'Doc Há Pagar | Rodopar 1015'!$B:$B,Y$1)</f>
        <v>120</v>
      </c>
      <c r="Z229" s="20">
        <f>SUMIFS('Doc''s Pagos | Rodopar 108'!$J:$J,'Doc''s Pagos | Rodopar 108'!$A:$A,$B229&amp;$E229&amp;$F229&amp;$J229,'Doc''s Pagos | Rodopar 108'!$B:$B,Z$1)+SUMIFS('Doc Há Pagar | Rodopar 1015'!$J:$J,'Doc Há Pagar | Rodopar 1015'!$A:$A,$B229&amp;$E229&amp;$F229,'Doc Há Pagar | Rodopar 1015'!$B:$B,Z$1)</f>
        <v>0</v>
      </c>
      <c r="AA229" s="20">
        <f>SUMIFS('Doc''s Pagos | Rodopar 108'!$J:$J,'Doc''s Pagos | Rodopar 108'!$A:$A,$B229&amp;$E229&amp;$F229&amp;$J229,'Doc''s Pagos | Rodopar 108'!$B:$B,AA$1)+SUMIFS('Doc Há Pagar | Rodopar 1015'!$J:$J,'Doc Há Pagar | Rodopar 1015'!$A:$A,$B229&amp;$E229&amp;$F229,'Doc Há Pagar | Rodopar 1015'!$B:$B,AA$1)</f>
        <v>0</v>
      </c>
      <c r="AB229" s="20">
        <f>SUMIFS('Doc''s Pagos | Rodopar 108'!$J:$J,'Doc''s Pagos | Rodopar 108'!$A:$A,$B229&amp;$E229&amp;$F229&amp;$J229,'Doc''s Pagos | Rodopar 108'!$B:$B,AB$1)+SUMIFS('Doc Há Pagar | Rodopar 1015'!$J:$J,'Doc Há Pagar | Rodopar 1015'!$A:$A,$B229&amp;$E229&amp;$F229,'Doc Há Pagar | Rodopar 1015'!$B:$B,AB$1)</f>
        <v>0</v>
      </c>
      <c r="AC229" s="20">
        <f>SUMIFS('Doc''s Pagos | Rodopar 108'!$J:$J,'Doc''s Pagos | Rodopar 108'!$A:$A,$B229&amp;$E229&amp;$F229&amp;$J229,'Doc''s Pagos | Rodopar 108'!$B:$B,AC$1)+SUMIFS('Doc Há Pagar | Rodopar 1015'!$J:$J,'Doc Há Pagar | Rodopar 1015'!$A:$A,$B229&amp;$E229&amp;$F229,'Doc Há Pagar | Rodopar 1015'!$B:$B,AC$1)</f>
        <v>0</v>
      </c>
      <c r="AD229" s="20">
        <f>SUMIFS('Doc''s Pagos | Rodopar 108'!$J:$J,'Doc''s Pagos | Rodopar 108'!$A:$A,$B229&amp;$E229&amp;$F229&amp;$J229,'Doc''s Pagos | Rodopar 108'!$B:$B,AD$1)+SUMIFS('Doc Há Pagar | Rodopar 1015'!$J:$J,'Doc Há Pagar | Rodopar 1015'!$A:$A,$B229&amp;$E229&amp;$F229,'Doc Há Pagar | Rodopar 1015'!$B:$B,AD$1)</f>
        <v>0</v>
      </c>
    </row>
    <row r="230" spans="1:30" x14ac:dyDescent="0.25">
      <c r="A230" s="1" t="str">
        <f>VLOOKUP($E230,Fornecedores!$A:$C,3,0)</f>
        <v>Frota</v>
      </c>
      <c r="B230" s="14">
        <v>1647065</v>
      </c>
      <c r="C230" s="14" t="str">
        <f>IFERROR(VLOOKUP($E230,Fornecedores!$A:$E,4,0),"")</f>
        <v>MTSR</v>
      </c>
      <c r="D230" s="14" t="str">
        <f>IFERROR(VLOOKUP($E230,Fornecedores!$A:$E,5,0),"")</f>
        <v>Tecnologia</v>
      </c>
      <c r="E230" s="8" t="s">
        <v>191</v>
      </c>
      <c r="F230" s="14" t="s">
        <v>665</v>
      </c>
      <c r="G230" s="8" t="s">
        <v>722</v>
      </c>
      <c r="H230" s="9">
        <v>87</v>
      </c>
      <c r="I230" s="21">
        <v>1613.54</v>
      </c>
      <c r="J230" s="11">
        <v>46182</v>
      </c>
      <c r="K230" s="11">
        <v>46183</v>
      </c>
      <c r="L230" s="8" t="s">
        <v>723</v>
      </c>
      <c r="M230" s="14" t="s">
        <v>684</v>
      </c>
      <c r="N230" s="16">
        <v>2556</v>
      </c>
      <c r="O230" s="14" t="s">
        <v>250</v>
      </c>
      <c r="P230" s="14"/>
      <c r="Q230" s="20">
        <f t="shared" si="3"/>
        <v>0</v>
      </c>
      <c r="S230" s="20">
        <f>SUMIFS('Doc''s Pagos | Rodopar 108'!$J:$J,'Doc''s Pagos | Rodopar 108'!$A:$A,$B230&amp;$E230&amp;$F230&amp;$J230,'Doc''s Pagos | Rodopar 108'!$B:$B,S$1)+SUMIFS('Doc Há Pagar | Rodopar 1015'!$J:$J,'Doc Há Pagar | Rodopar 1015'!$A:$A,$B230&amp;$E230&amp;$F230,'Doc Há Pagar | Rodopar 1015'!$B:$B,S$1)</f>
        <v>0</v>
      </c>
      <c r="T230" s="20">
        <f>SUMIFS('Doc''s Pagos | Rodopar 108'!$J:$J,'Doc''s Pagos | Rodopar 108'!$A:$A,$B230&amp;$E230&amp;$F230&amp;$J230,'Doc''s Pagos | Rodopar 108'!$B:$B,T$1)+SUMIFS('Doc Há Pagar | Rodopar 1015'!$J:$J,'Doc Há Pagar | Rodopar 1015'!$A:$A,$B230&amp;$E230&amp;$F230,'Doc Há Pagar | Rodopar 1015'!$B:$B,T$1)</f>
        <v>0</v>
      </c>
      <c r="U230" s="20">
        <f>SUMIFS('Doc''s Pagos | Rodopar 108'!$J:$J,'Doc''s Pagos | Rodopar 108'!$A:$A,$B230&amp;$E230&amp;$F230&amp;$J230,'Doc''s Pagos | Rodopar 108'!$B:$B,U$1)+SUMIFS('Doc Há Pagar | Rodopar 1015'!$J:$J,'Doc Há Pagar | Rodopar 1015'!$A:$A,$B230&amp;$E230&amp;$F230,'Doc Há Pagar | Rodopar 1015'!$B:$B,U$1)</f>
        <v>0</v>
      </c>
      <c r="V230" s="20">
        <f>SUMIFS('Doc''s Pagos | Rodopar 108'!$J:$J,'Doc''s Pagos | Rodopar 108'!$A:$A,$B230&amp;$E230&amp;$F230&amp;$J230,'Doc''s Pagos | Rodopar 108'!$B:$B,V$1)+SUMIFS('Doc Há Pagar | Rodopar 1015'!$J:$J,'Doc Há Pagar | Rodopar 1015'!$A:$A,$B230&amp;$E230&amp;$F230,'Doc Há Pagar | Rodopar 1015'!$B:$B,V$1)</f>
        <v>0</v>
      </c>
      <c r="W230" s="20">
        <f>SUMIFS('Doc''s Pagos | Rodopar 108'!$J:$J,'Doc''s Pagos | Rodopar 108'!$A:$A,$B230&amp;$E230&amp;$F230&amp;$J230,'Doc''s Pagos | Rodopar 108'!$B:$B,W$1)+SUMIFS('Doc Há Pagar | Rodopar 1015'!$J:$J,'Doc Há Pagar | Rodopar 1015'!$A:$A,$B230&amp;$E230&amp;$F230,'Doc Há Pagar | Rodopar 1015'!$B:$B,W$1)</f>
        <v>0</v>
      </c>
      <c r="X230" s="20">
        <f>SUMIFS('Doc''s Pagos | Rodopar 108'!$J:$J,'Doc''s Pagos | Rodopar 108'!$A:$A,$B230&amp;$E230&amp;$F230&amp;$J230,'Doc''s Pagos | Rodopar 108'!$B:$B,X$1)+SUMIFS('Doc Há Pagar | Rodopar 1015'!$J:$J,'Doc Há Pagar | Rodopar 1015'!$A:$A,$B230&amp;$E230&amp;$F230,'Doc Há Pagar | Rodopar 1015'!$B:$B,X$1)</f>
        <v>0</v>
      </c>
      <c r="Y230" s="20">
        <f>SUMIFS('Doc''s Pagos | Rodopar 108'!$J:$J,'Doc''s Pagos | Rodopar 108'!$A:$A,$B230&amp;$E230&amp;$F230&amp;$J230,'Doc''s Pagos | Rodopar 108'!$B:$B,Y$1)+SUMIFS('Doc Há Pagar | Rodopar 1015'!$J:$J,'Doc Há Pagar | Rodopar 1015'!$A:$A,$B230&amp;$E230&amp;$F230,'Doc Há Pagar | Rodopar 1015'!$B:$B,Y$1)</f>
        <v>1613.54</v>
      </c>
      <c r="Z230" s="20">
        <f>SUMIFS('Doc''s Pagos | Rodopar 108'!$J:$J,'Doc''s Pagos | Rodopar 108'!$A:$A,$B230&amp;$E230&amp;$F230&amp;$J230,'Doc''s Pagos | Rodopar 108'!$B:$B,Z$1)+SUMIFS('Doc Há Pagar | Rodopar 1015'!$J:$J,'Doc Há Pagar | Rodopar 1015'!$A:$A,$B230&amp;$E230&amp;$F230,'Doc Há Pagar | Rodopar 1015'!$B:$B,Z$1)</f>
        <v>0</v>
      </c>
      <c r="AA230" s="20">
        <f>SUMIFS('Doc''s Pagos | Rodopar 108'!$J:$J,'Doc''s Pagos | Rodopar 108'!$A:$A,$B230&amp;$E230&amp;$F230&amp;$J230,'Doc''s Pagos | Rodopar 108'!$B:$B,AA$1)+SUMIFS('Doc Há Pagar | Rodopar 1015'!$J:$J,'Doc Há Pagar | Rodopar 1015'!$A:$A,$B230&amp;$E230&amp;$F230,'Doc Há Pagar | Rodopar 1015'!$B:$B,AA$1)</f>
        <v>0</v>
      </c>
      <c r="AB230" s="20">
        <f>SUMIFS('Doc''s Pagos | Rodopar 108'!$J:$J,'Doc''s Pagos | Rodopar 108'!$A:$A,$B230&amp;$E230&amp;$F230&amp;$J230,'Doc''s Pagos | Rodopar 108'!$B:$B,AB$1)+SUMIFS('Doc Há Pagar | Rodopar 1015'!$J:$J,'Doc Há Pagar | Rodopar 1015'!$A:$A,$B230&amp;$E230&amp;$F230,'Doc Há Pagar | Rodopar 1015'!$B:$B,AB$1)</f>
        <v>0</v>
      </c>
      <c r="AC230" s="20">
        <f>SUMIFS('Doc''s Pagos | Rodopar 108'!$J:$J,'Doc''s Pagos | Rodopar 108'!$A:$A,$B230&amp;$E230&amp;$F230&amp;$J230,'Doc''s Pagos | Rodopar 108'!$B:$B,AC$1)+SUMIFS('Doc Há Pagar | Rodopar 1015'!$J:$J,'Doc Há Pagar | Rodopar 1015'!$A:$A,$B230&amp;$E230&amp;$F230,'Doc Há Pagar | Rodopar 1015'!$B:$B,AC$1)</f>
        <v>0</v>
      </c>
      <c r="AD230" s="20">
        <f>SUMIFS('Doc''s Pagos | Rodopar 108'!$J:$J,'Doc''s Pagos | Rodopar 108'!$A:$A,$B230&amp;$E230&amp;$F230&amp;$J230,'Doc''s Pagos | Rodopar 108'!$B:$B,AD$1)+SUMIFS('Doc Há Pagar | Rodopar 1015'!$J:$J,'Doc Há Pagar | Rodopar 1015'!$A:$A,$B230&amp;$E230&amp;$F230,'Doc Há Pagar | Rodopar 1015'!$B:$B,AD$1)</f>
        <v>0</v>
      </c>
    </row>
    <row r="231" spans="1:30" x14ac:dyDescent="0.25">
      <c r="A231" s="1" t="str">
        <f>VLOOKUP($E231,Fornecedores!$A:$C,3,0)</f>
        <v>Frota</v>
      </c>
      <c r="B231" s="14">
        <v>3354415</v>
      </c>
      <c r="C231" s="14" t="str">
        <f>IFERROR(VLOOKUP($E231,Fornecedores!$A:$E,4,0),"")</f>
        <v>MTSR</v>
      </c>
      <c r="D231" s="14" t="str">
        <f>IFERROR(VLOOKUP($E231,Fornecedores!$A:$E,5,0),"")</f>
        <v>Tecnologia</v>
      </c>
      <c r="E231" s="8" t="s">
        <v>192</v>
      </c>
      <c r="F231" s="14" t="s">
        <v>665</v>
      </c>
      <c r="G231" s="8" t="s">
        <v>837</v>
      </c>
      <c r="H231" s="9">
        <v>87</v>
      </c>
      <c r="I231" s="21">
        <v>9137.4699999999993</v>
      </c>
      <c r="J231" s="11">
        <v>46182</v>
      </c>
      <c r="K231" s="11">
        <v>46183</v>
      </c>
      <c r="L231" s="8" t="s">
        <v>723</v>
      </c>
      <c r="M231" s="14" t="s">
        <v>684</v>
      </c>
      <c r="N231" s="16">
        <v>2556</v>
      </c>
      <c r="O231" s="14" t="s">
        <v>250</v>
      </c>
      <c r="P231" s="14"/>
      <c r="Q231" s="20">
        <f t="shared" si="3"/>
        <v>0</v>
      </c>
      <c r="S231" s="20">
        <f>SUMIFS('Doc''s Pagos | Rodopar 108'!$J:$J,'Doc''s Pagos | Rodopar 108'!$A:$A,$B231&amp;$E231&amp;$F231&amp;$J231,'Doc''s Pagos | Rodopar 108'!$B:$B,S$1)+SUMIFS('Doc Há Pagar | Rodopar 1015'!$J:$J,'Doc Há Pagar | Rodopar 1015'!$A:$A,$B231&amp;$E231&amp;$F231,'Doc Há Pagar | Rodopar 1015'!$B:$B,S$1)</f>
        <v>0</v>
      </c>
      <c r="T231" s="20">
        <f>SUMIFS('Doc''s Pagos | Rodopar 108'!$J:$J,'Doc''s Pagos | Rodopar 108'!$A:$A,$B231&amp;$E231&amp;$F231&amp;$J231,'Doc''s Pagos | Rodopar 108'!$B:$B,T$1)+SUMIFS('Doc Há Pagar | Rodopar 1015'!$J:$J,'Doc Há Pagar | Rodopar 1015'!$A:$A,$B231&amp;$E231&amp;$F231,'Doc Há Pagar | Rodopar 1015'!$B:$B,T$1)</f>
        <v>0</v>
      </c>
      <c r="U231" s="20">
        <f>SUMIFS('Doc''s Pagos | Rodopar 108'!$J:$J,'Doc''s Pagos | Rodopar 108'!$A:$A,$B231&amp;$E231&amp;$F231&amp;$J231,'Doc''s Pagos | Rodopar 108'!$B:$B,U$1)+SUMIFS('Doc Há Pagar | Rodopar 1015'!$J:$J,'Doc Há Pagar | Rodopar 1015'!$A:$A,$B231&amp;$E231&amp;$F231,'Doc Há Pagar | Rodopar 1015'!$B:$B,U$1)</f>
        <v>0</v>
      </c>
      <c r="V231" s="20">
        <f>SUMIFS('Doc''s Pagos | Rodopar 108'!$J:$J,'Doc''s Pagos | Rodopar 108'!$A:$A,$B231&amp;$E231&amp;$F231&amp;$J231,'Doc''s Pagos | Rodopar 108'!$B:$B,V$1)+SUMIFS('Doc Há Pagar | Rodopar 1015'!$J:$J,'Doc Há Pagar | Rodopar 1015'!$A:$A,$B231&amp;$E231&amp;$F231,'Doc Há Pagar | Rodopar 1015'!$B:$B,V$1)</f>
        <v>0</v>
      </c>
      <c r="W231" s="20">
        <f>SUMIFS('Doc''s Pagos | Rodopar 108'!$J:$J,'Doc''s Pagos | Rodopar 108'!$A:$A,$B231&amp;$E231&amp;$F231&amp;$J231,'Doc''s Pagos | Rodopar 108'!$B:$B,W$1)+SUMIFS('Doc Há Pagar | Rodopar 1015'!$J:$J,'Doc Há Pagar | Rodopar 1015'!$A:$A,$B231&amp;$E231&amp;$F231,'Doc Há Pagar | Rodopar 1015'!$B:$B,W$1)</f>
        <v>0</v>
      </c>
      <c r="X231" s="20">
        <f>SUMIFS('Doc''s Pagos | Rodopar 108'!$J:$J,'Doc''s Pagos | Rodopar 108'!$A:$A,$B231&amp;$E231&amp;$F231&amp;$J231,'Doc''s Pagos | Rodopar 108'!$B:$B,X$1)+SUMIFS('Doc Há Pagar | Rodopar 1015'!$J:$J,'Doc Há Pagar | Rodopar 1015'!$A:$A,$B231&amp;$E231&amp;$F231,'Doc Há Pagar | Rodopar 1015'!$B:$B,X$1)</f>
        <v>0</v>
      </c>
      <c r="Y231" s="20">
        <f>SUMIFS('Doc''s Pagos | Rodopar 108'!$J:$J,'Doc''s Pagos | Rodopar 108'!$A:$A,$B231&amp;$E231&amp;$F231&amp;$J231,'Doc''s Pagos | Rodopar 108'!$B:$B,Y$1)+SUMIFS('Doc Há Pagar | Rodopar 1015'!$J:$J,'Doc Há Pagar | Rodopar 1015'!$A:$A,$B231&amp;$E231&amp;$F231,'Doc Há Pagar | Rodopar 1015'!$B:$B,Y$1)</f>
        <v>9137.4699999999993</v>
      </c>
      <c r="Z231" s="20">
        <f>SUMIFS('Doc''s Pagos | Rodopar 108'!$J:$J,'Doc''s Pagos | Rodopar 108'!$A:$A,$B231&amp;$E231&amp;$F231&amp;$J231,'Doc''s Pagos | Rodopar 108'!$B:$B,Z$1)+SUMIFS('Doc Há Pagar | Rodopar 1015'!$J:$J,'Doc Há Pagar | Rodopar 1015'!$A:$A,$B231&amp;$E231&amp;$F231,'Doc Há Pagar | Rodopar 1015'!$B:$B,Z$1)</f>
        <v>0</v>
      </c>
      <c r="AA231" s="20">
        <f>SUMIFS('Doc''s Pagos | Rodopar 108'!$J:$J,'Doc''s Pagos | Rodopar 108'!$A:$A,$B231&amp;$E231&amp;$F231&amp;$J231,'Doc''s Pagos | Rodopar 108'!$B:$B,AA$1)+SUMIFS('Doc Há Pagar | Rodopar 1015'!$J:$J,'Doc Há Pagar | Rodopar 1015'!$A:$A,$B231&amp;$E231&amp;$F231,'Doc Há Pagar | Rodopar 1015'!$B:$B,AA$1)</f>
        <v>0</v>
      </c>
      <c r="AB231" s="20">
        <f>SUMIFS('Doc''s Pagos | Rodopar 108'!$J:$J,'Doc''s Pagos | Rodopar 108'!$A:$A,$B231&amp;$E231&amp;$F231&amp;$J231,'Doc''s Pagos | Rodopar 108'!$B:$B,AB$1)+SUMIFS('Doc Há Pagar | Rodopar 1015'!$J:$J,'Doc Há Pagar | Rodopar 1015'!$A:$A,$B231&amp;$E231&amp;$F231,'Doc Há Pagar | Rodopar 1015'!$B:$B,AB$1)</f>
        <v>0</v>
      </c>
      <c r="AC231" s="20">
        <f>SUMIFS('Doc''s Pagos | Rodopar 108'!$J:$J,'Doc''s Pagos | Rodopar 108'!$A:$A,$B231&amp;$E231&amp;$F231&amp;$J231,'Doc''s Pagos | Rodopar 108'!$B:$B,AC$1)+SUMIFS('Doc Há Pagar | Rodopar 1015'!$J:$J,'Doc Há Pagar | Rodopar 1015'!$A:$A,$B231&amp;$E231&amp;$F231,'Doc Há Pagar | Rodopar 1015'!$B:$B,AC$1)</f>
        <v>0</v>
      </c>
      <c r="AD231" s="20">
        <f>SUMIFS('Doc''s Pagos | Rodopar 108'!$J:$J,'Doc''s Pagos | Rodopar 108'!$A:$A,$B231&amp;$E231&amp;$F231&amp;$J231,'Doc''s Pagos | Rodopar 108'!$B:$B,AD$1)+SUMIFS('Doc Há Pagar | Rodopar 1015'!$J:$J,'Doc Há Pagar | Rodopar 1015'!$A:$A,$B231&amp;$E231&amp;$F231,'Doc Há Pagar | Rodopar 1015'!$B:$B,AD$1)</f>
        <v>0</v>
      </c>
    </row>
    <row r="232" spans="1:30" x14ac:dyDescent="0.25">
      <c r="A232" s="1" t="str">
        <f>VLOOKUP($E232,Fornecedores!$A:$C,3,0)</f>
        <v>Frota</v>
      </c>
      <c r="B232" s="14">
        <v>580</v>
      </c>
      <c r="C232" s="14" t="str">
        <f>IFERROR(VLOOKUP($E232,Fornecedores!$A:$E,4,0),"")</f>
        <v>Manutenção</v>
      </c>
      <c r="D232" s="14" t="str">
        <f>IFERROR(VLOOKUP($E232,Fornecedores!$A:$E,5,0),"")</f>
        <v>Peças E Serviços</v>
      </c>
      <c r="E232" s="8" t="s">
        <v>195</v>
      </c>
      <c r="F232" s="14" t="s">
        <v>665</v>
      </c>
      <c r="G232" s="8" t="s">
        <v>418</v>
      </c>
      <c r="H232" s="9">
        <v>87</v>
      </c>
      <c r="I232" s="21">
        <v>540</v>
      </c>
      <c r="J232" s="11">
        <v>46182</v>
      </c>
      <c r="K232" s="11">
        <v>46188</v>
      </c>
      <c r="L232" s="8" t="s">
        <v>282</v>
      </c>
      <c r="M232" s="14" t="s">
        <v>234</v>
      </c>
      <c r="N232" s="16">
        <v>1556</v>
      </c>
      <c r="O232" s="14" t="s">
        <v>241</v>
      </c>
      <c r="P232" s="14"/>
      <c r="Q232" s="20">
        <f t="shared" si="3"/>
        <v>0</v>
      </c>
      <c r="S232" s="20">
        <f>SUMIFS('Doc''s Pagos | Rodopar 108'!$J:$J,'Doc''s Pagos | Rodopar 108'!$A:$A,$B232&amp;$E232&amp;$F232&amp;$J232,'Doc''s Pagos | Rodopar 108'!$B:$B,S$1)+SUMIFS('Doc Há Pagar | Rodopar 1015'!$J:$J,'Doc Há Pagar | Rodopar 1015'!$A:$A,$B232&amp;$E232&amp;$F232,'Doc Há Pagar | Rodopar 1015'!$B:$B,S$1)</f>
        <v>0</v>
      </c>
      <c r="T232" s="20">
        <f>SUMIFS('Doc''s Pagos | Rodopar 108'!$J:$J,'Doc''s Pagos | Rodopar 108'!$A:$A,$B232&amp;$E232&amp;$F232&amp;$J232,'Doc''s Pagos | Rodopar 108'!$B:$B,T$1)+SUMIFS('Doc Há Pagar | Rodopar 1015'!$J:$J,'Doc Há Pagar | Rodopar 1015'!$A:$A,$B232&amp;$E232&amp;$F232,'Doc Há Pagar | Rodopar 1015'!$B:$B,T$1)</f>
        <v>0</v>
      </c>
      <c r="U232" s="20">
        <f>SUMIFS('Doc''s Pagos | Rodopar 108'!$J:$J,'Doc''s Pagos | Rodopar 108'!$A:$A,$B232&amp;$E232&amp;$F232&amp;$J232,'Doc''s Pagos | Rodopar 108'!$B:$B,U$1)+SUMIFS('Doc Há Pagar | Rodopar 1015'!$J:$J,'Doc Há Pagar | Rodopar 1015'!$A:$A,$B232&amp;$E232&amp;$F232,'Doc Há Pagar | Rodopar 1015'!$B:$B,U$1)</f>
        <v>0</v>
      </c>
      <c r="V232" s="20">
        <f>SUMIFS('Doc''s Pagos | Rodopar 108'!$J:$J,'Doc''s Pagos | Rodopar 108'!$A:$A,$B232&amp;$E232&amp;$F232&amp;$J232,'Doc''s Pagos | Rodopar 108'!$B:$B,V$1)+SUMIFS('Doc Há Pagar | Rodopar 1015'!$J:$J,'Doc Há Pagar | Rodopar 1015'!$A:$A,$B232&amp;$E232&amp;$F232,'Doc Há Pagar | Rodopar 1015'!$B:$B,V$1)</f>
        <v>0</v>
      </c>
      <c r="W232" s="20">
        <f>SUMIFS('Doc''s Pagos | Rodopar 108'!$J:$J,'Doc''s Pagos | Rodopar 108'!$A:$A,$B232&amp;$E232&amp;$F232&amp;$J232,'Doc''s Pagos | Rodopar 108'!$B:$B,W$1)+SUMIFS('Doc Há Pagar | Rodopar 1015'!$J:$J,'Doc Há Pagar | Rodopar 1015'!$A:$A,$B232&amp;$E232&amp;$F232,'Doc Há Pagar | Rodopar 1015'!$B:$B,W$1)</f>
        <v>0</v>
      </c>
      <c r="X232" s="20">
        <f>SUMIFS('Doc''s Pagos | Rodopar 108'!$J:$J,'Doc''s Pagos | Rodopar 108'!$A:$A,$B232&amp;$E232&amp;$F232&amp;$J232,'Doc''s Pagos | Rodopar 108'!$B:$B,X$1)+SUMIFS('Doc Há Pagar | Rodopar 1015'!$J:$J,'Doc Há Pagar | Rodopar 1015'!$A:$A,$B232&amp;$E232&amp;$F232,'Doc Há Pagar | Rodopar 1015'!$B:$B,X$1)</f>
        <v>0</v>
      </c>
      <c r="Y232" s="20">
        <f>SUMIFS('Doc''s Pagos | Rodopar 108'!$J:$J,'Doc''s Pagos | Rodopar 108'!$A:$A,$B232&amp;$E232&amp;$F232&amp;$J232,'Doc''s Pagos | Rodopar 108'!$B:$B,Y$1)+SUMIFS('Doc Há Pagar | Rodopar 1015'!$J:$J,'Doc Há Pagar | Rodopar 1015'!$A:$A,$B232&amp;$E232&amp;$F232,'Doc Há Pagar | Rodopar 1015'!$B:$B,Y$1)</f>
        <v>540</v>
      </c>
      <c r="Z232" s="20">
        <f>SUMIFS('Doc''s Pagos | Rodopar 108'!$J:$J,'Doc''s Pagos | Rodopar 108'!$A:$A,$B232&amp;$E232&amp;$F232&amp;$J232,'Doc''s Pagos | Rodopar 108'!$B:$B,Z$1)+SUMIFS('Doc Há Pagar | Rodopar 1015'!$J:$J,'Doc Há Pagar | Rodopar 1015'!$A:$A,$B232&amp;$E232&amp;$F232,'Doc Há Pagar | Rodopar 1015'!$B:$B,Z$1)</f>
        <v>0</v>
      </c>
      <c r="AA232" s="20">
        <f>SUMIFS('Doc''s Pagos | Rodopar 108'!$J:$J,'Doc''s Pagos | Rodopar 108'!$A:$A,$B232&amp;$E232&amp;$F232&amp;$J232,'Doc''s Pagos | Rodopar 108'!$B:$B,AA$1)+SUMIFS('Doc Há Pagar | Rodopar 1015'!$J:$J,'Doc Há Pagar | Rodopar 1015'!$A:$A,$B232&amp;$E232&amp;$F232,'Doc Há Pagar | Rodopar 1015'!$B:$B,AA$1)</f>
        <v>0</v>
      </c>
      <c r="AB232" s="20">
        <f>SUMIFS('Doc''s Pagos | Rodopar 108'!$J:$J,'Doc''s Pagos | Rodopar 108'!$A:$A,$B232&amp;$E232&amp;$F232&amp;$J232,'Doc''s Pagos | Rodopar 108'!$B:$B,AB$1)+SUMIFS('Doc Há Pagar | Rodopar 1015'!$J:$J,'Doc Há Pagar | Rodopar 1015'!$A:$A,$B232&amp;$E232&amp;$F232,'Doc Há Pagar | Rodopar 1015'!$B:$B,AB$1)</f>
        <v>0</v>
      </c>
      <c r="AC232" s="20">
        <f>SUMIFS('Doc''s Pagos | Rodopar 108'!$J:$J,'Doc''s Pagos | Rodopar 108'!$A:$A,$B232&amp;$E232&amp;$F232&amp;$J232,'Doc''s Pagos | Rodopar 108'!$B:$B,AC$1)+SUMIFS('Doc Há Pagar | Rodopar 1015'!$J:$J,'Doc Há Pagar | Rodopar 1015'!$A:$A,$B232&amp;$E232&amp;$F232,'Doc Há Pagar | Rodopar 1015'!$B:$B,AC$1)</f>
        <v>0</v>
      </c>
      <c r="AD232" s="20">
        <f>SUMIFS('Doc''s Pagos | Rodopar 108'!$J:$J,'Doc''s Pagos | Rodopar 108'!$A:$A,$B232&amp;$E232&amp;$F232&amp;$J232,'Doc''s Pagos | Rodopar 108'!$B:$B,AD$1)+SUMIFS('Doc Há Pagar | Rodopar 1015'!$J:$J,'Doc Há Pagar | Rodopar 1015'!$A:$A,$B232&amp;$E232&amp;$F232,'Doc Há Pagar | Rodopar 1015'!$B:$B,AD$1)</f>
        <v>0</v>
      </c>
    </row>
    <row r="233" spans="1:30" x14ac:dyDescent="0.25">
      <c r="A233" s="1" t="str">
        <f>VLOOKUP($E233,Fornecedores!$A:$C,3,0)</f>
        <v>Frota</v>
      </c>
      <c r="B233" s="14">
        <v>32127</v>
      </c>
      <c r="C233" s="14" t="str">
        <f>IFERROR(VLOOKUP($E233,Fornecedores!$A:$E,4,0),"")</f>
        <v>Manutenção</v>
      </c>
      <c r="D233" s="14" t="str">
        <f>IFERROR(VLOOKUP($E233,Fornecedores!$A:$E,5,0),"")</f>
        <v>Contrato</v>
      </c>
      <c r="E233" s="8" t="s">
        <v>127</v>
      </c>
      <c r="F233" s="14" t="s">
        <v>665</v>
      </c>
      <c r="G233" s="8" t="s">
        <v>809</v>
      </c>
      <c r="H233" s="9">
        <v>87</v>
      </c>
      <c r="I233" s="21">
        <v>52824.78</v>
      </c>
      <c r="J233" s="11">
        <v>46183</v>
      </c>
      <c r="K233" s="11">
        <v>46185</v>
      </c>
      <c r="L233" s="8" t="s">
        <v>810</v>
      </c>
      <c r="M233" s="14" t="s">
        <v>263</v>
      </c>
      <c r="N233" s="16">
        <v>2949</v>
      </c>
      <c r="O233" s="14" t="s">
        <v>410</v>
      </c>
      <c r="P233" s="14"/>
      <c r="Q233" s="20">
        <f t="shared" si="3"/>
        <v>0</v>
      </c>
      <c r="S233" s="20">
        <f>SUMIFS('Doc''s Pagos | Rodopar 108'!$J:$J,'Doc''s Pagos | Rodopar 108'!$A:$A,$B233&amp;$E233&amp;$F233&amp;$J233,'Doc''s Pagos | Rodopar 108'!$B:$B,S$1)+SUMIFS('Doc Há Pagar | Rodopar 1015'!$J:$J,'Doc Há Pagar | Rodopar 1015'!$A:$A,$B233&amp;$E233&amp;$F233,'Doc Há Pagar | Rodopar 1015'!$B:$B,S$1)</f>
        <v>0</v>
      </c>
      <c r="T233" s="20">
        <f>SUMIFS('Doc''s Pagos | Rodopar 108'!$J:$J,'Doc''s Pagos | Rodopar 108'!$A:$A,$B233&amp;$E233&amp;$F233&amp;$J233,'Doc''s Pagos | Rodopar 108'!$B:$B,T$1)+SUMIFS('Doc Há Pagar | Rodopar 1015'!$J:$J,'Doc Há Pagar | Rodopar 1015'!$A:$A,$B233&amp;$E233&amp;$F233,'Doc Há Pagar | Rodopar 1015'!$B:$B,T$1)</f>
        <v>0</v>
      </c>
      <c r="U233" s="20">
        <f>SUMIFS('Doc''s Pagos | Rodopar 108'!$J:$J,'Doc''s Pagos | Rodopar 108'!$A:$A,$B233&amp;$E233&amp;$F233&amp;$J233,'Doc''s Pagos | Rodopar 108'!$B:$B,U$1)+SUMIFS('Doc Há Pagar | Rodopar 1015'!$J:$J,'Doc Há Pagar | Rodopar 1015'!$A:$A,$B233&amp;$E233&amp;$F233,'Doc Há Pagar | Rodopar 1015'!$B:$B,U$1)</f>
        <v>0</v>
      </c>
      <c r="V233" s="20">
        <f>SUMIFS('Doc''s Pagos | Rodopar 108'!$J:$J,'Doc''s Pagos | Rodopar 108'!$A:$A,$B233&amp;$E233&amp;$F233&amp;$J233,'Doc''s Pagos | Rodopar 108'!$B:$B,V$1)+SUMIFS('Doc Há Pagar | Rodopar 1015'!$J:$J,'Doc Há Pagar | Rodopar 1015'!$A:$A,$B233&amp;$E233&amp;$F233,'Doc Há Pagar | Rodopar 1015'!$B:$B,V$1)</f>
        <v>0</v>
      </c>
      <c r="W233" s="20">
        <f>SUMIFS('Doc''s Pagos | Rodopar 108'!$J:$J,'Doc''s Pagos | Rodopar 108'!$A:$A,$B233&amp;$E233&amp;$F233&amp;$J233,'Doc''s Pagos | Rodopar 108'!$B:$B,W$1)+SUMIFS('Doc Há Pagar | Rodopar 1015'!$J:$J,'Doc Há Pagar | Rodopar 1015'!$A:$A,$B233&amp;$E233&amp;$F233,'Doc Há Pagar | Rodopar 1015'!$B:$B,W$1)</f>
        <v>0</v>
      </c>
      <c r="X233" s="20">
        <f>SUMIFS('Doc''s Pagos | Rodopar 108'!$J:$J,'Doc''s Pagos | Rodopar 108'!$A:$A,$B233&amp;$E233&amp;$F233&amp;$J233,'Doc''s Pagos | Rodopar 108'!$B:$B,X$1)+SUMIFS('Doc Há Pagar | Rodopar 1015'!$J:$J,'Doc Há Pagar | Rodopar 1015'!$A:$A,$B233&amp;$E233&amp;$F233,'Doc Há Pagar | Rodopar 1015'!$B:$B,X$1)</f>
        <v>0</v>
      </c>
      <c r="Y233" s="20">
        <f>SUMIFS('Doc''s Pagos | Rodopar 108'!$J:$J,'Doc''s Pagos | Rodopar 108'!$A:$A,$B233&amp;$E233&amp;$F233&amp;$J233,'Doc''s Pagos | Rodopar 108'!$B:$B,Y$1)+SUMIFS('Doc Há Pagar | Rodopar 1015'!$J:$J,'Doc Há Pagar | Rodopar 1015'!$A:$A,$B233&amp;$E233&amp;$F233,'Doc Há Pagar | Rodopar 1015'!$B:$B,Y$1)</f>
        <v>52824.78</v>
      </c>
      <c r="Z233" s="20">
        <f>SUMIFS('Doc''s Pagos | Rodopar 108'!$J:$J,'Doc''s Pagos | Rodopar 108'!$A:$A,$B233&amp;$E233&amp;$F233&amp;$J233,'Doc''s Pagos | Rodopar 108'!$B:$B,Z$1)+SUMIFS('Doc Há Pagar | Rodopar 1015'!$J:$J,'Doc Há Pagar | Rodopar 1015'!$A:$A,$B233&amp;$E233&amp;$F233,'Doc Há Pagar | Rodopar 1015'!$B:$B,Z$1)</f>
        <v>0</v>
      </c>
      <c r="AA233" s="20">
        <f>SUMIFS('Doc''s Pagos | Rodopar 108'!$J:$J,'Doc''s Pagos | Rodopar 108'!$A:$A,$B233&amp;$E233&amp;$F233&amp;$J233,'Doc''s Pagos | Rodopar 108'!$B:$B,AA$1)+SUMIFS('Doc Há Pagar | Rodopar 1015'!$J:$J,'Doc Há Pagar | Rodopar 1015'!$A:$A,$B233&amp;$E233&amp;$F233,'Doc Há Pagar | Rodopar 1015'!$B:$B,AA$1)</f>
        <v>0</v>
      </c>
      <c r="AB233" s="20">
        <f>SUMIFS('Doc''s Pagos | Rodopar 108'!$J:$J,'Doc''s Pagos | Rodopar 108'!$A:$A,$B233&amp;$E233&amp;$F233&amp;$J233,'Doc''s Pagos | Rodopar 108'!$B:$B,AB$1)+SUMIFS('Doc Há Pagar | Rodopar 1015'!$J:$J,'Doc Há Pagar | Rodopar 1015'!$A:$A,$B233&amp;$E233&amp;$F233,'Doc Há Pagar | Rodopar 1015'!$B:$B,AB$1)</f>
        <v>0</v>
      </c>
      <c r="AC233" s="20">
        <f>SUMIFS('Doc''s Pagos | Rodopar 108'!$J:$J,'Doc''s Pagos | Rodopar 108'!$A:$A,$B233&amp;$E233&amp;$F233&amp;$J233,'Doc''s Pagos | Rodopar 108'!$B:$B,AC$1)+SUMIFS('Doc Há Pagar | Rodopar 1015'!$J:$J,'Doc Há Pagar | Rodopar 1015'!$A:$A,$B233&amp;$E233&amp;$F233,'Doc Há Pagar | Rodopar 1015'!$B:$B,AC$1)</f>
        <v>0</v>
      </c>
      <c r="AD233" s="20">
        <f>SUMIFS('Doc''s Pagos | Rodopar 108'!$J:$J,'Doc''s Pagos | Rodopar 108'!$A:$A,$B233&amp;$E233&amp;$F233&amp;$J233,'Doc''s Pagos | Rodopar 108'!$B:$B,AD$1)+SUMIFS('Doc Há Pagar | Rodopar 1015'!$J:$J,'Doc Há Pagar | Rodopar 1015'!$A:$A,$B233&amp;$E233&amp;$F233,'Doc Há Pagar | Rodopar 1015'!$B:$B,AD$1)</f>
        <v>0</v>
      </c>
    </row>
    <row r="234" spans="1:30" x14ac:dyDescent="0.25">
      <c r="A234" s="1" t="str">
        <f>VLOOKUP($E234,Fornecedores!$A:$C,3,0)</f>
        <v>Frota</v>
      </c>
      <c r="B234" s="14">
        <v>3364</v>
      </c>
      <c r="C234" s="14" t="str">
        <f>IFERROR(VLOOKUP($E234,Fornecedores!$A:$E,4,0),"")</f>
        <v>Pneus</v>
      </c>
      <c r="D234" s="14" t="str">
        <f>IFERROR(VLOOKUP($E234,Fornecedores!$A:$E,5,0),"")</f>
        <v>Tecnologia</v>
      </c>
      <c r="E234" s="8" t="s">
        <v>145</v>
      </c>
      <c r="F234" s="14" t="s">
        <v>665</v>
      </c>
      <c r="G234" s="8" t="s">
        <v>644</v>
      </c>
      <c r="H234" s="9">
        <v>87</v>
      </c>
      <c r="I234" s="21">
        <v>936.1</v>
      </c>
      <c r="J234" s="11">
        <v>46183</v>
      </c>
      <c r="K234" s="11">
        <v>46189</v>
      </c>
      <c r="L234" s="8" t="s">
        <v>339</v>
      </c>
      <c r="M234" s="14" t="s">
        <v>263</v>
      </c>
      <c r="N234" s="16">
        <v>2949</v>
      </c>
      <c r="O234" s="14" t="s">
        <v>506</v>
      </c>
      <c r="P234" s="14"/>
      <c r="Q234" s="20">
        <f t="shared" si="3"/>
        <v>0</v>
      </c>
      <c r="S234" s="20">
        <f>SUMIFS('Doc''s Pagos | Rodopar 108'!$J:$J,'Doc''s Pagos | Rodopar 108'!$A:$A,$B234&amp;$E234&amp;$F234&amp;$J234,'Doc''s Pagos | Rodopar 108'!$B:$B,S$1)+SUMIFS('Doc Há Pagar | Rodopar 1015'!$J:$J,'Doc Há Pagar | Rodopar 1015'!$A:$A,$B234&amp;$E234&amp;$F234,'Doc Há Pagar | Rodopar 1015'!$B:$B,S$1)</f>
        <v>0</v>
      </c>
      <c r="T234" s="20">
        <f>SUMIFS('Doc''s Pagos | Rodopar 108'!$J:$J,'Doc''s Pagos | Rodopar 108'!$A:$A,$B234&amp;$E234&amp;$F234&amp;$J234,'Doc''s Pagos | Rodopar 108'!$B:$B,T$1)+SUMIFS('Doc Há Pagar | Rodopar 1015'!$J:$J,'Doc Há Pagar | Rodopar 1015'!$A:$A,$B234&amp;$E234&amp;$F234,'Doc Há Pagar | Rodopar 1015'!$B:$B,T$1)</f>
        <v>0</v>
      </c>
      <c r="U234" s="20">
        <f>SUMIFS('Doc''s Pagos | Rodopar 108'!$J:$J,'Doc''s Pagos | Rodopar 108'!$A:$A,$B234&amp;$E234&amp;$F234&amp;$J234,'Doc''s Pagos | Rodopar 108'!$B:$B,U$1)+SUMIFS('Doc Há Pagar | Rodopar 1015'!$J:$J,'Doc Há Pagar | Rodopar 1015'!$A:$A,$B234&amp;$E234&amp;$F234,'Doc Há Pagar | Rodopar 1015'!$B:$B,U$1)</f>
        <v>0</v>
      </c>
      <c r="V234" s="20">
        <f>SUMIFS('Doc''s Pagos | Rodopar 108'!$J:$J,'Doc''s Pagos | Rodopar 108'!$A:$A,$B234&amp;$E234&amp;$F234&amp;$J234,'Doc''s Pagos | Rodopar 108'!$B:$B,V$1)+SUMIFS('Doc Há Pagar | Rodopar 1015'!$J:$J,'Doc Há Pagar | Rodopar 1015'!$A:$A,$B234&amp;$E234&amp;$F234,'Doc Há Pagar | Rodopar 1015'!$B:$B,V$1)</f>
        <v>0</v>
      </c>
      <c r="W234" s="20">
        <f>SUMIFS('Doc''s Pagos | Rodopar 108'!$J:$J,'Doc''s Pagos | Rodopar 108'!$A:$A,$B234&amp;$E234&amp;$F234&amp;$J234,'Doc''s Pagos | Rodopar 108'!$B:$B,W$1)+SUMIFS('Doc Há Pagar | Rodopar 1015'!$J:$J,'Doc Há Pagar | Rodopar 1015'!$A:$A,$B234&amp;$E234&amp;$F234,'Doc Há Pagar | Rodopar 1015'!$B:$B,W$1)</f>
        <v>0</v>
      </c>
      <c r="X234" s="20">
        <f>SUMIFS('Doc''s Pagos | Rodopar 108'!$J:$J,'Doc''s Pagos | Rodopar 108'!$A:$A,$B234&amp;$E234&amp;$F234&amp;$J234,'Doc''s Pagos | Rodopar 108'!$B:$B,X$1)+SUMIFS('Doc Há Pagar | Rodopar 1015'!$J:$J,'Doc Há Pagar | Rodopar 1015'!$A:$A,$B234&amp;$E234&amp;$F234,'Doc Há Pagar | Rodopar 1015'!$B:$B,X$1)</f>
        <v>0</v>
      </c>
      <c r="Y234" s="20">
        <f>SUMIFS('Doc''s Pagos | Rodopar 108'!$J:$J,'Doc''s Pagos | Rodopar 108'!$A:$A,$B234&amp;$E234&amp;$F234&amp;$J234,'Doc''s Pagos | Rodopar 108'!$B:$B,Y$1)+SUMIFS('Doc Há Pagar | Rodopar 1015'!$J:$J,'Doc Há Pagar | Rodopar 1015'!$A:$A,$B234&amp;$E234&amp;$F234,'Doc Há Pagar | Rodopar 1015'!$B:$B,Y$1)</f>
        <v>936.1</v>
      </c>
      <c r="Z234" s="20">
        <f>SUMIFS('Doc''s Pagos | Rodopar 108'!$J:$J,'Doc''s Pagos | Rodopar 108'!$A:$A,$B234&amp;$E234&amp;$F234&amp;$J234,'Doc''s Pagos | Rodopar 108'!$B:$B,Z$1)+SUMIFS('Doc Há Pagar | Rodopar 1015'!$J:$J,'Doc Há Pagar | Rodopar 1015'!$A:$A,$B234&amp;$E234&amp;$F234,'Doc Há Pagar | Rodopar 1015'!$B:$B,Z$1)</f>
        <v>0</v>
      </c>
      <c r="AA234" s="20">
        <f>SUMIFS('Doc''s Pagos | Rodopar 108'!$J:$J,'Doc''s Pagos | Rodopar 108'!$A:$A,$B234&amp;$E234&amp;$F234&amp;$J234,'Doc''s Pagos | Rodopar 108'!$B:$B,AA$1)+SUMIFS('Doc Há Pagar | Rodopar 1015'!$J:$J,'Doc Há Pagar | Rodopar 1015'!$A:$A,$B234&amp;$E234&amp;$F234,'Doc Há Pagar | Rodopar 1015'!$B:$B,AA$1)</f>
        <v>0</v>
      </c>
      <c r="AB234" s="20">
        <f>SUMIFS('Doc''s Pagos | Rodopar 108'!$J:$J,'Doc''s Pagos | Rodopar 108'!$A:$A,$B234&amp;$E234&amp;$F234&amp;$J234,'Doc''s Pagos | Rodopar 108'!$B:$B,AB$1)+SUMIFS('Doc Há Pagar | Rodopar 1015'!$J:$J,'Doc Há Pagar | Rodopar 1015'!$A:$A,$B234&amp;$E234&amp;$F234,'Doc Há Pagar | Rodopar 1015'!$B:$B,AB$1)</f>
        <v>0</v>
      </c>
      <c r="AC234" s="20">
        <f>SUMIFS('Doc''s Pagos | Rodopar 108'!$J:$J,'Doc''s Pagos | Rodopar 108'!$A:$A,$B234&amp;$E234&amp;$F234&amp;$J234,'Doc''s Pagos | Rodopar 108'!$B:$B,AC$1)+SUMIFS('Doc Há Pagar | Rodopar 1015'!$J:$J,'Doc Há Pagar | Rodopar 1015'!$A:$A,$B234&amp;$E234&amp;$F234,'Doc Há Pagar | Rodopar 1015'!$B:$B,AC$1)</f>
        <v>0</v>
      </c>
      <c r="AD234" s="20">
        <f>SUMIFS('Doc''s Pagos | Rodopar 108'!$J:$J,'Doc''s Pagos | Rodopar 108'!$A:$A,$B234&amp;$E234&amp;$F234&amp;$J234,'Doc''s Pagos | Rodopar 108'!$B:$B,AD$1)+SUMIFS('Doc Há Pagar | Rodopar 1015'!$J:$J,'Doc Há Pagar | Rodopar 1015'!$A:$A,$B234&amp;$E234&amp;$F234,'Doc Há Pagar | Rodopar 1015'!$B:$B,AD$1)</f>
        <v>0</v>
      </c>
    </row>
    <row r="235" spans="1:30" x14ac:dyDescent="0.25">
      <c r="A235" s="1" t="str">
        <f>VLOOKUP($E235,Fornecedores!$A:$C,3,0)</f>
        <v>Frota</v>
      </c>
      <c r="B235" s="14">
        <v>53</v>
      </c>
      <c r="C235" s="14" t="str">
        <f>IFERROR(VLOOKUP($E235,Fornecedores!$A:$E,4,0),"")</f>
        <v>Lavagem</v>
      </c>
      <c r="D235" s="14" t="str">
        <f>IFERROR(VLOOKUP($E235,Fornecedores!$A:$E,5,0),"")</f>
        <v>Lavagem</v>
      </c>
      <c r="E235" s="8" t="s">
        <v>44</v>
      </c>
      <c r="F235" s="14" t="s">
        <v>665</v>
      </c>
      <c r="G235" s="8" t="s">
        <v>899</v>
      </c>
      <c r="H235" s="9">
        <v>87</v>
      </c>
      <c r="I235" s="21">
        <v>310</v>
      </c>
      <c r="J235" s="11">
        <v>46183</v>
      </c>
      <c r="K235" s="11">
        <v>46189</v>
      </c>
      <c r="L235" s="8" t="s">
        <v>435</v>
      </c>
      <c r="M235" s="14" t="s">
        <v>234</v>
      </c>
      <c r="N235" s="16">
        <v>1556</v>
      </c>
      <c r="O235" s="14" t="s">
        <v>241</v>
      </c>
      <c r="P235" s="14"/>
      <c r="Q235" s="20">
        <f t="shared" si="3"/>
        <v>0</v>
      </c>
      <c r="S235" s="20">
        <f>SUMIFS('Doc''s Pagos | Rodopar 108'!$J:$J,'Doc''s Pagos | Rodopar 108'!$A:$A,$B235&amp;$E235&amp;$F235&amp;$J235,'Doc''s Pagos | Rodopar 108'!$B:$B,S$1)+SUMIFS('Doc Há Pagar | Rodopar 1015'!$J:$J,'Doc Há Pagar | Rodopar 1015'!$A:$A,$B235&amp;$E235&amp;$F235,'Doc Há Pagar | Rodopar 1015'!$B:$B,S$1)</f>
        <v>0</v>
      </c>
      <c r="T235" s="20">
        <f>SUMIFS('Doc''s Pagos | Rodopar 108'!$J:$J,'Doc''s Pagos | Rodopar 108'!$A:$A,$B235&amp;$E235&amp;$F235&amp;$J235,'Doc''s Pagos | Rodopar 108'!$B:$B,T$1)+SUMIFS('Doc Há Pagar | Rodopar 1015'!$J:$J,'Doc Há Pagar | Rodopar 1015'!$A:$A,$B235&amp;$E235&amp;$F235,'Doc Há Pagar | Rodopar 1015'!$B:$B,T$1)</f>
        <v>0</v>
      </c>
      <c r="U235" s="20">
        <f>SUMIFS('Doc''s Pagos | Rodopar 108'!$J:$J,'Doc''s Pagos | Rodopar 108'!$A:$A,$B235&amp;$E235&amp;$F235&amp;$J235,'Doc''s Pagos | Rodopar 108'!$B:$B,U$1)+SUMIFS('Doc Há Pagar | Rodopar 1015'!$J:$J,'Doc Há Pagar | Rodopar 1015'!$A:$A,$B235&amp;$E235&amp;$F235,'Doc Há Pagar | Rodopar 1015'!$B:$B,U$1)</f>
        <v>0</v>
      </c>
      <c r="V235" s="20">
        <f>SUMIFS('Doc''s Pagos | Rodopar 108'!$J:$J,'Doc''s Pagos | Rodopar 108'!$A:$A,$B235&amp;$E235&amp;$F235&amp;$J235,'Doc''s Pagos | Rodopar 108'!$B:$B,V$1)+SUMIFS('Doc Há Pagar | Rodopar 1015'!$J:$J,'Doc Há Pagar | Rodopar 1015'!$A:$A,$B235&amp;$E235&amp;$F235,'Doc Há Pagar | Rodopar 1015'!$B:$B,V$1)</f>
        <v>0</v>
      </c>
      <c r="W235" s="20">
        <f>SUMIFS('Doc''s Pagos | Rodopar 108'!$J:$J,'Doc''s Pagos | Rodopar 108'!$A:$A,$B235&amp;$E235&amp;$F235&amp;$J235,'Doc''s Pagos | Rodopar 108'!$B:$B,W$1)+SUMIFS('Doc Há Pagar | Rodopar 1015'!$J:$J,'Doc Há Pagar | Rodopar 1015'!$A:$A,$B235&amp;$E235&amp;$F235,'Doc Há Pagar | Rodopar 1015'!$B:$B,W$1)</f>
        <v>0</v>
      </c>
      <c r="X235" s="20">
        <f>SUMIFS('Doc''s Pagos | Rodopar 108'!$J:$J,'Doc''s Pagos | Rodopar 108'!$A:$A,$B235&amp;$E235&amp;$F235&amp;$J235,'Doc''s Pagos | Rodopar 108'!$B:$B,X$1)+SUMIFS('Doc Há Pagar | Rodopar 1015'!$J:$J,'Doc Há Pagar | Rodopar 1015'!$A:$A,$B235&amp;$E235&amp;$F235,'Doc Há Pagar | Rodopar 1015'!$B:$B,X$1)</f>
        <v>0</v>
      </c>
      <c r="Y235" s="20">
        <f>SUMIFS('Doc''s Pagos | Rodopar 108'!$J:$J,'Doc''s Pagos | Rodopar 108'!$A:$A,$B235&amp;$E235&amp;$F235&amp;$J235,'Doc''s Pagos | Rodopar 108'!$B:$B,Y$1)+SUMIFS('Doc Há Pagar | Rodopar 1015'!$J:$J,'Doc Há Pagar | Rodopar 1015'!$A:$A,$B235&amp;$E235&amp;$F235,'Doc Há Pagar | Rodopar 1015'!$B:$B,Y$1)</f>
        <v>310</v>
      </c>
      <c r="Z235" s="20">
        <f>SUMIFS('Doc''s Pagos | Rodopar 108'!$J:$J,'Doc''s Pagos | Rodopar 108'!$A:$A,$B235&amp;$E235&amp;$F235&amp;$J235,'Doc''s Pagos | Rodopar 108'!$B:$B,Z$1)+SUMIFS('Doc Há Pagar | Rodopar 1015'!$J:$J,'Doc Há Pagar | Rodopar 1015'!$A:$A,$B235&amp;$E235&amp;$F235,'Doc Há Pagar | Rodopar 1015'!$B:$B,Z$1)</f>
        <v>0</v>
      </c>
      <c r="AA235" s="20">
        <f>SUMIFS('Doc''s Pagos | Rodopar 108'!$J:$J,'Doc''s Pagos | Rodopar 108'!$A:$A,$B235&amp;$E235&amp;$F235&amp;$J235,'Doc''s Pagos | Rodopar 108'!$B:$B,AA$1)+SUMIFS('Doc Há Pagar | Rodopar 1015'!$J:$J,'Doc Há Pagar | Rodopar 1015'!$A:$A,$B235&amp;$E235&amp;$F235,'Doc Há Pagar | Rodopar 1015'!$B:$B,AA$1)</f>
        <v>0</v>
      </c>
      <c r="AB235" s="20">
        <f>SUMIFS('Doc''s Pagos | Rodopar 108'!$J:$J,'Doc''s Pagos | Rodopar 108'!$A:$A,$B235&amp;$E235&amp;$F235&amp;$J235,'Doc''s Pagos | Rodopar 108'!$B:$B,AB$1)+SUMIFS('Doc Há Pagar | Rodopar 1015'!$J:$J,'Doc Há Pagar | Rodopar 1015'!$A:$A,$B235&amp;$E235&amp;$F235,'Doc Há Pagar | Rodopar 1015'!$B:$B,AB$1)</f>
        <v>0</v>
      </c>
      <c r="AC235" s="20">
        <f>SUMIFS('Doc''s Pagos | Rodopar 108'!$J:$J,'Doc''s Pagos | Rodopar 108'!$A:$A,$B235&amp;$E235&amp;$F235&amp;$J235,'Doc''s Pagos | Rodopar 108'!$B:$B,AC$1)+SUMIFS('Doc Há Pagar | Rodopar 1015'!$J:$J,'Doc Há Pagar | Rodopar 1015'!$A:$A,$B235&amp;$E235&amp;$F235,'Doc Há Pagar | Rodopar 1015'!$B:$B,AC$1)</f>
        <v>0</v>
      </c>
      <c r="AD235" s="20">
        <f>SUMIFS('Doc''s Pagos | Rodopar 108'!$J:$J,'Doc''s Pagos | Rodopar 108'!$A:$A,$B235&amp;$E235&amp;$F235&amp;$J235,'Doc''s Pagos | Rodopar 108'!$B:$B,AD$1)+SUMIFS('Doc Há Pagar | Rodopar 1015'!$J:$J,'Doc Há Pagar | Rodopar 1015'!$A:$A,$B235&amp;$E235&amp;$F235,'Doc Há Pagar | Rodopar 1015'!$B:$B,AD$1)</f>
        <v>0</v>
      </c>
    </row>
    <row r="236" spans="1:30" x14ac:dyDescent="0.25">
      <c r="A236" s="1" t="str">
        <f>VLOOKUP($E236,Fornecedores!$A:$C,3,0)</f>
        <v>Frota</v>
      </c>
      <c r="B236" s="14">
        <v>1432</v>
      </c>
      <c r="C236" s="14" t="str">
        <f>IFERROR(VLOOKUP($E236,Fornecedores!$A:$E,4,0),"")</f>
        <v>Manutenção</v>
      </c>
      <c r="D236" s="14" t="str">
        <f>IFERROR(VLOOKUP($E236,Fornecedores!$A:$E,5,0),"")</f>
        <v>Frota Leve OPE</v>
      </c>
      <c r="E236" s="8" t="s">
        <v>143</v>
      </c>
      <c r="F236" s="14" t="s">
        <v>380</v>
      </c>
      <c r="G236" s="8" t="s">
        <v>412</v>
      </c>
      <c r="H236" s="9">
        <v>87</v>
      </c>
      <c r="I236" s="21">
        <v>2610</v>
      </c>
      <c r="J236" s="11">
        <v>46184</v>
      </c>
      <c r="K236" s="11">
        <v>46188</v>
      </c>
      <c r="L236" s="8" t="s">
        <v>282</v>
      </c>
      <c r="M236" s="14" t="s">
        <v>234</v>
      </c>
      <c r="N236" s="16">
        <v>1556</v>
      </c>
      <c r="O236" s="14" t="s">
        <v>250</v>
      </c>
      <c r="P236" s="14"/>
      <c r="Q236" s="20">
        <f t="shared" si="3"/>
        <v>0</v>
      </c>
      <c r="S236" s="20">
        <f>SUMIFS('Doc''s Pagos | Rodopar 108'!$J:$J,'Doc''s Pagos | Rodopar 108'!$A:$A,$B236&amp;$E236&amp;$F236&amp;$J236,'Doc''s Pagos | Rodopar 108'!$B:$B,S$1)+SUMIFS('Doc Há Pagar | Rodopar 1015'!$J:$J,'Doc Há Pagar | Rodopar 1015'!$A:$A,$B236&amp;$E236&amp;$F236,'Doc Há Pagar | Rodopar 1015'!$B:$B,S$1)</f>
        <v>0</v>
      </c>
      <c r="T236" s="20">
        <f>SUMIFS('Doc''s Pagos | Rodopar 108'!$J:$J,'Doc''s Pagos | Rodopar 108'!$A:$A,$B236&amp;$E236&amp;$F236&amp;$J236,'Doc''s Pagos | Rodopar 108'!$B:$B,T$1)+SUMIFS('Doc Há Pagar | Rodopar 1015'!$J:$J,'Doc Há Pagar | Rodopar 1015'!$A:$A,$B236&amp;$E236&amp;$F236,'Doc Há Pagar | Rodopar 1015'!$B:$B,T$1)</f>
        <v>0</v>
      </c>
      <c r="U236" s="20">
        <f>SUMIFS('Doc''s Pagos | Rodopar 108'!$J:$J,'Doc''s Pagos | Rodopar 108'!$A:$A,$B236&amp;$E236&amp;$F236&amp;$J236,'Doc''s Pagos | Rodopar 108'!$B:$B,U$1)+SUMIFS('Doc Há Pagar | Rodopar 1015'!$J:$J,'Doc Há Pagar | Rodopar 1015'!$A:$A,$B236&amp;$E236&amp;$F236,'Doc Há Pagar | Rodopar 1015'!$B:$B,U$1)</f>
        <v>0</v>
      </c>
      <c r="V236" s="20">
        <f>SUMIFS('Doc''s Pagos | Rodopar 108'!$J:$J,'Doc''s Pagos | Rodopar 108'!$A:$A,$B236&amp;$E236&amp;$F236&amp;$J236,'Doc''s Pagos | Rodopar 108'!$B:$B,V$1)+SUMIFS('Doc Há Pagar | Rodopar 1015'!$J:$J,'Doc Há Pagar | Rodopar 1015'!$A:$A,$B236&amp;$E236&amp;$F236,'Doc Há Pagar | Rodopar 1015'!$B:$B,V$1)</f>
        <v>0</v>
      </c>
      <c r="W236" s="20">
        <f>SUMIFS('Doc''s Pagos | Rodopar 108'!$J:$J,'Doc''s Pagos | Rodopar 108'!$A:$A,$B236&amp;$E236&amp;$F236&amp;$J236,'Doc''s Pagos | Rodopar 108'!$B:$B,W$1)+SUMIFS('Doc Há Pagar | Rodopar 1015'!$J:$J,'Doc Há Pagar | Rodopar 1015'!$A:$A,$B236&amp;$E236&amp;$F236,'Doc Há Pagar | Rodopar 1015'!$B:$B,W$1)</f>
        <v>0</v>
      </c>
      <c r="X236" s="20">
        <f>SUMIFS('Doc''s Pagos | Rodopar 108'!$J:$J,'Doc''s Pagos | Rodopar 108'!$A:$A,$B236&amp;$E236&amp;$F236&amp;$J236,'Doc''s Pagos | Rodopar 108'!$B:$B,X$1)+SUMIFS('Doc Há Pagar | Rodopar 1015'!$J:$J,'Doc Há Pagar | Rodopar 1015'!$A:$A,$B236&amp;$E236&amp;$F236,'Doc Há Pagar | Rodopar 1015'!$B:$B,X$1)</f>
        <v>0</v>
      </c>
      <c r="Y236" s="20">
        <f>SUMIFS('Doc''s Pagos | Rodopar 108'!$J:$J,'Doc''s Pagos | Rodopar 108'!$A:$A,$B236&amp;$E236&amp;$F236&amp;$J236,'Doc''s Pagos | Rodopar 108'!$B:$B,Y$1)+SUMIFS('Doc Há Pagar | Rodopar 1015'!$J:$J,'Doc Há Pagar | Rodopar 1015'!$A:$A,$B236&amp;$E236&amp;$F236,'Doc Há Pagar | Rodopar 1015'!$B:$B,Y$1)</f>
        <v>1305</v>
      </c>
      <c r="Z236" s="20">
        <f>SUMIFS('Doc''s Pagos | Rodopar 108'!$J:$J,'Doc''s Pagos | Rodopar 108'!$A:$A,$B236&amp;$E236&amp;$F236&amp;$J236,'Doc''s Pagos | Rodopar 108'!$B:$B,Z$1)+SUMIFS('Doc Há Pagar | Rodopar 1015'!$J:$J,'Doc Há Pagar | Rodopar 1015'!$A:$A,$B236&amp;$E236&amp;$F236,'Doc Há Pagar | Rodopar 1015'!$B:$B,Z$1)</f>
        <v>1305</v>
      </c>
      <c r="AA236" s="20">
        <f>SUMIFS('Doc''s Pagos | Rodopar 108'!$J:$J,'Doc''s Pagos | Rodopar 108'!$A:$A,$B236&amp;$E236&amp;$F236&amp;$J236,'Doc''s Pagos | Rodopar 108'!$B:$B,AA$1)+SUMIFS('Doc Há Pagar | Rodopar 1015'!$J:$J,'Doc Há Pagar | Rodopar 1015'!$A:$A,$B236&amp;$E236&amp;$F236,'Doc Há Pagar | Rodopar 1015'!$B:$B,AA$1)</f>
        <v>0</v>
      </c>
      <c r="AB236" s="20">
        <f>SUMIFS('Doc''s Pagos | Rodopar 108'!$J:$J,'Doc''s Pagos | Rodopar 108'!$A:$A,$B236&amp;$E236&amp;$F236&amp;$J236,'Doc''s Pagos | Rodopar 108'!$B:$B,AB$1)+SUMIFS('Doc Há Pagar | Rodopar 1015'!$J:$J,'Doc Há Pagar | Rodopar 1015'!$A:$A,$B236&amp;$E236&amp;$F236,'Doc Há Pagar | Rodopar 1015'!$B:$B,AB$1)</f>
        <v>0</v>
      </c>
      <c r="AC236" s="20">
        <f>SUMIFS('Doc''s Pagos | Rodopar 108'!$J:$J,'Doc''s Pagos | Rodopar 108'!$A:$A,$B236&amp;$E236&amp;$F236&amp;$J236,'Doc''s Pagos | Rodopar 108'!$B:$B,AC$1)+SUMIFS('Doc Há Pagar | Rodopar 1015'!$J:$J,'Doc Há Pagar | Rodopar 1015'!$A:$A,$B236&amp;$E236&amp;$F236,'Doc Há Pagar | Rodopar 1015'!$B:$B,AC$1)</f>
        <v>0</v>
      </c>
      <c r="AD236" s="20">
        <f>SUMIFS('Doc''s Pagos | Rodopar 108'!$J:$J,'Doc''s Pagos | Rodopar 108'!$A:$A,$B236&amp;$E236&amp;$F236&amp;$J236,'Doc''s Pagos | Rodopar 108'!$B:$B,AD$1)+SUMIFS('Doc Há Pagar | Rodopar 1015'!$J:$J,'Doc Há Pagar | Rodopar 1015'!$A:$A,$B236&amp;$E236&amp;$F236,'Doc Há Pagar | Rodopar 1015'!$B:$B,AD$1)</f>
        <v>0</v>
      </c>
    </row>
    <row r="237" spans="1:30" x14ac:dyDescent="0.25">
      <c r="A237" s="1" t="str">
        <f>VLOOKUP($E237,Fornecedores!$A:$C,3,0)</f>
        <v>Frota</v>
      </c>
      <c r="B237" s="14">
        <v>1433</v>
      </c>
      <c r="C237" s="14" t="str">
        <f>IFERROR(VLOOKUP($E237,Fornecedores!$A:$E,4,0),"")</f>
        <v>Manutenção</v>
      </c>
      <c r="D237" s="14" t="str">
        <f>IFERROR(VLOOKUP($E237,Fornecedores!$A:$E,5,0),"")</f>
        <v>Frota Leve OPE</v>
      </c>
      <c r="E237" s="8" t="s">
        <v>143</v>
      </c>
      <c r="F237" s="14" t="s">
        <v>380</v>
      </c>
      <c r="G237" s="8" t="s">
        <v>412</v>
      </c>
      <c r="H237" s="9">
        <v>87</v>
      </c>
      <c r="I237" s="21">
        <v>2415</v>
      </c>
      <c r="J237" s="11">
        <v>46184</v>
      </c>
      <c r="K237" s="11">
        <v>46188</v>
      </c>
      <c r="L237" s="8" t="s">
        <v>282</v>
      </c>
      <c r="M237" s="14" t="s">
        <v>234</v>
      </c>
      <c r="N237" s="16">
        <v>1556</v>
      </c>
      <c r="O237" s="14" t="s">
        <v>250</v>
      </c>
      <c r="P237" s="14"/>
      <c r="Q237" s="20">
        <f t="shared" si="3"/>
        <v>0</v>
      </c>
      <c r="S237" s="20">
        <f>SUMIFS('Doc''s Pagos | Rodopar 108'!$J:$J,'Doc''s Pagos | Rodopar 108'!$A:$A,$B237&amp;$E237&amp;$F237&amp;$J237,'Doc''s Pagos | Rodopar 108'!$B:$B,S$1)+SUMIFS('Doc Há Pagar | Rodopar 1015'!$J:$J,'Doc Há Pagar | Rodopar 1015'!$A:$A,$B237&amp;$E237&amp;$F237,'Doc Há Pagar | Rodopar 1015'!$B:$B,S$1)</f>
        <v>0</v>
      </c>
      <c r="T237" s="20">
        <f>SUMIFS('Doc''s Pagos | Rodopar 108'!$J:$J,'Doc''s Pagos | Rodopar 108'!$A:$A,$B237&amp;$E237&amp;$F237&amp;$J237,'Doc''s Pagos | Rodopar 108'!$B:$B,T$1)+SUMIFS('Doc Há Pagar | Rodopar 1015'!$J:$J,'Doc Há Pagar | Rodopar 1015'!$A:$A,$B237&amp;$E237&amp;$F237,'Doc Há Pagar | Rodopar 1015'!$B:$B,T$1)</f>
        <v>0</v>
      </c>
      <c r="U237" s="20">
        <f>SUMIFS('Doc''s Pagos | Rodopar 108'!$J:$J,'Doc''s Pagos | Rodopar 108'!$A:$A,$B237&amp;$E237&amp;$F237&amp;$J237,'Doc''s Pagos | Rodopar 108'!$B:$B,U$1)+SUMIFS('Doc Há Pagar | Rodopar 1015'!$J:$J,'Doc Há Pagar | Rodopar 1015'!$A:$A,$B237&amp;$E237&amp;$F237,'Doc Há Pagar | Rodopar 1015'!$B:$B,U$1)</f>
        <v>0</v>
      </c>
      <c r="V237" s="20">
        <f>SUMIFS('Doc''s Pagos | Rodopar 108'!$J:$J,'Doc''s Pagos | Rodopar 108'!$A:$A,$B237&amp;$E237&amp;$F237&amp;$J237,'Doc''s Pagos | Rodopar 108'!$B:$B,V$1)+SUMIFS('Doc Há Pagar | Rodopar 1015'!$J:$J,'Doc Há Pagar | Rodopar 1015'!$A:$A,$B237&amp;$E237&amp;$F237,'Doc Há Pagar | Rodopar 1015'!$B:$B,V$1)</f>
        <v>0</v>
      </c>
      <c r="W237" s="20">
        <f>SUMIFS('Doc''s Pagos | Rodopar 108'!$J:$J,'Doc''s Pagos | Rodopar 108'!$A:$A,$B237&amp;$E237&amp;$F237&amp;$J237,'Doc''s Pagos | Rodopar 108'!$B:$B,W$1)+SUMIFS('Doc Há Pagar | Rodopar 1015'!$J:$J,'Doc Há Pagar | Rodopar 1015'!$A:$A,$B237&amp;$E237&amp;$F237,'Doc Há Pagar | Rodopar 1015'!$B:$B,W$1)</f>
        <v>0</v>
      </c>
      <c r="X237" s="20">
        <f>SUMIFS('Doc''s Pagos | Rodopar 108'!$J:$J,'Doc''s Pagos | Rodopar 108'!$A:$A,$B237&amp;$E237&amp;$F237&amp;$J237,'Doc''s Pagos | Rodopar 108'!$B:$B,X$1)+SUMIFS('Doc Há Pagar | Rodopar 1015'!$J:$J,'Doc Há Pagar | Rodopar 1015'!$A:$A,$B237&amp;$E237&amp;$F237,'Doc Há Pagar | Rodopar 1015'!$B:$B,X$1)</f>
        <v>0</v>
      </c>
      <c r="Y237" s="20">
        <f>SUMIFS('Doc''s Pagos | Rodopar 108'!$J:$J,'Doc''s Pagos | Rodopar 108'!$A:$A,$B237&amp;$E237&amp;$F237&amp;$J237,'Doc''s Pagos | Rodopar 108'!$B:$B,Y$1)+SUMIFS('Doc Há Pagar | Rodopar 1015'!$J:$J,'Doc Há Pagar | Rodopar 1015'!$A:$A,$B237&amp;$E237&amp;$F237,'Doc Há Pagar | Rodopar 1015'!$B:$B,Y$1)</f>
        <v>1207.5</v>
      </c>
      <c r="Z237" s="20">
        <f>SUMIFS('Doc''s Pagos | Rodopar 108'!$J:$J,'Doc''s Pagos | Rodopar 108'!$A:$A,$B237&amp;$E237&amp;$F237&amp;$J237,'Doc''s Pagos | Rodopar 108'!$B:$B,Z$1)+SUMIFS('Doc Há Pagar | Rodopar 1015'!$J:$J,'Doc Há Pagar | Rodopar 1015'!$A:$A,$B237&amp;$E237&amp;$F237,'Doc Há Pagar | Rodopar 1015'!$B:$B,Z$1)</f>
        <v>1207.5</v>
      </c>
      <c r="AA237" s="20">
        <f>SUMIFS('Doc''s Pagos | Rodopar 108'!$J:$J,'Doc''s Pagos | Rodopar 108'!$A:$A,$B237&amp;$E237&amp;$F237&amp;$J237,'Doc''s Pagos | Rodopar 108'!$B:$B,AA$1)+SUMIFS('Doc Há Pagar | Rodopar 1015'!$J:$J,'Doc Há Pagar | Rodopar 1015'!$A:$A,$B237&amp;$E237&amp;$F237,'Doc Há Pagar | Rodopar 1015'!$B:$B,AA$1)</f>
        <v>0</v>
      </c>
      <c r="AB237" s="20">
        <f>SUMIFS('Doc''s Pagos | Rodopar 108'!$J:$J,'Doc''s Pagos | Rodopar 108'!$A:$A,$B237&amp;$E237&amp;$F237&amp;$J237,'Doc''s Pagos | Rodopar 108'!$B:$B,AB$1)+SUMIFS('Doc Há Pagar | Rodopar 1015'!$J:$J,'Doc Há Pagar | Rodopar 1015'!$A:$A,$B237&amp;$E237&amp;$F237,'Doc Há Pagar | Rodopar 1015'!$B:$B,AB$1)</f>
        <v>0</v>
      </c>
      <c r="AC237" s="20">
        <f>SUMIFS('Doc''s Pagos | Rodopar 108'!$J:$J,'Doc''s Pagos | Rodopar 108'!$A:$A,$B237&amp;$E237&amp;$F237&amp;$J237,'Doc''s Pagos | Rodopar 108'!$B:$B,AC$1)+SUMIFS('Doc Há Pagar | Rodopar 1015'!$J:$J,'Doc Há Pagar | Rodopar 1015'!$A:$A,$B237&amp;$E237&amp;$F237,'Doc Há Pagar | Rodopar 1015'!$B:$B,AC$1)</f>
        <v>0</v>
      </c>
      <c r="AD237" s="20">
        <f>SUMIFS('Doc''s Pagos | Rodopar 108'!$J:$J,'Doc''s Pagos | Rodopar 108'!$A:$A,$B237&amp;$E237&amp;$F237&amp;$J237,'Doc''s Pagos | Rodopar 108'!$B:$B,AD$1)+SUMIFS('Doc Há Pagar | Rodopar 1015'!$J:$J,'Doc Há Pagar | Rodopar 1015'!$A:$A,$B237&amp;$E237&amp;$F237,'Doc Há Pagar | Rodopar 1015'!$B:$B,AD$1)</f>
        <v>0</v>
      </c>
    </row>
    <row r="238" spans="1:30" x14ac:dyDescent="0.25">
      <c r="A238" s="1" t="str">
        <f>VLOOKUP($E238,Fornecedores!$A:$C,3,0)</f>
        <v>Frota</v>
      </c>
      <c r="B238" s="14">
        <v>1040</v>
      </c>
      <c r="C238" s="14" t="str">
        <f>IFERROR(VLOOKUP($E238,Fornecedores!$A:$E,4,0),"")</f>
        <v>MTSR</v>
      </c>
      <c r="D238" s="14" t="str">
        <f>IFERROR(VLOOKUP($E238,Fornecedores!$A:$E,5,0),"")</f>
        <v>Tecnologia</v>
      </c>
      <c r="E238" s="8" t="s">
        <v>24</v>
      </c>
      <c r="F238" s="14" t="s">
        <v>665</v>
      </c>
      <c r="G238" s="8" t="s">
        <v>238</v>
      </c>
      <c r="H238" s="9">
        <v>87</v>
      </c>
      <c r="I238" s="21">
        <v>3045</v>
      </c>
      <c r="J238" s="11">
        <v>46184</v>
      </c>
      <c r="K238" s="11">
        <v>46188</v>
      </c>
      <c r="L238" s="8" t="s">
        <v>239</v>
      </c>
      <c r="M238" s="14" t="s">
        <v>240</v>
      </c>
      <c r="N238" s="16">
        <v>2556</v>
      </c>
      <c r="O238" s="14" t="s">
        <v>241</v>
      </c>
      <c r="P238" s="14"/>
      <c r="Q238" s="20">
        <f t="shared" si="3"/>
        <v>0</v>
      </c>
      <c r="S238" s="20">
        <f>SUMIFS('Doc''s Pagos | Rodopar 108'!$J:$J,'Doc''s Pagos | Rodopar 108'!$A:$A,$B238&amp;$E238&amp;$F238&amp;$J238,'Doc''s Pagos | Rodopar 108'!$B:$B,S$1)+SUMIFS('Doc Há Pagar | Rodopar 1015'!$J:$J,'Doc Há Pagar | Rodopar 1015'!$A:$A,$B238&amp;$E238&amp;$F238,'Doc Há Pagar | Rodopar 1015'!$B:$B,S$1)</f>
        <v>0</v>
      </c>
      <c r="T238" s="20">
        <f>SUMIFS('Doc''s Pagos | Rodopar 108'!$J:$J,'Doc''s Pagos | Rodopar 108'!$A:$A,$B238&amp;$E238&amp;$F238&amp;$J238,'Doc''s Pagos | Rodopar 108'!$B:$B,T$1)+SUMIFS('Doc Há Pagar | Rodopar 1015'!$J:$J,'Doc Há Pagar | Rodopar 1015'!$A:$A,$B238&amp;$E238&amp;$F238,'Doc Há Pagar | Rodopar 1015'!$B:$B,T$1)</f>
        <v>0</v>
      </c>
      <c r="U238" s="20">
        <f>SUMIFS('Doc''s Pagos | Rodopar 108'!$J:$J,'Doc''s Pagos | Rodopar 108'!$A:$A,$B238&amp;$E238&amp;$F238&amp;$J238,'Doc''s Pagos | Rodopar 108'!$B:$B,U$1)+SUMIFS('Doc Há Pagar | Rodopar 1015'!$J:$J,'Doc Há Pagar | Rodopar 1015'!$A:$A,$B238&amp;$E238&amp;$F238,'Doc Há Pagar | Rodopar 1015'!$B:$B,U$1)</f>
        <v>0</v>
      </c>
      <c r="V238" s="20">
        <f>SUMIFS('Doc''s Pagos | Rodopar 108'!$J:$J,'Doc''s Pagos | Rodopar 108'!$A:$A,$B238&amp;$E238&amp;$F238&amp;$J238,'Doc''s Pagos | Rodopar 108'!$B:$B,V$1)+SUMIFS('Doc Há Pagar | Rodopar 1015'!$J:$J,'Doc Há Pagar | Rodopar 1015'!$A:$A,$B238&amp;$E238&amp;$F238,'Doc Há Pagar | Rodopar 1015'!$B:$B,V$1)</f>
        <v>0</v>
      </c>
      <c r="W238" s="20">
        <f>SUMIFS('Doc''s Pagos | Rodopar 108'!$J:$J,'Doc''s Pagos | Rodopar 108'!$A:$A,$B238&amp;$E238&amp;$F238&amp;$J238,'Doc''s Pagos | Rodopar 108'!$B:$B,W$1)+SUMIFS('Doc Há Pagar | Rodopar 1015'!$J:$J,'Doc Há Pagar | Rodopar 1015'!$A:$A,$B238&amp;$E238&amp;$F238,'Doc Há Pagar | Rodopar 1015'!$B:$B,W$1)</f>
        <v>0</v>
      </c>
      <c r="X238" s="20">
        <f>SUMIFS('Doc''s Pagos | Rodopar 108'!$J:$J,'Doc''s Pagos | Rodopar 108'!$A:$A,$B238&amp;$E238&amp;$F238&amp;$J238,'Doc''s Pagos | Rodopar 108'!$B:$B,X$1)+SUMIFS('Doc Há Pagar | Rodopar 1015'!$J:$J,'Doc Há Pagar | Rodopar 1015'!$A:$A,$B238&amp;$E238&amp;$F238,'Doc Há Pagar | Rodopar 1015'!$B:$B,X$1)</f>
        <v>0</v>
      </c>
      <c r="Y238" s="20">
        <f>SUMIFS('Doc''s Pagos | Rodopar 108'!$J:$J,'Doc''s Pagos | Rodopar 108'!$A:$A,$B238&amp;$E238&amp;$F238&amp;$J238,'Doc''s Pagos | Rodopar 108'!$B:$B,Y$1)+SUMIFS('Doc Há Pagar | Rodopar 1015'!$J:$J,'Doc Há Pagar | Rodopar 1015'!$A:$A,$B238&amp;$E238&amp;$F238,'Doc Há Pagar | Rodopar 1015'!$B:$B,Y$1)</f>
        <v>3045</v>
      </c>
      <c r="Z238" s="20">
        <f>SUMIFS('Doc''s Pagos | Rodopar 108'!$J:$J,'Doc''s Pagos | Rodopar 108'!$A:$A,$B238&amp;$E238&amp;$F238&amp;$J238,'Doc''s Pagos | Rodopar 108'!$B:$B,Z$1)+SUMIFS('Doc Há Pagar | Rodopar 1015'!$J:$J,'Doc Há Pagar | Rodopar 1015'!$A:$A,$B238&amp;$E238&amp;$F238,'Doc Há Pagar | Rodopar 1015'!$B:$B,Z$1)</f>
        <v>0</v>
      </c>
      <c r="AA238" s="20">
        <f>SUMIFS('Doc''s Pagos | Rodopar 108'!$J:$J,'Doc''s Pagos | Rodopar 108'!$A:$A,$B238&amp;$E238&amp;$F238&amp;$J238,'Doc''s Pagos | Rodopar 108'!$B:$B,AA$1)+SUMIFS('Doc Há Pagar | Rodopar 1015'!$J:$J,'Doc Há Pagar | Rodopar 1015'!$A:$A,$B238&amp;$E238&amp;$F238,'Doc Há Pagar | Rodopar 1015'!$B:$B,AA$1)</f>
        <v>0</v>
      </c>
      <c r="AB238" s="20">
        <f>SUMIFS('Doc''s Pagos | Rodopar 108'!$J:$J,'Doc''s Pagos | Rodopar 108'!$A:$A,$B238&amp;$E238&amp;$F238&amp;$J238,'Doc''s Pagos | Rodopar 108'!$B:$B,AB$1)+SUMIFS('Doc Há Pagar | Rodopar 1015'!$J:$J,'Doc Há Pagar | Rodopar 1015'!$A:$A,$B238&amp;$E238&amp;$F238,'Doc Há Pagar | Rodopar 1015'!$B:$B,AB$1)</f>
        <v>0</v>
      </c>
      <c r="AC238" s="20">
        <f>SUMIFS('Doc''s Pagos | Rodopar 108'!$J:$J,'Doc''s Pagos | Rodopar 108'!$A:$A,$B238&amp;$E238&amp;$F238&amp;$J238,'Doc''s Pagos | Rodopar 108'!$B:$B,AC$1)+SUMIFS('Doc Há Pagar | Rodopar 1015'!$J:$J,'Doc Há Pagar | Rodopar 1015'!$A:$A,$B238&amp;$E238&amp;$F238,'Doc Há Pagar | Rodopar 1015'!$B:$B,AC$1)</f>
        <v>0</v>
      </c>
      <c r="AD238" s="20">
        <f>SUMIFS('Doc''s Pagos | Rodopar 108'!$J:$J,'Doc''s Pagos | Rodopar 108'!$A:$A,$B238&amp;$E238&amp;$F238&amp;$J238,'Doc''s Pagos | Rodopar 108'!$B:$B,AD$1)+SUMIFS('Doc Há Pagar | Rodopar 1015'!$J:$J,'Doc Há Pagar | Rodopar 1015'!$A:$A,$B238&amp;$E238&amp;$F238,'Doc Há Pagar | Rodopar 1015'!$B:$B,AD$1)</f>
        <v>0</v>
      </c>
    </row>
    <row r="239" spans="1:30" x14ac:dyDescent="0.25">
      <c r="A239" s="1" t="str">
        <f>VLOOKUP($E239,Fornecedores!$A:$C,3,0)</f>
        <v>Frota</v>
      </c>
      <c r="B239" s="14">
        <v>134</v>
      </c>
      <c r="C239" s="14" t="str">
        <f>IFERROR(VLOOKUP($E239,Fornecedores!$A:$E,4,0),"")</f>
        <v>Manutenção</v>
      </c>
      <c r="D239" s="14" t="str">
        <f>IFERROR(VLOOKUP($E239,Fornecedores!$A:$E,5,0),"")</f>
        <v>Peças E Serviços</v>
      </c>
      <c r="E239" s="8" t="s">
        <v>27</v>
      </c>
      <c r="F239" s="14" t="s">
        <v>665</v>
      </c>
      <c r="G239" s="8" t="s">
        <v>525</v>
      </c>
      <c r="H239" s="9">
        <v>87</v>
      </c>
      <c r="I239" s="21">
        <v>150</v>
      </c>
      <c r="J239" s="11">
        <v>46184</v>
      </c>
      <c r="K239" s="11">
        <v>46188</v>
      </c>
      <c r="L239" s="8" t="s">
        <v>282</v>
      </c>
      <c r="M239" s="14" t="s">
        <v>234</v>
      </c>
      <c r="N239" s="16">
        <v>1556</v>
      </c>
      <c r="O239" s="14" t="s">
        <v>241</v>
      </c>
      <c r="P239" s="14"/>
      <c r="Q239" s="20">
        <f t="shared" si="3"/>
        <v>0</v>
      </c>
      <c r="S239" s="20">
        <f>SUMIFS('Doc''s Pagos | Rodopar 108'!$J:$J,'Doc''s Pagos | Rodopar 108'!$A:$A,$B239&amp;$E239&amp;$F239&amp;$J239,'Doc''s Pagos | Rodopar 108'!$B:$B,S$1)+SUMIFS('Doc Há Pagar | Rodopar 1015'!$J:$J,'Doc Há Pagar | Rodopar 1015'!$A:$A,$B239&amp;$E239&amp;$F239,'Doc Há Pagar | Rodopar 1015'!$B:$B,S$1)</f>
        <v>0</v>
      </c>
      <c r="T239" s="20">
        <f>SUMIFS('Doc''s Pagos | Rodopar 108'!$J:$J,'Doc''s Pagos | Rodopar 108'!$A:$A,$B239&amp;$E239&amp;$F239&amp;$J239,'Doc''s Pagos | Rodopar 108'!$B:$B,T$1)+SUMIFS('Doc Há Pagar | Rodopar 1015'!$J:$J,'Doc Há Pagar | Rodopar 1015'!$A:$A,$B239&amp;$E239&amp;$F239,'Doc Há Pagar | Rodopar 1015'!$B:$B,T$1)</f>
        <v>0</v>
      </c>
      <c r="U239" s="20">
        <f>SUMIFS('Doc''s Pagos | Rodopar 108'!$J:$J,'Doc''s Pagos | Rodopar 108'!$A:$A,$B239&amp;$E239&amp;$F239&amp;$J239,'Doc''s Pagos | Rodopar 108'!$B:$B,U$1)+SUMIFS('Doc Há Pagar | Rodopar 1015'!$J:$J,'Doc Há Pagar | Rodopar 1015'!$A:$A,$B239&amp;$E239&amp;$F239,'Doc Há Pagar | Rodopar 1015'!$B:$B,U$1)</f>
        <v>0</v>
      </c>
      <c r="V239" s="20">
        <f>SUMIFS('Doc''s Pagos | Rodopar 108'!$J:$J,'Doc''s Pagos | Rodopar 108'!$A:$A,$B239&amp;$E239&amp;$F239&amp;$J239,'Doc''s Pagos | Rodopar 108'!$B:$B,V$1)+SUMIFS('Doc Há Pagar | Rodopar 1015'!$J:$J,'Doc Há Pagar | Rodopar 1015'!$A:$A,$B239&amp;$E239&amp;$F239,'Doc Há Pagar | Rodopar 1015'!$B:$B,V$1)</f>
        <v>0</v>
      </c>
      <c r="W239" s="20">
        <f>SUMIFS('Doc''s Pagos | Rodopar 108'!$J:$J,'Doc''s Pagos | Rodopar 108'!$A:$A,$B239&amp;$E239&amp;$F239&amp;$J239,'Doc''s Pagos | Rodopar 108'!$B:$B,W$1)+SUMIFS('Doc Há Pagar | Rodopar 1015'!$J:$J,'Doc Há Pagar | Rodopar 1015'!$A:$A,$B239&amp;$E239&amp;$F239,'Doc Há Pagar | Rodopar 1015'!$B:$B,W$1)</f>
        <v>0</v>
      </c>
      <c r="X239" s="20">
        <f>SUMIFS('Doc''s Pagos | Rodopar 108'!$J:$J,'Doc''s Pagos | Rodopar 108'!$A:$A,$B239&amp;$E239&amp;$F239&amp;$J239,'Doc''s Pagos | Rodopar 108'!$B:$B,X$1)+SUMIFS('Doc Há Pagar | Rodopar 1015'!$J:$J,'Doc Há Pagar | Rodopar 1015'!$A:$A,$B239&amp;$E239&amp;$F239,'Doc Há Pagar | Rodopar 1015'!$B:$B,X$1)</f>
        <v>0</v>
      </c>
      <c r="Y239" s="20">
        <f>SUMIFS('Doc''s Pagos | Rodopar 108'!$J:$J,'Doc''s Pagos | Rodopar 108'!$A:$A,$B239&amp;$E239&amp;$F239&amp;$J239,'Doc''s Pagos | Rodopar 108'!$B:$B,Y$1)+SUMIFS('Doc Há Pagar | Rodopar 1015'!$J:$J,'Doc Há Pagar | Rodopar 1015'!$A:$A,$B239&amp;$E239&amp;$F239,'Doc Há Pagar | Rodopar 1015'!$B:$B,Y$1)</f>
        <v>150</v>
      </c>
      <c r="Z239" s="20">
        <f>SUMIFS('Doc''s Pagos | Rodopar 108'!$J:$J,'Doc''s Pagos | Rodopar 108'!$A:$A,$B239&amp;$E239&amp;$F239&amp;$J239,'Doc''s Pagos | Rodopar 108'!$B:$B,Z$1)+SUMIFS('Doc Há Pagar | Rodopar 1015'!$J:$J,'Doc Há Pagar | Rodopar 1015'!$A:$A,$B239&amp;$E239&amp;$F239,'Doc Há Pagar | Rodopar 1015'!$B:$B,Z$1)</f>
        <v>0</v>
      </c>
      <c r="AA239" s="20">
        <f>SUMIFS('Doc''s Pagos | Rodopar 108'!$J:$J,'Doc''s Pagos | Rodopar 108'!$A:$A,$B239&amp;$E239&amp;$F239&amp;$J239,'Doc''s Pagos | Rodopar 108'!$B:$B,AA$1)+SUMIFS('Doc Há Pagar | Rodopar 1015'!$J:$J,'Doc Há Pagar | Rodopar 1015'!$A:$A,$B239&amp;$E239&amp;$F239,'Doc Há Pagar | Rodopar 1015'!$B:$B,AA$1)</f>
        <v>0</v>
      </c>
      <c r="AB239" s="20">
        <f>SUMIFS('Doc''s Pagos | Rodopar 108'!$J:$J,'Doc''s Pagos | Rodopar 108'!$A:$A,$B239&amp;$E239&amp;$F239&amp;$J239,'Doc''s Pagos | Rodopar 108'!$B:$B,AB$1)+SUMIFS('Doc Há Pagar | Rodopar 1015'!$J:$J,'Doc Há Pagar | Rodopar 1015'!$A:$A,$B239&amp;$E239&amp;$F239,'Doc Há Pagar | Rodopar 1015'!$B:$B,AB$1)</f>
        <v>0</v>
      </c>
      <c r="AC239" s="20">
        <f>SUMIFS('Doc''s Pagos | Rodopar 108'!$J:$J,'Doc''s Pagos | Rodopar 108'!$A:$A,$B239&amp;$E239&amp;$F239&amp;$J239,'Doc''s Pagos | Rodopar 108'!$B:$B,AC$1)+SUMIFS('Doc Há Pagar | Rodopar 1015'!$J:$J,'Doc Há Pagar | Rodopar 1015'!$A:$A,$B239&amp;$E239&amp;$F239,'Doc Há Pagar | Rodopar 1015'!$B:$B,AC$1)</f>
        <v>0</v>
      </c>
      <c r="AD239" s="20">
        <f>SUMIFS('Doc''s Pagos | Rodopar 108'!$J:$J,'Doc''s Pagos | Rodopar 108'!$A:$A,$B239&amp;$E239&amp;$F239&amp;$J239,'Doc''s Pagos | Rodopar 108'!$B:$B,AD$1)+SUMIFS('Doc Há Pagar | Rodopar 1015'!$J:$J,'Doc Há Pagar | Rodopar 1015'!$A:$A,$B239&amp;$E239&amp;$F239,'Doc Há Pagar | Rodopar 1015'!$B:$B,AD$1)</f>
        <v>0</v>
      </c>
    </row>
    <row r="240" spans="1:30" x14ac:dyDescent="0.25">
      <c r="A240" s="1" t="str">
        <f>VLOOKUP($E240,Fornecedores!$A:$C,3,0)</f>
        <v>Frota</v>
      </c>
      <c r="B240" s="14">
        <v>136</v>
      </c>
      <c r="C240" s="14" t="str">
        <f>IFERROR(VLOOKUP($E240,Fornecedores!$A:$E,4,0),"")</f>
        <v>Manutenção</v>
      </c>
      <c r="D240" s="14" t="str">
        <f>IFERROR(VLOOKUP($E240,Fornecedores!$A:$E,5,0),"")</f>
        <v>Frota Leve OPE</v>
      </c>
      <c r="E240" s="8" t="s">
        <v>143</v>
      </c>
      <c r="F240" s="14" t="s">
        <v>665</v>
      </c>
      <c r="G240" s="8" t="s">
        <v>412</v>
      </c>
      <c r="H240" s="9">
        <v>87</v>
      </c>
      <c r="I240" s="21">
        <v>1810</v>
      </c>
      <c r="J240" s="11">
        <v>46184</v>
      </c>
      <c r="K240" s="11">
        <v>46188</v>
      </c>
      <c r="L240" s="8" t="s">
        <v>282</v>
      </c>
      <c r="M240" s="14" t="s">
        <v>234</v>
      </c>
      <c r="N240" s="16">
        <v>1556</v>
      </c>
      <c r="O240" s="14" t="s">
        <v>250</v>
      </c>
      <c r="P240" s="14"/>
      <c r="Q240" s="20">
        <f t="shared" si="3"/>
        <v>0</v>
      </c>
      <c r="S240" s="20">
        <f>SUMIFS('Doc''s Pagos | Rodopar 108'!$J:$J,'Doc''s Pagos | Rodopar 108'!$A:$A,$B240&amp;$E240&amp;$F240&amp;$J240,'Doc''s Pagos | Rodopar 108'!$B:$B,S$1)+SUMIFS('Doc Há Pagar | Rodopar 1015'!$J:$J,'Doc Há Pagar | Rodopar 1015'!$A:$A,$B240&amp;$E240&amp;$F240,'Doc Há Pagar | Rodopar 1015'!$B:$B,S$1)</f>
        <v>0</v>
      </c>
      <c r="T240" s="20">
        <f>SUMIFS('Doc''s Pagos | Rodopar 108'!$J:$J,'Doc''s Pagos | Rodopar 108'!$A:$A,$B240&amp;$E240&amp;$F240&amp;$J240,'Doc''s Pagos | Rodopar 108'!$B:$B,T$1)+SUMIFS('Doc Há Pagar | Rodopar 1015'!$J:$J,'Doc Há Pagar | Rodopar 1015'!$A:$A,$B240&amp;$E240&amp;$F240,'Doc Há Pagar | Rodopar 1015'!$B:$B,T$1)</f>
        <v>0</v>
      </c>
      <c r="U240" s="20">
        <f>SUMIFS('Doc''s Pagos | Rodopar 108'!$J:$J,'Doc''s Pagos | Rodopar 108'!$A:$A,$B240&amp;$E240&amp;$F240&amp;$J240,'Doc''s Pagos | Rodopar 108'!$B:$B,U$1)+SUMIFS('Doc Há Pagar | Rodopar 1015'!$J:$J,'Doc Há Pagar | Rodopar 1015'!$A:$A,$B240&amp;$E240&amp;$F240,'Doc Há Pagar | Rodopar 1015'!$B:$B,U$1)</f>
        <v>0</v>
      </c>
      <c r="V240" s="20">
        <f>SUMIFS('Doc''s Pagos | Rodopar 108'!$J:$J,'Doc''s Pagos | Rodopar 108'!$A:$A,$B240&amp;$E240&amp;$F240&amp;$J240,'Doc''s Pagos | Rodopar 108'!$B:$B,V$1)+SUMIFS('Doc Há Pagar | Rodopar 1015'!$J:$J,'Doc Há Pagar | Rodopar 1015'!$A:$A,$B240&amp;$E240&amp;$F240,'Doc Há Pagar | Rodopar 1015'!$B:$B,V$1)</f>
        <v>0</v>
      </c>
      <c r="W240" s="20">
        <f>SUMIFS('Doc''s Pagos | Rodopar 108'!$J:$J,'Doc''s Pagos | Rodopar 108'!$A:$A,$B240&amp;$E240&amp;$F240&amp;$J240,'Doc''s Pagos | Rodopar 108'!$B:$B,W$1)+SUMIFS('Doc Há Pagar | Rodopar 1015'!$J:$J,'Doc Há Pagar | Rodopar 1015'!$A:$A,$B240&amp;$E240&amp;$F240,'Doc Há Pagar | Rodopar 1015'!$B:$B,W$1)</f>
        <v>0</v>
      </c>
      <c r="X240" s="20">
        <f>SUMIFS('Doc''s Pagos | Rodopar 108'!$J:$J,'Doc''s Pagos | Rodopar 108'!$A:$A,$B240&amp;$E240&amp;$F240&amp;$J240,'Doc''s Pagos | Rodopar 108'!$B:$B,X$1)+SUMIFS('Doc Há Pagar | Rodopar 1015'!$J:$J,'Doc Há Pagar | Rodopar 1015'!$A:$A,$B240&amp;$E240&amp;$F240,'Doc Há Pagar | Rodopar 1015'!$B:$B,X$1)</f>
        <v>0</v>
      </c>
      <c r="Y240" s="20">
        <f>SUMIFS('Doc''s Pagos | Rodopar 108'!$J:$J,'Doc''s Pagos | Rodopar 108'!$A:$A,$B240&amp;$E240&amp;$F240&amp;$J240,'Doc''s Pagos | Rodopar 108'!$B:$B,Y$1)+SUMIFS('Doc Há Pagar | Rodopar 1015'!$J:$J,'Doc Há Pagar | Rodopar 1015'!$A:$A,$B240&amp;$E240&amp;$F240,'Doc Há Pagar | Rodopar 1015'!$B:$B,Y$1)</f>
        <v>905</v>
      </c>
      <c r="Z240" s="20">
        <f>SUMIFS('Doc''s Pagos | Rodopar 108'!$J:$J,'Doc''s Pagos | Rodopar 108'!$A:$A,$B240&amp;$E240&amp;$F240&amp;$J240,'Doc''s Pagos | Rodopar 108'!$B:$B,Z$1)+SUMIFS('Doc Há Pagar | Rodopar 1015'!$J:$J,'Doc Há Pagar | Rodopar 1015'!$A:$A,$B240&amp;$E240&amp;$F240,'Doc Há Pagar | Rodopar 1015'!$B:$B,Z$1)</f>
        <v>905</v>
      </c>
      <c r="AA240" s="20">
        <f>SUMIFS('Doc''s Pagos | Rodopar 108'!$J:$J,'Doc''s Pagos | Rodopar 108'!$A:$A,$B240&amp;$E240&amp;$F240&amp;$J240,'Doc''s Pagos | Rodopar 108'!$B:$B,AA$1)+SUMIFS('Doc Há Pagar | Rodopar 1015'!$J:$J,'Doc Há Pagar | Rodopar 1015'!$A:$A,$B240&amp;$E240&amp;$F240,'Doc Há Pagar | Rodopar 1015'!$B:$B,AA$1)</f>
        <v>0</v>
      </c>
      <c r="AB240" s="20">
        <f>SUMIFS('Doc''s Pagos | Rodopar 108'!$J:$J,'Doc''s Pagos | Rodopar 108'!$A:$A,$B240&amp;$E240&amp;$F240&amp;$J240,'Doc''s Pagos | Rodopar 108'!$B:$B,AB$1)+SUMIFS('Doc Há Pagar | Rodopar 1015'!$J:$J,'Doc Há Pagar | Rodopar 1015'!$A:$A,$B240&amp;$E240&amp;$F240,'Doc Há Pagar | Rodopar 1015'!$B:$B,AB$1)</f>
        <v>0</v>
      </c>
      <c r="AC240" s="20">
        <f>SUMIFS('Doc''s Pagos | Rodopar 108'!$J:$J,'Doc''s Pagos | Rodopar 108'!$A:$A,$B240&amp;$E240&amp;$F240&amp;$J240,'Doc''s Pagos | Rodopar 108'!$B:$B,AC$1)+SUMIFS('Doc Há Pagar | Rodopar 1015'!$J:$J,'Doc Há Pagar | Rodopar 1015'!$A:$A,$B240&amp;$E240&amp;$F240,'Doc Há Pagar | Rodopar 1015'!$B:$B,AC$1)</f>
        <v>0</v>
      </c>
      <c r="AD240" s="20">
        <f>SUMIFS('Doc''s Pagos | Rodopar 108'!$J:$J,'Doc''s Pagos | Rodopar 108'!$A:$A,$B240&amp;$E240&amp;$F240&amp;$J240,'Doc''s Pagos | Rodopar 108'!$B:$B,AD$1)+SUMIFS('Doc Há Pagar | Rodopar 1015'!$J:$J,'Doc Há Pagar | Rodopar 1015'!$A:$A,$B240&amp;$E240&amp;$F240,'Doc Há Pagar | Rodopar 1015'!$B:$B,AD$1)</f>
        <v>0</v>
      </c>
    </row>
    <row r="241" spans="1:30" x14ac:dyDescent="0.25">
      <c r="A241" s="1" t="str">
        <f>VLOOKUP($E241,Fornecedores!$A:$C,3,0)</f>
        <v>Frota</v>
      </c>
      <c r="B241" s="14">
        <v>137</v>
      </c>
      <c r="C241" s="14" t="str">
        <f>IFERROR(VLOOKUP($E241,Fornecedores!$A:$E,4,0),"")</f>
        <v>Manutenção</v>
      </c>
      <c r="D241" s="14" t="str">
        <f>IFERROR(VLOOKUP($E241,Fornecedores!$A:$E,5,0),"")</f>
        <v>Frota Leve OPE</v>
      </c>
      <c r="E241" s="8" t="s">
        <v>143</v>
      </c>
      <c r="F241" s="14" t="s">
        <v>665</v>
      </c>
      <c r="G241" s="8" t="s">
        <v>412</v>
      </c>
      <c r="H241" s="9">
        <v>87</v>
      </c>
      <c r="I241" s="21">
        <v>1770</v>
      </c>
      <c r="J241" s="11">
        <v>46184</v>
      </c>
      <c r="K241" s="11">
        <v>46188</v>
      </c>
      <c r="L241" s="8" t="s">
        <v>282</v>
      </c>
      <c r="M241" s="14" t="s">
        <v>234</v>
      </c>
      <c r="N241" s="16">
        <v>1556</v>
      </c>
      <c r="O241" s="14" t="s">
        <v>250</v>
      </c>
      <c r="P241" s="14"/>
      <c r="Q241" s="20">
        <f t="shared" si="3"/>
        <v>0</v>
      </c>
      <c r="S241" s="20">
        <f>SUMIFS('Doc''s Pagos | Rodopar 108'!$J:$J,'Doc''s Pagos | Rodopar 108'!$A:$A,$B241&amp;$E241&amp;$F241&amp;$J241,'Doc''s Pagos | Rodopar 108'!$B:$B,S$1)+SUMIFS('Doc Há Pagar | Rodopar 1015'!$J:$J,'Doc Há Pagar | Rodopar 1015'!$A:$A,$B241&amp;$E241&amp;$F241,'Doc Há Pagar | Rodopar 1015'!$B:$B,S$1)</f>
        <v>0</v>
      </c>
      <c r="T241" s="20">
        <f>SUMIFS('Doc''s Pagos | Rodopar 108'!$J:$J,'Doc''s Pagos | Rodopar 108'!$A:$A,$B241&amp;$E241&amp;$F241&amp;$J241,'Doc''s Pagos | Rodopar 108'!$B:$B,T$1)+SUMIFS('Doc Há Pagar | Rodopar 1015'!$J:$J,'Doc Há Pagar | Rodopar 1015'!$A:$A,$B241&amp;$E241&amp;$F241,'Doc Há Pagar | Rodopar 1015'!$B:$B,T$1)</f>
        <v>0</v>
      </c>
      <c r="U241" s="20">
        <f>SUMIFS('Doc''s Pagos | Rodopar 108'!$J:$J,'Doc''s Pagos | Rodopar 108'!$A:$A,$B241&amp;$E241&amp;$F241&amp;$J241,'Doc''s Pagos | Rodopar 108'!$B:$B,U$1)+SUMIFS('Doc Há Pagar | Rodopar 1015'!$J:$J,'Doc Há Pagar | Rodopar 1015'!$A:$A,$B241&amp;$E241&amp;$F241,'Doc Há Pagar | Rodopar 1015'!$B:$B,U$1)</f>
        <v>0</v>
      </c>
      <c r="V241" s="20">
        <f>SUMIFS('Doc''s Pagos | Rodopar 108'!$J:$J,'Doc''s Pagos | Rodopar 108'!$A:$A,$B241&amp;$E241&amp;$F241&amp;$J241,'Doc''s Pagos | Rodopar 108'!$B:$B,V$1)+SUMIFS('Doc Há Pagar | Rodopar 1015'!$J:$J,'Doc Há Pagar | Rodopar 1015'!$A:$A,$B241&amp;$E241&amp;$F241,'Doc Há Pagar | Rodopar 1015'!$B:$B,V$1)</f>
        <v>0</v>
      </c>
      <c r="W241" s="20">
        <f>SUMIFS('Doc''s Pagos | Rodopar 108'!$J:$J,'Doc''s Pagos | Rodopar 108'!$A:$A,$B241&amp;$E241&amp;$F241&amp;$J241,'Doc''s Pagos | Rodopar 108'!$B:$B,W$1)+SUMIFS('Doc Há Pagar | Rodopar 1015'!$J:$J,'Doc Há Pagar | Rodopar 1015'!$A:$A,$B241&amp;$E241&amp;$F241,'Doc Há Pagar | Rodopar 1015'!$B:$B,W$1)</f>
        <v>0</v>
      </c>
      <c r="X241" s="20">
        <f>SUMIFS('Doc''s Pagos | Rodopar 108'!$J:$J,'Doc''s Pagos | Rodopar 108'!$A:$A,$B241&amp;$E241&amp;$F241&amp;$J241,'Doc''s Pagos | Rodopar 108'!$B:$B,X$1)+SUMIFS('Doc Há Pagar | Rodopar 1015'!$J:$J,'Doc Há Pagar | Rodopar 1015'!$A:$A,$B241&amp;$E241&amp;$F241,'Doc Há Pagar | Rodopar 1015'!$B:$B,X$1)</f>
        <v>0</v>
      </c>
      <c r="Y241" s="20">
        <f>SUMIFS('Doc''s Pagos | Rodopar 108'!$J:$J,'Doc''s Pagos | Rodopar 108'!$A:$A,$B241&amp;$E241&amp;$F241&amp;$J241,'Doc''s Pagos | Rodopar 108'!$B:$B,Y$1)+SUMIFS('Doc Há Pagar | Rodopar 1015'!$J:$J,'Doc Há Pagar | Rodopar 1015'!$A:$A,$B241&amp;$E241&amp;$F241,'Doc Há Pagar | Rodopar 1015'!$B:$B,Y$1)</f>
        <v>885</v>
      </c>
      <c r="Z241" s="20">
        <f>SUMIFS('Doc''s Pagos | Rodopar 108'!$J:$J,'Doc''s Pagos | Rodopar 108'!$A:$A,$B241&amp;$E241&amp;$F241&amp;$J241,'Doc''s Pagos | Rodopar 108'!$B:$B,Z$1)+SUMIFS('Doc Há Pagar | Rodopar 1015'!$J:$J,'Doc Há Pagar | Rodopar 1015'!$A:$A,$B241&amp;$E241&amp;$F241,'Doc Há Pagar | Rodopar 1015'!$B:$B,Z$1)</f>
        <v>885</v>
      </c>
      <c r="AA241" s="20">
        <f>SUMIFS('Doc''s Pagos | Rodopar 108'!$J:$J,'Doc''s Pagos | Rodopar 108'!$A:$A,$B241&amp;$E241&amp;$F241&amp;$J241,'Doc''s Pagos | Rodopar 108'!$B:$B,AA$1)+SUMIFS('Doc Há Pagar | Rodopar 1015'!$J:$J,'Doc Há Pagar | Rodopar 1015'!$A:$A,$B241&amp;$E241&amp;$F241,'Doc Há Pagar | Rodopar 1015'!$B:$B,AA$1)</f>
        <v>0</v>
      </c>
      <c r="AB241" s="20">
        <f>SUMIFS('Doc''s Pagos | Rodopar 108'!$J:$J,'Doc''s Pagos | Rodopar 108'!$A:$A,$B241&amp;$E241&amp;$F241&amp;$J241,'Doc''s Pagos | Rodopar 108'!$B:$B,AB$1)+SUMIFS('Doc Há Pagar | Rodopar 1015'!$J:$J,'Doc Há Pagar | Rodopar 1015'!$A:$A,$B241&amp;$E241&amp;$F241,'Doc Há Pagar | Rodopar 1015'!$B:$B,AB$1)</f>
        <v>0</v>
      </c>
      <c r="AC241" s="20">
        <f>SUMIFS('Doc''s Pagos | Rodopar 108'!$J:$J,'Doc''s Pagos | Rodopar 108'!$A:$A,$B241&amp;$E241&amp;$F241&amp;$J241,'Doc''s Pagos | Rodopar 108'!$B:$B,AC$1)+SUMIFS('Doc Há Pagar | Rodopar 1015'!$J:$J,'Doc Há Pagar | Rodopar 1015'!$A:$A,$B241&amp;$E241&amp;$F241,'Doc Há Pagar | Rodopar 1015'!$B:$B,AC$1)</f>
        <v>0</v>
      </c>
      <c r="AD241" s="20">
        <f>SUMIFS('Doc''s Pagos | Rodopar 108'!$J:$J,'Doc''s Pagos | Rodopar 108'!$A:$A,$B241&amp;$E241&amp;$F241&amp;$J241,'Doc''s Pagos | Rodopar 108'!$B:$B,AD$1)+SUMIFS('Doc Há Pagar | Rodopar 1015'!$J:$J,'Doc Há Pagar | Rodopar 1015'!$A:$A,$B241&amp;$E241&amp;$F241,'Doc Há Pagar | Rodopar 1015'!$B:$B,AD$1)</f>
        <v>0</v>
      </c>
    </row>
    <row r="242" spans="1:30" x14ac:dyDescent="0.25">
      <c r="A242" s="1" t="str">
        <f>VLOOKUP($E242,Fornecedores!$A:$C,3,0)</f>
        <v>Frota</v>
      </c>
      <c r="B242" s="14">
        <v>123</v>
      </c>
      <c r="C242" s="14" t="str">
        <f>IFERROR(VLOOKUP($E242,Fornecedores!$A:$E,4,0),"")</f>
        <v>Lavagem</v>
      </c>
      <c r="D242" s="14" t="str">
        <f>IFERROR(VLOOKUP($E242,Fornecedores!$A:$E,5,0),"")</f>
        <v>Lavagem</v>
      </c>
      <c r="E242" s="8" t="s">
        <v>92</v>
      </c>
      <c r="F242" s="14" t="s">
        <v>665</v>
      </c>
      <c r="G242" s="8" t="s">
        <v>670</v>
      </c>
      <c r="H242" s="9">
        <v>87</v>
      </c>
      <c r="I242" s="21">
        <v>600</v>
      </c>
      <c r="J242" s="11">
        <v>46185</v>
      </c>
      <c r="K242" s="11">
        <v>46189</v>
      </c>
      <c r="L242" s="8" t="s">
        <v>282</v>
      </c>
      <c r="M242" s="14" t="s">
        <v>234</v>
      </c>
      <c r="N242" s="16">
        <v>1556</v>
      </c>
      <c r="O242" s="14" t="s">
        <v>241</v>
      </c>
      <c r="P242" s="14"/>
      <c r="Q242" s="20">
        <f t="shared" si="3"/>
        <v>0</v>
      </c>
      <c r="S242" s="20">
        <f>SUMIFS('Doc''s Pagos | Rodopar 108'!$J:$J,'Doc''s Pagos | Rodopar 108'!$A:$A,$B242&amp;$E242&amp;$F242&amp;$J242,'Doc''s Pagos | Rodopar 108'!$B:$B,S$1)+SUMIFS('Doc Há Pagar | Rodopar 1015'!$J:$J,'Doc Há Pagar | Rodopar 1015'!$A:$A,$B242&amp;$E242&amp;$F242,'Doc Há Pagar | Rodopar 1015'!$B:$B,S$1)</f>
        <v>0</v>
      </c>
      <c r="T242" s="20">
        <f>SUMIFS('Doc''s Pagos | Rodopar 108'!$J:$J,'Doc''s Pagos | Rodopar 108'!$A:$A,$B242&amp;$E242&amp;$F242&amp;$J242,'Doc''s Pagos | Rodopar 108'!$B:$B,T$1)+SUMIFS('Doc Há Pagar | Rodopar 1015'!$J:$J,'Doc Há Pagar | Rodopar 1015'!$A:$A,$B242&amp;$E242&amp;$F242,'Doc Há Pagar | Rodopar 1015'!$B:$B,T$1)</f>
        <v>0</v>
      </c>
      <c r="U242" s="20">
        <f>SUMIFS('Doc''s Pagos | Rodopar 108'!$J:$J,'Doc''s Pagos | Rodopar 108'!$A:$A,$B242&amp;$E242&amp;$F242&amp;$J242,'Doc''s Pagos | Rodopar 108'!$B:$B,U$1)+SUMIFS('Doc Há Pagar | Rodopar 1015'!$J:$J,'Doc Há Pagar | Rodopar 1015'!$A:$A,$B242&amp;$E242&amp;$F242,'Doc Há Pagar | Rodopar 1015'!$B:$B,U$1)</f>
        <v>0</v>
      </c>
      <c r="V242" s="20">
        <f>SUMIFS('Doc''s Pagos | Rodopar 108'!$J:$J,'Doc''s Pagos | Rodopar 108'!$A:$A,$B242&amp;$E242&amp;$F242&amp;$J242,'Doc''s Pagos | Rodopar 108'!$B:$B,V$1)+SUMIFS('Doc Há Pagar | Rodopar 1015'!$J:$J,'Doc Há Pagar | Rodopar 1015'!$A:$A,$B242&amp;$E242&amp;$F242,'Doc Há Pagar | Rodopar 1015'!$B:$B,V$1)</f>
        <v>0</v>
      </c>
      <c r="W242" s="20">
        <f>SUMIFS('Doc''s Pagos | Rodopar 108'!$J:$J,'Doc''s Pagos | Rodopar 108'!$A:$A,$B242&amp;$E242&amp;$F242&amp;$J242,'Doc''s Pagos | Rodopar 108'!$B:$B,W$1)+SUMIFS('Doc Há Pagar | Rodopar 1015'!$J:$J,'Doc Há Pagar | Rodopar 1015'!$A:$A,$B242&amp;$E242&amp;$F242,'Doc Há Pagar | Rodopar 1015'!$B:$B,W$1)</f>
        <v>0</v>
      </c>
      <c r="X242" s="20">
        <f>SUMIFS('Doc''s Pagos | Rodopar 108'!$J:$J,'Doc''s Pagos | Rodopar 108'!$A:$A,$B242&amp;$E242&amp;$F242&amp;$J242,'Doc''s Pagos | Rodopar 108'!$B:$B,X$1)+SUMIFS('Doc Há Pagar | Rodopar 1015'!$J:$J,'Doc Há Pagar | Rodopar 1015'!$A:$A,$B242&amp;$E242&amp;$F242,'Doc Há Pagar | Rodopar 1015'!$B:$B,X$1)</f>
        <v>0</v>
      </c>
      <c r="Y242" s="20">
        <f>SUMIFS('Doc''s Pagos | Rodopar 108'!$J:$J,'Doc''s Pagos | Rodopar 108'!$A:$A,$B242&amp;$E242&amp;$F242&amp;$J242,'Doc''s Pagos | Rodopar 108'!$B:$B,Y$1)+SUMIFS('Doc Há Pagar | Rodopar 1015'!$J:$J,'Doc Há Pagar | Rodopar 1015'!$A:$A,$B242&amp;$E242&amp;$F242,'Doc Há Pagar | Rodopar 1015'!$B:$B,Y$1)</f>
        <v>600</v>
      </c>
      <c r="Z242" s="20">
        <f>SUMIFS('Doc''s Pagos | Rodopar 108'!$J:$J,'Doc''s Pagos | Rodopar 108'!$A:$A,$B242&amp;$E242&amp;$F242&amp;$J242,'Doc''s Pagos | Rodopar 108'!$B:$B,Z$1)+SUMIFS('Doc Há Pagar | Rodopar 1015'!$J:$J,'Doc Há Pagar | Rodopar 1015'!$A:$A,$B242&amp;$E242&amp;$F242,'Doc Há Pagar | Rodopar 1015'!$B:$B,Z$1)</f>
        <v>0</v>
      </c>
      <c r="AA242" s="20">
        <f>SUMIFS('Doc''s Pagos | Rodopar 108'!$J:$J,'Doc''s Pagos | Rodopar 108'!$A:$A,$B242&amp;$E242&amp;$F242&amp;$J242,'Doc''s Pagos | Rodopar 108'!$B:$B,AA$1)+SUMIFS('Doc Há Pagar | Rodopar 1015'!$J:$J,'Doc Há Pagar | Rodopar 1015'!$A:$A,$B242&amp;$E242&amp;$F242,'Doc Há Pagar | Rodopar 1015'!$B:$B,AA$1)</f>
        <v>0</v>
      </c>
      <c r="AB242" s="20">
        <f>SUMIFS('Doc''s Pagos | Rodopar 108'!$J:$J,'Doc''s Pagos | Rodopar 108'!$A:$A,$B242&amp;$E242&amp;$F242&amp;$J242,'Doc''s Pagos | Rodopar 108'!$B:$B,AB$1)+SUMIFS('Doc Há Pagar | Rodopar 1015'!$J:$J,'Doc Há Pagar | Rodopar 1015'!$A:$A,$B242&amp;$E242&amp;$F242,'Doc Há Pagar | Rodopar 1015'!$B:$B,AB$1)</f>
        <v>0</v>
      </c>
      <c r="AC242" s="20">
        <f>SUMIFS('Doc''s Pagos | Rodopar 108'!$J:$J,'Doc''s Pagos | Rodopar 108'!$A:$A,$B242&amp;$E242&amp;$F242&amp;$J242,'Doc''s Pagos | Rodopar 108'!$B:$B,AC$1)+SUMIFS('Doc Há Pagar | Rodopar 1015'!$J:$J,'Doc Há Pagar | Rodopar 1015'!$A:$A,$B242&amp;$E242&amp;$F242,'Doc Há Pagar | Rodopar 1015'!$B:$B,AC$1)</f>
        <v>0</v>
      </c>
      <c r="AD242" s="20">
        <f>SUMIFS('Doc''s Pagos | Rodopar 108'!$J:$J,'Doc''s Pagos | Rodopar 108'!$A:$A,$B242&amp;$E242&amp;$F242&amp;$J242,'Doc''s Pagos | Rodopar 108'!$B:$B,AD$1)+SUMIFS('Doc Há Pagar | Rodopar 1015'!$J:$J,'Doc Há Pagar | Rodopar 1015'!$A:$A,$B242&amp;$E242&amp;$F242,'Doc Há Pagar | Rodopar 1015'!$B:$B,AD$1)</f>
        <v>0</v>
      </c>
    </row>
    <row r="243" spans="1:30" x14ac:dyDescent="0.25">
      <c r="A243" s="1" t="str">
        <f>VLOOKUP($E243,Fornecedores!$A:$C,3,0)</f>
        <v>Frota</v>
      </c>
      <c r="B243" s="14">
        <v>285</v>
      </c>
      <c r="C243" s="14" t="str">
        <f>IFERROR(VLOOKUP($E243,Fornecedores!$A:$E,4,0),"")</f>
        <v>Manutenção</v>
      </c>
      <c r="D243" s="14" t="str">
        <f>IFERROR(VLOOKUP($E243,Fornecedores!$A:$E,5,0),"")</f>
        <v>Peças E Serviços</v>
      </c>
      <c r="E243" s="8" t="s">
        <v>77</v>
      </c>
      <c r="F243" s="14" t="s">
        <v>665</v>
      </c>
      <c r="G243" s="8" t="s">
        <v>585</v>
      </c>
      <c r="H243" s="9">
        <v>87</v>
      </c>
      <c r="I243" s="21">
        <v>150</v>
      </c>
      <c r="J243" s="11">
        <v>46185</v>
      </c>
      <c r="K243" s="11">
        <v>46188</v>
      </c>
      <c r="L243" s="8" t="s">
        <v>501</v>
      </c>
      <c r="M243" s="14" t="s">
        <v>234</v>
      </c>
      <c r="N243" s="16">
        <v>1556</v>
      </c>
      <c r="O243" s="14" t="s">
        <v>241</v>
      </c>
      <c r="P243" s="14"/>
      <c r="Q243" s="20">
        <f t="shared" si="3"/>
        <v>0</v>
      </c>
      <c r="S243" s="20">
        <f>SUMIFS('Doc''s Pagos | Rodopar 108'!$J:$J,'Doc''s Pagos | Rodopar 108'!$A:$A,$B243&amp;$E243&amp;$F243&amp;$J243,'Doc''s Pagos | Rodopar 108'!$B:$B,S$1)+SUMIFS('Doc Há Pagar | Rodopar 1015'!$J:$J,'Doc Há Pagar | Rodopar 1015'!$A:$A,$B243&amp;$E243&amp;$F243,'Doc Há Pagar | Rodopar 1015'!$B:$B,S$1)</f>
        <v>0</v>
      </c>
      <c r="T243" s="20">
        <f>SUMIFS('Doc''s Pagos | Rodopar 108'!$J:$J,'Doc''s Pagos | Rodopar 108'!$A:$A,$B243&amp;$E243&amp;$F243&amp;$J243,'Doc''s Pagos | Rodopar 108'!$B:$B,T$1)+SUMIFS('Doc Há Pagar | Rodopar 1015'!$J:$J,'Doc Há Pagar | Rodopar 1015'!$A:$A,$B243&amp;$E243&amp;$F243,'Doc Há Pagar | Rodopar 1015'!$B:$B,T$1)</f>
        <v>0</v>
      </c>
      <c r="U243" s="20">
        <f>SUMIFS('Doc''s Pagos | Rodopar 108'!$J:$J,'Doc''s Pagos | Rodopar 108'!$A:$A,$B243&amp;$E243&amp;$F243&amp;$J243,'Doc''s Pagos | Rodopar 108'!$B:$B,U$1)+SUMIFS('Doc Há Pagar | Rodopar 1015'!$J:$J,'Doc Há Pagar | Rodopar 1015'!$A:$A,$B243&amp;$E243&amp;$F243,'Doc Há Pagar | Rodopar 1015'!$B:$B,U$1)</f>
        <v>0</v>
      </c>
      <c r="V243" s="20">
        <f>SUMIFS('Doc''s Pagos | Rodopar 108'!$J:$J,'Doc''s Pagos | Rodopar 108'!$A:$A,$B243&amp;$E243&amp;$F243&amp;$J243,'Doc''s Pagos | Rodopar 108'!$B:$B,V$1)+SUMIFS('Doc Há Pagar | Rodopar 1015'!$J:$J,'Doc Há Pagar | Rodopar 1015'!$A:$A,$B243&amp;$E243&amp;$F243,'Doc Há Pagar | Rodopar 1015'!$B:$B,V$1)</f>
        <v>0</v>
      </c>
      <c r="W243" s="20">
        <f>SUMIFS('Doc''s Pagos | Rodopar 108'!$J:$J,'Doc''s Pagos | Rodopar 108'!$A:$A,$B243&amp;$E243&amp;$F243&amp;$J243,'Doc''s Pagos | Rodopar 108'!$B:$B,W$1)+SUMIFS('Doc Há Pagar | Rodopar 1015'!$J:$J,'Doc Há Pagar | Rodopar 1015'!$A:$A,$B243&amp;$E243&amp;$F243,'Doc Há Pagar | Rodopar 1015'!$B:$B,W$1)</f>
        <v>0</v>
      </c>
      <c r="X243" s="20">
        <f>SUMIFS('Doc''s Pagos | Rodopar 108'!$J:$J,'Doc''s Pagos | Rodopar 108'!$A:$A,$B243&amp;$E243&amp;$F243&amp;$J243,'Doc''s Pagos | Rodopar 108'!$B:$B,X$1)+SUMIFS('Doc Há Pagar | Rodopar 1015'!$J:$J,'Doc Há Pagar | Rodopar 1015'!$A:$A,$B243&amp;$E243&amp;$F243,'Doc Há Pagar | Rodopar 1015'!$B:$B,X$1)</f>
        <v>0</v>
      </c>
      <c r="Y243" s="20">
        <f>SUMIFS('Doc''s Pagos | Rodopar 108'!$J:$J,'Doc''s Pagos | Rodopar 108'!$A:$A,$B243&amp;$E243&amp;$F243&amp;$J243,'Doc''s Pagos | Rodopar 108'!$B:$B,Y$1)+SUMIFS('Doc Há Pagar | Rodopar 1015'!$J:$J,'Doc Há Pagar | Rodopar 1015'!$A:$A,$B243&amp;$E243&amp;$F243,'Doc Há Pagar | Rodopar 1015'!$B:$B,Y$1)</f>
        <v>150</v>
      </c>
      <c r="Z243" s="20">
        <f>SUMIFS('Doc''s Pagos | Rodopar 108'!$J:$J,'Doc''s Pagos | Rodopar 108'!$A:$A,$B243&amp;$E243&amp;$F243&amp;$J243,'Doc''s Pagos | Rodopar 108'!$B:$B,Z$1)+SUMIFS('Doc Há Pagar | Rodopar 1015'!$J:$J,'Doc Há Pagar | Rodopar 1015'!$A:$A,$B243&amp;$E243&amp;$F243,'Doc Há Pagar | Rodopar 1015'!$B:$B,Z$1)</f>
        <v>0</v>
      </c>
      <c r="AA243" s="20">
        <f>SUMIFS('Doc''s Pagos | Rodopar 108'!$J:$J,'Doc''s Pagos | Rodopar 108'!$A:$A,$B243&amp;$E243&amp;$F243&amp;$J243,'Doc''s Pagos | Rodopar 108'!$B:$B,AA$1)+SUMIFS('Doc Há Pagar | Rodopar 1015'!$J:$J,'Doc Há Pagar | Rodopar 1015'!$A:$A,$B243&amp;$E243&amp;$F243,'Doc Há Pagar | Rodopar 1015'!$B:$B,AA$1)</f>
        <v>0</v>
      </c>
      <c r="AB243" s="20">
        <f>SUMIFS('Doc''s Pagos | Rodopar 108'!$J:$J,'Doc''s Pagos | Rodopar 108'!$A:$A,$B243&amp;$E243&amp;$F243&amp;$J243,'Doc''s Pagos | Rodopar 108'!$B:$B,AB$1)+SUMIFS('Doc Há Pagar | Rodopar 1015'!$J:$J,'Doc Há Pagar | Rodopar 1015'!$A:$A,$B243&amp;$E243&amp;$F243,'Doc Há Pagar | Rodopar 1015'!$B:$B,AB$1)</f>
        <v>0</v>
      </c>
      <c r="AC243" s="20">
        <f>SUMIFS('Doc''s Pagos | Rodopar 108'!$J:$J,'Doc''s Pagos | Rodopar 108'!$A:$A,$B243&amp;$E243&amp;$F243&amp;$J243,'Doc''s Pagos | Rodopar 108'!$B:$B,AC$1)+SUMIFS('Doc Há Pagar | Rodopar 1015'!$J:$J,'Doc Há Pagar | Rodopar 1015'!$A:$A,$B243&amp;$E243&amp;$F243,'Doc Há Pagar | Rodopar 1015'!$B:$B,AC$1)</f>
        <v>0</v>
      </c>
      <c r="AD243" s="20">
        <f>SUMIFS('Doc''s Pagos | Rodopar 108'!$J:$J,'Doc''s Pagos | Rodopar 108'!$A:$A,$B243&amp;$E243&amp;$F243&amp;$J243,'Doc''s Pagos | Rodopar 108'!$B:$B,AD$1)+SUMIFS('Doc Há Pagar | Rodopar 1015'!$J:$J,'Doc Há Pagar | Rodopar 1015'!$A:$A,$B243&amp;$E243&amp;$F243,'Doc Há Pagar | Rodopar 1015'!$B:$B,AD$1)</f>
        <v>0</v>
      </c>
    </row>
    <row r="244" spans="1:30" x14ac:dyDescent="0.25">
      <c r="A244" s="1" t="str">
        <f>VLOOKUP($E244,Fornecedores!$A:$C,3,0)</f>
        <v>Frota</v>
      </c>
      <c r="B244" s="14" t="s">
        <v>295</v>
      </c>
      <c r="C244" s="14" t="str">
        <f>IFERROR(VLOOKUP($E244,Fornecedores!$A:$E,4,0),"")</f>
        <v>OPE Merchandising</v>
      </c>
      <c r="D244" s="14" t="str">
        <f>IFERROR(VLOOKUP($E244,Fornecedores!$A:$E,5,0),"")</f>
        <v>Locação</v>
      </c>
      <c r="E244" s="8" t="s">
        <v>112</v>
      </c>
      <c r="F244" s="14" t="s">
        <v>232</v>
      </c>
      <c r="G244" s="8" t="s">
        <v>289</v>
      </c>
      <c r="H244" s="9">
        <v>87</v>
      </c>
      <c r="I244" s="21">
        <v>66865.02</v>
      </c>
      <c r="J244" s="11">
        <v>46188</v>
      </c>
      <c r="K244" s="11">
        <v>46225</v>
      </c>
      <c r="L244" s="8" t="s">
        <v>233</v>
      </c>
      <c r="M244" s="14" t="s">
        <v>234</v>
      </c>
      <c r="N244" s="16">
        <v>1556</v>
      </c>
      <c r="O244" s="14" t="s">
        <v>241</v>
      </c>
      <c r="P244" s="14"/>
      <c r="Q244" s="20">
        <f t="shared" si="3"/>
        <v>0</v>
      </c>
      <c r="S244" s="20">
        <f>SUMIFS('Doc''s Pagos | Rodopar 108'!$J:$J,'Doc''s Pagos | Rodopar 108'!$A:$A,$B244&amp;$E244&amp;$F244&amp;$J244,'Doc''s Pagos | Rodopar 108'!$B:$B,S$1)+SUMIFS('Doc Há Pagar | Rodopar 1015'!$J:$J,'Doc Há Pagar | Rodopar 1015'!$A:$A,$B244&amp;$E244&amp;$F244,'Doc Há Pagar | Rodopar 1015'!$B:$B,S$1)</f>
        <v>0</v>
      </c>
      <c r="T244" s="20">
        <f>SUMIFS('Doc''s Pagos | Rodopar 108'!$J:$J,'Doc''s Pagos | Rodopar 108'!$A:$A,$B244&amp;$E244&amp;$F244&amp;$J244,'Doc''s Pagos | Rodopar 108'!$B:$B,T$1)+SUMIFS('Doc Há Pagar | Rodopar 1015'!$J:$J,'Doc Há Pagar | Rodopar 1015'!$A:$A,$B244&amp;$E244&amp;$F244,'Doc Há Pagar | Rodopar 1015'!$B:$B,T$1)</f>
        <v>0</v>
      </c>
      <c r="U244" s="20">
        <f>SUMIFS('Doc''s Pagos | Rodopar 108'!$J:$J,'Doc''s Pagos | Rodopar 108'!$A:$A,$B244&amp;$E244&amp;$F244&amp;$J244,'Doc''s Pagos | Rodopar 108'!$B:$B,U$1)+SUMIFS('Doc Há Pagar | Rodopar 1015'!$J:$J,'Doc Há Pagar | Rodopar 1015'!$A:$A,$B244&amp;$E244&amp;$F244,'Doc Há Pagar | Rodopar 1015'!$B:$B,U$1)</f>
        <v>0</v>
      </c>
      <c r="V244" s="20">
        <f>SUMIFS('Doc''s Pagos | Rodopar 108'!$J:$J,'Doc''s Pagos | Rodopar 108'!$A:$A,$B244&amp;$E244&amp;$F244&amp;$J244,'Doc''s Pagos | Rodopar 108'!$B:$B,V$1)+SUMIFS('Doc Há Pagar | Rodopar 1015'!$J:$J,'Doc Há Pagar | Rodopar 1015'!$A:$A,$B244&amp;$E244&amp;$F244,'Doc Há Pagar | Rodopar 1015'!$B:$B,V$1)</f>
        <v>0</v>
      </c>
      <c r="W244" s="20">
        <f>SUMIFS('Doc''s Pagos | Rodopar 108'!$J:$J,'Doc''s Pagos | Rodopar 108'!$A:$A,$B244&amp;$E244&amp;$F244&amp;$J244,'Doc''s Pagos | Rodopar 108'!$B:$B,W$1)+SUMIFS('Doc Há Pagar | Rodopar 1015'!$J:$J,'Doc Há Pagar | Rodopar 1015'!$A:$A,$B244&amp;$E244&amp;$F244,'Doc Há Pagar | Rodopar 1015'!$B:$B,W$1)</f>
        <v>0</v>
      </c>
      <c r="X244" s="20">
        <f>SUMIFS('Doc''s Pagos | Rodopar 108'!$J:$J,'Doc''s Pagos | Rodopar 108'!$A:$A,$B244&amp;$E244&amp;$F244&amp;$J244,'Doc''s Pagos | Rodopar 108'!$B:$B,X$1)+SUMIFS('Doc Há Pagar | Rodopar 1015'!$J:$J,'Doc Há Pagar | Rodopar 1015'!$A:$A,$B244&amp;$E244&amp;$F244,'Doc Há Pagar | Rodopar 1015'!$B:$B,X$1)</f>
        <v>0</v>
      </c>
      <c r="Y244" s="20">
        <f>SUMIFS('Doc''s Pagos | Rodopar 108'!$J:$J,'Doc''s Pagos | Rodopar 108'!$A:$A,$B244&amp;$E244&amp;$F244&amp;$J244,'Doc''s Pagos | Rodopar 108'!$B:$B,Y$1)+SUMIFS('Doc Há Pagar | Rodopar 1015'!$J:$J,'Doc Há Pagar | Rodopar 1015'!$A:$A,$B244&amp;$E244&amp;$F244,'Doc Há Pagar | Rodopar 1015'!$B:$B,Y$1)</f>
        <v>66865.02</v>
      </c>
      <c r="Z244" s="20">
        <f>SUMIFS('Doc''s Pagos | Rodopar 108'!$J:$J,'Doc''s Pagos | Rodopar 108'!$A:$A,$B244&amp;$E244&amp;$F244&amp;$J244,'Doc''s Pagos | Rodopar 108'!$B:$B,Z$1)+SUMIFS('Doc Há Pagar | Rodopar 1015'!$J:$J,'Doc Há Pagar | Rodopar 1015'!$A:$A,$B244&amp;$E244&amp;$F244,'Doc Há Pagar | Rodopar 1015'!$B:$B,Z$1)</f>
        <v>0</v>
      </c>
      <c r="AA244" s="20">
        <f>SUMIFS('Doc''s Pagos | Rodopar 108'!$J:$J,'Doc''s Pagos | Rodopar 108'!$A:$A,$B244&amp;$E244&amp;$F244&amp;$J244,'Doc''s Pagos | Rodopar 108'!$B:$B,AA$1)+SUMIFS('Doc Há Pagar | Rodopar 1015'!$J:$J,'Doc Há Pagar | Rodopar 1015'!$A:$A,$B244&amp;$E244&amp;$F244,'Doc Há Pagar | Rodopar 1015'!$B:$B,AA$1)</f>
        <v>0</v>
      </c>
      <c r="AB244" s="20">
        <f>SUMIFS('Doc''s Pagos | Rodopar 108'!$J:$J,'Doc''s Pagos | Rodopar 108'!$A:$A,$B244&amp;$E244&amp;$F244&amp;$J244,'Doc''s Pagos | Rodopar 108'!$B:$B,AB$1)+SUMIFS('Doc Há Pagar | Rodopar 1015'!$J:$J,'Doc Há Pagar | Rodopar 1015'!$A:$A,$B244&amp;$E244&amp;$F244,'Doc Há Pagar | Rodopar 1015'!$B:$B,AB$1)</f>
        <v>0</v>
      </c>
      <c r="AC244" s="20">
        <f>SUMIFS('Doc''s Pagos | Rodopar 108'!$J:$J,'Doc''s Pagos | Rodopar 108'!$A:$A,$B244&amp;$E244&amp;$F244&amp;$J244,'Doc''s Pagos | Rodopar 108'!$B:$B,AC$1)+SUMIFS('Doc Há Pagar | Rodopar 1015'!$J:$J,'Doc Há Pagar | Rodopar 1015'!$A:$A,$B244&amp;$E244&amp;$F244,'Doc Há Pagar | Rodopar 1015'!$B:$B,AC$1)</f>
        <v>0</v>
      </c>
      <c r="AD244" s="20">
        <f>SUMIFS('Doc''s Pagos | Rodopar 108'!$J:$J,'Doc''s Pagos | Rodopar 108'!$A:$A,$B244&amp;$E244&amp;$F244&amp;$J244,'Doc''s Pagos | Rodopar 108'!$B:$B,AD$1)+SUMIFS('Doc Há Pagar | Rodopar 1015'!$J:$J,'Doc Há Pagar | Rodopar 1015'!$A:$A,$B244&amp;$E244&amp;$F244,'Doc Há Pagar | Rodopar 1015'!$B:$B,AD$1)</f>
        <v>0</v>
      </c>
    </row>
    <row r="245" spans="1:30" x14ac:dyDescent="0.25">
      <c r="A245" s="1" t="str">
        <f>VLOOKUP($E245,Fornecedores!$A:$C,3,0)</f>
        <v>Frota</v>
      </c>
      <c r="B245" s="14">
        <v>87</v>
      </c>
      <c r="C245" s="14" t="str">
        <f>IFERROR(VLOOKUP($E245,Fornecedores!$A:$E,4,0),"")</f>
        <v>Manutenção</v>
      </c>
      <c r="D245" s="14" t="str">
        <f>IFERROR(VLOOKUP($E245,Fornecedores!$A:$E,5,0),"")</f>
        <v>Peças E Serviços</v>
      </c>
      <c r="E245" s="8" t="s">
        <v>67</v>
      </c>
      <c r="F245" s="14" t="s">
        <v>665</v>
      </c>
      <c r="G245" s="8" t="s">
        <v>931</v>
      </c>
      <c r="H245" s="9">
        <v>87</v>
      </c>
      <c r="I245" s="21">
        <v>2700</v>
      </c>
      <c r="J245" s="11">
        <v>46188</v>
      </c>
      <c r="K245" s="11">
        <v>46189</v>
      </c>
      <c r="L245" s="8" t="s">
        <v>932</v>
      </c>
      <c r="M245" s="14" t="s">
        <v>234</v>
      </c>
      <c r="N245" s="16">
        <v>1556</v>
      </c>
      <c r="O245" s="14" t="s">
        <v>241</v>
      </c>
      <c r="P245" s="14"/>
      <c r="Q245" s="20">
        <f t="shared" si="3"/>
        <v>0</v>
      </c>
      <c r="S245" s="20">
        <f>SUMIFS('Doc''s Pagos | Rodopar 108'!$J:$J,'Doc''s Pagos | Rodopar 108'!$A:$A,$B245&amp;$E245&amp;$F245&amp;$J245,'Doc''s Pagos | Rodopar 108'!$B:$B,S$1)+SUMIFS('Doc Há Pagar | Rodopar 1015'!$J:$J,'Doc Há Pagar | Rodopar 1015'!$A:$A,$B245&amp;$E245&amp;$F245,'Doc Há Pagar | Rodopar 1015'!$B:$B,S$1)</f>
        <v>0</v>
      </c>
      <c r="T245" s="20">
        <f>SUMIFS('Doc''s Pagos | Rodopar 108'!$J:$J,'Doc''s Pagos | Rodopar 108'!$A:$A,$B245&amp;$E245&amp;$F245&amp;$J245,'Doc''s Pagos | Rodopar 108'!$B:$B,T$1)+SUMIFS('Doc Há Pagar | Rodopar 1015'!$J:$J,'Doc Há Pagar | Rodopar 1015'!$A:$A,$B245&amp;$E245&amp;$F245,'Doc Há Pagar | Rodopar 1015'!$B:$B,T$1)</f>
        <v>0</v>
      </c>
      <c r="U245" s="20">
        <f>SUMIFS('Doc''s Pagos | Rodopar 108'!$J:$J,'Doc''s Pagos | Rodopar 108'!$A:$A,$B245&amp;$E245&amp;$F245&amp;$J245,'Doc''s Pagos | Rodopar 108'!$B:$B,U$1)+SUMIFS('Doc Há Pagar | Rodopar 1015'!$J:$J,'Doc Há Pagar | Rodopar 1015'!$A:$A,$B245&amp;$E245&amp;$F245,'Doc Há Pagar | Rodopar 1015'!$B:$B,U$1)</f>
        <v>0</v>
      </c>
      <c r="V245" s="20">
        <f>SUMIFS('Doc''s Pagos | Rodopar 108'!$J:$J,'Doc''s Pagos | Rodopar 108'!$A:$A,$B245&amp;$E245&amp;$F245&amp;$J245,'Doc''s Pagos | Rodopar 108'!$B:$B,V$1)+SUMIFS('Doc Há Pagar | Rodopar 1015'!$J:$J,'Doc Há Pagar | Rodopar 1015'!$A:$A,$B245&amp;$E245&amp;$F245,'Doc Há Pagar | Rodopar 1015'!$B:$B,V$1)</f>
        <v>0</v>
      </c>
      <c r="W245" s="20">
        <f>SUMIFS('Doc''s Pagos | Rodopar 108'!$J:$J,'Doc''s Pagos | Rodopar 108'!$A:$A,$B245&amp;$E245&amp;$F245&amp;$J245,'Doc''s Pagos | Rodopar 108'!$B:$B,W$1)+SUMIFS('Doc Há Pagar | Rodopar 1015'!$J:$J,'Doc Há Pagar | Rodopar 1015'!$A:$A,$B245&amp;$E245&amp;$F245,'Doc Há Pagar | Rodopar 1015'!$B:$B,W$1)</f>
        <v>0</v>
      </c>
      <c r="X245" s="20">
        <f>SUMIFS('Doc''s Pagos | Rodopar 108'!$J:$J,'Doc''s Pagos | Rodopar 108'!$A:$A,$B245&amp;$E245&amp;$F245&amp;$J245,'Doc''s Pagos | Rodopar 108'!$B:$B,X$1)+SUMIFS('Doc Há Pagar | Rodopar 1015'!$J:$J,'Doc Há Pagar | Rodopar 1015'!$A:$A,$B245&amp;$E245&amp;$F245,'Doc Há Pagar | Rodopar 1015'!$B:$B,X$1)</f>
        <v>0</v>
      </c>
      <c r="Y245" s="20">
        <f>SUMIFS('Doc''s Pagos | Rodopar 108'!$J:$J,'Doc''s Pagos | Rodopar 108'!$A:$A,$B245&amp;$E245&amp;$F245&amp;$J245,'Doc''s Pagos | Rodopar 108'!$B:$B,Y$1)+SUMIFS('Doc Há Pagar | Rodopar 1015'!$J:$J,'Doc Há Pagar | Rodopar 1015'!$A:$A,$B245&amp;$E245&amp;$F245,'Doc Há Pagar | Rodopar 1015'!$B:$B,Y$1)</f>
        <v>2700</v>
      </c>
      <c r="Z245" s="20">
        <f>SUMIFS('Doc''s Pagos | Rodopar 108'!$J:$J,'Doc''s Pagos | Rodopar 108'!$A:$A,$B245&amp;$E245&amp;$F245&amp;$J245,'Doc''s Pagos | Rodopar 108'!$B:$B,Z$1)+SUMIFS('Doc Há Pagar | Rodopar 1015'!$J:$J,'Doc Há Pagar | Rodopar 1015'!$A:$A,$B245&amp;$E245&amp;$F245,'Doc Há Pagar | Rodopar 1015'!$B:$B,Z$1)</f>
        <v>0</v>
      </c>
      <c r="AA245" s="20">
        <f>SUMIFS('Doc''s Pagos | Rodopar 108'!$J:$J,'Doc''s Pagos | Rodopar 108'!$A:$A,$B245&amp;$E245&amp;$F245&amp;$J245,'Doc''s Pagos | Rodopar 108'!$B:$B,AA$1)+SUMIFS('Doc Há Pagar | Rodopar 1015'!$J:$J,'Doc Há Pagar | Rodopar 1015'!$A:$A,$B245&amp;$E245&amp;$F245,'Doc Há Pagar | Rodopar 1015'!$B:$B,AA$1)</f>
        <v>0</v>
      </c>
      <c r="AB245" s="20">
        <f>SUMIFS('Doc''s Pagos | Rodopar 108'!$J:$J,'Doc''s Pagos | Rodopar 108'!$A:$A,$B245&amp;$E245&amp;$F245&amp;$J245,'Doc''s Pagos | Rodopar 108'!$B:$B,AB$1)+SUMIFS('Doc Há Pagar | Rodopar 1015'!$J:$J,'Doc Há Pagar | Rodopar 1015'!$A:$A,$B245&amp;$E245&amp;$F245,'Doc Há Pagar | Rodopar 1015'!$B:$B,AB$1)</f>
        <v>0</v>
      </c>
      <c r="AC245" s="20">
        <f>SUMIFS('Doc''s Pagos | Rodopar 108'!$J:$J,'Doc''s Pagos | Rodopar 108'!$A:$A,$B245&amp;$E245&amp;$F245&amp;$J245,'Doc''s Pagos | Rodopar 108'!$B:$B,AC$1)+SUMIFS('Doc Há Pagar | Rodopar 1015'!$J:$J,'Doc Há Pagar | Rodopar 1015'!$A:$A,$B245&amp;$E245&amp;$F245,'Doc Há Pagar | Rodopar 1015'!$B:$B,AC$1)</f>
        <v>0</v>
      </c>
      <c r="AD245" s="20">
        <f>SUMIFS('Doc''s Pagos | Rodopar 108'!$J:$J,'Doc''s Pagos | Rodopar 108'!$A:$A,$B245&amp;$E245&amp;$F245&amp;$J245,'Doc''s Pagos | Rodopar 108'!$B:$B,AD$1)+SUMIFS('Doc Há Pagar | Rodopar 1015'!$J:$J,'Doc Há Pagar | Rodopar 1015'!$A:$A,$B245&amp;$E245&amp;$F245,'Doc Há Pagar | Rodopar 1015'!$B:$B,AD$1)</f>
        <v>0</v>
      </c>
    </row>
    <row r="246" spans="1:30" x14ac:dyDescent="0.25">
      <c r="A246" s="1" t="str">
        <f>VLOOKUP($E246,Fornecedores!$A:$C,3,0)</f>
        <v>Frota</v>
      </c>
      <c r="B246" s="14">
        <v>1020378</v>
      </c>
      <c r="C246" s="14" t="str">
        <f>IFERROR(VLOOKUP($E246,Fornecedores!$A:$E,4,0),"")</f>
        <v>Manutenção</v>
      </c>
      <c r="D246" s="14" t="str">
        <f>IFERROR(VLOOKUP($E246,Fornecedores!$A:$E,5,0),"")</f>
        <v>Caminhão</v>
      </c>
      <c r="E246" s="8" t="s">
        <v>190</v>
      </c>
      <c r="F246" s="14" t="s">
        <v>380</v>
      </c>
      <c r="G246" s="8" t="s">
        <v>381</v>
      </c>
      <c r="H246" s="9">
        <v>87</v>
      </c>
      <c r="I246" s="21">
        <v>1827.44</v>
      </c>
      <c r="J246" s="11">
        <v>46190</v>
      </c>
      <c r="K246" s="11">
        <v>46196</v>
      </c>
      <c r="L246" s="8" t="s">
        <v>382</v>
      </c>
      <c r="M246" s="14" t="s">
        <v>234</v>
      </c>
      <c r="N246" s="16">
        <v>1556</v>
      </c>
      <c r="O246" s="14" t="s">
        <v>241</v>
      </c>
      <c r="P246" s="14"/>
      <c r="Q246" s="20">
        <f t="shared" si="3"/>
        <v>0</v>
      </c>
      <c r="S246" s="20">
        <f>SUMIFS('Doc''s Pagos | Rodopar 108'!$J:$J,'Doc''s Pagos | Rodopar 108'!$A:$A,$B246&amp;$E246&amp;$F246&amp;$J246,'Doc''s Pagos | Rodopar 108'!$B:$B,S$1)+SUMIFS('Doc Há Pagar | Rodopar 1015'!$J:$J,'Doc Há Pagar | Rodopar 1015'!$A:$A,$B246&amp;$E246&amp;$F246,'Doc Há Pagar | Rodopar 1015'!$B:$B,S$1)</f>
        <v>0</v>
      </c>
      <c r="T246" s="20">
        <f>SUMIFS('Doc''s Pagos | Rodopar 108'!$J:$J,'Doc''s Pagos | Rodopar 108'!$A:$A,$B246&amp;$E246&amp;$F246&amp;$J246,'Doc''s Pagos | Rodopar 108'!$B:$B,T$1)+SUMIFS('Doc Há Pagar | Rodopar 1015'!$J:$J,'Doc Há Pagar | Rodopar 1015'!$A:$A,$B246&amp;$E246&amp;$F246,'Doc Há Pagar | Rodopar 1015'!$B:$B,T$1)</f>
        <v>0</v>
      </c>
      <c r="U246" s="20">
        <f>SUMIFS('Doc''s Pagos | Rodopar 108'!$J:$J,'Doc''s Pagos | Rodopar 108'!$A:$A,$B246&amp;$E246&amp;$F246&amp;$J246,'Doc''s Pagos | Rodopar 108'!$B:$B,U$1)+SUMIFS('Doc Há Pagar | Rodopar 1015'!$J:$J,'Doc Há Pagar | Rodopar 1015'!$A:$A,$B246&amp;$E246&amp;$F246,'Doc Há Pagar | Rodopar 1015'!$B:$B,U$1)</f>
        <v>0</v>
      </c>
      <c r="V246" s="20">
        <f>SUMIFS('Doc''s Pagos | Rodopar 108'!$J:$J,'Doc''s Pagos | Rodopar 108'!$A:$A,$B246&amp;$E246&amp;$F246&amp;$J246,'Doc''s Pagos | Rodopar 108'!$B:$B,V$1)+SUMIFS('Doc Há Pagar | Rodopar 1015'!$J:$J,'Doc Há Pagar | Rodopar 1015'!$A:$A,$B246&amp;$E246&amp;$F246,'Doc Há Pagar | Rodopar 1015'!$B:$B,V$1)</f>
        <v>0</v>
      </c>
      <c r="W246" s="20">
        <f>SUMIFS('Doc''s Pagos | Rodopar 108'!$J:$J,'Doc''s Pagos | Rodopar 108'!$A:$A,$B246&amp;$E246&amp;$F246&amp;$J246,'Doc''s Pagos | Rodopar 108'!$B:$B,W$1)+SUMIFS('Doc Há Pagar | Rodopar 1015'!$J:$J,'Doc Há Pagar | Rodopar 1015'!$A:$A,$B246&amp;$E246&amp;$F246,'Doc Há Pagar | Rodopar 1015'!$B:$B,W$1)</f>
        <v>0</v>
      </c>
      <c r="X246" s="20">
        <f>SUMIFS('Doc''s Pagos | Rodopar 108'!$J:$J,'Doc''s Pagos | Rodopar 108'!$A:$A,$B246&amp;$E246&amp;$F246&amp;$J246,'Doc''s Pagos | Rodopar 108'!$B:$B,X$1)+SUMIFS('Doc Há Pagar | Rodopar 1015'!$J:$J,'Doc Há Pagar | Rodopar 1015'!$A:$A,$B246&amp;$E246&amp;$F246,'Doc Há Pagar | Rodopar 1015'!$B:$B,X$1)</f>
        <v>0</v>
      </c>
      <c r="Y246" s="20">
        <f>SUMIFS('Doc''s Pagos | Rodopar 108'!$J:$J,'Doc''s Pagos | Rodopar 108'!$A:$A,$B246&amp;$E246&amp;$F246&amp;$J246,'Doc''s Pagos | Rodopar 108'!$B:$B,Y$1)+SUMIFS('Doc Há Pagar | Rodopar 1015'!$J:$J,'Doc Há Pagar | Rodopar 1015'!$A:$A,$B246&amp;$E246&amp;$F246,'Doc Há Pagar | Rodopar 1015'!$B:$B,Y$1)</f>
        <v>1827.44</v>
      </c>
      <c r="Z246" s="20">
        <f>SUMIFS('Doc''s Pagos | Rodopar 108'!$J:$J,'Doc''s Pagos | Rodopar 108'!$A:$A,$B246&amp;$E246&amp;$F246&amp;$J246,'Doc''s Pagos | Rodopar 108'!$B:$B,Z$1)+SUMIFS('Doc Há Pagar | Rodopar 1015'!$J:$J,'Doc Há Pagar | Rodopar 1015'!$A:$A,$B246&amp;$E246&amp;$F246,'Doc Há Pagar | Rodopar 1015'!$B:$B,Z$1)</f>
        <v>0</v>
      </c>
      <c r="AA246" s="20">
        <f>SUMIFS('Doc''s Pagos | Rodopar 108'!$J:$J,'Doc''s Pagos | Rodopar 108'!$A:$A,$B246&amp;$E246&amp;$F246&amp;$J246,'Doc''s Pagos | Rodopar 108'!$B:$B,AA$1)+SUMIFS('Doc Há Pagar | Rodopar 1015'!$J:$J,'Doc Há Pagar | Rodopar 1015'!$A:$A,$B246&amp;$E246&amp;$F246,'Doc Há Pagar | Rodopar 1015'!$B:$B,AA$1)</f>
        <v>0</v>
      </c>
      <c r="AB246" s="20">
        <f>SUMIFS('Doc''s Pagos | Rodopar 108'!$J:$J,'Doc''s Pagos | Rodopar 108'!$A:$A,$B246&amp;$E246&amp;$F246&amp;$J246,'Doc''s Pagos | Rodopar 108'!$B:$B,AB$1)+SUMIFS('Doc Há Pagar | Rodopar 1015'!$J:$J,'Doc Há Pagar | Rodopar 1015'!$A:$A,$B246&amp;$E246&amp;$F246,'Doc Há Pagar | Rodopar 1015'!$B:$B,AB$1)</f>
        <v>0</v>
      </c>
      <c r="AC246" s="20">
        <f>SUMIFS('Doc''s Pagos | Rodopar 108'!$J:$J,'Doc''s Pagos | Rodopar 108'!$A:$A,$B246&amp;$E246&amp;$F246&amp;$J246,'Doc''s Pagos | Rodopar 108'!$B:$B,AC$1)+SUMIFS('Doc Há Pagar | Rodopar 1015'!$J:$J,'Doc Há Pagar | Rodopar 1015'!$A:$A,$B246&amp;$E246&amp;$F246,'Doc Há Pagar | Rodopar 1015'!$B:$B,AC$1)</f>
        <v>0</v>
      </c>
      <c r="AD246" s="20">
        <f>SUMIFS('Doc''s Pagos | Rodopar 108'!$J:$J,'Doc''s Pagos | Rodopar 108'!$A:$A,$B246&amp;$E246&amp;$F246&amp;$J246,'Doc''s Pagos | Rodopar 108'!$B:$B,AD$1)+SUMIFS('Doc Há Pagar | Rodopar 1015'!$J:$J,'Doc Há Pagar | Rodopar 1015'!$A:$A,$B246&amp;$E246&amp;$F246,'Doc Há Pagar | Rodopar 1015'!$B:$B,AD$1)</f>
        <v>0</v>
      </c>
    </row>
    <row r="247" spans="1:30" x14ac:dyDescent="0.25">
      <c r="A247" s="1" t="str">
        <f>VLOOKUP($E247,Fornecedores!$A:$C,3,0)</f>
        <v>Frota</v>
      </c>
      <c r="B247" s="14">
        <v>1020379</v>
      </c>
      <c r="C247" s="14" t="str">
        <f>IFERROR(VLOOKUP($E247,Fornecedores!$A:$E,4,0),"")</f>
        <v>Manutenção</v>
      </c>
      <c r="D247" s="14" t="str">
        <f>IFERROR(VLOOKUP($E247,Fornecedores!$A:$E,5,0),"")</f>
        <v>Caminhão</v>
      </c>
      <c r="E247" s="8" t="s">
        <v>190</v>
      </c>
      <c r="F247" s="14" t="s">
        <v>380</v>
      </c>
      <c r="G247" s="8" t="s">
        <v>381</v>
      </c>
      <c r="H247" s="9">
        <v>87</v>
      </c>
      <c r="I247" s="21">
        <v>1827.44</v>
      </c>
      <c r="J247" s="11">
        <v>46190</v>
      </c>
      <c r="K247" s="11">
        <v>46196</v>
      </c>
      <c r="L247" s="8" t="s">
        <v>382</v>
      </c>
      <c r="M247" s="14" t="s">
        <v>234</v>
      </c>
      <c r="N247" s="16">
        <v>1556</v>
      </c>
      <c r="O247" s="14" t="s">
        <v>241</v>
      </c>
      <c r="P247" s="14"/>
      <c r="Q247" s="20">
        <f t="shared" si="3"/>
        <v>0</v>
      </c>
      <c r="S247" s="20">
        <f>SUMIFS('Doc''s Pagos | Rodopar 108'!$J:$J,'Doc''s Pagos | Rodopar 108'!$A:$A,$B247&amp;$E247&amp;$F247&amp;$J247,'Doc''s Pagos | Rodopar 108'!$B:$B,S$1)+SUMIFS('Doc Há Pagar | Rodopar 1015'!$J:$J,'Doc Há Pagar | Rodopar 1015'!$A:$A,$B247&amp;$E247&amp;$F247,'Doc Há Pagar | Rodopar 1015'!$B:$B,S$1)</f>
        <v>0</v>
      </c>
      <c r="T247" s="20">
        <f>SUMIFS('Doc''s Pagos | Rodopar 108'!$J:$J,'Doc''s Pagos | Rodopar 108'!$A:$A,$B247&amp;$E247&amp;$F247&amp;$J247,'Doc''s Pagos | Rodopar 108'!$B:$B,T$1)+SUMIFS('Doc Há Pagar | Rodopar 1015'!$J:$J,'Doc Há Pagar | Rodopar 1015'!$A:$A,$B247&amp;$E247&amp;$F247,'Doc Há Pagar | Rodopar 1015'!$B:$B,T$1)</f>
        <v>0</v>
      </c>
      <c r="U247" s="20">
        <f>SUMIFS('Doc''s Pagos | Rodopar 108'!$J:$J,'Doc''s Pagos | Rodopar 108'!$A:$A,$B247&amp;$E247&amp;$F247&amp;$J247,'Doc''s Pagos | Rodopar 108'!$B:$B,U$1)+SUMIFS('Doc Há Pagar | Rodopar 1015'!$J:$J,'Doc Há Pagar | Rodopar 1015'!$A:$A,$B247&amp;$E247&amp;$F247,'Doc Há Pagar | Rodopar 1015'!$B:$B,U$1)</f>
        <v>0</v>
      </c>
      <c r="V247" s="20">
        <f>SUMIFS('Doc''s Pagos | Rodopar 108'!$J:$J,'Doc''s Pagos | Rodopar 108'!$A:$A,$B247&amp;$E247&amp;$F247&amp;$J247,'Doc''s Pagos | Rodopar 108'!$B:$B,V$1)+SUMIFS('Doc Há Pagar | Rodopar 1015'!$J:$J,'Doc Há Pagar | Rodopar 1015'!$A:$A,$B247&amp;$E247&amp;$F247,'Doc Há Pagar | Rodopar 1015'!$B:$B,V$1)</f>
        <v>0</v>
      </c>
      <c r="W247" s="20">
        <f>SUMIFS('Doc''s Pagos | Rodopar 108'!$J:$J,'Doc''s Pagos | Rodopar 108'!$A:$A,$B247&amp;$E247&amp;$F247&amp;$J247,'Doc''s Pagos | Rodopar 108'!$B:$B,W$1)+SUMIFS('Doc Há Pagar | Rodopar 1015'!$J:$J,'Doc Há Pagar | Rodopar 1015'!$A:$A,$B247&amp;$E247&amp;$F247,'Doc Há Pagar | Rodopar 1015'!$B:$B,W$1)</f>
        <v>0</v>
      </c>
      <c r="X247" s="20">
        <f>SUMIFS('Doc''s Pagos | Rodopar 108'!$J:$J,'Doc''s Pagos | Rodopar 108'!$A:$A,$B247&amp;$E247&amp;$F247&amp;$J247,'Doc''s Pagos | Rodopar 108'!$B:$B,X$1)+SUMIFS('Doc Há Pagar | Rodopar 1015'!$J:$J,'Doc Há Pagar | Rodopar 1015'!$A:$A,$B247&amp;$E247&amp;$F247,'Doc Há Pagar | Rodopar 1015'!$B:$B,X$1)</f>
        <v>0</v>
      </c>
      <c r="Y247" s="20">
        <f>SUMIFS('Doc''s Pagos | Rodopar 108'!$J:$J,'Doc''s Pagos | Rodopar 108'!$A:$A,$B247&amp;$E247&amp;$F247&amp;$J247,'Doc''s Pagos | Rodopar 108'!$B:$B,Y$1)+SUMIFS('Doc Há Pagar | Rodopar 1015'!$J:$J,'Doc Há Pagar | Rodopar 1015'!$A:$A,$B247&amp;$E247&amp;$F247,'Doc Há Pagar | Rodopar 1015'!$B:$B,Y$1)</f>
        <v>1827.44</v>
      </c>
      <c r="Z247" s="20">
        <f>SUMIFS('Doc''s Pagos | Rodopar 108'!$J:$J,'Doc''s Pagos | Rodopar 108'!$A:$A,$B247&amp;$E247&amp;$F247&amp;$J247,'Doc''s Pagos | Rodopar 108'!$B:$B,Z$1)+SUMIFS('Doc Há Pagar | Rodopar 1015'!$J:$J,'Doc Há Pagar | Rodopar 1015'!$A:$A,$B247&amp;$E247&amp;$F247,'Doc Há Pagar | Rodopar 1015'!$B:$B,Z$1)</f>
        <v>0</v>
      </c>
      <c r="AA247" s="20">
        <f>SUMIFS('Doc''s Pagos | Rodopar 108'!$J:$J,'Doc''s Pagos | Rodopar 108'!$A:$A,$B247&amp;$E247&amp;$F247&amp;$J247,'Doc''s Pagos | Rodopar 108'!$B:$B,AA$1)+SUMIFS('Doc Há Pagar | Rodopar 1015'!$J:$J,'Doc Há Pagar | Rodopar 1015'!$A:$A,$B247&amp;$E247&amp;$F247,'Doc Há Pagar | Rodopar 1015'!$B:$B,AA$1)</f>
        <v>0</v>
      </c>
      <c r="AB247" s="20">
        <f>SUMIFS('Doc''s Pagos | Rodopar 108'!$J:$J,'Doc''s Pagos | Rodopar 108'!$A:$A,$B247&amp;$E247&amp;$F247&amp;$J247,'Doc''s Pagos | Rodopar 108'!$B:$B,AB$1)+SUMIFS('Doc Há Pagar | Rodopar 1015'!$J:$J,'Doc Há Pagar | Rodopar 1015'!$A:$A,$B247&amp;$E247&amp;$F247,'Doc Há Pagar | Rodopar 1015'!$B:$B,AB$1)</f>
        <v>0</v>
      </c>
      <c r="AC247" s="20">
        <f>SUMIFS('Doc''s Pagos | Rodopar 108'!$J:$J,'Doc''s Pagos | Rodopar 108'!$A:$A,$B247&amp;$E247&amp;$F247&amp;$J247,'Doc''s Pagos | Rodopar 108'!$B:$B,AC$1)+SUMIFS('Doc Há Pagar | Rodopar 1015'!$J:$J,'Doc Há Pagar | Rodopar 1015'!$A:$A,$B247&amp;$E247&amp;$F247,'Doc Há Pagar | Rodopar 1015'!$B:$B,AC$1)</f>
        <v>0</v>
      </c>
      <c r="AD247" s="20">
        <f>SUMIFS('Doc''s Pagos | Rodopar 108'!$J:$J,'Doc''s Pagos | Rodopar 108'!$A:$A,$B247&amp;$E247&amp;$F247&amp;$J247,'Doc''s Pagos | Rodopar 108'!$B:$B,AD$1)+SUMIFS('Doc Há Pagar | Rodopar 1015'!$J:$J,'Doc Há Pagar | Rodopar 1015'!$A:$A,$B247&amp;$E247&amp;$F247,'Doc Há Pagar | Rodopar 1015'!$B:$B,AD$1)</f>
        <v>0</v>
      </c>
    </row>
    <row r="248" spans="1:30" x14ac:dyDescent="0.25">
      <c r="A248" s="1" t="str">
        <f>VLOOKUP($E248,Fornecedores!$A:$C,3,0)</f>
        <v>Frota</v>
      </c>
      <c r="B248" s="14">
        <v>1020380</v>
      </c>
      <c r="C248" s="14" t="str">
        <f>IFERROR(VLOOKUP($E248,Fornecedores!$A:$E,4,0),"")</f>
        <v>Manutenção</v>
      </c>
      <c r="D248" s="14" t="str">
        <f>IFERROR(VLOOKUP($E248,Fornecedores!$A:$E,5,0),"")</f>
        <v>Caminhão</v>
      </c>
      <c r="E248" s="8" t="s">
        <v>190</v>
      </c>
      <c r="F248" s="14" t="s">
        <v>380</v>
      </c>
      <c r="G248" s="8" t="s">
        <v>381</v>
      </c>
      <c r="H248" s="9">
        <v>87</v>
      </c>
      <c r="I248" s="21">
        <v>1827.44</v>
      </c>
      <c r="J248" s="11">
        <v>46190</v>
      </c>
      <c r="K248" s="11">
        <v>46196</v>
      </c>
      <c r="L248" s="8" t="s">
        <v>382</v>
      </c>
      <c r="M248" s="14" t="s">
        <v>234</v>
      </c>
      <c r="N248" s="16">
        <v>1556</v>
      </c>
      <c r="O248" s="14" t="s">
        <v>241</v>
      </c>
      <c r="P248" s="14"/>
      <c r="Q248" s="20">
        <f t="shared" si="3"/>
        <v>0</v>
      </c>
      <c r="S248" s="20">
        <f>SUMIFS('Doc''s Pagos | Rodopar 108'!$J:$J,'Doc''s Pagos | Rodopar 108'!$A:$A,$B248&amp;$E248&amp;$F248&amp;$J248,'Doc''s Pagos | Rodopar 108'!$B:$B,S$1)+SUMIFS('Doc Há Pagar | Rodopar 1015'!$J:$J,'Doc Há Pagar | Rodopar 1015'!$A:$A,$B248&amp;$E248&amp;$F248,'Doc Há Pagar | Rodopar 1015'!$B:$B,S$1)</f>
        <v>0</v>
      </c>
      <c r="T248" s="20">
        <f>SUMIFS('Doc''s Pagos | Rodopar 108'!$J:$J,'Doc''s Pagos | Rodopar 108'!$A:$A,$B248&amp;$E248&amp;$F248&amp;$J248,'Doc''s Pagos | Rodopar 108'!$B:$B,T$1)+SUMIFS('Doc Há Pagar | Rodopar 1015'!$J:$J,'Doc Há Pagar | Rodopar 1015'!$A:$A,$B248&amp;$E248&amp;$F248,'Doc Há Pagar | Rodopar 1015'!$B:$B,T$1)</f>
        <v>0</v>
      </c>
      <c r="U248" s="20">
        <f>SUMIFS('Doc''s Pagos | Rodopar 108'!$J:$J,'Doc''s Pagos | Rodopar 108'!$A:$A,$B248&amp;$E248&amp;$F248&amp;$J248,'Doc''s Pagos | Rodopar 108'!$B:$B,U$1)+SUMIFS('Doc Há Pagar | Rodopar 1015'!$J:$J,'Doc Há Pagar | Rodopar 1015'!$A:$A,$B248&amp;$E248&amp;$F248,'Doc Há Pagar | Rodopar 1015'!$B:$B,U$1)</f>
        <v>0</v>
      </c>
      <c r="V248" s="20">
        <f>SUMIFS('Doc''s Pagos | Rodopar 108'!$J:$J,'Doc''s Pagos | Rodopar 108'!$A:$A,$B248&amp;$E248&amp;$F248&amp;$J248,'Doc''s Pagos | Rodopar 108'!$B:$B,V$1)+SUMIFS('Doc Há Pagar | Rodopar 1015'!$J:$J,'Doc Há Pagar | Rodopar 1015'!$A:$A,$B248&amp;$E248&amp;$F248,'Doc Há Pagar | Rodopar 1015'!$B:$B,V$1)</f>
        <v>0</v>
      </c>
      <c r="W248" s="20">
        <f>SUMIFS('Doc''s Pagos | Rodopar 108'!$J:$J,'Doc''s Pagos | Rodopar 108'!$A:$A,$B248&amp;$E248&amp;$F248&amp;$J248,'Doc''s Pagos | Rodopar 108'!$B:$B,W$1)+SUMIFS('Doc Há Pagar | Rodopar 1015'!$J:$J,'Doc Há Pagar | Rodopar 1015'!$A:$A,$B248&amp;$E248&amp;$F248,'Doc Há Pagar | Rodopar 1015'!$B:$B,W$1)</f>
        <v>0</v>
      </c>
      <c r="X248" s="20">
        <f>SUMIFS('Doc''s Pagos | Rodopar 108'!$J:$J,'Doc''s Pagos | Rodopar 108'!$A:$A,$B248&amp;$E248&amp;$F248&amp;$J248,'Doc''s Pagos | Rodopar 108'!$B:$B,X$1)+SUMIFS('Doc Há Pagar | Rodopar 1015'!$J:$J,'Doc Há Pagar | Rodopar 1015'!$A:$A,$B248&amp;$E248&amp;$F248,'Doc Há Pagar | Rodopar 1015'!$B:$B,X$1)</f>
        <v>0</v>
      </c>
      <c r="Y248" s="20">
        <f>SUMIFS('Doc''s Pagos | Rodopar 108'!$J:$J,'Doc''s Pagos | Rodopar 108'!$A:$A,$B248&amp;$E248&amp;$F248&amp;$J248,'Doc''s Pagos | Rodopar 108'!$B:$B,Y$1)+SUMIFS('Doc Há Pagar | Rodopar 1015'!$J:$J,'Doc Há Pagar | Rodopar 1015'!$A:$A,$B248&amp;$E248&amp;$F248,'Doc Há Pagar | Rodopar 1015'!$B:$B,Y$1)</f>
        <v>1827.44</v>
      </c>
      <c r="Z248" s="20">
        <f>SUMIFS('Doc''s Pagos | Rodopar 108'!$J:$J,'Doc''s Pagos | Rodopar 108'!$A:$A,$B248&amp;$E248&amp;$F248&amp;$J248,'Doc''s Pagos | Rodopar 108'!$B:$B,Z$1)+SUMIFS('Doc Há Pagar | Rodopar 1015'!$J:$J,'Doc Há Pagar | Rodopar 1015'!$A:$A,$B248&amp;$E248&amp;$F248,'Doc Há Pagar | Rodopar 1015'!$B:$B,Z$1)</f>
        <v>0</v>
      </c>
      <c r="AA248" s="20">
        <f>SUMIFS('Doc''s Pagos | Rodopar 108'!$J:$J,'Doc''s Pagos | Rodopar 108'!$A:$A,$B248&amp;$E248&amp;$F248&amp;$J248,'Doc''s Pagos | Rodopar 108'!$B:$B,AA$1)+SUMIFS('Doc Há Pagar | Rodopar 1015'!$J:$J,'Doc Há Pagar | Rodopar 1015'!$A:$A,$B248&amp;$E248&amp;$F248,'Doc Há Pagar | Rodopar 1015'!$B:$B,AA$1)</f>
        <v>0</v>
      </c>
      <c r="AB248" s="20">
        <f>SUMIFS('Doc''s Pagos | Rodopar 108'!$J:$J,'Doc''s Pagos | Rodopar 108'!$A:$A,$B248&amp;$E248&amp;$F248&amp;$J248,'Doc''s Pagos | Rodopar 108'!$B:$B,AB$1)+SUMIFS('Doc Há Pagar | Rodopar 1015'!$J:$J,'Doc Há Pagar | Rodopar 1015'!$A:$A,$B248&amp;$E248&amp;$F248,'Doc Há Pagar | Rodopar 1015'!$B:$B,AB$1)</f>
        <v>0</v>
      </c>
      <c r="AC248" s="20">
        <f>SUMIFS('Doc''s Pagos | Rodopar 108'!$J:$J,'Doc''s Pagos | Rodopar 108'!$A:$A,$B248&amp;$E248&amp;$F248&amp;$J248,'Doc''s Pagos | Rodopar 108'!$B:$B,AC$1)+SUMIFS('Doc Há Pagar | Rodopar 1015'!$J:$J,'Doc Há Pagar | Rodopar 1015'!$A:$A,$B248&amp;$E248&amp;$F248,'Doc Há Pagar | Rodopar 1015'!$B:$B,AC$1)</f>
        <v>0</v>
      </c>
      <c r="AD248" s="20">
        <f>SUMIFS('Doc''s Pagos | Rodopar 108'!$J:$J,'Doc''s Pagos | Rodopar 108'!$A:$A,$B248&amp;$E248&amp;$F248&amp;$J248,'Doc''s Pagos | Rodopar 108'!$B:$B,AD$1)+SUMIFS('Doc Há Pagar | Rodopar 1015'!$J:$J,'Doc Há Pagar | Rodopar 1015'!$A:$A,$B248&amp;$E248&amp;$F248,'Doc Há Pagar | Rodopar 1015'!$B:$B,AD$1)</f>
        <v>0</v>
      </c>
    </row>
    <row r="249" spans="1:30" x14ac:dyDescent="0.25">
      <c r="A249" s="1" t="str">
        <f>VLOOKUP($E249,Fornecedores!$A:$C,3,0)</f>
        <v>Frota</v>
      </c>
      <c r="B249" s="14">
        <v>5</v>
      </c>
      <c r="C249" s="14" t="str">
        <f>IFERROR(VLOOKUP($E249,Fornecedores!$A:$E,4,0),"")</f>
        <v>Manutenção</v>
      </c>
      <c r="D249" s="14" t="str">
        <f>IFERROR(VLOOKUP($E249,Fornecedores!$A:$E,5,0),"")</f>
        <v>Peças E Serviços</v>
      </c>
      <c r="E249" s="8" t="s">
        <v>124</v>
      </c>
      <c r="F249" s="14" t="s">
        <v>614</v>
      </c>
      <c r="G249" s="8" t="s">
        <v>654</v>
      </c>
      <c r="H249" s="9">
        <v>87</v>
      </c>
      <c r="I249" s="21">
        <v>7500</v>
      </c>
      <c r="J249" s="11">
        <v>46191</v>
      </c>
      <c r="K249" s="11">
        <v>46199</v>
      </c>
      <c r="L249" s="8" t="s">
        <v>233</v>
      </c>
      <c r="M249" s="14" t="s">
        <v>234</v>
      </c>
      <c r="N249" s="16">
        <v>1556</v>
      </c>
      <c r="O249" s="14" t="s">
        <v>250</v>
      </c>
      <c r="P249" s="14"/>
      <c r="Q249" s="20">
        <f t="shared" si="3"/>
        <v>0</v>
      </c>
      <c r="S249" s="20">
        <f>SUMIFS('Doc''s Pagos | Rodopar 108'!$J:$J,'Doc''s Pagos | Rodopar 108'!$A:$A,$B249&amp;$E249&amp;$F249&amp;$J249,'Doc''s Pagos | Rodopar 108'!$B:$B,S$1)+SUMIFS('Doc Há Pagar | Rodopar 1015'!$J:$J,'Doc Há Pagar | Rodopar 1015'!$A:$A,$B249&amp;$E249&amp;$F249,'Doc Há Pagar | Rodopar 1015'!$B:$B,S$1)</f>
        <v>0</v>
      </c>
      <c r="T249" s="20">
        <f>SUMIFS('Doc''s Pagos | Rodopar 108'!$J:$J,'Doc''s Pagos | Rodopar 108'!$A:$A,$B249&amp;$E249&amp;$F249&amp;$J249,'Doc''s Pagos | Rodopar 108'!$B:$B,T$1)+SUMIFS('Doc Há Pagar | Rodopar 1015'!$J:$J,'Doc Há Pagar | Rodopar 1015'!$A:$A,$B249&amp;$E249&amp;$F249,'Doc Há Pagar | Rodopar 1015'!$B:$B,T$1)</f>
        <v>0</v>
      </c>
      <c r="U249" s="20">
        <f>SUMIFS('Doc''s Pagos | Rodopar 108'!$J:$J,'Doc''s Pagos | Rodopar 108'!$A:$A,$B249&amp;$E249&amp;$F249&amp;$J249,'Doc''s Pagos | Rodopar 108'!$B:$B,U$1)+SUMIFS('Doc Há Pagar | Rodopar 1015'!$J:$J,'Doc Há Pagar | Rodopar 1015'!$A:$A,$B249&amp;$E249&amp;$F249,'Doc Há Pagar | Rodopar 1015'!$B:$B,U$1)</f>
        <v>0</v>
      </c>
      <c r="V249" s="20">
        <f>SUMIFS('Doc''s Pagos | Rodopar 108'!$J:$J,'Doc''s Pagos | Rodopar 108'!$A:$A,$B249&amp;$E249&amp;$F249&amp;$J249,'Doc''s Pagos | Rodopar 108'!$B:$B,V$1)+SUMIFS('Doc Há Pagar | Rodopar 1015'!$J:$J,'Doc Há Pagar | Rodopar 1015'!$A:$A,$B249&amp;$E249&amp;$F249,'Doc Há Pagar | Rodopar 1015'!$B:$B,V$1)</f>
        <v>0</v>
      </c>
      <c r="W249" s="20">
        <f>SUMIFS('Doc''s Pagos | Rodopar 108'!$J:$J,'Doc''s Pagos | Rodopar 108'!$A:$A,$B249&amp;$E249&amp;$F249&amp;$J249,'Doc''s Pagos | Rodopar 108'!$B:$B,W$1)+SUMIFS('Doc Há Pagar | Rodopar 1015'!$J:$J,'Doc Há Pagar | Rodopar 1015'!$A:$A,$B249&amp;$E249&amp;$F249,'Doc Há Pagar | Rodopar 1015'!$B:$B,W$1)</f>
        <v>0</v>
      </c>
      <c r="X249" s="20">
        <f>SUMIFS('Doc''s Pagos | Rodopar 108'!$J:$J,'Doc''s Pagos | Rodopar 108'!$A:$A,$B249&amp;$E249&amp;$F249&amp;$J249,'Doc''s Pagos | Rodopar 108'!$B:$B,X$1)+SUMIFS('Doc Há Pagar | Rodopar 1015'!$J:$J,'Doc Há Pagar | Rodopar 1015'!$A:$A,$B249&amp;$E249&amp;$F249,'Doc Há Pagar | Rodopar 1015'!$B:$B,X$1)</f>
        <v>0</v>
      </c>
      <c r="Y249" s="20">
        <f>SUMIFS('Doc''s Pagos | Rodopar 108'!$J:$J,'Doc''s Pagos | Rodopar 108'!$A:$A,$B249&amp;$E249&amp;$F249&amp;$J249,'Doc''s Pagos | Rodopar 108'!$B:$B,Y$1)+SUMIFS('Doc Há Pagar | Rodopar 1015'!$J:$J,'Doc Há Pagar | Rodopar 1015'!$A:$A,$B249&amp;$E249&amp;$F249,'Doc Há Pagar | Rodopar 1015'!$B:$B,Y$1)</f>
        <v>7500</v>
      </c>
      <c r="Z249" s="20">
        <f>SUMIFS('Doc''s Pagos | Rodopar 108'!$J:$J,'Doc''s Pagos | Rodopar 108'!$A:$A,$B249&amp;$E249&amp;$F249&amp;$J249,'Doc''s Pagos | Rodopar 108'!$B:$B,Z$1)+SUMIFS('Doc Há Pagar | Rodopar 1015'!$J:$J,'Doc Há Pagar | Rodopar 1015'!$A:$A,$B249&amp;$E249&amp;$F249,'Doc Há Pagar | Rodopar 1015'!$B:$B,Z$1)</f>
        <v>0</v>
      </c>
      <c r="AA249" s="20">
        <f>SUMIFS('Doc''s Pagos | Rodopar 108'!$J:$J,'Doc''s Pagos | Rodopar 108'!$A:$A,$B249&amp;$E249&amp;$F249&amp;$J249,'Doc''s Pagos | Rodopar 108'!$B:$B,AA$1)+SUMIFS('Doc Há Pagar | Rodopar 1015'!$J:$J,'Doc Há Pagar | Rodopar 1015'!$A:$A,$B249&amp;$E249&amp;$F249,'Doc Há Pagar | Rodopar 1015'!$B:$B,AA$1)</f>
        <v>0</v>
      </c>
      <c r="AB249" s="20">
        <f>SUMIFS('Doc''s Pagos | Rodopar 108'!$J:$J,'Doc''s Pagos | Rodopar 108'!$A:$A,$B249&amp;$E249&amp;$F249&amp;$J249,'Doc''s Pagos | Rodopar 108'!$B:$B,AB$1)+SUMIFS('Doc Há Pagar | Rodopar 1015'!$J:$J,'Doc Há Pagar | Rodopar 1015'!$A:$A,$B249&amp;$E249&amp;$F249,'Doc Há Pagar | Rodopar 1015'!$B:$B,AB$1)</f>
        <v>0</v>
      </c>
      <c r="AC249" s="20">
        <f>SUMIFS('Doc''s Pagos | Rodopar 108'!$J:$J,'Doc''s Pagos | Rodopar 108'!$A:$A,$B249&amp;$E249&amp;$F249&amp;$J249,'Doc''s Pagos | Rodopar 108'!$B:$B,AC$1)+SUMIFS('Doc Há Pagar | Rodopar 1015'!$J:$J,'Doc Há Pagar | Rodopar 1015'!$A:$A,$B249&amp;$E249&amp;$F249,'Doc Há Pagar | Rodopar 1015'!$B:$B,AC$1)</f>
        <v>0</v>
      </c>
      <c r="AD249" s="20">
        <f>SUMIFS('Doc''s Pagos | Rodopar 108'!$J:$J,'Doc''s Pagos | Rodopar 108'!$A:$A,$B249&amp;$E249&amp;$F249&amp;$J249,'Doc''s Pagos | Rodopar 108'!$B:$B,AD$1)+SUMIFS('Doc Há Pagar | Rodopar 1015'!$J:$J,'Doc Há Pagar | Rodopar 1015'!$A:$A,$B249&amp;$E249&amp;$F249,'Doc Há Pagar | Rodopar 1015'!$B:$B,AD$1)</f>
        <v>0</v>
      </c>
    </row>
    <row r="250" spans="1:30" x14ac:dyDescent="0.25">
      <c r="A250" s="1" t="str">
        <f>VLOOKUP($E250,Fornecedores!$A:$C,3,0)</f>
        <v>Frota</v>
      </c>
      <c r="B250" s="14">
        <v>2283</v>
      </c>
      <c r="C250" s="14" t="str">
        <f>IFERROR(VLOOKUP($E250,Fornecedores!$A:$E,4,0),"")</f>
        <v>Pneus</v>
      </c>
      <c r="D250" s="14" t="str">
        <f>IFERROR(VLOOKUP($E250,Fornecedores!$A:$E,5,0),"")</f>
        <v>Ressolagem</v>
      </c>
      <c r="E250" s="8" t="s">
        <v>81</v>
      </c>
      <c r="F250" s="14" t="s">
        <v>665</v>
      </c>
      <c r="G250" s="8" t="s">
        <v>612</v>
      </c>
      <c r="H250" s="9">
        <v>87</v>
      </c>
      <c r="I250" s="21">
        <v>9500</v>
      </c>
      <c r="J250" s="11">
        <v>46192</v>
      </c>
      <c r="K250" s="11">
        <v>46199</v>
      </c>
      <c r="L250" s="8" t="s">
        <v>382</v>
      </c>
      <c r="M250" s="14" t="s">
        <v>234</v>
      </c>
      <c r="N250" s="16">
        <v>1556</v>
      </c>
      <c r="O250" s="14" t="s">
        <v>241</v>
      </c>
      <c r="P250" s="14"/>
      <c r="Q250" s="20">
        <f t="shared" si="3"/>
        <v>0</v>
      </c>
      <c r="S250" s="20">
        <f>SUMIFS('Doc''s Pagos | Rodopar 108'!$J:$J,'Doc''s Pagos | Rodopar 108'!$A:$A,$B250&amp;$E250&amp;$F250&amp;$J250,'Doc''s Pagos | Rodopar 108'!$B:$B,S$1)+SUMIFS('Doc Há Pagar | Rodopar 1015'!$J:$J,'Doc Há Pagar | Rodopar 1015'!$A:$A,$B250&amp;$E250&amp;$F250,'Doc Há Pagar | Rodopar 1015'!$B:$B,S$1)</f>
        <v>0</v>
      </c>
      <c r="T250" s="20">
        <f>SUMIFS('Doc''s Pagos | Rodopar 108'!$J:$J,'Doc''s Pagos | Rodopar 108'!$A:$A,$B250&amp;$E250&amp;$F250&amp;$J250,'Doc''s Pagos | Rodopar 108'!$B:$B,T$1)+SUMIFS('Doc Há Pagar | Rodopar 1015'!$J:$J,'Doc Há Pagar | Rodopar 1015'!$A:$A,$B250&amp;$E250&amp;$F250,'Doc Há Pagar | Rodopar 1015'!$B:$B,T$1)</f>
        <v>0</v>
      </c>
      <c r="U250" s="20">
        <f>SUMIFS('Doc''s Pagos | Rodopar 108'!$J:$J,'Doc''s Pagos | Rodopar 108'!$A:$A,$B250&amp;$E250&amp;$F250&amp;$J250,'Doc''s Pagos | Rodopar 108'!$B:$B,U$1)+SUMIFS('Doc Há Pagar | Rodopar 1015'!$J:$J,'Doc Há Pagar | Rodopar 1015'!$A:$A,$B250&amp;$E250&amp;$F250,'Doc Há Pagar | Rodopar 1015'!$B:$B,U$1)</f>
        <v>0</v>
      </c>
      <c r="V250" s="20">
        <f>SUMIFS('Doc''s Pagos | Rodopar 108'!$J:$J,'Doc''s Pagos | Rodopar 108'!$A:$A,$B250&amp;$E250&amp;$F250&amp;$J250,'Doc''s Pagos | Rodopar 108'!$B:$B,V$1)+SUMIFS('Doc Há Pagar | Rodopar 1015'!$J:$J,'Doc Há Pagar | Rodopar 1015'!$A:$A,$B250&amp;$E250&amp;$F250,'Doc Há Pagar | Rodopar 1015'!$B:$B,V$1)</f>
        <v>0</v>
      </c>
      <c r="W250" s="20">
        <f>SUMIFS('Doc''s Pagos | Rodopar 108'!$J:$J,'Doc''s Pagos | Rodopar 108'!$A:$A,$B250&amp;$E250&amp;$F250&amp;$J250,'Doc''s Pagos | Rodopar 108'!$B:$B,W$1)+SUMIFS('Doc Há Pagar | Rodopar 1015'!$J:$J,'Doc Há Pagar | Rodopar 1015'!$A:$A,$B250&amp;$E250&amp;$F250,'Doc Há Pagar | Rodopar 1015'!$B:$B,W$1)</f>
        <v>0</v>
      </c>
      <c r="X250" s="20">
        <f>SUMIFS('Doc''s Pagos | Rodopar 108'!$J:$J,'Doc''s Pagos | Rodopar 108'!$A:$A,$B250&amp;$E250&amp;$F250&amp;$J250,'Doc''s Pagos | Rodopar 108'!$B:$B,X$1)+SUMIFS('Doc Há Pagar | Rodopar 1015'!$J:$J,'Doc Há Pagar | Rodopar 1015'!$A:$A,$B250&amp;$E250&amp;$F250,'Doc Há Pagar | Rodopar 1015'!$B:$B,X$1)</f>
        <v>0</v>
      </c>
      <c r="Y250" s="20">
        <f>SUMIFS('Doc''s Pagos | Rodopar 108'!$J:$J,'Doc''s Pagos | Rodopar 108'!$A:$A,$B250&amp;$E250&amp;$F250&amp;$J250,'Doc''s Pagos | Rodopar 108'!$B:$B,Y$1)+SUMIFS('Doc Há Pagar | Rodopar 1015'!$J:$J,'Doc Há Pagar | Rodopar 1015'!$A:$A,$B250&amp;$E250&amp;$F250,'Doc Há Pagar | Rodopar 1015'!$B:$B,Y$1)</f>
        <v>3166.67</v>
      </c>
      <c r="Z250" s="20">
        <f>SUMIFS('Doc''s Pagos | Rodopar 108'!$J:$J,'Doc''s Pagos | Rodopar 108'!$A:$A,$B250&amp;$E250&amp;$F250&amp;$J250,'Doc''s Pagos | Rodopar 108'!$B:$B,Z$1)+SUMIFS('Doc Há Pagar | Rodopar 1015'!$J:$J,'Doc Há Pagar | Rodopar 1015'!$A:$A,$B250&amp;$E250&amp;$F250,'Doc Há Pagar | Rodopar 1015'!$B:$B,Z$1)</f>
        <v>3166.66</v>
      </c>
      <c r="AA250" s="20">
        <f>SUMIFS('Doc''s Pagos | Rodopar 108'!$J:$J,'Doc''s Pagos | Rodopar 108'!$A:$A,$B250&amp;$E250&amp;$F250&amp;$J250,'Doc''s Pagos | Rodopar 108'!$B:$B,AA$1)+SUMIFS('Doc Há Pagar | Rodopar 1015'!$J:$J,'Doc Há Pagar | Rodopar 1015'!$A:$A,$B250&amp;$E250&amp;$F250,'Doc Há Pagar | Rodopar 1015'!$B:$B,AA$1)</f>
        <v>3166.67</v>
      </c>
      <c r="AB250" s="20">
        <f>SUMIFS('Doc''s Pagos | Rodopar 108'!$J:$J,'Doc''s Pagos | Rodopar 108'!$A:$A,$B250&amp;$E250&amp;$F250&amp;$J250,'Doc''s Pagos | Rodopar 108'!$B:$B,AB$1)+SUMIFS('Doc Há Pagar | Rodopar 1015'!$J:$J,'Doc Há Pagar | Rodopar 1015'!$A:$A,$B250&amp;$E250&amp;$F250,'Doc Há Pagar | Rodopar 1015'!$B:$B,AB$1)</f>
        <v>0</v>
      </c>
      <c r="AC250" s="20">
        <f>SUMIFS('Doc''s Pagos | Rodopar 108'!$J:$J,'Doc''s Pagos | Rodopar 108'!$A:$A,$B250&amp;$E250&amp;$F250&amp;$J250,'Doc''s Pagos | Rodopar 108'!$B:$B,AC$1)+SUMIFS('Doc Há Pagar | Rodopar 1015'!$J:$J,'Doc Há Pagar | Rodopar 1015'!$A:$A,$B250&amp;$E250&amp;$F250,'Doc Há Pagar | Rodopar 1015'!$B:$B,AC$1)</f>
        <v>0</v>
      </c>
      <c r="AD250" s="20">
        <f>SUMIFS('Doc''s Pagos | Rodopar 108'!$J:$J,'Doc''s Pagos | Rodopar 108'!$A:$A,$B250&amp;$E250&amp;$F250&amp;$J250,'Doc''s Pagos | Rodopar 108'!$B:$B,AD$1)+SUMIFS('Doc Há Pagar | Rodopar 1015'!$J:$J,'Doc Há Pagar | Rodopar 1015'!$A:$A,$B250&amp;$E250&amp;$F250,'Doc Há Pagar | Rodopar 1015'!$B:$B,AD$1)</f>
        <v>0</v>
      </c>
    </row>
    <row r="251" spans="1:30" x14ac:dyDescent="0.25">
      <c r="A251" s="1" t="str">
        <f>VLOOKUP($E251,Fornecedores!$A:$C,3,0)</f>
        <v>Frota</v>
      </c>
      <c r="B251" s="14">
        <v>18624</v>
      </c>
      <c r="C251" s="14" t="str">
        <f>IFERROR(VLOOKUP($E251,Fornecedores!$A:$E,4,0),"")</f>
        <v>Manutenção</v>
      </c>
      <c r="D251" s="14" t="str">
        <f>IFERROR(VLOOKUP($E251,Fornecedores!$A:$E,5,0),"")</f>
        <v>Peças E Serviços</v>
      </c>
      <c r="E251" s="8" t="s">
        <v>25</v>
      </c>
      <c r="F251" s="14" t="s">
        <v>380</v>
      </c>
      <c r="G251" s="8" t="s">
        <v>390</v>
      </c>
      <c r="H251" s="9">
        <v>87</v>
      </c>
      <c r="I251" s="21">
        <v>618</v>
      </c>
      <c r="J251" s="11">
        <v>46197</v>
      </c>
      <c r="K251" s="11">
        <v>46212</v>
      </c>
      <c r="L251" s="8" t="s">
        <v>282</v>
      </c>
      <c r="M251" s="14" t="s">
        <v>234</v>
      </c>
      <c r="N251" s="16">
        <v>1556</v>
      </c>
      <c r="O251" s="14" t="s">
        <v>241</v>
      </c>
      <c r="P251" s="14"/>
      <c r="Q251" s="20">
        <f t="shared" si="3"/>
        <v>0</v>
      </c>
      <c r="S251" s="20">
        <f>SUMIFS('Doc''s Pagos | Rodopar 108'!$J:$J,'Doc''s Pagos | Rodopar 108'!$A:$A,$B251&amp;$E251&amp;$F251&amp;$J251,'Doc''s Pagos | Rodopar 108'!$B:$B,S$1)+SUMIFS('Doc Há Pagar | Rodopar 1015'!$J:$J,'Doc Há Pagar | Rodopar 1015'!$A:$A,$B251&amp;$E251&amp;$F251,'Doc Há Pagar | Rodopar 1015'!$B:$B,S$1)</f>
        <v>0</v>
      </c>
      <c r="T251" s="20">
        <f>SUMIFS('Doc''s Pagos | Rodopar 108'!$J:$J,'Doc''s Pagos | Rodopar 108'!$A:$A,$B251&amp;$E251&amp;$F251&amp;$J251,'Doc''s Pagos | Rodopar 108'!$B:$B,T$1)+SUMIFS('Doc Há Pagar | Rodopar 1015'!$J:$J,'Doc Há Pagar | Rodopar 1015'!$A:$A,$B251&amp;$E251&amp;$F251,'Doc Há Pagar | Rodopar 1015'!$B:$B,T$1)</f>
        <v>0</v>
      </c>
      <c r="U251" s="20">
        <f>SUMIFS('Doc''s Pagos | Rodopar 108'!$J:$J,'Doc''s Pagos | Rodopar 108'!$A:$A,$B251&amp;$E251&amp;$F251&amp;$J251,'Doc''s Pagos | Rodopar 108'!$B:$B,U$1)+SUMIFS('Doc Há Pagar | Rodopar 1015'!$J:$J,'Doc Há Pagar | Rodopar 1015'!$A:$A,$B251&amp;$E251&amp;$F251,'Doc Há Pagar | Rodopar 1015'!$B:$B,U$1)</f>
        <v>0</v>
      </c>
      <c r="V251" s="20">
        <f>SUMIFS('Doc''s Pagos | Rodopar 108'!$J:$J,'Doc''s Pagos | Rodopar 108'!$A:$A,$B251&amp;$E251&amp;$F251&amp;$J251,'Doc''s Pagos | Rodopar 108'!$B:$B,V$1)+SUMIFS('Doc Há Pagar | Rodopar 1015'!$J:$J,'Doc Há Pagar | Rodopar 1015'!$A:$A,$B251&amp;$E251&amp;$F251,'Doc Há Pagar | Rodopar 1015'!$B:$B,V$1)</f>
        <v>0</v>
      </c>
      <c r="W251" s="20">
        <f>SUMIFS('Doc''s Pagos | Rodopar 108'!$J:$J,'Doc''s Pagos | Rodopar 108'!$A:$A,$B251&amp;$E251&amp;$F251&amp;$J251,'Doc''s Pagos | Rodopar 108'!$B:$B,W$1)+SUMIFS('Doc Há Pagar | Rodopar 1015'!$J:$J,'Doc Há Pagar | Rodopar 1015'!$A:$A,$B251&amp;$E251&amp;$F251,'Doc Há Pagar | Rodopar 1015'!$B:$B,W$1)</f>
        <v>0</v>
      </c>
      <c r="X251" s="20">
        <f>SUMIFS('Doc''s Pagos | Rodopar 108'!$J:$J,'Doc''s Pagos | Rodopar 108'!$A:$A,$B251&amp;$E251&amp;$F251&amp;$J251,'Doc''s Pagos | Rodopar 108'!$B:$B,X$1)+SUMIFS('Doc Há Pagar | Rodopar 1015'!$J:$J,'Doc Há Pagar | Rodopar 1015'!$A:$A,$B251&amp;$E251&amp;$F251,'Doc Há Pagar | Rodopar 1015'!$B:$B,X$1)</f>
        <v>0</v>
      </c>
      <c r="Y251" s="20">
        <f>SUMIFS('Doc''s Pagos | Rodopar 108'!$J:$J,'Doc''s Pagos | Rodopar 108'!$A:$A,$B251&amp;$E251&amp;$F251&amp;$J251,'Doc''s Pagos | Rodopar 108'!$B:$B,Y$1)+SUMIFS('Doc Há Pagar | Rodopar 1015'!$J:$J,'Doc Há Pagar | Rodopar 1015'!$A:$A,$B251&amp;$E251&amp;$F251,'Doc Há Pagar | Rodopar 1015'!$B:$B,Y$1)</f>
        <v>0</v>
      </c>
      <c r="Z251" s="20">
        <f>SUMIFS('Doc''s Pagos | Rodopar 108'!$J:$J,'Doc''s Pagos | Rodopar 108'!$A:$A,$B251&amp;$E251&amp;$F251&amp;$J251,'Doc''s Pagos | Rodopar 108'!$B:$B,Z$1)+SUMIFS('Doc Há Pagar | Rodopar 1015'!$J:$J,'Doc Há Pagar | Rodopar 1015'!$A:$A,$B251&amp;$E251&amp;$F251,'Doc Há Pagar | Rodopar 1015'!$B:$B,Z$1)</f>
        <v>618</v>
      </c>
      <c r="AA251" s="20">
        <f>SUMIFS('Doc''s Pagos | Rodopar 108'!$J:$J,'Doc''s Pagos | Rodopar 108'!$A:$A,$B251&amp;$E251&amp;$F251&amp;$J251,'Doc''s Pagos | Rodopar 108'!$B:$B,AA$1)+SUMIFS('Doc Há Pagar | Rodopar 1015'!$J:$J,'Doc Há Pagar | Rodopar 1015'!$A:$A,$B251&amp;$E251&amp;$F251,'Doc Há Pagar | Rodopar 1015'!$B:$B,AA$1)</f>
        <v>0</v>
      </c>
      <c r="AB251" s="20">
        <f>SUMIFS('Doc''s Pagos | Rodopar 108'!$J:$J,'Doc''s Pagos | Rodopar 108'!$A:$A,$B251&amp;$E251&amp;$F251&amp;$J251,'Doc''s Pagos | Rodopar 108'!$B:$B,AB$1)+SUMIFS('Doc Há Pagar | Rodopar 1015'!$J:$J,'Doc Há Pagar | Rodopar 1015'!$A:$A,$B251&amp;$E251&amp;$F251,'Doc Há Pagar | Rodopar 1015'!$B:$B,AB$1)</f>
        <v>0</v>
      </c>
      <c r="AC251" s="20">
        <f>SUMIFS('Doc''s Pagos | Rodopar 108'!$J:$J,'Doc''s Pagos | Rodopar 108'!$A:$A,$B251&amp;$E251&amp;$F251&amp;$J251,'Doc''s Pagos | Rodopar 108'!$B:$B,AC$1)+SUMIFS('Doc Há Pagar | Rodopar 1015'!$J:$J,'Doc Há Pagar | Rodopar 1015'!$A:$A,$B251&amp;$E251&amp;$F251,'Doc Há Pagar | Rodopar 1015'!$B:$B,AC$1)</f>
        <v>0</v>
      </c>
      <c r="AD251" s="20">
        <f>SUMIFS('Doc''s Pagos | Rodopar 108'!$J:$J,'Doc''s Pagos | Rodopar 108'!$A:$A,$B251&amp;$E251&amp;$F251&amp;$J251,'Doc''s Pagos | Rodopar 108'!$B:$B,AD$1)+SUMIFS('Doc Há Pagar | Rodopar 1015'!$J:$J,'Doc Há Pagar | Rodopar 1015'!$A:$A,$B251&amp;$E251&amp;$F251,'Doc Há Pagar | Rodopar 1015'!$B:$B,AD$1)</f>
        <v>0</v>
      </c>
    </row>
    <row r="252" spans="1:30" x14ac:dyDescent="0.25">
      <c r="A252" s="1" t="str">
        <f>VLOOKUP($E252,Fornecedores!$A:$C,3,0)</f>
        <v>Frota</v>
      </c>
      <c r="B252" s="14">
        <v>1438</v>
      </c>
      <c r="C252" s="14" t="str">
        <f>IFERROR(VLOOKUP($E252,Fornecedores!$A:$E,4,0),"")</f>
        <v>Manutenção</v>
      </c>
      <c r="D252" s="14" t="str">
        <f>IFERROR(VLOOKUP($E252,Fornecedores!$A:$E,5,0),"")</f>
        <v>Frota Leve OPE</v>
      </c>
      <c r="E252" s="8" t="s">
        <v>143</v>
      </c>
      <c r="F252" s="14" t="s">
        <v>380</v>
      </c>
      <c r="G252" s="8" t="s">
        <v>412</v>
      </c>
      <c r="H252" s="9">
        <v>87</v>
      </c>
      <c r="I252" s="21">
        <v>415</v>
      </c>
      <c r="J252" s="11">
        <v>46198</v>
      </c>
      <c r="K252" s="11">
        <v>46198</v>
      </c>
      <c r="L252" s="8" t="s">
        <v>282</v>
      </c>
      <c r="M252" s="14" t="s">
        <v>234</v>
      </c>
      <c r="N252" s="16">
        <v>1556</v>
      </c>
      <c r="O252" s="14" t="s">
        <v>250</v>
      </c>
      <c r="P252" s="14"/>
      <c r="Q252" s="20">
        <f t="shared" si="3"/>
        <v>0</v>
      </c>
      <c r="S252" s="20">
        <f>SUMIFS('Doc''s Pagos | Rodopar 108'!$J:$J,'Doc''s Pagos | Rodopar 108'!$A:$A,$B252&amp;$E252&amp;$F252&amp;$J252,'Doc''s Pagos | Rodopar 108'!$B:$B,S$1)+SUMIFS('Doc Há Pagar | Rodopar 1015'!$J:$J,'Doc Há Pagar | Rodopar 1015'!$A:$A,$B252&amp;$E252&amp;$F252,'Doc Há Pagar | Rodopar 1015'!$B:$B,S$1)</f>
        <v>0</v>
      </c>
      <c r="T252" s="20">
        <f>SUMIFS('Doc''s Pagos | Rodopar 108'!$J:$J,'Doc''s Pagos | Rodopar 108'!$A:$A,$B252&amp;$E252&amp;$F252&amp;$J252,'Doc''s Pagos | Rodopar 108'!$B:$B,T$1)+SUMIFS('Doc Há Pagar | Rodopar 1015'!$J:$J,'Doc Há Pagar | Rodopar 1015'!$A:$A,$B252&amp;$E252&amp;$F252,'Doc Há Pagar | Rodopar 1015'!$B:$B,T$1)</f>
        <v>0</v>
      </c>
      <c r="U252" s="20">
        <f>SUMIFS('Doc''s Pagos | Rodopar 108'!$J:$J,'Doc''s Pagos | Rodopar 108'!$A:$A,$B252&amp;$E252&amp;$F252&amp;$J252,'Doc''s Pagos | Rodopar 108'!$B:$B,U$1)+SUMIFS('Doc Há Pagar | Rodopar 1015'!$J:$J,'Doc Há Pagar | Rodopar 1015'!$A:$A,$B252&amp;$E252&amp;$F252,'Doc Há Pagar | Rodopar 1015'!$B:$B,U$1)</f>
        <v>0</v>
      </c>
      <c r="V252" s="20">
        <f>SUMIFS('Doc''s Pagos | Rodopar 108'!$J:$J,'Doc''s Pagos | Rodopar 108'!$A:$A,$B252&amp;$E252&amp;$F252&amp;$J252,'Doc''s Pagos | Rodopar 108'!$B:$B,V$1)+SUMIFS('Doc Há Pagar | Rodopar 1015'!$J:$J,'Doc Há Pagar | Rodopar 1015'!$A:$A,$B252&amp;$E252&amp;$F252,'Doc Há Pagar | Rodopar 1015'!$B:$B,V$1)</f>
        <v>0</v>
      </c>
      <c r="W252" s="20">
        <f>SUMIFS('Doc''s Pagos | Rodopar 108'!$J:$J,'Doc''s Pagos | Rodopar 108'!$A:$A,$B252&amp;$E252&amp;$F252&amp;$J252,'Doc''s Pagos | Rodopar 108'!$B:$B,W$1)+SUMIFS('Doc Há Pagar | Rodopar 1015'!$J:$J,'Doc Há Pagar | Rodopar 1015'!$A:$A,$B252&amp;$E252&amp;$F252,'Doc Há Pagar | Rodopar 1015'!$B:$B,W$1)</f>
        <v>0</v>
      </c>
      <c r="X252" s="20">
        <f>SUMIFS('Doc''s Pagos | Rodopar 108'!$J:$J,'Doc''s Pagos | Rodopar 108'!$A:$A,$B252&amp;$E252&amp;$F252&amp;$J252,'Doc''s Pagos | Rodopar 108'!$B:$B,X$1)+SUMIFS('Doc Há Pagar | Rodopar 1015'!$J:$J,'Doc Há Pagar | Rodopar 1015'!$A:$A,$B252&amp;$E252&amp;$F252,'Doc Há Pagar | Rodopar 1015'!$B:$B,X$1)</f>
        <v>0</v>
      </c>
      <c r="Y252" s="20">
        <f>SUMIFS('Doc''s Pagos | Rodopar 108'!$J:$J,'Doc''s Pagos | Rodopar 108'!$A:$A,$B252&amp;$E252&amp;$F252&amp;$J252,'Doc''s Pagos | Rodopar 108'!$B:$B,Y$1)+SUMIFS('Doc Há Pagar | Rodopar 1015'!$J:$J,'Doc Há Pagar | Rodopar 1015'!$A:$A,$B252&amp;$E252&amp;$F252,'Doc Há Pagar | Rodopar 1015'!$B:$B,Y$1)</f>
        <v>415</v>
      </c>
      <c r="Z252" s="20">
        <f>SUMIFS('Doc''s Pagos | Rodopar 108'!$J:$J,'Doc''s Pagos | Rodopar 108'!$A:$A,$B252&amp;$E252&amp;$F252&amp;$J252,'Doc''s Pagos | Rodopar 108'!$B:$B,Z$1)+SUMIFS('Doc Há Pagar | Rodopar 1015'!$J:$J,'Doc Há Pagar | Rodopar 1015'!$A:$A,$B252&amp;$E252&amp;$F252,'Doc Há Pagar | Rodopar 1015'!$B:$B,Z$1)</f>
        <v>0</v>
      </c>
      <c r="AA252" s="20">
        <f>SUMIFS('Doc''s Pagos | Rodopar 108'!$J:$J,'Doc''s Pagos | Rodopar 108'!$A:$A,$B252&amp;$E252&amp;$F252&amp;$J252,'Doc''s Pagos | Rodopar 108'!$B:$B,AA$1)+SUMIFS('Doc Há Pagar | Rodopar 1015'!$J:$J,'Doc Há Pagar | Rodopar 1015'!$A:$A,$B252&amp;$E252&amp;$F252,'Doc Há Pagar | Rodopar 1015'!$B:$B,AA$1)</f>
        <v>0</v>
      </c>
      <c r="AB252" s="20">
        <f>SUMIFS('Doc''s Pagos | Rodopar 108'!$J:$J,'Doc''s Pagos | Rodopar 108'!$A:$A,$B252&amp;$E252&amp;$F252&amp;$J252,'Doc''s Pagos | Rodopar 108'!$B:$B,AB$1)+SUMIFS('Doc Há Pagar | Rodopar 1015'!$J:$J,'Doc Há Pagar | Rodopar 1015'!$A:$A,$B252&amp;$E252&amp;$F252,'Doc Há Pagar | Rodopar 1015'!$B:$B,AB$1)</f>
        <v>0</v>
      </c>
      <c r="AC252" s="20">
        <f>SUMIFS('Doc''s Pagos | Rodopar 108'!$J:$J,'Doc''s Pagos | Rodopar 108'!$A:$A,$B252&amp;$E252&amp;$F252&amp;$J252,'Doc''s Pagos | Rodopar 108'!$B:$B,AC$1)+SUMIFS('Doc Há Pagar | Rodopar 1015'!$J:$J,'Doc Há Pagar | Rodopar 1015'!$A:$A,$B252&amp;$E252&amp;$F252,'Doc Há Pagar | Rodopar 1015'!$B:$B,AC$1)</f>
        <v>0</v>
      </c>
      <c r="AD252" s="20">
        <f>SUMIFS('Doc''s Pagos | Rodopar 108'!$J:$J,'Doc''s Pagos | Rodopar 108'!$A:$A,$B252&amp;$E252&amp;$F252&amp;$J252,'Doc''s Pagos | Rodopar 108'!$B:$B,AD$1)+SUMIFS('Doc Há Pagar | Rodopar 1015'!$J:$J,'Doc Há Pagar | Rodopar 1015'!$A:$A,$B252&amp;$E252&amp;$F252,'Doc Há Pagar | Rodopar 1015'!$B:$B,AD$1)</f>
        <v>0</v>
      </c>
    </row>
    <row r="253" spans="1:30" x14ac:dyDescent="0.25">
      <c r="A253" s="1" t="str">
        <f>VLOOKUP($E253,Fornecedores!$A:$C,3,0)</f>
        <v>Frota</v>
      </c>
      <c r="B253" s="14">
        <v>14784</v>
      </c>
      <c r="C253" s="14" t="str">
        <f>IFERROR(VLOOKUP($E253,Fornecedores!$A:$E,4,0),"")</f>
        <v>Manutenção</v>
      </c>
      <c r="D253" s="14" t="str">
        <f>IFERROR(VLOOKUP($E253,Fornecedores!$A:$E,5,0),"")</f>
        <v>Peças E Serviços</v>
      </c>
      <c r="E253" s="8" t="s">
        <v>195</v>
      </c>
      <c r="F253" s="14" t="s">
        <v>380</v>
      </c>
      <c r="G253" s="8" t="s">
        <v>418</v>
      </c>
      <c r="H253" s="9">
        <v>87</v>
      </c>
      <c r="I253" s="21">
        <v>817.4</v>
      </c>
      <c r="J253" s="11">
        <v>46198</v>
      </c>
      <c r="K253" s="11">
        <v>46199</v>
      </c>
      <c r="L253" s="8" t="s">
        <v>282</v>
      </c>
      <c r="M253" s="14" t="s">
        <v>234</v>
      </c>
      <c r="N253" s="16">
        <v>1556</v>
      </c>
      <c r="O253" s="14" t="s">
        <v>241</v>
      </c>
      <c r="P253" s="14"/>
      <c r="Q253" s="20">
        <f t="shared" si="3"/>
        <v>0</v>
      </c>
      <c r="S253" s="20">
        <f>SUMIFS('Doc''s Pagos | Rodopar 108'!$J:$J,'Doc''s Pagos | Rodopar 108'!$A:$A,$B253&amp;$E253&amp;$F253&amp;$J253,'Doc''s Pagos | Rodopar 108'!$B:$B,S$1)+SUMIFS('Doc Há Pagar | Rodopar 1015'!$J:$J,'Doc Há Pagar | Rodopar 1015'!$A:$A,$B253&amp;$E253&amp;$F253,'Doc Há Pagar | Rodopar 1015'!$B:$B,S$1)</f>
        <v>0</v>
      </c>
      <c r="T253" s="20">
        <f>SUMIFS('Doc''s Pagos | Rodopar 108'!$J:$J,'Doc''s Pagos | Rodopar 108'!$A:$A,$B253&amp;$E253&amp;$F253&amp;$J253,'Doc''s Pagos | Rodopar 108'!$B:$B,T$1)+SUMIFS('Doc Há Pagar | Rodopar 1015'!$J:$J,'Doc Há Pagar | Rodopar 1015'!$A:$A,$B253&amp;$E253&amp;$F253,'Doc Há Pagar | Rodopar 1015'!$B:$B,T$1)</f>
        <v>0</v>
      </c>
      <c r="U253" s="20">
        <f>SUMIFS('Doc''s Pagos | Rodopar 108'!$J:$J,'Doc''s Pagos | Rodopar 108'!$A:$A,$B253&amp;$E253&amp;$F253&amp;$J253,'Doc''s Pagos | Rodopar 108'!$B:$B,U$1)+SUMIFS('Doc Há Pagar | Rodopar 1015'!$J:$J,'Doc Há Pagar | Rodopar 1015'!$A:$A,$B253&amp;$E253&amp;$F253,'Doc Há Pagar | Rodopar 1015'!$B:$B,U$1)</f>
        <v>0</v>
      </c>
      <c r="V253" s="20">
        <f>SUMIFS('Doc''s Pagos | Rodopar 108'!$J:$J,'Doc''s Pagos | Rodopar 108'!$A:$A,$B253&amp;$E253&amp;$F253&amp;$J253,'Doc''s Pagos | Rodopar 108'!$B:$B,V$1)+SUMIFS('Doc Há Pagar | Rodopar 1015'!$J:$J,'Doc Há Pagar | Rodopar 1015'!$A:$A,$B253&amp;$E253&amp;$F253,'Doc Há Pagar | Rodopar 1015'!$B:$B,V$1)</f>
        <v>0</v>
      </c>
      <c r="W253" s="20">
        <f>SUMIFS('Doc''s Pagos | Rodopar 108'!$J:$J,'Doc''s Pagos | Rodopar 108'!$A:$A,$B253&amp;$E253&amp;$F253&amp;$J253,'Doc''s Pagos | Rodopar 108'!$B:$B,W$1)+SUMIFS('Doc Há Pagar | Rodopar 1015'!$J:$J,'Doc Há Pagar | Rodopar 1015'!$A:$A,$B253&amp;$E253&amp;$F253,'Doc Há Pagar | Rodopar 1015'!$B:$B,W$1)</f>
        <v>0</v>
      </c>
      <c r="X253" s="20">
        <f>SUMIFS('Doc''s Pagos | Rodopar 108'!$J:$J,'Doc''s Pagos | Rodopar 108'!$A:$A,$B253&amp;$E253&amp;$F253&amp;$J253,'Doc''s Pagos | Rodopar 108'!$B:$B,X$1)+SUMIFS('Doc Há Pagar | Rodopar 1015'!$J:$J,'Doc Há Pagar | Rodopar 1015'!$A:$A,$B253&amp;$E253&amp;$F253,'Doc Há Pagar | Rodopar 1015'!$B:$B,X$1)</f>
        <v>0</v>
      </c>
      <c r="Y253" s="20">
        <f>SUMIFS('Doc''s Pagos | Rodopar 108'!$J:$J,'Doc''s Pagos | Rodopar 108'!$A:$A,$B253&amp;$E253&amp;$F253&amp;$J253,'Doc''s Pagos | Rodopar 108'!$B:$B,Y$1)+SUMIFS('Doc Há Pagar | Rodopar 1015'!$J:$J,'Doc Há Pagar | Rodopar 1015'!$A:$A,$B253&amp;$E253&amp;$F253,'Doc Há Pagar | Rodopar 1015'!$B:$B,Y$1)</f>
        <v>817.4</v>
      </c>
      <c r="Z253" s="20">
        <f>SUMIFS('Doc''s Pagos | Rodopar 108'!$J:$J,'Doc''s Pagos | Rodopar 108'!$A:$A,$B253&amp;$E253&amp;$F253&amp;$J253,'Doc''s Pagos | Rodopar 108'!$B:$B,Z$1)+SUMIFS('Doc Há Pagar | Rodopar 1015'!$J:$J,'Doc Há Pagar | Rodopar 1015'!$A:$A,$B253&amp;$E253&amp;$F253,'Doc Há Pagar | Rodopar 1015'!$B:$B,Z$1)</f>
        <v>0</v>
      </c>
      <c r="AA253" s="20">
        <f>SUMIFS('Doc''s Pagos | Rodopar 108'!$J:$J,'Doc''s Pagos | Rodopar 108'!$A:$A,$B253&amp;$E253&amp;$F253&amp;$J253,'Doc''s Pagos | Rodopar 108'!$B:$B,AA$1)+SUMIFS('Doc Há Pagar | Rodopar 1015'!$J:$J,'Doc Há Pagar | Rodopar 1015'!$A:$A,$B253&amp;$E253&amp;$F253,'Doc Há Pagar | Rodopar 1015'!$B:$B,AA$1)</f>
        <v>0</v>
      </c>
      <c r="AB253" s="20">
        <f>SUMIFS('Doc''s Pagos | Rodopar 108'!$J:$J,'Doc''s Pagos | Rodopar 108'!$A:$A,$B253&amp;$E253&amp;$F253&amp;$J253,'Doc''s Pagos | Rodopar 108'!$B:$B,AB$1)+SUMIFS('Doc Há Pagar | Rodopar 1015'!$J:$J,'Doc Há Pagar | Rodopar 1015'!$A:$A,$B253&amp;$E253&amp;$F253,'Doc Há Pagar | Rodopar 1015'!$B:$B,AB$1)</f>
        <v>0</v>
      </c>
      <c r="AC253" s="20">
        <f>SUMIFS('Doc''s Pagos | Rodopar 108'!$J:$J,'Doc''s Pagos | Rodopar 108'!$A:$A,$B253&amp;$E253&amp;$F253&amp;$J253,'Doc''s Pagos | Rodopar 108'!$B:$B,AC$1)+SUMIFS('Doc Há Pagar | Rodopar 1015'!$J:$J,'Doc Há Pagar | Rodopar 1015'!$A:$A,$B253&amp;$E253&amp;$F253,'Doc Há Pagar | Rodopar 1015'!$B:$B,AC$1)</f>
        <v>0</v>
      </c>
      <c r="AD253" s="20">
        <f>SUMIFS('Doc''s Pagos | Rodopar 108'!$J:$J,'Doc''s Pagos | Rodopar 108'!$A:$A,$B253&amp;$E253&amp;$F253&amp;$J253,'Doc''s Pagos | Rodopar 108'!$B:$B,AD$1)+SUMIFS('Doc Há Pagar | Rodopar 1015'!$J:$J,'Doc Há Pagar | Rodopar 1015'!$A:$A,$B253&amp;$E253&amp;$F253,'Doc Há Pagar | Rodopar 1015'!$B:$B,AD$1)</f>
        <v>0</v>
      </c>
    </row>
    <row r="254" spans="1:30" x14ac:dyDescent="0.25">
      <c r="A254" s="1" t="str">
        <f>VLOOKUP($E254,Fornecedores!$A:$C,3,0)</f>
        <v>Frota</v>
      </c>
      <c r="B254" s="14">
        <v>154</v>
      </c>
      <c r="C254" s="14" t="str">
        <f>IFERROR(VLOOKUP($E254,Fornecedores!$A:$E,4,0),"")</f>
        <v>Manutenção</v>
      </c>
      <c r="D254" s="14" t="str">
        <f>IFERROR(VLOOKUP($E254,Fornecedores!$A:$E,5,0),"")</f>
        <v>Frota Leve OPE</v>
      </c>
      <c r="E254" s="8" t="s">
        <v>143</v>
      </c>
      <c r="F254" s="14" t="s">
        <v>614</v>
      </c>
      <c r="G254" s="8" t="s">
        <v>412</v>
      </c>
      <c r="H254" s="9">
        <v>87</v>
      </c>
      <c r="I254" s="21">
        <v>620</v>
      </c>
      <c r="J254" s="11">
        <v>46198</v>
      </c>
      <c r="K254" s="11">
        <v>46198</v>
      </c>
      <c r="L254" s="8" t="s">
        <v>282</v>
      </c>
      <c r="M254" s="14" t="s">
        <v>234</v>
      </c>
      <c r="N254" s="16">
        <v>1556</v>
      </c>
      <c r="O254" s="14" t="s">
        <v>250</v>
      </c>
      <c r="P254" s="14"/>
      <c r="Q254" s="20">
        <f t="shared" si="3"/>
        <v>0</v>
      </c>
      <c r="S254" s="20">
        <f>SUMIFS('Doc''s Pagos | Rodopar 108'!$J:$J,'Doc''s Pagos | Rodopar 108'!$A:$A,$B254&amp;$E254&amp;$F254&amp;$J254,'Doc''s Pagos | Rodopar 108'!$B:$B,S$1)+SUMIFS('Doc Há Pagar | Rodopar 1015'!$J:$J,'Doc Há Pagar | Rodopar 1015'!$A:$A,$B254&amp;$E254&amp;$F254,'Doc Há Pagar | Rodopar 1015'!$B:$B,S$1)</f>
        <v>0</v>
      </c>
      <c r="T254" s="20">
        <f>SUMIFS('Doc''s Pagos | Rodopar 108'!$J:$J,'Doc''s Pagos | Rodopar 108'!$A:$A,$B254&amp;$E254&amp;$F254&amp;$J254,'Doc''s Pagos | Rodopar 108'!$B:$B,T$1)+SUMIFS('Doc Há Pagar | Rodopar 1015'!$J:$J,'Doc Há Pagar | Rodopar 1015'!$A:$A,$B254&amp;$E254&amp;$F254,'Doc Há Pagar | Rodopar 1015'!$B:$B,T$1)</f>
        <v>0</v>
      </c>
      <c r="U254" s="20">
        <f>SUMIFS('Doc''s Pagos | Rodopar 108'!$J:$J,'Doc''s Pagos | Rodopar 108'!$A:$A,$B254&amp;$E254&amp;$F254&amp;$J254,'Doc''s Pagos | Rodopar 108'!$B:$B,U$1)+SUMIFS('Doc Há Pagar | Rodopar 1015'!$J:$J,'Doc Há Pagar | Rodopar 1015'!$A:$A,$B254&amp;$E254&amp;$F254,'Doc Há Pagar | Rodopar 1015'!$B:$B,U$1)</f>
        <v>0</v>
      </c>
      <c r="V254" s="20">
        <f>SUMIFS('Doc''s Pagos | Rodopar 108'!$J:$J,'Doc''s Pagos | Rodopar 108'!$A:$A,$B254&amp;$E254&amp;$F254&amp;$J254,'Doc''s Pagos | Rodopar 108'!$B:$B,V$1)+SUMIFS('Doc Há Pagar | Rodopar 1015'!$J:$J,'Doc Há Pagar | Rodopar 1015'!$A:$A,$B254&amp;$E254&amp;$F254,'Doc Há Pagar | Rodopar 1015'!$B:$B,V$1)</f>
        <v>0</v>
      </c>
      <c r="W254" s="20">
        <f>SUMIFS('Doc''s Pagos | Rodopar 108'!$J:$J,'Doc''s Pagos | Rodopar 108'!$A:$A,$B254&amp;$E254&amp;$F254&amp;$J254,'Doc''s Pagos | Rodopar 108'!$B:$B,W$1)+SUMIFS('Doc Há Pagar | Rodopar 1015'!$J:$J,'Doc Há Pagar | Rodopar 1015'!$A:$A,$B254&amp;$E254&amp;$F254,'Doc Há Pagar | Rodopar 1015'!$B:$B,W$1)</f>
        <v>0</v>
      </c>
      <c r="X254" s="20">
        <f>SUMIFS('Doc''s Pagos | Rodopar 108'!$J:$J,'Doc''s Pagos | Rodopar 108'!$A:$A,$B254&amp;$E254&amp;$F254&amp;$J254,'Doc''s Pagos | Rodopar 108'!$B:$B,X$1)+SUMIFS('Doc Há Pagar | Rodopar 1015'!$J:$J,'Doc Há Pagar | Rodopar 1015'!$A:$A,$B254&amp;$E254&amp;$F254,'Doc Há Pagar | Rodopar 1015'!$B:$B,X$1)</f>
        <v>0</v>
      </c>
      <c r="Y254" s="20">
        <f>SUMIFS('Doc''s Pagos | Rodopar 108'!$J:$J,'Doc''s Pagos | Rodopar 108'!$A:$A,$B254&amp;$E254&amp;$F254&amp;$J254,'Doc''s Pagos | Rodopar 108'!$B:$B,Y$1)+SUMIFS('Doc Há Pagar | Rodopar 1015'!$J:$J,'Doc Há Pagar | Rodopar 1015'!$A:$A,$B254&amp;$E254&amp;$F254,'Doc Há Pagar | Rodopar 1015'!$B:$B,Y$1)</f>
        <v>620</v>
      </c>
      <c r="Z254" s="20">
        <f>SUMIFS('Doc''s Pagos | Rodopar 108'!$J:$J,'Doc''s Pagos | Rodopar 108'!$A:$A,$B254&amp;$E254&amp;$F254&amp;$J254,'Doc''s Pagos | Rodopar 108'!$B:$B,Z$1)+SUMIFS('Doc Há Pagar | Rodopar 1015'!$J:$J,'Doc Há Pagar | Rodopar 1015'!$A:$A,$B254&amp;$E254&amp;$F254,'Doc Há Pagar | Rodopar 1015'!$B:$B,Z$1)</f>
        <v>0</v>
      </c>
      <c r="AA254" s="20">
        <f>SUMIFS('Doc''s Pagos | Rodopar 108'!$J:$J,'Doc''s Pagos | Rodopar 108'!$A:$A,$B254&amp;$E254&amp;$F254&amp;$J254,'Doc''s Pagos | Rodopar 108'!$B:$B,AA$1)+SUMIFS('Doc Há Pagar | Rodopar 1015'!$J:$J,'Doc Há Pagar | Rodopar 1015'!$A:$A,$B254&amp;$E254&amp;$F254,'Doc Há Pagar | Rodopar 1015'!$B:$B,AA$1)</f>
        <v>0</v>
      </c>
      <c r="AB254" s="20">
        <f>SUMIFS('Doc''s Pagos | Rodopar 108'!$J:$J,'Doc''s Pagos | Rodopar 108'!$A:$A,$B254&amp;$E254&amp;$F254&amp;$J254,'Doc''s Pagos | Rodopar 108'!$B:$B,AB$1)+SUMIFS('Doc Há Pagar | Rodopar 1015'!$J:$J,'Doc Há Pagar | Rodopar 1015'!$A:$A,$B254&amp;$E254&amp;$F254,'Doc Há Pagar | Rodopar 1015'!$B:$B,AB$1)</f>
        <v>0</v>
      </c>
      <c r="AC254" s="20">
        <f>SUMIFS('Doc''s Pagos | Rodopar 108'!$J:$J,'Doc''s Pagos | Rodopar 108'!$A:$A,$B254&amp;$E254&amp;$F254&amp;$J254,'Doc''s Pagos | Rodopar 108'!$B:$B,AC$1)+SUMIFS('Doc Há Pagar | Rodopar 1015'!$J:$J,'Doc Há Pagar | Rodopar 1015'!$A:$A,$B254&amp;$E254&amp;$F254,'Doc Há Pagar | Rodopar 1015'!$B:$B,AC$1)</f>
        <v>0</v>
      </c>
      <c r="AD254" s="20">
        <f>SUMIFS('Doc''s Pagos | Rodopar 108'!$J:$J,'Doc''s Pagos | Rodopar 108'!$A:$A,$B254&amp;$E254&amp;$F254&amp;$J254,'Doc''s Pagos | Rodopar 108'!$B:$B,AD$1)+SUMIFS('Doc Há Pagar | Rodopar 1015'!$J:$J,'Doc Há Pagar | Rodopar 1015'!$A:$A,$B254&amp;$E254&amp;$F254,'Doc Há Pagar | Rodopar 1015'!$B:$B,AD$1)</f>
        <v>0</v>
      </c>
    </row>
    <row r="255" spans="1:30" x14ac:dyDescent="0.25">
      <c r="A255" s="1" t="str">
        <f>VLOOKUP($E255,Fornecedores!$A:$C,3,0)</f>
        <v>Frota</v>
      </c>
      <c r="B255" s="14">
        <v>627</v>
      </c>
      <c r="C255" s="14" t="str">
        <f>IFERROR(VLOOKUP($E255,Fornecedores!$A:$E,4,0),"")</f>
        <v>Manutenção</v>
      </c>
      <c r="D255" s="14" t="str">
        <f>IFERROR(VLOOKUP($E255,Fornecedores!$A:$E,5,0),"")</f>
        <v>Peças E Serviços</v>
      </c>
      <c r="E255" s="8" t="s">
        <v>195</v>
      </c>
      <c r="F255" s="14" t="s">
        <v>665</v>
      </c>
      <c r="G255" s="8" t="s">
        <v>418</v>
      </c>
      <c r="H255" s="9">
        <v>87</v>
      </c>
      <c r="I255" s="21">
        <v>682.6</v>
      </c>
      <c r="J255" s="11">
        <v>46198</v>
      </c>
      <c r="K255" s="11">
        <v>46199</v>
      </c>
      <c r="L255" s="8" t="s">
        <v>282</v>
      </c>
      <c r="M255" s="14" t="s">
        <v>234</v>
      </c>
      <c r="N255" s="16">
        <v>1556</v>
      </c>
      <c r="O255" s="14" t="s">
        <v>241</v>
      </c>
      <c r="P255" s="14"/>
      <c r="Q255" s="20">
        <f t="shared" si="3"/>
        <v>0</v>
      </c>
      <c r="S255" s="20">
        <f>SUMIFS('Doc''s Pagos | Rodopar 108'!$J:$J,'Doc''s Pagos | Rodopar 108'!$A:$A,$B255&amp;$E255&amp;$F255&amp;$J255,'Doc''s Pagos | Rodopar 108'!$B:$B,S$1)+SUMIFS('Doc Há Pagar | Rodopar 1015'!$J:$J,'Doc Há Pagar | Rodopar 1015'!$A:$A,$B255&amp;$E255&amp;$F255,'Doc Há Pagar | Rodopar 1015'!$B:$B,S$1)</f>
        <v>0</v>
      </c>
      <c r="T255" s="20">
        <f>SUMIFS('Doc''s Pagos | Rodopar 108'!$J:$J,'Doc''s Pagos | Rodopar 108'!$A:$A,$B255&amp;$E255&amp;$F255&amp;$J255,'Doc''s Pagos | Rodopar 108'!$B:$B,T$1)+SUMIFS('Doc Há Pagar | Rodopar 1015'!$J:$J,'Doc Há Pagar | Rodopar 1015'!$A:$A,$B255&amp;$E255&amp;$F255,'Doc Há Pagar | Rodopar 1015'!$B:$B,T$1)</f>
        <v>0</v>
      </c>
      <c r="U255" s="20">
        <f>SUMIFS('Doc''s Pagos | Rodopar 108'!$J:$J,'Doc''s Pagos | Rodopar 108'!$A:$A,$B255&amp;$E255&amp;$F255&amp;$J255,'Doc''s Pagos | Rodopar 108'!$B:$B,U$1)+SUMIFS('Doc Há Pagar | Rodopar 1015'!$J:$J,'Doc Há Pagar | Rodopar 1015'!$A:$A,$B255&amp;$E255&amp;$F255,'Doc Há Pagar | Rodopar 1015'!$B:$B,U$1)</f>
        <v>0</v>
      </c>
      <c r="V255" s="20">
        <f>SUMIFS('Doc''s Pagos | Rodopar 108'!$J:$J,'Doc''s Pagos | Rodopar 108'!$A:$A,$B255&amp;$E255&amp;$F255&amp;$J255,'Doc''s Pagos | Rodopar 108'!$B:$B,V$1)+SUMIFS('Doc Há Pagar | Rodopar 1015'!$J:$J,'Doc Há Pagar | Rodopar 1015'!$A:$A,$B255&amp;$E255&amp;$F255,'Doc Há Pagar | Rodopar 1015'!$B:$B,V$1)</f>
        <v>0</v>
      </c>
      <c r="W255" s="20">
        <f>SUMIFS('Doc''s Pagos | Rodopar 108'!$J:$J,'Doc''s Pagos | Rodopar 108'!$A:$A,$B255&amp;$E255&amp;$F255&amp;$J255,'Doc''s Pagos | Rodopar 108'!$B:$B,W$1)+SUMIFS('Doc Há Pagar | Rodopar 1015'!$J:$J,'Doc Há Pagar | Rodopar 1015'!$A:$A,$B255&amp;$E255&amp;$F255,'Doc Há Pagar | Rodopar 1015'!$B:$B,W$1)</f>
        <v>0</v>
      </c>
      <c r="X255" s="20">
        <f>SUMIFS('Doc''s Pagos | Rodopar 108'!$J:$J,'Doc''s Pagos | Rodopar 108'!$A:$A,$B255&amp;$E255&amp;$F255&amp;$J255,'Doc''s Pagos | Rodopar 108'!$B:$B,X$1)+SUMIFS('Doc Há Pagar | Rodopar 1015'!$J:$J,'Doc Há Pagar | Rodopar 1015'!$A:$A,$B255&amp;$E255&amp;$F255,'Doc Há Pagar | Rodopar 1015'!$B:$B,X$1)</f>
        <v>0</v>
      </c>
      <c r="Y255" s="20">
        <f>SUMIFS('Doc''s Pagos | Rodopar 108'!$J:$J,'Doc''s Pagos | Rodopar 108'!$A:$A,$B255&amp;$E255&amp;$F255&amp;$J255,'Doc''s Pagos | Rodopar 108'!$B:$B,Y$1)+SUMIFS('Doc Há Pagar | Rodopar 1015'!$J:$J,'Doc Há Pagar | Rodopar 1015'!$A:$A,$B255&amp;$E255&amp;$F255,'Doc Há Pagar | Rodopar 1015'!$B:$B,Y$1)</f>
        <v>682.6</v>
      </c>
      <c r="Z255" s="20">
        <f>SUMIFS('Doc''s Pagos | Rodopar 108'!$J:$J,'Doc''s Pagos | Rodopar 108'!$A:$A,$B255&amp;$E255&amp;$F255&amp;$J255,'Doc''s Pagos | Rodopar 108'!$B:$B,Z$1)+SUMIFS('Doc Há Pagar | Rodopar 1015'!$J:$J,'Doc Há Pagar | Rodopar 1015'!$A:$A,$B255&amp;$E255&amp;$F255,'Doc Há Pagar | Rodopar 1015'!$B:$B,Z$1)</f>
        <v>0</v>
      </c>
      <c r="AA255" s="20">
        <f>SUMIFS('Doc''s Pagos | Rodopar 108'!$J:$J,'Doc''s Pagos | Rodopar 108'!$A:$A,$B255&amp;$E255&amp;$F255&amp;$J255,'Doc''s Pagos | Rodopar 108'!$B:$B,AA$1)+SUMIFS('Doc Há Pagar | Rodopar 1015'!$J:$J,'Doc Há Pagar | Rodopar 1015'!$A:$A,$B255&amp;$E255&amp;$F255,'Doc Há Pagar | Rodopar 1015'!$B:$B,AA$1)</f>
        <v>0</v>
      </c>
      <c r="AB255" s="20">
        <f>SUMIFS('Doc''s Pagos | Rodopar 108'!$J:$J,'Doc''s Pagos | Rodopar 108'!$A:$A,$B255&amp;$E255&amp;$F255&amp;$J255,'Doc''s Pagos | Rodopar 108'!$B:$B,AB$1)+SUMIFS('Doc Há Pagar | Rodopar 1015'!$J:$J,'Doc Há Pagar | Rodopar 1015'!$A:$A,$B255&amp;$E255&amp;$F255,'Doc Há Pagar | Rodopar 1015'!$B:$B,AB$1)</f>
        <v>0</v>
      </c>
      <c r="AC255" s="20">
        <f>SUMIFS('Doc''s Pagos | Rodopar 108'!$J:$J,'Doc''s Pagos | Rodopar 108'!$A:$A,$B255&amp;$E255&amp;$F255&amp;$J255,'Doc''s Pagos | Rodopar 108'!$B:$B,AC$1)+SUMIFS('Doc Há Pagar | Rodopar 1015'!$J:$J,'Doc Há Pagar | Rodopar 1015'!$A:$A,$B255&amp;$E255&amp;$F255,'Doc Há Pagar | Rodopar 1015'!$B:$B,AC$1)</f>
        <v>0</v>
      </c>
      <c r="AD255" s="20">
        <f>SUMIFS('Doc''s Pagos | Rodopar 108'!$J:$J,'Doc''s Pagos | Rodopar 108'!$A:$A,$B255&amp;$E255&amp;$F255&amp;$J255,'Doc''s Pagos | Rodopar 108'!$B:$B,AD$1)+SUMIFS('Doc Há Pagar | Rodopar 1015'!$J:$J,'Doc Há Pagar | Rodopar 1015'!$A:$A,$B255&amp;$E255&amp;$F255,'Doc Há Pagar | Rodopar 1015'!$B:$B,AD$1)</f>
        <v>0</v>
      </c>
    </row>
    <row r="256" spans="1:30" x14ac:dyDescent="0.25">
      <c r="A256" s="1" t="str">
        <f>VLOOKUP($E256,Fornecedores!$A:$C,3,0)</f>
        <v>Frota</v>
      </c>
      <c r="B256" s="14">
        <v>630</v>
      </c>
      <c r="C256" s="14" t="str">
        <f>IFERROR(VLOOKUP($E256,Fornecedores!$A:$E,4,0),"")</f>
        <v>Manutenção</v>
      </c>
      <c r="D256" s="14" t="str">
        <f>IFERROR(VLOOKUP($E256,Fornecedores!$A:$E,5,0),"")</f>
        <v>Peças E Serviços</v>
      </c>
      <c r="E256" s="8" t="s">
        <v>195</v>
      </c>
      <c r="F256" s="14" t="s">
        <v>665</v>
      </c>
      <c r="G256" s="8" t="s">
        <v>418</v>
      </c>
      <c r="H256" s="9">
        <v>87</v>
      </c>
      <c r="I256" s="21">
        <v>2320</v>
      </c>
      <c r="J256" s="11">
        <v>46202</v>
      </c>
      <c r="K256" s="11">
        <v>46202</v>
      </c>
      <c r="L256" s="8" t="s">
        <v>282</v>
      </c>
      <c r="M256" s="14" t="s">
        <v>234</v>
      </c>
      <c r="N256" s="16">
        <v>1556</v>
      </c>
      <c r="O256" s="14" t="s">
        <v>241</v>
      </c>
      <c r="P256" s="14"/>
      <c r="Q256" s="20">
        <f t="shared" si="3"/>
        <v>0</v>
      </c>
      <c r="S256" s="20">
        <f>SUMIFS('Doc''s Pagos | Rodopar 108'!$J:$J,'Doc''s Pagos | Rodopar 108'!$A:$A,$B256&amp;$E256&amp;$F256&amp;$J256,'Doc''s Pagos | Rodopar 108'!$B:$B,S$1)+SUMIFS('Doc Há Pagar | Rodopar 1015'!$J:$J,'Doc Há Pagar | Rodopar 1015'!$A:$A,$B256&amp;$E256&amp;$F256,'Doc Há Pagar | Rodopar 1015'!$B:$B,S$1)</f>
        <v>0</v>
      </c>
      <c r="T256" s="20">
        <f>SUMIFS('Doc''s Pagos | Rodopar 108'!$J:$J,'Doc''s Pagos | Rodopar 108'!$A:$A,$B256&amp;$E256&amp;$F256&amp;$J256,'Doc''s Pagos | Rodopar 108'!$B:$B,T$1)+SUMIFS('Doc Há Pagar | Rodopar 1015'!$J:$J,'Doc Há Pagar | Rodopar 1015'!$A:$A,$B256&amp;$E256&amp;$F256,'Doc Há Pagar | Rodopar 1015'!$B:$B,T$1)</f>
        <v>0</v>
      </c>
      <c r="U256" s="20">
        <f>SUMIFS('Doc''s Pagos | Rodopar 108'!$J:$J,'Doc''s Pagos | Rodopar 108'!$A:$A,$B256&amp;$E256&amp;$F256&amp;$J256,'Doc''s Pagos | Rodopar 108'!$B:$B,U$1)+SUMIFS('Doc Há Pagar | Rodopar 1015'!$J:$J,'Doc Há Pagar | Rodopar 1015'!$A:$A,$B256&amp;$E256&amp;$F256,'Doc Há Pagar | Rodopar 1015'!$B:$B,U$1)</f>
        <v>0</v>
      </c>
      <c r="V256" s="20">
        <f>SUMIFS('Doc''s Pagos | Rodopar 108'!$J:$J,'Doc''s Pagos | Rodopar 108'!$A:$A,$B256&amp;$E256&amp;$F256&amp;$J256,'Doc''s Pagos | Rodopar 108'!$B:$B,V$1)+SUMIFS('Doc Há Pagar | Rodopar 1015'!$J:$J,'Doc Há Pagar | Rodopar 1015'!$A:$A,$B256&amp;$E256&amp;$F256,'Doc Há Pagar | Rodopar 1015'!$B:$B,V$1)</f>
        <v>0</v>
      </c>
      <c r="W256" s="20">
        <f>SUMIFS('Doc''s Pagos | Rodopar 108'!$J:$J,'Doc''s Pagos | Rodopar 108'!$A:$A,$B256&amp;$E256&amp;$F256&amp;$J256,'Doc''s Pagos | Rodopar 108'!$B:$B,W$1)+SUMIFS('Doc Há Pagar | Rodopar 1015'!$J:$J,'Doc Há Pagar | Rodopar 1015'!$A:$A,$B256&amp;$E256&amp;$F256,'Doc Há Pagar | Rodopar 1015'!$B:$B,W$1)</f>
        <v>0</v>
      </c>
      <c r="X256" s="20">
        <f>SUMIFS('Doc''s Pagos | Rodopar 108'!$J:$J,'Doc''s Pagos | Rodopar 108'!$A:$A,$B256&amp;$E256&amp;$F256&amp;$J256,'Doc''s Pagos | Rodopar 108'!$B:$B,X$1)+SUMIFS('Doc Há Pagar | Rodopar 1015'!$J:$J,'Doc Há Pagar | Rodopar 1015'!$A:$A,$B256&amp;$E256&amp;$F256,'Doc Há Pagar | Rodopar 1015'!$B:$B,X$1)</f>
        <v>0</v>
      </c>
      <c r="Y256" s="20">
        <f>SUMIFS('Doc''s Pagos | Rodopar 108'!$J:$J,'Doc''s Pagos | Rodopar 108'!$A:$A,$B256&amp;$E256&amp;$F256&amp;$J256,'Doc''s Pagos | Rodopar 108'!$B:$B,Y$1)+SUMIFS('Doc Há Pagar | Rodopar 1015'!$J:$J,'Doc Há Pagar | Rodopar 1015'!$A:$A,$B256&amp;$E256&amp;$F256,'Doc Há Pagar | Rodopar 1015'!$B:$B,Y$1)</f>
        <v>2320</v>
      </c>
      <c r="Z256" s="20">
        <f>SUMIFS('Doc''s Pagos | Rodopar 108'!$J:$J,'Doc''s Pagos | Rodopar 108'!$A:$A,$B256&amp;$E256&amp;$F256&amp;$J256,'Doc''s Pagos | Rodopar 108'!$B:$B,Z$1)+SUMIFS('Doc Há Pagar | Rodopar 1015'!$J:$J,'Doc Há Pagar | Rodopar 1015'!$A:$A,$B256&amp;$E256&amp;$F256,'Doc Há Pagar | Rodopar 1015'!$B:$B,Z$1)</f>
        <v>0</v>
      </c>
      <c r="AA256" s="20">
        <f>SUMIFS('Doc''s Pagos | Rodopar 108'!$J:$J,'Doc''s Pagos | Rodopar 108'!$A:$A,$B256&amp;$E256&amp;$F256&amp;$J256,'Doc''s Pagos | Rodopar 108'!$B:$B,AA$1)+SUMIFS('Doc Há Pagar | Rodopar 1015'!$J:$J,'Doc Há Pagar | Rodopar 1015'!$A:$A,$B256&amp;$E256&amp;$F256,'Doc Há Pagar | Rodopar 1015'!$B:$B,AA$1)</f>
        <v>0</v>
      </c>
      <c r="AB256" s="20">
        <f>SUMIFS('Doc''s Pagos | Rodopar 108'!$J:$J,'Doc''s Pagos | Rodopar 108'!$A:$A,$B256&amp;$E256&amp;$F256&amp;$J256,'Doc''s Pagos | Rodopar 108'!$B:$B,AB$1)+SUMIFS('Doc Há Pagar | Rodopar 1015'!$J:$J,'Doc Há Pagar | Rodopar 1015'!$A:$A,$B256&amp;$E256&amp;$F256,'Doc Há Pagar | Rodopar 1015'!$B:$B,AB$1)</f>
        <v>0</v>
      </c>
      <c r="AC256" s="20">
        <f>SUMIFS('Doc''s Pagos | Rodopar 108'!$J:$J,'Doc''s Pagos | Rodopar 108'!$A:$A,$B256&amp;$E256&amp;$F256&amp;$J256,'Doc''s Pagos | Rodopar 108'!$B:$B,AC$1)+SUMIFS('Doc Há Pagar | Rodopar 1015'!$J:$J,'Doc Há Pagar | Rodopar 1015'!$A:$A,$B256&amp;$E256&amp;$F256,'Doc Há Pagar | Rodopar 1015'!$B:$B,AC$1)</f>
        <v>0</v>
      </c>
      <c r="AD256" s="20">
        <f>SUMIFS('Doc''s Pagos | Rodopar 108'!$J:$J,'Doc''s Pagos | Rodopar 108'!$A:$A,$B256&amp;$E256&amp;$F256&amp;$J256,'Doc''s Pagos | Rodopar 108'!$B:$B,AD$1)+SUMIFS('Doc Há Pagar | Rodopar 1015'!$J:$J,'Doc Há Pagar | Rodopar 1015'!$A:$A,$B256&amp;$E256&amp;$F256,'Doc Há Pagar | Rodopar 1015'!$B:$B,AD$1)</f>
        <v>0</v>
      </c>
    </row>
    <row r="257" spans="1:30" x14ac:dyDescent="0.25">
      <c r="A257" s="1" t="str">
        <f>VLOOKUP($E257,Fornecedores!$A:$C,3,0)</f>
        <v>Frota</v>
      </c>
      <c r="B257" s="14">
        <v>3863</v>
      </c>
      <c r="C257" s="14" t="str">
        <f>IFERROR(VLOOKUP($E257,Fornecedores!$A:$E,4,0),"")</f>
        <v>Manutenção</v>
      </c>
      <c r="D257" s="14" t="str">
        <f>IFERROR(VLOOKUP($E257,Fornecedores!$A:$E,5,0),"")</f>
        <v>Peças E Serviços</v>
      </c>
      <c r="E257" s="8" t="s">
        <v>27</v>
      </c>
      <c r="F257" s="14" t="s">
        <v>380</v>
      </c>
      <c r="G257" s="8" t="s">
        <v>525</v>
      </c>
      <c r="H257" s="9">
        <v>87</v>
      </c>
      <c r="I257" s="21">
        <v>378</v>
      </c>
      <c r="J257" s="11">
        <v>46203</v>
      </c>
      <c r="K257" s="11">
        <v>46204</v>
      </c>
      <c r="L257" s="8" t="s">
        <v>282</v>
      </c>
      <c r="M257" s="14" t="s">
        <v>234</v>
      </c>
      <c r="N257" s="16">
        <v>1556</v>
      </c>
      <c r="O257" s="14" t="s">
        <v>250</v>
      </c>
      <c r="P257" s="14"/>
      <c r="Q257" s="20">
        <f t="shared" si="3"/>
        <v>0</v>
      </c>
      <c r="S257" s="20">
        <f>SUMIFS('Doc''s Pagos | Rodopar 108'!$J:$J,'Doc''s Pagos | Rodopar 108'!$A:$A,$B257&amp;$E257&amp;$F257&amp;$J257,'Doc''s Pagos | Rodopar 108'!$B:$B,S$1)+SUMIFS('Doc Há Pagar | Rodopar 1015'!$J:$J,'Doc Há Pagar | Rodopar 1015'!$A:$A,$B257&amp;$E257&amp;$F257,'Doc Há Pagar | Rodopar 1015'!$B:$B,S$1)</f>
        <v>0</v>
      </c>
      <c r="T257" s="20">
        <f>SUMIFS('Doc''s Pagos | Rodopar 108'!$J:$J,'Doc''s Pagos | Rodopar 108'!$A:$A,$B257&amp;$E257&amp;$F257&amp;$J257,'Doc''s Pagos | Rodopar 108'!$B:$B,T$1)+SUMIFS('Doc Há Pagar | Rodopar 1015'!$J:$J,'Doc Há Pagar | Rodopar 1015'!$A:$A,$B257&amp;$E257&amp;$F257,'Doc Há Pagar | Rodopar 1015'!$B:$B,T$1)</f>
        <v>0</v>
      </c>
      <c r="U257" s="20">
        <f>SUMIFS('Doc''s Pagos | Rodopar 108'!$J:$J,'Doc''s Pagos | Rodopar 108'!$A:$A,$B257&amp;$E257&amp;$F257&amp;$J257,'Doc''s Pagos | Rodopar 108'!$B:$B,U$1)+SUMIFS('Doc Há Pagar | Rodopar 1015'!$J:$J,'Doc Há Pagar | Rodopar 1015'!$A:$A,$B257&amp;$E257&amp;$F257,'Doc Há Pagar | Rodopar 1015'!$B:$B,U$1)</f>
        <v>0</v>
      </c>
      <c r="V257" s="20">
        <f>SUMIFS('Doc''s Pagos | Rodopar 108'!$J:$J,'Doc''s Pagos | Rodopar 108'!$A:$A,$B257&amp;$E257&amp;$F257&amp;$J257,'Doc''s Pagos | Rodopar 108'!$B:$B,V$1)+SUMIFS('Doc Há Pagar | Rodopar 1015'!$J:$J,'Doc Há Pagar | Rodopar 1015'!$A:$A,$B257&amp;$E257&amp;$F257,'Doc Há Pagar | Rodopar 1015'!$B:$B,V$1)</f>
        <v>0</v>
      </c>
      <c r="W257" s="20">
        <f>SUMIFS('Doc''s Pagos | Rodopar 108'!$J:$J,'Doc''s Pagos | Rodopar 108'!$A:$A,$B257&amp;$E257&amp;$F257&amp;$J257,'Doc''s Pagos | Rodopar 108'!$B:$B,W$1)+SUMIFS('Doc Há Pagar | Rodopar 1015'!$J:$J,'Doc Há Pagar | Rodopar 1015'!$A:$A,$B257&amp;$E257&amp;$F257,'Doc Há Pagar | Rodopar 1015'!$B:$B,W$1)</f>
        <v>0</v>
      </c>
      <c r="X257" s="20">
        <f>SUMIFS('Doc''s Pagos | Rodopar 108'!$J:$J,'Doc''s Pagos | Rodopar 108'!$A:$A,$B257&amp;$E257&amp;$F257&amp;$J257,'Doc''s Pagos | Rodopar 108'!$B:$B,X$1)+SUMIFS('Doc Há Pagar | Rodopar 1015'!$J:$J,'Doc Há Pagar | Rodopar 1015'!$A:$A,$B257&amp;$E257&amp;$F257,'Doc Há Pagar | Rodopar 1015'!$B:$B,X$1)</f>
        <v>0</v>
      </c>
      <c r="Y257" s="20">
        <f>SUMIFS('Doc''s Pagos | Rodopar 108'!$J:$J,'Doc''s Pagos | Rodopar 108'!$A:$A,$B257&amp;$E257&amp;$F257&amp;$J257,'Doc''s Pagos | Rodopar 108'!$B:$B,Y$1)+SUMIFS('Doc Há Pagar | Rodopar 1015'!$J:$J,'Doc Há Pagar | Rodopar 1015'!$A:$A,$B257&amp;$E257&amp;$F257,'Doc Há Pagar | Rodopar 1015'!$B:$B,Y$1)</f>
        <v>378</v>
      </c>
      <c r="Z257" s="20">
        <f>SUMIFS('Doc''s Pagos | Rodopar 108'!$J:$J,'Doc''s Pagos | Rodopar 108'!$A:$A,$B257&amp;$E257&amp;$F257&amp;$J257,'Doc''s Pagos | Rodopar 108'!$B:$B,Z$1)+SUMIFS('Doc Há Pagar | Rodopar 1015'!$J:$J,'Doc Há Pagar | Rodopar 1015'!$A:$A,$B257&amp;$E257&amp;$F257,'Doc Há Pagar | Rodopar 1015'!$B:$B,Z$1)</f>
        <v>0</v>
      </c>
      <c r="AA257" s="20">
        <f>SUMIFS('Doc''s Pagos | Rodopar 108'!$J:$J,'Doc''s Pagos | Rodopar 108'!$A:$A,$B257&amp;$E257&amp;$F257&amp;$J257,'Doc''s Pagos | Rodopar 108'!$B:$B,AA$1)+SUMIFS('Doc Há Pagar | Rodopar 1015'!$J:$J,'Doc Há Pagar | Rodopar 1015'!$A:$A,$B257&amp;$E257&amp;$F257,'Doc Há Pagar | Rodopar 1015'!$B:$B,AA$1)</f>
        <v>0</v>
      </c>
      <c r="AB257" s="20">
        <f>SUMIFS('Doc''s Pagos | Rodopar 108'!$J:$J,'Doc''s Pagos | Rodopar 108'!$A:$A,$B257&amp;$E257&amp;$F257&amp;$J257,'Doc''s Pagos | Rodopar 108'!$B:$B,AB$1)+SUMIFS('Doc Há Pagar | Rodopar 1015'!$J:$J,'Doc Há Pagar | Rodopar 1015'!$A:$A,$B257&amp;$E257&amp;$F257,'Doc Há Pagar | Rodopar 1015'!$B:$B,AB$1)</f>
        <v>0</v>
      </c>
      <c r="AC257" s="20">
        <f>SUMIFS('Doc''s Pagos | Rodopar 108'!$J:$J,'Doc''s Pagos | Rodopar 108'!$A:$A,$B257&amp;$E257&amp;$F257&amp;$J257,'Doc''s Pagos | Rodopar 108'!$B:$B,AC$1)+SUMIFS('Doc Há Pagar | Rodopar 1015'!$J:$J,'Doc Há Pagar | Rodopar 1015'!$A:$A,$B257&amp;$E257&amp;$F257,'Doc Há Pagar | Rodopar 1015'!$B:$B,AC$1)</f>
        <v>0</v>
      </c>
      <c r="AD257" s="20">
        <f>SUMIFS('Doc''s Pagos | Rodopar 108'!$J:$J,'Doc''s Pagos | Rodopar 108'!$A:$A,$B257&amp;$E257&amp;$F257&amp;$J257,'Doc''s Pagos | Rodopar 108'!$B:$B,AD$1)+SUMIFS('Doc Há Pagar | Rodopar 1015'!$J:$J,'Doc Há Pagar | Rodopar 1015'!$A:$A,$B257&amp;$E257&amp;$F257,'Doc Há Pagar | Rodopar 1015'!$B:$B,AD$1)</f>
        <v>0</v>
      </c>
    </row>
    <row r="258" spans="1:30" x14ac:dyDescent="0.25">
      <c r="A258" s="1" t="str">
        <f>VLOOKUP($E258,Fornecedores!$A:$C,3,0)</f>
        <v>Frota</v>
      </c>
      <c r="B258" s="14">
        <v>148</v>
      </c>
      <c r="C258" s="14" t="str">
        <f>IFERROR(VLOOKUP($E258,Fornecedores!$A:$E,4,0),"")</f>
        <v>Manutenção</v>
      </c>
      <c r="D258" s="14" t="str">
        <f>IFERROR(VLOOKUP($E258,Fornecedores!$A:$E,5,0),"")</f>
        <v>Peças E Serviços</v>
      </c>
      <c r="E258" s="8" t="s">
        <v>27</v>
      </c>
      <c r="F258" s="14" t="s">
        <v>614</v>
      </c>
      <c r="G258" s="8" t="s">
        <v>525</v>
      </c>
      <c r="H258" s="9">
        <v>87</v>
      </c>
      <c r="I258" s="21">
        <v>80</v>
      </c>
      <c r="J258" s="11">
        <v>46203</v>
      </c>
      <c r="K258" s="11">
        <v>46203</v>
      </c>
      <c r="L258" s="8" t="s">
        <v>282</v>
      </c>
      <c r="M258" s="14" t="s">
        <v>234</v>
      </c>
      <c r="N258" s="16">
        <v>1556</v>
      </c>
      <c r="O258" s="14" t="s">
        <v>241</v>
      </c>
      <c r="P258" s="14"/>
      <c r="Q258" s="20">
        <f t="shared" ref="Q258:Q321" si="4">SUM(R258:AD258)-I258</f>
        <v>0</v>
      </c>
      <c r="S258" s="20">
        <f>SUMIFS('Doc''s Pagos | Rodopar 108'!$J:$J,'Doc''s Pagos | Rodopar 108'!$A:$A,$B258&amp;$E258&amp;$F258&amp;$J258,'Doc''s Pagos | Rodopar 108'!$B:$B,S$1)+SUMIFS('Doc Há Pagar | Rodopar 1015'!$J:$J,'Doc Há Pagar | Rodopar 1015'!$A:$A,$B258&amp;$E258&amp;$F258,'Doc Há Pagar | Rodopar 1015'!$B:$B,S$1)</f>
        <v>0</v>
      </c>
      <c r="T258" s="20">
        <f>SUMIFS('Doc''s Pagos | Rodopar 108'!$J:$J,'Doc''s Pagos | Rodopar 108'!$A:$A,$B258&amp;$E258&amp;$F258&amp;$J258,'Doc''s Pagos | Rodopar 108'!$B:$B,T$1)+SUMIFS('Doc Há Pagar | Rodopar 1015'!$J:$J,'Doc Há Pagar | Rodopar 1015'!$A:$A,$B258&amp;$E258&amp;$F258,'Doc Há Pagar | Rodopar 1015'!$B:$B,T$1)</f>
        <v>0</v>
      </c>
      <c r="U258" s="20">
        <f>SUMIFS('Doc''s Pagos | Rodopar 108'!$J:$J,'Doc''s Pagos | Rodopar 108'!$A:$A,$B258&amp;$E258&amp;$F258&amp;$J258,'Doc''s Pagos | Rodopar 108'!$B:$B,U$1)+SUMIFS('Doc Há Pagar | Rodopar 1015'!$J:$J,'Doc Há Pagar | Rodopar 1015'!$A:$A,$B258&amp;$E258&amp;$F258,'Doc Há Pagar | Rodopar 1015'!$B:$B,U$1)</f>
        <v>0</v>
      </c>
      <c r="V258" s="20">
        <f>SUMIFS('Doc''s Pagos | Rodopar 108'!$J:$J,'Doc''s Pagos | Rodopar 108'!$A:$A,$B258&amp;$E258&amp;$F258&amp;$J258,'Doc''s Pagos | Rodopar 108'!$B:$B,V$1)+SUMIFS('Doc Há Pagar | Rodopar 1015'!$J:$J,'Doc Há Pagar | Rodopar 1015'!$A:$A,$B258&amp;$E258&amp;$F258,'Doc Há Pagar | Rodopar 1015'!$B:$B,V$1)</f>
        <v>0</v>
      </c>
      <c r="W258" s="20">
        <f>SUMIFS('Doc''s Pagos | Rodopar 108'!$J:$J,'Doc''s Pagos | Rodopar 108'!$A:$A,$B258&amp;$E258&amp;$F258&amp;$J258,'Doc''s Pagos | Rodopar 108'!$B:$B,W$1)+SUMIFS('Doc Há Pagar | Rodopar 1015'!$J:$J,'Doc Há Pagar | Rodopar 1015'!$A:$A,$B258&amp;$E258&amp;$F258,'Doc Há Pagar | Rodopar 1015'!$B:$B,W$1)</f>
        <v>0</v>
      </c>
      <c r="X258" s="20">
        <f>SUMIFS('Doc''s Pagos | Rodopar 108'!$J:$J,'Doc''s Pagos | Rodopar 108'!$A:$A,$B258&amp;$E258&amp;$F258&amp;$J258,'Doc''s Pagos | Rodopar 108'!$B:$B,X$1)+SUMIFS('Doc Há Pagar | Rodopar 1015'!$J:$J,'Doc Há Pagar | Rodopar 1015'!$A:$A,$B258&amp;$E258&amp;$F258,'Doc Há Pagar | Rodopar 1015'!$B:$B,X$1)</f>
        <v>0</v>
      </c>
      <c r="Y258" s="20">
        <f>SUMIFS('Doc''s Pagos | Rodopar 108'!$J:$J,'Doc''s Pagos | Rodopar 108'!$A:$A,$B258&amp;$E258&amp;$F258&amp;$J258,'Doc''s Pagos | Rodopar 108'!$B:$B,Y$1)+SUMIFS('Doc Há Pagar | Rodopar 1015'!$J:$J,'Doc Há Pagar | Rodopar 1015'!$A:$A,$B258&amp;$E258&amp;$F258,'Doc Há Pagar | Rodopar 1015'!$B:$B,Y$1)</f>
        <v>80</v>
      </c>
      <c r="Z258" s="20">
        <f>SUMIFS('Doc''s Pagos | Rodopar 108'!$J:$J,'Doc''s Pagos | Rodopar 108'!$A:$A,$B258&amp;$E258&amp;$F258&amp;$J258,'Doc''s Pagos | Rodopar 108'!$B:$B,Z$1)+SUMIFS('Doc Há Pagar | Rodopar 1015'!$J:$J,'Doc Há Pagar | Rodopar 1015'!$A:$A,$B258&amp;$E258&amp;$F258,'Doc Há Pagar | Rodopar 1015'!$B:$B,Z$1)</f>
        <v>0</v>
      </c>
      <c r="AA258" s="20">
        <f>SUMIFS('Doc''s Pagos | Rodopar 108'!$J:$J,'Doc''s Pagos | Rodopar 108'!$A:$A,$B258&amp;$E258&amp;$F258&amp;$J258,'Doc''s Pagos | Rodopar 108'!$B:$B,AA$1)+SUMIFS('Doc Há Pagar | Rodopar 1015'!$J:$J,'Doc Há Pagar | Rodopar 1015'!$A:$A,$B258&amp;$E258&amp;$F258,'Doc Há Pagar | Rodopar 1015'!$B:$B,AA$1)</f>
        <v>0</v>
      </c>
      <c r="AB258" s="20">
        <f>SUMIFS('Doc''s Pagos | Rodopar 108'!$J:$J,'Doc''s Pagos | Rodopar 108'!$A:$A,$B258&amp;$E258&amp;$F258&amp;$J258,'Doc''s Pagos | Rodopar 108'!$B:$B,AB$1)+SUMIFS('Doc Há Pagar | Rodopar 1015'!$J:$J,'Doc Há Pagar | Rodopar 1015'!$A:$A,$B258&amp;$E258&amp;$F258,'Doc Há Pagar | Rodopar 1015'!$B:$B,AB$1)</f>
        <v>0</v>
      </c>
      <c r="AC258" s="20">
        <f>SUMIFS('Doc''s Pagos | Rodopar 108'!$J:$J,'Doc''s Pagos | Rodopar 108'!$A:$A,$B258&amp;$E258&amp;$F258&amp;$J258,'Doc''s Pagos | Rodopar 108'!$B:$B,AC$1)+SUMIFS('Doc Há Pagar | Rodopar 1015'!$J:$J,'Doc Há Pagar | Rodopar 1015'!$A:$A,$B258&amp;$E258&amp;$F258,'Doc Há Pagar | Rodopar 1015'!$B:$B,AC$1)</f>
        <v>0</v>
      </c>
      <c r="AD258" s="20">
        <f>SUMIFS('Doc''s Pagos | Rodopar 108'!$J:$J,'Doc''s Pagos | Rodopar 108'!$A:$A,$B258&amp;$E258&amp;$F258&amp;$J258,'Doc''s Pagos | Rodopar 108'!$B:$B,AD$1)+SUMIFS('Doc Há Pagar | Rodopar 1015'!$J:$J,'Doc Há Pagar | Rodopar 1015'!$A:$A,$B258&amp;$E258&amp;$F258,'Doc Há Pagar | Rodopar 1015'!$B:$B,AD$1)</f>
        <v>0</v>
      </c>
    </row>
    <row r="259" spans="1:30" x14ac:dyDescent="0.25">
      <c r="A259" s="1" t="str">
        <f>VLOOKUP($E259,Fornecedores!$A:$C,3,0)</f>
        <v>Frota</v>
      </c>
      <c r="B259" s="14">
        <v>2073</v>
      </c>
      <c r="C259" s="14" t="str">
        <f>IFERROR(VLOOKUP($E259,Fornecedores!$A:$E,4,0),"")</f>
        <v>Manutenção</v>
      </c>
      <c r="D259" s="14" t="str">
        <f>IFERROR(VLOOKUP($E259,Fornecedores!$A:$E,5,0),"")</f>
        <v>Vans</v>
      </c>
      <c r="E259" s="8" t="s">
        <v>160</v>
      </c>
      <c r="F259" s="14" t="s">
        <v>665</v>
      </c>
      <c r="G259" s="8" t="s">
        <v>607</v>
      </c>
      <c r="H259" s="9">
        <v>87</v>
      </c>
      <c r="I259" s="21">
        <v>205</v>
      </c>
      <c r="J259" s="11">
        <v>46203</v>
      </c>
      <c r="K259" s="11">
        <v>46203</v>
      </c>
      <c r="L259" s="8" t="s">
        <v>608</v>
      </c>
      <c r="M259" s="14" t="s">
        <v>234</v>
      </c>
      <c r="N259" s="16">
        <v>1556</v>
      </c>
      <c r="O259" s="14" t="s">
        <v>241</v>
      </c>
      <c r="P259" s="14"/>
      <c r="Q259" s="20">
        <f t="shared" si="4"/>
        <v>0</v>
      </c>
      <c r="S259" s="20">
        <f>SUMIFS('Doc''s Pagos | Rodopar 108'!$J:$J,'Doc''s Pagos | Rodopar 108'!$A:$A,$B259&amp;$E259&amp;$F259&amp;$J259,'Doc''s Pagos | Rodopar 108'!$B:$B,S$1)+SUMIFS('Doc Há Pagar | Rodopar 1015'!$J:$J,'Doc Há Pagar | Rodopar 1015'!$A:$A,$B259&amp;$E259&amp;$F259,'Doc Há Pagar | Rodopar 1015'!$B:$B,S$1)</f>
        <v>0</v>
      </c>
      <c r="T259" s="20">
        <f>SUMIFS('Doc''s Pagos | Rodopar 108'!$J:$J,'Doc''s Pagos | Rodopar 108'!$A:$A,$B259&amp;$E259&amp;$F259&amp;$J259,'Doc''s Pagos | Rodopar 108'!$B:$B,T$1)+SUMIFS('Doc Há Pagar | Rodopar 1015'!$J:$J,'Doc Há Pagar | Rodopar 1015'!$A:$A,$B259&amp;$E259&amp;$F259,'Doc Há Pagar | Rodopar 1015'!$B:$B,T$1)</f>
        <v>0</v>
      </c>
      <c r="U259" s="20">
        <f>SUMIFS('Doc''s Pagos | Rodopar 108'!$J:$J,'Doc''s Pagos | Rodopar 108'!$A:$A,$B259&amp;$E259&amp;$F259&amp;$J259,'Doc''s Pagos | Rodopar 108'!$B:$B,U$1)+SUMIFS('Doc Há Pagar | Rodopar 1015'!$J:$J,'Doc Há Pagar | Rodopar 1015'!$A:$A,$B259&amp;$E259&amp;$F259,'Doc Há Pagar | Rodopar 1015'!$B:$B,U$1)</f>
        <v>0</v>
      </c>
      <c r="V259" s="20">
        <f>SUMIFS('Doc''s Pagos | Rodopar 108'!$J:$J,'Doc''s Pagos | Rodopar 108'!$A:$A,$B259&amp;$E259&amp;$F259&amp;$J259,'Doc''s Pagos | Rodopar 108'!$B:$B,V$1)+SUMIFS('Doc Há Pagar | Rodopar 1015'!$J:$J,'Doc Há Pagar | Rodopar 1015'!$A:$A,$B259&amp;$E259&amp;$F259,'Doc Há Pagar | Rodopar 1015'!$B:$B,V$1)</f>
        <v>0</v>
      </c>
      <c r="W259" s="20">
        <f>SUMIFS('Doc''s Pagos | Rodopar 108'!$J:$J,'Doc''s Pagos | Rodopar 108'!$A:$A,$B259&amp;$E259&amp;$F259&amp;$J259,'Doc''s Pagos | Rodopar 108'!$B:$B,W$1)+SUMIFS('Doc Há Pagar | Rodopar 1015'!$J:$J,'Doc Há Pagar | Rodopar 1015'!$A:$A,$B259&amp;$E259&amp;$F259,'Doc Há Pagar | Rodopar 1015'!$B:$B,W$1)</f>
        <v>0</v>
      </c>
      <c r="X259" s="20">
        <f>SUMIFS('Doc''s Pagos | Rodopar 108'!$J:$J,'Doc''s Pagos | Rodopar 108'!$A:$A,$B259&amp;$E259&amp;$F259&amp;$J259,'Doc''s Pagos | Rodopar 108'!$B:$B,X$1)+SUMIFS('Doc Há Pagar | Rodopar 1015'!$J:$J,'Doc Há Pagar | Rodopar 1015'!$A:$A,$B259&amp;$E259&amp;$F259,'Doc Há Pagar | Rodopar 1015'!$B:$B,X$1)</f>
        <v>205</v>
      </c>
      <c r="Y259" s="20">
        <f>SUMIFS('Doc''s Pagos | Rodopar 108'!$J:$J,'Doc''s Pagos | Rodopar 108'!$A:$A,$B259&amp;$E259&amp;$F259&amp;$J259,'Doc''s Pagos | Rodopar 108'!$B:$B,Y$1)+SUMIFS('Doc Há Pagar | Rodopar 1015'!$J:$J,'Doc Há Pagar | Rodopar 1015'!$A:$A,$B259&amp;$E259&amp;$F259,'Doc Há Pagar | Rodopar 1015'!$B:$B,Y$1)</f>
        <v>0</v>
      </c>
      <c r="Z259" s="20">
        <f>SUMIFS('Doc''s Pagos | Rodopar 108'!$J:$J,'Doc''s Pagos | Rodopar 108'!$A:$A,$B259&amp;$E259&amp;$F259&amp;$J259,'Doc''s Pagos | Rodopar 108'!$B:$B,Z$1)+SUMIFS('Doc Há Pagar | Rodopar 1015'!$J:$J,'Doc Há Pagar | Rodopar 1015'!$A:$A,$B259&amp;$E259&amp;$F259,'Doc Há Pagar | Rodopar 1015'!$B:$B,Z$1)</f>
        <v>0</v>
      </c>
      <c r="AA259" s="20">
        <f>SUMIFS('Doc''s Pagos | Rodopar 108'!$J:$J,'Doc''s Pagos | Rodopar 108'!$A:$A,$B259&amp;$E259&amp;$F259&amp;$J259,'Doc''s Pagos | Rodopar 108'!$B:$B,AA$1)+SUMIFS('Doc Há Pagar | Rodopar 1015'!$J:$J,'Doc Há Pagar | Rodopar 1015'!$A:$A,$B259&amp;$E259&amp;$F259,'Doc Há Pagar | Rodopar 1015'!$B:$B,AA$1)</f>
        <v>0</v>
      </c>
      <c r="AB259" s="20">
        <f>SUMIFS('Doc''s Pagos | Rodopar 108'!$J:$J,'Doc''s Pagos | Rodopar 108'!$A:$A,$B259&amp;$E259&amp;$F259&amp;$J259,'Doc''s Pagos | Rodopar 108'!$B:$B,AB$1)+SUMIFS('Doc Há Pagar | Rodopar 1015'!$J:$J,'Doc Há Pagar | Rodopar 1015'!$A:$A,$B259&amp;$E259&amp;$F259,'Doc Há Pagar | Rodopar 1015'!$B:$B,AB$1)</f>
        <v>0</v>
      </c>
      <c r="AC259" s="20">
        <f>SUMIFS('Doc''s Pagos | Rodopar 108'!$J:$J,'Doc''s Pagos | Rodopar 108'!$A:$A,$B259&amp;$E259&amp;$F259&amp;$J259,'Doc''s Pagos | Rodopar 108'!$B:$B,AC$1)+SUMIFS('Doc Há Pagar | Rodopar 1015'!$J:$J,'Doc Há Pagar | Rodopar 1015'!$A:$A,$B259&amp;$E259&amp;$F259,'Doc Há Pagar | Rodopar 1015'!$B:$B,AC$1)</f>
        <v>0</v>
      </c>
      <c r="AD259" s="20">
        <f>SUMIFS('Doc''s Pagos | Rodopar 108'!$J:$J,'Doc''s Pagos | Rodopar 108'!$A:$A,$B259&amp;$E259&amp;$F259&amp;$J259,'Doc''s Pagos | Rodopar 108'!$B:$B,AD$1)+SUMIFS('Doc Há Pagar | Rodopar 1015'!$J:$J,'Doc Há Pagar | Rodopar 1015'!$A:$A,$B259&amp;$E259&amp;$F259,'Doc Há Pagar | Rodopar 1015'!$B:$B,AD$1)</f>
        <v>0</v>
      </c>
    </row>
    <row r="260" spans="1:30" x14ac:dyDescent="0.25">
      <c r="A260" s="1" t="str">
        <f>VLOOKUP($E260,Fornecedores!$A:$C,3,0)</f>
        <v>Frota</v>
      </c>
      <c r="B260" s="14">
        <v>709</v>
      </c>
      <c r="C260" s="14" t="str">
        <f>IFERROR(VLOOKUP($E260,Fornecedores!$A:$E,4,0),"")</f>
        <v>Lavagem</v>
      </c>
      <c r="D260" s="14" t="str">
        <f>IFERROR(VLOOKUP($E260,Fornecedores!$A:$E,5,0),"")</f>
        <v>Lavagem</v>
      </c>
      <c r="E260" s="8" t="s">
        <v>22</v>
      </c>
      <c r="F260" s="14" t="s">
        <v>665</v>
      </c>
      <c r="G260" s="8" t="s">
        <v>941</v>
      </c>
      <c r="H260" s="9">
        <v>87</v>
      </c>
      <c r="I260" s="21">
        <v>2600</v>
      </c>
      <c r="J260" s="11">
        <v>46203</v>
      </c>
      <c r="K260" s="11">
        <v>46203</v>
      </c>
      <c r="L260" s="8" t="s">
        <v>282</v>
      </c>
      <c r="M260" s="14" t="s">
        <v>234</v>
      </c>
      <c r="N260" s="16">
        <v>1556</v>
      </c>
      <c r="O260" s="14" t="s">
        <v>241</v>
      </c>
      <c r="P260" s="14"/>
      <c r="Q260" s="20">
        <f t="shared" si="4"/>
        <v>0</v>
      </c>
      <c r="S260" s="20">
        <f>SUMIFS('Doc''s Pagos | Rodopar 108'!$J:$J,'Doc''s Pagos | Rodopar 108'!$A:$A,$B260&amp;$E260&amp;$F260&amp;$J260,'Doc''s Pagos | Rodopar 108'!$B:$B,S$1)+SUMIFS('Doc Há Pagar | Rodopar 1015'!$J:$J,'Doc Há Pagar | Rodopar 1015'!$A:$A,$B260&amp;$E260&amp;$F260,'Doc Há Pagar | Rodopar 1015'!$B:$B,S$1)</f>
        <v>0</v>
      </c>
      <c r="T260" s="20">
        <f>SUMIFS('Doc''s Pagos | Rodopar 108'!$J:$J,'Doc''s Pagos | Rodopar 108'!$A:$A,$B260&amp;$E260&amp;$F260&amp;$J260,'Doc''s Pagos | Rodopar 108'!$B:$B,T$1)+SUMIFS('Doc Há Pagar | Rodopar 1015'!$J:$J,'Doc Há Pagar | Rodopar 1015'!$A:$A,$B260&amp;$E260&amp;$F260,'Doc Há Pagar | Rodopar 1015'!$B:$B,T$1)</f>
        <v>0</v>
      </c>
      <c r="U260" s="20">
        <f>SUMIFS('Doc''s Pagos | Rodopar 108'!$J:$J,'Doc''s Pagos | Rodopar 108'!$A:$A,$B260&amp;$E260&amp;$F260&amp;$J260,'Doc''s Pagos | Rodopar 108'!$B:$B,U$1)+SUMIFS('Doc Há Pagar | Rodopar 1015'!$J:$J,'Doc Há Pagar | Rodopar 1015'!$A:$A,$B260&amp;$E260&amp;$F260,'Doc Há Pagar | Rodopar 1015'!$B:$B,U$1)</f>
        <v>0</v>
      </c>
      <c r="V260" s="20">
        <f>SUMIFS('Doc''s Pagos | Rodopar 108'!$J:$J,'Doc''s Pagos | Rodopar 108'!$A:$A,$B260&amp;$E260&amp;$F260&amp;$J260,'Doc''s Pagos | Rodopar 108'!$B:$B,V$1)+SUMIFS('Doc Há Pagar | Rodopar 1015'!$J:$J,'Doc Há Pagar | Rodopar 1015'!$A:$A,$B260&amp;$E260&amp;$F260,'Doc Há Pagar | Rodopar 1015'!$B:$B,V$1)</f>
        <v>0</v>
      </c>
      <c r="W260" s="20">
        <f>SUMIFS('Doc''s Pagos | Rodopar 108'!$J:$J,'Doc''s Pagos | Rodopar 108'!$A:$A,$B260&amp;$E260&amp;$F260&amp;$J260,'Doc''s Pagos | Rodopar 108'!$B:$B,W$1)+SUMIFS('Doc Há Pagar | Rodopar 1015'!$J:$J,'Doc Há Pagar | Rodopar 1015'!$A:$A,$B260&amp;$E260&amp;$F260,'Doc Há Pagar | Rodopar 1015'!$B:$B,W$1)</f>
        <v>0</v>
      </c>
      <c r="X260" s="20">
        <f>SUMIFS('Doc''s Pagos | Rodopar 108'!$J:$J,'Doc''s Pagos | Rodopar 108'!$A:$A,$B260&amp;$E260&amp;$F260&amp;$J260,'Doc''s Pagos | Rodopar 108'!$B:$B,X$1)+SUMIFS('Doc Há Pagar | Rodopar 1015'!$J:$J,'Doc Há Pagar | Rodopar 1015'!$A:$A,$B260&amp;$E260&amp;$F260,'Doc Há Pagar | Rodopar 1015'!$B:$B,X$1)</f>
        <v>0</v>
      </c>
      <c r="Y260" s="20">
        <f>SUMIFS('Doc''s Pagos | Rodopar 108'!$J:$J,'Doc''s Pagos | Rodopar 108'!$A:$A,$B260&amp;$E260&amp;$F260&amp;$J260,'Doc''s Pagos | Rodopar 108'!$B:$B,Y$1)+SUMIFS('Doc Há Pagar | Rodopar 1015'!$J:$J,'Doc Há Pagar | Rodopar 1015'!$A:$A,$B260&amp;$E260&amp;$F260,'Doc Há Pagar | Rodopar 1015'!$B:$B,Y$1)</f>
        <v>0</v>
      </c>
      <c r="Z260" s="20">
        <f>SUMIFS('Doc''s Pagos | Rodopar 108'!$J:$J,'Doc''s Pagos | Rodopar 108'!$A:$A,$B260&amp;$E260&amp;$F260&amp;$J260,'Doc''s Pagos | Rodopar 108'!$B:$B,Z$1)+SUMIFS('Doc Há Pagar | Rodopar 1015'!$J:$J,'Doc Há Pagar | Rodopar 1015'!$A:$A,$B260&amp;$E260&amp;$F260,'Doc Há Pagar | Rodopar 1015'!$B:$B,Z$1)</f>
        <v>2600</v>
      </c>
      <c r="AA260" s="20">
        <f>SUMIFS('Doc''s Pagos | Rodopar 108'!$J:$J,'Doc''s Pagos | Rodopar 108'!$A:$A,$B260&amp;$E260&amp;$F260&amp;$J260,'Doc''s Pagos | Rodopar 108'!$B:$B,AA$1)+SUMIFS('Doc Há Pagar | Rodopar 1015'!$J:$J,'Doc Há Pagar | Rodopar 1015'!$A:$A,$B260&amp;$E260&amp;$F260,'Doc Há Pagar | Rodopar 1015'!$B:$B,AA$1)</f>
        <v>0</v>
      </c>
      <c r="AB260" s="20">
        <f>SUMIFS('Doc''s Pagos | Rodopar 108'!$J:$J,'Doc''s Pagos | Rodopar 108'!$A:$A,$B260&amp;$E260&amp;$F260&amp;$J260,'Doc''s Pagos | Rodopar 108'!$B:$B,AB$1)+SUMIFS('Doc Há Pagar | Rodopar 1015'!$J:$J,'Doc Há Pagar | Rodopar 1015'!$A:$A,$B260&amp;$E260&amp;$F260,'Doc Há Pagar | Rodopar 1015'!$B:$B,AB$1)</f>
        <v>0</v>
      </c>
      <c r="AC260" s="20">
        <f>SUMIFS('Doc''s Pagos | Rodopar 108'!$J:$J,'Doc''s Pagos | Rodopar 108'!$A:$A,$B260&amp;$E260&amp;$F260&amp;$J260,'Doc''s Pagos | Rodopar 108'!$B:$B,AC$1)+SUMIFS('Doc Há Pagar | Rodopar 1015'!$J:$J,'Doc Há Pagar | Rodopar 1015'!$A:$A,$B260&amp;$E260&amp;$F260,'Doc Há Pagar | Rodopar 1015'!$B:$B,AC$1)</f>
        <v>0</v>
      </c>
      <c r="AD260" s="20">
        <f>SUMIFS('Doc''s Pagos | Rodopar 108'!$J:$J,'Doc''s Pagos | Rodopar 108'!$A:$A,$B260&amp;$E260&amp;$F260&amp;$J260,'Doc''s Pagos | Rodopar 108'!$B:$B,AD$1)+SUMIFS('Doc Há Pagar | Rodopar 1015'!$J:$J,'Doc Há Pagar | Rodopar 1015'!$A:$A,$B260&amp;$E260&amp;$F260,'Doc Há Pagar | Rodopar 1015'!$B:$B,AD$1)</f>
        <v>0</v>
      </c>
    </row>
    <row r="261" spans="1:30" x14ac:dyDescent="0.25">
      <c r="A261" s="1" t="str">
        <f>VLOOKUP($E261,Fornecedores!$A:$C,3,0)</f>
        <v>Frota</v>
      </c>
      <c r="B261" s="14">
        <v>28</v>
      </c>
      <c r="C261" s="14" t="str">
        <f>IFERROR(VLOOKUP($E261,Fornecedores!$A:$E,4,0),"")</f>
        <v>Manutenção</v>
      </c>
      <c r="D261" s="14" t="str">
        <f>IFERROR(VLOOKUP($E261,Fornecedores!$A:$E,5,0),"")</f>
        <v>Peças E Serviços</v>
      </c>
      <c r="E261" s="8" t="s">
        <v>70</v>
      </c>
      <c r="F261" s="14" t="s">
        <v>614</v>
      </c>
      <c r="G261" s="8" t="s">
        <v>642</v>
      </c>
      <c r="H261" s="9">
        <v>87</v>
      </c>
      <c r="I261" s="21">
        <v>320</v>
      </c>
      <c r="J261" s="11">
        <v>46204</v>
      </c>
      <c r="K261" s="11">
        <v>46210</v>
      </c>
      <c r="L261" s="8" t="s">
        <v>282</v>
      </c>
      <c r="M261" s="14" t="s">
        <v>234</v>
      </c>
      <c r="N261" s="16">
        <v>1556</v>
      </c>
      <c r="O261" s="14" t="s">
        <v>250</v>
      </c>
      <c r="P261" s="14"/>
      <c r="Q261" s="20">
        <f t="shared" si="4"/>
        <v>0</v>
      </c>
      <c r="S261" s="20">
        <f>SUMIFS('Doc''s Pagos | Rodopar 108'!$J:$J,'Doc''s Pagos | Rodopar 108'!$A:$A,$B261&amp;$E261&amp;$F261&amp;$J261,'Doc''s Pagos | Rodopar 108'!$B:$B,S$1)+SUMIFS('Doc Há Pagar | Rodopar 1015'!$J:$J,'Doc Há Pagar | Rodopar 1015'!$A:$A,$B261&amp;$E261&amp;$F261,'Doc Há Pagar | Rodopar 1015'!$B:$B,S$1)</f>
        <v>0</v>
      </c>
      <c r="T261" s="20">
        <f>SUMIFS('Doc''s Pagos | Rodopar 108'!$J:$J,'Doc''s Pagos | Rodopar 108'!$A:$A,$B261&amp;$E261&amp;$F261&amp;$J261,'Doc''s Pagos | Rodopar 108'!$B:$B,T$1)+SUMIFS('Doc Há Pagar | Rodopar 1015'!$J:$J,'Doc Há Pagar | Rodopar 1015'!$A:$A,$B261&amp;$E261&amp;$F261,'Doc Há Pagar | Rodopar 1015'!$B:$B,T$1)</f>
        <v>0</v>
      </c>
      <c r="U261" s="20">
        <f>SUMIFS('Doc''s Pagos | Rodopar 108'!$J:$J,'Doc''s Pagos | Rodopar 108'!$A:$A,$B261&amp;$E261&amp;$F261&amp;$J261,'Doc''s Pagos | Rodopar 108'!$B:$B,U$1)+SUMIFS('Doc Há Pagar | Rodopar 1015'!$J:$J,'Doc Há Pagar | Rodopar 1015'!$A:$A,$B261&amp;$E261&amp;$F261,'Doc Há Pagar | Rodopar 1015'!$B:$B,U$1)</f>
        <v>0</v>
      </c>
      <c r="V261" s="20">
        <f>SUMIFS('Doc''s Pagos | Rodopar 108'!$J:$J,'Doc''s Pagos | Rodopar 108'!$A:$A,$B261&amp;$E261&amp;$F261&amp;$J261,'Doc''s Pagos | Rodopar 108'!$B:$B,V$1)+SUMIFS('Doc Há Pagar | Rodopar 1015'!$J:$J,'Doc Há Pagar | Rodopar 1015'!$A:$A,$B261&amp;$E261&amp;$F261,'Doc Há Pagar | Rodopar 1015'!$B:$B,V$1)</f>
        <v>0</v>
      </c>
      <c r="W261" s="20">
        <f>SUMIFS('Doc''s Pagos | Rodopar 108'!$J:$J,'Doc''s Pagos | Rodopar 108'!$A:$A,$B261&amp;$E261&amp;$F261&amp;$J261,'Doc''s Pagos | Rodopar 108'!$B:$B,W$1)+SUMIFS('Doc Há Pagar | Rodopar 1015'!$J:$J,'Doc Há Pagar | Rodopar 1015'!$A:$A,$B261&amp;$E261&amp;$F261,'Doc Há Pagar | Rodopar 1015'!$B:$B,W$1)</f>
        <v>0</v>
      </c>
      <c r="X261" s="20">
        <f>SUMIFS('Doc''s Pagos | Rodopar 108'!$J:$J,'Doc''s Pagos | Rodopar 108'!$A:$A,$B261&amp;$E261&amp;$F261&amp;$J261,'Doc''s Pagos | Rodopar 108'!$B:$B,X$1)+SUMIFS('Doc Há Pagar | Rodopar 1015'!$J:$J,'Doc Há Pagar | Rodopar 1015'!$A:$A,$B261&amp;$E261&amp;$F261,'Doc Há Pagar | Rodopar 1015'!$B:$B,X$1)</f>
        <v>0</v>
      </c>
      <c r="Y261" s="20">
        <f>SUMIFS('Doc''s Pagos | Rodopar 108'!$J:$J,'Doc''s Pagos | Rodopar 108'!$A:$A,$B261&amp;$E261&amp;$F261&amp;$J261,'Doc''s Pagos | Rodopar 108'!$B:$B,Y$1)+SUMIFS('Doc Há Pagar | Rodopar 1015'!$J:$J,'Doc Há Pagar | Rodopar 1015'!$A:$A,$B261&amp;$E261&amp;$F261,'Doc Há Pagar | Rodopar 1015'!$B:$B,Y$1)</f>
        <v>0</v>
      </c>
      <c r="Z261" s="20">
        <f>SUMIFS('Doc''s Pagos | Rodopar 108'!$J:$J,'Doc''s Pagos | Rodopar 108'!$A:$A,$B261&amp;$E261&amp;$F261&amp;$J261,'Doc''s Pagos | Rodopar 108'!$B:$B,Z$1)+SUMIFS('Doc Há Pagar | Rodopar 1015'!$J:$J,'Doc Há Pagar | Rodopar 1015'!$A:$A,$B261&amp;$E261&amp;$F261,'Doc Há Pagar | Rodopar 1015'!$B:$B,Z$1)</f>
        <v>320</v>
      </c>
      <c r="AA261" s="20">
        <f>SUMIFS('Doc''s Pagos | Rodopar 108'!$J:$J,'Doc''s Pagos | Rodopar 108'!$A:$A,$B261&amp;$E261&amp;$F261&amp;$J261,'Doc''s Pagos | Rodopar 108'!$B:$B,AA$1)+SUMIFS('Doc Há Pagar | Rodopar 1015'!$J:$J,'Doc Há Pagar | Rodopar 1015'!$A:$A,$B261&amp;$E261&amp;$F261,'Doc Há Pagar | Rodopar 1015'!$B:$B,AA$1)</f>
        <v>0</v>
      </c>
      <c r="AB261" s="20">
        <f>SUMIFS('Doc''s Pagos | Rodopar 108'!$J:$J,'Doc''s Pagos | Rodopar 108'!$A:$A,$B261&amp;$E261&amp;$F261&amp;$J261,'Doc''s Pagos | Rodopar 108'!$B:$B,AB$1)+SUMIFS('Doc Há Pagar | Rodopar 1015'!$J:$J,'Doc Há Pagar | Rodopar 1015'!$A:$A,$B261&amp;$E261&amp;$F261,'Doc Há Pagar | Rodopar 1015'!$B:$B,AB$1)</f>
        <v>0</v>
      </c>
      <c r="AC261" s="20">
        <f>SUMIFS('Doc''s Pagos | Rodopar 108'!$J:$J,'Doc''s Pagos | Rodopar 108'!$A:$A,$B261&amp;$E261&amp;$F261&amp;$J261,'Doc''s Pagos | Rodopar 108'!$B:$B,AC$1)+SUMIFS('Doc Há Pagar | Rodopar 1015'!$J:$J,'Doc Há Pagar | Rodopar 1015'!$A:$A,$B261&amp;$E261&amp;$F261,'Doc Há Pagar | Rodopar 1015'!$B:$B,AC$1)</f>
        <v>0</v>
      </c>
      <c r="AD261" s="20">
        <f>SUMIFS('Doc''s Pagos | Rodopar 108'!$J:$J,'Doc''s Pagos | Rodopar 108'!$A:$A,$B261&amp;$E261&amp;$F261&amp;$J261,'Doc''s Pagos | Rodopar 108'!$B:$B,AD$1)+SUMIFS('Doc Há Pagar | Rodopar 1015'!$J:$J,'Doc Há Pagar | Rodopar 1015'!$A:$A,$B261&amp;$E261&amp;$F261,'Doc Há Pagar | Rodopar 1015'!$B:$B,AD$1)</f>
        <v>0</v>
      </c>
    </row>
    <row r="262" spans="1:30" x14ac:dyDescent="0.25">
      <c r="A262" s="1" t="str">
        <f>VLOOKUP($E262,Fornecedores!$A:$C,3,0)</f>
        <v>Frota</v>
      </c>
      <c r="B262" s="14">
        <v>26150382362</v>
      </c>
      <c r="C262" s="14" t="str">
        <f>IFERROR(VLOOKUP($E262,Fornecedores!$A:$E,4,0),"")</f>
        <v>Pedagios</v>
      </c>
      <c r="D262" s="14" t="str">
        <f>IFERROR(VLOOKUP($E262,Fornecedores!$A:$E,5,0),"")</f>
        <v>Pedagios</v>
      </c>
      <c r="E262" s="8" t="s">
        <v>38</v>
      </c>
      <c r="F262" s="14" t="s">
        <v>232</v>
      </c>
      <c r="G262" s="8" t="s">
        <v>261</v>
      </c>
      <c r="H262" s="9">
        <v>87</v>
      </c>
      <c r="I262" s="21">
        <v>21777.5</v>
      </c>
      <c r="J262" s="11">
        <v>46206</v>
      </c>
      <c r="K262" s="11">
        <v>46211</v>
      </c>
      <c r="L262" s="8" t="s">
        <v>262</v>
      </c>
      <c r="M262" s="14" t="s">
        <v>263</v>
      </c>
      <c r="N262" s="16">
        <v>2556</v>
      </c>
      <c r="O262" s="14" t="s">
        <v>241</v>
      </c>
      <c r="P262" s="14"/>
      <c r="Q262" s="20">
        <f t="shared" si="4"/>
        <v>0</v>
      </c>
      <c r="S262" s="20">
        <f>SUMIFS('Doc''s Pagos | Rodopar 108'!$J:$J,'Doc''s Pagos | Rodopar 108'!$A:$A,$B262&amp;$E262&amp;$F262&amp;$J262,'Doc''s Pagos | Rodopar 108'!$B:$B,S$1)+SUMIFS('Doc Há Pagar | Rodopar 1015'!$J:$J,'Doc Há Pagar | Rodopar 1015'!$A:$A,$B262&amp;$E262&amp;$F262,'Doc Há Pagar | Rodopar 1015'!$B:$B,S$1)</f>
        <v>0</v>
      </c>
      <c r="T262" s="20">
        <f>SUMIFS('Doc''s Pagos | Rodopar 108'!$J:$J,'Doc''s Pagos | Rodopar 108'!$A:$A,$B262&amp;$E262&amp;$F262&amp;$J262,'Doc''s Pagos | Rodopar 108'!$B:$B,T$1)+SUMIFS('Doc Há Pagar | Rodopar 1015'!$J:$J,'Doc Há Pagar | Rodopar 1015'!$A:$A,$B262&amp;$E262&amp;$F262,'Doc Há Pagar | Rodopar 1015'!$B:$B,T$1)</f>
        <v>0</v>
      </c>
      <c r="U262" s="20">
        <f>SUMIFS('Doc''s Pagos | Rodopar 108'!$J:$J,'Doc''s Pagos | Rodopar 108'!$A:$A,$B262&amp;$E262&amp;$F262&amp;$J262,'Doc''s Pagos | Rodopar 108'!$B:$B,U$1)+SUMIFS('Doc Há Pagar | Rodopar 1015'!$J:$J,'Doc Há Pagar | Rodopar 1015'!$A:$A,$B262&amp;$E262&amp;$F262,'Doc Há Pagar | Rodopar 1015'!$B:$B,U$1)</f>
        <v>0</v>
      </c>
      <c r="V262" s="20">
        <f>SUMIFS('Doc''s Pagos | Rodopar 108'!$J:$J,'Doc''s Pagos | Rodopar 108'!$A:$A,$B262&amp;$E262&amp;$F262&amp;$J262,'Doc''s Pagos | Rodopar 108'!$B:$B,V$1)+SUMIFS('Doc Há Pagar | Rodopar 1015'!$J:$J,'Doc Há Pagar | Rodopar 1015'!$A:$A,$B262&amp;$E262&amp;$F262,'Doc Há Pagar | Rodopar 1015'!$B:$B,V$1)</f>
        <v>0</v>
      </c>
      <c r="W262" s="20">
        <f>SUMIFS('Doc''s Pagos | Rodopar 108'!$J:$J,'Doc''s Pagos | Rodopar 108'!$A:$A,$B262&amp;$E262&amp;$F262&amp;$J262,'Doc''s Pagos | Rodopar 108'!$B:$B,W$1)+SUMIFS('Doc Há Pagar | Rodopar 1015'!$J:$J,'Doc Há Pagar | Rodopar 1015'!$A:$A,$B262&amp;$E262&amp;$F262,'Doc Há Pagar | Rodopar 1015'!$B:$B,W$1)</f>
        <v>0</v>
      </c>
      <c r="X262" s="20">
        <f>SUMIFS('Doc''s Pagos | Rodopar 108'!$J:$J,'Doc''s Pagos | Rodopar 108'!$A:$A,$B262&amp;$E262&amp;$F262&amp;$J262,'Doc''s Pagos | Rodopar 108'!$B:$B,X$1)+SUMIFS('Doc Há Pagar | Rodopar 1015'!$J:$J,'Doc Há Pagar | Rodopar 1015'!$A:$A,$B262&amp;$E262&amp;$F262,'Doc Há Pagar | Rodopar 1015'!$B:$B,X$1)</f>
        <v>0</v>
      </c>
      <c r="Y262" s="20">
        <f>SUMIFS('Doc''s Pagos | Rodopar 108'!$J:$J,'Doc''s Pagos | Rodopar 108'!$A:$A,$B262&amp;$E262&amp;$F262&amp;$J262,'Doc''s Pagos | Rodopar 108'!$B:$B,Y$1)+SUMIFS('Doc Há Pagar | Rodopar 1015'!$J:$J,'Doc Há Pagar | Rodopar 1015'!$A:$A,$B262&amp;$E262&amp;$F262,'Doc Há Pagar | Rodopar 1015'!$B:$B,Y$1)</f>
        <v>21777.5</v>
      </c>
      <c r="Z262" s="20">
        <f>SUMIFS('Doc''s Pagos | Rodopar 108'!$J:$J,'Doc''s Pagos | Rodopar 108'!$A:$A,$B262&amp;$E262&amp;$F262&amp;$J262,'Doc''s Pagos | Rodopar 108'!$B:$B,Z$1)+SUMIFS('Doc Há Pagar | Rodopar 1015'!$J:$J,'Doc Há Pagar | Rodopar 1015'!$A:$A,$B262&amp;$E262&amp;$F262,'Doc Há Pagar | Rodopar 1015'!$B:$B,Z$1)</f>
        <v>0</v>
      </c>
      <c r="AA262" s="20">
        <f>SUMIFS('Doc''s Pagos | Rodopar 108'!$J:$J,'Doc''s Pagos | Rodopar 108'!$A:$A,$B262&amp;$E262&amp;$F262&amp;$J262,'Doc''s Pagos | Rodopar 108'!$B:$B,AA$1)+SUMIFS('Doc Há Pagar | Rodopar 1015'!$J:$J,'Doc Há Pagar | Rodopar 1015'!$A:$A,$B262&amp;$E262&amp;$F262,'Doc Há Pagar | Rodopar 1015'!$B:$B,AA$1)</f>
        <v>0</v>
      </c>
      <c r="AB262" s="20">
        <f>SUMIFS('Doc''s Pagos | Rodopar 108'!$J:$J,'Doc''s Pagos | Rodopar 108'!$A:$A,$B262&amp;$E262&amp;$F262&amp;$J262,'Doc''s Pagos | Rodopar 108'!$B:$B,AB$1)+SUMIFS('Doc Há Pagar | Rodopar 1015'!$J:$J,'Doc Há Pagar | Rodopar 1015'!$A:$A,$B262&amp;$E262&amp;$F262,'Doc Há Pagar | Rodopar 1015'!$B:$B,AB$1)</f>
        <v>0</v>
      </c>
      <c r="AC262" s="20">
        <f>SUMIFS('Doc''s Pagos | Rodopar 108'!$J:$J,'Doc''s Pagos | Rodopar 108'!$A:$A,$B262&amp;$E262&amp;$F262&amp;$J262,'Doc''s Pagos | Rodopar 108'!$B:$B,AC$1)+SUMIFS('Doc Há Pagar | Rodopar 1015'!$J:$J,'Doc Há Pagar | Rodopar 1015'!$A:$A,$B262&amp;$E262&amp;$F262,'Doc Há Pagar | Rodopar 1015'!$B:$B,AC$1)</f>
        <v>0</v>
      </c>
      <c r="AD262" s="20">
        <f>SUMIFS('Doc''s Pagos | Rodopar 108'!$J:$J,'Doc''s Pagos | Rodopar 108'!$A:$A,$B262&amp;$E262&amp;$F262&amp;$J262,'Doc''s Pagos | Rodopar 108'!$B:$B,AD$1)+SUMIFS('Doc Há Pagar | Rodopar 1015'!$J:$J,'Doc Há Pagar | Rodopar 1015'!$A:$A,$B262&amp;$E262&amp;$F262,'Doc Há Pagar | Rodopar 1015'!$B:$B,AD$1)</f>
        <v>0</v>
      </c>
    </row>
    <row r="263" spans="1:30" x14ac:dyDescent="0.25">
      <c r="A263" s="1" t="str">
        <f>VLOOKUP($E263,Fornecedores!$A:$C,3,0)</f>
        <v>Frota</v>
      </c>
      <c r="B263" s="14">
        <v>947399</v>
      </c>
      <c r="C263" s="14" t="str">
        <f>IFERROR(VLOOKUP($E263,Fornecedores!$A:$E,4,0),"")</f>
        <v>Telemetria</v>
      </c>
      <c r="D263" s="14" t="str">
        <f>IFERROR(VLOOKUP($E263,Fornecedores!$A:$E,5,0),"")</f>
        <v>Telemetria</v>
      </c>
      <c r="E263" s="8" t="s">
        <v>179</v>
      </c>
      <c r="F263" s="14" t="s">
        <v>665</v>
      </c>
      <c r="G263" s="8" t="s">
        <v>673</v>
      </c>
      <c r="H263" s="9">
        <v>87</v>
      </c>
      <c r="I263" s="21">
        <v>357.45</v>
      </c>
      <c r="J263" s="11">
        <v>46206</v>
      </c>
      <c r="K263" s="11">
        <v>46211</v>
      </c>
      <c r="L263" s="8" t="s">
        <v>674</v>
      </c>
      <c r="M263" s="14" t="s">
        <v>263</v>
      </c>
      <c r="N263" s="16">
        <v>2556</v>
      </c>
      <c r="O263" s="14" t="s">
        <v>241</v>
      </c>
      <c r="P263" s="14"/>
      <c r="Q263" s="20">
        <f t="shared" si="4"/>
        <v>0</v>
      </c>
      <c r="S263" s="20">
        <f>SUMIFS('Doc''s Pagos | Rodopar 108'!$J:$J,'Doc''s Pagos | Rodopar 108'!$A:$A,$B263&amp;$E263&amp;$F263&amp;$J263,'Doc''s Pagos | Rodopar 108'!$B:$B,S$1)+SUMIFS('Doc Há Pagar | Rodopar 1015'!$J:$J,'Doc Há Pagar | Rodopar 1015'!$A:$A,$B263&amp;$E263&amp;$F263,'Doc Há Pagar | Rodopar 1015'!$B:$B,S$1)</f>
        <v>0</v>
      </c>
      <c r="T263" s="20">
        <f>SUMIFS('Doc''s Pagos | Rodopar 108'!$J:$J,'Doc''s Pagos | Rodopar 108'!$A:$A,$B263&amp;$E263&amp;$F263&amp;$J263,'Doc''s Pagos | Rodopar 108'!$B:$B,T$1)+SUMIFS('Doc Há Pagar | Rodopar 1015'!$J:$J,'Doc Há Pagar | Rodopar 1015'!$A:$A,$B263&amp;$E263&amp;$F263,'Doc Há Pagar | Rodopar 1015'!$B:$B,T$1)</f>
        <v>0</v>
      </c>
      <c r="U263" s="20">
        <f>SUMIFS('Doc''s Pagos | Rodopar 108'!$J:$J,'Doc''s Pagos | Rodopar 108'!$A:$A,$B263&amp;$E263&amp;$F263&amp;$J263,'Doc''s Pagos | Rodopar 108'!$B:$B,U$1)+SUMIFS('Doc Há Pagar | Rodopar 1015'!$J:$J,'Doc Há Pagar | Rodopar 1015'!$A:$A,$B263&amp;$E263&amp;$F263,'Doc Há Pagar | Rodopar 1015'!$B:$B,U$1)</f>
        <v>0</v>
      </c>
      <c r="V263" s="20">
        <f>SUMIFS('Doc''s Pagos | Rodopar 108'!$J:$J,'Doc''s Pagos | Rodopar 108'!$A:$A,$B263&amp;$E263&amp;$F263&amp;$J263,'Doc''s Pagos | Rodopar 108'!$B:$B,V$1)+SUMIFS('Doc Há Pagar | Rodopar 1015'!$J:$J,'Doc Há Pagar | Rodopar 1015'!$A:$A,$B263&amp;$E263&amp;$F263,'Doc Há Pagar | Rodopar 1015'!$B:$B,V$1)</f>
        <v>0</v>
      </c>
      <c r="W263" s="20">
        <f>SUMIFS('Doc''s Pagos | Rodopar 108'!$J:$J,'Doc''s Pagos | Rodopar 108'!$A:$A,$B263&amp;$E263&amp;$F263&amp;$J263,'Doc''s Pagos | Rodopar 108'!$B:$B,W$1)+SUMIFS('Doc Há Pagar | Rodopar 1015'!$J:$J,'Doc Há Pagar | Rodopar 1015'!$A:$A,$B263&amp;$E263&amp;$F263,'Doc Há Pagar | Rodopar 1015'!$B:$B,W$1)</f>
        <v>0</v>
      </c>
      <c r="X263" s="20">
        <f>SUMIFS('Doc''s Pagos | Rodopar 108'!$J:$J,'Doc''s Pagos | Rodopar 108'!$A:$A,$B263&amp;$E263&amp;$F263&amp;$J263,'Doc''s Pagos | Rodopar 108'!$B:$B,X$1)+SUMIFS('Doc Há Pagar | Rodopar 1015'!$J:$J,'Doc Há Pagar | Rodopar 1015'!$A:$A,$B263&amp;$E263&amp;$F263,'Doc Há Pagar | Rodopar 1015'!$B:$B,X$1)</f>
        <v>0</v>
      </c>
      <c r="Y263" s="20">
        <f>SUMIFS('Doc''s Pagos | Rodopar 108'!$J:$J,'Doc''s Pagos | Rodopar 108'!$A:$A,$B263&amp;$E263&amp;$F263&amp;$J263,'Doc''s Pagos | Rodopar 108'!$B:$B,Y$1)+SUMIFS('Doc Há Pagar | Rodopar 1015'!$J:$J,'Doc Há Pagar | Rodopar 1015'!$A:$A,$B263&amp;$E263&amp;$F263,'Doc Há Pagar | Rodopar 1015'!$B:$B,Y$1)</f>
        <v>0</v>
      </c>
      <c r="Z263" s="20">
        <f>SUMIFS('Doc''s Pagos | Rodopar 108'!$J:$J,'Doc''s Pagos | Rodopar 108'!$A:$A,$B263&amp;$E263&amp;$F263&amp;$J263,'Doc''s Pagos | Rodopar 108'!$B:$B,Z$1)+SUMIFS('Doc Há Pagar | Rodopar 1015'!$J:$J,'Doc Há Pagar | Rodopar 1015'!$A:$A,$B263&amp;$E263&amp;$F263,'Doc Há Pagar | Rodopar 1015'!$B:$B,Z$1)</f>
        <v>357.45</v>
      </c>
      <c r="AA263" s="20">
        <f>SUMIFS('Doc''s Pagos | Rodopar 108'!$J:$J,'Doc''s Pagos | Rodopar 108'!$A:$A,$B263&amp;$E263&amp;$F263&amp;$J263,'Doc''s Pagos | Rodopar 108'!$B:$B,AA$1)+SUMIFS('Doc Há Pagar | Rodopar 1015'!$J:$J,'Doc Há Pagar | Rodopar 1015'!$A:$A,$B263&amp;$E263&amp;$F263,'Doc Há Pagar | Rodopar 1015'!$B:$B,AA$1)</f>
        <v>0</v>
      </c>
      <c r="AB263" s="20">
        <f>SUMIFS('Doc''s Pagos | Rodopar 108'!$J:$J,'Doc''s Pagos | Rodopar 108'!$A:$A,$B263&amp;$E263&amp;$F263&amp;$J263,'Doc''s Pagos | Rodopar 108'!$B:$B,AB$1)+SUMIFS('Doc Há Pagar | Rodopar 1015'!$J:$J,'Doc Há Pagar | Rodopar 1015'!$A:$A,$B263&amp;$E263&amp;$F263,'Doc Há Pagar | Rodopar 1015'!$B:$B,AB$1)</f>
        <v>0</v>
      </c>
      <c r="AC263" s="20">
        <f>SUMIFS('Doc''s Pagos | Rodopar 108'!$J:$J,'Doc''s Pagos | Rodopar 108'!$A:$A,$B263&amp;$E263&amp;$F263&amp;$J263,'Doc''s Pagos | Rodopar 108'!$B:$B,AC$1)+SUMIFS('Doc Há Pagar | Rodopar 1015'!$J:$J,'Doc Há Pagar | Rodopar 1015'!$A:$A,$B263&amp;$E263&amp;$F263,'Doc Há Pagar | Rodopar 1015'!$B:$B,AC$1)</f>
        <v>0</v>
      </c>
      <c r="AD263" s="20">
        <f>SUMIFS('Doc''s Pagos | Rodopar 108'!$J:$J,'Doc''s Pagos | Rodopar 108'!$A:$A,$B263&amp;$E263&amp;$F263&amp;$J263,'Doc''s Pagos | Rodopar 108'!$B:$B,AD$1)+SUMIFS('Doc Há Pagar | Rodopar 1015'!$J:$J,'Doc Há Pagar | Rodopar 1015'!$A:$A,$B263&amp;$E263&amp;$F263,'Doc Há Pagar | Rodopar 1015'!$B:$B,AD$1)</f>
        <v>0</v>
      </c>
    </row>
    <row r="264" spans="1:30" x14ac:dyDescent="0.25">
      <c r="A264" s="1" t="str">
        <f>VLOOKUP($E264,Fornecedores!$A:$C,3,0)</f>
        <v>Frota</v>
      </c>
      <c r="B264" s="14">
        <v>6420</v>
      </c>
      <c r="C264" s="14" t="str">
        <f>IFERROR(VLOOKUP($E264,Fornecedores!$A:$E,4,0),"")</f>
        <v>Manutenção</v>
      </c>
      <c r="D264" s="14" t="str">
        <f>IFERROR(VLOOKUP($E264,Fornecedores!$A:$E,5,0),"")</f>
        <v>Peças E Serviços</v>
      </c>
      <c r="E264" s="8" t="s">
        <v>111</v>
      </c>
      <c r="F264" s="14" t="s">
        <v>380</v>
      </c>
      <c r="G264" s="8" t="s">
        <v>563</v>
      </c>
      <c r="H264" s="9">
        <v>87</v>
      </c>
      <c r="I264" s="21">
        <v>295</v>
      </c>
      <c r="J264" s="11">
        <v>46209</v>
      </c>
      <c r="K264" s="11">
        <v>46210</v>
      </c>
      <c r="L264" s="8" t="s">
        <v>282</v>
      </c>
      <c r="M264" s="14" t="s">
        <v>234</v>
      </c>
      <c r="N264" s="16">
        <v>1556</v>
      </c>
      <c r="O264" s="14" t="s">
        <v>250</v>
      </c>
      <c r="P264" s="14"/>
      <c r="Q264" s="20">
        <f t="shared" si="4"/>
        <v>0</v>
      </c>
      <c r="S264" s="20">
        <f>SUMIFS('Doc''s Pagos | Rodopar 108'!$J:$J,'Doc''s Pagos | Rodopar 108'!$A:$A,$B264&amp;$E264&amp;$F264&amp;$J264,'Doc''s Pagos | Rodopar 108'!$B:$B,S$1)+SUMIFS('Doc Há Pagar | Rodopar 1015'!$J:$J,'Doc Há Pagar | Rodopar 1015'!$A:$A,$B264&amp;$E264&amp;$F264,'Doc Há Pagar | Rodopar 1015'!$B:$B,S$1)</f>
        <v>0</v>
      </c>
      <c r="T264" s="20">
        <f>SUMIFS('Doc''s Pagos | Rodopar 108'!$J:$J,'Doc''s Pagos | Rodopar 108'!$A:$A,$B264&amp;$E264&amp;$F264&amp;$J264,'Doc''s Pagos | Rodopar 108'!$B:$B,T$1)+SUMIFS('Doc Há Pagar | Rodopar 1015'!$J:$J,'Doc Há Pagar | Rodopar 1015'!$A:$A,$B264&amp;$E264&amp;$F264,'Doc Há Pagar | Rodopar 1015'!$B:$B,T$1)</f>
        <v>0</v>
      </c>
      <c r="U264" s="20">
        <f>SUMIFS('Doc''s Pagos | Rodopar 108'!$J:$J,'Doc''s Pagos | Rodopar 108'!$A:$A,$B264&amp;$E264&amp;$F264&amp;$J264,'Doc''s Pagos | Rodopar 108'!$B:$B,U$1)+SUMIFS('Doc Há Pagar | Rodopar 1015'!$J:$J,'Doc Há Pagar | Rodopar 1015'!$A:$A,$B264&amp;$E264&amp;$F264,'Doc Há Pagar | Rodopar 1015'!$B:$B,U$1)</f>
        <v>0</v>
      </c>
      <c r="V264" s="20">
        <f>SUMIFS('Doc''s Pagos | Rodopar 108'!$J:$J,'Doc''s Pagos | Rodopar 108'!$A:$A,$B264&amp;$E264&amp;$F264&amp;$J264,'Doc''s Pagos | Rodopar 108'!$B:$B,V$1)+SUMIFS('Doc Há Pagar | Rodopar 1015'!$J:$J,'Doc Há Pagar | Rodopar 1015'!$A:$A,$B264&amp;$E264&amp;$F264,'Doc Há Pagar | Rodopar 1015'!$B:$B,V$1)</f>
        <v>0</v>
      </c>
      <c r="W264" s="20">
        <f>SUMIFS('Doc''s Pagos | Rodopar 108'!$J:$J,'Doc''s Pagos | Rodopar 108'!$A:$A,$B264&amp;$E264&amp;$F264&amp;$J264,'Doc''s Pagos | Rodopar 108'!$B:$B,W$1)+SUMIFS('Doc Há Pagar | Rodopar 1015'!$J:$J,'Doc Há Pagar | Rodopar 1015'!$A:$A,$B264&amp;$E264&amp;$F264,'Doc Há Pagar | Rodopar 1015'!$B:$B,W$1)</f>
        <v>0</v>
      </c>
      <c r="X264" s="20">
        <f>SUMIFS('Doc''s Pagos | Rodopar 108'!$J:$J,'Doc''s Pagos | Rodopar 108'!$A:$A,$B264&amp;$E264&amp;$F264&amp;$J264,'Doc''s Pagos | Rodopar 108'!$B:$B,X$1)+SUMIFS('Doc Há Pagar | Rodopar 1015'!$J:$J,'Doc Há Pagar | Rodopar 1015'!$A:$A,$B264&amp;$E264&amp;$F264,'Doc Há Pagar | Rodopar 1015'!$B:$B,X$1)</f>
        <v>0</v>
      </c>
      <c r="Y264" s="20">
        <f>SUMIFS('Doc''s Pagos | Rodopar 108'!$J:$J,'Doc''s Pagos | Rodopar 108'!$A:$A,$B264&amp;$E264&amp;$F264&amp;$J264,'Doc''s Pagos | Rodopar 108'!$B:$B,Y$1)+SUMIFS('Doc Há Pagar | Rodopar 1015'!$J:$J,'Doc Há Pagar | Rodopar 1015'!$A:$A,$B264&amp;$E264&amp;$F264,'Doc Há Pagar | Rodopar 1015'!$B:$B,Y$1)</f>
        <v>0</v>
      </c>
      <c r="Z264" s="20">
        <f>SUMIFS('Doc''s Pagos | Rodopar 108'!$J:$J,'Doc''s Pagos | Rodopar 108'!$A:$A,$B264&amp;$E264&amp;$F264&amp;$J264,'Doc''s Pagos | Rodopar 108'!$B:$B,Z$1)+SUMIFS('Doc Há Pagar | Rodopar 1015'!$J:$J,'Doc Há Pagar | Rodopar 1015'!$A:$A,$B264&amp;$E264&amp;$F264,'Doc Há Pagar | Rodopar 1015'!$B:$B,Z$1)</f>
        <v>295</v>
      </c>
      <c r="AA264" s="20">
        <f>SUMIFS('Doc''s Pagos | Rodopar 108'!$J:$J,'Doc''s Pagos | Rodopar 108'!$A:$A,$B264&amp;$E264&amp;$F264&amp;$J264,'Doc''s Pagos | Rodopar 108'!$B:$B,AA$1)+SUMIFS('Doc Há Pagar | Rodopar 1015'!$J:$J,'Doc Há Pagar | Rodopar 1015'!$A:$A,$B264&amp;$E264&amp;$F264,'Doc Há Pagar | Rodopar 1015'!$B:$B,AA$1)</f>
        <v>0</v>
      </c>
      <c r="AB264" s="20">
        <f>SUMIFS('Doc''s Pagos | Rodopar 108'!$J:$J,'Doc''s Pagos | Rodopar 108'!$A:$A,$B264&amp;$E264&amp;$F264&amp;$J264,'Doc''s Pagos | Rodopar 108'!$B:$B,AB$1)+SUMIFS('Doc Há Pagar | Rodopar 1015'!$J:$J,'Doc Há Pagar | Rodopar 1015'!$A:$A,$B264&amp;$E264&amp;$F264,'Doc Há Pagar | Rodopar 1015'!$B:$B,AB$1)</f>
        <v>0</v>
      </c>
      <c r="AC264" s="20">
        <f>SUMIFS('Doc''s Pagos | Rodopar 108'!$J:$J,'Doc''s Pagos | Rodopar 108'!$A:$A,$B264&amp;$E264&amp;$F264&amp;$J264,'Doc''s Pagos | Rodopar 108'!$B:$B,AC$1)+SUMIFS('Doc Há Pagar | Rodopar 1015'!$J:$J,'Doc Há Pagar | Rodopar 1015'!$A:$A,$B264&amp;$E264&amp;$F264,'Doc Há Pagar | Rodopar 1015'!$B:$B,AC$1)</f>
        <v>0</v>
      </c>
      <c r="AD264" s="20">
        <f>SUMIFS('Doc''s Pagos | Rodopar 108'!$J:$J,'Doc''s Pagos | Rodopar 108'!$A:$A,$B264&amp;$E264&amp;$F264&amp;$J264,'Doc''s Pagos | Rodopar 108'!$B:$B,AD$1)+SUMIFS('Doc Há Pagar | Rodopar 1015'!$J:$J,'Doc Há Pagar | Rodopar 1015'!$A:$A,$B264&amp;$E264&amp;$F264,'Doc Há Pagar | Rodopar 1015'!$B:$B,AD$1)</f>
        <v>0</v>
      </c>
    </row>
    <row r="265" spans="1:30" x14ac:dyDescent="0.25">
      <c r="A265" s="1" t="str">
        <f>VLOOKUP($E265,Fornecedores!$A:$C,3,0)</f>
        <v>Frota</v>
      </c>
      <c r="B265" s="14">
        <v>18</v>
      </c>
      <c r="C265" s="14" t="str">
        <f>IFERROR(VLOOKUP($E265,Fornecedores!$A:$E,4,0),"")</f>
        <v>Lavagem</v>
      </c>
      <c r="D265" s="14" t="str">
        <f>IFERROR(VLOOKUP($E265,Fornecedores!$A:$E,5,0),"")</f>
        <v>Lavagem</v>
      </c>
      <c r="E265" s="8" t="s">
        <v>85</v>
      </c>
      <c r="F265" s="14" t="s">
        <v>614</v>
      </c>
      <c r="G265" s="8" t="s">
        <v>633</v>
      </c>
      <c r="H265" s="9">
        <v>87</v>
      </c>
      <c r="I265" s="21">
        <v>10790</v>
      </c>
      <c r="J265" s="11">
        <v>46209</v>
      </c>
      <c r="K265" s="11">
        <v>46210</v>
      </c>
      <c r="L265" s="8" t="s">
        <v>282</v>
      </c>
      <c r="M265" s="14" t="s">
        <v>234</v>
      </c>
      <c r="N265" s="16">
        <v>1556</v>
      </c>
      <c r="O265" s="14" t="s">
        <v>250</v>
      </c>
      <c r="P265" s="14"/>
      <c r="Q265" s="20">
        <f t="shared" si="4"/>
        <v>0</v>
      </c>
      <c r="S265" s="20">
        <f>SUMIFS('Doc''s Pagos | Rodopar 108'!$J:$J,'Doc''s Pagos | Rodopar 108'!$A:$A,$B265&amp;$E265&amp;$F265&amp;$J265,'Doc''s Pagos | Rodopar 108'!$B:$B,S$1)+SUMIFS('Doc Há Pagar | Rodopar 1015'!$J:$J,'Doc Há Pagar | Rodopar 1015'!$A:$A,$B265&amp;$E265&amp;$F265,'Doc Há Pagar | Rodopar 1015'!$B:$B,S$1)</f>
        <v>0</v>
      </c>
      <c r="T265" s="20">
        <f>SUMIFS('Doc''s Pagos | Rodopar 108'!$J:$J,'Doc''s Pagos | Rodopar 108'!$A:$A,$B265&amp;$E265&amp;$F265&amp;$J265,'Doc''s Pagos | Rodopar 108'!$B:$B,T$1)+SUMIFS('Doc Há Pagar | Rodopar 1015'!$J:$J,'Doc Há Pagar | Rodopar 1015'!$A:$A,$B265&amp;$E265&amp;$F265,'Doc Há Pagar | Rodopar 1015'!$B:$B,T$1)</f>
        <v>0</v>
      </c>
      <c r="U265" s="20">
        <f>SUMIFS('Doc''s Pagos | Rodopar 108'!$J:$J,'Doc''s Pagos | Rodopar 108'!$A:$A,$B265&amp;$E265&amp;$F265&amp;$J265,'Doc''s Pagos | Rodopar 108'!$B:$B,U$1)+SUMIFS('Doc Há Pagar | Rodopar 1015'!$J:$J,'Doc Há Pagar | Rodopar 1015'!$A:$A,$B265&amp;$E265&amp;$F265,'Doc Há Pagar | Rodopar 1015'!$B:$B,U$1)</f>
        <v>0</v>
      </c>
      <c r="V265" s="20">
        <f>SUMIFS('Doc''s Pagos | Rodopar 108'!$J:$J,'Doc''s Pagos | Rodopar 108'!$A:$A,$B265&amp;$E265&amp;$F265&amp;$J265,'Doc''s Pagos | Rodopar 108'!$B:$B,V$1)+SUMIFS('Doc Há Pagar | Rodopar 1015'!$J:$J,'Doc Há Pagar | Rodopar 1015'!$A:$A,$B265&amp;$E265&amp;$F265,'Doc Há Pagar | Rodopar 1015'!$B:$B,V$1)</f>
        <v>0</v>
      </c>
      <c r="W265" s="20">
        <f>SUMIFS('Doc''s Pagos | Rodopar 108'!$J:$J,'Doc''s Pagos | Rodopar 108'!$A:$A,$B265&amp;$E265&amp;$F265&amp;$J265,'Doc''s Pagos | Rodopar 108'!$B:$B,W$1)+SUMIFS('Doc Há Pagar | Rodopar 1015'!$J:$J,'Doc Há Pagar | Rodopar 1015'!$A:$A,$B265&amp;$E265&amp;$F265,'Doc Há Pagar | Rodopar 1015'!$B:$B,W$1)</f>
        <v>0</v>
      </c>
      <c r="X265" s="20">
        <f>SUMIFS('Doc''s Pagos | Rodopar 108'!$J:$J,'Doc''s Pagos | Rodopar 108'!$A:$A,$B265&amp;$E265&amp;$F265&amp;$J265,'Doc''s Pagos | Rodopar 108'!$B:$B,X$1)+SUMIFS('Doc Há Pagar | Rodopar 1015'!$J:$J,'Doc Há Pagar | Rodopar 1015'!$A:$A,$B265&amp;$E265&amp;$F265,'Doc Há Pagar | Rodopar 1015'!$B:$B,X$1)</f>
        <v>0</v>
      </c>
      <c r="Y265" s="20">
        <f>SUMIFS('Doc''s Pagos | Rodopar 108'!$J:$J,'Doc''s Pagos | Rodopar 108'!$A:$A,$B265&amp;$E265&amp;$F265&amp;$J265,'Doc''s Pagos | Rodopar 108'!$B:$B,Y$1)+SUMIFS('Doc Há Pagar | Rodopar 1015'!$J:$J,'Doc Há Pagar | Rodopar 1015'!$A:$A,$B265&amp;$E265&amp;$F265,'Doc Há Pagar | Rodopar 1015'!$B:$B,Y$1)</f>
        <v>0</v>
      </c>
      <c r="Z265" s="20">
        <f>SUMIFS('Doc''s Pagos | Rodopar 108'!$J:$J,'Doc''s Pagos | Rodopar 108'!$A:$A,$B265&amp;$E265&amp;$F265&amp;$J265,'Doc''s Pagos | Rodopar 108'!$B:$B,Z$1)+SUMIFS('Doc Há Pagar | Rodopar 1015'!$J:$J,'Doc Há Pagar | Rodopar 1015'!$A:$A,$B265&amp;$E265&amp;$F265,'Doc Há Pagar | Rodopar 1015'!$B:$B,Z$1)</f>
        <v>10790</v>
      </c>
      <c r="AA265" s="20">
        <f>SUMIFS('Doc''s Pagos | Rodopar 108'!$J:$J,'Doc''s Pagos | Rodopar 108'!$A:$A,$B265&amp;$E265&amp;$F265&amp;$J265,'Doc''s Pagos | Rodopar 108'!$B:$B,AA$1)+SUMIFS('Doc Há Pagar | Rodopar 1015'!$J:$J,'Doc Há Pagar | Rodopar 1015'!$A:$A,$B265&amp;$E265&amp;$F265,'Doc Há Pagar | Rodopar 1015'!$B:$B,AA$1)</f>
        <v>0</v>
      </c>
      <c r="AB265" s="20">
        <f>SUMIFS('Doc''s Pagos | Rodopar 108'!$J:$J,'Doc''s Pagos | Rodopar 108'!$A:$A,$B265&amp;$E265&amp;$F265&amp;$J265,'Doc''s Pagos | Rodopar 108'!$B:$B,AB$1)+SUMIFS('Doc Há Pagar | Rodopar 1015'!$J:$J,'Doc Há Pagar | Rodopar 1015'!$A:$A,$B265&amp;$E265&amp;$F265,'Doc Há Pagar | Rodopar 1015'!$B:$B,AB$1)</f>
        <v>0</v>
      </c>
      <c r="AC265" s="20">
        <f>SUMIFS('Doc''s Pagos | Rodopar 108'!$J:$J,'Doc''s Pagos | Rodopar 108'!$A:$A,$B265&amp;$E265&amp;$F265&amp;$J265,'Doc''s Pagos | Rodopar 108'!$B:$B,AC$1)+SUMIFS('Doc Há Pagar | Rodopar 1015'!$J:$J,'Doc Há Pagar | Rodopar 1015'!$A:$A,$B265&amp;$E265&amp;$F265,'Doc Há Pagar | Rodopar 1015'!$B:$B,AC$1)</f>
        <v>0</v>
      </c>
      <c r="AD265" s="20">
        <f>SUMIFS('Doc''s Pagos | Rodopar 108'!$J:$J,'Doc''s Pagos | Rodopar 108'!$A:$A,$B265&amp;$E265&amp;$F265&amp;$J265,'Doc''s Pagos | Rodopar 108'!$B:$B,AD$1)+SUMIFS('Doc Há Pagar | Rodopar 1015'!$J:$J,'Doc Há Pagar | Rodopar 1015'!$A:$A,$B265&amp;$E265&amp;$F265,'Doc Há Pagar | Rodopar 1015'!$B:$B,AD$1)</f>
        <v>0</v>
      </c>
    </row>
    <row r="266" spans="1:30" x14ac:dyDescent="0.25">
      <c r="A266" s="1" t="str">
        <f>VLOOKUP($E266,Fornecedores!$A:$C,3,0)</f>
        <v>Frota</v>
      </c>
      <c r="B266" s="14">
        <v>38</v>
      </c>
      <c r="C266" s="14" t="str">
        <f>IFERROR(VLOOKUP($E266,Fornecedores!$A:$E,4,0),"")</f>
        <v>Lavagem</v>
      </c>
      <c r="D266" s="14" t="str">
        <f>IFERROR(VLOOKUP($E266,Fornecedores!$A:$E,5,0),"")</f>
        <v>Lavagem</v>
      </c>
      <c r="E266" s="8" t="s">
        <v>18</v>
      </c>
      <c r="F266" s="14" t="s">
        <v>614</v>
      </c>
      <c r="G266" s="8" t="s">
        <v>650</v>
      </c>
      <c r="H266" s="9">
        <v>87</v>
      </c>
      <c r="I266" s="21">
        <v>350</v>
      </c>
      <c r="J266" s="11">
        <v>46209</v>
      </c>
      <c r="K266" s="11">
        <v>46210</v>
      </c>
      <c r="L266" s="8" t="s">
        <v>501</v>
      </c>
      <c r="M266" s="14" t="s">
        <v>234</v>
      </c>
      <c r="N266" s="16">
        <v>1556</v>
      </c>
      <c r="O266" s="14" t="s">
        <v>250</v>
      </c>
      <c r="P266" s="14"/>
      <c r="Q266" s="20">
        <f t="shared" si="4"/>
        <v>0</v>
      </c>
      <c r="S266" s="20">
        <f>SUMIFS('Doc''s Pagos | Rodopar 108'!$J:$J,'Doc''s Pagos | Rodopar 108'!$A:$A,$B266&amp;$E266&amp;$F266&amp;$J266,'Doc''s Pagos | Rodopar 108'!$B:$B,S$1)+SUMIFS('Doc Há Pagar | Rodopar 1015'!$J:$J,'Doc Há Pagar | Rodopar 1015'!$A:$A,$B266&amp;$E266&amp;$F266,'Doc Há Pagar | Rodopar 1015'!$B:$B,S$1)</f>
        <v>0</v>
      </c>
      <c r="T266" s="20">
        <f>SUMIFS('Doc''s Pagos | Rodopar 108'!$J:$J,'Doc''s Pagos | Rodopar 108'!$A:$A,$B266&amp;$E266&amp;$F266&amp;$J266,'Doc''s Pagos | Rodopar 108'!$B:$B,T$1)+SUMIFS('Doc Há Pagar | Rodopar 1015'!$J:$J,'Doc Há Pagar | Rodopar 1015'!$A:$A,$B266&amp;$E266&amp;$F266,'Doc Há Pagar | Rodopar 1015'!$B:$B,T$1)</f>
        <v>0</v>
      </c>
      <c r="U266" s="20">
        <f>SUMIFS('Doc''s Pagos | Rodopar 108'!$J:$J,'Doc''s Pagos | Rodopar 108'!$A:$A,$B266&amp;$E266&amp;$F266&amp;$J266,'Doc''s Pagos | Rodopar 108'!$B:$B,U$1)+SUMIFS('Doc Há Pagar | Rodopar 1015'!$J:$J,'Doc Há Pagar | Rodopar 1015'!$A:$A,$B266&amp;$E266&amp;$F266,'Doc Há Pagar | Rodopar 1015'!$B:$B,U$1)</f>
        <v>0</v>
      </c>
      <c r="V266" s="20">
        <f>SUMIFS('Doc''s Pagos | Rodopar 108'!$J:$J,'Doc''s Pagos | Rodopar 108'!$A:$A,$B266&amp;$E266&amp;$F266&amp;$J266,'Doc''s Pagos | Rodopar 108'!$B:$B,V$1)+SUMIFS('Doc Há Pagar | Rodopar 1015'!$J:$J,'Doc Há Pagar | Rodopar 1015'!$A:$A,$B266&amp;$E266&amp;$F266,'Doc Há Pagar | Rodopar 1015'!$B:$B,V$1)</f>
        <v>0</v>
      </c>
      <c r="W266" s="20">
        <f>SUMIFS('Doc''s Pagos | Rodopar 108'!$J:$J,'Doc''s Pagos | Rodopar 108'!$A:$A,$B266&amp;$E266&amp;$F266&amp;$J266,'Doc''s Pagos | Rodopar 108'!$B:$B,W$1)+SUMIFS('Doc Há Pagar | Rodopar 1015'!$J:$J,'Doc Há Pagar | Rodopar 1015'!$A:$A,$B266&amp;$E266&amp;$F266,'Doc Há Pagar | Rodopar 1015'!$B:$B,W$1)</f>
        <v>0</v>
      </c>
      <c r="X266" s="20">
        <f>SUMIFS('Doc''s Pagos | Rodopar 108'!$J:$J,'Doc''s Pagos | Rodopar 108'!$A:$A,$B266&amp;$E266&amp;$F266&amp;$J266,'Doc''s Pagos | Rodopar 108'!$B:$B,X$1)+SUMIFS('Doc Há Pagar | Rodopar 1015'!$J:$J,'Doc Há Pagar | Rodopar 1015'!$A:$A,$B266&amp;$E266&amp;$F266,'Doc Há Pagar | Rodopar 1015'!$B:$B,X$1)</f>
        <v>0</v>
      </c>
      <c r="Y266" s="20">
        <f>SUMIFS('Doc''s Pagos | Rodopar 108'!$J:$J,'Doc''s Pagos | Rodopar 108'!$A:$A,$B266&amp;$E266&amp;$F266&amp;$J266,'Doc''s Pagos | Rodopar 108'!$B:$B,Y$1)+SUMIFS('Doc Há Pagar | Rodopar 1015'!$J:$J,'Doc Há Pagar | Rodopar 1015'!$A:$A,$B266&amp;$E266&amp;$F266,'Doc Há Pagar | Rodopar 1015'!$B:$B,Y$1)</f>
        <v>0</v>
      </c>
      <c r="Z266" s="20">
        <f>SUMIFS('Doc''s Pagos | Rodopar 108'!$J:$J,'Doc''s Pagos | Rodopar 108'!$A:$A,$B266&amp;$E266&amp;$F266&amp;$J266,'Doc''s Pagos | Rodopar 108'!$B:$B,Z$1)+SUMIFS('Doc Há Pagar | Rodopar 1015'!$J:$J,'Doc Há Pagar | Rodopar 1015'!$A:$A,$B266&amp;$E266&amp;$F266,'Doc Há Pagar | Rodopar 1015'!$B:$B,Z$1)</f>
        <v>350</v>
      </c>
      <c r="AA266" s="20">
        <f>SUMIFS('Doc''s Pagos | Rodopar 108'!$J:$J,'Doc''s Pagos | Rodopar 108'!$A:$A,$B266&amp;$E266&amp;$F266&amp;$J266,'Doc''s Pagos | Rodopar 108'!$B:$B,AA$1)+SUMIFS('Doc Há Pagar | Rodopar 1015'!$J:$J,'Doc Há Pagar | Rodopar 1015'!$A:$A,$B266&amp;$E266&amp;$F266,'Doc Há Pagar | Rodopar 1015'!$B:$B,AA$1)</f>
        <v>0</v>
      </c>
      <c r="AB266" s="20">
        <f>SUMIFS('Doc''s Pagos | Rodopar 108'!$J:$J,'Doc''s Pagos | Rodopar 108'!$A:$A,$B266&amp;$E266&amp;$F266&amp;$J266,'Doc''s Pagos | Rodopar 108'!$B:$B,AB$1)+SUMIFS('Doc Há Pagar | Rodopar 1015'!$J:$J,'Doc Há Pagar | Rodopar 1015'!$A:$A,$B266&amp;$E266&amp;$F266,'Doc Há Pagar | Rodopar 1015'!$B:$B,AB$1)</f>
        <v>0</v>
      </c>
      <c r="AC266" s="20">
        <f>SUMIFS('Doc''s Pagos | Rodopar 108'!$J:$J,'Doc''s Pagos | Rodopar 108'!$A:$A,$B266&amp;$E266&amp;$F266&amp;$J266,'Doc''s Pagos | Rodopar 108'!$B:$B,AC$1)+SUMIFS('Doc Há Pagar | Rodopar 1015'!$J:$J,'Doc Há Pagar | Rodopar 1015'!$A:$A,$B266&amp;$E266&amp;$F266,'Doc Há Pagar | Rodopar 1015'!$B:$B,AC$1)</f>
        <v>0</v>
      </c>
      <c r="AD266" s="20">
        <f>SUMIFS('Doc''s Pagos | Rodopar 108'!$J:$J,'Doc''s Pagos | Rodopar 108'!$A:$A,$B266&amp;$E266&amp;$F266&amp;$J266,'Doc''s Pagos | Rodopar 108'!$B:$B,AD$1)+SUMIFS('Doc Há Pagar | Rodopar 1015'!$J:$J,'Doc Há Pagar | Rodopar 1015'!$A:$A,$B266&amp;$E266&amp;$F266,'Doc Há Pagar | Rodopar 1015'!$B:$B,AD$1)</f>
        <v>0</v>
      </c>
    </row>
    <row r="267" spans="1:30" x14ac:dyDescent="0.25">
      <c r="A267" s="1" t="str">
        <f>VLOOKUP($E267,Fornecedores!$A:$C,3,0)</f>
        <v>Frota</v>
      </c>
      <c r="B267" s="14">
        <v>1</v>
      </c>
      <c r="C267" s="14" t="str">
        <f>IFERROR(VLOOKUP($E267,Fornecedores!$A:$E,4,0),"")</f>
        <v>Pneus</v>
      </c>
      <c r="D267" s="14" t="str">
        <f>IFERROR(VLOOKUP($E267,Fornecedores!$A:$E,5,0),"")</f>
        <v>Serviços Gerais</v>
      </c>
      <c r="E267" s="8" t="s">
        <v>53</v>
      </c>
      <c r="F267" s="14" t="s">
        <v>665</v>
      </c>
      <c r="G267" s="8" t="s">
        <v>666</v>
      </c>
      <c r="H267" s="9">
        <v>87</v>
      </c>
      <c r="I267" s="21">
        <v>690</v>
      </c>
      <c r="J267" s="11">
        <v>46209</v>
      </c>
      <c r="K267" s="11">
        <v>46213</v>
      </c>
      <c r="L267" s="8" t="s">
        <v>282</v>
      </c>
      <c r="M267" s="14" t="s">
        <v>234</v>
      </c>
      <c r="N267" s="16">
        <v>1556</v>
      </c>
      <c r="O267" s="14" t="s">
        <v>241</v>
      </c>
      <c r="P267" s="14"/>
      <c r="Q267" s="20">
        <f t="shared" si="4"/>
        <v>0</v>
      </c>
      <c r="S267" s="20">
        <f>SUMIFS('Doc''s Pagos | Rodopar 108'!$J:$J,'Doc''s Pagos | Rodopar 108'!$A:$A,$B267&amp;$E267&amp;$F267&amp;$J267,'Doc''s Pagos | Rodopar 108'!$B:$B,S$1)+SUMIFS('Doc Há Pagar | Rodopar 1015'!$J:$J,'Doc Há Pagar | Rodopar 1015'!$A:$A,$B267&amp;$E267&amp;$F267,'Doc Há Pagar | Rodopar 1015'!$B:$B,S$1)</f>
        <v>0</v>
      </c>
      <c r="T267" s="20">
        <f>SUMIFS('Doc''s Pagos | Rodopar 108'!$J:$J,'Doc''s Pagos | Rodopar 108'!$A:$A,$B267&amp;$E267&amp;$F267&amp;$J267,'Doc''s Pagos | Rodopar 108'!$B:$B,T$1)+SUMIFS('Doc Há Pagar | Rodopar 1015'!$J:$J,'Doc Há Pagar | Rodopar 1015'!$A:$A,$B267&amp;$E267&amp;$F267,'Doc Há Pagar | Rodopar 1015'!$B:$B,T$1)</f>
        <v>0</v>
      </c>
      <c r="U267" s="20">
        <f>SUMIFS('Doc''s Pagos | Rodopar 108'!$J:$J,'Doc''s Pagos | Rodopar 108'!$A:$A,$B267&amp;$E267&amp;$F267&amp;$J267,'Doc''s Pagos | Rodopar 108'!$B:$B,U$1)+SUMIFS('Doc Há Pagar | Rodopar 1015'!$J:$J,'Doc Há Pagar | Rodopar 1015'!$A:$A,$B267&amp;$E267&amp;$F267,'Doc Há Pagar | Rodopar 1015'!$B:$B,U$1)</f>
        <v>0</v>
      </c>
      <c r="V267" s="20">
        <f>SUMIFS('Doc''s Pagos | Rodopar 108'!$J:$J,'Doc''s Pagos | Rodopar 108'!$A:$A,$B267&amp;$E267&amp;$F267&amp;$J267,'Doc''s Pagos | Rodopar 108'!$B:$B,V$1)+SUMIFS('Doc Há Pagar | Rodopar 1015'!$J:$J,'Doc Há Pagar | Rodopar 1015'!$A:$A,$B267&amp;$E267&amp;$F267,'Doc Há Pagar | Rodopar 1015'!$B:$B,V$1)</f>
        <v>0</v>
      </c>
      <c r="W267" s="20">
        <f>SUMIFS('Doc''s Pagos | Rodopar 108'!$J:$J,'Doc''s Pagos | Rodopar 108'!$A:$A,$B267&amp;$E267&amp;$F267&amp;$J267,'Doc''s Pagos | Rodopar 108'!$B:$B,W$1)+SUMIFS('Doc Há Pagar | Rodopar 1015'!$J:$J,'Doc Há Pagar | Rodopar 1015'!$A:$A,$B267&amp;$E267&amp;$F267,'Doc Há Pagar | Rodopar 1015'!$B:$B,W$1)</f>
        <v>0</v>
      </c>
      <c r="X267" s="20">
        <f>SUMIFS('Doc''s Pagos | Rodopar 108'!$J:$J,'Doc''s Pagos | Rodopar 108'!$A:$A,$B267&amp;$E267&amp;$F267&amp;$J267,'Doc''s Pagos | Rodopar 108'!$B:$B,X$1)+SUMIFS('Doc Há Pagar | Rodopar 1015'!$J:$J,'Doc Há Pagar | Rodopar 1015'!$A:$A,$B267&amp;$E267&amp;$F267,'Doc Há Pagar | Rodopar 1015'!$B:$B,X$1)</f>
        <v>0</v>
      </c>
      <c r="Y267" s="20">
        <f>SUMIFS('Doc''s Pagos | Rodopar 108'!$J:$J,'Doc''s Pagos | Rodopar 108'!$A:$A,$B267&amp;$E267&amp;$F267&amp;$J267,'Doc''s Pagos | Rodopar 108'!$B:$B,Y$1)+SUMIFS('Doc Há Pagar | Rodopar 1015'!$J:$J,'Doc Há Pagar | Rodopar 1015'!$A:$A,$B267&amp;$E267&amp;$F267,'Doc Há Pagar | Rodopar 1015'!$B:$B,Y$1)</f>
        <v>0</v>
      </c>
      <c r="Z267" s="20">
        <f>SUMIFS('Doc''s Pagos | Rodopar 108'!$J:$J,'Doc''s Pagos | Rodopar 108'!$A:$A,$B267&amp;$E267&amp;$F267&amp;$J267,'Doc''s Pagos | Rodopar 108'!$B:$B,Z$1)+SUMIFS('Doc Há Pagar | Rodopar 1015'!$J:$J,'Doc Há Pagar | Rodopar 1015'!$A:$A,$B267&amp;$E267&amp;$F267,'Doc Há Pagar | Rodopar 1015'!$B:$B,Z$1)</f>
        <v>690</v>
      </c>
      <c r="AA267" s="20">
        <f>SUMIFS('Doc''s Pagos | Rodopar 108'!$J:$J,'Doc''s Pagos | Rodopar 108'!$A:$A,$B267&amp;$E267&amp;$F267&amp;$J267,'Doc''s Pagos | Rodopar 108'!$B:$B,AA$1)+SUMIFS('Doc Há Pagar | Rodopar 1015'!$J:$J,'Doc Há Pagar | Rodopar 1015'!$A:$A,$B267&amp;$E267&amp;$F267,'Doc Há Pagar | Rodopar 1015'!$B:$B,AA$1)</f>
        <v>0</v>
      </c>
      <c r="AB267" s="20">
        <f>SUMIFS('Doc''s Pagos | Rodopar 108'!$J:$J,'Doc''s Pagos | Rodopar 108'!$A:$A,$B267&amp;$E267&amp;$F267&amp;$J267,'Doc''s Pagos | Rodopar 108'!$B:$B,AB$1)+SUMIFS('Doc Há Pagar | Rodopar 1015'!$J:$J,'Doc Há Pagar | Rodopar 1015'!$A:$A,$B267&amp;$E267&amp;$F267,'Doc Há Pagar | Rodopar 1015'!$B:$B,AB$1)</f>
        <v>0</v>
      </c>
      <c r="AC267" s="20">
        <f>SUMIFS('Doc''s Pagos | Rodopar 108'!$J:$J,'Doc''s Pagos | Rodopar 108'!$A:$A,$B267&amp;$E267&amp;$F267&amp;$J267,'Doc''s Pagos | Rodopar 108'!$B:$B,AC$1)+SUMIFS('Doc Há Pagar | Rodopar 1015'!$J:$J,'Doc Há Pagar | Rodopar 1015'!$A:$A,$B267&amp;$E267&amp;$F267,'Doc Há Pagar | Rodopar 1015'!$B:$B,AC$1)</f>
        <v>0</v>
      </c>
      <c r="AD267" s="20">
        <f>SUMIFS('Doc''s Pagos | Rodopar 108'!$J:$J,'Doc''s Pagos | Rodopar 108'!$A:$A,$B267&amp;$E267&amp;$F267&amp;$J267,'Doc''s Pagos | Rodopar 108'!$B:$B,AD$1)+SUMIFS('Doc Há Pagar | Rodopar 1015'!$J:$J,'Doc Há Pagar | Rodopar 1015'!$A:$A,$B267&amp;$E267&amp;$F267,'Doc Há Pagar | Rodopar 1015'!$B:$B,AD$1)</f>
        <v>0</v>
      </c>
    </row>
    <row r="268" spans="1:30" x14ac:dyDescent="0.25">
      <c r="A268" s="1" t="str">
        <f>VLOOKUP($E268,Fornecedores!$A:$C,3,0)</f>
        <v>Frota</v>
      </c>
      <c r="B268" s="14">
        <v>10</v>
      </c>
      <c r="C268" s="14" t="str">
        <f>IFERROR(VLOOKUP($E268,Fornecedores!$A:$E,4,0),"")</f>
        <v>Manutenção</v>
      </c>
      <c r="D268" s="14" t="str">
        <f>IFERROR(VLOOKUP($E268,Fornecedores!$A:$E,5,0),"")</f>
        <v>Peças E Serviços</v>
      </c>
      <c r="E268" s="8" t="s">
        <v>124</v>
      </c>
      <c r="F268" s="14" t="s">
        <v>665</v>
      </c>
      <c r="G268" s="8" t="s">
        <v>654</v>
      </c>
      <c r="H268" s="9">
        <v>87</v>
      </c>
      <c r="I268" s="21">
        <v>7500</v>
      </c>
      <c r="J268" s="11">
        <v>46209</v>
      </c>
      <c r="K268" s="11">
        <v>46240</v>
      </c>
      <c r="L268" s="8" t="s">
        <v>233</v>
      </c>
      <c r="M268" s="14" t="s">
        <v>234</v>
      </c>
      <c r="N268" s="16">
        <v>1556</v>
      </c>
      <c r="O268" s="14" t="s">
        <v>241</v>
      </c>
      <c r="P268" s="14"/>
      <c r="Q268" s="20">
        <f t="shared" si="4"/>
        <v>-375</v>
      </c>
      <c r="S268" s="20">
        <f>SUMIFS('Doc''s Pagos | Rodopar 108'!$J:$J,'Doc''s Pagos | Rodopar 108'!$A:$A,$B268&amp;$E268&amp;$F268&amp;$J268,'Doc''s Pagos | Rodopar 108'!$B:$B,S$1)+SUMIFS('Doc Há Pagar | Rodopar 1015'!$J:$J,'Doc Há Pagar | Rodopar 1015'!$A:$A,$B268&amp;$E268&amp;$F268,'Doc Há Pagar | Rodopar 1015'!$B:$B,S$1)</f>
        <v>0</v>
      </c>
      <c r="T268" s="20">
        <f>SUMIFS('Doc''s Pagos | Rodopar 108'!$J:$J,'Doc''s Pagos | Rodopar 108'!$A:$A,$B268&amp;$E268&amp;$F268&amp;$J268,'Doc''s Pagos | Rodopar 108'!$B:$B,T$1)+SUMIFS('Doc Há Pagar | Rodopar 1015'!$J:$J,'Doc Há Pagar | Rodopar 1015'!$A:$A,$B268&amp;$E268&amp;$F268,'Doc Há Pagar | Rodopar 1015'!$B:$B,T$1)</f>
        <v>0</v>
      </c>
      <c r="U268" s="20">
        <f>SUMIFS('Doc''s Pagos | Rodopar 108'!$J:$J,'Doc''s Pagos | Rodopar 108'!$A:$A,$B268&amp;$E268&amp;$F268&amp;$J268,'Doc''s Pagos | Rodopar 108'!$B:$B,U$1)+SUMIFS('Doc Há Pagar | Rodopar 1015'!$J:$J,'Doc Há Pagar | Rodopar 1015'!$A:$A,$B268&amp;$E268&amp;$F268,'Doc Há Pagar | Rodopar 1015'!$B:$B,U$1)</f>
        <v>0</v>
      </c>
      <c r="V268" s="20">
        <f>SUMIFS('Doc''s Pagos | Rodopar 108'!$J:$J,'Doc''s Pagos | Rodopar 108'!$A:$A,$B268&amp;$E268&amp;$F268&amp;$J268,'Doc''s Pagos | Rodopar 108'!$B:$B,V$1)+SUMIFS('Doc Há Pagar | Rodopar 1015'!$J:$J,'Doc Há Pagar | Rodopar 1015'!$A:$A,$B268&amp;$E268&amp;$F268,'Doc Há Pagar | Rodopar 1015'!$B:$B,V$1)</f>
        <v>0</v>
      </c>
      <c r="W268" s="20">
        <f>SUMIFS('Doc''s Pagos | Rodopar 108'!$J:$J,'Doc''s Pagos | Rodopar 108'!$A:$A,$B268&amp;$E268&amp;$F268&amp;$J268,'Doc''s Pagos | Rodopar 108'!$B:$B,W$1)+SUMIFS('Doc Há Pagar | Rodopar 1015'!$J:$J,'Doc Há Pagar | Rodopar 1015'!$A:$A,$B268&amp;$E268&amp;$F268,'Doc Há Pagar | Rodopar 1015'!$B:$B,W$1)</f>
        <v>0</v>
      </c>
      <c r="X268" s="20">
        <f>SUMIFS('Doc''s Pagos | Rodopar 108'!$J:$J,'Doc''s Pagos | Rodopar 108'!$A:$A,$B268&amp;$E268&amp;$F268&amp;$J268,'Doc''s Pagos | Rodopar 108'!$B:$B,X$1)+SUMIFS('Doc Há Pagar | Rodopar 1015'!$J:$J,'Doc Há Pagar | Rodopar 1015'!$A:$A,$B268&amp;$E268&amp;$F268,'Doc Há Pagar | Rodopar 1015'!$B:$B,X$1)</f>
        <v>0</v>
      </c>
      <c r="Y268" s="20">
        <f>SUMIFS('Doc''s Pagos | Rodopar 108'!$J:$J,'Doc''s Pagos | Rodopar 108'!$A:$A,$B268&amp;$E268&amp;$F268&amp;$J268,'Doc''s Pagos | Rodopar 108'!$B:$B,Y$1)+SUMIFS('Doc Há Pagar | Rodopar 1015'!$J:$J,'Doc Há Pagar | Rodopar 1015'!$A:$A,$B268&amp;$E268&amp;$F268,'Doc Há Pagar | Rodopar 1015'!$B:$B,Y$1)</f>
        <v>0</v>
      </c>
      <c r="Z268" s="20">
        <f>SUMIFS('Doc''s Pagos | Rodopar 108'!$J:$J,'Doc''s Pagos | Rodopar 108'!$A:$A,$B268&amp;$E268&amp;$F268&amp;$J268,'Doc''s Pagos | Rodopar 108'!$B:$B,Z$1)+SUMIFS('Doc Há Pagar | Rodopar 1015'!$J:$J,'Doc Há Pagar | Rodopar 1015'!$A:$A,$B268&amp;$E268&amp;$F268,'Doc Há Pagar | Rodopar 1015'!$B:$B,Z$1)</f>
        <v>0</v>
      </c>
      <c r="AA268" s="20">
        <f>SUMIFS('Doc''s Pagos | Rodopar 108'!$J:$J,'Doc''s Pagos | Rodopar 108'!$A:$A,$B268&amp;$E268&amp;$F268&amp;$J268,'Doc''s Pagos | Rodopar 108'!$B:$B,AA$1)+SUMIFS('Doc Há Pagar | Rodopar 1015'!$J:$J,'Doc Há Pagar | Rodopar 1015'!$A:$A,$B268&amp;$E268&amp;$F268,'Doc Há Pagar | Rodopar 1015'!$B:$B,AA$1)</f>
        <v>7125</v>
      </c>
      <c r="AB268" s="20">
        <f>SUMIFS('Doc''s Pagos | Rodopar 108'!$J:$J,'Doc''s Pagos | Rodopar 108'!$A:$A,$B268&amp;$E268&amp;$F268&amp;$J268,'Doc''s Pagos | Rodopar 108'!$B:$B,AB$1)+SUMIFS('Doc Há Pagar | Rodopar 1015'!$J:$J,'Doc Há Pagar | Rodopar 1015'!$A:$A,$B268&amp;$E268&amp;$F268,'Doc Há Pagar | Rodopar 1015'!$B:$B,AB$1)</f>
        <v>0</v>
      </c>
      <c r="AC268" s="20">
        <f>SUMIFS('Doc''s Pagos | Rodopar 108'!$J:$J,'Doc''s Pagos | Rodopar 108'!$A:$A,$B268&amp;$E268&amp;$F268&amp;$J268,'Doc''s Pagos | Rodopar 108'!$B:$B,AC$1)+SUMIFS('Doc Há Pagar | Rodopar 1015'!$J:$J,'Doc Há Pagar | Rodopar 1015'!$A:$A,$B268&amp;$E268&amp;$F268,'Doc Há Pagar | Rodopar 1015'!$B:$B,AC$1)</f>
        <v>0</v>
      </c>
      <c r="AD268" s="20">
        <f>SUMIFS('Doc''s Pagos | Rodopar 108'!$J:$J,'Doc''s Pagos | Rodopar 108'!$A:$A,$B268&amp;$E268&amp;$F268&amp;$J268,'Doc''s Pagos | Rodopar 108'!$B:$B,AD$1)+SUMIFS('Doc Há Pagar | Rodopar 1015'!$J:$J,'Doc Há Pagar | Rodopar 1015'!$A:$A,$B268&amp;$E268&amp;$F268,'Doc Há Pagar | Rodopar 1015'!$B:$B,AD$1)</f>
        <v>0</v>
      </c>
    </row>
    <row r="269" spans="1:30" x14ac:dyDescent="0.25">
      <c r="A269" s="1" t="str">
        <f>VLOOKUP($E269,Fornecedores!$A:$C,3,0)</f>
        <v>Frota</v>
      </c>
      <c r="B269" s="14">
        <v>1558</v>
      </c>
      <c r="C269" s="14" t="str">
        <f>IFERROR(VLOOKUP($E269,Fornecedores!$A:$E,4,0),"")</f>
        <v>MTSR</v>
      </c>
      <c r="D269" s="14" t="str">
        <f>IFERROR(VLOOKUP($E269,Fornecedores!$A:$E,5,0),"")</f>
        <v>Tecnologia</v>
      </c>
      <c r="E269" s="8" t="s">
        <v>24</v>
      </c>
      <c r="F269" s="14" t="s">
        <v>232</v>
      </c>
      <c r="G269" s="8" t="s">
        <v>238</v>
      </c>
      <c r="H269" s="9">
        <v>87</v>
      </c>
      <c r="I269" s="21">
        <v>59176.89</v>
      </c>
      <c r="J269" s="11">
        <v>46210</v>
      </c>
      <c r="K269" s="11">
        <v>46210</v>
      </c>
      <c r="L269" s="8" t="s">
        <v>239</v>
      </c>
      <c r="M269" s="14" t="s">
        <v>240</v>
      </c>
      <c r="N269" s="16">
        <v>2556</v>
      </c>
      <c r="O269" s="14" t="s">
        <v>250</v>
      </c>
      <c r="P269" s="14"/>
      <c r="Q269" s="20">
        <f t="shared" si="4"/>
        <v>0</v>
      </c>
      <c r="S269" s="20">
        <f>SUMIFS('Doc''s Pagos | Rodopar 108'!$J:$J,'Doc''s Pagos | Rodopar 108'!$A:$A,$B269&amp;$E269&amp;$F269&amp;$J269,'Doc''s Pagos | Rodopar 108'!$B:$B,S$1)+SUMIFS('Doc Há Pagar | Rodopar 1015'!$J:$J,'Doc Há Pagar | Rodopar 1015'!$A:$A,$B269&amp;$E269&amp;$F269,'Doc Há Pagar | Rodopar 1015'!$B:$B,S$1)</f>
        <v>0</v>
      </c>
      <c r="T269" s="20">
        <f>SUMIFS('Doc''s Pagos | Rodopar 108'!$J:$J,'Doc''s Pagos | Rodopar 108'!$A:$A,$B269&amp;$E269&amp;$F269&amp;$J269,'Doc''s Pagos | Rodopar 108'!$B:$B,T$1)+SUMIFS('Doc Há Pagar | Rodopar 1015'!$J:$J,'Doc Há Pagar | Rodopar 1015'!$A:$A,$B269&amp;$E269&amp;$F269,'Doc Há Pagar | Rodopar 1015'!$B:$B,T$1)</f>
        <v>0</v>
      </c>
      <c r="U269" s="20">
        <f>SUMIFS('Doc''s Pagos | Rodopar 108'!$J:$J,'Doc''s Pagos | Rodopar 108'!$A:$A,$B269&amp;$E269&amp;$F269&amp;$J269,'Doc''s Pagos | Rodopar 108'!$B:$B,U$1)+SUMIFS('Doc Há Pagar | Rodopar 1015'!$J:$J,'Doc Há Pagar | Rodopar 1015'!$A:$A,$B269&amp;$E269&amp;$F269,'Doc Há Pagar | Rodopar 1015'!$B:$B,U$1)</f>
        <v>0</v>
      </c>
      <c r="V269" s="20">
        <f>SUMIFS('Doc''s Pagos | Rodopar 108'!$J:$J,'Doc''s Pagos | Rodopar 108'!$A:$A,$B269&amp;$E269&amp;$F269&amp;$J269,'Doc''s Pagos | Rodopar 108'!$B:$B,V$1)+SUMIFS('Doc Há Pagar | Rodopar 1015'!$J:$J,'Doc Há Pagar | Rodopar 1015'!$A:$A,$B269&amp;$E269&amp;$F269,'Doc Há Pagar | Rodopar 1015'!$B:$B,V$1)</f>
        <v>0</v>
      </c>
      <c r="W269" s="20">
        <f>SUMIFS('Doc''s Pagos | Rodopar 108'!$J:$J,'Doc''s Pagos | Rodopar 108'!$A:$A,$B269&amp;$E269&amp;$F269&amp;$J269,'Doc''s Pagos | Rodopar 108'!$B:$B,W$1)+SUMIFS('Doc Há Pagar | Rodopar 1015'!$J:$J,'Doc Há Pagar | Rodopar 1015'!$A:$A,$B269&amp;$E269&amp;$F269,'Doc Há Pagar | Rodopar 1015'!$B:$B,W$1)</f>
        <v>0</v>
      </c>
      <c r="X269" s="20">
        <f>SUMIFS('Doc''s Pagos | Rodopar 108'!$J:$J,'Doc''s Pagos | Rodopar 108'!$A:$A,$B269&amp;$E269&amp;$F269&amp;$J269,'Doc''s Pagos | Rodopar 108'!$B:$B,X$1)+SUMIFS('Doc Há Pagar | Rodopar 1015'!$J:$J,'Doc Há Pagar | Rodopar 1015'!$A:$A,$B269&amp;$E269&amp;$F269,'Doc Há Pagar | Rodopar 1015'!$B:$B,X$1)</f>
        <v>0</v>
      </c>
      <c r="Y269" s="20">
        <f>SUMIFS('Doc''s Pagos | Rodopar 108'!$J:$J,'Doc''s Pagos | Rodopar 108'!$A:$A,$B269&amp;$E269&amp;$F269&amp;$J269,'Doc''s Pagos | Rodopar 108'!$B:$B,Y$1)+SUMIFS('Doc Há Pagar | Rodopar 1015'!$J:$J,'Doc Há Pagar | Rodopar 1015'!$A:$A,$B269&amp;$E269&amp;$F269,'Doc Há Pagar | Rodopar 1015'!$B:$B,Y$1)</f>
        <v>0</v>
      </c>
      <c r="Z269" s="20">
        <f>SUMIFS('Doc''s Pagos | Rodopar 108'!$J:$J,'Doc''s Pagos | Rodopar 108'!$A:$A,$B269&amp;$E269&amp;$F269&amp;$J269,'Doc''s Pagos | Rodopar 108'!$B:$B,Z$1)+SUMIFS('Doc Há Pagar | Rodopar 1015'!$J:$J,'Doc Há Pagar | Rodopar 1015'!$A:$A,$B269&amp;$E269&amp;$F269,'Doc Há Pagar | Rodopar 1015'!$B:$B,Z$1)</f>
        <v>59176.89</v>
      </c>
      <c r="AA269" s="20">
        <f>SUMIFS('Doc''s Pagos | Rodopar 108'!$J:$J,'Doc''s Pagos | Rodopar 108'!$A:$A,$B269&amp;$E269&amp;$F269&amp;$J269,'Doc''s Pagos | Rodopar 108'!$B:$B,AA$1)+SUMIFS('Doc Há Pagar | Rodopar 1015'!$J:$J,'Doc Há Pagar | Rodopar 1015'!$A:$A,$B269&amp;$E269&amp;$F269,'Doc Há Pagar | Rodopar 1015'!$B:$B,AA$1)</f>
        <v>0</v>
      </c>
      <c r="AB269" s="20">
        <f>SUMIFS('Doc''s Pagos | Rodopar 108'!$J:$J,'Doc''s Pagos | Rodopar 108'!$A:$A,$B269&amp;$E269&amp;$F269&amp;$J269,'Doc''s Pagos | Rodopar 108'!$B:$B,AB$1)+SUMIFS('Doc Há Pagar | Rodopar 1015'!$J:$J,'Doc Há Pagar | Rodopar 1015'!$A:$A,$B269&amp;$E269&amp;$F269,'Doc Há Pagar | Rodopar 1015'!$B:$B,AB$1)</f>
        <v>0</v>
      </c>
      <c r="AC269" s="20">
        <f>SUMIFS('Doc''s Pagos | Rodopar 108'!$J:$J,'Doc''s Pagos | Rodopar 108'!$A:$A,$B269&amp;$E269&amp;$F269&amp;$J269,'Doc''s Pagos | Rodopar 108'!$B:$B,AC$1)+SUMIFS('Doc Há Pagar | Rodopar 1015'!$J:$J,'Doc Há Pagar | Rodopar 1015'!$A:$A,$B269&amp;$E269&amp;$F269,'Doc Há Pagar | Rodopar 1015'!$B:$B,AC$1)</f>
        <v>0</v>
      </c>
      <c r="AD269" s="20">
        <f>SUMIFS('Doc''s Pagos | Rodopar 108'!$J:$J,'Doc''s Pagos | Rodopar 108'!$A:$A,$B269&amp;$E269&amp;$F269&amp;$J269,'Doc''s Pagos | Rodopar 108'!$B:$B,AD$1)+SUMIFS('Doc Há Pagar | Rodopar 1015'!$J:$J,'Doc Há Pagar | Rodopar 1015'!$A:$A,$B269&amp;$E269&amp;$F269,'Doc Há Pagar | Rodopar 1015'!$B:$B,AD$1)</f>
        <v>0</v>
      </c>
    </row>
    <row r="270" spans="1:30" x14ac:dyDescent="0.25">
      <c r="A270" s="1" t="str">
        <f>VLOOKUP($E270,Fornecedores!$A:$C,3,0)</f>
        <v>Frota</v>
      </c>
      <c r="B270" s="14">
        <v>1128</v>
      </c>
      <c r="C270" s="14" t="str">
        <f>IFERROR(VLOOKUP($E270,Fornecedores!$A:$E,4,0),"")</f>
        <v>MTSR</v>
      </c>
      <c r="D270" s="14" t="str">
        <f>IFERROR(VLOOKUP($E270,Fornecedores!$A:$E,5,0),"")</f>
        <v>Tecnologia</v>
      </c>
      <c r="E270" s="8" t="s">
        <v>24</v>
      </c>
      <c r="F270" s="14" t="s">
        <v>614</v>
      </c>
      <c r="G270" s="8" t="s">
        <v>238</v>
      </c>
      <c r="H270" s="9">
        <v>87</v>
      </c>
      <c r="I270" s="21">
        <v>11929.32</v>
      </c>
      <c r="J270" s="11">
        <v>46210</v>
      </c>
      <c r="K270" s="11">
        <v>46210</v>
      </c>
      <c r="L270" s="8" t="s">
        <v>239</v>
      </c>
      <c r="M270" s="14" t="s">
        <v>240</v>
      </c>
      <c r="N270" s="16">
        <v>2556</v>
      </c>
      <c r="O270" s="14" t="s">
        <v>250</v>
      </c>
      <c r="P270" s="14"/>
      <c r="Q270" s="20">
        <f t="shared" si="4"/>
        <v>0</v>
      </c>
      <c r="S270" s="20">
        <f>SUMIFS('Doc''s Pagos | Rodopar 108'!$J:$J,'Doc''s Pagos | Rodopar 108'!$A:$A,$B270&amp;$E270&amp;$F270&amp;$J270,'Doc''s Pagos | Rodopar 108'!$B:$B,S$1)+SUMIFS('Doc Há Pagar | Rodopar 1015'!$J:$J,'Doc Há Pagar | Rodopar 1015'!$A:$A,$B270&amp;$E270&amp;$F270,'Doc Há Pagar | Rodopar 1015'!$B:$B,S$1)</f>
        <v>0</v>
      </c>
      <c r="T270" s="20">
        <f>SUMIFS('Doc''s Pagos | Rodopar 108'!$J:$J,'Doc''s Pagos | Rodopar 108'!$A:$A,$B270&amp;$E270&amp;$F270&amp;$J270,'Doc''s Pagos | Rodopar 108'!$B:$B,T$1)+SUMIFS('Doc Há Pagar | Rodopar 1015'!$J:$J,'Doc Há Pagar | Rodopar 1015'!$A:$A,$B270&amp;$E270&amp;$F270,'Doc Há Pagar | Rodopar 1015'!$B:$B,T$1)</f>
        <v>0</v>
      </c>
      <c r="U270" s="20">
        <f>SUMIFS('Doc''s Pagos | Rodopar 108'!$J:$J,'Doc''s Pagos | Rodopar 108'!$A:$A,$B270&amp;$E270&amp;$F270&amp;$J270,'Doc''s Pagos | Rodopar 108'!$B:$B,U$1)+SUMIFS('Doc Há Pagar | Rodopar 1015'!$J:$J,'Doc Há Pagar | Rodopar 1015'!$A:$A,$B270&amp;$E270&amp;$F270,'Doc Há Pagar | Rodopar 1015'!$B:$B,U$1)</f>
        <v>0</v>
      </c>
      <c r="V270" s="20">
        <f>SUMIFS('Doc''s Pagos | Rodopar 108'!$J:$J,'Doc''s Pagos | Rodopar 108'!$A:$A,$B270&amp;$E270&amp;$F270&amp;$J270,'Doc''s Pagos | Rodopar 108'!$B:$B,V$1)+SUMIFS('Doc Há Pagar | Rodopar 1015'!$J:$J,'Doc Há Pagar | Rodopar 1015'!$A:$A,$B270&amp;$E270&amp;$F270,'Doc Há Pagar | Rodopar 1015'!$B:$B,V$1)</f>
        <v>0</v>
      </c>
      <c r="W270" s="20">
        <f>SUMIFS('Doc''s Pagos | Rodopar 108'!$J:$J,'Doc''s Pagos | Rodopar 108'!$A:$A,$B270&amp;$E270&amp;$F270&amp;$J270,'Doc''s Pagos | Rodopar 108'!$B:$B,W$1)+SUMIFS('Doc Há Pagar | Rodopar 1015'!$J:$J,'Doc Há Pagar | Rodopar 1015'!$A:$A,$B270&amp;$E270&amp;$F270,'Doc Há Pagar | Rodopar 1015'!$B:$B,W$1)</f>
        <v>0</v>
      </c>
      <c r="X270" s="20">
        <f>SUMIFS('Doc''s Pagos | Rodopar 108'!$J:$J,'Doc''s Pagos | Rodopar 108'!$A:$A,$B270&amp;$E270&amp;$F270&amp;$J270,'Doc''s Pagos | Rodopar 108'!$B:$B,X$1)+SUMIFS('Doc Há Pagar | Rodopar 1015'!$J:$J,'Doc Há Pagar | Rodopar 1015'!$A:$A,$B270&amp;$E270&amp;$F270,'Doc Há Pagar | Rodopar 1015'!$B:$B,X$1)</f>
        <v>0</v>
      </c>
      <c r="Y270" s="20">
        <f>SUMIFS('Doc''s Pagos | Rodopar 108'!$J:$J,'Doc''s Pagos | Rodopar 108'!$A:$A,$B270&amp;$E270&amp;$F270&amp;$J270,'Doc''s Pagos | Rodopar 108'!$B:$B,Y$1)+SUMIFS('Doc Há Pagar | Rodopar 1015'!$J:$J,'Doc Há Pagar | Rodopar 1015'!$A:$A,$B270&amp;$E270&amp;$F270,'Doc Há Pagar | Rodopar 1015'!$B:$B,Y$1)</f>
        <v>0</v>
      </c>
      <c r="Z270" s="20">
        <f>SUMIFS('Doc''s Pagos | Rodopar 108'!$J:$J,'Doc''s Pagos | Rodopar 108'!$A:$A,$B270&amp;$E270&amp;$F270&amp;$J270,'Doc''s Pagos | Rodopar 108'!$B:$B,Z$1)+SUMIFS('Doc Há Pagar | Rodopar 1015'!$J:$J,'Doc Há Pagar | Rodopar 1015'!$A:$A,$B270&amp;$E270&amp;$F270,'Doc Há Pagar | Rodopar 1015'!$B:$B,Z$1)</f>
        <v>11929.32</v>
      </c>
      <c r="AA270" s="20">
        <f>SUMIFS('Doc''s Pagos | Rodopar 108'!$J:$J,'Doc''s Pagos | Rodopar 108'!$A:$A,$B270&amp;$E270&amp;$F270&amp;$J270,'Doc''s Pagos | Rodopar 108'!$B:$B,AA$1)+SUMIFS('Doc Há Pagar | Rodopar 1015'!$J:$J,'Doc Há Pagar | Rodopar 1015'!$A:$A,$B270&amp;$E270&amp;$F270,'Doc Há Pagar | Rodopar 1015'!$B:$B,AA$1)</f>
        <v>0</v>
      </c>
      <c r="AB270" s="20">
        <f>SUMIFS('Doc''s Pagos | Rodopar 108'!$J:$J,'Doc''s Pagos | Rodopar 108'!$A:$A,$B270&amp;$E270&amp;$F270&amp;$J270,'Doc''s Pagos | Rodopar 108'!$B:$B,AB$1)+SUMIFS('Doc Há Pagar | Rodopar 1015'!$J:$J,'Doc Há Pagar | Rodopar 1015'!$A:$A,$B270&amp;$E270&amp;$F270,'Doc Há Pagar | Rodopar 1015'!$B:$B,AB$1)</f>
        <v>0</v>
      </c>
      <c r="AC270" s="20">
        <f>SUMIFS('Doc''s Pagos | Rodopar 108'!$J:$J,'Doc''s Pagos | Rodopar 108'!$A:$A,$B270&amp;$E270&amp;$F270&amp;$J270,'Doc''s Pagos | Rodopar 108'!$B:$B,AC$1)+SUMIFS('Doc Há Pagar | Rodopar 1015'!$J:$J,'Doc Há Pagar | Rodopar 1015'!$A:$A,$B270&amp;$E270&amp;$F270,'Doc Há Pagar | Rodopar 1015'!$B:$B,AC$1)</f>
        <v>0</v>
      </c>
      <c r="AD270" s="20">
        <f>SUMIFS('Doc''s Pagos | Rodopar 108'!$J:$J,'Doc''s Pagos | Rodopar 108'!$A:$A,$B270&amp;$E270&amp;$F270&amp;$J270,'Doc''s Pagos | Rodopar 108'!$B:$B,AD$1)+SUMIFS('Doc Há Pagar | Rodopar 1015'!$J:$J,'Doc Há Pagar | Rodopar 1015'!$A:$A,$B270&amp;$E270&amp;$F270,'Doc Há Pagar | Rodopar 1015'!$B:$B,AD$1)</f>
        <v>0</v>
      </c>
    </row>
    <row r="271" spans="1:30" x14ac:dyDescent="0.25">
      <c r="A271" s="1" t="str">
        <f>VLOOKUP($E271,Fornecedores!$A:$C,3,0)</f>
        <v>Frota</v>
      </c>
      <c r="B271" s="14">
        <v>1129</v>
      </c>
      <c r="C271" s="14" t="str">
        <f>IFERROR(VLOOKUP($E271,Fornecedores!$A:$E,4,0),"")</f>
        <v>MTSR</v>
      </c>
      <c r="D271" s="14" t="str">
        <f>IFERROR(VLOOKUP($E271,Fornecedores!$A:$E,5,0),"")</f>
        <v>Tecnologia</v>
      </c>
      <c r="E271" s="8" t="s">
        <v>24</v>
      </c>
      <c r="F271" s="14" t="s">
        <v>614</v>
      </c>
      <c r="G271" s="8" t="s">
        <v>238</v>
      </c>
      <c r="H271" s="9">
        <v>87</v>
      </c>
      <c r="I271" s="21">
        <v>4319.25</v>
      </c>
      <c r="J271" s="11">
        <v>46210</v>
      </c>
      <c r="K271" s="11">
        <v>46211</v>
      </c>
      <c r="L271" s="8" t="s">
        <v>239</v>
      </c>
      <c r="M271" s="14" t="s">
        <v>240</v>
      </c>
      <c r="N271" s="16">
        <v>2556</v>
      </c>
      <c r="O271" s="14" t="s">
        <v>241</v>
      </c>
      <c r="P271" s="14"/>
      <c r="Q271" s="20">
        <f t="shared" si="4"/>
        <v>0</v>
      </c>
      <c r="S271" s="20">
        <f>SUMIFS('Doc''s Pagos | Rodopar 108'!$J:$J,'Doc''s Pagos | Rodopar 108'!$A:$A,$B271&amp;$E271&amp;$F271&amp;$J271,'Doc''s Pagos | Rodopar 108'!$B:$B,S$1)+SUMIFS('Doc Há Pagar | Rodopar 1015'!$J:$J,'Doc Há Pagar | Rodopar 1015'!$A:$A,$B271&amp;$E271&amp;$F271,'Doc Há Pagar | Rodopar 1015'!$B:$B,S$1)</f>
        <v>0</v>
      </c>
      <c r="T271" s="20">
        <f>SUMIFS('Doc''s Pagos | Rodopar 108'!$J:$J,'Doc''s Pagos | Rodopar 108'!$A:$A,$B271&amp;$E271&amp;$F271&amp;$J271,'Doc''s Pagos | Rodopar 108'!$B:$B,T$1)+SUMIFS('Doc Há Pagar | Rodopar 1015'!$J:$J,'Doc Há Pagar | Rodopar 1015'!$A:$A,$B271&amp;$E271&amp;$F271,'Doc Há Pagar | Rodopar 1015'!$B:$B,T$1)</f>
        <v>0</v>
      </c>
      <c r="U271" s="20">
        <f>SUMIFS('Doc''s Pagos | Rodopar 108'!$J:$J,'Doc''s Pagos | Rodopar 108'!$A:$A,$B271&amp;$E271&amp;$F271&amp;$J271,'Doc''s Pagos | Rodopar 108'!$B:$B,U$1)+SUMIFS('Doc Há Pagar | Rodopar 1015'!$J:$J,'Doc Há Pagar | Rodopar 1015'!$A:$A,$B271&amp;$E271&amp;$F271,'Doc Há Pagar | Rodopar 1015'!$B:$B,U$1)</f>
        <v>0</v>
      </c>
      <c r="V271" s="20">
        <f>SUMIFS('Doc''s Pagos | Rodopar 108'!$J:$J,'Doc''s Pagos | Rodopar 108'!$A:$A,$B271&amp;$E271&amp;$F271&amp;$J271,'Doc''s Pagos | Rodopar 108'!$B:$B,V$1)+SUMIFS('Doc Há Pagar | Rodopar 1015'!$J:$J,'Doc Há Pagar | Rodopar 1015'!$A:$A,$B271&amp;$E271&amp;$F271,'Doc Há Pagar | Rodopar 1015'!$B:$B,V$1)</f>
        <v>0</v>
      </c>
      <c r="W271" s="20">
        <f>SUMIFS('Doc''s Pagos | Rodopar 108'!$J:$J,'Doc''s Pagos | Rodopar 108'!$A:$A,$B271&amp;$E271&amp;$F271&amp;$J271,'Doc''s Pagos | Rodopar 108'!$B:$B,W$1)+SUMIFS('Doc Há Pagar | Rodopar 1015'!$J:$J,'Doc Há Pagar | Rodopar 1015'!$A:$A,$B271&amp;$E271&amp;$F271,'Doc Há Pagar | Rodopar 1015'!$B:$B,W$1)</f>
        <v>0</v>
      </c>
      <c r="X271" s="20">
        <f>SUMIFS('Doc''s Pagos | Rodopar 108'!$J:$J,'Doc''s Pagos | Rodopar 108'!$A:$A,$B271&amp;$E271&amp;$F271&amp;$J271,'Doc''s Pagos | Rodopar 108'!$B:$B,X$1)+SUMIFS('Doc Há Pagar | Rodopar 1015'!$J:$J,'Doc Há Pagar | Rodopar 1015'!$A:$A,$B271&amp;$E271&amp;$F271,'Doc Há Pagar | Rodopar 1015'!$B:$B,X$1)</f>
        <v>0</v>
      </c>
      <c r="Y271" s="20">
        <f>SUMIFS('Doc''s Pagos | Rodopar 108'!$J:$J,'Doc''s Pagos | Rodopar 108'!$A:$A,$B271&amp;$E271&amp;$F271&amp;$J271,'Doc''s Pagos | Rodopar 108'!$B:$B,Y$1)+SUMIFS('Doc Há Pagar | Rodopar 1015'!$J:$J,'Doc Há Pagar | Rodopar 1015'!$A:$A,$B271&amp;$E271&amp;$F271,'Doc Há Pagar | Rodopar 1015'!$B:$B,Y$1)</f>
        <v>0</v>
      </c>
      <c r="Z271" s="20">
        <f>SUMIFS('Doc''s Pagos | Rodopar 108'!$J:$J,'Doc''s Pagos | Rodopar 108'!$A:$A,$B271&amp;$E271&amp;$F271&amp;$J271,'Doc''s Pagos | Rodopar 108'!$B:$B,Z$1)+SUMIFS('Doc Há Pagar | Rodopar 1015'!$J:$J,'Doc Há Pagar | Rodopar 1015'!$A:$A,$B271&amp;$E271&amp;$F271,'Doc Há Pagar | Rodopar 1015'!$B:$B,Z$1)</f>
        <v>4319.25</v>
      </c>
      <c r="AA271" s="20">
        <f>SUMIFS('Doc''s Pagos | Rodopar 108'!$J:$J,'Doc''s Pagos | Rodopar 108'!$A:$A,$B271&amp;$E271&amp;$F271&amp;$J271,'Doc''s Pagos | Rodopar 108'!$B:$B,AA$1)+SUMIFS('Doc Há Pagar | Rodopar 1015'!$J:$J,'Doc Há Pagar | Rodopar 1015'!$A:$A,$B271&amp;$E271&amp;$F271,'Doc Há Pagar | Rodopar 1015'!$B:$B,AA$1)</f>
        <v>0</v>
      </c>
      <c r="AB271" s="20">
        <f>SUMIFS('Doc''s Pagos | Rodopar 108'!$J:$J,'Doc''s Pagos | Rodopar 108'!$A:$A,$B271&amp;$E271&amp;$F271&amp;$J271,'Doc''s Pagos | Rodopar 108'!$B:$B,AB$1)+SUMIFS('Doc Há Pagar | Rodopar 1015'!$J:$J,'Doc Há Pagar | Rodopar 1015'!$A:$A,$B271&amp;$E271&amp;$F271,'Doc Há Pagar | Rodopar 1015'!$B:$B,AB$1)</f>
        <v>0</v>
      </c>
      <c r="AC271" s="20">
        <f>SUMIFS('Doc''s Pagos | Rodopar 108'!$J:$J,'Doc''s Pagos | Rodopar 108'!$A:$A,$B271&amp;$E271&amp;$F271&amp;$J271,'Doc''s Pagos | Rodopar 108'!$B:$B,AC$1)+SUMIFS('Doc Há Pagar | Rodopar 1015'!$J:$J,'Doc Há Pagar | Rodopar 1015'!$A:$A,$B271&amp;$E271&amp;$F271,'Doc Há Pagar | Rodopar 1015'!$B:$B,AC$1)</f>
        <v>0</v>
      </c>
      <c r="AD271" s="20">
        <f>SUMIFS('Doc''s Pagos | Rodopar 108'!$J:$J,'Doc''s Pagos | Rodopar 108'!$A:$A,$B271&amp;$E271&amp;$F271&amp;$J271,'Doc''s Pagos | Rodopar 108'!$B:$B,AD$1)+SUMIFS('Doc Há Pagar | Rodopar 1015'!$J:$J,'Doc Há Pagar | Rodopar 1015'!$A:$A,$B271&amp;$E271&amp;$F271,'Doc Há Pagar | Rodopar 1015'!$B:$B,AD$1)</f>
        <v>0</v>
      </c>
    </row>
    <row r="272" spans="1:30" x14ac:dyDescent="0.25">
      <c r="A272" s="1" t="str">
        <f>VLOOKUP($E272,Fornecedores!$A:$C,3,0)</f>
        <v>Frota</v>
      </c>
      <c r="B272" s="14">
        <v>54</v>
      </c>
      <c r="C272" s="14" t="str">
        <f>IFERROR(VLOOKUP($E272,Fornecedores!$A:$E,4,0),"")</f>
        <v>Lavagem</v>
      </c>
      <c r="D272" s="14" t="str">
        <f>IFERROR(VLOOKUP($E272,Fornecedores!$A:$E,5,0),"")</f>
        <v>Lavagem</v>
      </c>
      <c r="E272" s="8" t="s">
        <v>44</v>
      </c>
      <c r="F272" s="14" t="s">
        <v>665</v>
      </c>
      <c r="G272" s="8" t="s">
        <v>899</v>
      </c>
      <c r="H272" s="9">
        <v>87</v>
      </c>
      <c r="I272" s="21">
        <v>1130</v>
      </c>
      <c r="J272" s="11">
        <v>46210</v>
      </c>
      <c r="K272" s="11">
        <v>46211</v>
      </c>
      <c r="L272" s="8" t="s">
        <v>435</v>
      </c>
      <c r="M272" s="14" t="s">
        <v>234</v>
      </c>
      <c r="N272" s="16">
        <v>1556</v>
      </c>
      <c r="O272" s="14" t="s">
        <v>241</v>
      </c>
      <c r="P272" s="14"/>
      <c r="Q272" s="20">
        <f t="shared" si="4"/>
        <v>0</v>
      </c>
      <c r="S272" s="20">
        <f>SUMIFS('Doc''s Pagos | Rodopar 108'!$J:$J,'Doc''s Pagos | Rodopar 108'!$A:$A,$B272&amp;$E272&amp;$F272&amp;$J272,'Doc''s Pagos | Rodopar 108'!$B:$B,S$1)+SUMIFS('Doc Há Pagar | Rodopar 1015'!$J:$J,'Doc Há Pagar | Rodopar 1015'!$A:$A,$B272&amp;$E272&amp;$F272,'Doc Há Pagar | Rodopar 1015'!$B:$B,S$1)</f>
        <v>0</v>
      </c>
      <c r="T272" s="20">
        <f>SUMIFS('Doc''s Pagos | Rodopar 108'!$J:$J,'Doc''s Pagos | Rodopar 108'!$A:$A,$B272&amp;$E272&amp;$F272&amp;$J272,'Doc''s Pagos | Rodopar 108'!$B:$B,T$1)+SUMIFS('Doc Há Pagar | Rodopar 1015'!$J:$J,'Doc Há Pagar | Rodopar 1015'!$A:$A,$B272&amp;$E272&amp;$F272,'Doc Há Pagar | Rodopar 1015'!$B:$B,T$1)</f>
        <v>0</v>
      </c>
      <c r="U272" s="20">
        <f>SUMIFS('Doc''s Pagos | Rodopar 108'!$J:$J,'Doc''s Pagos | Rodopar 108'!$A:$A,$B272&amp;$E272&amp;$F272&amp;$J272,'Doc''s Pagos | Rodopar 108'!$B:$B,U$1)+SUMIFS('Doc Há Pagar | Rodopar 1015'!$J:$J,'Doc Há Pagar | Rodopar 1015'!$A:$A,$B272&amp;$E272&amp;$F272,'Doc Há Pagar | Rodopar 1015'!$B:$B,U$1)</f>
        <v>0</v>
      </c>
      <c r="V272" s="20">
        <f>SUMIFS('Doc''s Pagos | Rodopar 108'!$J:$J,'Doc''s Pagos | Rodopar 108'!$A:$A,$B272&amp;$E272&amp;$F272&amp;$J272,'Doc''s Pagos | Rodopar 108'!$B:$B,V$1)+SUMIFS('Doc Há Pagar | Rodopar 1015'!$J:$J,'Doc Há Pagar | Rodopar 1015'!$A:$A,$B272&amp;$E272&amp;$F272,'Doc Há Pagar | Rodopar 1015'!$B:$B,V$1)</f>
        <v>0</v>
      </c>
      <c r="W272" s="20">
        <f>SUMIFS('Doc''s Pagos | Rodopar 108'!$J:$J,'Doc''s Pagos | Rodopar 108'!$A:$A,$B272&amp;$E272&amp;$F272&amp;$J272,'Doc''s Pagos | Rodopar 108'!$B:$B,W$1)+SUMIFS('Doc Há Pagar | Rodopar 1015'!$J:$J,'Doc Há Pagar | Rodopar 1015'!$A:$A,$B272&amp;$E272&amp;$F272,'Doc Há Pagar | Rodopar 1015'!$B:$B,W$1)</f>
        <v>0</v>
      </c>
      <c r="X272" s="20">
        <f>SUMIFS('Doc''s Pagos | Rodopar 108'!$J:$J,'Doc''s Pagos | Rodopar 108'!$A:$A,$B272&amp;$E272&amp;$F272&amp;$J272,'Doc''s Pagos | Rodopar 108'!$B:$B,X$1)+SUMIFS('Doc Há Pagar | Rodopar 1015'!$J:$J,'Doc Há Pagar | Rodopar 1015'!$A:$A,$B272&amp;$E272&amp;$F272,'Doc Há Pagar | Rodopar 1015'!$B:$B,X$1)</f>
        <v>0</v>
      </c>
      <c r="Y272" s="20">
        <f>SUMIFS('Doc''s Pagos | Rodopar 108'!$J:$J,'Doc''s Pagos | Rodopar 108'!$A:$A,$B272&amp;$E272&amp;$F272&amp;$J272,'Doc''s Pagos | Rodopar 108'!$B:$B,Y$1)+SUMIFS('Doc Há Pagar | Rodopar 1015'!$J:$J,'Doc Há Pagar | Rodopar 1015'!$A:$A,$B272&amp;$E272&amp;$F272,'Doc Há Pagar | Rodopar 1015'!$B:$B,Y$1)</f>
        <v>0</v>
      </c>
      <c r="Z272" s="20">
        <f>SUMIFS('Doc''s Pagos | Rodopar 108'!$J:$J,'Doc''s Pagos | Rodopar 108'!$A:$A,$B272&amp;$E272&amp;$F272&amp;$J272,'Doc''s Pagos | Rodopar 108'!$B:$B,Z$1)+SUMIFS('Doc Há Pagar | Rodopar 1015'!$J:$J,'Doc Há Pagar | Rodopar 1015'!$A:$A,$B272&amp;$E272&amp;$F272,'Doc Há Pagar | Rodopar 1015'!$B:$B,Z$1)</f>
        <v>1130</v>
      </c>
      <c r="AA272" s="20">
        <f>SUMIFS('Doc''s Pagos | Rodopar 108'!$J:$J,'Doc''s Pagos | Rodopar 108'!$A:$A,$B272&amp;$E272&amp;$F272&amp;$J272,'Doc''s Pagos | Rodopar 108'!$B:$B,AA$1)+SUMIFS('Doc Há Pagar | Rodopar 1015'!$J:$J,'Doc Há Pagar | Rodopar 1015'!$A:$A,$B272&amp;$E272&amp;$F272,'Doc Há Pagar | Rodopar 1015'!$B:$B,AA$1)</f>
        <v>0</v>
      </c>
      <c r="AB272" s="20">
        <f>SUMIFS('Doc''s Pagos | Rodopar 108'!$J:$J,'Doc''s Pagos | Rodopar 108'!$A:$A,$B272&amp;$E272&amp;$F272&amp;$J272,'Doc''s Pagos | Rodopar 108'!$B:$B,AB$1)+SUMIFS('Doc Há Pagar | Rodopar 1015'!$J:$J,'Doc Há Pagar | Rodopar 1015'!$A:$A,$B272&amp;$E272&amp;$F272,'Doc Há Pagar | Rodopar 1015'!$B:$B,AB$1)</f>
        <v>0</v>
      </c>
      <c r="AC272" s="20">
        <f>SUMIFS('Doc''s Pagos | Rodopar 108'!$J:$J,'Doc''s Pagos | Rodopar 108'!$A:$A,$B272&amp;$E272&amp;$F272&amp;$J272,'Doc''s Pagos | Rodopar 108'!$B:$B,AC$1)+SUMIFS('Doc Há Pagar | Rodopar 1015'!$J:$J,'Doc Há Pagar | Rodopar 1015'!$A:$A,$B272&amp;$E272&amp;$F272,'Doc Há Pagar | Rodopar 1015'!$B:$B,AC$1)</f>
        <v>0</v>
      </c>
      <c r="AD272" s="20">
        <f>SUMIFS('Doc''s Pagos | Rodopar 108'!$J:$J,'Doc''s Pagos | Rodopar 108'!$A:$A,$B272&amp;$E272&amp;$F272&amp;$J272,'Doc''s Pagos | Rodopar 108'!$B:$B,AD$1)+SUMIFS('Doc Há Pagar | Rodopar 1015'!$J:$J,'Doc Há Pagar | Rodopar 1015'!$A:$A,$B272&amp;$E272&amp;$F272,'Doc Há Pagar | Rodopar 1015'!$B:$B,AD$1)</f>
        <v>0</v>
      </c>
    </row>
    <row r="273" spans="1:30" x14ac:dyDescent="0.25">
      <c r="A273" s="1" t="str">
        <f>VLOOKUP($E273,Fornecedores!$A:$C,3,0)</f>
        <v>Frota</v>
      </c>
      <c r="B273" s="14">
        <v>39535</v>
      </c>
      <c r="C273" s="14" t="str">
        <f>IFERROR(VLOOKUP($E273,Fornecedores!$A:$E,4,0),"")</f>
        <v>Manutenção</v>
      </c>
      <c r="D273" s="14" t="str">
        <f>IFERROR(VLOOKUP($E273,Fornecedores!$A:$E,5,0),"")</f>
        <v>Vans</v>
      </c>
      <c r="E273" s="8" t="s">
        <v>133</v>
      </c>
      <c r="F273" s="14" t="s">
        <v>380</v>
      </c>
      <c r="G273" s="8" t="s">
        <v>493</v>
      </c>
      <c r="H273" s="9">
        <v>87</v>
      </c>
      <c r="I273" s="21">
        <v>4820.8900000000003</v>
      </c>
      <c r="J273" s="11">
        <v>46211</v>
      </c>
      <c r="K273" s="11">
        <v>46212</v>
      </c>
      <c r="L273" s="8" t="s">
        <v>494</v>
      </c>
      <c r="M273" s="14" t="s">
        <v>234</v>
      </c>
      <c r="N273" s="16">
        <v>1556</v>
      </c>
      <c r="O273" s="14" t="s">
        <v>241</v>
      </c>
      <c r="P273" s="14"/>
      <c r="Q273" s="20">
        <f t="shared" si="4"/>
        <v>0</v>
      </c>
      <c r="S273" s="20">
        <f>SUMIFS('Doc''s Pagos | Rodopar 108'!$J:$J,'Doc''s Pagos | Rodopar 108'!$A:$A,$B273&amp;$E273&amp;$F273&amp;$J273,'Doc''s Pagos | Rodopar 108'!$B:$B,S$1)+SUMIFS('Doc Há Pagar | Rodopar 1015'!$J:$J,'Doc Há Pagar | Rodopar 1015'!$A:$A,$B273&amp;$E273&amp;$F273,'Doc Há Pagar | Rodopar 1015'!$B:$B,S$1)</f>
        <v>0</v>
      </c>
      <c r="T273" s="20">
        <f>SUMIFS('Doc''s Pagos | Rodopar 108'!$J:$J,'Doc''s Pagos | Rodopar 108'!$A:$A,$B273&amp;$E273&amp;$F273&amp;$J273,'Doc''s Pagos | Rodopar 108'!$B:$B,T$1)+SUMIFS('Doc Há Pagar | Rodopar 1015'!$J:$J,'Doc Há Pagar | Rodopar 1015'!$A:$A,$B273&amp;$E273&amp;$F273,'Doc Há Pagar | Rodopar 1015'!$B:$B,T$1)</f>
        <v>0</v>
      </c>
      <c r="U273" s="20">
        <f>SUMIFS('Doc''s Pagos | Rodopar 108'!$J:$J,'Doc''s Pagos | Rodopar 108'!$A:$A,$B273&amp;$E273&amp;$F273&amp;$J273,'Doc''s Pagos | Rodopar 108'!$B:$B,U$1)+SUMIFS('Doc Há Pagar | Rodopar 1015'!$J:$J,'Doc Há Pagar | Rodopar 1015'!$A:$A,$B273&amp;$E273&amp;$F273,'Doc Há Pagar | Rodopar 1015'!$B:$B,U$1)</f>
        <v>0</v>
      </c>
      <c r="V273" s="20">
        <f>SUMIFS('Doc''s Pagos | Rodopar 108'!$J:$J,'Doc''s Pagos | Rodopar 108'!$A:$A,$B273&amp;$E273&amp;$F273&amp;$J273,'Doc''s Pagos | Rodopar 108'!$B:$B,V$1)+SUMIFS('Doc Há Pagar | Rodopar 1015'!$J:$J,'Doc Há Pagar | Rodopar 1015'!$A:$A,$B273&amp;$E273&amp;$F273,'Doc Há Pagar | Rodopar 1015'!$B:$B,V$1)</f>
        <v>0</v>
      </c>
      <c r="W273" s="20">
        <f>SUMIFS('Doc''s Pagos | Rodopar 108'!$J:$J,'Doc''s Pagos | Rodopar 108'!$A:$A,$B273&amp;$E273&amp;$F273&amp;$J273,'Doc''s Pagos | Rodopar 108'!$B:$B,W$1)+SUMIFS('Doc Há Pagar | Rodopar 1015'!$J:$J,'Doc Há Pagar | Rodopar 1015'!$A:$A,$B273&amp;$E273&amp;$F273,'Doc Há Pagar | Rodopar 1015'!$B:$B,W$1)</f>
        <v>0</v>
      </c>
      <c r="X273" s="20">
        <f>SUMIFS('Doc''s Pagos | Rodopar 108'!$J:$J,'Doc''s Pagos | Rodopar 108'!$A:$A,$B273&amp;$E273&amp;$F273&amp;$J273,'Doc''s Pagos | Rodopar 108'!$B:$B,X$1)+SUMIFS('Doc Há Pagar | Rodopar 1015'!$J:$J,'Doc Há Pagar | Rodopar 1015'!$A:$A,$B273&amp;$E273&amp;$F273,'Doc Há Pagar | Rodopar 1015'!$B:$B,X$1)</f>
        <v>0</v>
      </c>
      <c r="Y273" s="20">
        <f>SUMIFS('Doc''s Pagos | Rodopar 108'!$J:$J,'Doc''s Pagos | Rodopar 108'!$A:$A,$B273&amp;$E273&amp;$F273&amp;$J273,'Doc''s Pagos | Rodopar 108'!$B:$B,Y$1)+SUMIFS('Doc Há Pagar | Rodopar 1015'!$J:$J,'Doc Há Pagar | Rodopar 1015'!$A:$A,$B273&amp;$E273&amp;$F273,'Doc Há Pagar | Rodopar 1015'!$B:$B,Y$1)</f>
        <v>0</v>
      </c>
      <c r="Z273" s="20">
        <f>SUMIFS('Doc''s Pagos | Rodopar 108'!$J:$J,'Doc''s Pagos | Rodopar 108'!$A:$A,$B273&amp;$E273&amp;$F273&amp;$J273,'Doc''s Pagos | Rodopar 108'!$B:$B,Z$1)+SUMIFS('Doc Há Pagar | Rodopar 1015'!$J:$J,'Doc Há Pagar | Rodopar 1015'!$A:$A,$B273&amp;$E273&amp;$F273,'Doc Há Pagar | Rodopar 1015'!$B:$B,Z$1)</f>
        <v>2410.4499999999998</v>
      </c>
      <c r="AA273" s="20">
        <f>SUMIFS('Doc''s Pagos | Rodopar 108'!$J:$J,'Doc''s Pagos | Rodopar 108'!$A:$A,$B273&amp;$E273&amp;$F273&amp;$J273,'Doc''s Pagos | Rodopar 108'!$B:$B,AA$1)+SUMIFS('Doc Há Pagar | Rodopar 1015'!$J:$J,'Doc Há Pagar | Rodopar 1015'!$A:$A,$B273&amp;$E273&amp;$F273,'Doc Há Pagar | Rodopar 1015'!$B:$B,AA$1)</f>
        <v>2410.44</v>
      </c>
      <c r="AB273" s="20">
        <f>SUMIFS('Doc''s Pagos | Rodopar 108'!$J:$J,'Doc''s Pagos | Rodopar 108'!$A:$A,$B273&amp;$E273&amp;$F273&amp;$J273,'Doc''s Pagos | Rodopar 108'!$B:$B,AB$1)+SUMIFS('Doc Há Pagar | Rodopar 1015'!$J:$J,'Doc Há Pagar | Rodopar 1015'!$A:$A,$B273&amp;$E273&amp;$F273,'Doc Há Pagar | Rodopar 1015'!$B:$B,AB$1)</f>
        <v>0</v>
      </c>
      <c r="AC273" s="20">
        <f>SUMIFS('Doc''s Pagos | Rodopar 108'!$J:$J,'Doc''s Pagos | Rodopar 108'!$A:$A,$B273&amp;$E273&amp;$F273&amp;$J273,'Doc''s Pagos | Rodopar 108'!$B:$B,AC$1)+SUMIFS('Doc Há Pagar | Rodopar 1015'!$J:$J,'Doc Há Pagar | Rodopar 1015'!$A:$A,$B273&amp;$E273&amp;$F273,'Doc Há Pagar | Rodopar 1015'!$B:$B,AC$1)</f>
        <v>0</v>
      </c>
      <c r="AD273" s="20">
        <f>SUMIFS('Doc''s Pagos | Rodopar 108'!$J:$J,'Doc''s Pagos | Rodopar 108'!$A:$A,$B273&amp;$E273&amp;$F273&amp;$J273,'Doc''s Pagos | Rodopar 108'!$B:$B,AD$1)+SUMIFS('Doc Há Pagar | Rodopar 1015'!$J:$J,'Doc Há Pagar | Rodopar 1015'!$A:$A,$B273&amp;$E273&amp;$F273,'Doc Há Pagar | Rodopar 1015'!$B:$B,AD$1)</f>
        <v>0</v>
      </c>
    </row>
    <row r="274" spans="1:30" x14ac:dyDescent="0.25">
      <c r="A274" s="1" t="str">
        <f>VLOOKUP($E274,Fornecedores!$A:$C,3,0)</f>
        <v>Frota</v>
      </c>
      <c r="B274" s="14">
        <v>1684727</v>
      </c>
      <c r="C274" s="14" t="str">
        <f>IFERROR(VLOOKUP($E274,Fornecedores!$A:$E,4,0),"")</f>
        <v>MTSR</v>
      </c>
      <c r="D274" s="14" t="str">
        <f>IFERROR(VLOOKUP($E274,Fornecedores!$A:$E,5,0),"")</f>
        <v>Tecnologia</v>
      </c>
      <c r="E274" s="8" t="s">
        <v>191</v>
      </c>
      <c r="F274" s="14" t="s">
        <v>665</v>
      </c>
      <c r="G274" s="8" t="s">
        <v>722</v>
      </c>
      <c r="H274" s="9">
        <v>87</v>
      </c>
      <c r="I274" s="21">
        <v>1613.09</v>
      </c>
      <c r="J274" s="11">
        <v>46212</v>
      </c>
      <c r="K274" s="11">
        <v>46213</v>
      </c>
      <c r="L274" s="8" t="s">
        <v>723</v>
      </c>
      <c r="M274" s="14" t="s">
        <v>684</v>
      </c>
      <c r="N274" s="16">
        <v>2556</v>
      </c>
      <c r="O274" s="14" t="s">
        <v>241</v>
      </c>
      <c r="P274" s="14"/>
      <c r="Q274" s="20">
        <f t="shared" si="4"/>
        <v>0</v>
      </c>
      <c r="S274" s="20">
        <f>SUMIFS('Doc''s Pagos | Rodopar 108'!$J:$J,'Doc''s Pagos | Rodopar 108'!$A:$A,$B274&amp;$E274&amp;$F274&amp;$J274,'Doc''s Pagos | Rodopar 108'!$B:$B,S$1)+SUMIFS('Doc Há Pagar | Rodopar 1015'!$J:$J,'Doc Há Pagar | Rodopar 1015'!$A:$A,$B274&amp;$E274&amp;$F274,'Doc Há Pagar | Rodopar 1015'!$B:$B,S$1)</f>
        <v>0</v>
      </c>
      <c r="T274" s="20">
        <f>SUMIFS('Doc''s Pagos | Rodopar 108'!$J:$J,'Doc''s Pagos | Rodopar 108'!$A:$A,$B274&amp;$E274&amp;$F274&amp;$J274,'Doc''s Pagos | Rodopar 108'!$B:$B,T$1)+SUMIFS('Doc Há Pagar | Rodopar 1015'!$J:$J,'Doc Há Pagar | Rodopar 1015'!$A:$A,$B274&amp;$E274&amp;$F274,'Doc Há Pagar | Rodopar 1015'!$B:$B,T$1)</f>
        <v>0</v>
      </c>
      <c r="U274" s="20">
        <f>SUMIFS('Doc''s Pagos | Rodopar 108'!$J:$J,'Doc''s Pagos | Rodopar 108'!$A:$A,$B274&amp;$E274&amp;$F274&amp;$J274,'Doc''s Pagos | Rodopar 108'!$B:$B,U$1)+SUMIFS('Doc Há Pagar | Rodopar 1015'!$J:$J,'Doc Há Pagar | Rodopar 1015'!$A:$A,$B274&amp;$E274&amp;$F274,'Doc Há Pagar | Rodopar 1015'!$B:$B,U$1)</f>
        <v>0</v>
      </c>
      <c r="V274" s="20">
        <f>SUMIFS('Doc''s Pagos | Rodopar 108'!$J:$J,'Doc''s Pagos | Rodopar 108'!$A:$A,$B274&amp;$E274&amp;$F274&amp;$J274,'Doc''s Pagos | Rodopar 108'!$B:$B,V$1)+SUMIFS('Doc Há Pagar | Rodopar 1015'!$J:$J,'Doc Há Pagar | Rodopar 1015'!$A:$A,$B274&amp;$E274&amp;$F274,'Doc Há Pagar | Rodopar 1015'!$B:$B,V$1)</f>
        <v>0</v>
      </c>
      <c r="W274" s="20">
        <f>SUMIFS('Doc''s Pagos | Rodopar 108'!$J:$J,'Doc''s Pagos | Rodopar 108'!$A:$A,$B274&amp;$E274&amp;$F274&amp;$J274,'Doc''s Pagos | Rodopar 108'!$B:$B,W$1)+SUMIFS('Doc Há Pagar | Rodopar 1015'!$J:$J,'Doc Há Pagar | Rodopar 1015'!$A:$A,$B274&amp;$E274&amp;$F274,'Doc Há Pagar | Rodopar 1015'!$B:$B,W$1)</f>
        <v>0</v>
      </c>
      <c r="X274" s="20">
        <f>SUMIFS('Doc''s Pagos | Rodopar 108'!$J:$J,'Doc''s Pagos | Rodopar 108'!$A:$A,$B274&amp;$E274&amp;$F274&amp;$J274,'Doc''s Pagos | Rodopar 108'!$B:$B,X$1)+SUMIFS('Doc Há Pagar | Rodopar 1015'!$J:$J,'Doc Há Pagar | Rodopar 1015'!$A:$A,$B274&amp;$E274&amp;$F274,'Doc Há Pagar | Rodopar 1015'!$B:$B,X$1)</f>
        <v>0</v>
      </c>
      <c r="Y274" s="20">
        <f>SUMIFS('Doc''s Pagos | Rodopar 108'!$J:$J,'Doc''s Pagos | Rodopar 108'!$A:$A,$B274&amp;$E274&amp;$F274&amp;$J274,'Doc''s Pagos | Rodopar 108'!$B:$B,Y$1)+SUMIFS('Doc Há Pagar | Rodopar 1015'!$J:$J,'Doc Há Pagar | Rodopar 1015'!$A:$A,$B274&amp;$E274&amp;$F274,'Doc Há Pagar | Rodopar 1015'!$B:$B,Y$1)</f>
        <v>0</v>
      </c>
      <c r="Z274" s="20">
        <f>SUMIFS('Doc''s Pagos | Rodopar 108'!$J:$J,'Doc''s Pagos | Rodopar 108'!$A:$A,$B274&amp;$E274&amp;$F274&amp;$J274,'Doc''s Pagos | Rodopar 108'!$B:$B,Z$1)+SUMIFS('Doc Há Pagar | Rodopar 1015'!$J:$J,'Doc Há Pagar | Rodopar 1015'!$A:$A,$B274&amp;$E274&amp;$F274,'Doc Há Pagar | Rodopar 1015'!$B:$B,Z$1)</f>
        <v>1613.09</v>
      </c>
      <c r="AA274" s="20">
        <f>SUMIFS('Doc''s Pagos | Rodopar 108'!$J:$J,'Doc''s Pagos | Rodopar 108'!$A:$A,$B274&amp;$E274&amp;$F274&amp;$J274,'Doc''s Pagos | Rodopar 108'!$B:$B,AA$1)+SUMIFS('Doc Há Pagar | Rodopar 1015'!$J:$J,'Doc Há Pagar | Rodopar 1015'!$A:$A,$B274&amp;$E274&amp;$F274,'Doc Há Pagar | Rodopar 1015'!$B:$B,AA$1)</f>
        <v>0</v>
      </c>
      <c r="AB274" s="20">
        <f>SUMIFS('Doc''s Pagos | Rodopar 108'!$J:$J,'Doc''s Pagos | Rodopar 108'!$A:$A,$B274&amp;$E274&amp;$F274&amp;$J274,'Doc''s Pagos | Rodopar 108'!$B:$B,AB$1)+SUMIFS('Doc Há Pagar | Rodopar 1015'!$J:$J,'Doc Há Pagar | Rodopar 1015'!$A:$A,$B274&amp;$E274&amp;$F274,'Doc Há Pagar | Rodopar 1015'!$B:$B,AB$1)</f>
        <v>0</v>
      </c>
      <c r="AC274" s="20">
        <f>SUMIFS('Doc''s Pagos | Rodopar 108'!$J:$J,'Doc''s Pagos | Rodopar 108'!$A:$A,$B274&amp;$E274&amp;$F274&amp;$J274,'Doc''s Pagos | Rodopar 108'!$B:$B,AC$1)+SUMIFS('Doc Há Pagar | Rodopar 1015'!$J:$J,'Doc Há Pagar | Rodopar 1015'!$A:$A,$B274&amp;$E274&amp;$F274,'Doc Há Pagar | Rodopar 1015'!$B:$B,AC$1)</f>
        <v>0</v>
      </c>
      <c r="AD274" s="20">
        <f>SUMIFS('Doc''s Pagos | Rodopar 108'!$J:$J,'Doc''s Pagos | Rodopar 108'!$A:$A,$B274&amp;$E274&amp;$F274&amp;$J274,'Doc''s Pagos | Rodopar 108'!$B:$B,AD$1)+SUMIFS('Doc Há Pagar | Rodopar 1015'!$J:$J,'Doc Há Pagar | Rodopar 1015'!$A:$A,$B274&amp;$E274&amp;$F274,'Doc Há Pagar | Rodopar 1015'!$B:$B,AD$1)</f>
        <v>0</v>
      </c>
    </row>
    <row r="275" spans="1:30" x14ac:dyDescent="0.25">
      <c r="A275" s="1" t="str">
        <f>VLOOKUP($E275,Fornecedores!$A:$C,3,0)</f>
        <v>Frota</v>
      </c>
      <c r="B275" s="14">
        <v>3397413</v>
      </c>
      <c r="C275" s="14" t="str">
        <f>IFERROR(VLOOKUP($E275,Fornecedores!$A:$E,4,0),"")</f>
        <v>MTSR</v>
      </c>
      <c r="D275" s="14" t="str">
        <f>IFERROR(VLOOKUP($E275,Fornecedores!$A:$E,5,0),"")</f>
        <v>Tecnologia</v>
      </c>
      <c r="E275" s="8" t="s">
        <v>192</v>
      </c>
      <c r="F275" s="14" t="s">
        <v>665</v>
      </c>
      <c r="G275" s="8" t="s">
        <v>837</v>
      </c>
      <c r="H275" s="9">
        <v>87</v>
      </c>
      <c r="I275" s="21">
        <v>9137.4699999999993</v>
      </c>
      <c r="J275" s="11">
        <v>46212</v>
      </c>
      <c r="K275" s="11">
        <v>46213</v>
      </c>
      <c r="L275" s="8" t="s">
        <v>723</v>
      </c>
      <c r="M275" s="14" t="s">
        <v>684</v>
      </c>
      <c r="N275" s="16">
        <v>2556</v>
      </c>
      <c r="O275" s="14" t="s">
        <v>241</v>
      </c>
      <c r="P275" s="14"/>
      <c r="Q275" s="20">
        <f t="shared" si="4"/>
        <v>0</v>
      </c>
      <c r="S275" s="20">
        <f>SUMIFS('Doc''s Pagos | Rodopar 108'!$J:$J,'Doc''s Pagos | Rodopar 108'!$A:$A,$B275&amp;$E275&amp;$F275&amp;$J275,'Doc''s Pagos | Rodopar 108'!$B:$B,S$1)+SUMIFS('Doc Há Pagar | Rodopar 1015'!$J:$J,'Doc Há Pagar | Rodopar 1015'!$A:$A,$B275&amp;$E275&amp;$F275,'Doc Há Pagar | Rodopar 1015'!$B:$B,S$1)</f>
        <v>0</v>
      </c>
      <c r="T275" s="20">
        <f>SUMIFS('Doc''s Pagos | Rodopar 108'!$J:$J,'Doc''s Pagos | Rodopar 108'!$A:$A,$B275&amp;$E275&amp;$F275&amp;$J275,'Doc''s Pagos | Rodopar 108'!$B:$B,T$1)+SUMIFS('Doc Há Pagar | Rodopar 1015'!$J:$J,'Doc Há Pagar | Rodopar 1015'!$A:$A,$B275&amp;$E275&amp;$F275,'Doc Há Pagar | Rodopar 1015'!$B:$B,T$1)</f>
        <v>0</v>
      </c>
      <c r="U275" s="20">
        <f>SUMIFS('Doc''s Pagos | Rodopar 108'!$J:$J,'Doc''s Pagos | Rodopar 108'!$A:$A,$B275&amp;$E275&amp;$F275&amp;$J275,'Doc''s Pagos | Rodopar 108'!$B:$B,U$1)+SUMIFS('Doc Há Pagar | Rodopar 1015'!$J:$J,'Doc Há Pagar | Rodopar 1015'!$A:$A,$B275&amp;$E275&amp;$F275,'Doc Há Pagar | Rodopar 1015'!$B:$B,U$1)</f>
        <v>0</v>
      </c>
      <c r="V275" s="20">
        <f>SUMIFS('Doc''s Pagos | Rodopar 108'!$J:$J,'Doc''s Pagos | Rodopar 108'!$A:$A,$B275&amp;$E275&amp;$F275&amp;$J275,'Doc''s Pagos | Rodopar 108'!$B:$B,V$1)+SUMIFS('Doc Há Pagar | Rodopar 1015'!$J:$J,'Doc Há Pagar | Rodopar 1015'!$A:$A,$B275&amp;$E275&amp;$F275,'Doc Há Pagar | Rodopar 1015'!$B:$B,V$1)</f>
        <v>0</v>
      </c>
      <c r="W275" s="20">
        <f>SUMIFS('Doc''s Pagos | Rodopar 108'!$J:$J,'Doc''s Pagos | Rodopar 108'!$A:$A,$B275&amp;$E275&amp;$F275&amp;$J275,'Doc''s Pagos | Rodopar 108'!$B:$B,W$1)+SUMIFS('Doc Há Pagar | Rodopar 1015'!$J:$J,'Doc Há Pagar | Rodopar 1015'!$A:$A,$B275&amp;$E275&amp;$F275,'Doc Há Pagar | Rodopar 1015'!$B:$B,W$1)</f>
        <v>0</v>
      </c>
      <c r="X275" s="20">
        <f>SUMIFS('Doc''s Pagos | Rodopar 108'!$J:$J,'Doc''s Pagos | Rodopar 108'!$A:$A,$B275&amp;$E275&amp;$F275&amp;$J275,'Doc''s Pagos | Rodopar 108'!$B:$B,X$1)+SUMIFS('Doc Há Pagar | Rodopar 1015'!$J:$J,'Doc Há Pagar | Rodopar 1015'!$A:$A,$B275&amp;$E275&amp;$F275,'Doc Há Pagar | Rodopar 1015'!$B:$B,X$1)</f>
        <v>0</v>
      </c>
      <c r="Y275" s="20">
        <f>SUMIFS('Doc''s Pagos | Rodopar 108'!$J:$J,'Doc''s Pagos | Rodopar 108'!$A:$A,$B275&amp;$E275&amp;$F275&amp;$J275,'Doc''s Pagos | Rodopar 108'!$B:$B,Y$1)+SUMIFS('Doc Há Pagar | Rodopar 1015'!$J:$J,'Doc Há Pagar | Rodopar 1015'!$A:$A,$B275&amp;$E275&amp;$F275,'Doc Há Pagar | Rodopar 1015'!$B:$B,Y$1)</f>
        <v>0</v>
      </c>
      <c r="Z275" s="20">
        <f>SUMIFS('Doc''s Pagos | Rodopar 108'!$J:$J,'Doc''s Pagos | Rodopar 108'!$A:$A,$B275&amp;$E275&amp;$F275&amp;$J275,'Doc''s Pagos | Rodopar 108'!$B:$B,Z$1)+SUMIFS('Doc Há Pagar | Rodopar 1015'!$J:$J,'Doc Há Pagar | Rodopar 1015'!$A:$A,$B275&amp;$E275&amp;$F275,'Doc Há Pagar | Rodopar 1015'!$B:$B,Z$1)</f>
        <v>9137.4699999999993</v>
      </c>
      <c r="AA275" s="20">
        <f>SUMIFS('Doc''s Pagos | Rodopar 108'!$J:$J,'Doc''s Pagos | Rodopar 108'!$A:$A,$B275&amp;$E275&amp;$F275&amp;$J275,'Doc''s Pagos | Rodopar 108'!$B:$B,AA$1)+SUMIFS('Doc Há Pagar | Rodopar 1015'!$J:$J,'Doc Há Pagar | Rodopar 1015'!$A:$A,$B275&amp;$E275&amp;$F275,'Doc Há Pagar | Rodopar 1015'!$B:$B,AA$1)</f>
        <v>0</v>
      </c>
      <c r="AB275" s="20">
        <f>SUMIFS('Doc''s Pagos | Rodopar 108'!$J:$J,'Doc''s Pagos | Rodopar 108'!$A:$A,$B275&amp;$E275&amp;$F275&amp;$J275,'Doc''s Pagos | Rodopar 108'!$B:$B,AB$1)+SUMIFS('Doc Há Pagar | Rodopar 1015'!$J:$J,'Doc Há Pagar | Rodopar 1015'!$A:$A,$B275&amp;$E275&amp;$F275,'Doc Há Pagar | Rodopar 1015'!$B:$B,AB$1)</f>
        <v>0</v>
      </c>
      <c r="AC275" s="20">
        <f>SUMIFS('Doc''s Pagos | Rodopar 108'!$J:$J,'Doc''s Pagos | Rodopar 108'!$A:$A,$B275&amp;$E275&amp;$F275&amp;$J275,'Doc''s Pagos | Rodopar 108'!$B:$B,AC$1)+SUMIFS('Doc Há Pagar | Rodopar 1015'!$J:$J,'Doc Há Pagar | Rodopar 1015'!$A:$A,$B275&amp;$E275&amp;$F275,'Doc Há Pagar | Rodopar 1015'!$B:$B,AC$1)</f>
        <v>0</v>
      </c>
      <c r="AD275" s="20">
        <f>SUMIFS('Doc''s Pagos | Rodopar 108'!$J:$J,'Doc''s Pagos | Rodopar 108'!$A:$A,$B275&amp;$E275&amp;$F275&amp;$J275,'Doc''s Pagos | Rodopar 108'!$B:$B,AD$1)+SUMIFS('Doc Há Pagar | Rodopar 1015'!$J:$J,'Doc Há Pagar | Rodopar 1015'!$A:$A,$B275&amp;$E275&amp;$F275,'Doc Há Pagar | Rodopar 1015'!$B:$B,AD$1)</f>
        <v>0</v>
      </c>
    </row>
    <row r="276" spans="1:30" x14ac:dyDescent="0.25">
      <c r="A276" s="1" t="str">
        <f>VLOOKUP($E276,Fornecedores!$A:$C,3,0)</f>
        <v>Frota</v>
      </c>
      <c r="B276" s="14">
        <v>189462</v>
      </c>
      <c r="C276" s="14" t="str">
        <f>IFERROR(VLOOKUP($E276,Fornecedores!$A:$E,4,0),"")</f>
        <v>Manutenção</v>
      </c>
      <c r="D276" s="14" t="str">
        <f>IFERROR(VLOOKUP($E276,Fornecedores!$A:$E,5,0),"")</f>
        <v>Vans</v>
      </c>
      <c r="E276" s="8" t="s">
        <v>132</v>
      </c>
      <c r="F276" s="14" t="s">
        <v>380</v>
      </c>
      <c r="G276" s="8" t="s">
        <v>434</v>
      </c>
      <c r="H276" s="9">
        <v>87</v>
      </c>
      <c r="I276" s="21">
        <v>4593.53</v>
      </c>
      <c r="J276" s="11">
        <v>46213</v>
      </c>
      <c r="K276" s="11">
        <v>46217</v>
      </c>
      <c r="L276" s="8" t="s">
        <v>435</v>
      </c>
      <c r="M276" s="14" t="s">
        <v>234</v>
      </c>
      <c r="N276" s="16">
        <v>1556</v>
      </c>
      <c r="O276" s="14" t="s">
        <v>250</v>
      </c>
      <c r="P276" s="14"/>
      <c r="Q276" s="20">
        <f t="shared" si="4"/>
        <v>0</v>
      </c>
      <c r="S276" s="20">
        <f>SUMIFS('Doc''s Pagos | Rodopar 108'!$J:$J,'Doc''s Pagos | Rodopar 108'!$A:$A,$B276&amp;$E276&amp;$F276&amp;$J276,'Doc''s Pagos | Rodopar 108'!$B:$B,S$1)+SUMIFS('Doc Há Pagar | Rodopar 1015'!$J:$J,'Doc Há Pagar | Rodopar 1015'!$A:$A,$B276&amp;$E276&amp;$F276,'Doc Há Pagar | Rodopar 1015'!$B:$B,S$1)</f>
        <v>0</v>
      </c>
      <c r="T276" s="20">
        <f>SUMIFS('Doc''s Pagos | Rodopar 108'!$J:$J,'Doc''s Pagos | Rodopar 108'!$A:$A,$B276&amp;$E276&amp;$F276&amp;$J276,'Doc''s Pagos | Rodopar 108'!$B:$B,T$1)+SUMIFS('Doc Há Pagar | Rodopar 1015'!$J:$J,'Doc Há Pagar | Rodopar 1015'!$A:$A,$B276&amp;$E276&amp;$F276,'Doc Há Pagar | Rodopar 1015'!$B:$B,T$1)</f>
        <v>0</v>
      </c>
      <c r="U276" s="20">
        <f>SUMIFS('Doc''s Pagos | Rodopar 108'!$J:$J,'Doc''s Pagos | Rodopar 108'!$A:$A,$B276&amp;$E276&amp;$F276&amp;$J276,'Doc''s Pagos | Rodopar 108'!$B:$B,U$1)+SUMIFS('Doc Há Pagar | Rodopar 1015'!$J:$J,'Doc Há Pagar | Rodopar 1015'!$A:$A,$B276&amp;$E276&amp;$F276,'Doc Há Pagar | Rodopar 1015'!$B:$B,U$1)</f>
        <v>0</v>
      </c>
      <c r="V276" s="20">
        <f>SUMIFS('Doc''s Pagos | Rodopar 108'!$J:$J,'Doc''s Pagos | Rodopar 108'!$A:$A,$B276&amp;$E276&amp;$F276&amp;$J276,'Doc''s Pagos | Rodopar 108'!$B:$B,V$1)+SUMIFS('Doc Há Pagar | Rodopar 1015'!$J:$J,'Doc Há Pagar | Rodopar 1015'!$A:$A,$B276&amp;$E276&amp;$F276,'Doc Há Pagar | Rodopar 1015'!$B:$B,V$1)</f>
        <v>0</v>
      </c>
      <c r="W276" s="20">
        <f>SUMIFS('Doc''s Pagos | Rodopar 108'!$J:$J,'Doc''s Pagos | Rodopar 108'!$A:$A,$B276&amp;$E276&amp;$F276&amp;$J276,'Doc''s Pagos | Rodopar 108'!$B:$B,W$1)+SUMIFS('Doc Há Pagar | Rodopar 1015'!$J:$J,'Doc Há Pagar | Rodopar 1015'!$A:$A,$B276&amp;$E276&amp;$F276,'Doc Há Pagar | Rodopar 1015'!$B:$B,W$1)</f>
        <v>0</v>
      </c>
      <c r="X276" s="20">
        <f>SUMIFS('Doc''s Pagos | Rodopar 108'!$J:$J,'Doc''s Pagos | Rodopar 108'!$A:$A,$B276&amp;$E276&amp;$F276&amp;$J276,'Doc''s Pagos | Rodopar 108'!$B:$B,X$1)+SUMIFS('Doc Há Pagar | Rodopar 1015'!$J:$J,'Doc Há Pagar | Rodopar 1015'!$A:$A,$B276&amp;$E276&amp;$F276,'Doc Há Pagar | Rodopar 1015'!$B:$B,X$1)</f>
        <v>0</v>
      </c>
      <c r="Y276" s="20">
        <f>SUMIFS('Doc''s Pagos | Rodopar 108'!$J:$J,'Doc''s Pagos | Rodopar 108'!$A:$A,$B276&amp;$E276&amp;$F276&amp;$J276,'Doc''s Pagos | Rodopar 108'!$B:$B,Y$1)+SUMIFS('Doc Há Pagar | Rodopar 1015'!$J:$J,'Doc Há Pagar | Rodopar 1015'!$A:$A,$B276&amp;$E276&amp;$F276,'Doc Há Pagar | Rodopar 1015'!$B:$B,Y$1)</f>
        <v>0</v>
      </c>
      <c r="Z276" s="20">
        <f>SUMIFS('Doc''s Pagos | Rodopar 108'!$J:$J,'Doc''s Pagos | Rodopar 108'!$A:$A,$B276&amp;$E276&amp;$F276&amp;$J276,'Doc''s Pagos | Rodopar 108'!$B:$B,Z$1)+SUMIFS('Doc Há Pagar | Rodopar 1015'!$J:$J,'Doc Há Pagar | Rodopar 1015'!$A:$A,$B276&amp;$E276&amp;$F276,'Doc Há Pagar | Rodopar 1015'!$B:$B,Z$1)</f>
        <v>2296.77</v>
      </c>
      <c r="AA276" s="20">
        <f>SUMIFS('Doc''s Pagos | Rodopar 108'!$J:$J,'Doc''s Pagos | Rodopar 108'!$A:$A,$B276&amp;$E276&amp;$F276&amp;$J276,'Doc''s Pagos | Rodopar 108'!$B:$B,AA$1)+SUMIFS('Doc Há Pagar | Rodopar 1015'!$J:$J,'Doc Há Pagar | Rodopar 1015'!$A:$A,$B276&amp;$E276&amp;$F276,'Doc Há Pagar | Rodopar 1015'!$B:$B,AA$1)</f>
        <v>2296.7600000000002</v>
      </c>
      <c r="AB276" s="20">
        <f>SUMIFS('Doc''s Pagos | Rodopar 108'!$J:$J,'Doc''s Pagos | Rodopar 108'!$A:$A,$B276&amp;$E276&amp;$F276&amp;$J276,'Doc''s Pagos | Rodopar 108'!$B:$B,AB$1)+SUMIFS('Doc Há Pagar | Rodopar 1015'!$J:$J,'Doc Há Pagar | Rodopar 1015'!$A:$A,$B276&amp;$E276&amp;$F276,'Doc Há Pagar | Rodopar 1015'!$B:$B,AB$1)</f>
        <v>0</v>
      </c>
      <c r="AC276" s="20">
        <f>SUMIFS('Doc''s Pagos | Rodopar 108'!$J:$J,'Doc''s Pagos | Rodopar 108'!$A:$A,$B276&amp;$E276&amp;$F276&amp;$J276,'Doc''s Pagos | Rodopar 108'!$B:$B,AC$1)+SUMIFS('Doc Há Pagar | Rodopar 1015'!$J:$J,'Doc Há Pagar | Rodopar 1015'!$A:$A,$B276&amp;$E276&amp;$F276,'Doc Há Pagar | Rodopar 1015'!$B:$B,AC$1)</f>
        <v>0</v>
      </c>
      <c r="AD276" s="20">
        <f>SUMIFS('Doc''s Pagos | Rodopar 108'!$J:$J,'Doc''s Pagos | Rodopar 108'!$A:$A,$B276&amp;$E276&amp;$F276&amp;$J276,'Doc''s Pagos | Rodopar 108'!$B:$B,AD$1)+SUMIFS('Doc Há Pagar | Rodopar 1015'!$J:$J,'Doc Há Pagar | Rodopar 1015'!$A:$A,$B276&amp;$E276&amp;$F276,'Doc Há Pagar | Rodopar 1015'!$B:$B,AD$1)</f>
        <v>0</v>
      </c>
    </row>
    <row r="277" spans="1:30" x14ac:dyDescent="0.25">
      <c r="A277" s="1" t="str">
        <f>VLOOKUP($E277,Fornecedores!$A:$C,3,0)</f>
        <v>Frota</v>
      </c>
      <c r="B277" s="14">
        <v>39618</v>
      </c>
      <c r="C277" s="14" t="str">
        <f>IFERROR(VLOOKUP($E277,Fornecedores!$A:$E,4,0),"")</f>
        <v>Manutenção</v>
      </c>
      <c r="D277" s="14" t="str">
        <f>IFERROR(VLOOKUP($E277,Fornecedores!$A:$E,5,0),"")</f>
        <v>Vans</v>
      </c>
      <c r="E277" s="8" t="s">
        <v>133</v>
      </c>
      <c r="F277" s="14" t="s">
        <v>380</v>
      </c>
      <c r="G277" s="8" t="s">
        <v>493</v>
      </c>
      <c r="H277" s="9">
        <v>87</v>
      </c>
      <c r="I277" s="21">
        <v>1602.46</v>
      </c>
      <c r="J277" s="11">
        <v>46213</v>
      </c>
      <c r="K277" s="11">
        <v>46217</v>
      </c>
      <c r="L277" s="8" t="s">
        <v>494</v>
      </c>
      <c r="M277" s="14" t="s">
        <v>234</v>
      </c>
      <c r="N277" s="16">
        <v>1556</v>
      </c>
      <c r="O277" s="14" t="s">
        <v>250</v>
      </c>
      <c r="P277" s="14"/>
      <c r="Q277" s="20">
        <f t="shared" si="4"/>
        <v>0</v>
      </c>
      <c r="S277" s="20">
        <f>SUMIFS('Doc''s Pagos | Rodopar 108'!$J:$J,'Doc''s Pagos | Rodopar 108'!$A:$A,$B277&amp;$E277&amp;$F277&amp;$J277,'Doc''s Pagos | Rodopar 108'!$B:$B,S$1)+SUMIFS('Doc Há Pagar | Rodopar 1015'!$J:$J,'Doc Há Pagar | Rodopar 1015'!$A:$A,$B277&amp;$E277&amp;$F277,'Doc Há Pagar | Rodopar 1015'!$B:$B,S$1)</f>
        <v>0</v>
      </c>
      <c r="T277" s="20">
        <f>SUMIFS('Doc''s Pagos | Rodopar 108'!$J:$J,'Doc''s Pagos | Rodopar 108'!$A:$A,$B277&amp;$E277&amp;$F277&amp;$J277,'Doc''s Pagos | Rodopar 108'!$B:$B,T$1)+SUMIFS('Doc Há Pagar | Rodopar 1015'!$J:$J,'Doc Há Pagar | Rodopar 1015'!$A:$A,$B277&amp;$E277&amp;$F277,'Doc Há Pagar | Rodopar 1015'!$B:$B,T$1)</f>
        <v>0</v>
      </c>
      <c r="U277" s="20">
        <f>SUMIFS('Doc''s Pagos | Rodopar 108'!$J:$J,'Doc''s Pagos | Rodopar 108'!$A:$A,$B277&amp;$E277&amp;$F277&amp;$J277,'Doc''s Pagos | Rodopar 108'!$B:$B,U$1)+SUMIFS('Doc Há Pagar | Rodopar 1015'!$J:$J,'Doc Há Pagar | Rodopar 1015'!$A:$A,$B277&amp;$E277&amp;$F277,'Doc Há Pagar | Rodopar 1015'!$B:$B,U$1)</f>
        <v>0</v>
      </c>
      <c r="V277" s="20">
        <f>SUMIFS('Doc''s Pagos | Rodopar 108'!$J:$J,'Doc''s Pagos | Rodopar 108'!$A:$A,$B277&amp;$E277&amp;$F277&amp;$J277,'Doc''s Pagos | Rodopar 108'!$B:$B,V$1)+SUMIFS('Doc Há Pagar | Rodopar 1015'!$J:$J,'Doc Há Pagar | Rodopar 1015'!$A:$A,$B277&amp;$E277&amp;$F277,'Doc Há Pagar | Rodopar 1015'!$B:$B,V$1)</f>
        <v>0</v>
      </c>
      <c r="W277" s="20">
        <f>SUMIFS('Doc''s Pagos | Rodopar 108'!$J:$J,'Doc''s Pagos | Rodopar 108'!$A:$A,$B277&amp;$E277&amp;$F277&amp;$J277,'Doc''s Pagos | Rodopar 108'!$B:$B,W$1)+SUMIFS('Doc Há Pagar | Rodopar 1015'!$J:$J,'Doc Há Pagar | Rodopar 1015'!$A:$A,$B277&amp;$E277&amp;$F277,'Doc Há Pagar | Rodopar 1015'!$B:$B,W$1)</f>
        <v>0</v>
      </c>
      <c r="X277" s="20">
        <f>SUMIFS('Doc''s Pagos | Rodopar 108'!$J:$J,'Doc''s Pagos | Rodopar 108'!$A:$A,$B277&amp;$E277&amp;$F277&amp;$J277,'Doc''s Pagos | Rodopar 108'!$B:$B,X$1)+SUMIFS('Doc Há Pagar | Rodopar 1015'!$J:$J,'Doc Há Pagar | Rodopar 1015'!$A:$A,$B277&amp;$E277&amp;$F277,'Doc Há Pagar | Rodopar 1015'!$B:$B,X$1)</f>
        <v>0</v>
      </c>
      <c r="Y277" s="20">
        <f>SUMIFS('Doc''s Pagos | Rodopar 108'!$J:$J,'Doc''s Pagos | Rodopar 108'!$A:$A,$B277&amp;$E277&amp;$F277&amp;$J277,'Doc''s Pagos | Rodopar 108'!$B:$B,Y$1)+SUMIFS('Doc Há Pagar | Rodopar 1015'!$J:$J,'Doc Há Pagar | Rodopar 1015'!$A:$A,$B277&amp;$E277&amp;$F277,'Doc Há Pagar | Rodopar 1015'!$B:$B,Y$1)</f>
        <v>0</v>
      </c>
      <c r="Z277" s="20">
        <f>SUMIFS('Doc''s Pagos | Rodopar 108'!$J:$J,'Doc''s Pagos | Rodopar 108'!$A:$A,$B277&amp;$E277&amp;$F277&amp;$J277,'Doc''s Pagos | Rodopar 108'!$B:$B,Z$1)+SUMIFS('Doc Há Pagar | Rodopar 1015'!$J:$J,'Doc Há Pagar | Rodopar 1015'!$A:$A,$B277&amp;$E277&amp;$F277,'Doc Há Pagar | Rodopar 1015'!$B:$B,Z$1)</f>
        <v>801.23</v>
      </c>
      <c r="AA277" s="20">
        <f>SUMIFS('Doc''s Pagos | Rodopar 108'!$J:$J,'Doc''s Pagos | Rodopar 108'!$A:$A,$B277&amp;$E277&amp;$F277&amp;$J277,'Doc''s Pagos | Rodopar 108'!$B:$B,AA$1)+SUMIFS('Doc Há Pagar | Rodopar 1015'!$J:$J,'Doc Há Pagar | Rodopar 1015'!$A:$A,$B277&amp;$E277&amp;$F277,'Doc Há Pagar | Rodopar 1015'!$B:$B,AA$1)</f>
        <v>801.23</v>
      </c>
      <c r="AB277" s="20">
        <f>SUMIFS('Doc''s Pagos | Rodopar 108'!$J:$J,'Doc''s Pagos | Rodopar 108'!$A:$A,$B277&amp;$E277&amp;$F277&amp;$J277,'Doc''s Pagos | Rodopar 108'!$B:$B,AB$1)+SUMIFS('Doc Há Pagar | Rodopar 1015'!$J:$J,'Doc Há Pagar | Rodopar 1015'!$A:$A,$B277&amp;$E277&amp;$F277,'Doc Há Pagar | Rodopar 1015'!$B:$B,AB$1)</f>
        <v>0</v>
      </c>
      <c r="AC277" s="20">
        <f>SUMIFS('Doc''s Pagos | Rodopar 108'!$J:$J,'Doc''s Pagos | Rodopar 108'!$A:$A,$B277&amp;$E277&amp;$F277&amp;$J277,'Doc''s Pagos | Rodopar 108'!$B:$B,AC$1)+SUMIFS('Doc Há Pagar | Rodopar 1015'!$J:$J,'Doc Há Pagar | Rodopar 1015'!$A:$A,$B277&amp;$E277&amp;$F277,'Doc Há Pagar | Rodopar 1015'!$B:$B,AC$1)</f>
        <v>0</v>
      </c>
      <c r="AD277" s="20">
        <f>SUMIFS('Doc''s Pagos | Rodopar 108'!$J:$J,'Doc''s Pagos | Rodopar 108'!$A:$A,$B277&amp;$E277&amp;$F277&amp;$J277,'Doc''s Pagos | Rodopar 108'!$B:$B,AD$1)+SUMIFS('Doc Há Pagar | Rodopar 1015'!$J:$J,'Doc Há Pagar | Rodopar 1015'!$A:$A,$B277&amp;$E277&amp;$F277,'Doc Há Pagar | Rodopar 1015'!$B:$B,AD$1)</f>
        <v>0</v>
      </c>
    </row>
    <row r="278" spans="1:30" x14ac:dyDescent="0.25">
      <c r="A278" s="1" t="str">
        <f>VLOOKUP($E278,Fornecedores!$A:$C,3,0)</f>
        <v>Frota</v>
      </c>
      <c r="B278" s="14">
        <v>1779</v>
      </c>
      <c r="C278" s="14" t="str">
        <f>IFERROR(VLOOKUP($E278,Fornecedores!$A:$E,4,0),"")</f>
        <v>Manutenção</v>
      </c>
      <c r="D278" s="14" t="str">
        <f>IFERROR(VLOOKUP($E278,Fornecedores!$A:$E,5,0),"")</f>
        <v>Vans</v>
      </c>
      <c r="E278" s="8" t="s">
        <v>133</v>
      </c>
      <c r="F278" s="14" t="s">
        <v>665</v>
      </c>
      <c r="G278" s="8" t="s">
        <v>493</v>
      </c>
      <c r="H278" s="9">
        <v>87</v>
      </c>
      <c r="I278" s="21">
        <v>875.5</v>
      </c>
      <c r="J278" s="11">
        <v>46213</v>
      </c>
      <c r="K278" s="11">
        <v>46217</v>
      </c>
      <c r="L278" s="8" t="s">
        <v>494</v>
      </c>
      <c r="M278" s="14" t="s">
        <v>234</v>
      </c>
      <c r="N278" s="16">
        <v>1556</v>
      </c>
      <c r="O278" s="14" t="s">
        <v>250</v>
      </c>
      <c r="P278" s="14"/>
      <c r="Q278" s="20">
        <f t="shared" si="4"/>
        <v>0</v>
      </c>
      <c r="S278" s="20">
        <f>SUMIFS('Doc''s Pagos | Rodopar 108'!$J:$J,'Doc''s Pagos | Rodopar 108'!$A:$A,$B278&amp;$E278&amp;$F278&amp;$J278,'Doc''s Pagos | Rodopar 108'!$B:$B,S$1)+SUMIFS('Doc Há Pagar | Rodopar 1015'!$J:$J,'Doc Há Pagar | Rodopar 1015'!$A:$A,$B278&amp;$E278&amp;$F278,'Doc Há Pagar | Rodopar 1015'!$B:$B,S$1)</f>
        <v>0</v>
      </c>
      <c r="T278" s="20">
        <f>SUMIFS('Doc''s Pagos | Rodopar 108'!$J:$J,'Doc''s Pagos | Rodopar 108'!$A:$A,$B278&amp;$E278&amp;$F278&amp;$J278,'Doc''s Pagos | Rodopar 108'!$B:$B,T$1)+SUMIFS('Doc Há Pagar | Rodopar 1015'!$J:$J,'Doc Há Pagar | Rodopar 1015'!$A:$A,$B278&amp;$E278&amp;$F278,'Doc Há Pagar | Rodopar 1015'!$B:$B,T$1)</f>
        <v>0</v>
      </c>
      <c r="U278" s="20">
        <f>SUMIFS('Doc''s Pagos | Rodopar 108'!$J:$J,'Doc''s Pagos | Rodopar 108'!$A:$A,$B278&amp;$E278&amp;$F278&amp;$J278,'Doc''s Pagos | Rodopar 108'!$B:$B,U$1)+SUMIFS('Doc Há Pagar | Rodopar 1015'!$J:$J,'Doc Há Pagar | Rodopar 1015'!$A:$A,$B278&amp;$E278&amp;$F278,'Doc Há Pagar | Rodopar 1015'!$B:$B,U$1)</f>
        <v>0</v>
      </c>
      <c r="V278" s="20">
        <f>SUMIFS('Doc''s Pagos | Rodopar 108'!$J:$J,'Doc''s Pagos | Rodopar 108'!$A:$A,$B278&amp;$E278&amp;$F278&amp;$J278,'Doc''s Pagos | Rodopar 108'!$B:$B,V$1)+SUMIFS('Doc Há Pagar | Rodopar 1015'!$J:$J,'Doc Há Pagar | Rodopar 1015'!$A:$A,$B278&amp;$E278&amp;$F278,'Doc Há Pagar | Rodopar 1015'!$B:$B,V$1)</f>
        <v>0</v>
      </c>
      <c r="W278" s="20">
        <f>SUMIFS('Doc''s Pagos | Rodopar 108'!$J:$J,'Doc''s Pagos | Rodopar 108'!$A:$A,$B278&amp;$E278&amp;$F278&amp;$J278,'Doc''s Pagos | Rodopar 108'!$B:$B,W$1)+SUMIFS('Doc Há Pagar | Rodopar 1015'!$J:$J,'Doc Há Pagar | Rodopar 1015'!$A:$A,$B278&amp;$E278&amp;$F278,'Doc Há Pagar | Rodopar 1015'!$B:$B,W$1)</f>
        <v>0</v>
      </c>
      <c r="X278" s="20">
        <f>SUMIFS('Doc''s Pagos | Rodopar 108'!$J:$J,'Doc''s Pagos | Rodopar 108'!$A:$A,$B278&amp;$E278&amp;$F278&amp;$J278,'Doc''s Pagos | Rodopar 108'!$B:$B,X$1)+SUMIFS('Doc Há Pagar | Rodopar 1015'!$J:$J,'Doc Há Pagar | Rodopar 1015'!$A:$A,$B278&amp;$E278&amp;$F278,'Doc Há Pagar | Rodopar 1015'!$B:$B,X$1)</f>
        <v>0</v>
      </c>
      <c r="Y278" s="20">
        <f>SUMIFS('Doc''s Pagos | Rodopar 108'!$J:$J,'Doc''s Pagos | Rodopar 108'!$A:$A,$B278&amp;$E278&amp;$F278&amp;$J278,'Doc''s Pagos | Rodopar 108'!$B:$B,Y$1)+SUMIFS('Doc Há Pagar | Rodopar 1015'!$J:$J,'Doc Há Pagar | Rodopar 1015'!$A:$A,$B278&amp;$E278&amp;$F278,'Doc Há Pagar | Rodopar 1015'!$B:$B,Y$1)</f>
        <v>0</v>
      </c>
      <c r="Z278" s="20">
        <f>SUMIFS('Doc''s Pagos | Rodopar 108'!$J:$J,'Doc''s Pagos | Rodopar 108'!$A:$A,$B278&amp;$E278&amp;$F278&amp;$J278,'Doc''s Pagos | Rodopar 108'!$B:$B,Z$1)+SUMIFS('Doc Há Pagar | Rodopar 1015'!$J:$J,'Doc Há Pagar | Rodopar 1015'!$A:$A,$B278&amp;$E278&amp;$F278,'Doc Há Pagar | Rodopar 1015'!$B:$B,Z$1)</f>
        <v>437.75</v>
      </c>
      <c r="AA278" s="20">
        <f>SUMIFS('Doc''s Pagos | Rodopar 108'!$J:$J,'Doc''s Pagos | Rodopar 108'!$A:$A,$B278&amp;$E278&amp;$F278&amp;$J278,'Doc''s Pagos | Rodopar 108'!$B:$B,AA$1)+SUMIFS('Doc Há Pagar | Rodopar 1015'!$J:$J,'Doc Há Pagar | Rodopar 1015'!$A:$A,$B278&amp;$E278&amp;$F278,'Doc Há Pagar | Rodopar 1015'!$B:$B,AA$1)</f>
        <v>437.75</v>
      </c>
      <c r="AB278" s="20">
        <f>SUMIFS('Doc''s Pagos | Rodopar 108'!$J:$J,'Doc''s Pagos | Rodopar 108'!$A:$A,$B278&amp;$E278&amp;$F278&amp;$J278,'Doc''s Pagos | Rodopar 108'!$B:$B,AB$1)+SUMIFS('Doc Há Pagar | Rodopar 1015'!$J:$J,'Doc Há Pagar | Rodopar 1015'!$A:$A,$B278&amp;$E278&amp;$F278,'Doc Há Pagar | Rodopar 1015'!$B:$B,AB$1)</f>
        <v>0</v>
      </c>
      <c r="AC278" s="20">
        <f>SUMIFS('Doc''s Pagos | Rodopar 108'!$J:$J,'Doc''s Pagos | Rodopar 108'!$A:$A,$B278&amp;$E278&amp;$F278&amp;$J278,'Doc''s Pagos | Rodopar 108'!$B:$B,AC$1)+SUMIFS('Doc Há Pagar | Rodopar 1015'!$J:$J,'Doc Há Pagar | Rodopar 1015'!$A:$A,$B278&amp;$E278&amp;$F278,'Doc Há Pagar | Rodopar 1015'!$B:$B,AC$1)</f>
        <v>0</v>
      </c>
      <c r="AD278" s="20">
        <f>SUMIFS('Doc''s Pagos | Rodopar 108'!$J:$J,'Doc''s Pagos | Rodopar 108'!$A:$A,$B278&amp;$E278&amp;$F278&amp;$J278,'Doc''s Pagos | Rodopar 108'!$B:$B,AD$1)+SUMIFS('Doc Há Pagar | Rodopar 1015'!$J:$J,'Doc Há Pagar | Rodopar 1015'!$A:$A,$B278&amp;$E278&amp;$F278,'Doc Há Pagar | Rodopar 1015'!$B:$B,AD$1)</f>
        <v>0</v>
      </c>
    </row>
    <row r="279" spans="1:30" x14ac:dyDescent="0.25">
      <c r="A279" s="1" t="str">
        <f>VLOOKUP($E279,Fornecedores!$A:$C,3,0)</f>
        <v>Frota</v>
      </c>
      <c r="B279" s="14">
        <v>202600000024724</v>
      </c>
      <c r="C279" s="14" t="str">
        <f>IFERROR(VLOOKUP($E279,Fornecedores!$A:$E,4,0),"")</f>
        <v>Manutenção</v>
      </c>
      <c r="D279" s="14" t="str">
        <f>IFERROR(VLOOKUP($E279,Fornecedores!$A:$E,5,0),"")</f>
        <v>Vans</v>
      </c>
      <c r="E279" s="8" t="s">
        <v>132</v>
      </c>
      <c r="F279" s="14" t="s">
        <v>665</v>
      </c>
      <c r="G279" s="8" t="s">
        <v>434</v>
      </c>
      <c r="H279" s="9">
        <v>87</v>
      </c>
      <c r="I279" s="21">
        <v>1326</v>
      </c>
      <c r="J279" s="11">
        <v>46213</v>
      </c>
      <c r="K279" s="11">
        <v>46217</v>
      </c>
      <c r="L279" s="8" t="s">
        <v>435</v>
      </c>
      <c r="M279" s="14" t="s">
        <v>234</v>
      </c>
      <c r="N279" s="16">
        <v>1556</v>
      </c>
      <c r="O279" s="14" t="s">
        <v>250</v>
      </c>
      <c r="P279" s="14"/>
      <c r="Q279" s="20">
        <f t="shared" si="4"/>
        <v>0</v>
      </c>
      <c r="S279" s="20">
        <f>SUMIFS('Doc''s Pagos | Rodopar 108'!$J:$J,'Doc''s Pagos | Rodopar 108'!$A:$A,$B279&amp;$E279&amp;$F279&amp;$J279,'Doc''s Pagos | Rodopar 108'!$B:$B,S$1)+SUMIFS('Doc Há Pagar | Rodopar 1015'!$J:$J,'Doc Há Pagar | Rodopar 1015'!$A:$A,$B279&amp;$E279&amp;$F279,'Doc Há Pagar | Rodopar 1015'!$B:$B,S$1)</f>
        <v>0</v>
      </c>
      <c r="T279" s="20">
        <f>SUMIFS('Doc''s Pagos | Rodopar 108'!$J:$J,'Doc''s Pagos | Rodopar 108'!$A:$A,$B279&amp;$E279&amp;$F279&amp;$J279,'Doc''s Pagos | Rodopar 108'!$B:$B,T$1)+SUMIFS('Doc Há Pagar | Rodopar 1015'!$J:$J,'Doc Há Pagar | Rodopar 1015'!$A:$A,$B279&amp;$E279&amp;$F279,'Doc Há Pagar | Rodopar 1015'!$B:$B,T$1)</f>
        <v>0</v>
      </c>
      <c r="U279" s="20">
        <f>SUMIFS('Doc''s Pagos | Rodopar 108'!$J:$J,'Doc''s Pagos | Rodopar 108'!$A:$A,$B279&amp;$E279&amp;$F279&amp;$J279,'Doc''s Pagos | Rodopar 108'!$B:$B,U$1)+SUMIFS('Doc Há Pagar | Rodopar 1015'!$J:$J,'Doc Há Pagar | Rodopar 1015'!$A:$A,$B279&amp;$E279&amp;$F279,'Doc Há Pagar | Rodopar 1015'!$B:$B,U$1)</f>
        <v>0</v>
      </c>
      <c r="V279" s="20">
        <f>SUMIFS('Doc''s Pagos | Rodopar 108'!$J:$J,'Doc''s Pagos | Rodopar 108'!$A:$A,$B279&amp;$E279&amp;$F279&amp;$J279,'Doc''s Pagos | Rodopar 108'!$B:$B,V$1)+SUMIFS('Doc Há Pagar | Rodopar 1015'!$J:$J,'Doc Há Pagar | Rodopar 1015'!$A:$A,$B279&amp;$E279&amp;$F279,'Doc Há Pagar | Rodopar 1015'!$B:$B,V$1)</f>
        <v>0</v>
      </c>
      <c r="W279" s="20">
        <f>SUMIFS('Doc''s Pagos | Rodopar 108'!$J:$J,'Doc''s Pagos | Rodopar 108'!$A:$A,$B279&amp;$E279&amp;$F279&amp;$J279,'Doc''s Pagos | Rodopar 108'!$B:$B,W$1)+SUMIFS('Doc Há Pagar | Rodopar 1015'!$J:$J,'Doc Há Pagar | Rodopar 1015'!$A:$A,$B279&amp;$E279&amp;$F279,'Doc Há Pagar | Rodopar 1015'!$B:$B,W$1)</f>
        <v>0</v>
      </c>
      <c r="X279" s="20">
        <f>SUMIFS('Doc''s Pagos | Rodopar 108'!$J:$J,'Doc''s Pagos | Rodopar 108'!$A:$A,$B279&amp;$E279&amp;$F279&amp;$J279,'Doc''s Pagos | Rodopar 108'!$B:$B,X$1)+SUMIFS('Doc Há Pagar | Rodopar 1015'!$J:$J,'Doc Há Pagar | Rodopar 1015'!$A:$A,$B279&amp;$E279&amp;$F279,'Doc Há Pagar | Rodopar 1015'!$B:$B,X$1)</f>
        <v>0</v>
      </c>
      <c r="Y279" s="20">
        <f>SUMIFS('Doc''s Pagos | Rodopar 108'!$J:$J,'Doc''s Pagos | Rodopar 108'!$A:$A,$B279&amp;$E279&amp;$F279&amp;$J279,'Doc''s Pagos | Rodopar 108'!$B:$B,Y$1)+SUMIFS('Doc Há Pagar | Rodopar 1015'!$J:$J,'Doc Há Pagar | Rodopar 1015'!$A:$A,$B279&amp;$E279&amp;$F279,'Doc Há Pagar | Rodopar 1015'!$B:$B,Y$1)</f>
        <v>0</v>
      </c>
      <c r="Z279" s="20">
        <f>SUMIFS('Doc''s Pagos | Rodopar 108'!$J:$J,'Doc''s Pagos | Rodopar 108'!$A:$A,$B279&amp;$E279&amp;$F279&amp;$J279,'Doc''s Pagos | Rodopar 108'!$B:$B,Z$1)+SUMIFS('Doc Há Pagar | Rodopar 1015'!$J:$J,'Doc Há Pagar | Rodopar 1015'!$A:$A,$B279&amp;$E279&amp;$F279,'Doc Há Pagar | Rodopar 1015'!$B:$B,Z$1)</f>
        <v>663</v>
      </c>
      <c r="AA279" s="20">
        <f>SUMIFS('Doc''s Pagos | Rodopar 108'!$J:$J,'Doc''s Pagos | Rodopar 108'!$A:$A,$B279&amp;$E279&amp;$F279&amp;$J279,'Doc''s Pagos | Rodopar 108'!$B:$B,AA$1)+SUMIFS('Doc Há Pagar | Rodopar 1015'!$J:$J,'Doc Há Pagar | Rodopar 1015'!$A:$A,$B279&amp;$E279&amp;$F279,'Doc Há Pagar | Rodopar 1015'!$B:$B,AA$1)</f>
        <v>663</v>
      </c>
      <c r="AB279" s="20">
        <f>SUMIFS('Doc''s Pagos | Rodopar 108'!$J:$J,'Doc''s Pagos | Rodopar 108'!$A:$A,$B279&amp;$E279&amp;$F279&amp;$J279,'Doc''s Pagos | Rodopar 108'!$B:$B,AB$1)+SUMIFS('Doc Há Pagar | Rodopar 1015'!$J:$J,'Doc Há Pagar | Rodopar 1015'!$A:$A,$B279&amp;$E279&amp;$F279,'Doc Há Pagar | Rodopar 1015'!$B:$B,AB$1)</f>
        <v>0</v>
      </c>
      <c r="AC279" s="20">
        <f>SUMIFS('Doc''s Pagos | Rodopar 108'!$J:$J,'Doc''s Pagos | Rodopar 108'!$A:$A,$B279&amp;$E279&amp;$F279&amp;$J279,'Doc''s Pagos | Rodopar 108'!$B:$B,AC$1)+SUMIFS('Doc Há Pagar | Rodopar 1015'!$J:$J,'Doc Há Pagar | Rodopar 1015'!$A:$A,$B279&amp;$E279&amp;$F279,'Doc Há Pagar | Rodopar 1015'!$B:$B,AC$1)</f>
        <v>0</v>
      </c>
      <c r="AD279" s="20">
        <f>SUMIFS('Doc''s Pagos | Rodopar 108'!$J:$J,'Doc''s Pagos | Rodopar 108'!$A:$A,$B279&amp;$E279&amp;$F279&amp;$J279,'Doc''s Pagos | Rodopar 108'!$B:$B,AD$1)+SUMIFS('Doc Há Pagar | Rodopar 1015'!$J:$J,'Doc Há Pagar | Rodopar 1015'!$A:$A,$B279&amp;$E279&amp;$F279,'Doc Há Pagar | Rodopar 1015'!$B:$B,AD$1)</f>
        <v>0</v>
      </c>
    </row>
    <row r="280" spans="1:30" x14ac:dyDescent="0.25">
      <c r="A280" s="1" t="str">
        <f>VLOOKUP($E280,Fornecedores!$A:$C,3,0)</f>
        <v>Frota</v>
      </c>
      <c r="B280" s="14">
        <v>91</v>
      </c>
      <c r="C280" s="14" t="str">
        <f>IFERROR(VLOOKUP($E280,Fornecedores!$A:$E,4,0),"")</f>
        <v>Manutenção</v>
      </c>
      <c r="D280" s="14" t="str">
        <f>IFERROR(VLOOKUP($E280,Fornecedores!$A:$E,5,0),"")</f>
        <v>Peças E Serviços</v>
      </c>
      <c r="E280" s="8" t="s">
        <v>67</v>
      </c>
      <c r="F280" s="14" t="s">
        <v>665</v>
      </c>
      <c r="G280" s="8" t="s">
        <v>931</v>
      </c>
      <c r="H280" s="9">
        <v>87</v>
      </c>
      <c r="I280" s="21">
        <v>2700</v>
      </c>
      <c r="J280" s="11">
        <v>46213</v>
      </c>
      <c r="K280" s="11">
        <v>46214</v>
      </c>
      <c r="L280" s="8" t="s">
        <v>932</v>
      </c>
      <c r="M280" s="14" t="s">
        <v>234</v>
      </c>
      <c r="N280" s="16">
        <v>1556</v>
      </c>
      <c r="O280" s="14" t="s">
        <v>241</v>
      </c>
      <c r="P280" s="14"/>
      <c r="Q280" s="20">
        <f t="shared" si="4"/>
        <v>0</v>
      </c>
      <c r="S280" s="20">
        <f>SUMIFS('Doc''s Pagos | Rodopar 108'!$J:$J,'Doc''s Pagos | Rodopar 108'!$A:$A,$B280&amp;$E280&amp;$F280&amp;$J280,'Doc''s Pagos | Rodopar 108'!$B:$B,S$1)+SUMIFS('Doc Há Pagar | Rodopar 1015'!$J:$J,'Doc Há Pagar | Rodopar 1015'!$A:$A,$B280&amp;$E280&amp;$F280,'Doc Há Pagar | Rodopar 1015'!$B:$B,S$1)</f>
        <v>0</v>
      </c>
      <c r="T280" s="20">
        <f>SUMIFS('Doc''s Pagos | Rodopar 108'!$J:$J,'Doc''s Pagos | Rodopar 108'!$A:$A,$B280&amp;$E280&amp;$F280&amp;$J280,'Doc''s Pagos | Rodopar 108'!$B:$B,T$1)+SUMIFS('Doc Há Pagar | Rodopar 1015'!$J:$J,'Doc Há Pagar | Rodopar 1015'!$A:$A,$B280&amp;$E280&amp;$F280,'Doc Há Pagar | Rodopar 1015'!$B:$B,T$1)</f>
        <v>0</v>
      </c>
      <c r="U280" s="20">
        <f>SUMIFS('Doc''s Pagos | Rodopar 108'!$J:$J,'Doc''s Pagos | Rodopar 108'!$A:$A,$B280&amp;$E280&amp;$F280&amp;$J280,'Doc''s Pagos | Rodopar 108'!$B:$B,U$1)+SUMIFS('Doc Há Pagar | Rodopar 1015'!$J:$J,'Doc Há Pagar | Rodopar 1015'!$A:$A,$B280&amp;$E280&amp;$F280,'Doc Há Pagar | Rodopar 1015'!$B:$B,U$1)</f>
        <v>0</v>
      </c>
      <c r="V280" s="20">
        <f>SUMIFS('Doc''s Pagos | Rodopar 108'!$J:$J,'Doc''s Pagos | Rodopar 108'!$A:$A,$B280&amp;$E280&amp;$F280&amp;$J280,'Doc''s Pagos | Rodopar 108'!$B:$B,V$1)+SUMIFS('Doc Há Pagar | Rodopar 1015'!$J:$J,'Doc Há Pagar | Rodopar 1015'!$A:$A,$B280&amp;$E280&amp;$F280,'Doc Há Pagar | Rodopar 1015'!$B:$B,V$1)</f>
        <v>0</v>
      </c>
      <c r="W280" s="20">
        <f>SUMIFS('Doc''s Pagos | Rodopar 108'!$J:$J,'Doc''s Pagos | Rodopar 108'!$A:$A,$B280&amp;$E280&amp;$F280&amp;$J280,'Doc''s Pagos | Rodopar 108'!$B:$B,W$1)+SUMIFS('Doc Há Pagar | Rodopar 1015'!$J:$J,'Doc Há Pagar | Rodopar 1015'!$A:$A,$B280&amp;$E280&amp;$F280,'Doc Há Pagar | Rodopar 1015'!$B:$B,W$1)</f>
        <v>0</v>
      </c>
      <c r="X280" s="20">
        <f>SUMIFS('Doc''s Pagos | Rodopar 108'!$J:$J,'Doc''s Pagos | Rodopar 108'!$A:$A,$B280&amp;$E280&amp;$F280&amp;$J280,'Doc''s Pagos | Rodopar 108'!$B:$B,X$1)+SUMIFS('Doc Há Pagar | Rodopar 1015'!$J:$J,'Doc Há Pagar | Rodopar 1015'!$A:$A,$B280&amp;$E280&amp;$F280,'Doc Há Pagar | Rodopar 1015'!$B:$B,X$1)</f>
        <v>0</v>
      </c>
      <c r="Y280" s="20">
        <f>SUMIFS('Doc''s Pagos | Rodopar 108'!$J:$J,'Doc''s Pagos | Rodopar 108'!$A:$A,$B280&amp;$E280&amp;$F280&amp;$J280,'Doc''s Pagos | Rodopar 108'!$B:$B,Y$1)+SUMIFS('Doc Há Pagar | Rodopar 1015'!$J:$J,'Doc Há Pagar | Rodopar 1015'!$A:$A,$B280&amp;$E280&amp;$F280,'Doc Há Pagar | Rodopar 1015'!$B:$B,Y$1)</f>
        <v>0</v>
      </c>
      <c r="Z280" s="20">
        <f>SUMIFS('Doc''s Pagos | Rodopar 108'!$J:$J,'Doc''s Pagos | Rodopar 108'!$A:$A,$B280&amp;$E280&amp;$F280&amp;$J280,'Doc''s Pagos | Rodopar 108'!$B:$B,Z$1)+SUMIFS('Doc Há Pagar | Rodopar 1015'!$J:$J,'Doc Há Pagar | Rodopar 1015'!$A:$A,$B280&amp;$E280&amp;$F280,'Doc Há Pagar | Rodopar 1015'!$B:$B,Z$1)</f>
        <v>2700</v>
      </c>
      <c r="AA280" s="20">
        <f>SUMIFS('Doc''s Pagos | Rodopar 108'!$J:$J,'Doc''s Pagos | Rodopar 108'!$A:$A,$B280&amp;$E280&amp;$F280&amp;$J280,'Doc''s Pagos | Rodopar 108'!$B:$B,AA$1)+SUMIFS('Doc Há Pagar | Rodopar 1015'!$J:$J,'Doc Há Pagar | Rodopar 1015'!$A:$A,$B280&amp;$E280&amp;$F280,'Doc Há Pagar | Rodopar 1015'!$B:$B,AA$1)</f>
        <v>0</v>
      </c>
      <c r="AB280" s="20">
        <f>SUMIFS('Doc''s Pagos | Rodopar 108'!$J:$J,'Doc''s Pagos | Rodopar 108'!$A:$A,$B280&amp;$E280&amp;$F280&amp;$J280,'Doc''s Pagos | Rodopar 108'!$B:$B,AB$1)+SUMIFS('Doc Há Pagar | Rodopar 1015'!$J:$J,'Doc Há Pagar | Rodopar 1015'!$A:$A,$B280&amp;$E280&amp;$F280,'Doc Há Pagar | Rodopar 1015'!$B:$B,AB$1)</f>
        <v>0</v>
      </c>
      <c r="AC280" s="20">
        <f>SUMIFS('Doc''s Pagos | Rodopar 108'!$J:$J,'Doc''s Pagos | Rodopar 108'!$A:$A,$B280&amp;$E280&amp;$F280&amp;$J280,'Doc''s Pagos | Rodopar 108'!$B:$B,AC$1)+SUMIFS('Doc Há Pagar | Rodopar 1015'!$J:$J,'Doc Há Pagar | Rodopar 1015'!$A:$A,$B280&amp;$E280&amp;$F280,'Doc Há Pagar | Rodopar 1015'!$B:$B,AC$1)</f>
        <v>0</v>
      </c>
      <c r="AD280" s="20">
        <f>SUMIFS('Doc''s Pagos | Rodopar 108'!$J:$J,'Doc''s Pagos | Rodopar 108'!$A:$A,$B280&amp;$E280&amp;$F280&amp;$J280,'Doc''s Pagos | Rodopar 108'!$B:$B,AD$1)+SUMIFS('Doc Há Pagar | Rodopar 1015'!$J:$J,'Doc Há Pagar | Rodopar 1015'!$A:$A,$B280&amp;$E280&amp;$F280,'Doc Há Pagar | Rodopar 1015'!$B:$B,AD$1)</f>
        <v>0</v>
      </c>
    </row>
    <row r="281" spans="1:30" x14ac:dyDescent="0.25">
      <c r="A281" s="1" t="str">
        <f>VLOOKUP($E281,Fornecedores!$A:$C,3,0)</f>
        <v>Frota</v>
      </c>
      <c r="B281" s="14">
        <v>150</v>
      </c>
      <c r="C281" s="14" t="str">
        <f>IFERROR(VLOOKUP($E281,Fornecedores!$A:$E,4,0),"")</f>
        <v>Manutenção</v>
      </c>
      <c r="D281" s="14" t="str">
        <f>IFERROR(VLOOKUP($E281,Fornecedores!$A:$E,5,0),"")</f>
        <v>Peças E Serviços</v>
      </c>
      <c r="E281" s="8" t="s">
        <v>41</v>
      </c>
      <c r="F281" s="14" t="s">
        <v>665</v>
      </c>
      <c r="G281" s="8" t="s">
        <v>731</v>
      </c>
      <c r="H281" s="9">
        <v>87</v>
      </c>
      <c r="I281" s="21">
        <v>1100</v>
      </c>
      <c r="J281" s="11">
        <v>46214</v>
      </c>
      <c r="K281" s="11">
        <v>46214</v>
      </c>
      <c r="L281" s="8" t="s">
        <v>732</v>
      </c>
      <c r="M281" s="14" t="s">
        <v>234</v>
      </c>
      <c r="N281" s="16">
        <v>1556</v>
      </c>
      <c r="O281" s="14" t="s">
        <v>241</v>
      </c>
      <c r="P281" s="14"/>
      <c r="Q281" s="20">
        <f t="shared" si="4"/>
        <v>0</v>
      </c>
      <c r="S281" s="20">
        <f>SUMIFS('Doc''s Pagos | Rodopar 108'!$J:$J,'Doc''s Pagos | Rodopar 108'!$A:$A,$B281&amp;$E281&amp;$F281&amp;$J281,'Doc''s Pagos | Rodopar 108'!$B:$B,S$1)+SUMIFS('Doc Há Pagar | Rodopar 1015'!$J:$J,'Doc Há Pagar | Rodopar 1015'!$A:$A,$B281&amp;$E281&amp;$F281,'Doc Há Pagar | Rodopar 1015'!$B:$B,S$1)</f>
        <v>0</v>
      </c>
      <c r="T281" s="20">
        <f>SUMIFS('Doc''s Pagos | Rodopar 108'!$J:$J,'Doc''s Pagos | Rodopar 108'!$A:$A,$B281&amp;$E281&amp;$F281&amp;$J281,'Doc''s Pagos | Rodopar 108'!$B:$B,T$1)+SUMIFS('Doc Há Pagar | Rodopar 1015'!$J:$J,'Doc Há Pagar | Rodopar 1015'!$A:$A,$B281&amp;$E281&amp;$F281,'Doc Há Pagar | Rodopar 1015'!$B:$B,T$1)</f>
        <v>0</v>
      </c>
      <c r="U281" s="20">
        <f>SUMIFS('Doc''s Pagos | Rodopar 108'!$J:$J,'Doc''s Pagos | Rodopar 108'!$A:$A,$B281&amp;$E281&amp;$F281&amp;$J281,'Doc''s Pagos | Rodopar 108'!$B:$B,U$1)+SUMIFS('Doc Há Pagar | Rodopar 1015'!$J:$J,'Doc Há Pagar | Rodopar 1015'!$A:$A,$B281&amp;$E281&amp;$F281,'Doc Há Pagar | Rodopar 1015'!$B:$B,U$1)</f>
        <v>0</v>
      </c>
      <c r="V281" s="20">
        <f>SUMIFS('Doc''s Pagos | Rodopar 108'!$J:$J,'Doc''s Pagos | Rodopar 108'!$A:$A,$B281&amp;$E281&amp;$F281&amp;$J281,'Doc''s Pagos | Rodopar 108'!$B:$B,V$1)+SUMIFS('Doc Há Pagar | Rodopar 1015'!$J:$J,'Doc Há Pagar | Rodopar 1015'!$A:$A,$B281&amp;$E281&amp;$F281,'Doc Há Pagar | Rodopar 1015'!$B:$B,V$1)</f>
        <v>0</v>
      </c>
      <c r="W281" s="20">
        <f>SUMIFS('Doc''s Pagos | Rodopar 108'!$J:$J,'Doc''s Pagos | Rodopar 108'!$A:$A,$B281&amp;$E281&amp;$F281&amp;$J281,'Doc''s Pagos | Rodopar 108'!$B:$B,W$1)+SUMIFS('Doc Há Pagar | Rodopar 1015'!$J:$J,'Doc Há Pagar | Rodopar 1015'!$A:$A,$B281&amp;$E281&amp;$F281,'Doc Há Pagar | Rodopar 1015'!$B:$B,W$1)</f>
        <v>0</v>
      </c>
      <c r="X281" s="20">
        <f>SUMIFS('Doc''s Pagos | Rodopar 108'!$J:$J,'Doc''s Pagos | Rodopar 108'!$A:$A,$B281&amp;$E281&amp;$F281&amp;$J281,'Doc''s Pagos | Rodopar 108'!$B:$B,X$1)+SUMIFS('Doc Há Pagar | Rodopar 1015'!$J:$J,'Doc Há Pagar | Rodopar 1015'!$A:$A,$B281&amp;$E281&amp;$F281,'Doc Há Pagar | Rodopar 1015'!$B:$B,X$1)</f>
        <v>0</v>
      </c>
      <c r="Y281" s="20">
        <f>SUMIFS('Doc''s Pagos | Rodopar 108'!$J:$J,'Doc''s Pagos | Rodopar 108'!$A:$A,$B281&amp;$E281&amp;$F281&amp;$J281,'Doc''s Pagos | Rodopar 108'!$B:$B,Y$1)+SUMIFS('Doc Há Pagar | Rodopar 1015'!$J:$J,'Doc Há Pagar | Rodopar 1015'!$A:$A,$B281&amp;$E281&amp;$F281,'Doc Há Pagar | Rodopar 1015'!$B:$B,Y$1)</f>
        <v>1100</v>
      </c>
      <c r="Z281" s="20">
        <f>SUMIFS('Doc''s Pagos | Rodopar 108'!$J:$J,'Doc''s Pagos | Rodopar 108'!$A:$A,$B281&amp;$E281&amp;$F281&amp;$J281,'Doc''s Pagos | Rodopar 108'!$B:$B,Z$1)+SUMIFS('Doc Há Pagar | Rodopar 1015'!$J:$J,'Doc Há Pagar | Rodopar 1015'!$A:$A,$B281&amp;$E281&amp;$F281,'Doc Há Pagar | Rodopar 1015'!$B:$B,Z$1)</f>
        <v>0</v>
      </c>
      <c r="AA281" s="20">
        <f>SUMIFS('Doc''s Pagos | Rodopar 108'!$J:$J,'Doc''s Pagos | Rodopar 108'!$A:$A,$B281&amp;$E281&amp;$F281&amp;$J281,'Doc''s Pagos | Rodopar 108'!$B:$B,AA$1)+SUMIFS('Doc Há Pagar | Rodopar 1015'!$J:$J,'Doc Há Pagar | Rodopar 1015'!$A:$A,$B281&amp;$E281&amp;$F281,'Doc Há Pagar | Rodopar 1015'!$B:$B,AA$1)</f>
        <v>0</v>
      </c>
      <c r="AB281" s="20">
        <f>SUMIFS('Doc''s Pagos | Rodopar 108'!$J:$J,'Doc''s Pagos | Rodopar 108'!$A:$A,$B281&amp;$E281&amp;$F281&amp;$J281,'Doc''s Pagos | Rodopar 108'!$B:$B,AB$1)+SUMIFS('Doc Há Pagar | Rodopar 1015'!$J:$J,'Doc Há Pagar | Rodopar 1015'!$A:$A,$B281&amp;$E281&amp;$F281,'Doc Há Pagar | Rodopar 1015'!$B:$B,AB$1)</f>
        <v>0</v>
      </c>
      <c r="AC281" s="20">
        <f>SUMIFS('Doc''s Pagos | Rodopar 108'!$J:$J,'Doc''s Pagos | Rodopar 108'!$A:$A,$B281&amp;$E281&amp;$F281&amp;$J281,'Doc''s Pagos | Rodopar 108'!$B:$B,AC$1)+SUMIFS('Doc Há Pagar | Rodopar 1015'!$J:$J,'Doc Há Pagar | Rodopar 1015'!$A:$A,$B281&amp;$E281&amp;$F281,'Doc Há Pagar | Rodopar 1015'!$B:$B,AC$1)</f>
        <v>0</v>
      </c>
      <c r="AD281" s="20">
        <f>SUMIFS('Doc''s Pagos | Rodopar 108'!$J:$J,'Doc''s Pagos | Rodopar 108'!$A:$A,$B281&amp;$E281&amp;$F281&amp;$J281,'Doc''s Pagos | Rodopar 108'!$B:$B,AD$1)+SUMIFS('Doc Há Pagar | Rodopar 1015'!$J:$J,'Doc Há Pagar | Rodopar 1015'!$A:$A,$B281&amp;$E281&amp;$F281,'Doc Há Pagar | Rodopar 1015'!$B:$B,AD$1)</f>
        <v>0</v>
      </c>
    </row>
    <row r="282" spans="1:30" x14ac:dyDescent="0.25">
      <c r="A282" s="1" t="str">
        <f>VLOOKUP($E282,Fornecedores!$A:$C,3,0)</f>
        <v>Frota</v>
      </c>
      <c r="B282" s="14">
        <v>179</v>
      </c>
      <c r="C282" s="14" t="str">
        <f>IFERROR(VLOOKUP($E282,Fornecedores!$A:$E,4,0),"")</f>
        <v>Manutenção</v>
      </c>
      <c r="D282" s="14" t="str">
        <f>IFERROR(VLOOKUP($E282,Fornecedores!$A:$E,5,0),"")</f>
        <v>Peças E Serviços</v>
      </c>
      <c r="E282" s="8" t="s">
        <v>204</v>
      </c>
      <c r="F282" s="14" t="s">
        <v>380</v>
      </c>
      <c r="G282" s="8" t="s">
        <v>396</v>
      </c>
      <c r="H282" s="9">
        <v>87</v>
      </c>
      <c r="I282" s="21">
        <v>825</v>
      </c>
      <c r="J282" s="11">
        <v>46216</v>
      </c>
      <c r="K282" s="11">
        <v>46219</v>
      </c>
      <c r="L282" s="8" t="s">
        <v>282</v>
      </c>
      <c r="M282" s="14" t="s">
        <v>234</v>
      </c>
      <c r="N282" s="16">
        <v>1556</v>
      </c>
      <c r="O282" s="14" t="s">
        <v>250</v>
      </c>
      <c r="P282" s="14"/>
      <c r="Q282" s="20">
        <f t="shared" si="4"/>
        <v>0</v>
      </c>
      <c r="S282" s="20">
        <f>SUMIFS('Doc''s Pagos | Rodopar 108'!$J:$J,'Doc''s Pagos | Rodopar 108'!$A:$A,$B282&amp;$E282&amp;$F282&amp;$J282,'Doc''s Pagos | Rodopar 108'!$B:$B,S$1)+SUMIFS('Doc Há Pagar | Rodopar 1015'!$J:$J,'Doc Há Pagar | Rodopar 1015'!$A:$A,$B282&amp;$E282&amp;$F282,'Doc Há Pagar | Rodopar 1015'!$B:$B,S$1)</f>
        <v>0</v>
      </c>
      <c r="T282" s="20">
        <f>SUMIFS('Doc''s Pagos | Rodopar 108'!$J:$J,'Doc''s Pagos | Rodopar 108'!$A:$A,$B282&amp;$E282&amp;$F282&amp;$J282,'Doc''s Pagos | Rodopar 108'!$B:$B,T$1)+SUMIFS('Doc Há Pagar | Rodopar 1015'!$J:$J,'Doc Há Pagar | Rodopar 1015'!$A:$A,$B282&amp;$E282&amp;$F282,'Doc Há Pagar | Rodopar 1015'!$B:$B,T$1)</f>
        <v>0</v>
      </c>
      <c r="U282" s="20">
        <f>SUMIFS('Doc''s Pagos | Rodopar 108'!$J:$J,'Doc''s Pagos | Rodopar 108'!$A:$A,$B282&amp;$E282&amp;$F282&amp;$J282,'Doc''s Pagos | Rodopar 108'!$B:$B,U$1)+SUMIFS('Doc Há Pagar | Rodopar 1015'!$J:$J,'Doc Há Pagar | Rodopar 1015'!$A:$A,$B282&amp;$E282&amp;$F282,'Doc Há Pagar | Rodopar 1015'!$B:$B,U$1)</f>
        <v>0</v>
      </c>
      <c r="V282" s="20">
        <f>SUMIFS('Doc''s Pagos | Rodopar 108'!$J:$J,'Doc''s Pagos | Rodopar 108'!$A:$A,$B282&amp;$E282&amp;$F282&amp;$J282,'Doc''s Pagos | Rodopar 108'!$B:$B,V$1)+SUMIFS('Doc Há Pagar | Rodopar 1015'!$J:$J,'Doc Há Pagar | Rodopar 1015'!$A:$A,$B282&amp;$E282&amp;$F282,'Doc Há Pagar | Rodopar 1015'!$B:$B,V$1)</f>
        <v>0</v>
      </c>
      <c r="W282" s="20">
        <f>SUMIFS('Doc''s Pagos | Rodopar 108'!$J:$J,'Doc''s Pagos | Rodopar 108'!$A:$A,$B282&amp;$E282&amp;$F282&amp;$J282,'Doc''s Pagos | Rodopar 108'!$B:$B,W$1)+SUMIFS('Doc Há Pagar | Rodopar 1015'!$J:$J,'Doc Há Pagar | Rodopar 1015'!$A:$A,$B282&amp;$E282&amp;$F282,'Doc Há Pagar | Rodopar 1015'!$B:$B,W$1)</f>
        <v>0</v>
      </c>
      <c r="X282" s="20">
        <f>SUMIFS('Doc''s Pagos | Rodopar 108'!$J:$J,'Doc''s Pagos | Rodopar 108'!$A:$A,$B282&amp;$E282&amp;$F282&amp;$J282,'Doc''s Pagos | Rodopar 108'!$B:$B,X$1)+SUMIFS('Doc Há Pagar | Rodopar 1015'!$J:$J,'Doc Há Pagar | Rodopar 1015'!$A:$A,$B282&amp;$E282&amp;$F282,'Doc Há Pagar | Rodopar 1015'!$B:$B,X$1)</f>
        <v>0</v>
      </c>
      <c r="Y282" s="20">
        <f>SUMIFS('Doc''s Pagos | Rodopar 108'!$J:$J,'Doc''s Pagos | Rodopar 108'!$A:$A,$B282&amp;$E282&amp;$F282&amp;$J282,'Doc''s Pagos | Rodopar 108'!$B:$B,Y$1)+SUMIFS('Doc Há Pagar | Rodopar 1015'!$J:$J,'Doc Há Pagar | Rodopar 1015'!$A:$A,$B282&amp;$E282&amp;$F282,'Doc Há Pagar | Rodopar 1015'!$B:$B,Y$1)</f>
        <v>0</v>
      </c>
      <c r="Z282" s="20">
        <f>SUMIFS('Doc''s Pagos | Rodopar 108'!$J:$J,'Doc''s Pagos | Rodopar 108'!$A:$A,$B282&amp;$E282&amp;$F282&amp;$J282,'Doc''s Pagos | Rodopar 108'!$B:$B,Z$1)+SUMIFS('Doc Há Pagar | Rodopar 1015'!$J:$J,'Doc Há Pagar | Rodopar 1015'!$A:$A,$B282&amp;$E282&amp;$F282,'Doc Há Pagar | Rodopar 1015'!$B:$B,Z$1)</f>
        <v>825</v>
      </c>
      <c r="AA282" s="20">
        <f>SUMIFS('Doc''s Pagos | Rodopar 108'!$J:$J,'Doc''s Pagos | Rodopar 108'!$A:$A,$B282&amp;$E282&amp;$F282&amp;$J282,'Doc''s Pagos | Rodopar 108'!$B:$B,AA$1)+SUMIFS('Doc Há Pagar | Rodopar 1015'!$J:$J,'Doc Há Pagar | Rodopar 1015'!$A:$A,$B282&amp;$E282&amp;$F282,'Doc Há Pagar | Rodopar 1015'!$B:$B,AA$1)</f>
        <v>0</v>
      </c>
      <c r="AB282" s="20">
        <f>SUMIFS('Doc''s Pagos | Rodopar 108'!$J:$J,'Doc''s Pagos | Rodopar 108'!$A:$A,$B282&amp;$E282&amp;$F282&amp;$J282,'Doc''s Pagos | Rodopar 108'!$B:$B,AB$1)+SUMIFS('Doc Há Pagar | Rodopar 1015'!$J:$J,'Doc Há Pagar | Rodopar 1015'!$A:$A,$B282&amp;$E282&amp;$F282,'Doc Há Pagar | Rodopar 1015'!$B:$B,AB$1)</f>
        <v>0</v>
      </c>
      <c r="AC282" s="20">
        <f>SUMIFS('Doc''s Pagos | Rodopar 108'!$J:$J,'Doc''s Pagos | Rodopar 108'!$A:$A,$B282&amp;$E282&amp;$F282&amp;$J282,'Doc''s Pagos | Rodopar 108'!$B:$B,AC$1)+SUMIFS('Doc Há Pagar | Rodopar 1015'!$J:$J,'Doc Há Pagar | Rodopar 1015'!$A:$A,$B282&amp;$E282&amp;$F282,'Doc Há Pagar | Rodopar 1015'!$B:$B,AC$1)</f>
        <v>0</v>
      </c>
      <c r="AD282" s="20">
        <f>SUMIFS('Doc''s Pagos | Rodopar 108'!$J:$J,'Doc''s Pagos | Rodopar 108'!$A:$A,$B282&amp;$E282&amp;$F282&amp;$J282,'Doc''s Pagos | Rodopar 108'!$B:$B,AD$1)+SUMIFS('Doc Há Pagar | Rodopar 1015'!$J:$J,'Doc Há Pagar | Rodopar 1015'!$A:$A,$B282&amp;$E282&amp;$F282,'Doc Há Pagar | Rodopar 1015'!$B:$B,AD$1)</f>
        <v>0</v>
      </c>
    </row>
    <row r="283" spans="1:30" x14ac:dyDescent="0.25">
      <c r="A283" s="1" t="str">
        <f>VLOOKUP($E283,Fornecedores!$A:$C,3,0)</f>
        <v>Frota</v>
      </c>
      <c r="B283" s="14">
        <v>8102</v>
      </c>
      <c r="C283" s="14" t="str">
        <f>IFERROR(VLOOKUP($E283,Fornecedores!$A:$E,4,0),"")</f>
        <v>Manutenção</v>
      </c>
      <c r="D283" s="14" t="str">
        <f>IFERROR(VLOOKUP($E283,Fornecedores!$A:$E,5,0),"")</f>
        <v>Vans</v>
      </c>
      <c r="E283" s="8" t="s">
        <v>159</v>
      </c>
      <c r="F283" s="14" t="s">
        <v>380</v>
      </c>
      <c r="G283" s="8" t="s">
        <v>588</v>
      </c>
      <c r="H283" s="9">
        <v>87</v>
      </c>
      <c r="I283" s="21">
        <v>4719.41</v>
      </c>
      <c r="J283" s="11">
        <v>46216</v>
      </c>
      <c r="K283" s="11">
        <v>46217</v>
      </c>
      <c r="L283" s="8" t="s">
        <v>501</v>
      </c>
      <c r="M283" s="14" t="s">
        <v>234</v>
      </c>
      <c r="N283" s="16">
        <v>1556</v>
      </c>
      <c r="O283" s="14" t="s">
        <v>250</v>
      </c>
      <c r="P283" s="14"/>
      <c r="Q283" s="20">
        <f t="shared" si="4"/>
        <v>0</v>
      </c>
      <c r="S283" s="20">
        <f>SUMIFS('Doc''s Pagos | Rodopar 108'!$J:$J,'Doc''s Pagos | Rodopar 108'!$A:$A,$B283&amp;$E283&amp;$F283&amp;$J283,'Doc''s Pagos | Rodopar 108'!$B:$B,S$1)+SUMIFS('Doc Há Pagar | Rodopar 1015'!$J:$J,'Doc Há Pagar | Rodopar 1015'!$A:$A,$B283&amp;$E283&amp;$F283,'Doc Há Pagar | Rodopar 1015'!$B:$B,S$1)</f>
        <v>0</v>
      </c>
      <c r="T283" s="20">
        <f>SUMIFS('Doc''s Pagos | Rodopar 108'!$J:$J,'Doc''s Pagos | Rodopar 108'!$A:$A,$B283&amp;$E283&amp;$F283&amp;$J283,'Doc''s Pagos | Rodopar 108'!$B:$B,T$1)+SUMIFS('Doc Há Pagar | Rodopar 1015'!$J:$J,'Doc Há Pagar | Rodopar 1015'!$A:$A,$B283&amp;$E283&amp;$F283,'Doc Há Pagar | Rodopar 1015'!$B:$B,T$1)</f>
        <v>0</v>
      </c>
      <c r="U283" s="20">
        <f>SUMIFS('Doc''s Pagos | Rodopar 108'!$J:$J,'Doc''s Pagos | Rodopar 108'!$A:$A,$B283&amp;$E283&amp;$F283&amp;$J283,'Doc''s Pagos | Rodopar 108'!$B:$B,U$1)+SUMIFS('Doc Há Pagar | Rodopar 1015'!$J:$J,'Doc Há Pagar | Rodopar 1015'!$A:$A,$B283&amp;$E283&amp;$F283,'Doc Há Pagar | Rodopar 1015'!$B:$B,U$1)</f>
        <v>0</v>
      </c>
      <c r="V283" s="20">
        <f>SUMIFS('Doc''s Pagos | Rodopar 108'!$J:$J,'Doc''s Pagos | Rodopar 108'!$A:$A,$B283&amp;$E283&amp;$F283&amp;$J283,'Doc''s Pagos | Rodopar 108'!$B:$B,V$1)+SUMIFS('Doc Há Pagar | Rodopar 1015'!$J:$J,'Doc Há Pagar | Rodopar 1015'!$A:$A,$B283&amp;$E283&amp;$F283,'Doc Há Pagar | Rodopar 1015'!$B:$B,V$1)</f>
        <v>0</v>
      </c>
      <c r="W283" s="20">
        <f>SUMIFS('Doc''s Pagos | Rodopar 108'!$J:$J,'Doc''s Pagos | Rodopar 108'!$A:$A,$B283&amp;$E283&amp;$F283&amp;$J283,'Doc''s Pagos | Rodopar 108'!$B:$B,W$1)+SUMIFS('Doc Há Pagar | Rodopar 1015'!$J:$J,'Doc Há Pagar | Rodopar 1015'!$A:$A,$B283&amp;$E283&amp;$F283,'Doc Há Pagar | Rodopar 1015'!$B:$B,W$1)</f>
        <v>0</v>
      </c>
      <c r="X283" s="20">
        <f>SUMIFS('Doc''s Pagos | Rodopar 108'!$J:$J,'Doc''s Pagos | Rodopar 108'!$A:$A,$B283&amp;$E283&amp;$F283&amp;$J283,'Doc''s Pagos | Rodopar 108'!$B:$B,X$1)+SUMIFS('Doc Há Pagar | Rodopar 1015'!$J:$J,'Doc Há Pagar | Rodopar 1015'!$A:$A,$B283&amp;$E283&amp;$F283,'Doc Há Pagar | Rodopar 1015'!$B:$B,X$1)</f>
        <v>0</v>
      </c>
      <c r="Y283" s="20">
        <f>SUMIFS('Doc''s Pagos | Rodopar 108'!$J:$J,'Doc''s Pagos | Rodopar 108'!$A:$A,$B283&amp;$E283&amp;$F283&amp;$J283,'Doc''s Pagos | Rodopar 108'!$B:$B,Y$1)+SUMIFS('Doc Há Pagar | Rodopar 1015'!$J:$J,'Doc Há Pagar | Rodopar 1015'!$A:$A,$B283&amp;$E283&amp;$F283,'Doc Há Pagar | Rodopar 1015'!$B:$B,Y$1)</f>
        <v>0</v>
      </c>
      <c r="Z283" s="20">
        <f>SUMIFS('Doc''s Pagos | Rodopar 108'!$J:$J,'Doc''s Pagos | Rodopar 108'!$A:$A,$B283&amp;$E283&amp;$F283&amp;$J283,'Doc''s Pagos | Rodopar 108'!$B:$B,Z$1)+SUMIFS('Doc Há Pagar | Rodopar 1015'!$J:$J,'Doc Há Pagar | Rodopar 1015'!$A:$A,$B283&amp;$E283&amp;$F283,'Doc Há Pagar | Rodopar 1015'!$B:$B,Z$1)</f>
        <v>2359.6999999999998</v>
      </c>
      <c r="AA283" s="20">
        <f>SUMIFS('Doc''s Pagos | Rodopar 108'!$J:$J,'Doc''s Pagos | Rodopar 108'!$A:$A,$B283&amp;$E283&amp;$F283&amp;$J283,'Doc''s Pagos | Rodopar 108'!$B:$B,AA$1)+SUMIFS('Doc Há Pagar | Rodopar 1015'!$J:$J,'Doc Há Pagar | Rodopar 1015'!$A:$A,$B283&amp;$E283&amp;$F283,'Doc Há Pagar | Rodopar 1015'!$B:$B,AA$1)</f>
        <v>2359.71</v>
      </c>
      <c r="AB283" s="20">
        <f>SUMIFS('Doc''s Pagos | Rodopar 108'!$J:$J,'Doc''s Pagos | Rodopar 108'!$A:$A,$B283&amp;$E283&amp;$F283&amp;$J283,'Doc''s Pagos | Rodopar 108'!$B:$B,AB$1)+SUMIFS('Doc Há Pagar | Rodopar 1015'!$J:$J,'Doc Há Pagar | Rodopar 1015'!$A:$A,$B283&amp;$E283&amp;$F283,'Doc Há Pagar | Rodopar 1015'!$B:$B,AB$1)</f>
        <v>0</v>
      </c>
      <c r="AC283" s="20">
        <f>SUMIFS('Doc''s Pagos | Rodopar 108'!$J:$J,'Doc''s Pagos | Rodopar 108'!$A:$A,$B283&amp;$E283&amp;$F283&amp;$J283,'Doc''s Pagos | Rodopar 108'!$B:$B,AC$1)+SUMIFS('Doc Há Pagar | Rodopar 1015'!$J:$J,'Doc Há Pagar | Rodopar 1015'!$A:$A,$B283&amp;$E283&amp;$F283,'Doc Há Pagar | Rodopar 1015'!$B:$B,AC$1)</f>
        <v>0</v>
      </c>
      <c r="AD283" s="20">
        <f>SUMIFS('Doc''s Pagos | Rodopar 108'!$J:$J,'Doc''s Pagos | Rodopar 108'!$A:$A,$B283&amp;$E283&amp;$F283&amp;$J283,'Doc''s Pagos | Rodopar 108'!$B:$B,AD$1)+SUMIFS('Doc Há Pagar | Rodopar 1015'!$J:$J,'Doc Há Pagar | Rodopar 1015'!$A:$A,$B283&amp;$E283&amp;$F283,'Doc Há Pagar | Rodopar 1015'!$B:$B,AD$1)</f>
        <v>0</v>
      </c>
    </row>
    <row r="284" spans="1:30" x14ac:dyDescent="0.25">
      <c r="A284" s="1" t="str">
        <f>VLOOKUP($E284,Fornecedores!$A:$C,3,0)</f>
        <v>Frota</v>
      </c>
      <c r="B284" s="14">
        <v>138</v>
      </c>
      <c r="C284" s="14" t="str">
        <f>IFERROR(VLOOKUP($E284,Fornecedores!$A:$E,4,0),"")</f>
        <v>Manutenção</v>
      </c>
      <c r="D284" s="14" t="str">
        <f>IFERROR(VLOOKUP($E284,Fornecedores!$A:$E,5,0),"")</f>
        <v>Peças E Serviços</v>
      </c>
      <c r="E284" s="8" t="s">
        <v>204</v>
      </c>
      <c r="F284" s="14" t="s">
        <v>665</v>
      </c>
      <c r="G284" s="8" t="s">
        <v>396</v>
      </c>
      <c r="H284" s="9">
        <v>87</v>
      </c>
      <c r="I284" s="21">
        <v>345</v>
      </c>
      <c r="J284" s="11">
        <v>46216</v>
      </c>
      <c r="K284" s="11">
        <v>46219</v>
      </c>
      <c r="L284" s="8" t="s">
        <v>282</v>
      </c>
      <c r="M284" s="14" t="s">
        <v>234</v>
      </c>
      <c r="N284" s="16">
        <v>1556</v>
      </c>
      <c r="O284" s="14" t="s">
        <v>250</v>
      </c>
      <c r="P284" s="14"/>
      <c r="Q284" s="20">
        <f t="shared" si="4"/>
        <v>0</v>
      </c>
      <c r="S284" s="20">
        <f>SUMIFS('Doc''s Pagos | Rodopar 108'!$J:$J,'Doc''s Pagos | Rodopar 108'!$A:$A,$B284&amp;$E284&amp;$F284&amp;$J284,'Doc''s Pagos | Rodopar 108'!$B:$B,S$1)+SUMIFS('Doc Há Pagar | Rodopar 1015'!$J:$J,'Doc Há Pagar | Rodopar 1015'!$A:$A,$B284&amp;$E284&amp;$F284,'Doc Há Pagar | Rodopar 1015'!$B:$B,S$1)</f>
        <v>0</v>
      </c>
      <c r="T284" s="20">
        <f>SUMIFS('Doc''s Pagos | Rodopar 108'!$J:$J,'Doc''s Pagos | Rodopar 108'!$A:$A,$B284&amp;$E284&amp;$F284&amp;$J284,'Doc''s Pagos | Rodopar 108'!$B:$B,T$1)+SUMIFS('Doc Há Pagar | Rodopar 1015'!$J:$J,'Doc Há Pagar | Rodopar 1015'!$A:$A,$B284&amp;$E284&amp;$F284,'Doc Há Pagar | Rodopar 1015'!$B:$B,T$1)</f>
        <v>0</v>
      </c>
      <c r="U284" s="20">
        <f>SUMIFS('Doc''s Pagos | Rodopar 108'!$J:$J,'Doc''s Pagos | Rodopar 108'!$A:$A,$B284&amp;$E284&amp;$F284&amp;$J284,'Doc''s Pagos | Rodopar 108'!$B:$B,U$1)+SUMIFS('Doc Há Pagar | Rodopar 1015'!$J:$J,'Doc Há Pagar | Rodopar 1015'!$A:$A,$B284&amp;$E284&amp;$F284,'Doc Há Pagar | Rodopar 1015'!$B:$B,U$1)</f>
        <v>0</v>
      </c>
      <c r="V284" s="20">
        <f>SUMIFS('Doc''s Pagos | Rodopar 108'!$J:$J,'Doc''s Pagos | Rodopar 108'!$A:$A,$B284&amp;$E284&amp;$F284&amp;$J284,'Doc''s Pagos | Rodopar 108'!$B:$B,V$1)+SUMIFS('Doc Há Pagar | Rodopar 1015'!$J:$J,'Doc Há Pagar | Rodopar 1015'!$A:$A,$B284&amp;$E284&amp;$F284,'Doc Há Pagar | Rodopar 1015'!$B:$B,V$1)</f>
        <v>0</v>
      </c>
      <c r="W284" s="20">
        <f>SUMIFS('Doc''s Pagos | Rodopar 108'!$J:$J,'Doc''s Pagos | Rodopar 108'!$A:$A,$B284&amp;$E284&amp;$F284&amp;$J284,'Doc''s Pagos | Rodopar 108'!$B:$B,W$1)+SUMIFS('Doc Há Pagar | Rodopar 1015'!$J:$J,'Doc Há Pagar | Rodopar 1015'!$A:$A,$B284&amp;$E284&amp;$F284,'Doc Há Pagar | Rodopar 1015'!$B:$B,W$1)</f>
        <v>0</v>
      </c>
      <c r="X284" s="20">
        <f>SUMIFS('Doc''s Pagos | Rodopar 108'!$J:$J,'Doc''s Pagos | Rodopar 108'!$A:$A,$B284&amp;$E284&amp;$F284&amp;$J284,'Doc''s Pagos | Rodopar 108'!$B:$B,X$1)+SUMIFS('Doc Há Pagar | Rodopar 1015'!$J:$J,'Doc Há Pagar | Rodopar 1015'!$A:$A,$B284&amp;$E284&amp;$F284,'Doc Há Pagar | Rodopar 1015'!$B:$B,X$1)</f>
        <v>0</v>
      </c>
      <c r="Y284" s="20">
        <f>SUMIFS('Doc''s Pagos | Rodopar 108'!$J:$J,'Doc''s Pagos | Rodopar 108'!$A:$A,$B284&amp;$E284&amp;$F284&amp;$J284,'Doc''s Pagos | Rodopar 108'!$B:$B,Y$1)+SUMIFS('Doc Há Pagar | Rodopar 1015'!$J:$J,'Doc Há Pagar | Rodopar 1015'!$A:$A,$B284&amp;$E284&amp;$F284,'Doc Há Pagar | Rodopar 1015'!$B:$B,Y$1)</f>
        <v>0</v>
      </c>
      <c r="Z284" s="20">
        <f>SUMIFS('Doc''s Pagos | Rodopar 108'!$J:$J,'Doc''s Pagos | Rodopar 108'!$A:$A,$B284&amp;$E284&amp;$F284&amp;$J284,'Doc''s Pagos | Rodopar 108'!$B:$B,Z$1)+SUMIFS('Doc Há Pagar | Rodopar 1015'!$J:$J,'Doc Há Pagar | Rodopar 1015'!$A:$A,$B284&amp;$E284&amp;$F284,'Doc Há Pagar | Rodopar 1015'!$B:$B,Z$1)</f>
        <v>345</v>
      </c>
      <c r="AA284" s="20">
        <f>SUMIFS('Doc''s Pagos | Rodopar 108'!$J:$J,'Doc''s Pagos | Rodopar 108'!$A:$A,$B284&amp;$E284&amp;$F284&amp;$J284,'Doc''s Pagos | Rodopar 108'!$B:$B,AA$1)+SUMIFS('Doc Há Pagar | Rodopar 1015'!$J:$J,'Doc Há Pagar | Rodopar 1015'!$A:$A,$B284&amp;$E284&amp;$F284,'Doc Há Pagar | Rodopar 1015'!$B:$B,AA$1)</f>
        <v>0</v>
      </c>
      <c r="AB284" s="20">
        <f>SUMIFS('Doc''s Pagos | Rodopar 108'!$J:$J,'Doc''s Pagos | Rodopar 108'!$A:$A,$B284&amp;$E284&amp;$F284&amp;$J284,'Doc''s Pagos | Rodopar 108'!$B:$B,AB$1)+SUMIFS('Doc Há Pagar | Rodopar 1015'!$J:$J,'Doc Há Pagar | Rodopar 1015'!$A:$A,$B284&amp;$E284&amp;$F284,'Doc Há Pagar | Rodopar 1015'!$B:$B,AB$1)</f>
        <v>0</v>
      </c>
      <c r="AC284" s="20">
        <f>SUMIFS('Doc''s Pagos | Rodopar 108'!$J:$J,'Doc''s Pagos | Rodopar 108'!$A:$A,$B284&amp;$E284&amp;$F284&amp;$J284,'Doc''s Pagos | Rodopar 108'!$B:$B,AC$1)+SUMIFS('Doc Há Pagar | Rodopar 1015'!$J:$J,'Doc Há Pagar | Rodopar 1015'!$A:$A,$B284&amp;$E284&amp;$F284,'Doc Há Pagar | Rodopar 1015'!$B:$B,AC$1)</f>
        <v>0</v>
      </c>
      <c r="AD284" s="20">
        <f>SUMIFS('Doc''s Pagos | Rodopar 108'!$J:$J,'Doc''s Pagos | Rodopar 108'!$A:$A,$B284&amp;$E284&amp;$F284&amp;$J284,'Doc''s Pagos | Rodopar 108'!$B:$B,AD$1)+SUMIFS('Doc Há Pagar | Rodopar 1015'!$J:$J,'Doc Há Pagar | Rodopar 1015'!$A:$A,$B284&amp;$E284&amp;$F284,'Doc Há Pagar | Rodopar 1015'!$B:$B,AD$1)</f>
        <v>0</v>
      </c>
    </row>
    <row r="285" spans="1:30" x14ac:dyDescent="0.25">
      <c r="A285" s="1" t="str">
        <f>VLOOKUP($E285,Fornecedores!$A:$C,3,0)</f>
        <v>Frota</v>
      </c>
      <c r="B285" s="14">
        <v>1422</v>
      </c>
      <c r="C285" s="14" t="str">
        <f>IFERROR(VLOOKUP($E285,Fornecedores!$A:$E,4,0),"")</f>
        <v>Manutenção</v>
      </c>
      <c r="D285" s="14" t="str">
        <f>IFERROR(VLOOKUP($E285,Fornecedores!$A:$E,5,0),"")</f>
        <v>Vans</v>
      </c>
      <c r="E285" s="8" t="s">
        <v>159</v>
      </c>
      <c r="F285" s="14" t="s">
        <v>665</v>
      </c>
      <c r="G285" s="8" t="s">
        <v>588</v>
      </c>
      <c r="H285" s="9">
        <v>87</v>
      </c>
      <c r="I285" s="21">
        <v>1160</v>
      </c>
      <c r="J285" s="11">
        <v>46216</v>
      </c>
      <c r="K285" s="11">
        <v>46217</v>
      </c>
      <c r="L285" s="8" t="s">
        <v>501</v>
      </c>
      <c r="M285" s="14" t="s">
        <v>234</v>
      </c>
      <c r="N285" s="16">
        <v>1556</v>
      </c>
      <c r="O285" s="14" t="s">
        <v>250</v>
      </c>
      <c r="P285" s="14"/>
      <c r="Q285" s="20">
        <f t="shared" si="4"/>
        <v>0</v>
      </c>
      <c r="S285" s="20">
        <f>SUMIFS('Doc''s Pagos | Rodopar 108'!$J:$J,'Doc''s Pagos | Rodopar 108'!$A:$A,$B285&amp;$E285&amp;$F285&amp;$J285,'Doc''s Pagos | Rodopar 108'!$B:$B,S$1)+SUMIFS('Doc Há Pagar | Rodopar 1015'!$J:$J,'Doc Há Pagar | Rodopar 1015'!$A:$A,$B285&amp;$E285&amp;$F285,'Doc Há Pagar | Rodopar 1015'!$B:$B,S$1)</f>
        <v>0</v>
      </c>
      <c r="T285" s="20">
        <f>SUMIFS('Doc''s Pagos | Rodopar 108'!$J:$J,'Doc''s Pagos | Rodopar 108'!$A:$A,$B285&amp;$E285&amp;$F285&amp;$J285,'Doc''s Pagos | Rodopar 108'!$B:$B,T$1)+SUMIFS('Doc Há Pagar | Rodopar 1015'!$J:$J,'Doc Há Pagar | Rodopar 1015'!$A:$A,$B285&amp;$E285&amp;$F285,'Doc Há Pagar | Rodopar 1015'!$B:$B,T$1)</f>
        <v>0</v>
      </c>
      <c r="U285" s="20">
        <f>SUMIFS('Doc''s Pagos | Rodopar 108'!$J:$J,'Doc''s Pagos | Rodopar 108'!$A:$A,$B285&amp;$E285&amp;$F285&amp;$J285,'Doc''s Pagos | Rodopar 108'!$B:$B,U$1)+SUMIFS('Doc Há Pagar | Rodopar 1015'!$J:$J,'Doc Há Pagar | Rodopar 1015'!$A:$A,$B285&amp;$E285&amp;$F285,'Doc Há Pagar | Rodopar 1015'!$B:$B,U$1)</f>
        <v>0</v>
      </c>
      <c r="V285" s="20">
        <f>SUMIFS('Doc''s Pagos | Rodopar 108'!$J:$J,'Doc''s Pagos | Rodopar 108'!$A:$A,$B285&amp;$E285&amp;$F285&amp;$J285,'Doc''s Pagos | Rodopar 108'!$B:$B,V$1)+SUMIFS('Doc Há Pagar | Rodopar 1015'!$J:$J,'Doc Há Pagar | Rodopar 1015'!$A:$A,$B285&amp;$E285&amp;$F285,'Doc Há Pagar | Rodopar 1015'!$B:$B,V$1)</f>
        <v>0</v>
      </c>
      <c r="W285" s="20">
        <f>SUMIFS('Doc''s Pagos | Rodopar 108'!$J:$J,'Doc''s Pagos | Rodopar 108'!$A:$A,$B285&amp;$E285&amp;$F285&amp;$J285,'Doc''s Pagos | Rodopar 108'!$B:$B,W$1)+SUMIFS('Doc Há Pagar | Rodopar 1015'!$J:$J,'Doc Há Pagar | Rodopar 1015'!$A:$A,$B285&amp;$E285&amp;$F285,'Doc Há Pagar | Rodopar 1015'!$B:$B,W$1)</f>
        <v>0</v>
      </c>
      <c r="X285" s="20">
        <f>SUMIFS('Doc''s Pagos | Rodopar 108'!$J:$J,'Doc''s Pagos | Rodopar 108'!$A:$A,$B285&amp;$E285&amp;$F285&amp;$J285,'Doc''s Pagos | Rodopar 108'!$B:$B,X$1)+SUMIFS('Doc Há Pagar | Rodopar 1015'!$J:$J,'Doc Há Pagar | Rodopar 1015'!$A:$A,$B285&amp;$E285&amp;$F285,'Doc Há Pagar | Rodopar 1015'!$B:$B,X$1)</f>
        <v>0</v>
      </c>
      <c r="Y285" s="20">
        <f>SUMIFS('Doc''s Pagos | Rodopar 108'!$J:$J,'Doc''s Pagos | Rodopar 108'!$A:$A,$B285&amp;$E285&amp;$F285&amp;$J285,'Doc''s Pagos | Rodopar 108'!$B:$B,Y$1)+SUMIFS('Doc Há Pagar | Rodopar 1015'!$J:$J,'Doc Há Pagar | Rodopar 1015'!$A:$A,$B285&amp;$E285&amp;$F285,'Doc Há Pagar | Rodopar 1015'!$B:$B,Y$1)</f>
        <v>0</v>
      </c>
      <c r="Z285" s="20">
        <f>SUMIFS('Doc''s Pagos | Rodopar 108'!$J:$J,'Doc''s Pagos | Rodopar 108'!$A:$A,$B285&amp;$E285&amp;$F285&amp;$J285,'Doc''s Pagos | Rodopar 108'!$B:$B,Z$1)+SUMIFS('Doc Há Pagar | Rodopar 1015'!$J:$J,'Doc Há Pagar | Rodopar 1015'!$A:$A,$B285&amp;$E285&amp;$F285,'Doc Há Pagar | Rodopar 1015'!$B:$B,Z$1)</f>
        <v>580</v>
      </c>
      <c r="AA285" s="20">
        <f>SUMIFS('Doc''s Pagos | Rodopar 108'!$J:$J,'Doc''s Pagos | Rodopar 108'!$A:$A,$B285&amp;$E285&amp;$F285&amp;$J285,'Doc''s Pagos | Rodopar 108'!$B:$B,AA$1)+SUMIFS('Doc Há Pagar | Rodopar 1015'!$J:$J,'Doc Há Pagar | Rodopar 1015'!$A:$A,$B285&amp;$E285&amp;$F285,'Doc Há Pagar | Rodopar 1015'!$B:$B,AA$1)</f>
        <v>580</v>
      </c>
      <c r="AB285" s="20">
        <f>SUMIFS('Doc''s Pagos | Rodopar 108'!$J:$J,'Doc''s Pagos | Rodopar 108'!$A:$A,$B285&amp;$E285&amp;$F285&amp;$J285,'Doc''s Pagos | Rodopar 108'!$B:$B,AB$1)+SUMIFS('Doc Há Pagar | Rodopar 1015'!$J:$J,'Doc Há Pagar | Rodopar 1015'!$A:$A,$B285&amp;$E285&amp;$F285,'Doc Há Pagar | Rodopar 1015'!$B:$B,AB$1)</f>
        <v>0</v>
      </c>
      <c r="AC285" s="20">
        <f>SUMIFS('Doc''s Pagos | Rodopar 108'!$J:$J,'Doc''s Pagos | Rodopar 108'!$A:$A,$B285&amp;$E285&amp;$F285&amp;$J285,'Doc''s Pagos | Rodopar 108'!$B:$B,AC$1)+SUMIFS('Doc Há Pagar | Rodopar 1015'!$J:$J,'Doc Há Pagar | Rodopar 1015'!$A:$A,$B285&amp;$E285&amp;$F285,'Doc Há Pagar | Rodopar 1015'!$B:$B,AC$1)</f>
        <v>0</v>
      </c>
      <c r="AD285" s="20">
        <f>SUMIFS('Doc''s Pagos | Rodopar 108'!$J:$J,'Doc''s Pagos | Rodopar 108'!$A:$A,$B285&amp;$E285&amp;$F285&amp;$J285,'Doc''s Pagos | Rodopar 108'!$B:$B,AD$1)+SUMIFS('Doc Há Pagar | Rodopar 1015'!$J:$J,'Doc Há Pagar | Rodopar 1015'!$A:$A,$B285&amp;$E285&amp;$F285,'Doc Há Pagar | Rodopar 1015'!$B:$B,AD$1)</f>
        <v>0</v>
      </c>
    </row>
    <row r="286" spans="1:30" x14ac:dyDescent="0.25">
      <c r="A286" s="1" t="str">
        <f>VLOOKUP($E286,Fornecedores!$A:$C,3,0)</f>
        <v>Frota</v>
      </c>
      <c r="B286" s="14">
        <v>3478</v>
      </c>
      <c r="C286" s="14" t="str">
        <f>IFERROR(VLOOKUP($E286,Fornecedores!$A:$E,4,0),"")</f>
        <v>Pneus</v>
      </c>
      <c r="D286" s="14" t="str">
        <f>IFERROR(VLOOKUP($E286,Fornecedores!$A:$E,5,0),"")</f>
        <v>Tecnologia</v>
      </c>
      <c r="E286" s="8" t="s">
        <v>145</v>
      </c>
      <c r="F286" s="14" t="s">
        <v>665</v>
      </c>
      <c r="G286" s="8" t="s">
        <v>644</v>
      </c>
      <c r="H286" s="9">
        <v>87</v>
      </c>
      <c r="I286" s="21">
        <v>936.1</v>
      </c>
      <c r="J286" s="11">
        <v>46216</v>
      </c>
      <c r="K286" s="11">
        <v>46220</v>
      </c>
      <c r="L286" s="8" t="s">
        <v>339</v>
      </c>
      <c r="M286" s="14" t="s">
        <v>263</v>
      </c>
      <c r="N286" s="16">
        <v>2949</v>
      </c>
      <c r="O286" s="14" t="s">
        <v>506</v>
      </c>
      <c r="P286" s="14"/>
      <c r="Q286" s="20">
        <f t="shared" si="4"/>
        <v>0</v>
      </c>
      <c r="S286" s="20">
        <f>SUMIFS('Doc''s Pagos | Rodopar 108'!$J:$J,'Doc''s Pagos | Rodopar 108'!$A:$A,$B286&amp;$E286&amp;$F286&amp;$J286,'Doc''s Pagos | Rodopar 108'!$B:$B,S$1)+SUMIFS('Doc Há Pagar | Rodopar 1015'!$J:$J,'Doc Há Pagar | Rodopar 1015'!$A:$A,$B286&amp;$E286&amp;$F286,'Doc Há Pagar | Rodopar 1015'!$B:$B,S$1)</f>
        <v>0</v>
      </c>
      <c r="T286" s="20">
        <f>SUMIFS('Doc''s Pagos | Rodopar 108'!$J:$J,'Doc''s Pagos | Rodopar 108'!$A:$A,$B286&amp;$E286&amp;$F286&amp;$J286,'Doc''s Pagos | Rodopar 108'!$B:$B,T$1)+SUMIFS('Doc Há Pagar | Rodopar 1015'!$J:$J,'Doc Há Pagar | Rodopar 1015'!$A:$A,$B286&amp;$E286&amp;$F286,'Doc Há Pagar | Rodopar 1015'!$B:$B,T$1)</f>
        <v>0</v>
      </c>
      <c r="U286" s="20">
        <f>SUMIFS('Doc''s Pagos | Rodopar 108'!$J:$J,'Doc''s Pagos | Rodopar 108'!$A:$A,$B286&amp;$E286&amp;$F286&amp;$J286,'Doc''s Pagos | Rodopar 108'!$B:$B,U$1)+SUMIFS('Doc Há Pagar | Rodopar 1015'!$J:$J,'Doc Há Pagar | Rodopar 1015'!$A:$A,$B286&amp;$E286&amp;$F286,'Doc Há Pagar | Rodopar 1015'!$B:$B,U$1)</f>
        <v>0</v>
      </c>
      <c r="V286" s="20">
        <f>SUMIFS('Doc''s Pagos | Rodopar 108'!$J:$J,'Doc''s Pagos | Rodopar 108'!$A:$A,$B286&amp;$E286&amp;$F286&amp;$J286,'Doc''s Pagos | Rodopar 108'!$B:$B,V$1)+SUMIFS('Doc Há Pagar | Rodopar 1015'!$J:$J,'Doc Há Pagar | Rodopar 1015'!$A:$A,$B286&amp;$E286&amp;$F286,'Doc Há Pagar | Rodopar 1015'!$B:$B,V$1)</f>
        <v>0</v>
      </c>
      <c r="W286" s="20">
        <f>SUMIFS('Doc''s Pagos | Rodopar 108'!$J:$J,'Doc''s Pagos | Rodopar 108'!$A:$A,$B286&amp;$E286&amp;$F286&amp;$J286,'Doc''s Pagos | Rodopar 108'!$B:$B,W$1)+SUMIFS('Doc Há Pagar | Rodopar 1015'!$J:$J,'Doc Há Pagar | Rodopar 1015'!$A:$A,$B286&amp;$E286&amp;$F286,'Doc Há Pagar | Rodopar 1015'!$B:$B,W$1)</f>
        <v>0</v>
      </c>
      <c r="X286" s="20">
        <f>SUMIFS('Doc''s Pagos | Rodopar 108'!$J:$J,'Doc''s Pagos | Rodopar 108'!$A:$A,$B286&amp;$E286&amp;$F286&amp;$J286,'Doc''s Pagos | Rodopar 108'!$B:$B,X$1)+SUMIFS('Doc Há Pagar | Rodopar 1015'!$J:$J,'Doc Há Pagar | Rodopar 1015'!$A:$A,$B286&amp;$E286&amp;$F286,'Doc Há Pagar | Rodopar 1015'!$B:$B,X$1)</f>
        <v>0</v>
      </c>
      <c r="Y286" s="20">
        <f>SUMIFS('Doc''s Pagos | Rodopar 108'!$J:$J,'Doc''s Pagos | Rodopar 108'!$A:$A,$B286&amp;$E286&amp;$F286&amp;$J286,'Doc''s Pagos | Rodopar 108'!$B:$B,Y$1)+SUMIFS('Doc Há Pagar | Rodopar 1015'!$J:$J,'Doc Há Pagar | Rodopar 1015'!$A:$A,$B286&amp;$E286&amp;$F286,'Doc Há Pagar | Rodopar 1015'!$B:$B,Y$1)</f>
        <v>0</v>
      </c>
      <c r="Z286" s="20">
        <f>SUMIFS('Doc''s Pagos | Rodopar 108'!$J:$J,'Doc''s Pagos | Rodopar 108'!$A:$A,$B286&amp;$E286&amp;$F286&amp;$J286,'Doc''s Pagos | Rodopar 108'!$B:$B,Z$1)+SUMIFS('Doc Há Pagar | Rodopar 1015'!$J:$J,'Doc Há Pagar | Rodopar 1015'!$A:$A,$B286&amp;$E286&amp;$F286,'Doc Há Pagar | Rodopar 1015'!$B:$B,Z$1)</f>
        <v>936.1</v>
      </c>
      <c r="AA286" s="20">
        <f>SUMIFS('Doc''s Pagos | Rodopar 108'!$J:$J,'Doc''s Pagos | Rodopar 108'!$A:$A,$B286&amp;$E286&amp;$F286&amp;$J286,'Doc''s Pagos | Rodopar 108'!$B:$B,AA$1)+SUMIFS('Doc Há Pagar | Rodopar 1015'!$J:$J,'Doc Há Pagar | Rodopar 1015'!$A:$A,$B286&amp;$E286&amp;$F286,'Doc Há Pagar | Rodopar 1015'!$B:$B,AA$1)</f>
        <v>0</v>
      </c>
      <c r="AB286" s="20">
        <f>SUMIFS('Doc''s Pagos | Rodopar 108'!$J:$J,'Doc''s Pagos | Rodopar 108'!$A:$A,$B286&amp;$E286&amp;$F286&amp;$J286,'Doc''s Pagos | Rodopar 108'!$B:$B,AB$1)+SUMIFS('Doc Há Pagar | Rodopar 1015'!$J:$J,'Doc Há Pagar | Rodopar 1015'!$A:$A,$B286&amp;$E286&amp;$F286,'Doc Há Pagar | Rodopar 1015'!$B:$B,AB$1)</f>
        <v>0</v>
      </c>
      <c r="AC286" s="20">
        <f>SUMIFS('Doc''s Pagos | Rodopar 108'!$J:$J,'Doc''s Pagos | Rodopar 108'!$A:$A,$B286&amp;$E286&amp;$F286&amp;$J286,'Doc''s Pagos | Rodopar 108'!$B:$B,AC$1)+SUMIFS('Doc Há Pagar | Rodopar 1015'!$J:$J,'Doc Há Pagar | Rodopar 1015'!$A:$A,$B286&amp;$E286&amp;$F286,'Doc Há Pagar | Rodopar 1015'!$B:$B,AC$1)</f>
        <v>0</v>
      </c>
      <c r="AD286" s="20">
        <f>SUMIFS('Doc''s Pagos | Rodopar 108'!$J:$J,'Doc''s Pagos | Rodopar 108'!$A:$A,$B286&amp;$E286&amp;$F286&amp;$J286,'Doc''s Pagos | Rodopar 108'!$B:$B,AD$1)+SUMIFS('Doc Há Pagar | Rodopar 1015'!$J:$J,'Doc Há Pagar | Rodopar 1015'!$A:$A,$B286&amp;$E286&amp;$F286,'Doc Há Pagar | Rodopar 1015'!$B:$B,AD$1)</f>
        <v>0</v>
      </c>
    </row>
    <row r="287" spans="1:30" x14ac:dyDescent="0.25">
      <c r="A287" s="1" t="str">
        <f>VLOOKUP($E287,Fornecedores!$A:$C,3,0)</f>
        <v>Frota</v>
      </c>
      <c r="B287" s="14">
        <v>3899</v>
      </c>
      <c r="C287" s="14" t="str">
        <f>IFERROR(VLOOKUP($E287,Fornecedores!$A:$E,4,0),"")</f>
        <v>Manutenção</v>
      </c>
      <c r="D287" s="14" t="str">
        <f>IFERROR(VLOOKUP($E287,Fornecedores!$A:$E,5,0),"")</f>
        <v>Peças E Serviços</v>
      </c>
      <c r="E287" s="8" t="s">
        <v>27</v>
      </c>
      <c r="F287" s="14" t="s">
        <v>380</v>
      </c>
      <c r="G287" s="8" t="s">
        <v>525</v>
      </c>
      <c r="H287" s="9">
        <v>87</v>
      </c>
      <c r="I287" s="21">
        <v>378</v>
      </c>
      <c r="J287" s="11">
        <v>46217</v>
      </c>
      <c r="K287" s="11">
        <v>46220</v>
      </c>
      <c r="L287" s="8" t="s">
        <v>282</v>
      </c>
      <c r="M287" s="14" t="s">
        <v>234</v>
      </c>
      <c r="N287" s="16">
        <v>1556</v>
      </c>
      <c r="O287" s="14" t="s">
        <v>250</v>
      </c>
      <c r="P287" s="14"/>
      <c r="Q287" s="20">
        <f t="shared" si="4"/>
        <v>0</v>
      </c>
      <c r="S287" s="20">
        <f>SUMIFS('Doc''s Pagos | Rodopar 108'!$J:$J,'Doc''s Pagos | Rodopar 108'!$A:$A,$B287&amp;$E287&amp;$F287&amp;$J287,'Doc''s Pagos | Rodopar 108'!$B:$B,S$1)+SUMIFS('Doc Há Pagar | Rodopar 1015'!$J:$J,'Doc Há Pagar | Rodopar 1015'!$A:$A,$B287&amp;$E287&amp;$F287,'Doc Há Pagar | Rodopar 1015'!$B:$B,S$1)</f>
        <v>0</v>
      </c>
      <c r="T287" s="20">
        <f>SUMIFS('Doc''s Pagos | Rodopar 108'!$J:$J,'Doc''s Pagos | Rodopar 108'!$A:$A,$B287&amp;$E287&amp;$F287&amp;$J287,'Doc''s Pagos | Rodopar 108'!$B:$B,T$1)+SUMIFS('Doc Há Pagar | Rodopar 1015'!$J:$J,'Doc Há Pagar | Rodopar 1015'!$A:$A,$B287&amp;$E287&amp;$F287,'Doc Há Pagar | Rodopar 1015'!$B:$B,T$1)</f>
        <v>0</v>
      </c>
      <c r="U287" s="20">
        <f>SUMIFS('Doc''s Pagos | Rodopar 108'!$J:$J,'Doc''s Pagos | Rodopar 108'!$A:$A,$B287&amp;$E287&amp;$F287&amp;$J287,'Doc''s Pagos | Rodopar 108'!$B:$B,U$1)+SUMIFS('Doc Há Pagar | Rodopar 1015'!$J:$J,'Doc Há Pagar | Rodopar 1015'!$A:$A,$B287&amp;$E287&amp;$F287,'Doc Há Pagar | Rodopar 1015'!$B:$B,U$1)</f>
        <v>0</v>
      </c>
      <c r="V287" s="20">
        <f>SUMIFS('Doc''s Pagos | Rodopar 108'!$J:$J,'Doc''s Pagos | Rodopar 108'!$A:$A,$B287&amp;$E287&amp;$F287&amp;$J287,'Doc''s Pagos | Rodopar 108'!$B:$B,V$1)+SUMIFS('Doc Há Pagar | Rodopar 1015'!$J:$J,'Doc Há Pagar | Rodopar 1015'!$A:$A,$B287&amp;$E287&amp;$F287,'Doc Há Pagar | Rodopar 1015'!$B:$B,V$1)</f>
        <v>0</v>
      </c>
      <c r="W287" s="20">
        <f>SUMIFS('Doc''s Pagos | Rodopar 108'!$J:$J,'Doc''s Pagos | Rodopar 108'!$A:$A,$B287&amp;$E287&amp;$F287&amp;$J287,'Doc''s Pagos | Rodopar 108'!$B:$B,W$1)+SUMIFS('Doc Há Pagar | Rodopar 1015'!$J:$J,'Doc Há Pagar | Rodopar 1015'!$A:$A,$B287&amp;$E287&amp;$F287,'Doc Há Pagar | Rodopar 1015'!$B:$B,W$1)</f>
        <v>0</v>
      </c>
      <c r="X287" s="20">
        <f>SUMIFS('Doc''s Pagos | Rodopar 108'!$J:$J,'Doc''s Pagos | Rodopar 108'!$A:$A,$B287&amp;$E287&amp;$F287&amp;$J287,'Doc''s Pagos | Rodopar 108'!$B:$B,X$1)+SUMIFS('Doc Há Pagar | Rodopar 1015'!$J:$J,'Doc Há Pagar | Rodopar 1015'!$A:$A,$B287&amp;$E287&amp;$F287,'Doc Há Pagar | Rodopar 1015'!$B:$B,X$1)</f>
        <v>0</v>
      </c>
      <c r="Y287" s="20">
        <f>SUMIFS('Doc''s Pagos | Rodopar 108'!$J:$J,'Doc''s Pagos | Rodopar 108'!$A:$A,$B287&amp;$E287&amp;$F287&amp;$J287,'Doc''s Pagos | Rodopar 108'!$B:$B,Y$1)+SUMIFS('Doc Há Pagar | Rodopar 1015'!$J:$J,'Doc Há Pagar | Rodopar 1015'!$A:$A,$B287&amp;$E287&amp;$F287,'Doc Há Pagar | Rodopar 1015'!$B:$B,Y$1)</f>
        <v>0</v>
      </c>
      <c r="Z287" s="20">
        <f>SUMIFS('Doc''s Pagos | Rodopar 108'!$J:$J,'Doc''s Pagos | Rodopar 108'!$A:$A,$B287&amp;$E287&amp;$F287&amp;$J287,'Doc''s Pagos | Rodopar 108'!$B:$B,Z$1)+SUMIFS('Doc Há Pagar | Rodopar 1015'!$J:$J,'Doc Há Pagar | Rodopar 1015'!$A:$A,$B287&amp;$E287&amp;$F287,'Doc Há Pagar | Rodopar 1015'!$B:$B,Z$1)</f>
        <v>378</v>
      </c>
      <c r="AA287" s="20">
        <f>SUMIFS('Doc''s Pagos | Rodopar 108'!$J:$J,'Doc''s Pagos | Rodopar 108'!$A:$A,$B287&amp;$E287&amp;$F287&amp;$J287,'Doc''s Pagos | Rodopar 108'!$B:$B,AA$1)+SUMIFS('Doc Há Pagar | Rodopar 1015'!$J:$J,'Doc Há Pagar | Rodopar 1015'!$A:$A,$B287&amp;$E287&amp;$F287,'Doc Há Pagar | Rodopar 1015'!$B:$B,AA$1)</f>
        <v>0</v>
      </c>
      <c r="AB287" s="20">
        <f>SUMIFS('Doc''s Pagos | Rodopar 108'!$J:$J,'Doc''s Pagos | Rodopar 108'!$A:$A,$B287&amp;$E287&amp;$F287&amp;$J287,'Doc''s Pagos | Rodopar 108'!$B:$B,AB$1)+SUMIFS('Doc Há Pagar | Rodopar 1015'!$J:$J,'Doc Há Pagar | Rodopar 1015'!$A:$A,$B287&amp;$E287&amp;$F287,'Doc Há Pagar | Rodopar 1015'!$B:$B,AB$1)</f>
        <v>0</v>
      </c>
      <c r="AC287" s="20">
        <f>SUMIFS('Doc''s Pagos | Rodopar 108'!$J:$J,'Doc''s Pagos | Rodopar 108'!$A:$A,$B287&amp;$E287&amp;$F287&amp;$J287,'Doc''s Pagos | Rodopar 108'!$B:$B,AC$1)+SUMIFS('Doc Há Pagar | Rodopar 1015'!$J:$J,'Doc Há Pagar | Rodopar 1015'!$A:$A,$B287&amp;$E287&amp;$F287,'Doc Há Pagar | Rodopar 1015'!$B:$B,AC$1)</f>
        <v>0</v>
      </c>
      <c r="AD287" s="20">
        <f>SUMIFS('Doc''s Pagos | Rodopar 108'!$J:$J,'Doc''s Pagos | Rodopar 108'!$A:$A,$B287&amp;$E287&amp;$F287&amp;$J287,'Doc''s Pagos | Rodopar 108'!$B:$B,AD$1)+SUMIFS('Doc Há Pagar | Rodopar 1015'!$J:$J,'Doc Há Pagar | Rodopar 1015'!$A:$A,$B287&amp;$E287&amp;$F287,'Doc Há Pagar | Rodopar 1015'!$B:$B,AD$1)</f>
        <v>0</v>
      </c>
    </row>
    <row r="288" spans="1:30" x14ac:dyDescent="0.25">
      <c r="A288" s="1" t="str">
        <f>VLOOKUP($E288,Fornecedores!$A:$C,3,0)</f>
        <v>Frota</v>
      </c>
      <c r="B288" s="14">
        <v>1011</v>
      </c>
      <c r="C288" s="14" t="str">
        <f>IFERROR(VLOOKUP($E288,Fornecedores!$A:$E,4,0),"")</f>
        <v>Pneus</v>
      </c>
      <c r="D288" s="14" t="str">
        <f>IFERROR(VLOOKUP($E288,Fornecedores!$A:$E,5,0),"")</f>
        <v>Serviços Gerais</v>
      </c>
      <c r="E288" s="8" t="s">
        <v>164</v>
      </c>
      <c r="F288" s="14" t="s">
        <v>614</v>
      </c>
      <c r="G288" s="8" t="s">
        <v>465</v>
      </c>
      <c r="H288" s="9">
        <v>87</v>
      </c>
      <c r="I288" s="21">
        <v>2111</v>
      </c>
      <c r="J288" s="11">
        <v>46217</v>
      </c>
      <c r="K288" s="11">
        <v>46220</v>
      </c>
      <c r="L288" s="8" t="s">
        <v>282</v>
      </c>
      <c r="M288" s="14" t="s">
        <v>234</v>
      </c>
      <c r="N288" s="16">
        <v>1556</v>
      </c>
      <c r="O288" s="14" t="s">
        <v>250</v>
      </c>
      <c r="P288" s="14"/>
      <c r="Q288" s="20">
        <f t="shared" si="4"/>
        <v>0</v>
      </c>
      <c r="S288" s="20">
        <f>SUMIFS('Doc''s Pagos | Rodopar 108'!$J:$J,'Doc''s Pagos | Rodopar 108'!$A:$A,$B288&amp;$E288&amp;$F288&amp;$J288,'Doc''s Pagos | Rodopar 108'!$B:$B,S$1)+SUMIFS('Doc Há Pagar | Rodopar 1015'!$J:$J,'Doc Há Pagar | Rodopar 1015'!$A:$A,$B288&amp;$E288&amp;$F288,'Doc Há Pagar | Rodopar 1015'!$B:$B,S$1)</f>
        <v>0</v>
      </c>
      <c r="T288" s="20">
        <f>SUMIFS('Doc''s Pagos | Rodopar 108'!$J:$J,'Doc''s Pagos | Rodopar 108'!$A:$A,$B288&amp;$E288&amp;$F288&amp;$J288,'Doc''s Pagos | Rodopar 108'!$B:$B,T$1)+SUMIFS('Doc Há Pagar | Rodopar 1015'!$J:$J,'Doc Há Pagar | Rodopar 1015'!$A:$A,$B288&amp;$E288&amp;$F288,'Doc Há Pagar | Rodopar 1015'!$B:$B,T$1)</f>
        <v>0</v>
      </c>
      <c r="U288" s="20">
        <f>SUMIFS('Doc''s Pagos | Rodopar 108'!$J:$J,'Doc''s Pagos | Rodopar 108'!$A:$A,$B288&amp;$E288&amp;$F288&amp;$J288,'Doc''s Pagos | Rodopar 108'!$B:$B,U$1)+SUMIFS('Doc Há Pagar | Rodopar 1015'!$J:$J,'Doc Há Pagar | Rodopar 1015'!$A:$A,$B288&amp;$E288&amp;$F288,'Doc Há Pagar | Rodopar 1015'!$B:$B,U$1)</f>
        <v>0</v>
      </c>
      <c r="V288" s="20">
        <f>SUMIFS('Doc''s Pagos | Rodopar 108'!$J:$J,'Doc''s Pagos | Rodopar 108'!$A:$A,$B288&amp;$E288&amp;$F288&amp;$J288,'Doc''s Pagos | Rodopar 108'!$B:$B,V$1)+SUMIFS('Doc Há Pagar | Rodopar 1015'!$J:$J,'Doc Há Pagar | Rodopar 1015'!$A:$A,$B288&amp;$E288&amp;$F288,'Doc Há Pagar | Rodopar 1015'!$B:$B,V$1)</f>
        <v>0</v>
      </c>
      <c r="W288" s="20">
        <f>SUMIFS('Doc''s Pagos | Rodopar 108'!$J:$J,'Doc''s Pagos | Rodopar 108'!$A:$A,$B288&amp;$E288&amp;$F288&amp;$J288,'Doc''s Pagos | Rodopar 108'!$B:$B,W$1)+SUMIFS('Doc Há Pagar | Rodopar 1015'!$J:$J,'Doc Há Pagar | Rodopar 1015'!$A:$A,$B288&amp;$E288&amp;$F288,'Doc Há Pagar | Rodopar 1015'!$B:$B,W$1)</f>
        <v>0</v>
      </c>
      <c r="X288" s="20">
        <f>SUMIFS('Doc''s Pagos | Rodopar 108'!$J:$J,'Doc''s Pagos | Rodopar 108'!$A:$A,$B288&amp;$E288&amp;$F288&amp;$J288,'Doc''s Pagos | Rodopar 108'!$B:$B,X$1)+SUMIFS('Doc Há Pagar | Rodopar 1015'!$J:$J,'Doc Há Pagar | Rodopar 1015'!$A:$A,$B288&amp;$E288&amp;$F288,'Doc Há Pagar | Rodopar 1015'!$B:$B,X$1)</f>
        <v>0</v>
      </c>
      <c r="Y288" s="20">
        <f>SUMIFS('Doc''s Pagos | Rodopar 108'!$J:$J,'Doc''s Pagos | Rodopar 108'!$A:$A,$B288&amp;$E288&amp;$F288&amp;$J288,'Doc''s Pagos | Rodopar 108'!$B:$B,Y$1)+SUMIFS('Doc Há Pagar | Rodopar 1015'!$J:$J,'Doc Há Pagar | Rodopar 1015'!$A:$A,$B288&amp;$E288&amp;$F288,'Doc Há Pagar | Rodopar 1015'!$B:$B,Y$1)</f>
        <v>0</v>
      </c>
      <c r="Z288" s="20">
        <f>SUMIFS('Doc''s Pagos | Rodopar 108'!$J:$J,'Doc''s Pagos | Rodopar 108'!$A:$A,$B288&amp;$E288&amp;$F288&amp;$J288,'Doc''s Pagos | Rodopar 108'!$B:$B,Z$1)+SUMIFS('Doc Há Pagar | Rodopar 1015'!$J:$J,'Doc Há Pagar | Rodopar 1015'!$A:$A,$B288&amp;$E288&amp;$F288,'Doc Há Pagar | Rodopar 1015'!$B:$B,Z$1)</f>
        <v>2111</v>
      </c>
      <c r="AA288" s="20">
        <f>SUMIFS('Doc''s Pagos | Rodopar 108'!$J:$J,'Doc''s Pagos | Rodopar 108'!$A:$A,$B288&amp;$E288&amp;$F288&amp;$J288,'Doc''s Pagos | Rodopar 108'!$B:$B,AA$1)+SUMIFS('Doc Há Pagar | Rodopar 1015'!$J:$J,'Doc Há Pagar | Rodopar 1015'!$A:$A,$B288&amp;$E288&amp;$F288,'Doc Há Pagar | Rodopar 1015'!$B:$B,AA$1)</f>
        <v>0</v>
      </c>
      <c r="AB288" s="20">
        <f>SUMIFS('Doc''s Pagos | Rodopar 108'!$J:$J,'Doc''s Pagos | Rodopar 108'!$A:$A,$B288&amp;$E288&amp;$F288&amp;$J288,'Doc''s Pagos | Rodopar 108'!$B:$B,AB$1)+SUMIFS('Doc Há Pagar | Rodopar 1015'!$J:$J,'Doc Há Pagar | Rodopar 1015'!$A:$A,$B288&amp;$E288&amp;$F288,'Doc Há Pagar | Rodopar 1015'!$B:$B,AB$1)</f>
        <v>0</v>
      </c>
      <c r="AC288" s="20">
        <f>SUMIFS('Doc''s Pagos | Rodopar 108'!$J:$J,'Doc''s Pagos | Rodopar 108'!$A:$A,$B288&amp;$E288&amp;$F288&amp;$J288,'Doc''s Pagos | Rodopar 108'!$B:$B,AC$1)+SUMIFS('Doc Há Pagar | Rodopar 1015'!$J:$J,'Doc Há Pagar | Rodopar 1015'!$A:$A,$B288&amp;$E288&amp;$F288,'Doc Há Pagar | Rodopar 1015'!$B:$B,AC$1)</f>
        <v>0</v>
      </c>
      <c r="AD288" s="20">
        <f>SUMIFS('Doc''s Pagos | Rodopar 108'!$J:$J,'Doc''s Pagos | Rodopar 108'!$A:$A,$B288&amp;$E288&amp;$F288&amp;$J288,'Doc''s Pagos | Rodopar 108'!$B:$B,AD$1)+SUMIFS('Doc Há Pagar | Rodopar 1015'!$J:$J,'Doc Há Pagar | Rodopar 1015'!$A:$A,$B288&amp;$E288&amp;$F288,'Doc Há Pagar | Rodopar 1015'!$B:$B,AD$1)</f>
        <v>0</v>
      </c>
    </row>
    <row r="289" spans="1:30" x14ac:dyDescent="0.25">
      <c r="A289" s="1" t="str">
        <f>VLOOKUP($E289,Fornecedores!$A:$C,3,0)</f>
        <v>Frota</v>
      </c>
      <c r="B289" s="14">
        <v>158</v>
      </c>
      <c r="C289" s="14" t="str">
        <f>IFERROR(VLOOKUP($E289,Fornecedores!$A:$E,4,0),"")</f>
        <v>Manutenção</v>
      </c>
      <c r="D289" s="14" t="str">
        <f>IFERROR(VLOOKUP($E289,Fornecedores!$A:$E,5,0),"")</f>
        <v>Peças E Serviços</v>
      </c>
      <c r="E289" s="8" t="s">
        <v>27</v>
      </c>
      <c r="F289" s="14" t="s">
        <v>665</v>
      </c>
      <c r="G289" s="8" t="s">
        <v>525</v>
      </c>
      <c r="H289" s="9">
        <v>87</v>
      </c>
      <c r="I289" s="21">
        <v>80</v>
      </c>
      <c r="J289" s="11">
        <v>46217</v>
      </c>
      <c r="K289" s="11">
        <v>46239</v>
      </c>
      <c r="L289" s="8" t="s">
        <v>282</v>
      </c>
      <c r="M289" s="14" t="s">
        <v>234</v>
      </c>
      <c r="N289" s="16">
        <v>1556</v>
      </c>
      <c r="O289" s="14" t="s">
        <v>241</v>
      </c>
      <c r="P289" s="14"/>
      <c r="Q289" s="20">
        <f t="shared" si="4"/>
        <v>0</v>
      </c>
      <c r="S289" s="20">
        <f>SUMIFS('Doc''s Pagos | Rodopar 108'!$J:$J,'Doc''s Pagos | Rodopar 108'!$A:$A,$B289&amp;$E289&amp;$F289&amp;$J289,'Doc''s Pagos | Rodopar 108'!$B:$B,S$1)+SUMIFS('Doc Há Pagar | Rodopar 1015'!$J:$J,'Doc Há Pagar | Rodopar 1015'!$A:$A,$B289&amp;$E289&amp;$F289,'Doc Há Pagar | Rodopar 1015'!$B:$B,S$1)</f>
        <v>0</v>
      </c>
      <c r="T289" s="20">
        <f>SUMIFS('Doc''s Pagos | Rodopar 108'!$J:$J,'Doc''s Pagos | Rodopar 108'!$A:$A,$B289&amp;$E289&amp;$F289&amp;$J289,'Doc''s Pagos | Rodopar 108'!$B:$B,T$1)+SUMIFS('Doc Há Pagar | Rodopar 1015'!$J:$J,'Doc Há Pagar | Rodopar 1015'!$A:$A,$B289&amp;$E289&amp;$F289,'Doc Há Pagar | Rodopar 1015'!$B:$B,T$1)</f>
        <v>0</v>
      </c>
      <c r="U289" s="20">
        <f>SUMIFS('Doc''s Pagos | Rodopar 108'!$J:$J,'Doc''s Pagos | Rodopar 108'!$A:$A,$B289&amp;$E289&amp;$F289&amp;$J289,'Doc''s Pagos | Rodopar 108'!$B:$B,U$1)+SUMIFS('Doc Há Pagar | Rodopar 1015'!$J:$J,'Doc Há Pagar | Rodopar 1015'!$A:$A,$B289&amp;$E289&amp;$F289,'Doc Há Pagar | Rodopar 1015'!$B:$B,U$1)</f>
        <v>0</v>
      </c>
      <c r="V289" s="20">
        <f>SUMIFS('Doc''s Pagos | Rodopar 108'!$J:$J,'Doc''s Pagos | Rodopar 108'!$A:$A,$B289&amp;$E289&amp;$F289&amp;$J289,'Doc''s Pagos | Rodopar 108'!$B:$B,V$1)+SUMIFS('Doc Há Pagar | Rodopar 1015'!$J:$J,'Doc Há Pagar | Rodopar 1015'!$A:$A,$B289&amp;$E289&amp;$F289,'Doc Há Pagar | Rodopar 1015'!$B:$B,V$1)</f>
        <v>0</v>
      </c>
      <c r="W289" s="20">
        <f>SUMIFS('Doc''s Pagos | Rodopar 108'!$J:$J,'Doc''s Pagos | Rodopar 108'!$A:$A,$B289&amp;$E289&amp;$F289&amp;$J289,'Doc''s Pagos | Rodopar 108'!$B:$B,W$1)+SUMIFS('Doc Há Pagar | Rodopar 1015'!$J:$J,'Doc Há Pagar | Rodopar 1015'!$A:$A,$B289&amp;$E289&amp;$F289,'Doc Há Pagar | Rodopar 1015'!$B:$B,W$1)</f>
        <v>0</v>
      </c>
      <c r="X289" s="20">
        <f>SUMIFS('Doc''s Pagos | Rodopar 108'!$J:$J,'Doc''s Pagos | Rodopar 108'!$A:$A,$B289&amp;$E289&amp;$F289&amp;$J289,'Doc''s Pagos | Rodopar 108'!$B:$B,X$1)+SUMIFS('Doc Há Pagar | Rodopar 1015'!$J:$J,'Doc Há Pagar | Rodopar 1015'!$A:$A,$B289&amp;$E289&amp;$F289,'Doc Há Pagar | Rodopar 1015'!$B:$B,X$1)</f>
        <v>0</v>
      </c>
      <c r="Y289" s="20">
        <f>SUMIFS('Doc''s Pagos | Rodopar 108'!$J:$J,'Doc''s Pagos | Rodopar 108'!$A:$A,$B289&amp;$E289&amp;$F289&amp;$J289,'Doc''s Pagos | Rodopar 108'!$B:$B,Y$1)+SUMIFS('Doc Há Pagar | Rodopar 1015'!$J:$J,'Doc Há Pagar | Rodopar 1015'!$A:$A,$B289&amp;$E289&amp;$F289,'Doc Há Pagar | Rodopar 1015'!$B:$B,Y$1)</f>
        <v>0</v>
      </c>
      <c r="Z289" s="20">
        <f>SUMIFS('Doc''s Pagos | Rodopar 108'!$J:$J,'Doc''s Pagos | Rodopar 108'!$A:$A,$B289&amp;$E289&amp;$F289&amp;$J289,'Doc''s Pagos | Rodopar 108'!$B:$B,Z$1)+SUMIFS('Doc Há Pagar | Rodopar 1015'!$J:$J,'Doc Há Pagar | Rodopar 1015'!$A:$A,$B289&amp;$E289&amp;$F289,'Doc Há Pagar | Rodopar 1015'!$B:$B,Z$1)</f>
        <v>80</v>
      </c>
      <c r="AA289" s="20">
        <f>SUMIFS('Doc''s Pagos | Rodopar 108'!$J:$J,'Doc''s Pagos | Rodopar 108'!$A:$A,$B289&amp;$E289&amp;$F289&amp;$J289,'Doc''s Pagos | Rodopar 108'!$B:$B,AA$1)+SUMIFS('Doc Há Pagar | Rodopar 1015'!$J:$J,'Doc Há Pagar | Rodopar 1015'!$A:$A,$B289&amp;$E289&amp;$F289,'Doc Há Pagar | Rodopar 1015'!$B:$B,AA$1)</f>
        <v>0</v>
      </c>
      <c r="AB289" s="20">
        <f>SUMIFS('Doc''s Pagos | Rodopar 108'!$J:$J,'Doc''s Pagos | Rodopar 108'!$A:$A,$B289&amp;$E289&amp;$F289&amp;$J289,'Doc''s Pagos | Rodopar 108'!$B:$B,AB$1)+SUMIFS('Doc Há Pagar | Rodopar 1015'!$J:$J,'Doc Há Pagar | Rodopar 1015'!$A:$A,$B289&amp;$E289&amp;$F289,'Doc Há Pagar | Rodopar 1015'!$B:$B,AB$1)</f>
        <v>0</v>
      </c>
      <c r="AC289" s="20">
        <f>SUMIFS('Doc''s Pagos | Rodopar 108'!$J:$J,'Doc''s Pagos | Rodopar 108'!$A:$A,$B289&amp;$E289&amp;$F289&amp;$J289,'Doc''s Pagos | Rodopar 108'!$B:$B,AC$1)+SUMIFS('Doc Há Pagar | Rodopar 1015'!$J:$J,'Doc Há Pagar | Rodopar 1015'!$A:$A,$B289&amp;$E289&amp;$F289,'Doc Há Pagar | Rodopar 1015'!$B:$B,AC$1)</f>
        <v>0</v>
      </c>
      <c r="AD289" s="20">
        <f>SUMIFS('Doc''s Pagos | Rodopar 108'!$J:$J,'Doc''s Pagos | Rodopar 108'!$A:$A,$B289&amp;$E289&amp;$F289&amp;$J289,'Doc''s Pagos | Rodopar 108'!$B:$B,AD$1)+SUMIFS('Doc Há Pagar | Rodopar 1015'!$J:$J,'Doc Há Pagar | Rodopar 1015'!$A:$A,$B289&amp;$E289&amp;$F289,'Doc Há Pagar | Rodopar 1015'!$B:$B,AD$1)</f>
        <v>0</v>
      </c>
    </row>
    <row r="290" spans="1:30" x14ac:dyDescent="0.25">
      <c r="A290" s="1" t="str">
        <f>VLOOKUP($E290,Fornecedores!$A:$C,3,0)</f>
        <v>Frota</v>
      </c>
      <c r="B290" s="14" t="s">
        <v>296</v>
      </c>
      <c r="C290" s="14" t="str">
        <f>IFERROR(VLOOKUP($E290,Fornecedores!$A:$E,4,0),"")</f>
        <v>OPE Merchandising</v>
      </c>
      <c r="D290" s="14" t="str">
        <f>IFERROR(VLOOKUP($E290,Fornecedores!$A:$E,5,0),"")</f>
        <v>Locação</v>
      </c>
      <c r="E290" s="8" t="s">
        <v>112</v>
      </c>
      <c r="F290" s="14" t="s">
        <v>232</v>
      </c>
      <c r="G290" s="8" t="s">
        <v>289</v>
      </c>
      <c r="H290" s="9">
        <v>87</v>
      </c>
      <c r="I290" s="21">
        <v>2230.69</v>
      </c>
      <c r="J290" s="11">
        <v>46218</v>
      </c>
      <c r="K290" s="11">
        <v>46223</v>
      </c>
      <c r="L290" s="8" t="s">
        <v>233</v>
      </c>
      <c r="M290" s="14" t="s">
        <v>234</v>
      </c>
      <c r="N290" s="16">
        <v>1556</v>
      </c>
      <c r="O290" s="14" t="s">
        <v>241</v>
      </c>
      <c r="P290" s="14"/>
      <c r="Q290" s="20">
        <f t="shared" si="4"/>
        <v>0</v>
      </c>
      <c r="S290" s="20">
        <f>SUMIFS('Doc''s Pagos | Rodopar 108'!$J:$J,'Doc''s Pagos | Rodopar 108'!$A:$A,$B290&amp;$E290&amp;$F290&amp;$J290,'Doc''s Pagos | Rodopar 108'!$B:$B,S$1)+SUMIFS('Doc Há Pagar | Rodopar 1015'!$J:$J,'Doc Há Pagar | Rodopar 1015'!$A:$A,$B290&amp;$E290&amp;$F290,'Doc Há Pagar | Rodopar 1015'!$B:$B,S$1)</f>
        <v>0</v>
      </c>
      <c r="T290" s="20">
        <f>SUMIFS('Doc''s Pagos | Rodopar 108'!$J:$J,'Doc''s Pagos | Rodopar 108'!$A:$A,$B290&amp;$E290&amp;$F290&amp;$J290,'Doc''s Pagos | Rodopar 108'!$B:$B,T$1)+SUMIFS('Doc Há Pagar | Rodopar 1015'!$J:$J,'Doc Há Pagar | Rodopar 1015'!$A:$A,$B290&amp;$E290&amp;$F290,'Doc Há Pagar | Rodopar 1015'!$B:$B,T$1)</f>
        <v>0</v>
      </c>
      <c r="U290" s="20">
        <f>SUMIFS('Doc''s Pagos | Rodopar 108'!$J:$J,'Doc''s Pagos | Rodopar 108'!$A:$A,$B290&amp;$E290&amp;$F290&amp;$J290,'Doc''s Pagos | Rodopar 108'!$B:$B,U$1)+SUMIFS('Doc Há Pagar | Rodopar 1015'!$J:$J,'Doc Há Pagar | Rodopar 1015'!$A:$A,$B290&amp;$E290&amp;$F290,'Doc Há Pagar | Rodopar 1015'!$B:$B,U$1)</f>
        <v>0</v>
      </c>
      <c r="V290" s="20">
        <f>SUMIFS('Doc''s Pagos | Rodopar 108'!$J:$J,'Doc''s Pagos | Rodopar 108'!$A:$A,$B290&amp;$E290&amp;$F290&amp;$J290,'Doc''s Pagos | Rodopar 108'!$B:$B,V$1)+SUMIFS('Doc Há Pagar | Rodopar 1015'!$J:$J,'Doc Há Pagar | Rodopar 1015'!$A:$A,$B290&amp;$E290&amp;$F290,'Doc Há Pagar | Rodopar 1015'!$B:$B,V$1)</f>
        <v>0</v>
      </c>
      <c r="W290" s="20">
        <f>SUMIFS('Doc''s Pagos | Rodopar 108'!$J:$J,'Doc''s Pagos | Rodopar 108'!$A:$A,$B290&amp;$E290&amp;$F290&amp;$J290,'Doc''s Pagos | Rodopar 108'!$B:$B,W$1)+SUMIFS('Doc Há Pagar | Rodopar 1015'!$J:$J,'Doc Há Pagar | Rodopar 1015'!$A:$A,$B290&amp;$E290&amp;$F290,'Doc Há Pagar | Rodopar 1015'!$B:$B,W$1)</f>
        <v>0</v>
      </c>
      <c r="X290" s="20">
        <f>SUMIFS('Doc''s Pagos | Rodopar 108'!$J:$J,'Doc''s Pagos | Rodopar 108'!$A:$A,$B290&amp;$E290&amp;$F290&amp;$J290,'Doc''s Pagos | Rodopar 108'!$B:$B,X$1)+SUMIFS('Doc Há Pagar | Rodopar 1015'!$J:$J,'Doc Há Pagar | Rodopar 1015'!$A:$A,$B290&amp;$E290&amp;$F290,'Doc Há Pagar | Rodopar 1015'!$B:$B,X$1)</f>
        <v>0</v>
      </c>
      <c r="Y290" s="20">
        <f>SUMIFS('Doc''s Pagos | Rodopar 108'!$J:$J,'Doc''s Pagos | Rodopar 108'!$A:$A,$B290&amp;$E290&amp;$F290&amp;$J290,'Doc''s Pagos | Rodopar 108'!$B:$B,Y$1)+SUMIFS('Doc Há Pagar | Rodopar 1015'!$J:$J,'Doc Há Pagar | Rodopar 1015'!$A:$A,$B290&amp;$E290&amp;$F290,'Doc Há Pagar | Rodopar 1015'!$B:$B,Y$1)</f>
        <v>2230.69</v>
      </c>
      <c r="Z290" s="20">
        <f>SUMIFS('Doc''s Pagos | Rodopar 108'!$J:$J,'Doc''s Pagos | Rodopar 108'!$A:$A,$B290&amp;$E290&amp;$F290&amp;$J290,'Doc''s Pagos | Rodopar 108'!$B:$B,Z$1)+SUMIFS('Doc Há Pagar | Rodopar 1015'!$J:$J,'Doc Há Pagar | Rodopar 1015'!$A:$A,$B290&amp;$E290&amp;$F290,'Doc Há Pagar | Rodopar 1015'!$B:$B,Z$1)</f>
        <v>0</v>
      </c>
      <c r="AA290" s="20">
        <f>SUMIFS('Doc''s Pagos | Rodopar 108'!$J:$J,'Doc''s Pagos | Rodopar 108'!$A:$A,$B290&amp;$E290&amp;$F290&amp;$J290,'Doc''s Pagos | Rodopar 108'!$B:$B,AA$1)+SUMIFS('Doc Há Pagar | Rodopar 1015'!$J:$J,'Doc Há Pagar | Rodopar 1015'!$A:$A,$B290&amp;$E290&amp;$F290,'Doc Há Pagar | Rodopar 1015'!$B:$B,AA$1)</f>
        <v>0</v>
      </c>
      <c r="AB290" s="20">
        <f>SUMIFS('Doc''s Pagos | Rodopar 108'!$J:$J,'Doc''s Pagos | Rodopar 108'!$A:$A,$B290&amp;$E290&amp;$F290&amp;$J290,'Doc''s Pagos | Rodopar 108'!$B:$B,AB$1)+SUMIFS('Doc Há Pagar | Rodopar 1015'!$J:$J,'Doc Há Pagar | Rodopar 1015'!$A:$A,$B290&amp;$E290&amp;$F290,'Doc Há Pagar | Rodopar 1015'!$B:$B,AB$1)</f>
        <v>0</v>
      </c>
      <c r="AC290" s="20">
        <f>SUMIFS('Doc''s Pagos | Rodopar 108'!$J:$J,'Doc''s Pagos | Rodopar 108'!$A:$A,$B290&amp;$E290&amp;$F290&amp;$J290,'Doc''s Pagos | Rodopar 108'!$B:$B,AC$1)+SUMIFS('Doc Há Pagar | Rodopar 1015'!$J:$J,'Doc Há Pagar | Rodopar 1015'!$A:$A,$B290&amp;$E290&amp;$F290,'Doc Há Pagar | Rodopar 1015'!$B:$B,AC$1)</f>
        <v>0</v>
      </c>
      <c r="AD290" s="20">
        <f>SUMIFS('Doc''s Pagos | Rodopar 108'!$J:$J,'Doc''s Pagos | Rodopar 108'!$A:$A,$B290&amp;$E290&amp;$F290&amp;$J290,'Doc''s Pagos | Rodopar 108'!$B:$B,AD$1)+SUMIFS('Doc Há Pagar | Rodopar 1015'!$J:$J,'Doc Há Pagar | Rodopar 1015'!$A:$A,$B290&amp;$E290&amp;$F290,'Doc Há Pagar | Rodopar 1015'!$B:$B,AD$1)</f>
        <v>0</v>
      </c>
    </row>
    <row r="291" spans="1:30" x14ac:dyDescent="0.25">
      <c r="A291" s="1" t="str">
        <f>VLOOKUP($E291,Fornecedores!$A:$C,3,0)</f>
        <v>Frota</v>
      </c>
      <c r="B291" s="14" t="s">
        <v>297</v>
      </c>
      <c r="C291" s="14" t="str">
        <f>IFERROR(VLOOKUP($E291,Fornecedores!$A:$E,4,0),"")</f>
        <v>OPE Merchandising</v>
      </c>
      <c r="D291" s="14" t="str">
        <f>IFERROR(VLOOKUP($E291,Fornecedores!$A:$E,5,0),"")</f>
        <v>Locação</v>
      </c>
      <c r="E291" s="8" t="s">
        <v>112</v>
      </c>
      <c r="F291" s="14" t="s">
        <v>232</v>
      </c>
      <c r="G291" s="8" t="s">
        <v>289</v>
      </c>
      <c r="H291" s="9">
        <v>87</v>
      </c>
      <c r="I291" s="21">
        <v>37605.03</v>
      </c>
      <c r="J291" s="11">
        <v>46218</v>
      </c>
      <c r="K291" s="11">
        <v>46223</v>
      </c>
      <c r="L291" s="8" t="s">
        <v>233</v>
      </c>
      <c r="M291" s="14" t="s">
        <v>234</v>
      </c>
      <c r="N291" s="16">
        <v>1556</v>
      </c>
      <c r="O291" s="14" t="s">
        <v>241</v>
      </c>
      <c r="P291" s="14"/>
      <c r="Q291" s="20">
        <f t="shared" si="4"/>
        <v>0</v>
      </c>
      <c r="S291" s="20">
        <f>SUMIFS('Doc''s Pagos | Rodopar 108'!$J:$J,'Doc''s Pagos | Rodopar 108'!$A:$A,$B291&amp;$E291&amp;$F291&amp;$J291,'Doc''s Pagos | Rodopar 108'!$B:$B,S$1)+SUMIFS('Doc Há Pagar | Rodopar 1015'!$J:$J,'Doc Há Pagar | Rodopar 1015'!$A:$A,$B291&amp;$E291&amp;$F291,'Doc Há Pagar | Rodopar 1015'!$B:$B,S$1)</f>
        <v>0</v>
      </c>
      <c r="T291" s="20">
        <f>SUMIFS('Doc''s Pagos | Rodopar 108'!$J:$J,'Doc''s Pagos | Rodopar 108'!$A:$A,$B291&amp;$E291&amp;$F291&amp;$J291,'Doc''s Pagos | Rodopar 108'!$B:$B,T$1)+SUMIFS('Doc Há Pagar | Rodopar 1015'!$J:$J,'Doc Há Pagar | Rodopar 1015'!$A:$A,$B291&amp;$E291&amp;$F291,'Doc Há Pagar | Rodopar 1015'!$B:$B,T$1)</f>
        <v>0</v>
      </c>
      <c r="U291" s="20">
        <f>SUMIFS('Doc''s Pagos | Rodopar 108'!$J:$J,'Doc''s Pagos | Rodopar 108'!$A:$A,$B291&amp;$E291&amp;$F291&amp;$J291,'Doc''s Pagos | Rodopar 108'!$B:$B,U$1)+SUMIFS('Doc Há Pagar | Rodopar 1015'!$J:$J,'Doc Há Pagar | Rodopar 1015'!$A:$A,$B291&amp;$E291&amp;$F291,'Doc Há Pagar | Rodopar 1015'!$B:$B,U$1)</f>
        <v>0</v>
      </c>
      <c r="V291" s="20">
        <f>SUMIFS('Doc''s Pagos | Rodopar 108'!$J:$J,'Doc''s Pagos | Rodopar 108'!$A:$A,$B291&amp;$E291&amp;$F291&amp;$J291,'Doc''s Pagos | Rodopar 108'!$B:$B,V$1)+SUMIFS('Doc Há Pagar | Rodopar 1015'!$J:$J,'Doc Há Pagar | Rodopar 1015'!$A:$A,$B291&amp;$E291&amp;$F291,'Doc Há Pagar | Rodopar 1015'!$B:$B,V$1)</f>
        <v>0</v>
      </c>
      <c r="W291" s="20">
        <f>SUMIFS('Doc''s Pagos | Rodopar 108'!$J:$J,'Doc''s Pagos | Rodopar 108'!$A:$A,$B291&amp;$E291&amp;$F291&amp;$J291,'Doc''s Pagos | Rodopar 108'!$B:$B,W$1)+SUMIFS('Doc Há Pagar | Rodopar 1015'!$J:$J,'Doc Há Pagar | Rodopar 1015'!$A:$A,$B291&amp;$E291&amp;$F291,'Doc Há Pagar | Rodopar 1015'!$B:$B,W$1)</f>
        <v>0</v>
      </c>
      <c r="X291" s="20">
        <f>SUMIFS('Doc''s Pagos | Rodopar 108'!$J:$J,'Doc''s Pagos | Rodopar 108'!$A:$A,$B291&amp;$E291&amp;$F291&amp;$J291,'Doc''s Pagos | Rodopar 108'!$B:$B,X$1)+SUMIFS('Doc Há Pagar | Rodopar 1015'!$J:$J,'Doc Há Pagar | Rodopar 1015'!$A:$A,$B291&amp;$E291&amp;$F291,'Doc Há Pagar | Rodopar 1015'!$B:$B,X$1)</f>
        <v>0</v>
      </c>
      <c r="Y291" s="20">
        <f>SUMIFS('Doc''s Pagos | Rodopar 108'!$J:$J,'Doc''s Pagos | Rodopar 108'!$A:$A,$B291&amp;$E291&amp;$F291&amp;$J291,'Doc''s Pagos | Rodopar 108'!$B:$B,Y$1)+SUMIFS('Doc Há Pagar | Rodopar 1015'!$J:$J,'Doc Há Pagar | Rodopar 1015'!$A:$A,$B291&amp;$E291&amp;$F291,'Doc Há Pagar | Rodopar 1015'!$B:$B,Y$1)</f>
        <v>37605.03</v>
      </c>
      <c r="Z291" s="20">
        <f>SUMIFS('Doc''s Pagos | Rodopar 108'!$J:$J,'Doc''s Pagos | Rodopar 108'!$A:$A,$B291&amp;$E291&amp;$F291&amp;$J291,'Doc''s Pagos | Rodopar 108'!$B:$B,Z$1)+SUMIFS('Doc Há Pagar | Rodopar 1015'!$J:$J,'Doc Há Pagar | Rodopar 1015'!$A:$A,$B291&amp;$E291&amp;$F291,'Doc Há Pagar | Rodopar 1015'!$B:$B,Z$1)</f>
        <v>0</v>
      </c>
      <c r="AA291" s="20">
        <f>SUMIFS('Doc''s Pagos | Rodopar 108'!$J:$J,'Doc''s Pagos | Rodopar 108'!$A:$A,$B291&amp;$E291&amp;$F291&amp;$J291,'Doc''s Pagos | Rodopar 108'!$B:$B,AA$1)+SUMIFS('Doc Há Pagar | Rodopar 1015'!$J:$J,'Doc Há Pagar | Rodopar 1015'!$A:$A,$B291&amp;$E291&amp;$F291,'Doc Há Pagar | Rodopar 1015'!$B:$B,AA$1)</f>
        <v>0</v>
      </c>
      <c r="AB291" s="20">
        <f>SUMIFS('Doc''s Pagos | Rodopar 108'!$J:$J,'Doc''s Pagos | Rodopar 108'!$A:$A,$B291&amp;$E291&amp;$F291&amp;$J291,'Doc''s Pagos | Rodopar 108'!$B:$B,AB$1)+SUMIFS('Doc Há Pagar | Rodopar 1015'!$J:$J,'Doc Há Pagar | Rodopar 1015'!$A:$A,$B291&amp;$E291&amp;$F291,'Doc Há Pagar | Rodopar 1015'!$B:$B,AB$1)</f>
        <v>0</v>
      </c>
      <c r="AC291" s="20">
        <f>SUMIFS('Doc''s Pagos | Rodopar 108'!$J:$J,'Doc''s Pagos | Rodopar 108'!$A:$A,$B291&amp;$E291&amp;$F291&amp;$J291,'Doc''s Pagos | Rodopar 108'!$B:$B,AC$1)+SUMIFS('Doc Há Pagar | Rodopar 1015'!$J:$J,'Doc Há Pagar | Rodopar 1015'!$A:$A,$B291&amp;$E291&amp;$F291,'Doc Há Pagar | Rodopar 1015'!$B:$B,AC$1)</f>
        <v>0</v>
      </c>
      <c r="AD291" s="20">
        <f>SUMIFS('Doc''s Pagos | Rodopar 108'!$J:$J,'Doc''s Pagos | Rodopar 108'!$A:$A,$B291&amp;$E291&amp;$F291&amp;$J291,'Doc''s Pagos | Rodopar 108'!$B:$B,AD$1)+SUMIFS('Doc Há Pagar | Rodopar 1015'!$J:$J,'Doc Há Pagar | Rodopar 1015'!$A:$A,$B291&amp;$E291&amp;$F291,'Doc Há Pagar | Rodopar 1015'!$B:$B,AD$1)</f>
        <v>0</v>
      </c>
    </row>
    <row r="292" spans="1:30" x14ac:dyDescent="0.25">
      <c r="A292" s="1" t="str">
        <f>VLOOKUP($E292,Fornecedores!$A:$C,3,0)</f>
        <v>Frota</v>
      </c>
      <c r="B292" s="14" t="s">
        <v>320</v>
      </c>
      <c r="C292" s="14" t="str">
        <f>IFERROR(VLOOKUP($E292,Fornecedores!$A:$E,4,0),"")</f>
        <v>OPE Merchandising</v>
      </c>
      <c r="D292" s="14" t="str">
        <f>IFERROR(VLOOKUP($E292,Fornecedores!$A:$E,5,0),"")</f>
        <v>Locação</v>
      </c>
      <c r="E292" s="8" t="s">
        <v>112</v>
      </c>
      <c r="F292" s="14" t="s">
        <v>232</v>
      </c>
      <c r="G292" s="8" t="s">
        <v>289</v>
      </c>
      <c r="H292" s="9">
        <v>87</v>
      </c>
      <c r="I292" s="21">
        <v>3460.25</v>
      </c>
      <c r="J292" s="11">
        <v>46218</v>
      </c>
      <c r="K292" s="11">
        <v>46224</v>
      </c>
      <c r="L292" s="8" t="s">
        <v>233</v>
      </c>
      <c r="M292" s="14" t="s">
        <v>234</v>
      </c>
      <c r="N292" s="16">
        <v>1556</v>
      </c>
      <c r="O292" s="14" t="s">
        <v>241</v>
      </c>
      <c r="P292" s="14"/>
      <c r="Q292" s="20">
        <f t="shared" si="4"/>
        <v>0</v>
      </c>
      <c r="S292" s="20">
        <f>SUMIFS('Doc''s Pagos | Rodopar 108'!$J:$J,'Doc''s Pagos | Rodopar 108'!$A:$A,$B292&amp;$E292&amp;$F292&amp;$J292,'Doc''s Pagos | Rodopar 108'!$B:$B,S$1)+SUMIFS('Doc Há Pagar | Rodopar 1015'!$J:$J,'Doc Há Pagar | Rodopar 1015'!$A:$A,$B292&amp;$E292&amp;$F292,'Doc Há Pagar | Rodopar 1015'!$B:$B,S$1)</f>
        <v>0</v>
      </c>
      <c r="T292" s="20">
        <f>SUMIFS('Doc''s Pagos | Rodopar 108'!$J:$J,'Doc''s Pagos | Rodopar 108'!$A:$A,$B292&amp;$E292&amp;$F292&amp;$J292,'Doc''s Pagos | Rodopar 108'!$B:$B,T$1)+SUMIFS('Doc Há Pagar | Rodopar 1015'!$J:$J,'Doc Há Pagar | Rodopar 1015'!$A:$A,$B292&amp;$E292&amp;$F292,'Doc Há Pagar | Rodopar 1015'!$B:$B,T$1)</f>
        <v>0</v>
      </c>
      <c r="U292" s="20">
        <f>SUMIFS('Doc''s Pagos | Rodopar 108'!$J:$J,'Doc''s Pagos | Rodopar 108'!$A:$A,$B292&amp;$E292&amp;$F292&amp;$J292,'Doc''s Pagos | Rodopar 108'!$B:$B,U$1)+SUMIFS('Doc Há Pagar | Rodopar 1015'!$J:$J,'Doc Há Pagar | Rodopar 1015'!$A:$A,$B292&amp;$E292&amp;$F292,'Doc Há Pagar | Rodopar 1015'!$B:$B,U$1)</f>
        <v>0</v>
      </c>
      <c r="V292" s="20">
        <f>SUMIFS('Doc''s Pagos | Rodopar 108'!$J:$J,'Doc''s Pagos | Rodopar 108'!$A:$A,$B292&amp;$E292&amp;$F292&amp;$J292,'Doc''s Pagos | Rodopar 108'!$B:$B,V$1)+SUMIFS('Doc Há Pagar | Rodopar 1015'!$J:$J,'Doc Há Pagar | Rodopar 1015'!$A:$A,$B292&amp;$E292&amp;$F292,'Doc Há Pagar | Rodopar 1015'!$B:$B,V$1)</f>
        <v>0</v>
      </c>
      <c r="W292" s="20">
        <f>SUMIFS('Doc''s Pagos | Rodopar 108'!$J:$J,'Doc''s Pagos | Rodopar 108'!$A:$A,$B292&amp;$E292&amp;$F292&amp;$J292,'Doc''s Pagos | Rodopar 108'!$B:$B,W$1)+SUMIFS('Doc Há Pagar | Rodopar 1015'!$J:$J,'Doc Há Pagar | Rodopar 1015'!$A:$A,$B292&amp;$E292&amp;$F292,'Doc Há Pagar | Rodopar 1015'!$B:$B,W$1)</f>
        <v>0</v>
      </c>
      <c r="X292" s="20">
        <f>SUMIFS('Doc''s Pagos | Rodopar 108'!$J:$J,'Doc''s Pagos | Rodopar 108'!$A:$A,$B292&amp;$E292&amp;$F292&amp;$J292,'Doc''s Pagos | Rodopar 108'!$B:$B,X$1)+SUMIFS('Doc Há Pagar | Rodopar 1015'!$J:$J,'Doc Há Pagar | Rodopar 1015'!$A:$A,$B292&amp;$E292&amp;$F292,'Doc Há Pagar | Rodopar 1015'!$B:$B,X$1)</f>
        <v>0</v>
      </c>
      <c r="Y292" s="20">
        <f>SUMIFS('Doc''s Pagos | Rodopar 108'!$J:$J,'Doc''s Pagos | Rodopar 108'!$A:$A,$B292&amp;$E292&amp;$F292&amp;$J292,'Doc''s Pagos | Rodopar 108'!$B:$B,Y$1)+SUMIFS('Doc Há Pagar | Rodopar 1015'!$J:$J,'Doc Há Pagar | Rodopar 1015'!$A:$A,$B292&amp;$E292&amp;$F292,'Doc Há Pagar | Rodopar 1015'!$B:$B,Y$1)</f>
        <v>0</v>
      </c>
      <c r="Z292" s="20">
        <f>SUMIFS('Doc''s Pagos | Rodopar 108'!$J:$J,'Doc''s Pagos | Rodopar 108'!$A:$A,$B292&amp;$E292&amp;$F292&amp;$J292,'Doc''s Pagos | Rodopar 108'!$B:$B,Z$1)+SUMIFS('Doc Há Pagar | Rodopar 1015'!$J:$J,'Doc Há Pagar | Rodopar 1015'!$A:$A,$B292&amp;$E292&amp;$F292,'Doc Há Pagar | Rodopar 1015'!$B:$B,Z$1)</f>
        <v>3460.25</v>
      </c>
      <c r="AA292" s="20">
        <f>SUMIFS('Doc''s Pagos | Rodopar 108'!$J:$J,'Doc''s Pagos | Rodopar 108'!$A:$A,$B292&amp;$E292&amp;$F292&amp;$J292,'Doc''s Pagos | Rodopar 108'!$B:$B,AA$1)+SUMIFS('Doc Há Pagar | Rodopar 1015'!$J:$J,'Doc Há Pagar | Rodopar 1015'!$A:$A,$B292&amp;$E292&amp;$F292,'Doc Há Pagar | Rodopar 1015'!$B:$B,AA$1)</f>
        <v>0</v>
      </c>
      <c r="AB292" s="20">
        <f>SUMIFS('Doc''s Pagos | Rodopar 108'!$J:$J,'Doc''s Pagos | Rodopar 108'!$A:$A,$B292&amp;$E292&amp;$F292&amp;$J292,'Doc''s Pagos | Rodopar 108'!$B:$B,AB$1)+SUMIFS('Doc Há Pagar | Rodopar 1015'!$J:$J,'Doc Há Pagar | Rodopar 1015'!$A:$A,$B292&amp;$E292&amp;$F292,'Doc Há Pagar | Rodopar 1015'!$B:$B,AB$1)</f>
        <v>0</v>
      </c>
      <c r="AC292" s="20">
        <f>SUMIFS('Doc''s Pagos | Rodopar 108'!$J:$J,'Doc''s Pagos | Rodopar 108'!$A:$A,$B292&amp;$E292&amp;$F292&amp;$J292,'Doc''s Pagos | Rodopar 108'!$B:$B,AC$1)+SUMIFS('Doc Há Pagar | Rodopar 1015'!$J:$J,'Doc Há Pagar | Rodopar 1015'!$A:$A,$B292&amp;$E292&amp;$F292,'Doc Há Pagar | Rodopar 1015'!$B:$B,AC$1)</f>
        <v>0</v>
      </c>
      <c r="AD292" s="20">
        <f>SUMIFS('Doc''s Pagos | Rodopar 108'!$J:$J,'Doc''s Pagos | Rodopar 108'!$A:$A,$B292&amp;$E292&amp;$F292&amp;$J292,'Doc''s Pagos | Rodopar 108'!$B:$B,AD$1)+SUMIFS('Doc Há Pagar | Rodopar 1015'!$J:$J,'Doc Há Pagar | Rodopar 1015'!$A:$A,$B292&amp;$E292&amp;$F292,'Doc Há Pagar | Rodopar 1015'!$B:$B,AD$1)</f>
        <v>0</v>
      </c>
    </row>
    <row r="293" spans="1:30" x14ac:dyDescent="0.25">
      <c r="A293" s="1" t="str">
        <f>VLOOKUP($E293,Fornecedores!$A:$C,3,0)</f>
        <v>Frota</v>
      </c>
      <c r="B293" s="14" t="s">
        <v>321</v>
      </c>
      <c r="C293" s="14" t="str">
        <f>IFERROR(VLOOKUP($E293,Fornecedores!$A:$E,4,0),"")</f>
        <v>OPE Merchandising</v>
      </c>
      <c r="D293" s="14" t="str">
        <f>IFERROR(VLOOKUP($E293,Fornecedores!$A:$E,5,0),"")</f>
        <v>Locação</v>
      </c>
      <c r="E293" s="8" t="s">
        <v>112</v>
      </c>
      <c r="F293" s="14" t="s">
        <v>232</v>
      </c>
      <c r="G293" s="8" t="s">
        <v>289</v>
      </c>
      <c r="H293" s="9">
        <v>87</v>
      </c>
      <c r="I293" s="21">
        <v>370</v>
      </c>
      <c r="J293" s="11">
        <v>46218</v>
      </c>
      <c r="K293" s="11">
        <v>46224</v>
      </c>
      <c r="L293" s="8" t="s">
        <v>233</v>
      </c>
      <c r="M293" s="14" t="s">
        <v>234</v>
      </c>
      <c r="N293" s="16">
        <v>1556</v>
      </c>
      <c r="O293" s="14" t="s">
        <v>241</v>
      </c>
      <c r="P293" s="14"/>
      <c r="Q293" s="20">
        <f t="shared" si="4"/>
        <v>0</v>
      </c>
      <c r="S293" s="20">
        <f>SUMIFS('Doc''s Pagos | Rodopar 108'!$J:$J,'Doc''s Pagos | Rodopar 108'!$A:$A,$B293&amp;$E293&amp;$F293&amp;$J293,'Doc''s Pagos | Rodopar 108'!$B:$B,S$1)+SUMIFS('Doc Há Pagar | Rodopar 1015'!$J:$J,'Doc Há Pagar | Rodopar 1015'!$A:$A,$B293&amp;$E293&amp;$F293,'Doc Há Pagar | Rodopar 1015'!$B:$B,S$1)</f>
        <v>0</v>
      </c>
      <c r="T293" s="20">
        <f>SUMIFS('Doc''s Pagos | Rodopar 108'!$J:$J,'Doc''s Pagos | Rodopar 108'!$A:$A,$B293&amp;$E293&amp;$F293&amp;$J293,'Doc''s Pagos | Rodopar 108'!$B:$B,T$1)+SUMIFS('Doc Há Pagar | Rodopar 1015'!$J:$J,'Doc Há Pagar | Rodopar 1015'!$A:$A,$B293&amp;$E293&amp;$F293,'Doc Há Pagar | Rodopar 1015'!$B:$B,T$1)</f>
        <v>0</v>
      </c>
      <c r="U293" s="20">
        <f>SUMIFS('Doc''s Pagos | Rodopar 108'!$J:$J,'Doc''s Pagos | Rodopar 108'!$A:$A,$B293&amp;$E293&amp;$F293&amp;$J293,'Doc''s Pagos | Rodopar 108'!$B:$B,U$1)+SUMIFS('Doc Há Pagar | Rodopar 1015'!$J:$J,'Doc Há Pagar | Rodopar 1015'!$A:$A,$B293&amp;$E293&amp;$F293,'Doc Há Pagar | Rodopar 1015'!$B:$B,U$1)</f>
        <v>0</v>
      </c>
      <c r="V293" s="20">
        <f>SUMIFS('Doc''s Pagos | Rodopar 108'!$J:$J,'Doc''s Pagos | Rodopar 108'!$A:$A,$B293&amp;$E293&amp;$F293&amp;$J293,'Doc''s Pagos | Rodopar 108'!$B:$B,V$1)+SUMIFS('Doc Há Pagar | Rodopar 1015'!$J:$J,'Doc Há Pagar | Rodopar 1015'!$A:$A,$B293&amp;$E293&amp;$F293,'Doc Há Pagar | Rodopar 1015'!$B:$B,V$1)</f>
        <v>0</v>
      </c>
      <c r="W293" s="20">
        <f>SUMIFS('Doc''s Pagos | Rodopar 108'!$J:$J,'Doc''s Pagos | Rodopar 108'!$A:$A,$B293&amp;$E293&amp;$F293&amp;$J293,'Doc''s Pagos | Rodopar 108'!$B:$B,W$1)+SUMIFS('Doc Há Pagar | Rodopar 1015'!$J:$J,'Doc Há Pagar | Rodopar 1015'!$A:$A,$B293&amp;$E293&amp;$F293,'Doc Há Pagar | Rodopar 1015'!$B:$B,W$1)</f>
        <v>0</v>
      </c>
      <c r="X293" s="20">
        <f>SUMIFS('Doc''s Pagos | Rodopar 108'!$J:$J,'Doc''s Pagos | Rodopar 108'!$A:$A,$B293&amp;$E293&amp;$F293&amp;$J293,'Doc''s Pagos | Rodopar 108'!$B:$B,X$1)+SUMIFS('Doc Há Pagar | Rodopar 1015'!$J:$J,'Doc Há Pagar | Rodopar 1015'!$A:$A,$B293&amp;$E293&amp;$F293,'Doc Há Pagar | Rodopar 1015'!$B:$B,X$1)</f>
        <v>0</v>
      </c>
      <c r="Y293" s="20">
        <f>SUMIFS('Doc''s Pagos | Rodopar 108'!$J:$J,'Doc''s Pagos | Rodopar 108'!$A:$A,$B293&amp;$E293&amp;$F293&amp;$J293,'Doc''s Pagos | Rodopar 108'!$B:$B,Y$1)+SUMIFS('Doc Há Pagar | Rodopar 1015'!$J:$J,'Doc Há Pagar | Rodopar 1015'!$A:$A,$B293&amp;$E293&amp;$F293,'Doc Há Pagar | Rodopar 1015'!$B:$B,Y$1)</f>
        <v>0</v>
      </c>
      <c r="Z293" s="20">
        <f>SUMIFS('Doc''s Pagos | Rodopar 108'!$J:$J,'Doc''s Pagos | Rodopar 108'!$A:$A,$B293&amp;$E293&amp;$F293&amp;$J293,'Doc''s Pagos | Rodopar 108'!$B:$B,Z$1)+SUMIFS('Doc Há Pagar | Rodopar 1015'!$J:$J,'Doc Há Pagar | Rodopar 1015'!$A:$A,$B293&amp;$E293&amp;$F293,'Doc Há Pagar | Rodopar 1015'!$B:$B,Z$1)</f>
        <v>370</v>
      </c>
      <c r="AA293" s="20">
        <f>SUMIFS('Doc''s Pagos | Rodopar 108'!$J:$J,'Doc''s Pagos | Rodopar 108'!$A:$A,$B293&amp;$E293&amp;$F293&amp;$J293,'Doc''s Pagos | Rodopar 108'!$B:$B,AA$1)+SUMIFS('Doc Há Pagar | Rodopar 1015'!$J:$J,'Doc Há Pagar | Rodopar 1015'!$A:$A,$B293&amp;$E293&amp;$F293,'Doc Há Pagar | Rodopar 1015'!$B:$B,AA$1)</f>
        <v>0</v>
      </c>
      <c r="AB293" s="20">
        <f>SUMIFS('Doc''s Pagos | Rodopar 108'!$J:$J,'Doc''s Pagos | Rodopar 108'!$A:$A,$B293&amp;$E293&amp;$F293&amp;$J293,'Doc''s Pagos | Rodopar 108'!$B:$B,AB$1)+SUMIFS('Doc Há Pagar | Rodopar 1015'!$J:$J,'Doc Há Pagar | Rodopar 1015'!$A:$A,$B293&amp;$E293&amp;$F293,'Doc Há Pagar | Rodopar 1015'!$B:$B,AB$1)</f>
        <v>0</v>
      </c>
      <c r="AC293" s="20">
        <f>SUMIFS('Doc''s Pagos | Rodopar 108'!$J:$J,'Doc''s Pagos | Rodopar 108'!$A:$A,$B293&amp;$E293&amp;$F293&amp;$J293,'Doc''s Pagos | Rodopar 108'!$B:$B,AC$1)+SUMIFS('Doc Há Pagar | Rodopar 1015'!$J:$J,'Doc Há Pagar | Rodopar 1015'!$A:$A,$B293&amp;$E293&amp;$F293,'Doc Há Pagar | Rodopar 1015'!$B:$B,AC$1)</f>
        <v>0</v>
      </c>
      <c r="AD293" s="20">
        <f>SUMIFS('Doc''s Pagos | Rodopar 108'!$J:$J,'Doc''s Pagos | Rodopar 108'!$A:$A,$B293&amp;$E293&amp;$F293&amp;$J293,'Doc''s Pagos | Rodopar 108'!$B:$B,AD$1)+SUMIFS('Doc Há Pagar | Rodopar 1015'!$J:$J,'Doc Há Pagar | Rodopar 1015'!$A:$A,$B293&amp;$E293&amp;$F293,'Doc Há Pagar | Rodopar 1015'!$B:$B,AD$1)</f>
        <v>0</v>
      </c>
    </row>
    <row r="294" spans="1:30" x14ac:dyDescent="0.25">
      <c r="A294" s="1" t="str">
        <f>VLOOKUP($E294,Fornecedores!$A:$C,3,0)</f>
        <v>Frota</v>
      </c>
      <c r="B294" s="14" t="s">
        <v>322</v>
      </c>
      <c r="C294" s="14" t="str">
        <f>IFERROR(VLOOKUP($E294,Fornecedores!$A:$E,4,0),"")</f>
        <v>OPE Merchandising</v>
      </c>
      <c r="D294" s="14" t="str">
        <f>IFERROR(VLOOKUP($E294,Fornecedores!$A:$E,5,0),"")</f>
        <v>Locação</v>
      </c>
      <c r="E294" s="8" t="s">
        <v>112</v>
      </c>
      <c r="F294" s="14" t="s">
        <v>232</v>
      </c>
      <c r="G294" s="8" t="s">
        <v>289</v>
      </c>
      <c r="H294" s="9">
        <v>87</v>
      </c>
      <c r="I294" s="21">
        <v>230</v>
      </c>
      <c r="J294" s="11">
        <v>46218</v>
      </c>
      <c r="K294" s="11">
        <v>46224</v>
      </c>
      <c r="L294" s="8" t="s">
        <v>233</v>
      </c>
      <c r="M294" s="14" t="s">
        <v>234</v>
      </c>
      <c r="N294" s="16">
        <v>1556</v>
      </c>
      <c r="O294" s="14" t="s">
        <v>241</v>
      </c>
      <c r="P294" s="14"/>
      <c r="Q294" s="20">
        <f t="shared" si="4"/>
        <v>0</v>
      </c>
      <c r="S294" s="20">
        <f>SUMIFS('Doc''s Pagos | Rodopar 108'!$J:$J,'Doc''s Pagos | Rodopar 108'!$A:$A,$B294&amp;$E294&amp;$F294&amp;$J294,'Doc''s Pagos | Rodopar 108'!$B:$B,S$1)+SUMIFS('Doc Há Pagar | Rodopar 1015'!$J:$J,'Doc Há Pagar | Rodopar 1015'!$A:$A,$B294&amp;$E294&amp;$F294,'Doc Há Pagar | Rodopar 1015'!$B:$B,S$1)</f>
        <v>0</v>
      </c>
      <c r="T294" s="20">
        <f>SUMIFS('Doc''s Pagos | Rodopar 108'!$J:$J,'Doc''s Pagos | Rodopar 108'!$A:$A,$B294&amp;$E294&amp;$F294&amp;$J294,'Doc''s Pagos | Rodopar 108'!$B:$B,T$1)+SUMIFS('Doc Há Pagar | Rodopar 1015'!$J:$J,'Doc Há Pagar | Rodopar 1015'!$A:$A,$B294&amp;$E294&amp;$F294,'Doc Há Pagar | Rodopar 1015'!$B:$B,T$1)</f>
        <v>0</v>
      </c>
      <c r="U294" s="20">
        <f>SUMIFS('Doc''s Pagos | Rodopar 108'!$J:$J,'Doc''s Pagos | Rodopar 108'!$A:$A,$B294&amp;$E294&amp;$F294&amp;$J294,'Doc''s Pagos | Rodopar 108'!$B:$B,U$1)+SUMIFS('Doc Há Pagar | Rodopar 1015'!$J:$J,'Doc Há Pagar | Rodopar 1015'!$A:$A,$B294&amp;$E294&amp;$F294,'Doc Há Pagar | Rodopar 1015'!$B:$B,U$1)</f>
        <v>0</v>
      </c>
      <c r="V294" s="20">
        <f>SUMIFS('Doc''s Pagos | Rodopar 108'!$J:$J,'Doc''s Pagos | Rodopar 108'!$A:$A,$B294&amp;$E294&amp;$F294&amp;$J294,'Doc''s Pagos | Rodopar 108'!$B:$B,V$1)+SUMIFS('Doc Há Pagar | Rodopar 1015'!$J:$J,'Doc Há Pagar | Rodopar 1015'!$A:$A,$B294&amp;$E294&amp;$F294,'Doc Há Pagar | Rodopar 1015'!$B:$B,V$1)</f>
        <v>0</v>
      </c>
      <c r="W294" s="20">
        <f>SUMIFS('Doc''s Pagos | Rodopar 108'!$J:$J,'Doc''s Pagos | Rodopar 108'!$A:$A,$B294&amp;$E294&amp;$F294&amp;$J294,'Doc''s Pagos | Rodopar 108'!$B:$B,W$1)+SUMIFS('Doc Há Pagar | Rodopar 1015'!$J:$J,'Doc Há Pagar | Rodopar 1015'!$A:$A,$B294&amp;$E294&amp;$F294,'Doc Há Pagar | Rodopar 1015'!$B:$B,W$1)</f>
        <v>0</v>
      </c>
      <c r="X294" s="20">
        <f>SUMIFS('Doc''s Pagos | Rodopar 108'!$J:$J,'Doc''s Pagos | Rodopar 108'!$A:$A,$B294&amp;$E294&amp;$F294&amp;$J294,'Doc''s Pagos | Rodopar 108'!$B:$B,X$1)+SUMIFS('Doc Há Pagar | Rodopar 1015'!$J:$J,'Doc Há Pagar | Rodopar 1015'!$A:$A,$B294&amp;$E294&amp;$F294,'Doc Há Pagar | Rodopar 1015'!$B:$B,X$1)</f>
        <v>0</v>
      </c>
      <c r="Y294" s="20">
        <f>SUMIFS('Doc''s Pagos | Rodopar 108'!$J:$J,'Doc''s Pagos | Rodopar 108'!$A:$A,$B294&amp;$E294&amp;$F294&amp;$J294,'Doc''s Pagos | Rodopar 108'!$B:$B,Y$1)+SUMIFS('Doc Há Pagar | Rodopar 1015'!$J:$J,'Doc Há Pagar | Rodopar 1015'!$A:$A,$B294&amp;$E294&amp;$F294,'Doc Há Pagar | Rodopar 1015'!$B:$B,Y$1)</f>
        <v>0</v>
      </c>
      <c r="Z294" s="20">
        <f>SUMIFS('Doc''s Pagos | Rodopar 108'!$J:$J,'Doc''s Pagos | Rodopar 108'!$A:$A,$B294&amp;$E294&amp;$F294&amp;$J294,'Doc''s Pagos | Rodopar 108'!$B:$B,Z$1)+SUMIFS('Doc Há Pagar | Rodopar 1015'!$J:$J,'Doc Há Pagar | Rodopar 1015'!$A:$A,$B294&amp;$E294&amp;$F294,'Doc Há Pagar | Rodopar 1015'!$B:$B,Z$1)</f>
        <v>230</v>
      </c>
      <c r="AA294" s="20">
        <f>SUMIFS('Doc''s Pagos | Rodopar 108'!$J:$J,'Doc''s Pagos | Rodopar 108'!$A:$A,$B294&amp;$E294&amp;$F294&amp;$J294,'Doc''s Pagos | Rodopar 108'!$B:$B,AA$1)+SUMIFS('Doc Há Pagar | Rodopar 1015'!$J:$J,'Doc Há Pagar | Rodopar 1015'!$A:$A,$B294&amp;$E294&amp;$F294,'Doc Há Pagar | Rodopar 1015'!$B:$B,AA$1)</f>
        <v>0</v>
      </c>
      <c r="AB294" s="20">
        <f>SUMIFS('Doc''s Pagos | Rodopar 108'!$J:$J,'Doc''s Pagos | Rodopar 108'!$A:$A,$B294&amp;$E294&amp;$F294&amp;$J294,'Doc''s Pagos | Rodopar 108'!$B:$B,AB$1)+SUMIFS('Doc Há Pagar | Rodopar 1015'!$J:$J,'Doc Há Pagar | Rodopar 1015'!$A:$A,$B294&amp;$E294&amp;$F294,'Doc Há Pagar | Rodopar 1015'!$B:$B,AB$1)</f>
        <v>0</v>
      </c>
      <c r="AC294" s="20">
        <f>SUMIFS('Doc''s Pagos | Rodopar 108'!$J:$J,'Doc''s Pagos | Rodopar 108'!$A:$A,$B294&amp;$E294&amp;$F294&amp;$J294,'Doc''s Pagos | Rodopar 108'!$B:$B,AC$1)+SUMIFS('Doc Há Pagar | Rodopar 1015'!$J:$J,'Doc Há Pagar | Rodopar 1015'!$A:$A,$B294&amp;$E294&amp;$F294,'Doc Há Pagar | Rodopar 1015'!$B:$B,AC$1)</f>
        <v>0</v>
      </c>
      <c r="AD294" s="20">
        <f>SUMIFS('Doc''s Pagos | Rodopar 108'!$J:$J,'Doc''s Pagos | Rodopar 108'!$A:$A,$B294&amp;$E294&amp;$F294&amp;$J294,'Doc''s Pagos | Rodopar 108'!$B:$B,AD$1)+SUMIFS('Doc Há Pagar | Rodopar 1015'!$J:$J,'Doc Há Pagar | Rodopar 1015'!$A:$A,$B294&amp;$E294&amp;$F294,'Doc Há Pagar | Rodopar 1015'!$B:$B,AD$1)</f>
        <v>0</v>
      </c>
    </row>
    <row r="295" spans="1:30" x14ac:dyDescent="0.25">
      <c r="A295" s="1" t="str">
        <f>VLOOKUP($E295,Fornecedores!$A:$C,3,0)</f>
        <v>Frota</v>
      </c>
      <c r="B295" s="14" t="s">
        <v>323</v>
      </c>
      <c r="C295" s="14" t="str">
        <f>IFERROR(VLOOKUP($E295,Fornecedores!$A:$E,4,0),"")</f>
        <v>OPE Merchandising</v>
      </c>
      <c r="D295" s="14" t="str">
        <f>IFERROR(VLOOKUP($E295,Fornecedores!$A:$E,5,0),"")</f>
        <v>Locação</v>
      </c>
      <c r="E295" s="8" t="s">
        <v>112</v>
      </c>
      <c r="F295" s="14" t="s">
        <v>232</v>
      </c>
      <c r="G295" s="8" t="s">
        <v>289</v>
      </c>
      <c r="H295" s="9">
        <v>87</v>
      </c>
      <c r="I295" s="21">
        <v>370</v>
      </c>
      <c r="J295" s="11">
        <v>46218</v>
      </c>
      <c r="K295" s="11">
        <v>46224</v>
      </c>
      <c r="L295" s="8" t="s">
        <v>233</v>
      </c>
      <c r="M295" s="14" t="s">
        <v>234</v>
      </c>
      <c r="N295" s="16">
        <v>1556</v>
      </c>
      <c r="O295" s="14" t="s">
        <v>241</v>
      </c>
      <c r="P295" s="14"/>
      <c r="Q295" s="20">
        <f t="shared" si="4"/>
        <v>0</v>
      </c>
      <c r="S295" s="20">
        <f>SUMIFS('Doc''s Pagos | Rodopar 108'!$J:$J,'Doc''s Pagos | Rodopar 108'!$A:$A,$B295&amp;$E295&amp;$F295&amp;$J295,'Doc''s Pagos | Rodopar 108'!$B:$B,S$1)+SUMIFS('Doc Há Pagar | Rodopar 1015'!$J:$J,'Doc Há Pagar | Rodopar 1015'!$A:$A,$B295&amp;$E295&amp;$F295,'Doc Há Pagar | Rodopar 1015'!$B:$B,S$1)</f>
        <v>0</v>
      </c>
      <c r="T295" s="20">
        <f>SUMIFS('Doc''s Pagos | Rodopar 108'!$J:$J,'Doc''s Pagos | Rodopar 108'!$A:$A,$B295&amp;$E295&amp;$F295&amp;$J295,'Doc''s Pagos | Rodopar 108'!$B:$B,T$1)+SUMIFS('Doc Há Pagar | Rodopar 1015'!$J:$J,'Doc Há Pagar | Rodopar 1015'!$A:$A,$B295&amp;$E295&amp;$F295,'Doc Há Pagar | Rodopar 1015'!$B:$B,T$1)</f>
        <v>0</v>
      </c>
      <c r="U295" s="20">
        <f>SUMIFS('Doc''s Pagos | Rodopar 108'!$J:$J,'Doc''s Pagos | Rodopar 108'!$A:$A,$B295&amp;$E295&amp;$F295&amp;$J295,'Doc''s Pagos | Rodopar 108'!$B:$B,U$1)+SUMIFS('Doc Há Pagar | Rodopar 1015'!$J:$J,'Doc Há Pagar | Rodopar 1015'!$A:$A,$B295&amp;$E295&amp;$F295,'Doc Há Pagar | Rodopar 1015'!$B:$B,U$1)</f>
        <v>0</v>
      </c>
      <c r="V295" s="20">
        <f>SUMIFS('Doc''s Pagos | Rodopar 108'!$J:$J,'Doc''s Pagos | Rodopar 108'!$A:$A,$B295&amp;$E295&amp;$F295&amp;$J295,'Doc''s Pagos | Rodopar 108'!$B:$B,V$1)+SUMIFS('Doc Há Pagar | Rodopar 1015'!$J:$J,'Doc Há Pagar | Rodopar 1015'!$A:$A,$B295&amp;$E295&amp;$F295,'Doc Há Pagar | Rodopar 1015'!$B:$B,V$1)</f>
        <v>0</v>
      </c>
      <c r="W295" s="20">
        <f>SUMIFS('Doc''s Pagos | Rodopar 108'!$J:$J,'Doc''s Pagos | Rodopar 108'!$A:$A,$B295&amp;$E295&amp;$F295&amp;$J295,'Doc''s Pagos | Rodopar 108'!$B:$B,W$1)+SUMIFS('Doc Há Pagar | Rodopar 1015'!$J:$J,'Doc Há Pagar | Rodopar 1015'!$A:$A,$B295&amp;$E295&amp;$F295,'Doc Há Pagar | Rodopar 1015'!$B:$B,W$1)</f>
        <v>0</v>
      </c>
      <c r="X295" s="20">
        <f>SUMIFS('Doc''s Pagos | Rodopar 108'!$J:$J,'Doc''s Pagos | Rodopar 108'!$A:$A,$B295&amp;$E295&amp;$F295&amp;$J295,'Doc''s Pagos | Rodopar 108'!$B:$B,X$1)+SUMIFS('Doc Há Pagar | Rodopar 1015'!$J:$J,'Doc Há Pagar | Rodopar 1015'!$A:$A,$B295&amp;$E295&amp;$F295,'Doc Há Pagar | Rodopar 1015'!$B:$B,X$1)</f>
        <v>0</v>
      </c>
      <c r="Y295" s="20">
        <f>SUMIFS('Doc''s Pagos | Rodopar 108'!$J:$J,'Doc''s Pagos | Rodopar 108'!$A:$A,$B295&amp;$E295&amp;$F295&amp;$J295,'Doc''s Pagos | Rodopar 108'!$B:$B,Y$1)+SUMIFS('Doc Há Pagar | Rodopar 1015'!$J:$J,'Doc Há Pagar | Rodopar 1015'!$A:$A,$B295&amp;$E295&amp;$F295,'Doc Há Pagar | Rodopar 1015'!$B:$B,Y$1)</f>
        <v>0</v>
      </c>
      <c r="Z295" s="20">
        <f>SUMIFS('Doc''s Pagos | Rodopar 108'!$J:$J,'Doc''s Pagos | Rodopar 108'!$A:$A,$B295&amp;$E295&amp;$F295&amp;$J295,'Doc''s Pagos | Rodopar 108'!$B:$B,Z$1)+SUMIFS('Doc Há Pagar | Rodopar 1015'!$J:$J,'Doc Há Pagar | Rodopar 1015'!$A:$A,$B295&amp;$E295&amp;$F295,'Doc Há Pagar | Rodopar 1015'!$B:$B,Z$1)</f>
        <v>370</v>
      </c>
      <c r="AA295" s="20">
        <f>SUMIFS('Doc''s Pagos | Rodopar 108'!$J:$J,'Doc''s Pagos | Rodopar 108'!$A:$A,$B295&amp;$E295&amp;$F295&amp;$J295,'Doc''s Pagos | Rodopar 108'!$B:$B,AA$1)+SUMIFS('Doc Há Pagar | Rodopar 1015'!$J:$J,'Doc Há Pagar | Rodopar 1015'!$A:$A,$B295&amp;$E295&amp;$F295,'Doc Há Pagar | Rodopar 1015'!$B:$B,AA$1)</f>
        <v>0</v>
      </c>
      <c r="AB295" s="20">
        <f>SUMIFS('Doc''s Pagos | Rodopar 108'!$J:$J,'Doc''s Pagos | Rodopar 108'!$A:$A,$B295&amp;$E295&amp;$F295&amp;$J295,'Doc''s Pagos | Rodopar 108'!$B:$B,AB$1)+SUMIFS('Doc Há Pagar | Rodopar 1015'!$J:$J,'Doc Há Pagar | Rodopar 1015'!$A:$A,$B295&amp;$E295&amp;$F295,'Doc Há Pagar | Rodopar 1015'!$B:$B,AB$1)</f>
        <v>0</v>
      </c>
      <c r="AC295" s="20">
        <f>SUMIFS('Doc''s Pagos | Rodopar 108'!$J:$J,'Doc''s Pagos | Rodopar 108'!$A:$A,$B295&amp;$E295&amp;$F295&amp;$J295,'Doc''s Pagos | Rodopar 108'!$B:$B,AC$1)+SUMIFS('Doc Há Pagar | Rodopar 1015'!$J:$J,'Doc Há Pagar | Rodopar 1015'!$A:$A,$B295&amp;$E295&amp;$F295,'Doc Há Pagar | Rodopar 1015'!$B:$B,AC$1)</f>
        <v>0</v>
      </c>
      <c r="AD295" s="20">
        <f>SUMIFS('Doc''s Pagos | Rodopar 108'!$J:$J,'Doc''s Pagos | Rodopar 108'!$A:$A,$B295&amp;$E295&amp;$F295&amp;$J295,'Doc''s Pagos | Rodopar 108'!$B:$B,AD$1)+SUMIFS('Doc Há Pagar | Rodopar 1015'!$J:$J,'Doc Há Pagar | Rodopar 1015'!$A:$A,$B295&amp;$E295&amp;$F295,'Doc Há Pagar | Rodopar 1015'!$B:$B,AD$1)</f>
        <v>0</v>
      </c>
    </row>
    <row r="296" spans="1:30" x14ac:dyDescent="0.25">
      <c r="A296" s="1" t="str">
        <f>VLOOKUP($E296,Fornecedores!$A:$C,3,0)</f>
        <v>Frota</v>
      </c>
      <c r="B296" s="14" t="s">
        <v>324</v>
      </c>
      <c r="C296" s="14" t="str">
        <f>IFERROR(VLOOKUP($E296,Fornecedores!$A:$E,4,0),"")</f>
        <v>OPE Merchandising</v>
      </c>
      <c r="D296" s="14" t="str">
        <f>IFERROR(VLOOKUP($E296,Fornecedores!$A:$E,5,0),"")</f>
        <v>Locação</v>
      </c>
      <c r="E296" s="8" t="s">
        <v>112</v>
      </c>
      <c r="F296" s="14" t="s">
        <v>232</v>
      </c>
      <c r="G296" s="8" t="s">
        <v>289</v>
      </c>
      <c r="H296" s="9">
        <v>87</v>
      </c>
      <c r="I296" s="21">
        <v>347.36</v>
      </c>
      <c r="J296" s="11">
        <v>46218</v>
      </c>
      <c r="K296" s="11">
        <v>46224</v>
      </c>
      <c r="L296" s="8" t="s">
        <v>233</v>
      </c>
      <c r="M296" s="14" t="s">
        <v>234</v>
      </c>
      <c r="N296" s="16">
        <v>1556</v>
      </c>
      <c r="O296" s="14" t="s">
        <v>241</v>
      </c>
      <c r="P296" s="14"/>
      <c r="Q296" s="20">
        <f t="shared" si="4"/>
        <v>0</v>
      </c>
      <c r="S296" s="20">
        <f>SUMIFS('Doc''s Pagos | Rodopar 108'!$J:$J,'Doc''s Pagos | Rodopar 108'!$A:$A,$B296&amp;$E296&amp;$F296&amp;$J296,'Doc''s Pagos | Rodopar 108'!$B:$B,S$1)+SUMIFS('Doc Há Pagar | Rodopar 1015'!$J:$J,'Doc Há Pagar | Rodopar 1015'!$A:$A,$B296&amp;$E296&amp;$F296,'Doc Há Pagar | Rodopar 1015'!$B:$B,S$1)</f>
        <v>0</v>
      </c>
      <c r="T296" s="20">
        <f>SUMIFS('Doc''s Pagos | Rodopar 108'!$J:$J,'Doc''s Pagos | Rodopar 108'!$A:$A,$B296&amp;$E296&amp;$F296&amp;$J296,'Doc''s Pagos | Rodopar 108'!$B:$B,T$1)+SUMIFS('Doc Há Pagar | Rodopar 1015'!$J:$J,'Doc Há Pagar | Rodopar 1015'!$A:$A,$B296&amp;$E296&amp;$F296,'Doc Há Pagar | Rodopar 1015'!$B:$B,T$1)</f>
        <v>0</v>
      </c>
      <c r="U296" s="20">
        <f>SUMIFS('Doc''s Pagos | Rodopar 108'!$J:$J,'Doc''s Pagos | Rodopar 108'!$A:$A,$B296&amp;$E296&amp;$F296&amp;$J296,'Doc''s Pagos | Rodopar 108'!$B:$B,U$1)+SUMIFS('Doc Há Pagar | Rodopar 1015'!$J:$J,'Doc Há Pagar | Rodopar 1015'!$A:$A,$B296&amp;$E296&amp;$F296,'Doc Há Pagar | Rodopar 1015'!$B:$B,U$1)</f>
        <v>0</v>
      </c>
      <c r="V296" s="20">
        <f>SUMIFS('Doc''s Pagos | Rodopar 108'!$J:$J,'Doc''s Pagos | Rodopar 108'!$A:$A,$B296&amp;$E296&amp;$F296&amp;$J296,'Doc''s Pagos | Rodopar 108'!$B:$B,V$1)+SUMIFS('Doc Há Pagar | Rodopar 1015'!$J:$J,'Doc Há Pagar | Rodopar 1015'!$A:$A,$B296&amp;$E296&amp;$F296,'Doc Há Pagar | Rodopar 1015'!$B:$B,V$1)</f>
        <v>0</v>
      </c>
      <c r="W296" s="20">
        <f>SUMIFS('Doc''s Pagos | Rodopar 108'!$J:$J,'Doc''s Pagos | Rodopar 108'!$A:$A,$B296&amp;$E296&amp;$F296&amp;$J296,'Doc''s Pagos | Rodopar 108'!$B:$B,W$1)+SUMIFS('Doc Há Pagar | Rodopar 1015'!$J:$J,'Doc Há Pagar | Rodopar 1015'!$A:$A,$B296&amp;$E296&amp;$F296,'Doc Há Pagar | Rodopar 1015'!$B:$B,W$1)</f>
        <v>0</v>
      </c>
      <c r="X296" s="20">
        <f>SUMIFS('Doc''s Pagos | Rodopar 108'!$J:$J,'Doc''s Pagos | Rodopar 108'!$A:$A,$B296&amp;$E296&amp;$F296&amp;$J296,'Doc''s Pagos | Rodopar 108'!$B:$B,X$1)+SUMIFS('Doc Há Pagar | Rodopar 1015'!$J:$J,'Doc Há Pagar | Rodopar 1015'!$A:$A,$B296&amp;$E296&amp;$F296,'Doc Há Pagar | Rodopar 1015'!$B:$B,X$1)</f>
        <v>0</v>
      </c>
      <c r="Y296" s="20">
        <f>SUMIFS('Doc''s Pagos | Rodopar 108'!$J:$J,'Doc''s Pagos | Rodopar 108'!$A:$A,$B296&amp;$E296&amp;$F296&amp;$J296,'Doc''s Pagos | Rodopar 108'!$B:$B,Y$1)+SUMIFS('Doc Há Pagar | Rodopar 1015'!$J:$J,'Doc Há Pagar | Rodopar 1015'!$A:$A,$B296&amp;$E296&amp;$F296,'Doc Há Pagar | Rodopar 1015'!$B:$B,Y$1)</f>
        <v>0</v>
      </c>
      <c r="Z296" s="20">
        <f>SUMIFS('Doc''s Pagos | Rodopar 108'!$J:$J,'Doc''s Pagos | Rodopar 108'!$A:$A,$B296&amp;$E296&amp;$F296&amp;$J296,'Doc''s Pagos | Rodopar 108'!$B:$B,Z$1)+SUMIFS('Doc Há Pagar | Rodopar 1015'!$J:$J,'Doc Há Pagar | Rodopar 1015'!$A:$A,$B296&amp;$E296&amp;$F296,'Doc Há Pagar | Rodopar 1015'!$B:$B,Z$1)</f>
        <v>347.36</v>
      </c>
      <c r="AA296" s="20">
        <f>SUMIFS('Doc''s Pagos | Rodopar 108'!$J:$J,'Doc''s Pagos | Rodopar 108'!$A:$A,$B296&amp;$E296&amp;$F296&amp;$J296,'Doc''s Pagos | Rodopar 108'!$B:$B,AA$1)+SUMIFS('Doc Há Pagar | Rodopar 1015'!$J:$J,'Doc Há Pagar | Rodopar 1015'!$A:$A,$B296&amp;$E296&amp;$F296,'Doc Há Pagar | Rodopar 1015'!$B:$B,AA$1)</f>
        <v>0</v>
      </c>
      <c r="AB296" s="20">
        <f>SUMIFS('Doc''s Pagos | Rodopar 108'!$J:$J,'Doc''s Pagos | Rodopar 108'!$A:$A,$B296&amp;$E296&amp;$F296&amp;$J296,'Doc''s Pagos | Rodopar 108'!$B:$B,AB$1)+SUMIFS('Doc Há Pagar | Rodopar 1015'!$J:$J,'Doc Há Pagar | Rodopar 1015'!$A:$A,$B296&amp;$E296&amp;$F296,'Doc Há Pagar | Rodopar 1015'!$B:$B,AB$1)</f>
        <v>0</v>
      </c>
      <c r="AC296" s="20">
        <f>SUMIFS('Doc''s Pagos | Rodopar 108'!$J:$J,'Doc''s Pagos | Rodopar 108'!$A:$A,$B296&amp;$E296&amp;$F296&amp;$J296,'Doc''s Pagos | Rodopar 108'!$B:$B,AC$1)+SUMIFS('Doc Há Pagar | Rodopar 1015'!$J:$J,'Doc Há Pagar | Rodopar 1015'!$A:$A,$B296&amp;$E296&amp;$F296,'Doc Há Pagar | Rodopar 1015'!$B:$B,AC$1)</f>
        <v>0</v>
      </c>
      <c r="AD296" s="20">
        <f>SUMIFS('Doc''s Pagos | Rodopar 108'!$J:$J,'Doc''s Pagos | Rodopar 108'!$A:$A,$B296&amp;$E296&amp;$F296&amp;$J296,'Doc''s Pagos | Rodopar 108'!$B:$B,AD$1)+SUMIFS('Doc Há Pagar | Rodopar 1015'!$J:$J,'Doc Há Pagar | Rodopar 1015'!$A:$A,$B296&amp;$E296&amp;$F296,'Doc Há Pagar | Rodopar 1015'!$B:$B,AD$1)</f>
        <v>0</v>
      </c>
    </row>
    <row r="297" spans="1:30" x14ac:dyDescent="0.25">
      <c r="A297" s="1" t="str">
        <f>VLOOKUP($E297,Fornecedores!$A:$C,3,0)</f>
        <v>Frota</v>
      </c>
      <c r="B297" s="14" t="s">
        <v>325</v>
      </c>
      <c r="C297" s="14" t="str">
        <f>IFERROR(VLOOKUP($E297,Fornecedores!$A:$E,4,0),"")</f>
        <v>OPE Merchandising</v>
      </c>
      <c r="D297" s="14" t="str">
        <f>IFERROR(VLOOKUP($E297,Fornecedores!$A:$E,5,0),"")</f>
        <v>Locação</v>
      </c>
      <c r="E297" s="8" t="s">
        <v>112</v>
      </c>
      <c r="F297" s="14" t="s">
        <v>232</v>
      </c>
      <c r="G297" s="8" t="s">
        <v>289</v>
      </c>
      <c r="H297" s="9">
        <v>87</v>
      </c>
      <c r="I297" s="21">
        <v>269.77999999999997</v>
      </c>
      <c r="J297" s="11">
        <v>46218</v>
      </c>
      <c r="K297" s="11">
        <v>46224</v>
      </c>
      <c r="L297" s="8" t="s">
        <v>233</v>
      </c>
      <c r="M297" s="14" t="s">
        <v>234</v>
      </c>
      <c r="N297" s="16">
        <v>1556</v>
      </c>
      <c r="O297" s="14" t="s">
        <v>241</v>
      </c>
      <c r="P297" s="14"/>
      <c r="Q297" s="20">
        <f t="shared" si="4"/>
        <v>0</v>
      </c>
      <c r="S297" s="20">
        <f>SUMIFS('Doc''s Pagos | Rodopar 108'!$J:$J,'Doc''s Pagos | Rodopar 108'!$A:$A,$B297&amp;$E297&amp;$F297&amp;$J297,'Doc''s Pagos | Rodopar 108'!$B:$B,S$1)+SUMIFS('Doc Há Pagar | Rodopar 1015'!$J:$J,'Doc Há Pagar | Rodopar 1015'!$A:$A,$B297&amp;$E297&amp;$F297,'Doc Há Pagar | Rodopar 1015'!$B:$B,S$1)</f>
        <v>0</v>
      </c>
      <c r="T297" s="20">
        <f>SUMIFS('Doc''s Pagos | Rodopar 108'!$J:$J,'Doc''s Pagos | Rodopar 108'!$A:$A,$B297&amp;$E297&amp;$F297&amp;$J297,'Doc''s Pagos | Rodopar 108'!$B:$B,T$1)+SUMIFS('Doc Há Pagar | Rodopar 1015'!$J:$J,'Doc Há Pagar | Rodopar 1015'!$A:$A,$B297&amp;$E297&amp;$F297,'Doc Há Pagar | Rodopar 1015'!$B:$B,T$1)</f>
        <v>0</v>
      </c>
      <c r="U297" s="20">
        <f>SUMIFS('Doc''s Pagos | Rodopar 108'!$J:$J,'Doc''s Pagos | Rodopar 108'!$A:$A,$B297&amp;$E297&amp;$F297&amp;$J297,'Doc''s Pagos | Rodopar 108'!$B:$B,U$1)+SUMIFS('Doc Há Pagar | Rodopar 1015'!$J:$J,'Doc Há Pagar | Rodopar 1015'!$A:$A,$B297&amp;$E297&amp;$F297,'Doc Há Pagar | Rodopar 1015'!$B:$B,U$1)</f>
        <v>0</v>
      </c>
      <c r="V297" s="20">
        <f>SUMIFS('Doc''s Pagos | Rodopar 108'!$J:$J,'Doc''s Pagos | Rodopar 108'!$A:$A,$B297&amp;$E297&amp;$F297&amp;$J297,'Doc''s Pagos | Rodopar 108'!$B:$B,V$1)+SUMIFS('Doc Há Pagar | Rodopar 1015'!$J:$J,'Doc Há Pagar | Rodopar 1015'!$A:$A,$B297&amp;$E297&amp;$F297,'Doc Há Pagar | Rodopar 1015'!$B:$B,V$1)</f>
        <v>0</v>
      </c>
      <c r="W297" s="20">
        <f>SUMIFS('Doc''s Pagos | Rodopar 108'!$J:$J,'Doc''s Pagos | Rodopar 108'!$A:$A,$B297&amp;$E297&amp;$F297&amp;$J297,'Doc''s Pagos | Rodopar 108'!$B:$B,W$1)+SUMIFS('Doc Há Pagar | Rodopar 1015'!$J:$J,'Doc Há Pagar | Rodopar 1015'!$A:$A,$B297&amp;$E297&amp;$F297,'Doc Há Pagar | Rodopar 1015'!$B:$B,W$1)</f>
        <v>0</v>
      </c>
      <c r="X297" s="20">
        <f>SUMIFS('Doc''s Pagos | Rodopar 108'!$J:$J,'Doc''s Pagos | Rodopar 108'!$A:$A,$B297&amp;$E297&amp;$F297&amp;$J297,'Doc''s Pagos | Rodopar 108'!$B:$B,X$1)+SUMIFS('Doc Há Pagar | Rodopar 1015'!$J:$J,'Doc Há Pagar | Rodopar 1015'!$A:$A,$B297&amp;$E297&amp;$F297,'Doc Há Pagar | Rodopar 1015'!$B:$B,X$1)</f>
        <v>0</v>
      </c>
      <c r="Y297" s="20">
        <f>SUMIFS('Doc''s Pagos | Rodopar 108'!$J:$J,'Doc''s Pagos | Rodopar 108'!$A:$A,$B297&amp;$E297&amp;$F297&amp;$J297,'Doc''s Pagos | Rodopar 108'!$B:$B,Y$1)+SUMIFS('Doc Há Pagar | Rodopar 1015'!$J:$J,'Doc Há Pagar | Rodopar 1015'!$A:$A,$B297&amp;$E297&amp;$F297,'Doc Há Pagar | Rodopar 1015'!$B:$B,Y$1)</f>
        <v>0</v>
      </c>
      <c r="Z297" s="20">
        <f>SUMIFS('Doc''s Pagos | Rodopar 108'!$J:$J,'Doc''s Pagos | Rodopar 108'!$A:$A,$B297&amp;$E297&amp;$F297&amp;$J297,'Doc''s Pagos | Rodopar 108'!$B:$B,Z$1)+SUMIFS('Doc Há Pagar | Rodopar 1015'!$J:$J,'Doc Há Pagar | Rodopar 1015'!$A:$A,$B297&amp;$E297&amp;$F297,'Doc Há Pagar | Rodopar 1015'!$B:$B,Z$1)</f>
        <v>269.77999999999997</v>
      </c>
      <c r="AA297" s="20">
        <f>SUMIFS('Doc''s Pagos | Rodopar 108'!$J:$J,'Doc''s Pagos | Rodopar 108'!$A:$A,$B297&amp;$E297&amp;$F297&amp;$J297,'Doc''s Pagos | Rodopar 108'!$B:$B,AA$1)+SUMIFS('Doc Há Pagar | Rodopar 1015'!$J:$J,'Doc Há Pagar | Rodopar 1015'!$A:$A,$B297&amp;$E297&amp;$F297,'Doc Há Pagar | Rodopar 1015'!$B:$B,AA$1)</f>
        <v>0</v>
      </c>
      <c r="AB297" s="20">
        <f>SUMIFS('Doc''s Pagos | Rodopar 108'!$J:$J,'Doc''s Pagos | Rodopar 108'!$A:$A,$B297&amp;$E297&amp;$F297&amp;$J297,'Doc''s Pagos | Rodopar 108'!$B:$B,AB$1)+SUMIFS('Doc Há Pagar | Rodopar 1015'!$J:$J,'Doc Há Pagar | Rodopar 1015'!$A:$A,$B297&amp;$E297&amp;$F297,'Doc Há Pagar | Rodopar 1015'!$B:$B,AB$1)</f>
        <v>0</v>
      </c>
      <c r="AC297" s="20">
        <f>SUMIFS('Doc''s Pagos | Rodopar 108'!$J:$J,'Doc''s Pagos | Rodopar 108'!$A:$A,$B297&amp;$E297&amp;$F297&amp;$J297,'Doc''s Pagos | Rodopar 108'!$B:$B,AC$1)+SUMIFS('Doc Há Pagar | Rodopar 1015'!$J:$J,'Doc Há Pagar | Rodopar 1015'!$A:$A,$B297&amp;$E297&amp;$F297,'Doc Há Pagar | Rodopar 1015'!$B:$B,AC$1)</f>
        <v>0</v>
      </c>
      <c r="AD297" s="20">
        <f>SUMIFS('Doc''s Pagos | Rodopar 108'!$J:$J,'Doc''s Pagos | Rodopar 108'!$A:$A,$B297&amp;$E297&amp;$F297&amp;$J297,'Doc''s Pagos | Rodopar 108'!$B:$B,AD$1)+SUMIFS('Doc Há Pagar | Rodopar 1015'!$J:$J,'Doc Há Pagar | Rodopar 1015'!$A:$A,$B297&amp;$E297&amp;$F297,'Doc Há Pagar | Rodopar 1015'!$B:$B,AD$1)</f>
        <v>0</v>
      </c>
    </row>
    <row r="298" spans="1:30" x14ac:dyDescent="0.25">
      <c r="A298" s="1" t="str">
        <f>VLOOKUP($E298,Fornecedores!$A:$C,3,0)</f>
        <v>Frota</v>
      </c>
      <c r="B298" s="14">
        <v>14803</v>
      </c>
      <c r="C298" s="14" t="str">
        <f>IFERROR(VLOOKUP($E298,Fornecedores!$A:$E,4,0),"")</f>
        <v>Manutenção</v>
      </c>
      <c r="D298" s="14" t="str">
        <f>IFERROR(VLOOKUP($E298,Fornecedores!$A:$E,5,0),"")</f>
        <v>Peças E Serviços</v>
      </c>
      <c r="E298" s="8" t="s">
        <v>195</v>
      </c>
      <c r="F298" s="14" t="s">
        <v>380</v>
      </c>
      <c r="G298" s="8" t="s">
        <v>418</v>
      </c>
      <c r="H298" s="9">
        <v>87</v>
      </c>
      <c r="I298" s="21">
        <v>767</v>
      </c>
      <c r="J298" s="11">
        <v>46218</v>
      </c>
      <c r="K298" s="11">
        <v>46220</v>
      </c>
      <c r="L298" s="8" t="s">
        <v>282</v>
      </c>
      <c r="M298" s="14" t="s">
        <v>234</v>
      </c>
      <c r="N298" s="16">
        <v>1556</v>
      </c>
      <c r="O298" s="14" t="s">
        <v>250</v>
      </c>
      <c r="P298" s="14"/>
      <c r="Q298" s="20">
        <f t="shared" si="4"/>
        <v>0</v>
      </c>
      <c r="S298" s="20">
        <f>SUMIFS('Doc''s Pagos | Rodopar 108'!$J:$J,'Doc''s Pagos | Rodopar 108'!$A:$A,$B298&amp;$E298&amp;$F298&amp;$J298,'Doc''s Pagos | Rodopar 108'!$B:$B,S$1)+SUMIFS('Doc Há Pagar | Rodopar 1015'!$J:$J,'Doc Há Pagar | Rodopar 1015'!$A:$A,$B298&amp;$E298&amp;$F298,'Doc Há Pagar | Rodopar 1015'!$B:$B,S$1)</f>
        <v>0</v>
      </c>
      <c r="T298" s="20">
        <f>SUMIFS('Doc''s Pagos | Rodopar 108'!$J:$J,'Doc''s Pagos | Rodopar 108'!$A:$A,$B298&amp;$E298&amp;$F298&amp;$J298,'Doc''s Pagos | Rodopar 108'!$B:$B,T$1)+SUMIFS('Doc Há Pagar | Rodopar 1015'!$J:$J,'Doc Há Pagar | Rodopar 1015'!$A:$A,$B298&amp;$E298&amp;$F298,'Doc Há Pagar | Rodopar 1015'!$B:$B,T$1)</f>
        <v>0</v>
      </c>
      <c r="U298" s="20">
        <f>SUMIFS('Doc''s Pagos | Rodopar 108'!$J:$J,'Doc''s Pagos | Rodopar 108'!$A:$A,$B298&amp;$E298&amp;$F298&amp;$J298,'Doc''s Pagos | Rodopar 108'!$B:$B,U$1)+SUMIFS('Doc Há Pagar | Rodopar 1015'!$J:$J,'Doc Há Pagar | Rodopar 1015'!$A:$A,$B298&amp;$E298&amp;$F298,'Doc Há Pagar | Rodopar 1015'!$B:$B,U$1)</f>
        <v>0</v>
      </c>
      <c r="V298" s="20">
        <f>SUMIFS('Doc''s Pagos | Rodopar 108'!$J:$J,'Doc''s Pagos | Rodopar 108'!$A:$A,$B298&amp;$E298&amp;$F298&amp;$J298,'Doc''s Pagos | Rodopar 108'!$B:$B,V$1)+SUMIFS('Doc Há Pagar | Rodopar 1015'!$J:$J,'Doc Há Pagar | Rodopar 1015'!$A:$A,$B298&amp;$E298&amp;$F298,'Doc Há Pagar | Rodopar 1015'!$B:$B,V$1)</f>
        <v>0</v>
      </c>
      <c r="W298" s="20">
        <f>SUMIFS('Doc''s Pagos | Rodopar 108'!$J:$J,'Doc''s Pagos | Rodopar 108'!$A:$A,$B298&amp;$E298&amp;$F298&amp;$J298,'Doc''s Pagos | Rodopar 108'!$B:$B,W$1)+SUMIFS('Doc Há Pagar | Rodopar 1015'!$J:$J,'Doc Há Pagar | Rodopar 1015'!$A:$A,$B298&amp;$E298&amp;$F298,'Doc Há Pagar | Rodopar 1015'!$B:$B,W$1)</f>
        <v>0</v>
      </c>
      <c r="X298" s="20">
        <f>SUMIFS('Doc''s Pagos | Rodopar 108'!$J:$J,'Doc''s Pagos | Rodopar 108'!$A:$A,$B298&amp;$E298&amp;$F298&amp;$J298,'Doc''s Pagos | Rodopar 108'!$B:$B,X$1)+SUMIFS('Doc Há Pagar | Rodopar 1015'!$J:$J,'Doc Há Pagar | Rodopar 1015'!$A:$A,$B298&amp;$E298&amp;$F298,'Doc Há Pagar | Rodopar 1015'!$B:$B,X$1)</f>
        <v>0</v>
      </c>
      <c r="Y298" s="20">
        <f>SUMIFS('Doc''s Pagos | Rodopar 108'!$J:$J,'Doc''s Pagos | Rodopar 108'!$A:$A,$B298&amp;$E298&amp;$F298&amp;$J298,'Doc''s Pagos | Rodopar 108'!$B:$B,Y$1)+SUMIFS('Doc Há Pagar | Rodopar 1015'!$J:$J,'Doc Há Pagar | Rodopar 1015'!$A:$A,$B298&amp;$E298&amp;$F298,'Doc Há Pagar | Rodopar 1015'!$B:$B,Y$1)</f>
        <v>0</v>
      </c>
      <c r="Z298" s="20">
        <f>SUMIFS('Doc''s Pagos | Rodopar 108'!$J:$J,'Doc''s Pagos | Rodopar 108'!$A:$A,$B298&amp;$E298&amp;$F298&amp;$J298,'Doc''s Pagos | Rodopar 108'!$B:$B,Z$1)+SUMIFS('Doc Há Pagar | Rodopar 1015'!$J:$J,'Doc Há Pagar | Rodopar 1015'!$A:$A,$B298&amp;$E298&amp;$F298,'Doc Há Pagar | Rodopar 1015'!$B:$B,Z$1)</f>
        <v>767</v>
      </c>
      <c r="AA298" s="20">
        <f>SUMIFS('Doc''s Pagos | Rodopar 108'!$J:$J,'Doc''s Pagos | Rodopar 108'!$A:$A,$B298&amp;$E298&amp;$F298&amp;$J298,'Doc''s Pagos | Rodopar 108'!$B:$B,AA$1)+SUMIFS('Doc Há Pagar | Rodopar 1015'!$J:$J,'Doc Há Pagar | Rodopar 1015'!$A:$A,$B298&amp;$E298&amp;$F298,'Doc Há Pagar | Rodopar 1015'!$B:$B,AA$1)</f>
        <v>0</v>
      </c>
      <c r="AB298" s="20">
        <f>SUMIFS('Doc''s Pagos | Rodopar 108'!$J:$J,'Doc''s Pagos | Rodopar 108'!$A:$A,$B298&amp;$E298&amp;$F298&amp;$J298,'Doc''s Pagos | Rodopar 108'!$B:$B,AB$1)+SUMIFS('Doc Há Pagar | Rodopar 1015'!$J:$J,'Doc Há Pagar | Rodopar 1015'!$A:$A,$B298&amp;$E298&amp;$F298,'Doc Há Pagar | Rodopar 1015'!$B:$B,AB$1)</f>
        <v>0</v>
      </c>
      <c r="AC298" s="20">
        <f>SUMIFS('Doc''s Pagos | Rodopar 108'!$J:$J,'Doc''s Pagos | Rodopar 108'!$A:$A,$B298&amp;$E298&amp;$F298&amp;$J298,'Doc''s Pagos | Rodopar 108'!$B:$B,AC$1)+SUMIFS('Doc Há Pagar | Rodopar 1015'!$J:$J,'Doc Há Pagar | Rodopar 1015'!$A:$A,$B298&amp;$E298&amp;$F298,'Doc Há Pagar | Rodopar 1015'!$B:$B,AC$1)</f>
        <v>0</v>
      </c>
      <c r="AD298" s="20">
        <f>SUMIFS('Doc''s Pagos | Rodopar 108'!$J:$J,'Doc''s Pagos | Rodopar 108'!$A:$A,$B298&amp;$E298&amp;$F298&amp;$J298,'Doc''s Pagos | Rodopar 108'!$B:$B,AD$1)+SUMIFS('Doc Há Pagar | Rodopar 1015'!$J:$J,'Doc Há Pagar | Rodopar 1015'!$A:$A,$B298&amp;$E298&amp;$F298,'Doc Há Pagar | Rodopar 1015'!$B:$B,AD$1)</f>
        <v>0</v>
      </c>
    </row>
    <row r="299" spans="1:30" x14ac:dyDescent="0.25">
      <c r="A299" s="1" t="str">
        <f>VLOOKUP($E299,Fornecedores!$A:$C,3,0)</f>
        <v>Frota</v>
      </c>
      <c r="B299" s="14">
        <v>14804</v>
      </c>
      <c r="C299" s="14" t="str">
        <f>IFERROR(VLOOKUP($E299,Fornecedores!$A:$E,4,0),"")</f>
        <v>Manutenção</v>
      </c>
      <c r="D299" s="14" t="str">
        <f>IFERROR(VLOOKUP($E299,Fornecedores!$A:$E,5,0),"")</f>
        <v>Peças E Serviços</v>
      </c>
      <c r="E299" s="8" t="s">
        <v>195</v>
      </c>
      <c r="F299" s="14" t="s">
        <v>380</v>
      </c>
      <c r="G299" s="8" t="s">
        <v>418</v>
      </c>
      <c r="H299" s="9">
        <v>87</v>
      </c>
      <c r="I299" s="21">
        <v>549.79999999999995</v>
      </c>
      <c r="J299" s="11">
        <v>46218</v>
      </c>
      <c r="K299" s="11">
        <v>46220</v>
      </c>
      <c r="L299" s="8" t="s">
        <v>282</v>
      </c>
      <c r="M299" s="14" t="s">
        <v>234</v>
      </c>
      <c r="N299" s="16">
        <v>1556</v>
      </c>
      <c r="O299" s="14" t="s">
        <v>250</v>
      </c>
      <c r="P299" s="14"/>
      <c r="Q299" s="20">
        <f t="shared" si="4"/>
        <v>0</v>
      </c>
      <c r="S299" s="20">
        <f>SUMIFS('Doc''s Pagos | Rodopar 108'!$J:$J,'Doc''s Pagos | Rodopar 108'!$A:$A,$B299&amp;$E299&amp;$F299&amp;$J299,'Doc''s Pagos | Rodopar 108'!$B:$B,S$1)+SUMIFS('Doc Há Pagar | Rodopar 1015'!$J:$J,'Doc Há Pagar | Rodopar 1015'!$A:$A,$B299&amp;$E299&amp;$F299,'Doc Há Pagar | Rodopar 1015'!$B:$B,S$1)</f>
        <v>0</v>
      </c>
      <c r="T299" s="20">
        <f>SUMIFS('Doc''s Pagos | Rodopar 108'!$J:$J,'Doc''s Pagos | Rodopar 108'!$A:$A,$B299&amp;$E299&amp;$F299&amp;$J299,'Doc''s Pagos | Rodopar 108'!$B:$B,T$1)+SUMIFS('Doc Há Pagar | Rodopar 1015'!$J:$J,'Doc Há Pagar | Rodopar 1015'!$A:$A,$B299&amp;$E299&amp;$F299,'Doc Há Pagar | Rodopar 1015'!$B:$B,T$1)</f>
        <v>0</v>
      </c>
      <c r="U299" s="20">
        <f>SUMIFS('Doc''s Pagos | Rodopar 108'!$J:$J,'Doc''s Pagos | Rodopar 108'!$A:$A,$B299&amp;$E299&amp;$F299&amp;$J299,'Doc''s Pagos | Rodopar 108'!$B:$B,U$1)+SUMIFS('Doc Há Pagar | Rodopar 1015'!$J:$J,'Doc Há Pagar | Rodopar 1015'!$A:$A,$B299&amp;$E299&amp;$F299,'Doc Há Pagar | Rodopar 1015'!$B:$B,U$1)</f>
        <v>0</v>
      </c>
      <c r="V299" s="20">
        <f>SUMIFS('Doc''s Pagos | Rodopar 108'!$J:$J,'Doc''s Pagos | Rodopar 108'!$A:$A,$B299&amp;$E299&amp;$F299&amp;$J299,'Doc''s Pagos | Rodopar 108'!$B:$B,V$1)+SUMIFS('Doc Há Pagar | Rodopar 1015'!$J:$J,'Doc Há Pagar | Rodopar 1015'!$A:$A,$B299&amp;$E299&amp;$F299,'Doc Há Pagar | Rodopar 1015'!$B:$B,V$1)</f>
        <v>0</v>
      </c>
      <c r="W299" s="20">
        <f>SUMIFS('Doc''s Pagos | Rodopar 108'!$J:$J,'Doc''s Pagos | Rodopar 108'!$A:$A,$B299&amp;$E299&amp;$F299&amp;$J299,'Doc''s Pagos | Rodopar 108'!$B:$B,W$1)+SUMIFS('Doc Há Pagar | Rodopar 1015'!$J:$J,'Doc Há Pagar | Rodopar 1015'!$A:$A,$B299&amp;$E299&amp;$F299,'Doc Há Pagar | Rodopar 1015'!$B:$B,W$1)</f>
        <v>0</v>
      </c>
      <c r="X299" s="20">
        <f>SUMIFS('Doc''s Pagos | Rodopar 108'!$J:$J,'Doc''s Pagos | Rodopar 108'!$A:$A,$B299&amp;$E299&amp;$F299&amp;$J299,'Doc''s Pagos | Rodopar 108'!$B:$B,X$1)+SUMIFS('Doc Há Pagar | Rodopar 1015'!$J:$J,'Doc Há Pagar | Rodopar 1015'!$A:$A,$B299&amp;$E299&amp;$F299,'Doc Há Pagar | Rodopar 1015'!$B:$B,X$1)</f>
        <v>0</v>
      </c>
      <c r="Y299" s="20">
        <f>SUMIFS('Doc''s Pagos | Rodopar 108'!$J:$J,'Doc''s Pagos | Rodopar 108'!$A:$A,$B299&amp;$E299&amp;$F299&amp;$J299,'Doc''s Pagos | Rodopar 108'!$B:$B,Y$1)+SUMIFS('Doc Há Pagar | Rodopar 1015'!$J:$J,'Doc Há Pagar | Rodopar 1015'!$A:$A,$B299&amp;$E299&amp;$F299,'Doc Há Pagar | Rodopar 1015'!$B:$B,Y$1)</f>
        <v>0</v>
      </c>
      <c r="Z299" s="20">
        <f>SUMIFS('Doc''s Pagos | Rodopar 108'!$J:$J,'Doc''s Pagos | Rodopar 108'!$A:$A,$B299&amp;$E299&amp;$F299&amp;$J299,'Doc''s Pagos | Rodopar 108'!$B:$B,Z$1)+SUMIFS('Doc Há Pagar | Rodopar 1015'!$J:$J,'Doc Há Pagar | Rodopar 1015'!$A:$A,$B299&amp;$E299&amp;$F299,'Doc Há Pagar | Rodopar 1015'!$B:$B,Z$1)</f>
        <v>549.79999999999995</v>
      </c>
      <c r="AA299" s="20">
        <f>SUMIFS('Doc''s Pagos | Rodopar 108'!$J:$J,'Doc''s Pagos | Rodopar 108'!$A:$A,$B299&amp;$E299&amp;$F299&amp;$J299,'Doc''s Pagos | Rodopar 108'!$B:$B,AA$1)+SUMIFS('Doc Há Pagar | Rodopar 1015'!$J:$J,'Doc Há Pagar | Rodopar 1015'!$A:$A,$B299&amp;$E299&amp;$F299,'Doc Há Pagar | Rodopar 1015'!$B:$B,AA$1)</f>
        <v>0</v>
      </c>
      <c r="AB299" s="20">
        <f>SUMIFS('Doc''s Pagos | Rodopar 108'!$J:$J,'Doc''s Pagos | Rodopar 108'!$A:$A,$B299&amp;$E299&amp;$F299&amp;$J299,'Doc''s Pagos | Rodopar 108'!$B:$B,AB$1)+SUMIFS('Doc Há Pagar | Rodopar 1015'!$J:$J,'Doc Há Pagar | Rodopar 1015'!$A:$A,$B299&amp;$E299&amp;$F299,'Doc Há Pagar | Rodopar 1015'!$B:$B,AB$1)</f>
        <v>0</v>
      </c>
      <c r="AC299" s="20">
        <f>SUMIFS('Doc''s Pagos | Rodopar 108'!$J:$J,'Doc''s Pagos | Rodopar 108'!$A:$A,$B299&amp;$E299&amp;$F299&amp;$J299,'Doc''s Pagos | Rodopar 108'!$B:$B,AC$1)+SUMIFS('Doc Há Pagar | Rodopar 1015'!$J:$J,'Doc Há Pagar | Rodopar 1015'!$A:$A,$B299&amp;$E299&amp;$F299,'Doc Há Pagar | Rodopar 1015'!$B:$B,AC$1)</f>
        <v>0</v>
      </c>
      <c r="AD299" s="20">
        <f>SUMIFS('Doc''s Pagos | Rodopar 108'!$J:$J,'Doc''s Pagos | Rodopar 108'!$A:$A,$B299&amp;$E299&amp;$F299&amp;$J299,'Doc''s Pagos | Rodopar 108'!$B:$B,AD$1)+SUMIFS('Doc Há Pagar | Rodopar 1015'!$J:$J,'Doc Há Pagar | Rodopar 1015'!$A:$A,$B299&amp;$E299&amp;$F299,'Doc Há Pagar | Rodopar 1015'!$B:$B,AD$1)</f>
        <v>0</v>
      </c>
    </row>
    <row r="300" spans="1:30" x14ac:dyDescent="0.25">
      <c r="A300" s="1" t="str">
        <f>VLOOKUP($E300,Fornecedores!$A:$C,3,0)</f>
        <v>Frota</v>
      </c>
      <c r="B300" s="14">
        <v>651</v>
      </c>
      <c r="C300" s="14" t="str">
        <f>IFERROR(VLOOKUP($E300,Fornecedores!$A:$E,4,0),"")</f>
        <v>Manutenção</v>
      </c>
      <c r="D300" s="14" t="str">
        <f>IFERROR(VLOOKUP($E300,Fornecedores!$A:$E,5,0),"")</f>
        <v>Peças E Serviços</v>
      </c>
      <c r="E300" s="8" t="s">
        <v>195</v>
      </c>
      <c r="F300" s="14" t="s">
        <v>614</v>
      </c>
      <c r="G300" s="8" t="s">
        <v>418</v>
      </c>
      <c r="H300" s="9">
        <v>87</v>
      </c>
      <c r="I300" s="21">
        <v>700</v>
      </c>
      <c r="J300" s="11">
        <v>46218</v>
      </c>
      <c r="K300" s="11">
        <v>46220</v>
      </c>
      <c r="L300" s="8" t="s">
        <v>282</v>
      </c>
      <c r="M300" s="14" t="s">
        <v>234</v>
      </c>
      <c r="N300" s="16">
        <v>1556</v>
      </c>
      <c r="O300" s="14" t="s">
        <v>250</v>
      </c>
      <c r="P300" s="14"/>
      <c r="Q300" s="20">
        <f t="shared" si="4"/>
        <v>0</v>
      </c>
      <c r="S300" s="20">
        <f>SUMIFS('Doc''s Pagos | Rodopar 108'!$J:$J,'Doc''s Pagos | Rodopar 108'!$A:$A,$B300&amp;$E300&amp;$F300&amp;$J300,'Doc''s Pagos | Rodopar 108'!$B:$B,S$1)+SUMIFS('Doc Há Pagar | Rodopar 1015'!$J:$J,'Doc Há Pagar | Rodopar 1015'!$A:$A,$B300&amp;$E300&amp;$F300,'Doc Há Pagar | Rodopar 1015'!$B:$B,S$1)</f>
        <v>0</v>
      </c>
      <c r="T300" s="20">
        <f>SUMIFS('Doc''s Pagos | Rodopar 108'!$J:$J,'Doc''s Pagos | Rodopar 108'!$A:$A,$B300&amp;$E300&amp;$F300&amp;$J300,'Doc''s Pagos | Rodopar 108'!$B:$B,T$1)+SUMIFS('Doc Há Pagar | Rodopar 1015'!$J:$J,'Doc Há Pagar | Rodopar 1015'!$A:$A,$B300&amp;$E300&amp;$F300,'Doc Há Pagar | Rodopar 1015'!$B:$B,T$1)</f>
        <v>0</v>
      </c>
      <c r="U300" s="20">
        <f>SUMIFS('Doc''s Pagos | Rodopar 108'!$J:$J,'Doc''s Pagos | Rodopar 108'!$A:$A,$B300&amp;$E300&amp;$F300&amp;$J300,'Doc''s Pagos | Rodopar 108'!$B:$B,U$1)+SUMIFS('Doc Há Pagar | Rodopar 1015'!$J:$J,'Doc Há Pagar | Rodopar 1015'!$A:$A,$B300&amp;$E300&amp;$F300,'Doc Há Pagar | Rodopar 1015'!$B:$B,U$1)</f>
        <v>0</v>
      </c>
      <c r="V300" s="20">
        <f>SUMIFS('Doc''s Pagos | Rodopar 108'!$J:$J,'Doc''s Pagos | Rodopar 108'!$A:$A,$B300&amp;$E300&amp;$F300&amp;$J300,'Doc''s Pagos | Rodopar 108'!$B:$B,V$1)+SUMIFS('Doc Há Pagar | Rodopar 1015'!$J:$J,'Doc Há Pagar | Rodopar 1015'!$A:$A,$B300&amp;$E300&amp;$F300,'Doc Há Pagar | Rodopar 1015'!$B:$B,V$1)</f>
        <v>0</v>
      </c>
      <c r="W300" s="20">
        <f>SUMIFS('Doc''s Pagos | Rodopar 108'!$J:$J,'Doc''s Pagos | Rodopar 108'!$A:$A,$B300&amp;$E300&amp;$F300&amp;$J300,'Doc''s Pagos | Rodopar 108'!$B:$B,W$1)+SUMIFS('Doc Há Pagar | Rodopar 1015'!$J:$J,'Doc Há Pagar | Rodopar 1015'!$A:$A,$B300&amp;$E300&amp;$F300,'Doc Há Pagar | Rodopar 1015'!$B:$B,W$1)</f>
        <v>0</v>
      </c>
      <c r="X300" s="20">
        <f>SUMIFS('Doc''s Pagos | Rodopar 108'!$J:$J,'Doc''s Pagos | Rodopar 108'!$A:$A,$B300&amp;$E300&amp;$F300&amp;$J300,'Doc''s Pagos | Rodopar 108'!$B:$B,X$1)+SUMIFS('Doc Há Pagar | Rodopar 1015'!$J:$J,'Doc Há Pagar | Rodopar 1015'!$A:$A,$B300&amp;$E300&amp;$F300,'Doc Há Pagar | Rodopar 1015'!$B:$B,X$1)</f>
        <v>0</v>
      </c>
      <c r="Y300" s="20">
        <f>SUMIFS('Doc''s Pagos | Rodopar 108'!$J:$J,'Doc''s Pagos | Rodopar 108'!$A:$A,$B300&amp;$E300&amp;$F300&amp;$J300,'Doc''s Pagos | Rodopar 108'!$B:$B,Y$1)+SUMIFS('Doc Há Pagar | Rodopar 1015'!$J:$J,'Doc Há Pagar | Rodopar 1015'!$A:$A,$B300&amp;$E300&amp;$F300,'Doc Há Pagar | Rodopar 1015'!$B:$B,Y$1)</f>
        <v>0</v>
      </c>
      <c r="Z300" s="20">
        <f>SUMIFS('Doc''s Pagos | Rodopar 108'!$J:$J,'Doc''s Pagos | Rodopar 108'!$A:$A,$B300&amp;$E300&amp;$F300&amp;$J300,'Doc''s Pagos | Rodopar 108'!$B:$B,Z$1)+SUMIFS('Doc Há Pagar | Rodopar 1015'!$J:$J,'Doc Há Pagar | Rodopar 1015'!$A:$A,$B300&amp;$E300&amp;$F300,'Doc Há Pagar | Rodopar 1015'!$B:$B,Z$1)</f>
        <v>700</v>
      </c>
      <c r="AA300" s="20">
        <f>SUMIFS('Doc''s Pagos | Rodopar 108'!$J:$J,'Doc''s Pagos | Rodopar 108'!$A:$A,$B300&amp;$E300&amp;$F300&amp;$J300,'Doc''s Pagos | Rodopar 108'!$B:$B,AA$1)+SUMIFS('Doc Há Pagar | Rodopar 1015'!$J:$J,'Doc Há Pagar | Rodopar 1015'!$A:$A,$B300&amp;$E300&amp;$F300,'Doc Há Pagar | Rodopar 1015'!$B:$B,AA$1)</f>
        <v>0</v>
      </c>
      <c r="AB300" s="20">
        <f>SUMIFS('Doc''s Pagos | Rodopar 108'!$J:$J,'Doc''s Pagos | Rodopar 108'!$A:$A,$B300&amp;$E300&amp;$F300&amp;$J300,'Doc''s Pagos | Rodopar 108'!$B:$B,AB$1)+SUMIFS('Doc Há Pagar | Rodopar 1015'!$J:$J,'Doc Há Pagar | Rodopar 1015'!$A:$A,$B300&amp;$E300&amp;$F300,'Doc Há Pagar | Rodopar 1015'!$B:$B,AB$1)</f>
        <v>0</v>
      </c>
      <c r="AC300" s="20">
        <f>SUMIFS('Doc''s Pagos | Rodopar 108'!$J:$J,'Doc''s Pagos | Rodopar 108'!$A:$A,$B300&amp;$E300&amp;$F300&amp;$J300,'Doc''s Pagos | Rodopar 108'!$B:$B,AC$1)+SUMIFS('Doc Há Pagar | Rodopar 1015'!$J:$J,'Doc Há Pagar | Rodopar 1015'!$A:$A,$B300&amp;$E300&amp;$F300,'Doc Há Pagar | Rodopar 1015'!$B:$B,AC$1)</f>
        <v>0</v>
      </c>
      <c r="AD300" s="20">
        <f>SUMIFS('Doc''s Pagos | Rodopar 108'!$J:$J,'Doc''s Pagos | Rodopar 108'!$A:$A,$B300&amp;$E300&amp;$F300&amp;$J300,'Doc''s Pagos | Rodopar 108'!$B:$B,AD$1)+SUMIFS('Doc Há Pagar | Rodopar 1015'!$J:$J,'Doc Há Pagar | Rodopar 1015'!$A:$A,$B300&amp;$E300&amp;$F300,'Doc Há Pagar | Rodopar 1015'!$B:$B,AD$1)</f>
        <v>0</v>
      </c>
    </row>
    <row r="301" spans="1:30" x14ac:dyDescent="0.25">
      <c r="A301" s="31" t="str">
        <f>VLOOKUP($E301,Fornecedores!$A:$C,3,0)</f>
        <v>Frota</v>
      </c>
      <c r="B301" s="32">
        <v>8134</v>
      </c>
      <c r="C301" s="14" t="str">
        <f>IFERROR(VLOOKUP($E301,Fornecedores!$A:$E,4,0),"")</f>
        <v>Manutenção</v>
      </c>
      <c r="D301" s="14" t="str">
        <f>IFERROR(VLOOKUP($E301,Fornecedores!$A:$E,5,0),"")</f>
        <v>Vans</v>
      </c>
      <c r="E301" s="33" t="s">
        <v>159</v>
      </c>
      <c r="F301" s="32" t="s">
        <v>380</v>
      </c>
      <c r="G301" s="33" t="s">
        <v>588</v>
      </c>
      <c r="H301" s="34">
        <v>87</v>
      </c>
      <c r="I301" s="35">
        <v>9279.2000000000007</v>
      </c>
      <c r="J301" s="36">
        <v>46219</v>
      </c>
      <c r="K301" s="36">
        <v>46239</v>
      </c>
      <c r="L301" s="33" t="s">
        <v>501</v>
      </c>
      <c r="M301" s="32" t="s">
        <v>234</v>
      </c>
      <c r="N301" s="37">
        <v>1556</v>
      </c>
      <c r="O301" s="32" t="s">
        <v>250</v>
      </c>
      <c r="P301" s="32"/>
      <c r="Q301" s="38">
        <f t="shared" si="4"/>
        <v>0</v>
      </c>
      <c r="R301" s="38"/>
      <c r="S301" s="20">
        <f>SUMIFS('Doc''s Pagos | Rodopar 108'!$J:$J,'Doc''s Pagos | Rodopar 108'!$A:$A,$B301&amp;$E301&amp;$F301&amp;$J301,'Doc''s Pagos | Rodopar 108'!$B:$B,S$1)+SUMIFS('Doc Há Pagar | Rodopar 1015'!$J:$J,'Doc Há Pagar | Rodopar 1015'!$A:$A,$B301&amp;$E301&amp;$F301,'Doc Há Pagar | Rodopar 1015'!$B:$B,S$1)</f>
        <v>0</v>
      </c>
      <c r="T301" s="20">
        <f>SUMIFS('Doc''s Pagos | Rodopar 108'!$J:$J,'Doc''s Pagos | Rodopar 108'!$A:$A,$B301&amp;$E301&amp;$F301&amp;$J301,'Doc''s Pagos | Rodopar 108'!$B:$B,T$1)+SUMIFS('Doc Há Pagar | Rodopar 1015'!$J:$J,'Doc Há Pagar | Rodopar 1015'!$A:$A,$B301&amp;$E301&amp;$F301,'Doc Há Pagar | Rodopar 1015'!$B:$B,T$1)</f>
        <v>0</v>
      </c>
      <c r="U301" s="20">
        <f>SUMIFS('Doc''s Pagos | Rodopar 108'!$J:$J,'Doc''s Pagos | Rodopar 108'!$A:$A,$B301&amp;$E301&amp;$F301&amp;$J301,'Doc''s Pagos | Rodopar 108'!$B:$B,U$1)+SUMIFS('Doc Há Pagar | Rodopar 1015'!$J:$J,'Doc Há Pagar | Rodopar 1015'!$A:$A,$B301&amp;$E301&amp;$F301,'Doc Há Pagar | Rodopar 1015'!$B:$B,U$1)</f>
        <v>0</v>
      </c>
      <c r="V301" s="20">
        <f>SUMIFS('Doc''s Pagos | Rodopar 108'!$J:$J,'Doc''s Pagos | Rodopar 108'!$A:$A,$B301&amp;$E301&amp;$F301&amp;$J301,'Doc''s Pagos | Rodopar 108'!$B:$B,V$1)+SUMIFS('Doc Há Pagar | Rodopar 1015'!$J:$J,'Doc Há Pagar | Rodopar 1015'!$A:$A,$B301&amp;$E301&amp;$F301,'Doc Há Pagar | Rodopar 1015'!$B:$B,V$1)</f>
        <v>0</v>
      </c>
      <c r="W301" s="20">
        <f>SUMIFS('Doc''s Pagos | Rodopar 108'!$J:$J,'Doc''s Pagos | Rodopar 108'!$A:$A,$B301&amp;$E301&amp;$F301&amp;$J301,'Doc''s Pagos | Rodopar 108'!$B:$B,W$1)+SUMIFS('Doc Há Pagar | Rodopar 1015'!$J:$J,'Doc Há Pagar | Rodopar 1015'!$A:$A,$B301&amp;$E301&amp;$F301,'Doc Há Pagar | Rodopar 1015'!$B:$B,W$1)</f>
        <v>0</v>
      </c>
      <c r="X301" s="20">
        <f>SUMIFS('Doc''s Pagos | Rodopar 108'!$J:$J,'Doc''s Pagos | Rodopar 108'!$A:$A,$B301&amp;$E301&amp;$F301&amp;$J301,'Doc''s Pagos | Rodopar 108'!$B:$B,X$1)+SUMIFS('Doc Há Pagar | Rodopar 1015'!$J:$J,'Doc Há Pagar | Rodopar 1015'!$A:$A,$B301&amp;$E301&amp;$F301,'Doc Há Pagar | Rodopar 1015'!$B:$B,X$1)</f>
        <v>0</v>
      </c>
      <c r="Y301" s="20">
        <f>SUMIFS('Doc''s Pagos | Rodopar 108'!$J:$J,'Doc''s Pagos | Rodopar 108'!$A:$A,$B301&amp;$E301&amp;$F301&amp;$J301,'Doc''s Pagos | Rodopar 108'!$B:$B,Y$1)+SUMIFS('Doc Há Pagar | Rodopar 1015'!$J:$J,'Doc Há Pagar | Rodopar 1015'!$A:$A,$B301&amp;$E301&amp;$F301,'Doc Há Pagar | Rodopar 1015'!$B:$B,Y$1)</f>
        <v>0</v>
      </c>
      <c r="Z301" s="20">
        <f>SUMIFS('Doc''s Pagos | Rodopar 108'!$J:$J,'Doc''s Pagos | Rodopar 108'!$A:$A,$B301&amp;$E301&amp;$F301&amp;$J301,'Doc''s Pagos | Rodopar 108'!$B:$B,Z$1)+SUMIFS('Doc Há Pagar | Rodopar 1015'!$J:$J,'Doc Há Pagar | Rodopar 1015'!$A:$A,$B301&amp;$E301&amp;$F301,'Doc Há Pagar | Rodopar 1015'!$B:$B,Z$1)</f>
        <v>3093.06</v>
      </c>
      <c r="AA301" s="20">
        <f>SUMIFS('Doc''s Pagos | Rodopar 108'!$J:$J,'Doc''s Pagos | Rodopar 108'!$A:$A,$B301&amp;$E301&amp;$F301&amp;$J301,'Doc''s Pagos | Rodopar 108'!$B:$B,AA$1)+SUMIFS('Doc Há Pagar | Rodopar 1015'!$J:$J,'Doc Há Pagar | Rodopar 1015'!$A:$A,$B301&amp;$E301&amp;$F301,'Doc Há Pagar | Rodopar 1015'!$B:$B,AA$1)</f>
        <v>3093.06</v>
      </c>
      <c r="AB301" s="20">
        <f>SUMIFS('Doc''s Pagos | Rodopar 108'!$J:$J,'Doc''s Pagos | Rodopar 108'!$A:$A,$B301&amp;$E301&amp;$F301&amp;$J301,'Doc''s Pagos | Rodopar 108'!$B:$B,AB$1)+SUMIFS('Doc Há Pagar | Rodopar 1015'!$J:$J,'Doc Há Pagar | Rodopar 1015'!$A:$A,$B301&amp;$E301&amp;$F301,'Doc Há Pagar | Rodopar 1015'!$B:$B,AB$1)</f>
        <v>3093.08</v>
      </c>
      <c r="AC301" s="20">
        <f>SUMIFS('Doc''s Pagos | Rodopar 108'!$J:$J,'Doc''s Pagos | Rodopar 108'!$A:$A,$B301&amp;$E301&amp;$F301&amp;$J301,'Doc''s Pagos | Rodopar 108'!$B:$B,AC$1)+SUMIFS('Doc Há Pagar | Rodopar 1015'!$J:$J,'Doc Há Pagar | Rodopar 1015'!$A:$A,$B301&amp;$E301&amp;$F301,'Doc Há Pagar | Rodopar 1015'!$B:$B,AC$1)</f>
        <v>0</v>
      </c>
      <c r="AD301" s="20">
        <f>SUMIFS('Doc''s Pagos | Rodopar 108'!$J:$J,'Doc''s Pagos | Rodopar 108'!$A:$A,$B301&amp;$E301&amp;$F301&amp;$J301,'Doc''s Pagos | Rodopar 108'!$B:$B,AD$1)+SUMIFS('Doc Há Pagar | Rodopar 1015'!$J:$J,'Doc Há Pagar | Rodopar 1015'!$A:$A,$B301&amp;$E301&amp;$F301,'Doc Há Pagar | Rodopar 1015'!$B:$B,AD$1)</f>
        <v>0</v>
      </c>
    </row>
    <row r="302" spans="1:30" x14ac:dyDescent="0.25">
      <c r="A302" s="1" t="str">
        <f>VLOOKUP($E302,Fornecedores!$A:$C,3,0)</f>
        <v>Frota</v>
      </c>
      <c r="B302" s="14">
        <v>1531</v>
      </c>
      <c r="C302" s="14" t="str">
        <f>IFERROR(VLOOKUP($E302,Fornecedores!$A:$E,4,0),"")</f>
        <v>Manutenção</v>
      </c>
      <c r="D302" s="14" t="str">
        <f>IFERROR(VLOOKUP($E302,Fornecedores!$A:$E,5,0),"")</f>
        <v>Vans</v>
      </c>
      <c r="E302" s="8" t="s">
        <v>159</v>
      </c>
      <c r="F302" s="14" t="s">
        <v>665</v>
      </c>
      <c r="G302" s="8" t="s">
        <v>588</v>
      </c>
      <c r="H302" s="9">
        <v>87</v>
      </c>
      <c r="I302" s="21">
        <v>1450</v>
      </c>
      <c r="J302" s="11">
        <v>46219</v>
      </c>
      <c r="K302" s="11">
        <v>46239</v>
      </c>
      <c r="L302" s="8" t="s">
        <v>501</v>
      </c>
      <c r="M302" s="14" t="s">
        <v>234</v>
      </c>
      <c r="N302" s="16">
        <v>1556</v>
      </c>
      <c r="O302" s="14" t="s">
        <v>250</v>
      </c>
      <c r="P302" s="14"/>
      <c r="Q302" s="20">
        <f t="shared" si="4"/>
        <v>0</v>
      </c>
      <c r="S302" s="20">
        <f>SUMIFS('Doc''s Pagos | Rodopar 108'!$J:$J,'Doc''s Pagos | Rodopar 108'!$A:$A,$B302&amp;$E302&amp;$F302&amp;$J302,'Doc''s Pagos | Rodopar 108'!$B:$B,S$1)+SUMIFS('Doc Há Pagar | Rodopar 1015'!$J:$J,'Doc Há Pagar | Rodopar 1015'!$A:$A,$B302&amp;$E302&amp;$F302,'Doc Há Pagar | Rodopar 1015'!$B:$B,S$1)</f>
        <v>0</v>
      </c>
      <c r="T302" s="20">
        <f>SUMIFS('Doc''s Pagos | Rodopar 108'!$J:$J,'Doc''s Pagos | Rodopar 108'!$A:$A,$B302&amp;$E302&amp;$F302&amp;$J302,'Doc''s Pagos | Rodopar 108'!$B:$B,T$1)+SUMIFS('Doc Há Pagar | Rodopar 1015'!$J:$J,'Doc Há Pagar | Rodopar 1015'!$A:$A,$B302&amp;$E302&amp;$F302,'Doc Há Pagar | Rodopar 1015'!$B:$B,T$1)</f>
        <v>0</v>
      </c>
      <c r="U302" s="20">
        <f>SUMIFS('Doc''s Pagos | Rodopar 108'!$J:$J,'Doc''s Pagos | Rodopar 108'!$A:$A,$B302&amp;$E302&amp;$F302&amp;$J302,'Doc''s Pagos | Rodopar 108'!$B:$B,U$1)+SUMIFS('Doc Há Pagar | Rodopar 1015'!$J:$J,'Doc Há Pagar | Rodopar 1015'!$A:$A,$B302&amp;$E302&amp;$F302,'Doc Há Pagar | Rodopar 1015'!$B:$B,U$1)</f>
        <v>0</v>
      </c>
      <c r="V302" s="20">
        <f>SUMIFS('Doc''s Pagos | Rodopar 108'!$J:$J,'Doc''s Pagos | Rodopar 108'!$A:$A,$B302&amp;$E302&amp;$F302&amp;$J302,'Doc''s Pagos | Rodopar 108'!$B:$B,V$1)+SUMIFS('Doc Há Pagar | Rodopar 1015'!$J:$J,'Doc Há Pagar | Rodopar 1015'!$A:$A,$B302&amp;$E302&amp;$F302,'Doc Há Pagar | Rodopar 1015'!$B:$B,V$1)</f>
        <v>0</v>
      </c>
      <c r="W302" s="20">
        <f>SUMIFS('Doc''s Pagos | Rodopar 108'!$J:$J,'Doc''s Pagos | Rodopar 108'!$A:$A,$B302&amp;$E302&amp;$F302&amp;$J302,'Doc''s Pagos | Rodopar 108'!$B:$B,W$1)+SUMIFS('Doc Há Pagar | Rodopar 1015'!$J:$J,'Doc Há Pagar | Rodopar 1015'!$A:$A,$B302&amp;$E302&amp;$F302,'Doc Há Pagar | Rodopar 1015'!$B:$B,W$1)</f>
        <v>0</v>
      </c>
      <c r="X302" s="20">
        <f>SUMIFS('Doc''s Pagos | Rodopar 108'!$J:$J,'Doc''s Pagos | Rodopar 108'!$A:$A,$B302&amp;$E302&amp;$F302&amp;$J302,'Doc''s Pagos | Rodopar 108'!$B:$B,X$1)+SUMIFS('Doc Há Pagar | Rodopar 1015'!$J:$J,'Doc Há Pagar | Rodopar 1015'!$A:$A,$B302&amp;$E302&amp;$F302,'Doc Há Pagar | Rodopar 1015'!$B:$B,X$1)</f>
        <v>0</v>
      </c>
      <c r="Y302" s="20">
        <f>SUMIFS('Doc''s Pagos | Rodopar 108'!$J:$J,'Doc''s Pagos | Rodopar 108'!$A:$A,$B302&amp;$E302&amp;$F302&amp;$J302,'Doc''s Pagos | Rodopar 108'!$B:$B,Y$1)+SUMIFS('Doc Há Pagar | Rodopar 1015'!$J:$J,'Doc Há Pagar | Rodopar 1015'!$A:$A,$B302&amp;$E302&amp;$F302,'Doc Há Pagar | Rodopar 1015'!$B:$B,Y$1)</f>
        <v>0</v>
      </c>
      <c r="Z302" s="20">
        <f>SUMIFS('Doc''s Pagos | Rodopar 108'!$J:$J,'Doc''s Pagos | Rodopar 108'!$A:$A,$B302&amp;$E302&amp;$F302&amp;$J302,'Doc''s Pagos | Rodopar 108'!$B:$B,Z$1)+SUMIFS('Doc Há Pagar | Rodopar 1015'!$J:$J,'Doc Há Pagar | Rodopar 1015'!$A:$A,$B302&amp;$E302&amp;$F302,'Doc Há Pagar | Rodopar 1015'!$B:$B,Z$1)</f>
        <v>483.33</v>
      </c>
      <c r="AA302" s="20">
        <f>SUMIFS('Doc''s Pagos | Rodopar 108'!$J:$J,'Doc''s Pagos | Rodopar 108'!$A:$A,$B302&amp;$E302&amp;$F302&amp;$J302,'Doc''s Pagos | Rodopar 108'!$B:$B,AA$1)+SUMIFS('Doc Há Pagar | Rodopar 1015'!$J:$J,'Doc Há Pagar | Rodopar 1015'!$A:$A,$B302&amp;$E302&amp;$F302,'Doc Há Pagar | Rodopar 1015'!$B:$B,AA$1)</f>
        <v>483.33</v>
      </c>
      <c r="AB302" s="20">
        <f>SUMIFS('Doc''s Pagos | Rodopar 108'!$J:$J,'Doc''s Pagos | Rodopar 108'!$A:$A,$B302&amp;$E302&amp;$F302&amp;$J302,'Doc''s Pagos | Rodopar 108'!$B:$B,AB$1)+SUMIFS('Doc Há Pagar | Rodopar 1015'!$J:$J,'Doc Há Pagar | Rodopar 1015'!$A:$A,$B302&amp;$E302&amp;$F302,'Doc Há Pagar | Rodopar 1015'!$B:$B,AB$1)</f>
        <v>483.34</v>
      </c>
      <c r="AC302" s="20">
        <f>SUMIFS('Doc''s Pagos | Rodopar 108'!$J:$J,'Doc''s Pagos | Rodopar 108'!$A:$A,$B302&amp;$E302&amp;$F302&amp;$J302,'Doc''s Pagos | Rodopar 108'!$B:$B,AC$1)+SUMIFS('Doc Há Pagar | Rodopar 1015'!$J:$J,'Doc Há Pagar | Rodopar 1015'!$A:$A,$B302&amp;$E302&amp;$F302,'Doc Há Pagar | Rodopar 1015'!$B:$B,AC$1)</f>
        <v>0</v>
      </c>
      <c r="AD302" s="20">
        <f>SUMIFS('Doc''s Pagos | Rodopar 108'!$J:$J,'Doc''s Pagos | Rodopar 108'!$A:$A,$B302&amp;$E302&amp;$F302&amp;$J302,'Doc''s Pagos | Rodopar 108'!$B:$B,AD$1)+SUMIFS('Doc Há Pagar | Rodopar 1015'!$J:$J,'Doc Há Pagar | Rodopar 1015'!$A:$A,$B302&amp;$E302&amp;$F302,'Doc Há Pagar | Rodopar 1015'!$B:$B,AD$1)</f>
        <v>0</v>
      </c>
    </row>
    <row r="303" spans="1:30" x14ac:dyDescent="0.25">
      <c r="A303" s="1" t="str">
        <f>VLOOKUP($E303,Fornecedores!$A:$C,3,0)</f>
        <v>Frota</v>
      </c>
      <c r="B303" s="14">
        <v>367</v>
      </c>
      <c r="C303" s="14" t="str">
        <f>IFERROR(VLOOKUP($E303,Fornecedores!$A:$E,4,0),"")</f>
        <v>Documentação</v>
      </c>
      <c r="D303" s="14" t="str">
        <f>IFERROR(VLOOKUP($E303,Fornecedores!$A:$E,5,0),"")</f>
        <v>Vistoria Inmetro</v>
      </c>
      <c r="E303" s="8" t="s">
        <v>42</v>
      </c>
      <c r="F303" s="14" t="s">
        <v>665</v>
      </c>
      <c r="G303" s="8" t="s">
        <v>691</v>
      </c>
      <c r="H303" s="9">
        <v>87</v>
      </c>
      <c r="I303" s="21">
        <v>640</v>
      </c>
      <c r="J303" s="11">
        <v>46219</v>
      </c>
      <c r="K303" s="11">
        <v>46220</v>
      </c>
      <c r="L303" s="8" t="s">
        <v>233</v>
      </c>
      <c r="M303" s="14" t="s">
        <v>234</v>
      </c>
      <c r="N303" s="16">
        <v>1556</v>
      </c>
      <c r="O303" s="14" t="s">
        <v>250</v>
      </c>
      <c r="P303" s="14"/>
      <c r="Q303" s="20">
        <f t="shared" si="4"/>
        <v>0</v>
      </c>
      <c r="S303" s="20">
        <f>SUMIFS('Doc''s Pagos | Rodopar 108'!$J:$J,'Doc''s Pagos | Rodopar 108'!$A:$A,$B303&amp;$E303&amp;$F303&amp;$J303,'Doc''s Pagos | Rodopar 108'!$B:$B,S$1)+SUMIFS('Doc Há Pagar | Rodopar 1015'!$J:$J,'Doc Há Pagar | Rodopar 1015'!$A:$A,$B303&amp;$E303&amp;$F303,'Doc Há Pagar | Rodopar 1015'!$B:$B,S$1)</f>
        <v>0</v>
      </c>
      <c r="T303" s="20">
        <f>SUMIFS('Doc''s Pagos | Rodopar 108'!$J:$J,'Doc''s Pagos | Rodopar 108'!$A:$A,$B303&amp;$E303&amp;$F303&amp;$J303,'Doc''s Pagos | Rodopar 108'!$B:$B,T$1)+SUMIFS('Doc Há Pagar | Rodopar 1015'!$J:$J,'Doc Há Pagar | Rodopar 1015'!$A:$A,$B303&amp;$E303&amp;$F303,'Doc Há Pagar | Rodopar 1015'!$B:$B,T$1)</f>
        <v>0</v>
      </c>
      <c r="U303" s="20">
        <f>SUMIFS('Doc''s Pagos | Rodopar 108'!$J:$J,'Doc''s Pagos | Rodopar 108'!$A:$A,$B303&amp;$E303&amp;$F303&amp;$J303,'Doc''s Pagos | Rodopar 108'!$B:$B,U$1)+SUMIFS('Doc Há Pagar | Rodopar 1015'!$J:$J,'Doc Há Pagar | Rodopar 1015'!$A:$A,$B303&amp;$E303&amp;$F303,'Doc Há Pagar | Rodopar 1015'!$B:$B,U$1)</f>
        <v>0</v>
      </c>
      <c r="V303" s="20">
        <f>SUMIFS('Doc''s Pagos | Rodopar 108'!$J:$J,'Doc''s Pagos | Rodopar 108'!$A:$A,$B303&amp;$E303&amp;$F303&amp;$J303,'Doc''s Pagos | Rodopar 108'!$B:$B,V$1)+SUMIFS('Doc Há Pagar | Rodopar 1015'!$J:$J,'Doc Há Pagar | Rodopar 1015'!$A:$A,$B303&amp;$E303&amp;$F303,'Doc Há Pagar | Rodopar 1015'!$B:$B,V$1)</f>
        <v>0</v>
      </c>
      <c r="W303" s="20">
        <f>SUMIFS('Doc''s Pagos | Rodopar 108'!$J:$J,'Doc''s Pagos | Rodopar 108'!$A:$A,$B303&amp;$E303&amp;$F303&amp;$J303,'Doc''s Pagos | Rodopar 108'!$B:$B,W$1)+SUMIFS('Doc Há Pagar | Rodopar 1015'!$J:$J,'Doc Há Pagar | Rodopar 1015'!$A:$A,$B303&amp;$E303&amp;$F303,'Doc Há Pagar | Rodopar 1015'!$B:$B,W$1)</f>
        <v>0</v>
      </c>
      <c r="X303" s="20">
        <f>SUMIFS('Doc''s Pagos | Rodopar 108'!$J:$J,'Doc''s Pagos | Rodopar 108'!$A:$A,$B303&amp;$E303&amp;$F303&amp;$J303,'Doc''s Pagos | Rodopar 108'!$B:$B,X$1)+SUMIFS('Doc Há Pagar | Rodopar 1015'!$J:$J,'Doc Há Pagar | Rodopar 1015'!$A:$A,$B303&amp;$E303&amp;$F303,'Doc Há Pagar | Rodopar 1015'!$B:$B,X$1)</f>
        <v>0</v>
      </c>
      <c r="Y303" s="20">
        <f>SUMIFS('Doc''s Pagos | Rodopar 108'!$J:$J,'Doc''s Pagos | Rodopar 108'!$A:$A,$B303&amp;$E303&amp;$F303&amp;$J303,'Doc''s Pagos | Rodopar 108'!$B:$B,Y$1)+SUMIFS('Doc Há Pagar | Rodopar 1015'!$J:$J,'Doc Há Pagar | Rodopar 1015'!$A:$A,$B303&amp;$E303&amp;$F303,'Doc Há Pagar | Rodopar 1015'!$B:$B,Y$1)</f>
        <v>640</v>
      </c>
      <c r="Z303" s="20">
        <f>SUMIFS('Doc''s Pagos | Rodopar 108'!$J:$J,'Doc''s Pagos | Rodopar 108'!$A:$A,$B303&amp;$E303&amp;$F303&amp;$J303,'Doc''s Pagos | Rodopar 108'!$B:$B,Z$1)+SUMIFS('Doc Há Pagar | Rodopar 1015'!$J:$J,'Doc Há Pagar | Rodopar 1015'!$A:$A,$B303&amp;$E303&amp;$F303,'Doc Há Pagar | Rodopar 1015'!$B:$B,Z$1)</f>
        <v>0</v>
      </c>
      <c r="AA303" s="20">
        <f>SUMIFS('Doc''s Pagos | Rodopar 108'!$J:$J,'Doc''s Pagos | Rodopar 108'!$A:$A,$B303&amp;$E303&amp;$F303&amp;$J303,'Doc''s Pagos | Rodopar 108'!$B:$B,AA$1)+SUMIFS('Doc Há Pagar | Rodopar 1015'!$J:$J,'Doc Há Pagar | Rodopar 1015'!$A:$A,$B303&amp;$E303&amp;$F303,'Doc Há Pagar | Rodopar 1015'!$B:$B,AA$1)</f>
        <v>0</v>
      </c>
      <c r="AB303" s="20">
        <f>SUMIFS('Doc''s Pagos | Rodopar 108'!$J:$J,'Doc''s Pagos | Rodopar 108'!$A:$A,$B303&amp;$E303&amp;$F303&amp;$J303,'Doc''s Pagos | Rodopar 108'!$B:$B,AB$1)+SUMIFS('Doc Há Pagar | Rodopar 1015'!$J:$J,'Doc Há Pagar | Rodopar 1015'!$A:$A,$B303&amp;$E303&amp;$F303,'Doc Há Pagar | Rodopar 1015'!$B:$B,AB$1)</f>
        <v>0</v>
      </c>
      <c r="AC303" s="20">
        <f>SUMIFS('Doc''s Pagos | Rodopar 108'!$J:$J,'Doc''s Pagos | Rodopar 108'!$A:$A,$B303&amp;$E303&amp;$F303&amp;$J303,'Doc''s Pagos | Rodopar 108'!$B:$B,AC$1)+SUMIFS('Doc Há Pagar | Rodopar 1015'!$J:$J,'Doc Há Pagar | Rodopar 1015'!$A:$A,$B303&amp;$E303&amp;$F303,'Doc Há Pagar | Rodopar 1015'!$B:$B,AC$1)</f>
        <v>0</v>
      </c>
      <c r="AD303" s="20">
        <f>SUMIFS('Doc''s Pagos | Rodopar 108'!$J:$J,'Doc''s Pagos | Rodopar 108'!$A:$A,$B303&amp;$E303&amp;$F303&amp;$J303,'Doc''s Pagos | Rodopar 108'!$B:$B,AD$1)+SUMIFS('Doc Há Pagar | Rodopar 1015'!$J:$J,'Doc Há Pagar | Rodopar 1015'!$A:$A,$B303&amp;$E303&amp;$F303,'Doc Há Pagar | Rodopar 1015'!$B:$B,AD$1)</f>
        <v>0</v>
      </c>
    </row>
    <row r="304" spans="1:30" x14ac:dyDescent="0.25">
      <c r="A304" s="1" t="str">
        <f>VLOOKUP($E304,Fornecedores!$A:$C,3,0)</f>
        <v>Frota</v>
      </c>
      <c r="B304" s="14">
        <v>39849</v>
      </c>
      <c r="C304" s="14" t="str">
        <f>IFERROR(VLOOKUP($E304,Fornecedores!$A:$E,4,0),"")</f>
        <v>Manutenção</v>
      </c>
      <c r="D304" s="14" t="str">
        <f>IFERROR(VLOOKUP($E304,Fornecedores!$A:$E,5,0),"")</f>
        <v>Vans</v>
      </c>
      <c r="E304" s="8" t="s">
        <v>133</v>
      </c>
      <c r="F304" s="14" t="s">
        <v>380</v>
      </c>
      <c r="G304" s="8" t="s">
        <v>493</v>
      </c>
      <c r="H304" s="9">
        <v>87</v>
      </c>
      <c r="I304" s="21">
        <v>1486.2</v>
      </c>
      <c r="J304" s="11">
        <v>46220</v>
      </c>
      <c r="K304" s="11">
        <v>46220</v>
      </c>
      <c r="L304" s="8" t="s">
        <v>494</v>
      </c>
      <c r="M304" s="14" t="s">
        <v>234</v>
      </c>
      <c r="N304" s="16">
        <v>1556</v>
      </c>
      <c r="O304" s="14" t="s">
        <v>250</v>
      </c>
      <c r="P304" s="14"/>
      <c r="Q304" s="20">
        <f t="shared" si="4"/>
        <v>0</v>
      </c>
      <c r="S304" s="20">
        <f>SUMIFS('Doc''s Pagos | Rodopar 108'!$J:$J,'Doc''s Pagos | Rodopar 108'!$A:$A,$B304&amp;$E304&amp;$F304&amp;$J304,'Doc''s Pagos | Rodopar 108'!$B:$B,S$1)+SUMIFS('Doc Há Pagar | Rodopar 1015'!$J:$J,'Doc Há Pagar | Rodopar 1015'!$A:$A,$B304&amp;$E304&amp;$F304,'Doc Há Pagar | Rodopar 1015'!$B:$B,S$1)</f>
        <v>0</v>
      </c>
      <c r="T304" s="20">
        <f>SUMIFS('Doc''s Pagos | Rodopar 108'!$J:$J,'Doc''s Pagos | Rodopar 108'!$A:$A,$B304&amp;$E304&amp;$F304&amp;$J304,'Doc''s Pagos | Rodopar 108'!$B:$B,T$1)+SUMIFS('Doc Há Pagar | Rodopar 1015'!$J:$J,'Doc Há Pagar | Rodopar 1015'!$A:$A,$B304&amp;$E304&amp;$F304,'Doc Há Pagar | Rodopar 1015'!$B:$B,T$1)</f>
        <v>0</v>
      </c>
      <c r="U304" s="20">
        <f>SUMIFS('Doc''s Pagos | Rodopar 108'!$J:$J,'Doc''s Pagos | Rodopar 108'!$A:$A,$B304&amp;$E304&amp;$F304&amp;$J304,'Doc''s Pagos | Rodopar 108'!$B:$B,U$1)+SUMIFS('Doc Há Pagar | Rodopar 1015'!$J:$J,'Doc Há Pagar | Rodopar 1015'!$A:$A,$B304&amp;$E304&amp;$F304,'Doc Há Pagar | Rodopar 1015'!$B:$B,U$1)</f>
        <v>0</v>
      </c>
      <c r="V304" s="20">
        <f>SUMIFS('Doc''s Pagos | Rodopar 108'!$J:$J,'Doc''s Pagos | Rodopar 108'!$A:$A,$B304&amp;$E304&amp;$F304&amp;$J304,'Doc''s Pagos | Rodopar 108'!$B:$B,V$1)+SUMIFS('Doc Há Pagar | Rodopar 1015'!$J:$J,'Doc Há Pagar | Rodopar 1015'!$A:$A,$B304&amp;$E304&amp;$F304,'Doc Há Pagar | Rodopar 1015'!$B:$B,V$1)</f>
        <v>0</v>
      </c>
      <c r="W304" s="20">
        <f>SUMIFS('Doc''s Pagos | Rodopar 108'!$J:$J,'Doc''s Pagos | Rodopar 108'!$A:$A,$B304&amp;$E304&amp;$F304&amp;$J304,'Doc''s Pagos | Rodopar 108'!$B:$B,W$1)+SUMIFS('Doc Há Pagar | Rodopar 1015'!$J:$J,'Doc Há Pagar | Rodopar 1015'!$A:$A,$B304&amp;$E304&amp;$F304,'Doc Há Pagar | Rodopar 1015'!$B:$B,W$1)</f>
        <v>0</v>
      </c>
      <c r="X304" s="20">
        <f>SUMIFS('Doc''s Pagos | Rodopar 108'!$J:$J,'Doc''s Pagos | Rodopar 108'!$A:$A,$B304&amp;$E304&amp;$F304&amp;$J304,'Doc''s Pagos | Rodopar 108'!$B:$B,X$1)+SUMIFS('Doc Há Pagar | Rodopar 1015'!$J:$J,'Doc Há Pagar | Rodopar 1015'!$A:$A,$B304&amp;$E304&amp;$F304,'Doc Há Pagar | Rodopar 1015'!$B:$B,X$1)</f>
        <v>0</v>
      </c>
      <c r="Y304" s="20">
        <f>SUMIFS('Doc''s Pagos | Rodopar 108'!$J:$J,'Doc''s Pagos | Rodopar 108'!$A:$A,$B304&amp;$E304&amp;$F304&amp;$J304,'Doc''s Pagos | Rodopar 108'!$B:$B,Y$1)+SUMIFS('Doc Há Pagar | Rodopar 1015'!$J:$J,'Doc Há Pagar | Rodopar 1015'!$A:$A,$B304&amp;$E304&amp;$F304,'Doc Há Pagar | Rodopar 1015'!$B:$B,Y$1)</f>
        <v>0</v>
      </c>
      <c r="Z304" s="20">
        <f>SUMIFS('Doc''s Pagos | Rodopar 108'!$J:$J,'Doc''s Pagos | Rodopar 108'!$A:$A,$B304&amp;$E304&amp;$F304&amp;$J304,'Doc''s Pagos | Rodopar 108'!$B:$B,Z$1)+SUMIFS('Doc Há Pagar | Rodopar 1015'!$J:$J,'Doc Há Pagar | Rodopar 1015'!$A:$A,$B304&amp;$E304&amp;$F304,'Doc Há Pagar | Rodopar 1015'!$B:$B,Z$1)</f>
        <v>743.1</v>
      </c>
      <c r="AA304" s="20">
        <f>SUMIFS('Doc''s Pagos | Rodopar 108'!$J:$J,'Doc''s Pagos | Rodopar 108'!$A:$A,$B304&amp;$E304&amp;$F304&amp;$J304,'Doc''s Pagos | Rodopar 108'!$B:$B,AA$1)+SUMIFS('Doc Há Pagar | Rodopar 1015'!$J:$J,'Doc Há Pagar | Rodopar 1015'!$A:$A,$B304&amp;$E304&amp;$F304,'Doc Há Pagar | Rodopar 1015'!$B:$B,AA$1)</f>
        <v>743.1</v>
      </c>
      <c r="AB304" s="20">
        <f>SUMIFS('Doc''s Pagos | Rodopar 108'!$J:$J,'Doc''s Pagos | Rodopar 108'!$A:$A,$B304&amp;$E304&amp;$F304&amp;$J304,'Doc''s Pagos | Rodopar 108'!$B:$B,AB$1)+SUMIFS('Doc Há Pagar | Rodopar 1015'!$J:$J,'Doc Há Pagar | Rodopar 1015'!$A:$A,$B304&amp;$E304&amp;$F304,'Doc Há Pagar | Rodopar 1015'!$B:$B,AB$1)</f>
        <v>0</v>
      </c>
      <c r="AC304" s="20">
        <f>SUMIFS('Doc''s Pagos | Rodopar 108'!$J:$J,'Doc''s Pagos | Rodopar 108'!$A:$A,$B304&amp;$E304&amp;$F304&amp;$J304,'Doc''s Pagos | Rodopar 108'!$B:$B,AC$1)+SUMIFS('Doc Há Pagar | Rodopar 1015'!$J:$J,'Doc Há Pagar | Rodopar 1015'!$A:$A,$B304&amp;$E304&amp;$F304,'Doc Há Pagar | Rodopar 1015'!$B:$B,AC$1)</f>
        <v>0</v>
      </c>
      <c r="AD304" s="20">
        <f>SUMIFS('Doc''s Pagos | Rodopar 108'!$J:$J,'Doc''s Pagos | Rodopar 108'!$A:$A,$B304&amp;$E304&amp;$F304&amp;$J304,'Doc''s Pagos | Rodopar 108'!$B:$B,AD$1)+SUMIFS('Doc Há Pagar | Rodopar 1015'!$J:$J,'Doc Há Pagar | Rodopar 1015'!$A:$A,$B304&amp;$E304&amp;$F304,'Doc Há Pagar | Rodopar 1015'!$B:$B,AD$1)</f>
        <v>0</v>
      </c>
    </row>
    <row r="305" spans="1:30" x14ac:dyDescent="0.25">
      <c r="A305" s="1" t="str">
        <f>VLOOKUP($E305,Fornecedores!$A:$C,3,0)</f>
        <v>Frota</v>
      </c>
      <c r="B305" s="14">
        <v>39850</v>
      </c>
      <c r="C305" s="14" t="str">
        <f>IFERROR(VLOOKUP($E305,Fornecedores!$A:$E,4,0),"")</f>
        <v>Manutenção</v>
      </c>
      <c r="D305" s="14" t="str">
        <f>IFERROR(VLOOKUP($E305,Fornecedores!$A:$E,5,0),"")</f>
        <v>Vans</v>
      </c>
      <c r="E305" s="8" t="s">
        <v>133</v>
      </c>
      <c r="F305" s="14" t="s">
        <v>380</v>
      </c>
      <c r="G305" s="8" t="s">
        <v>493</v>
      </c>
      <c r="H305" s="9">
        <v>87</v>
      </c>
      <c r="I305" s="21">
        <v>1602.46</v>
      </c>
      <c r="J305" s="11">
        <v>46220</v>
      </c>
      <c r="K305" s="11">
        <v>46220</v>
      </c>
      <c r="L305" s="8" t="s">
        <v>494</v>
      </c>
      <c r="M305" s="14" t="s">
        <v>234</v>
      </c>
      <c r="N305" s="16">
        <v>1556</v>
      </c>
      <c r="O305" s="14" t="s">
        <v>250</v>
      </c>
      <c r="P305" s="14"/>
      <c r="Q305" s="20">
        <f t="shared" si="4"/>
        <v>0</v>
      </c>
      <c r="S305" s="20">
        <f>SUMIFS('Doc''s Pagos | Rodopar 108'!$J:$J,'Doc''s Pagos | Rodopar 108'!$A:$A,$B305&amp;$E305&amp;$F305&amp;$J305,'Doc''s Pagos | Rodopar 108'!$B:$B,S$1)+SUMIFS('Doc Há Pagar | Rodopar 1015'!$J:$J,'Doc Há Pagar | Rodopar 1015'!$A:$A,$B305&amp;$E305&amp;$F305,'Doc Há Pagar | Rodopar 1015'!$B:$B,S$1)</f>
        <v>0</v>
      </c>
      <c r="T305" s="20">
        <f>SUMIFS('Doc''s Pagos | Rodopar 108'!$J:$J,'Doc''s Pagos | Rodopar 108'!$A:$A,$B305&amp;$E305&amp;$F305&amp;$J305,'Doc''s Pagos | Rodopar 108'!$B:$B,T$1)+SUMIFS('Doc Há Pagar | Rodopar 1015'!$J:$J,'Doc Há Pagar | Rodopar 1015'!$A:$A,$B305&amp;$E305&amp;$F305,'Doc Há Pagar | Rodopar 1015'!$B:$B,T$1)</f>
        <v>0</v>
      </c>
      <c r="U305" s="20">
        <f>SUMIFS('Doc''s Pagos | Rodopar 108'!$J:$J,'Doc''s Pagos | Rodopar 108'!$A:$A,$B305&amp;$E305&amp;$F305&amp;$J305,'Doc''s Pagos | Rodopar 108'!$B:$B,U$1)+SUMIFS('Doc Há Pagar | Rodopar 1015'!$J:$J,'Doc Há Pagar | Rodopar 1015'!$A:$A,$B305&amp;$E305&amp;$F305,'Doc Há Pagar | Rodopar 1015'!$B:$B,U$1)</f>
        <v>0</v>
      </c>
      <c r="V305" s="20">
        <f>SUMIFS('Doc''s Pagos | Rodopar 108'!$J:$J,'Doc''s Pagos | Rodopar 108'!$A:$A,$B305&amp;$E305&amp;$F305&amp;$J305,'Doc''s Pagos | Rodopar 108'!$B:$B,V$1)+SUMIFS('Doc Há Pagar | Rodopar 1015'!$J:$J,'Doc Há Pagar | Rodopar 1015'!$A:$A,$B305&amp;$E305&amp;$F305,'Doc Há Pagar | Rodopar 1015'!$B:$B,V$1)</f>
        <v>0</v>
      </c>
      <c r="W305" s="20">
        <f>SUMIFS('Doc''s Pagos | Rodopar 108'!$J:$J,'Doc''s Pagos | Rodopar 108'!$A:$A,$B305&amp;$E305&amp;$F305&amp;$J305,'Doc''s Pagos | Rodopar 108'!$B:$B,W$1)+SUMIFS('Doc Há Pagar | Rodopar 1015'!$J:$J,'Doc Há Pagar | Rodopar 1015'!$A:$A,$B305&amp;$E305&amp;$F305,'Doc Há Pagar | Rodopar 1015'!$B:$B,W$1)</f>
        <v>0</v>
      </c>
      <c r="X305" s="20">
        <f>SUMIFS('Doc''s Pagos | Rodopar 108'!$J:$J,'Doc''s Pagos | Rodopar 108'!$A:$A,$B305&amp;$E305&amp;$F305&amp;$J305,'Doc''s Pagos | Rodopar 108'!$B:$B,X$1)+SUMIFS('Doc Há Pagar | Rodopar 1015'!$J:$J,'Doc Há Pagar | Rodopar 1015'!$A:$A,$B305&amp;$E305&amp;$F305,'Doc Há Pagar | Rodopar 1015'!$B:$B,X$1)</f>
        <v>0</v>
      </c>
      <c r="Y305" s="20">
        <f>SUMIFS('Doc''s Pagos | Rodopar 108'!$J:$J,'Doc''s Pagos | Rodopar 108'!$A:$A,$B305&amp;$E305&amp;$F305&amp;$J305,'Doc''s Pagos | Rodopar 108'!$B:$B,Y$1)+SUMIFS('Doc Há Pagar | Rodopar 1015'!$J:$J,'Doc Há Pagar | Rodopar 1015'!$A:$A,$B305&amp;$E305&amp;$F305,'Doc Há Pagar | Rodopar 1015'!$B:$B,Y$1)</f>
        <v>0</v>
      </c>
      <c r="Z305" s="20">
        <f>SUMIFS('Doc''s Pagos | Rodopar 108'!$J:$J,'Doc''s Pagos | Rodopar 108'!$A:$A,$B305&amp;$E305&amp;$F305&amp;$J305,'Doc''s Pagos | Rodopar 108'!$B:$B,Z$1)+SUMIFS('Doc Há Pagar | Rodopar 1015'!$J:$J,'Doc Há Pagar | Rodopar 1015'!$A:$A,$B305&amp;$E305&amp;$F305,'Doc Há Pagar | Rodopar 1015'!$B:$B,Z$1)</f>
        <v>801.23</v>
      </c>
      <c r="AA305" s="20">
        <f>SUMIFS('Doc''s Pagos | Rodopar 108'!$J:$J,'Doc''s Pagos | Rodopar 108'!$A:$A,$B305&amp;$E305&amp;$F305&amp;$J305,'Doc''s Pagos | Rodopar 108'!$B:$B,AA$1)+SUMIFS('Doc Há Pagar | Rodopar 1015'!$J:$J,'Doc Há Pagar | Rodopar 1015'!$A:$A,$B305&amp;$E305&amp;$F305,'Doc Há Pagar | Rodopar 1015'!$B:$B,AA$1)</f>
        <v>801.23</v>
      </c>
      <c r="AB305" s="20">
        <f>SUMIFS('Doc''s Pagos | Rodopar 108'!$J:$J,'Doc''s Pagos | Rodopar 108'!$A:$A,$B305&amp;$E305&amp;$F305&amp;$J305,'Doc''s Pagos | Rodopar 108'!$B:$B,AB$1)+SUMIFS('Doc Há Pagar | Rodopar 1015'!$J:$J,'Doc Há Pagar | Rodopar 1015'!$A:$A,$B305&amp;$E305&amp;$F305,'Doc Há Pagar | Rodopar 1015'!$B:$B,AB$1)</f>
        <v>0</v>
      </c>
      <c r="AC305" s="20">
        <f>SUMIFS('Doc''s Pagos | Rodopar 108'!$J:$J,'Doc''s Pagos | Rodopar 108'!$A:$A,$B305&amp;$E305&amp;$F305&amp;$J305,'Doc''s Pagos | Rodopar 108'!$B:$B,AC$1)+SUMIFS('Doc Há Pagar | Rodopar 1015'!$J:$J,'Doc Há Pagar | Rodopar 1015'!$A:$A,$B305&amp;$E305&amp;$F305,'Doc Há Pagar | Rodopar 1015'!$B:$B,AC$1)</f>
        <v>0</v>
      </c>
      <c r="AD305" s="20">
        <f>SUMIFS('Doc''s Pagos | Rodopar 108'!$J:$J,'Doc''s Pagos | Rodopar 108'!$A:$A,$B305&amp;$E305&amp;$F305&amp;$J305,'Doc''s Pagos | Rodopar 108'!$B:$B,AD$1)+SUMIFS('Doc Há Pagar | Rodopar 1015'!$J:$J,'Doc Há Pagar | Rodopar 1015'!$A:$A,$B305&amp;$E305&amp;$F305,'Doc Há Pagar | Rodopar 1015'!$B:$B,AD$1)</f>
        <v>0</v>
      </c>
    </row>
    <row r="306" spans="1:30" x14ac:dyDescent="0.25">
      <c r="A306" s="1" t="str">
        <f>VLOOKUP($E306,Fornecedores!$A:$C,3,0)</f>
        <v>Frota</v>
      </c>
      <c r="B306" s="14">
        <v>8139</v>
      </c>
      <c r="C306" s="14" t="str">
        <f>IFERROR(VLOOKUP($E306,Fornecedores!$A:$E,4,0),"")</f>
        <v>Manutenção</v>
      </c>
      <c r="D306" s="14" t="str">
        <f>IFERROR(VLOOKUP($E306,Fornecedores!$A:$E,5,0),"")</f>
        <v>Vans</v>
      </c>
      <c r="E306" s="8" t="s">
        <v>159</v>
      </c>
      <c r="F306" s="14" t="s">
        <v>380</v>
      </c>
      <c r="G306" s="8" t="s">
        <v>588</v>
      </c>
      <c r="H306" s="9">
        <v>87</v>
      </c>
      <c r="I306" s="21">
        <v>890</v>
      </c>
      <c r="J306" s="11">
        <v>46220</v>
      </c>
      <c r="K306" s="11">
        <v>46238</v>
      </c>
      <c r="L306" s="8" t="s">
        <v>501</v>
      </c>
      <c r="M306" s="14" t="s">
        <v>234</v>
      </c>
      <c r="N306" s="16">
        <v>1556</v>
      </c>
      <c r="O306" s="14" t="s">
        <v>250</v>
      </c>
      <c r="P306" s="14"/>
      <c r="Q306" s="20">
        <f t="shared" si="4"/>
        <v>0</v>
      </c>
      <c r="S306" s="20">
        <f>SUMIFS('Doc''s Pagos | Rodopar 108'!$J:$J,'Doc''s Pagos | Rodopar 108'!$A:$A,$B306&amp;$E306&amp;$F306&amp;$J306,'Doc''s Pagos | Rodopar 108'!$B:$B,S$1)+SUMIFS('Doc Há Pagar | Rodopar 1015'!$J:$J,'Doc Há Pagar | Rodopar 1015'!$A:$A,$B306&amp;$E306&amp;$F306,'Doc Há Pagar | Rodopar 1015'!$B:$B,S$1)</f>
        <v>0</v>
      </c>
      <c r="T306" s="20">
        <f>SUMIFS('Doc''s Pagos | Rodopar 108'!$J:$J,'Doc''s Pagos | Rodopar 108'!$A:$A,$B306&amp;$E306&amp;$F306&amp;$J306,'Doc''s Pagos | Rodopar 108'!$B:$B,T$1)+SUMIFS('Doc Há Pagar | Rodopar 1015'!$J:$J,'Doc Há Pagar | Rodopar 1015'!$A:$A,$B306&amp;$E306&amp;$F306,'Doc Há Pagar | Rodopar 1015'!$B:$B,T$1)</f>
        <v>0</v>
      </c>
      <c r="U306" s="20">
        <f>SUMIFS('Doc''s Pagos | Rodopar 108'!$J:$J,'Doc''s Pagos | Rodopar 108'!$A:$A,$B306&amp;$E306&amp;$F306&amp;$J306,'Doc''s Pagos | Rodopar 108'!$B:$B,U$1)+SUMIFS('Doc Há Pagar | Rodopar 1015'!$J:$J,'Doc Há Pagar | Rodopar 1015'!$A:$A,$B306&amp;$E306&amp;$F306,'Doc Há Pagar | Rodopar 1015'!$B:$B,U$1)</f>
        <v>0</v>
      </c>
      <c r="V306" s="20">
        <f>SUMIFS('Doc''s Pagos | Rodopar 108'!$J:$J,'Doc''s Pagos | Rodopar 108'!$A:$A,$B306&amp;$E306&amp;$F306&amp;$J306,'Doc''s Pagos | Rodopar 108'!$B:$B,V$1)+SUMIFS('Doc Há Pagar | Rodopar 1015'!$J:$J,'Doc Há Pagar | Rodopar 1015'!$A:$A,$B306&amp;$E306&amp;$F306,'Doc Há Pagar | Rodopar 1015'!$B:$B,V$1)</f>
        <v>0</v>
      </c>
      <c r="W306" s="20">
        <f>SUMIFS('Doc''s Pagos | Rodopar 108'!$J:$J,'Doc''s Pagos | Rodopar 108'!$A:$A,$B306&amp;$E306&amp;$F306&amp;$J306,'Doc''s Pagos | Rodopar 108'!$B:$B,W$1)+SUMIFS('Doc Há Pagar | Rodopar 1015'!$J:$J,'Doc Há Pagar | Rodopar 1015'!$A:$A,$B306&amp;$E306&amp;$F306,'Doc Há Pagar | Rodopar 1015'!$B:$B,W$1)</f>
        <v>0</v>
      </c>
      <c r="X306" s="20">
        <f>SUMIFS('Doc''s Pagos | Rodopar 108'!$J:$J,'Doc''s Pagos | Rodopar 108'!$A:$A,$B306&amp;$E306&amp;$F306&amp;$J306,'Doc''s Pagos | Rodopar 108'!$B:$B,X$1)+SUMIFS('Doc Há Pagar | Rodopar 1015'!$J:$J,'Doc Há Pagar | Rodopar 1015'!$A:$A,$B306&amp;$E306&amp;$F306,'Doc Há Pagar | Rodopar 1015'!$B:$B,X$1)</f>
        <v>0</v>
      </c>
      <c r="Y306" s="20">
        <f>SUMIFS('Doc''s Pagos | Rodopar 108'!$J:$J,'Doc''s Pagos | Rodopar 108'!$A:$A,$B306&amp;$E306&amp;$F306&amp;$J306,'Doc''s Pagos | Rodopar 108'!$B:$B,Y$1)+SUMIFS('Doc Há Pagar | Rodopar 1015'!$J:$J,'Doc Há Pagar | Rodopar 1015'!$A:$A,$B306&amp;$E306&amp;$F306,'Doc Há Pagar | Rodopar 1015'!$B:$B,Y$1)</f>
        <v>0</v>
      </c>
      <c r="Z306" s="20">
        <f>SUMIFS('Doc''s Pagos | Rodopar 108'!$J:$J,'Doc''s Pagos | Rodopar 108'!$A:$A,$B306&amp;$E306&amp;$F306&amp;$J306,'Doc''s Pagos | Rodopar 108'!$B:$B,Z$1)+SUMIFS('Doc Há Pagar | Rodopar 1015'!$J:$J,'Doc Há Pagar | Rodopar 1015'!$A:$A,$B306&amp;$E306&amp;$F306,'Doc Há Pagar | Rodopar 1015'!$B:$B,Z$1)</f>
        <v>890</v>
      </c>
      <c r="AA306" s="20">
        <f>SUMIFS('Doc''s Pagos | Rodopar 108'!$J:$J,'Doc''s Pagos | Rodopar 108'!$A:$A,$B306&amp;$E306&amp;$F306&amp;$J306,'Doc''s Pagos | Rodopar 108'!$B:$B,AA$1)+SUMIFS('Doc Há Pagar | Rodopar 1015'!$J:$J,'Doc Há Pagar | Rodopar 1015'!$A:$A,$B306&amp;$E306&amp;$F306,'Doc Há Pagar | Rodopar 1015'!$B:$B,AA$1)</f>
        <v>0</v>
      </c>
      <c r="AB306" s="20">
        <f>SUMIFS('Doc''s Pagos | Rodopar 108'!$J:$J,'Doc''s Pagos | Rodopar 108'!$A:$A,$B306&amp;$E306&amp;$F306&amp;$J306,'Doc''s Pagos | Rodopar 108'!$B:$B,AB$1)+SUMIFS('Doc Há Pagar | Rodopar 1015'!$J:$J,'Doc Há Pagar | Rodopar 1015'!$A:$A,$B306&amp;$E306&amp;$F306,'Doc Há Pagar | Rodopar 1015'!$B:$B,AB$1)</f>
        <v>0</v>
      </c>
      <c r="AC306" s="20">
        <f>SUMIFS('Doc''s Pagos | Rodopar 108'!$J:$J,'Doc''s Pagos | Rodopar 108'!$A:$A,$B306&amp;$E306&amp;$F306&amp;$J306,'Doc''s Pagos | Rodopar 108'!$B:$B,AC$1)+SUMIFS('Doc Há Pagar | Rodopar 1015'!$J:$J,'Doc Há Pagar | Rodopar 1015'!$A:$A,$B306&amp;$E306&amp;$F306,'Doc Há Pagar | Rodopar 1015'!$B:$B,AC$1)</f>
        <v>0</v>
      </c>
      <c r="AD306" s="20">
        <f>SUMIFS('Doc''s Pagos | Rodopar 108'!$J:$J,'Doc''s Pagos | Rodopar 108'!$A:$A,$B306&amp;$E306&amp;$F306&amp;$J306,'Doc''s Pagos | Rodopar 108'!$B:$B,AD$1)+SUMIFS('Doc Há Pagar | Rodopar 1015'!$J:$J,'Doc Há Pagar | Rodopar 1015'!$A:$A,$B306&amp;$E306&amp;$F306,'Doc Há Pagar | Rodopar 1015'!$B:$B,AD$1)</f>
        <v>0</v>
      </c>
    </row>
    <row r="307" spans="1:30" x14ac:dyDescent="0.25">
      <c r="A307" s="1" t="str">
        <f>VLOOKUP($E307,Fornecedores!$A:$C,3,0)</f>
        <v>Frota</v>
      </c>
      <c r="B307" s="14">
        <v>1832</v>
      </c>
      <c r="C307" s="14" t="str">
        <f>IFERROR(VLOOKUP($E307,Fornecedores!$A:$E,4,0),"")</f>
        <v>Manutenção</v>
      </c>
      <c r="D307" s="14" t="str">
        <f>IFERROR(VLOOKUP($E307,Fornecedores!$A:$E,5,0),"")</f>
        <v>Vans</v>
      </c>
      <c r="E307" s="8" t="s">
        <v>133</v>
      </c>
      <c r="F307" s="14" t="s">
        <v>614</v>
      </c>
      <c r="G307" s="8" t="s">
        <v>493</v>
      </c>
      <c r="H307" s="9">
        <v>87</v>
      </c>
      <c r="I307" s="21">
        <v>875.5</v>
      </c>
      <c r="J307" s="11">
        <v>46220</v>
      </c>
      <c r="K307" s="11">
        <v>46220</v>
      </c>
      <c r="L307" s="8" t="s">
        <v>494</v>
      </c>
      <c r="M307" s="14" t="s">
        <v>234</v>
      </c>
      <c r="N307" s="16">
        <v>1556</v>
      </c>
      <c r="O307" s="14" t="s">
        <v>250</v>
      </c>
      <c r="P307" s="14"/>
      <c r="Q307" s="20">
        <f t="shared" si="4"/>
        <v>0</v>
      </c>
      <c r="S307" s="20">
        <f>SUMIFS('Doc''s Pagos | Rodopar 108'!$J:$J,'Doc''s Pagos | Rodopar 108'!$A:$A,$B307&amp;$E307&amp;$F307&amp;$J307,'Doc''s Pagos | Rodopar 108'!$B:$B,S$1)+SUMIFS('Doc Há Pagar | Rodopar 1015'!$J:$J,'Doc Há Pagar | Rodopar 1015'!$A:$A,$B307&amp;$E307&amp;$F307,'Doc Há Pagar | Rodopar 1015'!$B:$B,S$1)</f>
        <v>0</v>
      </c>
      <c r="T307" s="20">
        <f>SUMIFS('Doc''s Pagos | Rodopar 108'!$J:$J,'Doc''s Pagos | Rodopar 108'!$A:$A,$B307&amp;$E307&amp;$F307&amp;$J307,'Doc''s Pagos | Rodopar 108'!$B:$B,T$1)+SUMIFS('Doc Há Pagar | Rodopar 1015'!$J:$J,'Doc Há Pagar | Rodopar 1015'!$A:$A,$B307&amp;$E307&amp;$F307,'Doc Há Pagar | Rodopar 1015'!$B:$B,T$1)</f>
        <v>0</v>
      </c>
      <c r="U307" s="20">
        <f>SUMIFS('Doc''s Pagos | Rodopar 108'!$J:$J,'Doc''s Pagos | Rodopar 108'!$A:$A,$B307&amp;$E307&amp;$F307&amp;$J307,'Doc''s Pagos | Rodopar 108'!$B:$B,U$1)+SUMIFS('Doc Há Pagar | Rodopar 1015'!$J:$J,'Doc Há Pagar | Rodopar 1015'!$A:$A,$B307&amp;$E307&amp;$F307,'Doc Há Pagar | Rodopar 1015'!$B:$B,U$1)</f>
        <v>0</v>
      </c>
      <c r="V307" s="20">
        <f>SUMIFS('Doc''s Pagos | Rodopar 108'!$J:$J,'Doc''s Pagos | Rodopar 108'!$A:$A,$B307&amp;$E307&amp;$F307&amp;$J307,'Doc''s Pagos | Rodopar 108'!$B:$B,V$1)+SUMIFS('Doc Há Pagar | Rodopar 1015'!$J:$J,'Doc Há Pagar | Rodopar 1015'!$A:$A,$B307&amp;$E307&amp;$F307,'Doc Há Pagar | Rodopar 1015'!$B:$B,V$1)</f>
        <v>0</v>
      </c>
      <c r="W307" s="20">
        <f>SUMIFS('Doc''s Pagos | Rodopar 108'!$J:$J,'Doc''s Pagos | Rodopar 108'!$A:$A,$B307&amp;$E307&amp;$F307&amp;$J307,'Doc''s Pagos | Rodopar 108'!$B:$B,W$1)+SUMIFS('Doc Há Pagar | Rodopar 1015'!$J:$J,'Doc Há Pagar | Rodopar 1015'!$A:$A,$B307&amp;$E307&amp;$F307,'Doc Há Pagar | Rodopar 1015'!$B:$B,W$1)</f>
        <v>0</v>
      </c>
      <c r="X307" s="20">
        <f>SUMIFS('Doc''s Pagos | Rodopar 108'!$J:$J,'Doc''s Pagos | Rodopar 108'!$A:$A,$B307&amp;$E307&amp;$F307&amp;$J307,'Doc''s Pagos | Rodopar 108'!$B:$B,X$1)+SUMIFS('Doc Há Pagar | Rodopar 1015'!$J:$J,'Doc Há Pagar | Rodopar 1015'!$A:$A,$B307&amp;$E307&amp;$F307,'Doc Há Pagar | Rodopar 1015'!$B:$B,X$1)</f>
        <v>0</v>
      </c>
      <c r="Y307" s="20">
        <f>SUMIFS('Doc''s Pagos | Rodopar 108'!$J:$J,'Doc''s Pagos | Rodopar 108'!$A:$A,$B307&amp;$E307&amp;$F307&amp;$J307,'Doc''s Pagos | Rodopar 108'!$B:$B,Y$1)+SUMIFS('Doc Há Pagar | Rodopar 1015'!$J:$J,'Doc Há Pagar | Rodopar 1015'!$A:$A,$B307&amp;$E307&amp;$F307,'Doc Há Pagar | Rodopar 1015'!$B:$B,Y$1)</f>
        <v>0</v>
      </c>
      <c r="Z307" s="20">
        <f>SUMIFS('Doc''s Pagos | Rodopar 108'!$J:$J,'Doc''s Pagos | Rodopar 108'!$A:$A,$B307&amp;$E307&amp;$F307&amp;$J307,'Doc''s Pagos | Rodopar 108'!$B:$B,Z$1)+SUMIFS('Doc Há Pagar | Rodopar 1015'!$J:$J,'Doc Há Pagar | Rodopar 1015'!$A:$A,$B307&amp;$E307&amp;$F307,'Doc Há Pagar | Rodopar 1015'!$B:$B,Z$1)</f>
        <v>437.75</v>
      </c>
      <c r="AA307" s="20">
        <f>SUMIFS('Doc''s Pagos | Rodopar 108'!$J:$J,'Doc''s Pagos | Rodopar 108'!$A:$A,$B307&amp;$E307&amp;$F307&amp;$J307,'Doc''s Pagos | Rodopar 108'!$B:$B,AA$1)+SUMIFS('Doc Há Pagar | Rodopar 1015'!$J:$J,'Doc Há Pagar | Rodopar 1015'!$A:$A,$B307&amp;$E307&amp;$F307,'Doc Há Pagar | Rodopar 1015'!$B:$B,AA$1)</f>
        <v>437.75</v>
      </c>
      <c r="AB307" s="20">
        <f>SUMIFS('Doc''s Pagos | Rodopar 108'!$J:$J,'Doc''s Pagos | Rodopar 108'!$A:$A,$B307&amp;$E307&amp;$F307&amp;$J307,'Doc''s Pagos | Rodopar 108'!$B:$B,AB$1)+SUMIFS('Doc Há Pagar | Rodopar 1015'!$J:$J,'Doc Há Pagar | Rodopar 1015'!$A:$A,$B307&amp;$E307&amp;$F307,'Doc Há Pagar | Rodopar 1015'!$B:$B,AB$1)</f>
        <v>0</v>
      </c>
      <c r="AC307" s="20">
        <f>SUMIFS('Doc''s Pagos | Rodopar 108'!$J:$J,'Doc''s Pagos | Rodopar 108'!$A:$A,$B307&amp;$E307&amp;$F307&amp;$J307,'Doc''s Pagos | Rodopar 108'!$B:$B,AC$1)+SUMIFS('Doc Há Pagar | Rodopar 1015'!$J:$J,'Doc Há Pagar | Rodopar 1015'!$A:$A,$B307&amp;$E307&amp;$F307,'Doc Há Pagar | Rodopar 1015'!$B:$B,AC$1)</f>
        <v>0</v>
      </c>
      <c r="AD307" s="20">
        <f>SUMIFS('Doc''s Pagos | Rodopar 108'!$J:$J,'Doc''s Pagos | Rodopar 108'!$A:$A,$B307&amp;$E307&amp;$F307&amp;$J307,'Doc''s Pagos | Rodopar 108'!$B:$B,AD$1)+SUMIFS('Doc Há Pagar | Rodopar 1015'!$J:$J,'Doc Há Pagar | Rodopar 1015'!$A:$A,$B307&amp;$E307&amp;$F307,'Doc Há Pagar | Rodopar 1015'!$B:$B,AD$1)</f>
        <v>0</v>
      </c>
    </row>
    <row r="308" spans="1:30" x14ac:dyDescent="0.25">
      <c r="A308" s="1" t="str">
        <f>VLOOKUP($E308,Fornecedores!$A:$C,3,0)</f>
        <v>Frota</v>
      </c>
      <c r="B308" s="14">
        <v>1831</v>
      </c>
      <c r="C308" s="14" t="str">
        <f>IFERROR(VLOOKUP($E308,Fornecedores!$A:$E,4,0),"")</f>
        <v>Manutenção</v>
      </c>
      <c r="D308" s="14" t="str">
        <f>IFERROR(VLOOKUP($E308,Fornecedores!$A:$E,5,0),"")</f>
        <v>Vans</v>
      </c>
      <c r="E308" s="8" t="s">
        <v>133</v>
      </c>
      <c r="F308" s="14" t="s">
        <v>665</v>
      </c>
      <c r="G308" s="8" t="s">
        <v>493</v>
      </c>
      <c r="H308" s="9">
        <v>87</v>
      </c>
      <c r="I308" s="21">
        <v>669.5</v>
      </c>
      <c r="J308" s="11">
        <v>46220</v>
      </c>
      <c r="K308" s="11">
        <v>46220</v>
      </c>
      <c r="L308" s="8" t="s">
        <v>494</v>
      </c>
      <c r="M308" s="14" t="s">
        <v>234</v>
      </c>
      <c r="N308" s="16">
        <v>1556</v>
      </c>
      <c r="O308" s="14" t="s">
        <v>250</v>
      </c>
      <c r="P308" s="14"/>
      <c r="Q308" s="20">
        <f t="shared" si="4"/>
        <v>0</v>
      </c>
      <c r="S308" s="20">
        <f>SUMIFS('Doc''s Pagos | Rodopar 108'!$J:$J,'Doc''s Pagos | Rodopar 108'!$A:$A,$B308&amp;$E308&amp;$F308&amp;$J308,'Doc''s Pagos | Rodopar 108'!$B:$B,S$1)+SUMIFS('Doc Há Pagar | Rodopar 1015'!$J:$J,'Doc Há Pagar | Rodopar 1015'!$A:$A,$B308&amp;$E308&amp;$F308,'Doc Há Pagar | Rodopar 1015'!$B:$B,S$1)</f>
        <v>0</v>
      </c>
      <c r="T308" s="20">
        <f>SUMIFS('Doc''s Pagos | Rodopar 108'!$J:$J,'Doc''s Pagos | Rodopar 108'!$A:$A,$B308&amp;$E308&amp;$F308&amp;$J308,'Doc''s Pagos | Rodopar 108'!$B:$B,T$1)+SUMIFS('Doc Há Pagar | Rodopar 1015'!$J:$J,'Doc Há Pagar | Rodopar 1015'!$A:$A,$B308&amp;$E308&amp;$F308,'Doc Há Pagar | Rodopar 1015'!$B:$B,T$1)</f>
        <v>0</v>
      </c>
      <c r="U308" s="20">
        <f>SUMIFS('Doc''s Pagos | Rodopar 108'!$J:$J,'Doc''s Pagos | Rodopar 108'!$A:$A,$B308&amp;$E308&amp;$F308&amp;$J308,'Doc''s Pagos | Rodopar 108'!$B:$B,U$1)+SUMIFS('Doc Há Pagar | Rodopar 1015'!$J:$J,'Doc Há Pagar | Rodopar 1015'!$A:$A,$B308&amp;$E308&amp;$F308,'Doc Há Pagar | Rodopar 1015'!$B:$B,U$1)</f>
        <v>0</v>
      </c>
      <c r="V308" s="20">
        <f>SUMIFS('Doc''s Pagos | Rodopar 108'!$J:$J,'Doc''s Pagos | Rodopar 108'!$A:$A,$B308&amp;$E308&amp;$F308&amp;$J308,'Doc''s Pagos | Rodopar 108'!$B:$B,V$1)+SUMIFS('Doc Há Pagar | Rodopar 1015'!$J:$J,'Doc Há Pagar | Rodopar 1015'!$A:$A,$B308&amp;$E308&amp;$F308,'Doc Há Pagar | Rodopar 1015'!$B:$B,V$1)</f>
        <v>0</v>
      </c>
      <c r="W308" s="20">
        <f>SUMIFS('Doc''s Pagos | Rodopar 108'!$J:$J,'Doc''s Pagos | Rodopar 108'!$A:$A,$B308&amp;$E308&amp;$F308&amp;$J308,'Doc''s Pagos | Rodopar 108'!$B:$B,W$1)+SUMIFS('Doc Há Pagar | Rodopar 1015'!$J:$J,'Doc Há Pagar | Rodopar 1015'!$A:$A,$B308&amp;$E308&amp;$F308,'Doc Há Pagar | Rodopar 1015'!$B:$B,W$1)</f>
        <v>0</v>
      </c>
      <c r="X308" s="20">
        <f>SUMIFS('Doc''s Pagos | Rodopar 108'!$J:$J,'Doc''s Pagos | Rodopar 108'!$A:$A,$B308&amp;$E308&amp;$F308&amp;$J308,'Doc''s Pagos | Rodopar 108'!$B:$B,X$1)+SUMIFS('Doc Há Pagar | Rodopar 1015'!$J:$J,'Doc Há Pagar | Rodopar 1015'!$A:$A,$B308&amp;$E308&amp;$F308,'Doc Há Pagar | Rodopar 1015'!$B:$B,X$1)</f>
        <v>0</v>
      </c>
      <c r="Y308" s="20">
        <f>SUMIFS('Doc''s Pagos | Rodopar 108'!$J:$J,'Doc''s Pagos | Rodopar 108'!$A:$A,$B308&amp;$E308&amp;$F308&amp;$J308,'Doc''s Pagos | Rodopar 108'!$B:$B,Y$1)+SUMIFS('Doc Há Pagar | Rodopar 1015'!$J:$J,'Doc Há Pagar | Rodopar 1015'!$A:$A,$B308&amp;$E308&amp;$F308,'Doc Há Pagar | Rodopar 1015'!$B:$B,Y$1)</f>
        <v>0</v>
      </c>
      <c r="Z308" s="20">
        <f>SUMIFS('Doc''s Pagos | Rodopar 108'!$J:$J,'Doc''s Pagos | Rodopar 108'!$A:$A,$B308&amp;$E308&amp;$F308&amp;$J308,'Doc''s Pagos | Rodopar 108'!$B:$B,Z$1)+SUMIFS('Doc Há Pagar | Rodopar 1015'!$J:$J,'Doc Há Pagar | Rodopar 1015'!$A:$A,$B308&amp;$E308&amp;$F308,'Doc Há Pagar | Rodopar 1015'!$B:$B,Z$1)</f>
        <v>334.75</v>
      </c>
      <c r="AA308" s="20">
        <f>SUMIFS('Doc''s Pagos | Rodopar 108'!$J:$J,'Doc''s Pagos | Rodopar 108'!$A:$A,$B308&amp;$E308&amp;$F308&amp;$J308,'Doc''s Pagos | Rodopar 108'!$B:$B,AA$1)+SUMIFS('Doc Há Pagar | Rodopar 1015'!$J:$J,'Doc Há Pagar | Rodopar 1015'!$A:$A,$B308&amp;$E308&amp;$F308,'Doc Há Pagar | Rodopar 1015'!$B:$B,AA$1)</f>
        <v>334.75</v>
      </c>
      <c r="AB308" s="20">
        <f>SUMIFS('Doc''s Pagos | Rodopar 108'!$J:$J,'Doc''s Pagos | Rodopar 108'!$A:$A,$B308&amp;$E308&amp;$F308&amp;$J308,'Doc''s Pagos | Rodopar 108'!$B:$B,AB$1)+SUMIFS('Doc Há Pagar | Rodopar 1015'!$J:$J,'Doc Há Pagar | Rodopar 1015'!$A:$A,$B308&amp;$E308&amp;$F308,'Doc Há Pagar | Rodopar 1015'!$B:$B,AB$1)</f>
        <v>0</v>
      </c>
      <c r="AC308" s="20">
        <f>SUMIFS('Doc''s Pagos | Rodopar 108'!$J:$J,'Doc''s Pagos | Rodopar 108'!$A:$A,$B308&amp;$E308&amp;$F308&amp;$J308,'Doc''s Pagos | Rodopar 108'!$B:$B,AC$1)+SUMIFS('Doc Há Pagar | Rodopar 1015'!$J:$J,'Doc Há Pagar | Rodopar 1015'!$A:$A,$B308&amp;$E308&amp;$F308,'Doc Há Pagar | Rodopar 1015'!$B:$B,AC$1)</f>
        <v>0</v>
      </c>
      <c r="AD308" s="20">
        <f>SUMIFS('Doc''s Pagos | Rodopar 108'!$J:$J,'Doc''s Pagos | Rodopar 108'!$A:$A,$B308&amp;$E308&amp;$F308&amp;$J308,'Doc''s Pagos | Rodopar 108'!$B:$B,AD$1)+SUMIFS('Doc Há Pagar | Rodopar 1015'!$J:$J,'Doc Há Pagar | Rodopar 1015'!$A:$A,$B308&amp;$E308&amp;$F308,'Doc Há Pagar | Rodopar 1015'!$B:$B,AD$1)</f>
        <v>0</v>
      </c>
    </row>
    <row r="309" spans="1:30" x14ac:dyDescent="0.25">
      <c r="A309" s="1" t="str">
        <f>VLOOKUP($E309,Fornecedores!$A:$C,3,0)</f>
        <v>Frota</v>
      </c>
      <c r="B309" s="14">
        <v>412</v>
      </c>
      <c r="C309" s="14" t="str">
        <f>IFERROR(VLOOKUP($E309,Fornecedores!$A:$E,4,0),"")</f>
        <v>Manutenção</v>
      </c>
      <c r="D309" s="14" t="str">
        <f>IFERROR(VLOOKUP($E309,Fornecedores!$A:$E,5,0),"")</f>
        <v>Frota Leve OPE</v>
      </c>
      <c r="E309" s="8" t="s">
        <v>109</v>
      </c>
      <c r="F309" s="14" t="s">
        <v>665</v>
      </c>
      <c r="G309" s="8" t="s">
        <v>880</v>
      </c>
      <c r="H309" s="9">
        <v>87</v>
      </c>
      <c r="I309" s="21">
        <v>2567.19</v>
      </c>
      <c r="J309" s="11">
        <v>46223</v>
      </c>
      <c r="K309" s="11">
        <v>46224</v>
      </c>
      <c r="L309" s="8" t="s">
        <v>382</v>
      </c>
      <c r="M309" s="14" t="s">
        <v>234</v>
      </c>
      <c r="N309" s="16">
        <v>1556</v>
      </c>
      <c r="O309" s="14" t="s">
        <v>250</v>
      </c>
      <c r="P309" s="14"/>
      <c r="Q309" s="20">
        <f t="shared" si="4"/>
        <v>0</v>
      </c>
      <c r="S309" s="20">
        <f>SUMIFS('Doc''s Pagos | Rodopar 108'!$J:$J,'Doc''s Pagos | Rodopar 108'!$A:$A,$B309&amp;$E309&amp;$F309&amp;$J309,'Doc''s Pagos | Rodopar 108'!$B:$B,S$1)+SUMIFS('Doc Há Pagar | Rodopar 1015'!$J:$J,'Doc Há Pagar | Rodopar 1015'!$A:$A,$B309&amp;$E309&amp;$F309,'Doc Há Pagar | Rodopar 1015'!$B:$B,S$1)</f>
        <v>0</v>
      </c>
      <c r="T309" s="20">
        <f>SUMIFS('Doc''s Pagos | Rodopar 108'!$J:$J,'Doc''s Pagos | Rodopar 108'!$A:$A,$B309&amp;$E309&amp;$F309&amp;$J309,'Doc''s Pagos | Rodopar 108'!$B:$B,T$1)+SUMIFS('Doc Há Pagar | Rodopar 1015'!$J:$J,'Doc Há Pagar | Rodopar 1015'!$A:$A,$B309&amp;$E309&amp;$F309,'Doc Há Pagar | Rodopar 1015'!$B:$B,T$1)</f>
        <v>0</v>
      </c>
      <c r="U309" s="20">
        <f>SUMIFS('Doc''s Pagos | Rodopar 108'!$J:$J,'Doc''s Pagos | Rodopar 108'!$A:$A,$B309&amp;$E309&amp;$F309&amp;$J309,'Doc''s Pagos | Rodopar 108'!$B:$B,U$1)+SUMIFS('Doc Há Pagar | Rodopar 1015'!$J:$J,'Doc Há Pagar | Rodopar 1015'!$A:$A,$B309&amp;$E309&amp;$F309,'Doc Há Pagar | Rodopar 1015'!$B:$B,U$1)</f>
        <v>0</v>
      </c>
      <c r="V309" s="20">
        <f>SUMIFS('Doc''s Pagos | Rodopar 108'!$J:$J,'Doc''s Pagos | Rodopar 108'!$A:$A,$B309&amp;$E309&amp;$F309&amp;$J309,'Doc''s Pagos | Rodopar 108'!$B:$B,V$1)+SUMIFS('Doc Há Pagar | Rodopar 1015'!$J:$J,'Doc Há Pagar | Rodopar 1015'!$A:$A,$B309&amp;$E309&amp;$F309,'Doc Há Pagar | Rodopar 1015'!$B:$B,V$1)</f>
        <v>0</v>
      </c>
      <c r="W309" s="20">
        <f>SUMIFS('Doc''s Pagos | Rodopar 108'!$J:$J,'Doc''s Pagos | Rodopar 108'!$A:$A,$B309&amp;$E309&amp;$F309&amp;$J309,'Doc''s Pagos | Rodopar 108'!$B:$B,W$1)+SUMIFS('Doc Há Pagar | Rodopar 1015'!$J:$J,'Doc Há Pagar | Rodopar 1015'!$A:$A,$B309&amp;$E309&amp;$F309,'Doc Há Pagar | Rodopar 1015'!$B:$B,W$1)</f>
        <v>0</v>
      </c>
      <c r="X309" s="20">
        <f>SUMIFS('Doc''s Pagos | Rodopar 108'!$J:$J,'Doc''s Pagos | Rodopar 108'!$A:$A,$B309&amp;$E309&amp;$F309&amp;$J309,'Doc''s Pagos | Rodopar 108'!$B:$B,X$1)+SUMIFS('Doc Há Pagar | Rodopar 1015'!$J:$J,'Doc Há Pagar | Rodopar 1015'!$A:$A,$B309&amp;$E309&amp;$F309,'Doc Há Pagar | Rodopar 1015'!$B:$B,X$1)</f>
        <v>0</v>
      </c>
      <c r="Y309" s="20">
        <f>SUMIFS('Doc''s Pagos | Rodopar 108'!$J:$J,'Doc''s Pagos | Rodopar 108'!$A:$A,$B309&amp;$E309&amp;$F309&amp;$J309,'Doc''s Pagos | Rodopar 108'!$B:$B,Y$1)+SUMIFS('Doc Há Pagar | Rodopar 1015'!$J:$J,'Doc Há Pagar | Rodopar 1015'!$A:$A,$B309&amp;$E309&amp;$F309,'Doc Há Pagar | Rodopar 1015'!$B:$B,Y$1)</f>
        <v>0</v>
      </c>
      <c r="Z309" s="20">
        <f>SUMIFS('Doc''s Pagos | Rodopar 108'!$J:$J,'Doc''s Pagos | Rodopar 108'!$A:$A,$B309&amp;$E309&amp;$F309&amp;$J309,'Doc''s Pagos | Rodopar 108'!$B:$B,Z$1)+SUMIFS('Doc Há Pagar | Rodopar 1015'!$J:$J,'Doc Há Pagar | Rodopar 1015'!$A:$A,$B309&amp;$E309&amp;$F309,'Doc Há Pagar | Rodopar 1015'!$B:$B,Z$1)</f>
        <v>2567.19</v>
      </c>
      <c r="AA309" s="20">
        <f>SUMIFS('Doc''s Pagos | Rodopar 108'!$J:$J,'Doc''s Pagos | Rodopar 108'!$A:$A,$B309&amp;$E309&amp;$F309&amp;$J309,'Doc''s Pagos | Rodopar 108'!$B:$B,AA$1)+SUMIFS('Doc Há Pagar | Rodopar 1015'!$J:$J,'Doc Há Pagar | Rodopar 1015'!$A:$A,$B309&amp;$E309&amp;$F309,'Doc Há Pagar | Rodopar 1015'!$B:$B,AA$1)</f>
        <v>0</v>
      </c>
      <c r="AB309" s="20">
        <f>SUMIFS('Doc''s Pagos | Rodopar 108'!$J:$J,'Doc''s Pagos | Rodopar 108'!$A:$A,$B309&amp;$E309&amp;$F309&amp;$J309,'Doc''s Pagos | Rodopar 108'!$B:$B,AB$1)+SUMIFS('Doc Há Pagar | Rodopar 1015'!$J:$J,'Doc Há Pagar | Rodopar 1015'!$A:$A,$B309&amp;$E309&amp;$F309,'Doc Há Pagar | Rodopar 1015'!$B:$B,AB$1)</f>
        <v>0</v>
      </c>
      <c r="AC309" s="20">
        <f>SUMIFS('Doc''s Pagos | Rodopar 108'!$J:$J,'Doc''s Pagos | Rodopar 108'!$A:$A,$B309&amp;$E309&amp;$F309&amp;$J309,'Doc''s Pagos | Rodopar 108'!$B:$B,AC$1)+SUMIFS('Doc Há Pagar | Rodopar 1015'!$J:$J,'Doc Há Pagar | Rodopar 1015'!$A:$A,$B309&amp;$E309&amp;$F309,'Doc Há Pagar | Rodopar 1015'!$B:$B,AC$1)</f>
        <v>0</v>
      </c>
      <c r="AD309" s="20">
        <f>SUMIFS('Doc''s Pagos | Rodopar 108'!$J:$J,'Doc''s Pagos | Rodopar 108'!$A:$A,$B309&amp;$E309&amp;$F309&amp;$J309,'Doc''s Pagos | Rodopar 108'!$B:$B,AD$1)+SUMIFS('Doc Há Pagar | Rodopar 1015'!$J:$J,'Doc Há Pagar | Rodopar 1015'!$A:$A,$B309&amp;$E309&amp;$F309,'Doc Há Pagar | Rodopar 1015'!$B:$B,AD$1)</f>
        <v>0</v>
      </c>
    </row>
    <row r="310" spans="1:30" x14ac:dyDescent="0.25">
      <c r="A310" s="1" t="str">
        <f>VLOOKUP($E310,Fornecedores!$A:$C,3,0)</f>
        <v>Frota</v>
      </c>
      <c r="B310" s="14">
        <v>413</v>
      </c>
      <c r="C310" s="14" t="str">
        <f>IFERROR(VLOOKUP($E310,Fornecedores!$A:$E,4,0),"")</f>
        <v>Manutenção</v>
      </c>
      <c r="D310" s="14" t="str">
        <f>IFERROR(VLOOKUP($E310,Fornecedores!$A:$E,5,0),"")</f>
        <v>Frota Leve OPE</v>
      </c>
      <c r="E310" s="8" t="s">
        <v>109</v>
      </c>
      <c r="F310" s="14" t="s">
        <v>665</v>
      </c>
      <c r="G310" s="8" t="s">
        <v>880</v>
      </c>
      <c r="H310" s="9">
        <v>87</v>
      </c>
      <c r="I310" s="21">
        <v>2562.56</v>
      </c>
      <c r="J310" s="11">
        <v>46223</v>
      </c>
      <c r="K310" s="11">
        <v>46224</v>
      </c>
      <c r="L310" s="8" t="s">
        <v>382</v>
      </c>
      <c r="M310" s="14" t="s">
        <v>234</v>
      </c>
      <c r="N310" s="16">
        <v>1556</v>
      </c>
      <c r="O310" s="14" t="s">
        <v>250</v>
      </c>
      <c r="P310" s="14"/>
      <c r="Q310" s="20">
        <f t="shared" si="4"/>
        <v>0</v>
      </c>
      <c r="S310" s="20">
        <f>SUMIFS('Doc''s Pagos | Rodopar 108'!$J:$J,'Doc''s Pagos | Rodopar 108'!$A:$A,$B310&amp;$E310&amp;$F310&amp;$J310,'Doc''s Pagos | Rodopar 108'!$B:$B,S$1)+SUMIFS('Doc Há Pagar | Rodopar 1015'!$J:$J,'Doc Há Pagar | Rodopar 1015'!$A:$A,$B310&amp;$E310&amp;$F310,'Doc Há Pagar | Rodopar 1015'!$B:$B,S$1)</f>
        <v>0</v>
      </c>
      <c r="T310" s="20">
        <f>SUMIFS('Doc''s Pagos | Rodopar 108'!$J:$J,'Doc''s Pagos | Rodopar 108'!$A:$A,$B310&amp;$E310&amp;$F310&amp;$J310,'Doc''s Pagos | Rodopar 108'!$B:$B,T$1)+SUMIFS('Doc Há Pagar | Rodopar 1015'!$J:$J,'Doc Há Pagar | Rodopar 1015'!$A:$A,$B310&amp;$E310&amp;$F310,'Doc Há Pagar | Rodopar 1015'!$B:$B,T$1)</f>
        <v>0</v>
      </c>
      <c r="U310" s="20">
        <f>SUMIFS('Doc''s Pagos | Rodopar 108'!$J:$J,'Doc''s Pagos | Rodopar 108'!$A:$A,$B310&amp;$E310&amp;$F310&amp;$J310,'Doc''s Pagos | Rodopar 108'!$B:$B,U$1)+SUMIFS('Doc Há Pagar | Rodopar 1015'!$J:$J,'Doc Há Pagar | Rodopar 1015'!$A:$A,$B310&amp;$E310&amp;$F310,'Doc Há Pagar | Rodopar 1015'!$B:$B,U$1)</f>
        <v>0</v>
      </c>
      <c r="V310" s="20">
        <f>SUMIFS('Doc''s Pagos | Rodopar 108'!$J:$J,'Doc''s Pagos | Rodopar 108'!$A:$A,$B310&amp;$E310&amp;$F310&amp;$J310,'Doc''s Pagos | Rodopar 108'!$B:$B,V$1)+SUMIFS('Doc Há Pagar | Rodopar 1015'!$J:$J,'Doc Há Pagar | Rodopar 1015'!$A:$A,$B310&amp;$E310&amp;$F310,'Doc Há Pagar | Rodopar 1015'!$B:$B,V$1)</f>
        <v>0</v>
      </c>
      <c r="W310" s="20">
        <f>SUMIFS('Doc''s Pagos | Rodopar 108'!$J:$J,'Doc''s Pagos | Rodopar 108'!$A:$A,$B310&amp;$E310&amp;$F310&amp;$J310,'Doc''s Pagos | Rodopar 108'!$B:$B,W$1)+SUMIFS('Doc Há Pagar | Rodopar 1015'!$J:$J,'Doc Há Pagar | Rodopar 1015'!$A:$A,$B310&amp;$E310&amp;$F310,'Doc Há Pagar | Rodopar 1015'!$B:$B,W$1)</f>
        <v>0</v>
      </c>
      <c r="X310" s="20">
        <f>SUMIFS('Doc''s Pagos | Rodopar 108'!$J:$J,'Doc''s Pagos | Rodopar 108'!$A:$A,$B310&amp;$E310&amp;$F310&amp;$J310,'Doc''s Pagos | Rodopar 108'!$B:$B,X$1)+SUMIFS('Doc Há Pagar | Rodopar 1015'!$J:$J,'Doc Há Pagar | Rodopar 1015'!$A:$A,$B310&amp;$E310&amp;$F310,'Doc Há Pagar | Rodopar 1015'!$B:$B,X$1)</f>
        <v>0</v>
      </c>
      <c r="Y310" s="20">
        <f>SUMIFS('Doc''s Pagos | Rodopar 108'!$J:$J,'Doc''s Pagos | Rodopar 108'!$A:$A,$B310&amp;$E310&amp;$F310&amp;$J310,'Doc''s Pagos | Rodopar 108'!$B:$B,Y$1)+SUMIFS('Doc Há Pagar | Rodopar 1015'!$J:$J,'Doc Há Pagar | Rodopar 1015'!$A:$A,$B310&amp;$E310&amp;$F310,'Doc Há Pagar | Rodopar 1015'!$B:$B,Y$1)</f>
        <v>0</v>
      </c>
      <c r="Z310" s="20">
        <f>SUMIFS('Doc''s Pagos | Rodopar 108'!$J:$J,'Doc''s Pagos | Rodopar 108'!$A:$A,$B310&amp;$E310&amp;$F310&amp;$J310,'Doc''s Pagos | Rodopar 108'!$B:$B,Z$1)+SUMIFS('Doc Há Pagar | Rodopar 1015'!$J:$J,'Doc Há Pagar | Rodopar 1015'!$A:$A,$B310&amp;$E310&amp;$F310,'Doc Há Pagar | Rodopar 1015'!$B:$B,Z$1)</f>
        <v>2562.56</v>
      </c>
      <c r="AA310" s="20">
        <f>SUMIFS('Doc''s Pagos | Rodopar 108'!$J:$J,'Doc''s Pagos | Rodopar 108'!$A:$A,$B310&amp;$E310&amp;$F310&amp;$J310,'Doc''s Pagos | Rodopar 108'!$B:$B,AA$1)+SUMIFS('Doc Há Pagar | Rodopar 1015'!$J:$J,'Doc Há Pagar | Rodopar 1015'!$A:$A,$B310&amp;$E310&amp;$F310,'Doc Há Pagar | Rodopar 1015'!$B:$B,AA$1)</f>
        <v>0</v>
      </c>
      <c r="AB310" s="20">
        <f>SUMIFS('Doc''s Pagos | Rodopar 108'!$J:$J,'Doc''s Pagos | Rodopar 108'!$A:$A,$B310&amp;$E310&amp;$F310&amp;$J310,'Doc''s Pagos | Rodopar 108'!$B:$B,AB$1)+SUMIFS('Doc Há Pagar | Rodopar 1015'!$J:$J,'Doc Há Pagar | Rodopar 1015'!$A:$A,$B310&amp;$E310&amp;$F310,'Doc Há Pagar | Rodopar 1015'!$B:$B,AB$1)</f>
        <v>0</v>
      </c>
      <c r="AC310" s="20">
        <f>SUMIFS('Doc''s Pagos | Rodopar 108'!$J:$J,'Doc''s Pagos | Rodopar 108'!$A:$A,$B310&amp;$E310&amp;$F310&amp;$J310,'Doc''s Pagos | Rodopar 108'!$B:$B,AC$1)+SUMIFS('Doc Há Pagar | Rodopar 1015'!$J:$J,'Doc Há Pagar | Rodopar 1015'!$A:$A,$B310&amp;$E310&amp;$F310,'Doc Há Pagar | Rodopar 1015'!$B:$B,AC$1)</f>
        <v>0</v>
      </c>
      <c r="AD310" s="20">
        <f>SUMIFS('Doc''s Pagos | Rodopar 108'!$J:$J,'Doc''s Pagos | Rodopar 108'!$A:$A,$B310&amp;$E310&amp;$F310&amp;$J310,'Doc''s Pagos | Rodopar 108'!$B:$B,AD$1)+SUMIFS('Doc Há Pagar | Rodopar 1015'!$J:$J,'Doc Há Pagar | Rodopar 1015'!$A:$A,$B310&amp;$E310&amp;$F310,'Doc Há Pagar | Rodopar 1015'!$B:$B,AD$1)</f>
        <v>0</v>
      </c>
    </row>
    <row r="311" spans="1:30" x14ac:dyDescent="0.25">
      <c r="A311" s="1" t="str">
        <f>VLOOKUP($E311,Fornecedores!$A:$C,3,0)</f>
        <v>Frota</v>
      </c>
      <c r="B311" s="14">
        <v>414</v>
      </c>
      <c r="C311" s="14" t="str">
        <f>IFERROR(VLOOKUP($E311,Fornecedores!$A:$E,4,0),"")</f>
        <v>Manutenção</v>
      </c>
      <c r="D311" s="14" t="str">
        <f>IFERROR(VLOOKUP($E311,Fornecedores!$A:$E,5,0),"")</f>
        <v>Frota Leve OPE</v>
      </c>
      <c r="E311" s="8" t="s">
        <v>109</v>
      </c>
      <c r="F311" s="14" t="s">
        <v>665</v>
      </c>
      <c r="G311" s="8" t="s">
        <v>880</v>
      </c>
      <c r="H311" s="9">
        <v>87</v>
      </c>
      <c r="I311" s="21">
        <v>2419.65</v>
      </c>
      <c r="J311" s="11">
        <v>46224</v>
      </c>
      <c r="K311" s="11">
        <v>46224</v>
      </c>
      <c r="L311" s="8" t="s">
        <v>382</v>
      </c>
      <c r="M311" s="14" t="s">
        <v>234</v>
      </c>
      <c r="N311" s="16">
        <v>1556</v>
      </c>
      <c r="O311" s="14" t="s">
        <v>250</v>
      </c>
      <c r="P311" s="14"/>
      <c r="Q311" s="20">
        <f t="shared" si="4"/>
        <v>0</v>
      </c>
      <c r="S311" s="20">
        <f>SUMIFS('Doc''s Pagos | Rodopar 108'!$J:$J,'Doc''s Pagos | Rodopar 108'!$A:$A,$B311&amp;$E311&amp;$F311&amp;$J311,'Doc''s Pagos | Rodopar 108'!$B:$B,S$1)+SUMIFS('Doc Há Pagar | Rodopar 1015'!$J:$J,'Doc Há Pagar | Rodopar 1015'!$A:$A,$B311&amp;$E311&amp;$F311,'Doc Há Pagar | Rodopar 1015'!$B:$B,S$1)</f>
        <v>0</v>
      </c>
      <c r="T311" s="20">
        <f>SUMIFS('Doc''s Pagos | Rodopar 108'!$J:$J,'Doc''s Pagos | Rodopar 108'!$A:$A,$B311&amp;$E311&amp;$F311&amp;$J311,'Doc''s Pagos | Rodopar 108'!$B:$B,T$1)+SUMIFS('Doc Há Pagar | Rodopar 1015'!$J:$J,'Doc Há Pagar | Rodopar 1015'!$A:$A,$B311&amp;$E311&amp;$F311,'Doc Há Pagar | Rodopar 1015'!$B:$B,T$1)</f>
        <v>0</v>
      </c>
      <c r="U311" s="20">
        <f>SUMIFS('Doc''s Pagos | Rodopar 108'!$J:$J,'Doc''s Pagos | Rodopar 108'!$A:$A,$B311&amp;$E311&amp;$F311&amp;$J311,'Doc''s Pagos | Rodopar 108'!$B:$B,U$1)+SUMIFS('Doc Há Pagar | Rodopar 1015'!$J:$J,'Doc Há Pagar | Rodopar 1015'!$A:$A,$B311&amp;$E311&amp;$F311,'Doc Há Pagar | Rodopar 1015'!$B:$B,U$1)</f>
        <v>0</v>
      </c>
      <c r="V311" s="20">
        <f>SUMIFS('Doc''s Pagos | Rodopar 108'!$J:$J,'Doc''s Pagos | Rodopar 108'!$A:$A,$B311&amp;$E311&amp;$F311&amp;$J311,'Doc''s Pagos | Rodopar 108'!$B:$B,V$1)+SUMIFS('Doc Há Pagar | Rodopar 1015'!$J:$J,'Doc Há Pagar | Rodopar 1015'!$A:$A,$B311&amp;$E311&amp;$F311,'Doc Há Pagar | Rodopar 1015'!$B:$B,V$1)</f>
        <v>0</v>
      </c>
      <c r="W311" s="20">
        <f>SUMIFS('Doc''s Pagos | Rodopar 108'!$J:$J,'Doc''s Pagos | Rodopar 108'!$A:$A,$B311&amp;$E311&amp;$F311&amp;$J311,'Doc''s Pagos | Rodopar 108'!$B:$B,W$1)+SUMIFS('Doc Há Pagar | Rodopar 1015'!$J:$J,'Doc Há Pagar | Rodopar 1015'!$A:$A,$B311&amp;$E311&amp;$F311,'Doc Há Pagar | Rodopar 1015'!$B:$B,W$1)</f>
        <v>0</v>
      </c>
      <c r="X311" s="20">
        <f>SUMIFS('Doc''s Pagos | Rodopar 108'!$J:$J,'Doc''s Pagos | Rodopar 108'!$A:$A,$B311&amp;$E311&amp;$F311&amp;$J311,'Doc''s Pagos | Rodopar 108'!$B:$B,X$1)+SUMIFS('Doc Há Pagar | Rodopar 1015'!$J:$J,'Doc Há Pagar | Rodopar 1015'!$A:$A,$B311&amp;$E311&amp;$F311,'Doc Há Pagar | Rodopar 1015'!$B:$B,X$1)</f>
        <v>0</v>
      </c>
      <c r="Y311" s="20">
        <f>SUMIFS('Doc''s Pagos | Rodopar 108'!$J:$J,'Doc''s Pagos | Rodopar 108'!$A:$A,$B311&amp;$E311&amp;$F311&amp;$J311,'Doc''s Pagos | Rodopar 108'!$B:$B,Y$1)+SUMIFS('Doc Há Pagar | Rodopar 1015'!$J:$J,'Doc Há Pagar | Rodopar 1015'!$A:$A,$B311&amp;$E311&amp;$F311,'Doc Há Pagar | Rodopar 1015'!$B:$B,Y$1)</f>
        <v>0</v>
      </c>
      <c r="Z311" s="20">
        <f>SUMIFS('Doc''s Pagos | Rodopar 108'!$J:$J,'Doc''s Pagos | Rodopar 108'!$A:$A,$B311&amp;$E311&amp;$F311&amp;$J311,'Doc''s Pagos | Rodopar 108'!$B:$B,Z$1)+SUMIFS('Doc Há Pagar | Rodopar 1015'!$J:$J,'Doc Há Pagar | Rodopar 1015'!$A:$A,$B311&amp;$E311&amp;$F311,'Doc Há Pagar | Rodopar 1015'!$B:$B,Z$1)</f>
        <v>2419.65</v>
      </c>
      <c r="AA311" s="20">
        <f>SUMIFS('Doc''s Pagos | Rodopar 108'!$J:$J,'Doc''s Pagos | Rodopar 108'!$A:$A,$B311&amp;$E311&amp;$F311&amp;$J311,'Doc''s Pagos | Rodopar 108'!$B:$B,AA$1)+SUMIFS('Doc Há Pagar | Rodopar 1015'!$J:$J,'Doc Há Pagar | Rodopar 1015'!$A:$A,$B311&amp;$E311&amp;$F311,'Doc Há Pagar | Rodopar 1015'!$B:$B,AA$1)</f>
        <v>0</v>
      </c>
      <c r="AB311" s="20">
        <f>SUMIFS('Doc''s Pagos | Rodopar 108'!$J:$J,'Doc''s Pagos | Rodopar 108'!$A:$A,$B311&amp;$E311&amp;$F311&amp;$J311,'Doc''s Pagos | Rodopar 108'!$B:$B,AB$1)+SUMIFS('Doc Há Pagar | Rodopar 1015'!$J:$J,'Doc Há Pagar | Rodopar 1015'!$A:$A,$B311&amp;$E311&amp;$F311,'Doc Há Pagar | Rodopar 1015'!$B:$B,AB$1)</f>
        <v>0</v>
      </c>
      <c r="AC311" s="20">
        <f>SUMIFS('Doc''s Pagos | Rodopar 108'!$J:$J,'Doc''s Pagos | Rodopar 108'!$A:$A,$B311&amp;$E311&amp;$F311&amp;$J311,'Doc''s Pagos | Rodopar 108'!$B:$B,AC$1)+SUMIFS('Doc Há Pagar | Rodopar 1015'!$J:$J,'Doc Há Pagar | Rodopar 1015'!$A:$A,$B311&amp;$E311&amp;$F311,'Doc Há Pagar | Rodopar 1015'!$B:$B,AC$1)</f>
        <v>0</v>
      </c>
      <c r="AD311" s="20">
        <f>SUMIFS('Doc''s Pagos | Rodopar 108'!$J:$J,'Doc''s Pagos | Rodopar 108'!$A:$A,$B311&amp;$E311&amp;$F311&amp;$J311,'Doc''s Pagos | Rodopar 108'!$B:$B,AD$1)+SUMIFS('Doc Há Pagar | Rodopar 1015'!$J:$J,'Doc Há Pagar | Rodopar 1015'!$A:$A,$B311&amp;$E311&amp;$F311,'Doc Há Pagar | Rodopar 1015'!$B:$B,AD$1)</f>
        <v>0</v>
      </c>
    </row>
    <row r="312" spans="1:30" x14ac:dyDescent="0.25">
      <c r="A312" s="1" t="str">
        <f>VLOOKUP($E312,Fornecedores!$A:$C,3,0)</f>
        <v>Frota</v>
      </c>
      <c r="B312" s="14">
        <v>189831</v>
      </c>
      <c r="C312" s="14" t="str">
        <f>IFERROR(VLOOKUP($E312,Fornecedores!$A:$E,4,0),"")</f>
        <v>Manutenção</v>
      </c>
      <c r="D312" s="14" t="str">
        <f>IFERROR(VLOOKUP($E312,Fornecedores!$A:$E,5,0),"")</f>
        <v>Vans</v>
      </c>
      <c r="E312" s="8" t="s">
        <v>132</v>
      </c>
      <c r="F312" s="14" t="s">
        <v>380</v>
      </c>
      <c r="G312" s="8" t="s">
        <v>434</v>
      </c>
      <c r="H312" s="9">
        <v>87</v>
      </c>
      <c r="I312" s="21">
        <v>1832.39</v>
      </c>
      <c r="J312" s="11">
        <v>46225</v>
      </c>
      <c r="K312" s="11">
        <v>46226</v>
      </c>
      <c r="L312" s="8" t="s">
        <v>435</v>
      </c>
      <c r="M312" s="14" t="s">
        <v>234</v>
      </c>
      <c r="N312" s="16">
        <v>1556</v>
      </c>
      <c r="O312" s="14" t="s">
        <v>250</v>
      </c>
      <c r="P312" s="14"/>
      <c r="Q312" s="20">
        <f t="shared" si="4"/>
        <v>0</v>
      </c>
      <c r="S312" s="20">
        <f>SUMIFS('Doc''s Pagos | Rodopar 108'!$J:$J,'Doc''s Pagos | Rodopar 108'!$A:$A,$B312&amp;$E312&amp;$F312&amp;$J312,'Doc''s Pagos | Rodopar 108'!$B:$B,S$1)+SUMIFS('Doc Há Pagar | Rodopar 1015'!$J:$J,'Doc Há Pagar | Rodopar 1015'!$A:$A,$B312&amp;$E312&amp;$F312,'Doc Há Pagar | Rodopar 1015'!$B:$B,S$1)</f>
        <v>0</v>
      </c>
      <c r="T312" s="20">
        <f>SUMIFS('Doc''s Pagos | Rodopar 108'!$J:$J,'Doc''s Pagos | Rodopar 108'!$A:$A,$B312&amp;$E312&amp;$F312&amp;$J312,'Doc''s Pagos | Rodopar 108'!$B:$B,T$1)+SUMIFS('Doc Há Pagar | Rodopar 1015'!$J:$J,'Doc Há Pagar | Rodopar 1015'!$A:$A,$B312&amp;$E312&amp;$F312,'Doc Há Pagar | Rodopar 1015'!$B:$B,T$1)</f>
        <v>0</v>
      </c>
      <c r="U312" s="20">
        <f>SUMIFS('Doc''s Pagos | Rodopar 108'!$J:$J,'Doc''s Pagos | Rodopar 108'!$A:$A,$B312&amp;$E312&amp;$F312&amp;$J312,'Doc''s Pagos | Rodopar 108'!$B:$B,U$1)+SUMIFS('Doc Há Pagar | Rodopar 1015'!$J:$J,'Doc Há Pagar | Rodopar 1015'!$A:$A,$B312&amp;$E312&amp;$F312,'Doc Há Pagar | Rodopar 1015'!$B:$B,U$1)</f>
        <v>0</v>
      </c>
      <c r="V312" s="20">
        <f>SUMIFS('Doc''s Pagos | Rodopar 108'!$J:$J,'Doc''s Pagos | Rodopar 108'!$A:$A,$B312&amp;$E312&amp;$F312&amp;$J312,'Doc''s Pagos | Rodopar 108'!$B:$B,V$1)+SUMIFS('Doc Há Pagar | Rodopar 1015'!$J:$J,'Doc Há Pagar | Rodopar 1015'!$A:$A,$B312&amp;$E312&amp;$F312,'Doc Há Pagar | Rodopar 1015'!$B:$B,V$1)</f>
        <v>0</v>
      </c>
      <c r="W312" s="20">
        <f>SUMIFS('Doc''s Pagos | Rodopar 108'!$J:$J,'Doc''s Pagos | Rodopar 108'!$A:$A,$B312&amp;$E312&amp;$F312&amp;$J312,'Doc''s Pagos | Rodopar 108'!$B:$B,W$1)+SUMIFS('Doc Há Pagar | Rodopar 1015'!$J:$J,'Doc Há Pagar | Rodopar 1015'!$A:$A,$B312&amp;$E312&amp;$F312,'Doc Há Pagar | Rodopar 1015'!$B:$B,W$1)</f>
        <v>0</v>
      </c>
      <c r="X312" s="20">
        <f>SUMIFS('Doc''s Pagos | Rodopar 108'!$J:$J,'Doc''s Pagos | Rodopar 108'!$A:$A,$B312&amp;$E312&amp;$F312&amp;$J312,'Doc''s Pagos | Rodopar 108'!$B:$B,X$1)+SUMIFS('Doc Há Pagar | Rodopar 1015'!$J:$J,'Doc Há Pagar | Rodopar 1015'!$A:$A,$B312&amp;$E312&amp;$F312,'Doc Há Pagar | Rodopar 1015'!$B:$B,X$1)</f>
        <v>0</v>
      </c>
      <c r="Y312" s="20">
        <f>SUMIFS('Doc''s Pagos | Rodopar 108'!$J:$J,'Doc''s Pagos | Rodopar 108'!$A:$A,$B312&amp;$E312&amp;$F312&amp;$J312,'Doc''s Pagos | Rodopar 108'!$B:$B,Y$1)+SUMIFS('Doc Há Pagar | Rodopar 1015'!$J:$J,'Doc Há Pagar | Rodopar 1015'!$A:$A,$B312&amp;$E312&amp;$F312,'Doc Há Pagar | Rodopar 1015'!$B:$B,Y$1)</f>
        <v>0</v>
      </c>
      <c r="Z312" s="20">
        <f>SUMIFS('Doc''s Pagos | Rodopar 108'!$J:$J,'Doc''s Pagos | Rodopar 108'!$A:$A,$B312&amp;$E312&amp;$F312&amp;$J312,'Doc''s Pagos | Rodopar 108'!$B:$B,Z$1)+SUMIFS('Doc Há Pagar | Rodopar 1015'!$J:$J,'Doc Há Pagar | Rodopar 1015'!$A:$A,$B312&amp;$E312&amp;$F312,'Doc Há Pagar | Rodopar 1015'!$B:$B,Z$1)</f>
        <v>916.2</v>
      </c>
      <c r="AA312" s="20">
        <f>SUMIFS('Doc''s Pagos | Rodopar 108'!$J:$J,'Doc''s Pagos | Rodopar 108'!$A:$A,$B312&amp;$E312&amp;$F312&amp;$J312,'Doc''s Pagos | Rodopar 108'!$B:$B,AA$1)+SUMIFS('Doc Há Pagar | Rodopar 1015'!$J:$J,'Doc Há Pagar | Rodopar 1015'!$A:$A,$B312&amp;$E312&amp;$F312,'Doc Há Pagar | Rodopar 1015'!$B:$B,AA$1)</f>
        <v>916.19</v>
      </c>
      <c r="AB312" s="20">
        <f>SUMIFS('Doc''s Pagos | Rodopar 108'!$J:$J,'Doc''s Pagos | Rodopar 108'!$A:$A,$B312&amp;$E312&amp;$F312&amp;$J312,'Doc''s Pagos | Rodopar 108'!$B:$B,AB$1)+SUMIFS('Doc Há Pagar | Rodopar 1015'!$J:$J,'Doc Há Pagar | Rodopar 1015'!$A:$A,$B312&amp;$E312&amp;$F312,'Doc Há Pagar | Rodopar 1015'!$B:$B,AB$1)</f>
        <v>0</v>
      </c>
      <c r="AC312" s="20">
        <f>SUMIFS('Doc''s Pagos | Rodopar 108'!$J:$J,'Doc''s Pagos | Rodopar 108'!$A:$A,$B312&amp;$E312&amp;$F312&amp;$J312,'Doc''s Pagos | Rodopar 108'!$B:$B,AC$1)+SUMIFS('Doc Há Pagar | Rodopar 1015'!$J:$J,'Doc Há Pagar | Rodopar 1015'!$A:$A,$B312&amp;$E312&amp;$F312,'Doc Há Pagar | Rodopar 1015'!$B:$B,AC$1)</f>
        <v>0</v>
      </c>
      <c r="AD312" s="20">
        <f>SUMIFS('Doc''s Pagos | Rodopar 108'!$J:$J,'Doc''s Pagos | Rodopar 108'!$A:$A,$B312&amp;$E312&amp;$F312&amp;$J312,'Doc''s Pagos | Rodopar 108'!$B:$B,AD$1)+SUMIFS('Doc Há Pagar | Rodopar 1015'!$J:$J,'Doc Há Pagar | Rodopar 1015'!$A:$A,$B312&amp;$E312&amp;$F312,'Doc Há Pagar | Rodopar 1015'!$B:$B,AD$1)</f>
        <v>0</v>
      </c>
    </row>
    <row r="313" spans="1:30" x14ac:dyDescent="0.25">
      <c r="A313" s="1" t="str">
        <f>VLOOKUP($E313,Fornecedores!$A:$C,3,0)</f>
        <v>Frota</v>
      </c>
      <c r="B313" s="14">
        <v>2914</v>
      </c>
      <c r="C313" s="14" t="str">
        <f>IFERROR(VLOOKUP($E313,Fornecedores!$A:$E,4,0),"")</f>
        <v>Manutenção</v>
      </c>
      <c r="D313" s="14" t="str">
        <f>IFERROR(VLOOKUP($E313,Fornecedores!$A:$E,5,0),"")</f>
        <v>Frota Leve OPE</v>
      </c>
      <c r="E313" s="8" t="s">
        <v>125</v>
      </c>
      <c r="F313" s="14" t="s">
        <v>380</v>
      </c>
      <c r="G313" s="8" t="s">
        <v>467</v>
      </c>
      <c r="H313" s="9">
        <v>87</v>
      </c>
      <c r="I313" s="21">
        <v>980</v>
      </c>
      <c r="J313" s="11">
        <v>46225</v>
      </c>
      <c r="K313" s="11">
        <v>46231</v>
      </c>
      <c r="L313" s="8" t="s">
        <v>282</v>
      </c>
      <c r="M313" s="14" t="s">
        <v>234</v>
      </c>
      <c r="N313" s="16">
        <v>1556</v>
      </c>
      <c r="O313" s="14" t="s">
        <v>241</v>
      </c>
      <c r="P313" s="14"/>
      <c r="Q313" s="20">
        <f t="shared" si="4"/>
        <v>0</v>
      </c>
      <c r="S313" s="20">
        <f>SUMIFS('Doc''s Pagos | Rodopar 108'!$J:$J,'Doc''s Pagos | Rodopar 108'!$A:$A,$B313&amp;$E313&amp;$F313&amp;$J313,'Doc''s Pagos | Rodopar 108'!$B:$B,S$1)+SUMIFS('Doc Há Pagar | Rodopar 1015'!$J:$J,'Doc Há Pagar | Rodopar 1015'!$A:$A,$B313&amp;$E313&amp;$F313,'Doc Há Pagar | Rodopar 1015'!$B:$B,S$1)</f>
        <v>0</v>
      </c>
      <c r="T313" s="20">
        <f>SUMIFS('Doc''s Pagos | Rodopar 108'!$J:$J,'Doc''s Pagos | Rodopar 108'!$A:$A,$B313&amp;$E313&amp;$F313&amp;$J313,'Doc''s Pagos | Rodopar 108'!$B:$B,T$1)+SUMIFS('Doc Há Pagar | Rodopar 1015'!$J:$J,'Doc Há Pagar | Rodopar 1015'!$A:$A,$B313&amp;$E313&amp;$F313,'Doc Há Pagar | Rodopar 1015'!$B:$B,T$1)</f>
        <v>0</v>
      </c>
      <c r="U313" s="20">
        <f>SUMIFS('Doc''s Pagos | Rodopar 108'!$J:$J,'Doc''s Pagos | Rodopar 108'!$A:$A,$B313&amp;$E313&amp;$F313&amp;$J313,'Doc''s Pagos | Rodopar 108'!$B:$B,U$1)+SUMIFS('Doc Há Pagar | Rodopar 1015'!$J:$J,'Doc Há Pagar | Rodopar 1015'!$A:$A,$B313&amp;$E313&amp;$F313,'Doc Há Pagar | Rodopar 1015'!$B:$B,U$1)</f>
        <v>0</v>
      </c>
      <c r="V313" s="20">
        <f>SUMIFS('Doc''s Pagos | Rodopar 108'!$J:$J,'Doc''s Pagos | Rodopar 108'!$A:$A,$B313&amp;$E313&amp;$F313&amp;$J313,'Doc''s Pagos | Rodopar 108'!$B:$B,V$1)+SUMIFS('Doc Há Pagar | Rodopar 1015'!$J:$J,'Doc Há Pagar | Rodopar 1015'!$A:$A,$B313&amp;$E313&amp;$F313,'Doc Há Pagar | Rodopar 1015'!$B:$B,V$1)</f>
        <v>0</v>
      </c>
      <c r="W313" s="20">
        <f>SUMIFS('Doc''s Pagos | Rodopar 108'!$J:$J,'Doc''s Pagos | Rodopar 108'!$A:$A,$B313&amp;$E313&amp;$F313&amp;$J313,'Doc''s Pagos | Rodopar 108'!$B:$B,W$1)+SUMIFS('Doc Há Pagar | Rodopar 1015'!$J:$J,'Doc Há Pagar | Rodopar 1015'!$A:$A,$B313&amp;$E313&amp;$F313,'Doc Há Pagar | Rodopar 1015'!$B:$B,W$1)</f>
        <v>0</v>
      </c>
      <c r="X313" s="20">
        <f>SUMIFS('Doc''s Pagos | Rodopar 108'!$J:$J,'Doc''s Pagos | Rodopar 108'!$A:$A,$B313&amp;$E313&amp;$F313&amp;$J313,'Doc''s Pagos | Rodopar 108'!$B:$B,X$1)+SUMIFS('Doc Há Pagar | Rodopar 1015'!$J:$J,'Doc Há Pagar | Rodopar 1015'!$A:$A,$B313&amp;$E313&amp;$F313,'Doc Há Pagar | Rodopar 1015'!$B:$B,X$1)</f>
        <v>0</v>
      </c>
      <c r="Y313" s="20">
        <f>SUMIFS('Doc''s Pagos | Rodopar 108'!$J:$J,'Doc''s Pagos | Rodopar 108'!$A:$A,$B313&amp;$E313&amp;$F313&amp;$J313,'Doc''s Pagos | Rodopar 108'!$B:$B,Y$1)+SUMIFS('Doc Há Pagar | Rodopar 1015'!$J:$J,'Doc Há Pagar | Rodopar 1015'!$A:$A,$B313&amp;$E313&amp;$F313,'Doc Há Pagar | Rodopar 1015'!$B:$B,Y$1)</f>
        <v>0</v>
      </c>
      <c r="Z313" s="20">
        <f>SUMIFS('Doc''s Pagos | Rodopar 108'!$J:$J,'Doc''s Pagos | Rodopar 108'!$A:$A,$B313&amp;$E313&amp;$F313&amp;$J313,'Doc''s Pagos | Rodopar 108'!$B:$B,Z$1)+SUMIFS('Doc Há Pagar | Rodopar 1015'!$J:$J,'Doc Há Pagar | Rodopar 1015'!$A:$A,$B313&amp;$E313&amp;$F313,'Doc Há Pagar | Rodopar 1015'!$B:$B,Z$1)</f>
        <v>980</v>
      </c>
      <c r="AA313" s="20">
        <f>SUMIFS('Doc''s Pagos | Rodopar 108'!$J:$J,'Doc''s Pagos | Rodopar 108'!$A:$A,$B313&amp;$E313&amp;$F313&amp;$J313,'Doc''s Pagos | Rodopar 108'!$B:$B,AA$1)+SUMIFS('Doc Há Pagar | Rodopar 1015'!$J:$J,'Doc Há Pagar | Rodopar 1015'!$A:$A,$B313&amp;$E313&amp;$F313,'Doc Há Pagar | Rodopar 1015'!$B:$B,AA$1)</f>
        <v>0</v>
      </c>
      <c r="AB313" s="20">
        <f>SUMIFS('Doc''s Pagos | Rodopar 108'!$J:$J,'Doc''s Pagos | Rodopar 108'!$A:$A,$B313&amp;$E313&amp;$F313&amp;$J313,'Doc''s Pagos | Rodopar 108'!$B:$B,AB$1)+SUMIFS('Doc Há Pagar | Rodopar 1015'!$J:$J,'Doc Há Pagar | Rodopar 1015'!$A:$A,$B313&amp;$E313&amp;$F313,'Doc Há Pagar | Rodopar 1015'!$B:$B,AB$1)</f>
        <v>0</v>
      </c>
      <c r="AC313" s="20">
        <f>SUMIFS('Doc''s Pagos | Rodopar 108'!$J:$J,'Doc''s Pagos | Rodopar 108'!$A:$A,$B313&amp;$E313&amp;$F313&amp;$J313,'Doc''s Pagos | Rodopar 108'!$B:$B,AC$1)+SUMIFS('Doc Há Pagar | Rodopar 1015'!$J:$J,'Doc Há Pagar | Rodopar 1015'!$A:$A,$B313&amp;$E313&amp;$F313,'Doc Há Pagar | Rodopar 1015'!$B:$B,AC$1)</f>
        <v>0</v>
      </c>
      <c r="AD313" s="20">
        <f>SUMIFS('Doc''s Pagos | Rodopar 108'!$J:$J,'Doc''s Pagos | Rodopar 108'!$A:$A,$B313&amp;$E313&amp;$F313&amp;$J313,'Doc''s Pagos | Rodopar 108'!$B:$B,AD$1)+SUMIFS('Doc Há Pagar | Rodopar 1015'!$J:$J,'Doc Há Pagar | Rodopar 1015'!$A:$A,$B313&amp;$E313&amp;$F313,'Doc Há Pagar | Rodopar 1015'!$B:$B,AD$1)</f>
        <v>0</v>
      </c>
    </row>
    <row r="314" spans="1:30" x14ac:dyDescent="0.25">
      <c r="A314" s="1" t="str">
        <f>VLOOKUP($E314,Fornecedores!$A:$C,3,0)</f>
        <v>Frota</v>
      </c>
      <c r="B314" s="14">
        <v>202600000024767</v>
      </c>
      <c r="C314" s="14" t="str">
        <f>IFERROR(VLOOKUP($E314,Fornecedores!$A:$E,4,0),"")</f>
        <v>Manutenção</v>
      </c>
      <c r="D314" s="14" t="str">
        <f>IFERROR(VLOOKUP($E314,Fornecedores!$A:$E,5,0),"")</f>
        <v>Vans</v>
      </c>
      <c r="E314" s="8" t="s">
        <v>132</v>
      </c>
      <c r="F314" s="14" t="s">
        <v>614</v>
      </c>
      <c r="G314" s="8" t="s">
        <v>434</v>
      </c>
      <c r="H314" s="9">
        <v>87</v>
      </c>
      <c r="I314" s="21">
        <v>624</v>
      </c>
      <c r="J314" s="11">
        <v>46225</v>
      </c>
      <c r="K314" s="11">
        <v>46226</v>
      </c>
      <c r="L314" s="8" t="s">
        <v>435</v>
      </c>
      <c r="M314" s="14" t="s">
        <v>234</v>
      </c>
      <c r="N314" s="16">
        <v>1556</v>
      </c>
      <c r="O314" s="14" t="s">
        <v>250</v>
      </c>
      <c r="P314" s="14"/>
      <c r="Q314" s="20">
        <f t="shared" si="4"/>
        <v>0</v>
      </c>
      <c r="S314" s="20">
        <f>SUMIFS('Doc''s Pagos | Rodopar 108'!$J:$J,'Doc''s Pagos | Rodopar 108'!$A:$A,$B314&amp;$E314&amp;$F314&amp;$J314,'Doc''s Pagos | Rodopar 108'!$B:$B,S$1)+SUMIFS('Doc Há Pagar | Rodopar 1015'!$J:$J,'Doc Há Pagar | Rodopar 1015'!$A:$A,$B314&amp;$E314&amp;$F314,'Doc Há Pagar | Rodopar 1015'!$B:$B,S$1)</f>
        <v>0</v>
      </c>
      <c r="T314" s="20">
        <f>SUMIFS('Doc''s Pagos | Rodopar 108'!$J:$J,'Doc''s Pagos | Rodopar 108'!$A:$A,$B314&amp;$E314&amp;$F314&amp;$J314,'Doc''s Pagos | Rodopar 108'!$B:$B,T$1)+SUMIFS('Doc Há Pagar | Rodopar 1015'!$J:$J,'Doc Há Pagar | Rodopar 1015'!$A:$A,$B314&amp;$E314&amp;$F314,'Doc Há Pagar | Rodopar 1015'!$B:$B,T$1)</f>
        <v>0</v>
      </c>
      <c r="U314" s="20">
        <f>SUMIFS('Doc''s Pagos | Rodopar 108'!$J:$J,'Doc''s Pagos | Rodopar 108'!$A:$A,$B314&amp;$E314&amp;$F314&amp;$J314,'Doc''s Pagos | Rodopar 108'!$B:$B,U$1)+SUMIFS('Doc Há Pagar | Rodopar 1015'!$J:$J,'Doc Há Pagar | Rodopar 1015'!$A:$A,$B314&amp;$E314&amp;$F314,'Doc Há Pagar | Rodopar 1015'!$B:$B,U$1)</f>
        <v>0</v>
      </c>
      <c r="V314" s="20">
        <f>SUMIFS('Doc''s Pagos | Rodopar 108'!$J:$J,'Doc''s Pagos | Rodopar 108'!$A:$A,$B314&amp;$E314&amp;$F314&amp;$J314,'Doc''s Pagos | Rodopar 108'!$B:$B,V$1)+SUMIFS('Doc Há Pagar | Rodopar 1015'!$J:$J,'Doc Há Pagar | Rodopar 1015'!$A:$A,$B314&amp;$E314&amp;$F314,'Doc Há Pagar | Rodopar 1015'!$B:$B,V$1)</f>
        <v>0</v>
      </c>
      <c r="W314" s="20">
        <f>SUMIFS('Doc''s Pagos | Rodopar 108'!$J:$J,'Doc''s Pagos | Rodopar 108'!$A:$A,$B314&amp;$E314&amp;$F314&amp;$J314,'Doc''s Pagos | Rodopar 108'!$B:$B,W$1)+SUMIFS('Doc Há Pagar | Rodopar 1015'!$J:$J,'Doc Há Pagar | Rodopar 1015'!$A:$A,$B314&amp;$E314&amp;$F314,'Doc Há Pagar | Rodopar 1015'!$B:$B,W$1)</f>
        <v>0</v>
      </c>
      <c r="X314" s="20">
        <f>SUMIFS('Doc''s Pagos | Rodopar 108'!$J:$J,'Doc''s Pagos | Rodopar 108'!$A:$A,$B314&amp;$E314&amp;$F314&amp;$J314,'Doc''s Pagos | Rodopar 108'!$B:$B,X$1)+SUMIFS('Doc Há Pagar | Rodopar 1015'!$J:$J,'Doc Há Pagar | Rodopar 1015'!$A:$A,$B314&amp;$E314&amp;$F314,'Doc Há Pagar | Rodopar 1015'!$B:$B,X$1)</f>
        <v>0</v>
      </c>
      <c r="Y314" s="20">
        <f>SUMIFS('Doc''s Pagos | Rodopar 108'!$J:$J,'Doc''s Pagos | Rodopar 108'!$A:$A,$B314&amp;$E314&amp;$F314&amp;$J314,'Doc''s Pagos | Rodopar 108'!$B:$B,Y$1)+SUMIFS('Doc Há Pagar | Rodopar 1015'!$J:$J,'Doc Há Pagar | Rodopar 1015'!$A:$A,$B314&amp;$E314&amp;$F314,'Doc Há Pagar | Rodopar 1015'!$B:$B,Y$1)</f>
        <v>0</v>
      </c>
      <c r="Z314" s="20">
        <f>SUMIFS('Doc''s Pagos | Rodopar 108'!$J:$J,'Doc''s Pagos | Rodopar 108'!$A:$A,$B314&amp;$E314&amp;$F314&amp;$J314,'Doc''s Pagos | Rodopar 108'!$B:$B,Z$1)+SUMIFS('Doc Há Pagar | Rodopar 1015'!$J:$J,'Doc Há Pagar | Rodopar 1015'!$A:$A,$B314&amp;$E314&amp;$F314,'Doc Há Pagar | Rodopar 1015'!$B:$B,Z$1)</f>
        <v>312</v>
      </c>
      <c r="AA314" s="20">
        <f>SUMIFS('Doc''s Pagos | Rodopar 108'!$J:$J,'Doc''s Pagos | Rodopar 108'!$A:$A,$B314&amp;$E314&amp;$F314&amp;$J314,'Doc''s Pagos | Rodopar 108'!$B:$B,AA$1)+SUMIFS('Doc Há Pagar | Rodopar 1015'!$J:$J,'Doc Há Pagar | Rodopar 1015'!$A:$A,$B314&amp;$E314&amp;$F314,'Doc Há Pagar | Rodopar 1015'!$B:$B,AA$1)</f>
        <v>312</v>
      </c>
      <c r="AB314" s="20">
        <f>SUMIFS('Doc''s Pagos | Rodopar 108'!$J:$J,'Doc''s Pagos | Rodopar 108'!$A:$A,$B314&amp;$E314&amp;$F314&amp;$J314,'Doc''s Pagos | Rodopar 108'!$B:$B,AB$1)+SUMIFS('Doc Há Pagar | Rodopar 1015'!$J:$J,'Doc Há Pagar | Rodopar 1015'!$A:$A,$B314&amp;$E314&amp;$F314,'Doc Há Pagar | Rodopar 1015'!$B:$B,AB$1)</f>
        <v>0</v>
      </c>
      <c r="AC314" s="20">
        <f>SUMIFS('Doc''s Pagos | Rodopar 108'!$J:$J,'Doc''s Pagos | Rodopar 108'!$A:$A,$B314&amp;$E314&amp;$F314&amp;$J314,'Doc''s Pagos | Rodopar 108'!$B:$B,AC$1)+SUMIFS('Doc Há Pagar | Rodopar 1015'!$J:$J,'Doc Há Pagar | Rodopar 1015'!$A:$A,$B314&amp;$E314&amp;$F314,'Doc Há Pagar | Rodopar 1015'!$B:$B,AC$1)</f>
        <v>0</v>
      </c>
      <c r="AD314" s="20">
        <f>SUMIFS('Doc''s Pagos | Rodopar 108'!$J:$J,'Doc''s Pagos | Rodopar 108'!$A:$A,$B314&amp;$E314&amp;$F314&amp;$J314,'Doc''s Pagos | Rodopar 108'!$B:$B,AD$1)+SUMIFS('Doc Há Pagar | Rodopar 1015'!$J:$J,'Doc Há Pagar | Rodopar 1015'!$A:$A,$B314&amp;$E314&amp;$F314,'Doc Há Pagar | Rodopar 1015'!$B:$B,AD$1)</f>
        <v>0</v>
      </c>
    </row>
    <row r="315" spans="1:30" x14ac:dyDescent="0.25">
      <c r="A315" s="1" t="str">
        <f>VLOOKUP($E315,Fornecedores!$A:$C,3,0)</f>
        <v>Frota</v>
      </c>
      <c r="B315" s="14">
        <v>109</v>
      </c>
      <c r="C315" s="14" t="str">
        <f>IFERROR(VLOOKUP($E315,Fornecedores!$A:$E,4,0),"")</f>
        <v>Manutenção</v>
      </c>
      <c r="D315" s="14" t="str">
        <f>IFERROR(VLOOKUP($E315,Fornecedores!$A:$E,5,0),"")</f>
        <v>Frota Leve OPE</v>
      </c>
      <c r="E315" s="8" t="s">
        <v>125</v>
      </c>
      <c r="F315" s="14" t="s">
        <v>665</v>
      </c>
      <c r="G315" s="8" t="s">
        <v>467</v>
      </c>
      <c r="H315" s="9">
        <v>87</v>
      </c>
      <c r="I315" s="21">
        <v>550</v>
      </c>
      <c r="J315" s="11">
        <v>46225</v>
      </c>
      <c r="K315" s="11">
        <v>46231</v>
      </c>
      <c r="L315" s="8" t="s">
        <v>282</v>
      </c>
      <c r="M315" s="14" t="s">
        <v>234</v>
      </c>
      <c r="N315" s="16">
        <v>1556</v>
      </c>
      <c r="O315" s="14" t="s">
        <v>241</v>
      </c>
      <c r="P315" s="14"/>
      <c r="Q315" s="20">
        <f t="shared" si="4"/>
        <v>0</v>
      </c>
      <c r="S315" s="20">
        <f>SUMIFS('Doc''s Pagos | Rodopar 108'!$J:$J,'Doc''s Pagos | Rodopar 108'!$A:$A,$B315&amp;$E315&amp;$F315&amp;$J315,'Doc''s Pagos | Rodopar 108'!$B:$B,S$1)+SUMIFS('Doc Há Pagar | Rodopar 1015'!$J:$J,'Doc Há Pagar | Rodopar 1015'!$A:$A,$B315&amp;$E315&amp;$F315,'Doc Há Pagar | Rodopar 1015'!$B:$B,S$1)</f>
        <v>0</v>
      </c>
      <c r="T315" s="20">
        <f>SUMIFS('Doc''s Pagos | Rodopar 108'!$J:$J,'Doc''s Pagos | Rodopar 108'!$A:$A,$B315&amp;$E315&amp;$F315&amp;$J315,'Doc''s Pagos | Rodopar 108'!$B:$B,T$1)+SUMIFS('Doc Há Pagar | Rodopar 1015'!$J:$J,'Doc Há Pagar | Rodopar 1015'!$A:$A,$B315&amp;$E315&amp;$F315,'Doc Há Pagar | Rodopar 1015'!$B:$B,T$1)</f>
        <v>0</v>
      </c>
      <c r="U315" s="20">
        <f>SUMIFS('Doc''s Pagos | Rodopar 108'!$J:$J,'Doc''s Pagos | Rodopar 108'!$A:$A,$B315&amp;$E315&amp;$F315&amp;$J315,'Doc''s Pagos | Rodopar 108'!$B:$B,U$1)+SUMIFS('Doc Há Pagar | Rodopar 1015'!$J:$J,'Doc Há Pagar | Rodopar 1015'!$A:$A,$B315&amp;$E315&amp;$F315,'Doc Há Pagar | Rodopar 1015'!$B:$B,U$1)</f>
        <v>0</v>
      </c>
      <c r="V315" s="20">
        <f>SUMIFS('Doc''s Pagos | Rodopar 108'!$J:$J,'Doc''s Pagos | Rodopar 108'!$A:$A,$B315&amp;$E315&amp;$F315&amp;$J315,'Doc''s Pagos | Rodopar 108'!$B:$B,V$1)+SUMIFS('Doc Há Pagar | Rodopar 1015'!$J:$J,'Doc Há Pagar | Rodopar 1015'!$A:$A,$B315&amp;$E315&amp;$F315,'Doc Há Pagar | Rodopar 1015'!$B:$B,V$1)</f>
        <v>0</v>
      </c>
      <c r="W315" s="20">
        <f>SUMIFS('Doc''s Pagos | Rodopar 108'!$J:$J,'Doc''s Pagos | Rodopar 108'!$A:$A,$B315&amp;$E315&amp;$F315&amp;$J315,'Doc''s Pagos | Rodopar 108'!$B:$B,W$1)+SUMIFS('Doc Há Pagar | Rodopar 1015'!$J:$J,'Doc Há Pagar | Rodopar 1015'!$A:$A,$B315&amp;$E315&amp;$F315,'Doc Há Pagar | Rodopar 1015'!$B:$B,W$1)</f>
        <v>0</v>
      </c>
      <c r="X315" s="20">
        <f>SUMIFS('Doc''s Pagos | Rodopar 108'!$J:$J,'Doc''s Pagos | Rodopar 108'!$A:$A,$B315&amp;$E315&amp;$F315&amp;$J315,'Doc''s Pagos | Rodopar 108'!$B:$B,X$1)+SUMIFS('Doc Há Pagar | Rodopar 1015'!$J:$J,'Doc Há Pagar | Rodopar 1015'!$A:$A,$B315&amp;$E315&amp;$F315,'Doc Há Pagar | Rodopar 1015'!$B:$B,X$1)</f>
        <v>0</v>
      </c>
      <c r="Y315" s="20">
        <f>SUMIFS('Doc''s Pagos | Rodopar 108'!$J:$J,'Doc''s Pagos | Rodopar 108'!$A:$A,$B315&amp;$E315&amp;$F315&amp;$J315,'Doc''s Pagos | Rodopar 108'!$B:$B,Y$1)+SUMIFS('Doc Há Pagar | Rodopar 1015'!$J:$J,'Doc Há Pagar | Rodopar 1015'!$A:$A,$B315&amp;$E315&amp;$F315,'Doc Há Pagar | Rodopar 1015'!$B:$B,Y$1)</f>
        <v>0</v>
      </c>
      <c r="Z315" s="20">
        <f>SUMIFS('Doc''s Pagos | Rodopar 108'!$J:$J,'Doc''s Pagos | Rodopar 108'!$A:$A,$B315&amp;$E315&amp;$F315&amp;$J315,'Doc''s Pagos | Rodopar 108'!$B:$B,Z$1)+SUMIFS('Doc Há Pagar | Rodopar 1015'!$J:$J,'Doc Há Pagar | Rodopar 1015'!$A:$A,$B315&amp;$E315&amp;$F315,'Doc Há Pagar | Rodopar 1015'!$B:$B,Z$1)</f>
        <v>550</v>
      </c>
      <c r="AA315" s="20">
        <f>SUMIFS('Doc''s Pagos | Rodopar 108'!$J:$J,'Doc''s Pagos | Rodopar 108'!$A:$A,$B315&amp;$E315&amp;$F315&amp;$J315,'Doc''s Pagos | Rodopar 108'!$B:$B,AA$1)+SUMIFS('Doc Há Pagar | Rodopar 1015'!$J:$J,'Doc Há Pagar | Rodopar 1015'!$A:$A,$B315&amp;$E315&amp;$F315,'Doc Há Pagar | Rodopar 1015'!$B:$B,AA$1)</f>
        <v>0</v>
      </c>
      <c r="AB315" s="20">
        <f>SUMIFS('Doc''s Pagos | Rodopar 108'!$J:$J,'Doc''s Pagos | Rodopar 108'!$A:$A,$B315&amp;$E315&amp;$F315&amp;$J315,'Doc''s Pagos | Rodopar 108'!$B:$B,AB$1)+SUMIFS('Doc Há Pagar | Rodopar 1015'!$J:$J,'Doc Há Pagar | Rodopar 1015'!$A:$A,$B315&amp;$E315&amp;$F315,'Doc Há Pagar | Rodopar 1015'!$B:$B,AB$1)</f>
        <v>0</v>
      </c>
      <c r="AC315" s="20">
        <f>SUMIFS('Doc''s Pagos | Rodopar 108'!$J:$J,'Doc''s Pagos | Rodopar 108'!$A:$A,$B315&amp;$E315&amp;$F315&amp;$J315,'Doc''s Pagos | Rodopar 108'!$B:$B,AC$1)+SUMIFS('Doc Há Pagar | Rodopar 1015'!$J:$J,'Doc Há Pagar | Rodopar 1015'!$A:$A,$B315&amp;$E315&amp;$F315,'Doc Há Pagar | Rodopar 1015'!$B:$B,AC$1)</f>
        <v>0</v>
      </c>
      <c r="AD315" s="20">
        <f>SUMIFS('Doc''s Pagos | Rodopar 108'!$J:$J,'Doc''s Pagos | Rodopar 108'!$A:$A,$B315&amp;$E315&amp;$F315&amp;$J315,'Doc''s Pagos | Rodopar 108'!$B:$B,AD$1)+SUMIFS('Doc Há Pagar | Rodopar 1015'!$J:$J,'Doc Há Pagar | Rodopar 1015'!$A:$A,$B315&amp;$E315&amp;$F315,'Doc Há Pagar | Rodopar 1015'!$B:$B,AD$1)</f>
        <v>0</v>
      </c>
    </row>
    <row r="316" spans="1:30" x14ac:dyDescent="0.25">
      <c r="A316" s="1" t="str">
        <f>VLOOKUP($E316,Fornecedores!$A:$C,3,0)</f>
        <v>Frota</v>
      </c>
      <c r="B316" s="14">
        <v>3539909</v>
      </c>
      <c r="C316" s="14" t="str">
        <f>IFERROR(VLOOKUP($E316,Fornecedores!$A:$E,4,0),"")</f>
        <v>Pneus</v>
      </c>
      <c r="D316" s="14" t="str">
        <f>IFERROR(VLOOKUP($E316,Fornecedores!$A:$E,5,0),"")</f>
        <v>Compra</v>
      </c>
      <c r="E316" s="8" t="s">
        <v>75</v>
      </c>
      <c r="F316" s="14" t="s">
        <v>380</v>
      </c>
      <c r="G316" s="8" t="s">
        <v>504</v>
      </c>
      <c r="H316" s="9">
        <v>87</v>
      </c>
      <c r="I316" s="21">
        <v>8006.6</v>
      </c>
      <c r="J316" s="11">
        <v>46226</v>
      </c>
      <c r="K316" s="11">
        <v>46226</v>
      </c>
      <c r="L316" s="8" t="s">
        <v>505</v>
      </c>
      <c r="M316" s="14" t="s">
        <v>263</v>
      </c>
      <c r="N316" s="16">
        <v>2556</v>
      </c>
      <c r="O316" s="14" t="s">
        <v>512</v>
      </c>
      <c r="P316" s="14"/>
      <c r="Q316" s="20">
        <f t="shared" si="4"/>
        <v>0</v>
      </c>
      <c r="S316" s="20">
        <f>SUMIFS('Doc''s Pagos | Rodopar 108'!$J:$J,'Doc''s Pagos | Rodopar 108'!$A:$A,$B316&amp;$E316&amp;$F316&amp;$J316,'Doc''s Pagos | Rodopar 108'!$B:$B,S$1)+SUMIFS('Doc Há Pagar | Rodopar 1015'!$J:$J,'Doc Há Pagar | Rodopar 1015'!$A:$A,$B316&amp;$E316&amp;$F316,'Doc Há Pagar | Rodopar 1015'!$B:$B,S$1)</f>
        <v>0</v>
      </c>
      <c r="T316" s="20">
        <f>SUMIFS('Doc''s Pagos | Rodopar 108'!$J:$J,'Doc''s Pagos | Rodopar 108'!$A:$A,$B316&amp;$E316&amp;$F316&amp;$J316,'Doc''s Pagos | Rodopar 108'!$B:$B,T$1)+SUMIFS('Doc Há Pagar | Rodopar 1015'!$J:$J,'Doc Há Pagar | Rodopar 1015'!$A:$A,$B316&amp;$E316&amp;$F316,'Doc Há Pagar | Rodopar 1015'!$B:$B,T$1)</f>
        <v>0</v>
      </c>
      <c r="U316" s="20">
        <f>SUMIFS('Doc''s Pagos | Rodopar 108'!$J:$J,'Doc''s Pagos | Rodopar 108'!$A:$A,$B316&amp;$E316&amp;$F316&amp;$J316,'Doc''s Pagos | Rodopar 108'!$B:$B,U$1)+SUMIFS('Doc Há Pagar | Rodopar 1015'!$J:$J,'Doc Há Pagar | Rodopar 1015'!$A:$A,$B316&amp;$E316&amp;$F316,'Doc Há Pagar | Rodopar 1015'!$B:$B,U$1)</f>
        <v>0</v>
      </c>
      <c r="V316" s="20">
        <f>SUMIFS('Doc''s Pagos | Rodopar 108'!$J:$J,'Doc''s Pagos | Rodopar 108'!$A:$A,$B316&amp;$E316&amp;$F316&amp;$J316,'Doc''s Pagos | Rodopar 108'!$B:$B,V$1)+SUMIFS('Doc Há Pagar | Rodopar 1015'!$J:$J,'Doc Há Pagar | Rodopar 1015'!$A:$A,$B316&amp;$E316&amp;$F316,'Doc Há Pagar | Rodopar 1015'!$B:$B,V$1)</f>
        <v>0</v>
      </c>
      <c r="W316" s="20">
        <f>SUMIFS('Doc''s Pagos | Rodopar 108'!$J:$J,'Doc''s Pagos | Rodopar 108'!$A:$A,$B316&amp;$E316&amp;$F316&amp;$J316,'Doc''s Pagos | Rodopar 108'!$B:$B,W$1)+SUMIFS('Doc Há Pagar | Rodopar 1015'!$J:$J,'Doc Há Pagar | Rodopar 1015'!$A:$A,$B316&amp;$E316&amp;$F316,'Doc Há Pagar | Rodopar 1015'!$B:$B,W$1)</f>
        <v>0</v>
      </c>
      <c r="X316" s="20">
        <f>SUMIFS('Doc''s Pagos | Rodopar 108'!$J:$J,'Doc''s Pagos | Rodopar 108'!$A:$A,$B316&amp;$E316&amp;$F316&amp;$J316,'Doc''s Pagos | Rodopar 108'!$B:$B,X$1)+SUMIFS('Doc Há Pagar | Rodopar 1015'!$J:$J,'Doc Há Pagar | Rodopar 1015'!$A:$A,$B316&amp;$E316&amp;$F316,'Doc Há Pagar | Rodopar 1015'!$B:$B,X$1)</f>
        <v>0</v>
      </c>
      <c r="Y316" s="20">
        <f>SUMIFS('Doc''s Pagos | Rodopar 108'!$J:$J,'Doc''s Pagos | Rodopar 108'!$A:$A,$B316&amp;$E316&amp;$F316&amp;$J316,'Doc''s Pagos | Rodopar 108'!$B:$B,Y$1)+SUMIFS('Doc Há Pagar | Rodopar 1015'!$J:$J,'Doc Há Pagar | Rodopar 1015'!$A:$A,$B316&amp;$E316&amp;$F316,'Doc Há Pagar | Rodopar 1015'!$B:$B,Y$1)</f>
        <v>0</v>
      </c>
      <c r="Z316" s="20">
        <f>SUMIFS('Doc''s Pagos | Rodopar 108'!$J:$J,'Doc''s Pagos | Rodopar 108'!$A:$A,$B316&amp;$E316&amp;$F316&amp;$J316,'Doc''s Pagos | Rodopar 108'!$B:$B,Z$1)+SUMIFS('Doc Há Pagar | Rodopar 1015'!$J:$J,'Doc Há Pagar | Rodopar 1015'!$A:$A,$B316&amp;$E316&amp;$F316,'Doc Há Pagar | Rodopar 1015'!$B:$B,Z$1)</f>
        <v>2668.84</v>
      </c>
      <c r="AA316" s="20">
        <f>SUMIFS('Doc''s Pagos | Rodopar 108'!$J:$J,'Doc''s Pagos | Rodopar 108'!$A:$A,$B316&amp;$E316&amp;$F316&amp;$J316,'Doc''s Pagos | Rodopar 108'!$B:$B,AA$1)+SUMIFS('Doc Há Pagar | Rodopar 1015'!$J:$J,'Doc Há Pagar | Rodopar 1015'!$A:$A,$B316&amp;$E316&amp;$F316,'Doc Há Pagar | Rodopar 1015'!$B:$B,AA$1)</f>
        <v>2668.84</v>
      </c>
      <c r="AB316" s="20">
        <f>SUMIFS('Doc''s Pagos | Rodopar 108'!$J:$J,'Doc''s Pagos | Rodopar 108'!$A:$A,$B316&amp;$E316&amp;$F316&amp;$J316,'Doc''s Pagos | Rodopar 108'!$B:$B,AB$1)+SUMIFS('Doc Há Pagar | Rodopar 1015'!$J:$J,'Doc Há Pagar | Rodopar 1015'!$A:$A,$B316&amp;$E316&amp;$F316,'Doc Há Pagar | Rodopar 1015'!$B:$B,AB$1)</f>
        <v>2668.92</v>
      </c>
      <c r="AC316" s="20">
        <f>SUMIFS('Doc''s Pagos | Rodopar 108'!$J:$J,'Doc''s Pagos | Rodopar 108'!$A:$A,$B316&amp;$E316&amp;$F316&amp;$J316,'Doc''s Pagos | Rodopar 108'!$B:$B,AC$1)+SUMIFS('Doc Há Pagar | Rodopar 1015'!$J:$J,'Doc Há Pagar | Rodopar 1015'!$A:$A,$B316&amp;$E316&amp;$F316,'Doc Há Pagar | Rodopar 1015'!$B:$B,AC$1)</f>
        <v>0</v>
      </c>
      <c r="AD316" s="20">
        <f>SUMIFS('Doc''s Pagos | Rodopar 108'!$J:$J,'Doc''s Pagos | Rodopar 108'!$A:$A,$B316&amp;$E316&amp;$F316&amp;$J316,'Doc''s Pagos | Rodopar 108'!$B:$B,AD$1)+SUMIFS('Doc Há Pagar | Rodopar 1015'!$J:$J,'Doc Há Pagar | Rodopar 1015'!$A:$A,$B316&amp;$E316&amp;$F316,'Doc Há Pagar | Rodopar 1015'!$B:$B,AD$1)</f>
        <v>0</v>
      </c>
    </row>
    <row r="317" spans="1:30" x14ac:dyDescent="0.25">
      <c r="A317" s="1" t="str">
        <f>VLOOKUP($E317,Fornecedores!$A:$C,3,0)</f>
        <v>Frota</v>
      </c>
      <c r="B317" s="14">
        <v>3539917</v>
      </c>
      <c r="C317" s="14" t="str">
        <f>IFERROR(VLOOKUP($E317,Fornecedores!$A:$E,4,0),"")</f>
        <v>Pneus</v>
      </c>
      <c r="D317" s="14" t="str">
        <f>IFERROR(VLOOKUP($E317,Fornecedores!$A:$E,5,0),"")</f>
        <v>Compra</v>
      </c>
      <c r="E317" s="8" t="s">
        <v>75</v>
      </c>
      <c r="F317" s="14" t="s">
        <v>380</v>
      </c>
      <c r="G317" s="8" t="s">
        <v>504</v>
      </c>
      <c r="H317" s="9">
        <v>87</v>
      </c>
      <c r="I317" s="21">
        <v>6396</v>
      </c>
      <c r="J317" s="11">
        <v>46226</v>
      </c>
      <c r="K317" s="11">
        <v>46226</v>
      </c>
      <c r="L317" s="8" t="s">
        <v>505</v>
      </c>
      <c r="M317" s="14" t="s">
        <v>263</v>
      </c>
      <c r="N317" s="16">
        <v>2556</v>
      </c>
      <c r="O317" s="14" t="s">
        <v>512</v>
      </c>
      <c r="P317" s="14"/>
      <c r="Q317" s="20">
        <f t="shared" si="4"/>
        <v>0</v>
      </c>
      <c r="S317" s="20">
        <f>SUMIFS('Doc''s Pagos | Rodopar 108'!$J:$J,'Doc''s Pagos | Rodopar 108'!$A:$A,$B317&amp;$E317&amp;$F317&amp;$J317,'Doc''s Pagos | Rodopar 108'!$B:$B,S$1)+SUMIFS('Doc Há Pagar | Rodopar 1015'!$J:$J,'Doc Há Pagar | Rodopar 1015'!$A:$A,$B317&amp;$E317&amp;$F317,'Doc Há Pagar | Rodopar 1015'!$B:$B,S$1)</f>
        <v>0</v>
      </c>
      <c r="T317" s="20">
        <f>SUMIFS('Doc''s Pagos | Rodopar 108'!$J:$J,'Doc''s Pagos | Rodopar 108'!$A:$A,$B317&amp;$E317&amp;$F317&amp;$J317,'Doc''s Pagos | Rodopar 108'!$B:$B,T$1)+SUMIFS('Doc Há Pagar | Rodopar 1015'!$J:$J,'Doc Há Pagar | Rodopar 1015'!$A:$A,$B317&amp;$E317&amp;$F317,'Doc Há Pagar | Rodopar 1015'!$B:$B,T$1)</f>
        <v>0</v>
      </c>
      <c r="U317" s="20">
        <f>SUMIFS('Doc''s Pagos | Rodopar 108'!$J:$J,'Doc''s Pagos | Rodopar 108'!$A:$A,$B317&amp;$E317&amp;$F317&amp;$J317,'Doc''s Pagos | Rodopar 108'!$B:$B,U$1)+SUMIFS('Doc Há Pagar | Rodopar 1015'!$J:$J,'Doc Há Pagar | Rodopar 1015'!$A:$A,$B317&amp;$E317&amp;$F317,'Doc Há Pagar | Rodopar 1015'!$B:$B,U$1)</f>
        <v>0</v>
      </c>
      <c r="V317" s="20">
        <f>SUMIFS('Doc''s Pagos | Rodopar 108'!$J:$J,'Doc''s Pagos | Rodopar 108'!$A:$A,$B317&amp;$E317&amp;$F317&amp;$J317,'Doc''s Pagos | Rodopar 108'!$B:$B,V$1)+SUMIFS('Doc Há Pagar | Rodopar 1015'!$J:$J,'Doc Há Pagar | Rodopar 1015'!$A:$A,$B317&amp;$E317&amp;$F317,'Doc Há Pagar | Rodopar 1015'!$B:$B,V$1)</f>
        <v>0</v>
      </c>
      <c r="W317" s="20">
        <f>SUMIFS('Doc''s Pagos | Rodopar 108'!$J:$J,'Doc''s Pagos | Rodopar 108'!$A:$A,$B317&amp;$E317&amp;$F317&amp;$J317,'Doc''s Pagos | Rodopar 108'!$B:$B,W$1)+SUMIFS('Doc Há Pagar | Rodopar 1015'!$J:$J,'Doc Há Pagar | Rodopar 1015'!$A:$A,$B317&amp;$E317&amp;$F317,'Doc Há Pagar | Rodopar 1015'!$B:$B,W$1)</f>
        <v>0</v>
      </c>
      <c r="X317" s="20">
        <f>SUMIFS('Doc''s Pagos | Rodopar 108'!$J:$J,'Doc''s Pagos | Rodopar 108'!$A:$A,$B317&amp;$E317&amp;$F317&amp;$J317,'Doc''s Pagos | Rodopar 108'!$B:$B,X$1)+SUMIFS('Doc Há Pagar | Rodopar 1015'!$J:$J,'Doc Há Pagar | Rodopar 1015'!$A:$A,$B317&amp;$E317&amp;$F317,'Doc Há Pagar | Rodopar 1015'!$B:$B,X$1)</f>
        <v>0</v>
      </c>
      <c r="Y317" s="20">
        <f>SUMIFS('Doc''s Pagos | Rodopar 108'!$J:$J,'Doc''s Pagos | Rodopar 108'!$A:$A,$B317&amp;$E317&amp;$F317&amp;$J317,'Doc''s Pagos | Rodopar 108'!$B:$B,Y$1)+SUMIFS('Doc Há Pagar | Rodopar 1015'!$J:$J,'Doc Há Pagar | Rodopar 1015'!$A:$A,$B317&amp;$E317&amp;$F317,'Doc Há Pagar | Rodopar 1015'!$B:$B,Y$1)</f>
        <v>0</v>
      </c>
      <c r="Z317" s="20">
        <f>SUMIFS('Doc''s Pagos | Rodopar 108'!$J:$J,'Doc''s Pagos | Rodopar 108'!$A:$A,$B317&amp;$E317&amp;$F317&amp;$J317,'Doc''s Pagos | Rodopar 108'!$B:$B,Z$1)+SUMIFS('Doc Há Pagar | Rodopar 1015'!$J:$J,'Doc Há Pagar | Rodopar 1015'!$A:$A,$B317&amp;$E317&amp;$F317,'Doc Há Pagar | Rodopar 1015'!$B:$B,Z$1)</f>
        <v>2131.98</v>
      </c>
      <c r="AA317" s="20">
        <f>SUMIFS('Doc''s Pagos | Rodopar 108'!$J:$J,'Doc''s Pagos | Rodopar 108'!$A:$A,$B317&amp;$E317&amp;$F317&amp;$J317,'Doc''s Pagos | Rodopar 108'!$B:$B,AA$1)+SUMIFS('Doc Há Pagar | Rodopar 1015'!$J:$J,'Doc Há Pagar | Rodopar 1015'!$A:$A,$B317&amp;$E317&amp;$F317,'Doc Há Pagar | Rodopar 1015'!$B:$B,AA$1)</f>
        <v>2131.98</v>
      </c>
      <c r="AB317" s="20">
        <f>SUMIFS('Doc''s Pagos | Rodopar 108'!$J:$J,'Doc''s Pagos | Rodopar 108'!$A:$A,$B317&amp;$E317&amp;$F317&amp;$J317,'Doc''s Pagos | Rodopar 108'!$B:$B,AB$1)+SUMIFS('Doc Há Pagar | Rodopar 1015'!$J:$J,'Doc Há Pagar | Rodopar 1015'!$A:$A,$B317&amp;$E317&amp;$F317,'Doc Há Pagar | Rodopar 1015'!$B:$B,AB$1)</f>
        <v>2132.04</v>
      </c>
      <c r="AC317" s="20">
        <f>SUMIFS('Doc''s Pagos | Rodopar 108'!$J:$J,'Doc''s Pagos | Rodopar 108'!$A:$A,$B317&amp;$E317&amp;$F317&amp;$J317,'Doc''s Pagos | Rodopar 108'!$B:$B,AC$1)+SUMIFS('Doc Há Pagar | Rodopar 1015'!$J:$J,'Doc Há Pagar | Rodopar 1015'!$A:$A,$B317&amp;$E317&amp;$F317,'Doc Há Pagar | Rodopar 1015'!$B:$B,AC$1)</f>
        <v>0</v>
      </c>
      <c r="AD317" s="20">
        <f>SUMIFS('Doc''s Pagos | Rodopar 108'!$J:$J,'Doc''s Pagos | Rodopar 108'!$A:$A,$B317&amp;$E317&amp;$F317&amp;$J317,'Doc''s Pagos | Rodopar 108'!$B:$B,AD$1)+SUMIFS('Doc Há Pagar | Rodopar 1015'!$J:$J,'Doc Há Pagar | Rodopar 1015'!$A:$A,$B317&amp;$E317&amp;$F317,'Doc Há Pagar | Rodopar 1015'!$B:$B,AD$1)</f>
        <v>0</v>
      </c>
    </row>
    <row r="318" spans="1:30" x14ac:dyDescent="0.25">
      <c r="A318" s="1" t="str">
        <f>VLOOKUP($E318,Fornecedores!$A:$C,3,0)</f>
        <v>Frota</v>
      </c>
      <c r="B318" s="14" t="s">
        <v>636</v>
      </c>
      <c r="C318" s="14" t="str">
        <f>IFERROR(VLOOKUP($E318,Fornecedores!$A:$E,4,0),"")</f>
        <v>Segurança</v>
      </c>
      <c r="D318" s="14" t="str">
        <f>IFERROR(VLOOKUP($E318,Fornecedores!$A:$E,5,0),"")</f>
        <v>Extintores</v>
      </c>
      <c r="E318" s="8" t="s">
        <v>21</v>
      </c>
      <c r="F318" s="14" t="s">
        <v>614</v>
      </c>
      <c r="G318" s="8" t="s">
        <v>637</v>
      </c>
      <c r="H318" s="9">
        <v>87</v>
      </c>
      <c r="I318" s="21">
        <v>1710</v>
      </c>
      <c r="J318" s="11">
        <v>46226</v>
      </c>
      <c r="K318" s="11">
        <v>46227</v>
      </c>
      <c r="L318" s="8" t="s">
        <v>233</v>
      </c>
      <c r="M318" s="14" t="s">
        <v>234</v>
      </c>
      <c r="N318" s="16">
        <v>1556</v>
      </c>
      <c r="O318" s="14" t="s">
        <v>250</v>
      </c>
      <c r="P318" s="14"/>
      <c r="Q318" s="20">
        <f t="shared" si="4"/>
        <v>0</v>
      </c>
      <c r="S318" s="20">
        <f>SUMIFS('Doc''s Pagos | Rodopar 108'!$J:$J,'Doc''s Pagos | Rodopar 108'!$A:$A,$B318&amp;$E318&amp;$F318&amp;$J318,'Doc''s Pagos | Rodopar 108'!$B:$B,S$1)+SUMIFS('Doc Há Pagar | Rodopar 1015'!$J:$J,'Doc Há Pagar | Rodopar 1015'!$A:$A,$B318&amp;$E318&amp;$F318,'Doc Há Pagar | Rodopar 1015'!$B:$B,S$1)</f>
        <v>0</v>
      </c>
      <c r="T318" s="20">
        <f>SUMIFS('Doc''s Pagos | Rodopar 108'!$J:$J,'Doc''s Pagos | Rodopar 108'!$A:$A,$B318&amp;$E318&amp;$F318&amp;$J318,'Doc''s Pagos | Rodopar 108'!$B:$B,T$1)+SUMIFS('Doc Há Pagar | Rodopar 1015'!$J:$J,'Doc Há Pagar | Rodopar 1015'!$A:$A,$B318&amp;$E318&amp;$F318,'Doc Há Pagar | Rodopar 1015'!$B:$B,T$1)</f>
        <v>0</v>
      </c>
      <c r="U318" s="20">
        <f>SUMIFS('Doc''s Pagos | Rodopar 108'!$J:$J,'Doc''s Pagos | Rodopar 108'!$A:$A,$B318&amp;$E318&amp;$F318&amp;$J318,'Doc''s Pagos | Rodopar 108'!$B:$B,U$1)+SUMIFS('Doc Há Pagar | Rodopar 1015'!$J:$J,'Doc Há Pagar | Rodopar 1015'!$A:$A,$B318&amp;$E318&amp;$F318,'Doc Há Pagar | Rodopar 1015'!$B:$B,U$1)</f>
        <v>0</v>
      </c>
      <c r="V318" s="20">
        <f>SUMIFS('Doc''s Pagos | Rodopar 108'!$J:$J,'Doc''s Pagos | Rodopar 108'!$A:$A,$B318&amp;$E318&amp;$F318&amp;$J318,'Doc''s Pagos | Rodopar 108'!$B:$B,V$1)+SUMIFS('Doc Há Pagar | Rodopar 1015'!$J:$J,'Doc Há Pagar | Rodopar 1015'!$A:$A,$B318&amp;$E318&amp;$F318,'Doc Há Pagar | Rodopar 1015'!$B:$B,V$1)</f>
        <v>0</v>
      </c>
      <c r="W318" s="20">
        <f>SUMIFS('Doc''s Pagos | Rodopar 108'!$J:$J,'Doc''s Pagos | Rodopar 108'!$A:$A,$B318&amp;$E318&amp;$F318&amp;$J318,'Doc''s Pagos | Rodopar 108'!$B:$B,W$1)+SUMIFS('Doc Há Pagar | Rodopar 1015'!$J:$J,'Doc Há Pagar | Rodopar 1015'!$A:$A,$B318&amp;$E318&amp;$F318,'Doc Há Pagar | Rodopar 1015'!$B:$B,W$1)</f>
        <v>0</v>
      </c>
      <c r="X318" s="20">
        <f>SUMIFS('Doc''s Pagos | Rodopar 108'!$J:$J,'Doc''s Pagos | Rodopar 108'!$A:$A,$B318&amp;$E318&amp;$F318&amp;$J318,'Doc''s Pagos | Rodopar 108'!$B:$B,X$1)+SUMIFS('Doc Há Pagar | Rodopar 1015'!$J:$J,'Doc Há Pagar | Rodopar 1015'!$A:$A,$B318&amp;$E318&amp;$F318,'Doc Há Pagar | Rodopar 1015'!$B:$B,X$1)</f>
        <v>0</v>
      </c>
      <c r="Y318" s="20">
        <f>SUMIFS('Doc''s Pagos | Rodopar 108'!$J:$J,'Doc''s Pagos | Rodopar 108'!$A:$A,$B318&amp;$E318&amp;$F318&amp;$J318,'Doc''s Pagos | Rodopar 108'!$B:$B,Y$1)+SUMIFS('Doc Há Pagar | Rodopar 1015'!$J:$J,'Doc Há Pagar | Rodopar 1015'!$A:$A,$B318&amp;$E318&amp;$F318,'Doc Há Pagar | Rodopar 1015'!$B:$B,Y$1)</f>
        <v>0</v>
      </c>
      <c r="Z318" s="20">
        <f>SUMIFS('Doc''s Pagos | Rodopar 108'!$J:$J,'Doc''s Pagos | Rodopar 108'!$A:$A,$B318&amp;$E318&amp;$F318&amp;$J318,'Doc''s Pagos | Rodopar 108'!$B:$B,Z$1)+SUMIFS('Doc Há Pagar | Rodopar 1015'!$J:$J,'Doc Há Pagar | Rodopar 1015'!$A:$A,$B318&amp;$E318&amp;$F318,'Doc Há Pagar | Rodopar 1015'!$B:$B,Z$1)</f>
        <v>1710</v>
      </c>
      <c r="AA318" s="20">
        <f>SUMIFS('Doc''s Pagos | Rodopar 108'!$J:$J,'Doc''s Pagos | Rodopar 108'!$A:$A,$B318&amp;$E318&amp;$F318&amp;$J318,'Doc''s Pagos | Rodopar 108'!$B:$B,AA$1)+SUMIFS('Doc Há Pagar | Rodopar 1015'!$J:$J,'Doc Há Pagar | Rodopar 1015'!$A:$A,$B318&amp;$E318&amp;$F318,'Doc Há Pagar | Rodopar 1015'!$B:$B,AA$1)</f>
        <v>0</v>
      </c>
      <c r="AB318" s="20">
        <f>SUMIFS('Doc''s Pagos | Rodopar 108'!$J:$J,'Doc''s Pagos | Rodopar 108'!$A:$A,$B318&amp;$E318&amp;$F318&amp;$J318,'Doc''s Pagos | Rodopar 108'!$B:$B,AB$1)+SUMIFS('Doc Há Pagar | Rodopar 1015'!$J:$J,'Doc Há Pagar | Rodopar 1015'!$A:$A,$B318&amp;$E318&amp;$F318,'Doc Há Pagar | Rodopar 1015'!$B:$B,AB$1)</f>
        <v>0</v>
      </c>
      <c r="AC318" s="20">
        <f>SUMIFS('Doc''s Pagos | Rodopar 108'!$J:$J,'Doc''s Pagos | Rodopar 108'!$A:$A,$B318&amp;$E318&amp;$F318&amp;$J318,'Doc''s Pagos | Rodopar 108'!$B:$B,AC$1)+SUMIFS('Doc Há Pagar | Rodopar 1015'!$J:$J,'Doc Há Pagar | Rodopar 1015'!$A:$A,$B318&amp;$E318&amp;$F318,'Doc Há Pagar | Rodopar 1015'!$B:$B,AC$1)</f>
        <v>0</v>
      </c>
      <c r="AD318" s="20">
        <f>SUMIFS('Doc''s Pagos | Rodopar 108'!$J:$J,'Doc''s Pagos | Rodopar 108'!$A:$A,$B318&amp;$E318&amp;$F318&amp;$J318,'Doc''s Pagos | Rodopar 108'!$B:$B,AD$1)+SUMIFS('Doc Há Pagar | Rodopar 1015'!$J:$J,'Doc Há Pagar | Rodopar 1015'!$A:$A,$B318&amp;$E318&amp;$F318,'Doc Há Pagar | Rodopar 1015'!$B:$B,AD$1)</f>
        <v>0</v>
      </c>
    </row>
    <row r="319" spans="1:30" x14ac:dyDescent="0.25">
      <c r="A319" s="1" t="str">
        <f>VLOOKUP($E319,Fornecedores!$A:$C,3,0)</f>
        <v>Frota</v>
      </c>
      <c r="B319" s="14">
        <v>1581</v>
      </c>
      <c r="C319" s="14" t="str">
        <f>IFERROR(VLOOKUP($E319,Fornecedores!$A:$E,4,0),"")</f>
        <v>Documentação</v>
      </c>
      <c r="D319" s="14" t="str">
        <f>IFERROR(VLOOKUP($E319,Fornecedores!$A:$E,5,0),"")</f>
        <v>Tacografos</v>
      </c>
      <c r="E319" s="8" t="s">
        <v>26</v>
      </c>
      <c r="F319" s="14" t="s">
        <v>665</v>
      </c>
      <c r="G319" s="8" t="s">
        <v>579</v>
      </c>
      <c r="H319" s="9">
        <v>87</v>
      </c>
      <c r="I319" s="21">
        <v>350</v>
      </c>
      <c r="J319" s="11">
        <v>46226</v>
      </c>
      <c r="K319" s="11">
        <v>46227</v>
      </c>
      <c r="L319" s="8" t="s">
        <v>382</v>
      </c>
      <c r="M319" s="14" t="s">
        <v>234</v>
      </c>
      <c r="N319" s="16">
        <v>1556</v>
      </c>
      <c r="O319" s="14" t="s">
        <v>250</v>
      </c>
      <c r="P319" s="14"/>
      <c r="Q319" s="20">
        <f t="shared" si="4"/>
        <v>0</v>
      </c>
      <c r="S319" s="20">
        <f>SUMIFS('Doc''s Pagos | Rodopar 108'!$J:$J,'Doc''s Pagos | Rodopar 108'!$A:$A,$B319&amp;$E319&amp;$F319&amp;$J319,'Doc''s Pagos | Rodopar 108'!$B:$B,S$1)+SUMIFS('Doc Há Pagar | Rodopar 1015'!$J:$J,'Doc Há Pagar | Rodopar 1015'!$A:$A,$B319&amp;$E319&amp;$F319,'Doc Há Pagar | Rodopar 1015'!$B:$B,S$1)</f>
        <v>0</v>
      </c>
      <c r="T319" s="20">
        <f>SUMIFS('Doc''s Pagos | Rodopar 108'!$J:$J,'Doc''s Pagos | Rodopar 108'!$A:$A,$B319&amp;$E319&amp;$F319&amp;$J319,'Doc''s Pagos | Rodopar 108'!$B:$B,T$1)+SUMIFS('Doc Há Pagar | Rodopar 1015'!$J:$J,'Doc Há Pagar | Rodopar 1015'!$A:$A,$B319&amp;$E319&amp;$F319,'Doc Há Pagar | Rodopar 1015'!$B:$B,T$1)</f>
        <v>0</v>
      </c>
      <c r="U319" s="20">
        <f>SUMIFS('Doc''s Pagos | Rodopar 108'!$J:$J,'Doc''s Pagos | Rodopar 108'!$A:$A,$B319&amp;$E319&amp;$F319&amp;$J319,'Doc''s Pagos | Rodopar 108'!$B:$B,U$1)+SUMIFS('Doc Há Pagar | Rodopar 1015'!$J:$J,'Doc Há Pagar | Rodopar 1015'!$A:$A,$B319&amp;$E319&amp;$F319,'Doc Há Pagar | Rodopar 1015'!$B:$B,U$1)</f>
        <v>0</v>
      </c>
      <c r="V319" s="20">
        <f>SUMIFS('Doc''s Pagos | Rodopar 108'!$J:$J,'Doc''s Pagos | Rodopar 108'!$A:$A,$B319&amp;$E319&amp;$F319&amp;$J319,'Doc''s Pagos | Rodopar 108'!$B:$B,V$1)+SUMIFS('Doc Há Pagar | Rodopar 1015'!$J:$J,'Doc Há Pagar | Rodopar 1015'!$A:$A,$B319&amp;$E319&amp;$F319,'Doc Há Pagar | Rodopar 1015'!$B:$B,V$1)</f>
        <v>0</v>
      </c>
      <c r="W319" s="20">
        <f>SUMIFS('Doc''s Pagos | Rodopar 108'!$J:$J,'Doc''s Pagos | Rodopar 108'!$A:$A,$B319&amp;$E319&amp;$F319&amp;$J319,'Doc''s Pagos | Rodopar 108'!$B:$B,W$1)+SUMIFS('Doc Há Pagar | Rodopar 1015'!$J:$J,'Doc Há Pagar | Rodopar 1015'!$A:$A,$B319&amp;$E319&amp;$F319,'Doc Há Pagar | Rodopar 1015'!$B:$B,W$1)</f>
        <v>0</v>
      </c>
      <c r="X319" s="20">
        <f>SUMIFS('Doc''s Pagos | Rodopar 108'!$J:$J,'Doc''s Pagos | Rodopar 108'!$A:$A,$B319&amp;$E319&amp;$F319&amp;$J319,'Doc''s Pagos | Rodopar 108'!$B:$B,X$1)+SUMIFS('Doc Há Pagar | Rodopar 1015'!$J:$J,'Doc Há Pagar | Rodopar 1015'!$A:$A,$B319&amp;$E319&amp;$F319,'Doc Há Pagar | Rodopar 1015'!$B:$B,X$1)</f>
        <v>0</v>
      </c>
      <c r="Y319" s="20">
        <f>SUMIFS('Doc''s Pagos | Rodopar 108'!$J:$J,'Doc''s Pagos | Rodopar 108'!$A:$A,$B319&amp;$E319&amp;$F319&amp;$J319,'Doc''s Pagos | Rodopar 108'!$B:$B,Y$1)+SUMIFS('Doc Há Pagar | Rodopar 1015'!$J:$J,'Doc Há Pagar | Rodopar 1015'!$A:$A,$B319&amp;$E319&amp;$F319,'Doc Há Pagar | Rodopar 1015'!$B:$B,Y$1)</f>
        <v>0</v>
      </c>
      <c r="Z319" s="20">
        <f>SUMIFS('Doc''s Pagos | Rodopar 108'!$J:$J,'Doc''s Pagos | Rodopar 108'!$A:$A,$B319&amp;$E319&amp;$F319&amp;$J319,'Doc''s Pagos | Rodopar 108'!$B:$B,Z$1)+SUMIFS('Doc Há Pagar | Rodopar 1015'!$J:$J,'Doc Há Pagar | Rodopar 1015'!$A:$A,$B319&amp;$E319&amp;$F319,'Doc Há Pagar | Rodopar 1015'!$B:$B,Z$1)</f>
        <v>350</v>
      </c>
      <c r="AA319" s="20">
        <f>SUMIFS('Doc''s Pagos | Rodopar 108'!$J:$J,'Doc''s Pagos | Rodopar 108'!$A:$A,$B319&amp;$E319&amp;$F319&amp;$J319,'Doc''s Pagos | Rodopar 108'!$B:$B,AA$1)+SUMIFS('Doc Há Pagar | Rodopar 1015'!$J:$J,'Doc Há Pagar | Rodopar 1015'!$A:$A,$B319&amp;$E319&amp;$F319,'Doc Há Pagar | Rodopar 1015'!$B:$B,AA$1)</f>
        <v>0</v>
      </c>
      <c r="AB319" s="20">
        <f>SUMIFS('Doc''s Pagos | Rodopar 108'!$J:$J,'Doc''s Pagos | Rodopar 108'!$A:$A,$B319&amp;$E319&amp;$F319&amp;$J319,'Doc''s Pagos | Rodopar 108'!$B:$B,AB$1)+SUMIFS('Doc Há Pagar | Rodopar 1015'!$J:$J,'Doc Há Pagar | Rodopar 1015'!$A:$A,$B319&amp;$E319&amp;$F319,'Doc Há Pagar | Rodopar 1015'!$B:$B,AB$1)</f>
        <v>0</v>
      </c>
      <c r="AC319" s="20">
        <f>SUMIFS('Doc''s Pagos | Rodopar 108'!$J:$J,'Doc''s Pagos | Rodopar 108'!$A:$A,$B319&amp;$E319&amp;$F319&amp;$J319,'Doc''s Pagos | Rodopar 108'!$B:$B,AC$1)+SUMIFS('Doc Há Pagar | Rodopar 1015'!$J:$J,'Doc Há Pagar | Rodopar 1015'!$A:$A,$B319&amp;$E319&amp;$F319,'Doc Há Pagar | Rodopar 1015'!$B:$B,AC$1)</f>
        <v>0</v>
      </c>
      <c r="AD319" s="20">
        <f>SUMIFS('Doc''s Pagos | Rodopar 108'!$J:$J,'Doc''s Pagos | Rodopar 108'!$A:$A,$B319&amp;$E319&amp;$F319&amp;$J319,'Doc''s Pagos | Rodopar 108'!$B:$B,AD$1)+SUMIFS('Doc Há Pagar | Rodopar 1015'!$J:$J,'Doc Há Pagar | Rodopar 1015'!$A:$A,$B319&amp;$E319&amp;$F319,'Doc Há Pagar | Rodopar 1015'!$B:$B,AD$1)</f>
        <v>0</v>
      </c>
    </row>
    <row r="320" spans="1:30" x14ac:dyDescent="0.25">
      <c r="A320" s="1" t="str">
        <f>VLOOKUP($E320,Fornecedores!$A:$C,3,0)</f>
        <v>Frota</v>
      </c>
      <c r="B320" s="14">
        <v>744</v>
      </c>
      <c r="C320" s="14" t="str">
        <f>IFERROR(VLOOKUP($E320,Fornecedores!$A:$E,4,0),"")</f>
        <v>Manutenção</v>
      </c>
      <c r="D320" s="14" t="str">
        <f>IFERROR(VLOOKUP($E320,Fornecedores!$A:$E,5,0),"")</f>
        <v>Vans</v>
      </c>
      <c r="E320" s="8" t="s">
        <v>23</v>
      </c>
      <c r="F320" s="14" t="s">
        <v>665</v>
      </c>
      <c r="G320" s="8" t="s">
        <v>557</v>
      </c>
      <c r="H320" s="9">
        <v>87</v>
      </c>
      <c r="I320" s="21">
        <v>500</v>
      </c>
      <c r="J320" s="11">
        <v>46226</v>
      </c>
      <c r="K320" s="11">
        <v>46226</v>
      </c>
      <c r="L320" s="8" t="s">
        <v>501</v>
      </c>
      <c r="M320" s="14" t="s">
        <v>234</v>
      </c>
      <c r="N320" s="16">
        <v>1556</v>
      </c>
      <c r="O320" s="14" t="s">
        <v>250</v>
      </c>
      <c r="P320" s="14"/>
      <c r="Q320" s="20">
        <f t="shared" si="4"/>
        <v>0</v>
      </c>
      <c r="S320" s="20">
        <f>SUMIFS('Doc''s Pagos | Rodopar 108'!$J:$J,'Doc''s Pagos | Rodopar 108'!$A:$A,$B320&amp;$E320&amp;$F320&amp;$J320,'Doc''s Pagos | Rodopar 108'!$B:$B,S$1)+SUMIFS('Doc Há Pagar | Rodopar 1015'!$J:$J,'Doc Há Pagar | Rodopar 1015'!$A:$A,$B320&amp;$E320&amp;$F320,'Doc Há Pagar | Rodopar 1015'!$B:$B,S$1)</f>
        <v>0</v>
      </c>
      <c r="T320" s="20">
        <f>SUMIFS('Doc''s Pagos | Rodopar 108'!$J:$J,'Doc''s Pagos | Rodopar 108'!$A:$A,$B320&amp;$E320&amp;$F320&amp;$J320,'Doc''s Pagos | Rodopar 108'!$B:$B,T$1)+SUMIFS('Doc Há Pagar | Rodopar 1015'!$J:$J,'Doc Há Pagar | Rodopar 1015'!$A:$A,$B320&amp;$E320&amp;$F320,'Doc Há Pagar | Rodopar 1015'!$B:$B,T$1)</f>
        <v>0</v>
      </c>
      <c r="U320" s="20">
        <f>SUMIFS('Doc''s Pagos | Rodopar 108'!$J:$J,'Doc''s Pagos | Rodopar 108'!$A:$A,$B320&amp;$E320&amp;$F320&amp;$J320,'Doc''s Pagos | Rodopar 108'!$B:$B,U$1)+SUMIFS('Doc Há Pagar | Rodopar 1015'!$J:$J,'Doc Há Pagar | Rodopar 1015'!$A:$A,$B320&amp;$E320&amp;$F320,'Doc Há Pagar | Rodopar 1015'!$B:$B,U$1)</f>
        <v>0</v>
      </c>
      <c r="V320" s="20">
        <f>SUMIFS('Doc''s Pagos | Rodopar 108'!$J:$J,'Doc''s Pagos | Rodopar 108'!$A:$A,$B320&amp;$E320&amp;$F320&amp;$J320,'Doc''s Pagos | Rodopar 108'!$B:$B,V$1)+SUMIFS('Doc Há Pagar | Rodopar 1015'!$J:$J,'Doc Há Pagar | Rodopar 1015'!$A:$A,$B320&amp;$E320&amp;$F320,'Doc Há Pagar | Rodopar 1015'!$B:$B,V$1)</f>
        <v>0</v>
      </c>
      <c r="W320" s="20">
        <f>SUMIFS('Doc''s Pagos | Rodopar 108'!$J:$J,'Doc''s Pagos | Rodopar 108'!$A:$A,$B320&amp;$E320&amp;$F320&amp;$J320,'Doc''s Pagos | Rodopar 108'!$B:$B,W$1)+SUMIFS('Doc Há Pagar | Rodopar 1015'!$J:$J,'Doc Há Pagar | Rodopar 1015'!$A:$A,$B320&amp;$E320&amp;$F320,'Doc Há Pagar | Rodopar 1015'!$B:$B,W$1)</f>
        <v>0</v>
      </c>
      <c r="X320" s="20">
        <f>SUMIFS('Doc''s Pagos | Rodopar 108'!$J:$J,'Doc''s Pagos | Rodopar 108'!$A:$A,$B320&amp;$E320&amp;$F320&amp;$J320,'Doc''s Pagos | Rodopar 108'!$B:$B,X$1)+SUMIFS('Doc Há Pagar | Rodopar 1015'!$J:$J,'Doc Há Pagar | Rodopar 1015'!$A:$A,$B320&amp;$E320&amp;$F320,'Doc Há Pagar | Rodopar 1015'!$B:$B,X$1)</f>
        <v>0</v>
      </c>
      <c r="Y320" s="20">
        <f>SUMIFS('Doc''s Pagos | Rodopar 108'!$J:$J,'Doc''s Pagos | Rodopar 108'!$A:$A,$B320&amp;$E320&amp;$F320&amp;$J320,'Doc''s Pagos | Rodopar 108'!$B:$B,Y$1)+SUMIFS('Doc Há Pagar | Rodopar 1015'!$J:$J,'Doc Há Pagar | Rodopar 1015'!$A:$A,$B320&amp;$E320&amp;$F320,'Doc Há Pagar | Rodopar 1015'!$B:$B,Y$1)</f>
        <v>0</v>
      </c>
      <c r="Z320" s="20">
        <f>SUMIFS('Doc''s Pagos | Rodopar 108'!$J:$J,'Doc''s Pagos | Rodopar 108'!$A:$A,$B320&amp;$E320&amp;$F320&amp;$J320,'Doc''s Pagos | Rodopar 108'!$B:$B,Z$1)+SUMIFS('Doc Há Pagar | Rodopar 1015'!$J:$J,'Doc Há Pagar | Rodopar 1015'!$A:$A,$B320&amp;$E320&amp;$F320,'Doc Há Pagar | Rodopar 1015'!$B:$B,Z$1)</f>
        <v>500</v>
      </c>
      <c r="AA320" s="20">
        <f>SUMIFS('Doc''s Pagos | Rodopar 108'!$J:$J,'Doc''s Pagos | Rodopar 108'!$A:$A,$B320&amp;$E320&amp;$F320&amp;$J320,'Doc''s Pagos | Rodopar 108'!$B:$B,AA$1)+SUMIFS('Doc Há Pagar | Rodopar 1015'!$J:$J,'Doc Há Pagar | Rodopar 1015'!$A:$A,$B320&amp;$E320&amp;$F320,'Doc Há Pagar | Rodopar 1015'!$B:$B,AA$1)</f>
        <v>0</v>
      </c>
      <c r="AB320" s="20">
        <f>SUMIFS('Doc''s Pagos | Rodopar 108'!$J:$J,'Doc''s Pagos | Rodopar 108'!$A:$A,$B320&amp;$E320&amp;$F320&amp;$J320,'Doc''s Pagos | Rodopar 108'!$B:$B,AB$1)+SUMIFS('Doc Há Pagar | Rodopar 1015'!$J:$J,'Doc Há Pagar | Rodopar 1015'!$A:$A,$B320&amp;$E320&amp;$F320,'Doc Há Pagar | Rodopar 1015'!$B:$B,AB$1)</f>
        <v>0</v>
      </c>
      <c r="AC320" s="20">
        <f>SUMIFS('Doc''s Pagos | Rodopar 108'!$J:$J,'Doc''s Pagos | Rodopar 108'!$A:$A,$B320&amp;$E320&amp;$F320&amp;$J320,'Doc''s Pagos | Rodopar 108'!$B:$B,AC$1)+SUMIFS('Doc Há Pagar | Rodopar 1015'!$J:$J,'Doc Há Pagar | Rodopar 1015'!$A:$A,$B320&amp;$E320&amp;$F320,'Doc Há Pagar | Rodopar 1015'!$B:$B,AC$1)</f>
        <v>0</v>
      </c>
      <c r="AD320" s="20">
        <f>SUMIFS('Doc''s Pagos | Rodopar 108'!$J:$J,'Doc''s Pagos | Rodopar 108'!$A:$A,$B320&amp;$E320&amp;$F320&amp;$J320,'Doc''s Pagos | Rodopar 108'!$B:$B,AD$1)+SUMIFS('Doc Há Pagar | Rodopar 1015'!$J:$J,'Doc Há Pagar | Rodopar 1015'!$A:$A,$B320&amp;$E320&amp;$F320,'Doc Há Pagar | Rodopar 1015'!$B:$B,AD$1)</f>
        <v>0</v>
      </c>
    </row>
    <row r="321" spans="1:30" x14ac:dyDescent="0.25">
      <c r="A321" s="1" t="str">
        <f>VLOOKUP($E321,Fornecedores!$A:$C,3,0)</f>
        <v>Frota</v>
      </c>
      <c r="B321" s="14">
        <v>7724</v>
      </c>
      <c r="C321" s="14" t="str">
        <f>IFERROR(VLOOKUP($E321,Fornecedores!$A:$E,4,0),"")</f>
        <v>Pneus</v>
      </c>
      <c r="D321" s="14" t="str">
        <f>IFERROR(VLOOKUP($E321,Fornecedores!$A:$E,5,0),"")</f>
        <v>Ressolagem</v>
      </c>
      <c r="E321" s="8" t="s">
        <v>166</v>
      </c>
      <c r="F321" s="14" t="s">
        <v>665</v>
      </c>
      <c r="G321" s="8" t="s">
        <v>611</v>
      </c>
      <c r="H321" s="9">
        <v>87</v>
      </c>
      <c r="I321" s="21">
        <v>7094</v>
      </c>
      <c r="J321" s="11">
        <v>46227</v>
      </c>
      <c r="K321" s="11">
        <v>46231</v>
      </c>
      <c r="L321" s="8" t="s">
        <v>382</v>
      </c>
      <c r="M321" s="14" t="s">
        <v>234</v>
      </c>
      <c r="N321" s="16">
        <v>1556</v>
      </c>
      <c r="O321" s="14" t="s">
        <v>241</v>
      </c>
      <c r="P321" s="14"/>
      <c r="Q321" s="20">
        <f t="shared" si="4"/>
        <v>0</v>
      </c>
      <c r="S321" s="20">
        <f>SUMIFS('Doc''s Pagos | Rodopar 108'!$J:$J,'Doc''s Pagos | Rodopar 108'!$A:$A,$B321&amp;$E321&amp;$F321&amp;$J321,'Doc''s Pagos | Rodopar 108'!$B:$B,S$1)+SUMIFS('Doc Há Pagar | Rodopar 1015'!$J:$J,'Doc Há Pagar | Rodopar 1015'!$A:$A,$B321&amp;$E321&amp;$F321,'Doc Há Pagar | Rodopar 1015'!$B:$B,S$1)</f>
        <v>0</v>
      </c>
      <c r="T321" s="20">
        <f>SUMIFS('Doc''s Pagos | Rodopar 108'!$J:$J,'Doc''s Pagos | Rodopar 108'!$A:$A,$B321&amp;$E321&amp;$F321&amp;$J321,'Doc''s Pagos | Rodopar 108'!$B:$B,T$1)+SUMIFS('Doc Há Pagar | Rodopar 1015'!$J:$J,'Doc Há Pagar | Rodopar 1015'!$A:$A,$B321&amp;$E321&amp;$F321,'Doc Há Pagar | Rodopar 1015'!$B:$B,T$1)</f>
        <v>0</v>
      </c>
      <c r="U321" s="20">
        <f>SUMIFS('Doc''s Pagos | Rodopar 108'!$J:$J,'Doc''s Pagos | Rodopar 108'!$A:$A,$B321&amp;$E321&amp;$F321&amp;$J321,'Doc''s Pagos | Rodopar 108'!$B:$B,U$1)+SUMIFS('Doc Há Pagar | Rodopar 1015'!$J:$J,'Doc Há Pagar | Rodopar 1015'!$A:$A,$B321&amp;$E321&amp;$F321,'Doc Há Pagar | Rodopar 1015'!$B:$B,U$1)</f>
        <v>0</v>
      </c>
      <c r="V321" s="20">
        <f>SUMIFS('Doc''s Pagos | Rodopar 108'!$J:$J,'Doc''s Pagos | Rodopar 108'!$A:$A,$B321&amp;$E321&amp;$F321&amp;$J321,'Doc''s Pagos | Rodopar 108'!$B:$B,V$1)+SUMIFS('Doc Há Pagar | Rodopar 1015'!$J:$J,'Doc Há Pagar | Rodopar 1015'!$A:$A,$B321&amp;$E321&amp;$F321,'Doc Há Pagar | Rodopar 1015'!$B:$B,V$1)</f>
        <v>0</v>
      </c>
      <c r="W321" s="20">
        <f>SUMIFS('Doc''s Pagos | Rodopar 108'!$J:$J,'Doc''s Pagos | Rodopar 108'!$A:$A,$B321&amp;$E321&amp;$F321&amp;$J321,'Doc''s Pagos | Rodopar 108'!$B:$B,W$1)+SUMIFS('Doc Há Pagar | Rodopar 1015'!$J:$J,'Doc Há Pagar | Rodopar 1015'!$A:$A,$B321&amp;$E321&amp;$F321,'Doc Há Pagar | Rodopar 1015'!$B:$B,W$1)</f>
        <v>0</v>
      </c>
      <c r="X321" s="20">
        <f>SUMIFS('Doc''s Pagos | Rodopar 108'!$J:$J,'Doc''s Pagos | Rodopar 108'!$A:$A,$B321&amp;$E321&amp;$F321&amp;$J321,'Doc''s Pagos | Rodopar 108'!$B:$B,X$1)+SUMIFS('Doc Há Pagar | Rodopar 1015'!$J:$J,'Doc Há Pagar | Rodopar 1015'!$A:$A,$B321&amp;$E321&amp;$F321,'Doc Há Pagar | Rodopar 1015'!$B:$B,X$1)</f>
        <v>0</v>
      </c>
      <c r="Y321" s="20">
        <f>SUMIFS('Doc''s Pagos | Rodopar 108'!$J:$J,'Doc''s Pagos | Rodopar 108'!$A:$A,$B321&amp;$E321&amp;$F321&amp;$J321,'Doc''s Pagos | Rodopar 108'!$B:$B,Y$1)+SUMIFS('Doc Há Pagar | Rodopar 1015'!$J:$J,'Doc Há Pagar | Rodopar 1015'!$A:$A,$B321&amp;$E321&amp;$F321,'Doc Há Pagar | Rodopar 1015'!$B:$B,Y$1)</f>
        <v>0</v>
      </c>
      <c r="Z321" s="20">
        <f>SUMIFS('Doc''s Pagos | Rodopar 108'!$J:$J,'Doc''s Pagos | Rodopar 108'!$A:$A,$B321&amp;$E321&amp;$F321&amp;$J321,'Doc''s Pagos | Rodopar 108'!$B:$B,Z$1)+SUMIFS('Doc Há Pagar | Rodopar 1015'!$J:$J,'Doc Há Pagar | Rodopar 1015'!$A:$A,$B321&amp;$E321&amp;$F321,'Doc Há Pagar | Rodopar 1015'!$B:$B,Z$1)</f>
        <v>2364.67</v>
      </c>
      <c r="AA321" s="20">
        <f>SUMIFS('Doc''s Pagos | Rodopar 108'!$J:$J,'Doc''s Pagos | Rodopar 108'!$A:$A,$B321&amp;$E321&amp;$F321&amp;$J321,'Doc''s Pagos | Rodopar 108'!$B:$B,AA$1)+SUMIFS('Doc Há Pagar | Rodopar 1015'!$J:$J,'Doc Há Pagar | Rodopar 1015'!$A:$A,$B321&amp;$E321&amp;$F321,'Doc Há Pagar | Rodopar 1015'!$B:$B,AA$1)</f>
        <v>2364.67</v>
      </c>
      <c r="AB321" s="20">
        <f>SUMIFS('Doc''s Pagos | Rodopar 108'!$J:$J,'Doc''s Pagos | Rodopar 108'!$A:$A,$B321&amp;$E321&amp;$F321&amp;$J321,'Doc''s Pagos | Rodopar 108'!$B:$B,AB$1)+SUMIFS('Doc Há Pagar | Rodopar 1015'!$J:$J,'Doc Há Pagar | Rodopar 1015'!$A:$A,$B321&amp;$E321&amp;$F321,'Doc Há Pagar | Rodopar 1015'!$B:$B,AB$1)</f>
        <v>2364.66</v>
      </c>
      <c r="AC321" s="20">
        <f>SUMIFS('Doc''s Pagos | Rodopar 108'!$J:$J,'Doc''s Pagos | Rodopar 108'!$A:$A,$B321&amp;$E321&amp;$F321&amp;$J321,'Doc''s Pagos | Rodopar 108'!$B:$B,AC$1)+SUMIFS('Doc Há Pagar | Rodopar 1015'!$J:$J,'Doc Há Pagar | Rodopar 1015'!$A:$A,$B321&amp;$E321&amp;$F321,'Doc Há Pagar | Rodopar 1015'!$B:$B,AC$1)</f>
        <v>0</v>
      </c>
      <c r="AD321" s="20">
        <f>SUMIFS('Doc''s Pagos | Rodopar 108'!$J:$J,'Doc''s Pagos | Rodopar 108'!$A:$A,$B321&amp;$E321&amp;$F321&amp;$J321,'Doc''s Pagos | Rodopar 108'!$B:$B,AD$1)+SUMIFS('Doc Há Pagar | Rodopar 1015'!$J:$J,'Doc Há Pagar | Rodopar 1015'!$A:$A,$B321&amp;$E321&amp;$F321,'Doc Há Pagar | Rodopar 1015'!$B:$B,AD$1)</f>
        <v>0</v>
      </c>
    </row>
    <row r="322" spans="1:30" x14ac:dyDescent="0.25">
      <c r="A322" s="1" t="str">
        <f>VLOOKUP($E322,Fornecedores!$A:$C,3,0)</f>
        <v>Frota</v>
      </c>
      <c r="B322" s="14">
        <v>3541003</v>
      </c>
      <c r="C322" s="14" t="str">
        <f>IFERROR(VLOOKUP($E322,Fornecedores!$A:$E,4,0),"")</f>
        <v>Pneus</v>
      </c>
      <c r="D322" s="14" t="str">
        <f>IFERROR(VLOOKUP($E322,Fornecedores!$A:$E,5,0),"")</f>
        <v>Compra</v>
      </c>
      <c r="E322" s="8" t="s">
        <v>75</v>
      </c>
      <c r="F322" s="14" t="s">
        <v>380</v>
      </c>
      <c r="G322" s="8" t="s">
        <v>504</v>
      </c>
      <c r="H322" s="9">
        <v>87</v>
      </c>
      <c r="I322" s="21">
        <v>1260.57</v>
      </c>
      <c r="J322" s="11">
        <v>46228</v>
      </c>
      <c r="K322" s="11">
        <v>46228</v>
      </c>
      <c r="L322" s="8" t="s">
        <v>505</v>
      </c>
      <c r="M322" s="14" t="s">
        <v>263</v>
      </c>
      <c r="N322" s="16">
        <v>2556</v>
      </c>
      <c r="O322" s="14" t="s">
        <v>512</v>
      </c>
      <c r="P322" s="14"/>
      <c r="Q322" s="20">
        <f t="shared" ref="Q322:Q385" si="5">SUM(R322:AD322)-I322</f>
        <v>0</v>
      </c>
      <c r="S322" s="20">
        <f>SUMIFS('Doc''s Pagos | Rodopar 108'!$J:$J,'Doc''s Pagos | Rodopar 108'!$A:$A,$B322&amp;$E322&amp;$F322&amp;$J322,'Doc''s Pagos | Rodopar 108'!$B:$B,S$1)+SUMIFS('Doc Há Pagar | Rodopar 1015'!$J:$J,'Doc Há Pagar | Rodopar 1015'!$A:$A,$B322&amp;$E322&amp;$F322,'Doc Há Pagar | Rodopar 1015'!$B:$B,S$1)</f>
        <v>0</v>
      </c>
      <c r="T322" s="20">
        <f>SUMIFS('Doc''s Pagos | Rodopar 108'!$J:$J,'Doc''s Pagos | Rodopar 108'!$A:$A,$B322&amp;$E322&amp;$F322&amp;$J322,'Doc''s Pagos | Rodopar 108'!$B:$B,T$1)+SUMIFS('Doc Há Pagar | Rodopar 1015'!$J:$J,'Doc Há Pagar | Rodopar 1015'!$A:$A,$B322&amp;$E322&amp;$F322,'Doc Há Pagar | Rodopar 1015'!$B:$B,T$1)</f>
        <v>0</v>
      </c>
      <c r="U322" s="20">
        <f>SUMIFS('Doc''s Pagos | Rodopar 108'!$J:$J,'Doc''s Pagos | Rodopar 108'!$A:$A,$B322&amp;$E322&amp;$F322&amp;$J322,'Doc''s Pagos | Rodopar 108'!$B:$B,U$1)+SUMIFS('Doc Há Pagar | Rodopar 1015'!$J:$J,'Doc Há Pagar | Rodopar 1015'!$A:$A,$B322&amp;$E322&amp;$F322,'Doc Há Pagar | Rodopar 1015'!$B:$B,U$1)</f>
        <v>0</v>
      </c>
      <c r="V322" s="20">
        <f>SUMIFS('Doc''s Pagos | Rodopar 108'!$J:$J,'Doc''s Pagos | Rodopar 108'!$A:$A,$B322&amp;$E322&amp;$F322&amp;$J322,'Doc''s Pagos | Rodopar 108'!$B:$B,V$1)+SUMIFS('Doc Há Pagar | Rodopar 1015'!$J:$J,'Doc Há Pagar | Rodopar 1015'!$A:$A,$B322&amp;$E322&amp;$F322,'Doc Há Pagar | Rodopar 1015'!$B:$B,V$1)</f>
        <v>0</v>
      </c>
      <c r="W322" s="20">
        <f>SUMIFS('Doc''s Pagos | Rodopar 108'!$J:$J,'Doc''s Pagos | Rodopar 108'!$A:$A,$B322&amp;$E322&amp;$F322&amp;$J322,'Doc''s Pagos | Rodopar 108'!$B:$B,W$1)+SUMIFS('Doc Há Pagar | Rodopar 1015'!$J:$J,'Doc Há Pagar | Rodopar 1015'!$A:$A,$B322&amp;$E322&amp;$F322,'Doc Há Pagar | Rodopar 1015'!$B:$B,W$1)</f>
        <v>0</v>
      </c>
      <c r="X322" s="20">
        <f>SUMIFS('Doc''s Pagos | Rodopar 108'!$J:$J,'Doc''s Pagos | Rodopar 108'!$A:$A,$B322&amp;$E322&amp;$F322&amp;$J322,'Doc''s Pagos | Rodopar 108'!$B:$B,X$1)+SUMIFS('Doc Há Pagar | Rodopar 1015'!$J:$J,'Doc Há Pagar | Rodopar 1015'!$A:$A,$B322&amp;$E322&amp;$F322,'Doc Há Pagar | Rodopar 1015'!$B:$B,X$1)</f>
        <v>0</v>
      </c>
      <c r="Y322" s="20">
        <f>SUMIFS('Doc''s Pagos | Rodopar 108'!$J:$J,'Doc''s Pagos | Rodopar 108'!$A:$A,$B322&amp;$E322&amp;$F322&amp;$J322,'Doc''s Pagos | Rodopar 108'!$B:$B,Y$1)+SUMIFS('Doc Há Pagar | Rodopar 1015'!$J:$J,'Doc Há Pagar | Rodopar 1015'!$A:$A,$B322&amp;$E322&amp;$F322,'Doc Há Pagar | Rodopar 1015'!$B:$B,Y$1)</f>
        <v>0</v>
      </c>
      <c r="Z322" s="20">
        <f>SUMIFS('Doc''s Pagos | Rodopar 108'!$J:$J,'Doc''s Pagos | Rodopar 108'!$A:$A,$B322&amp;$E322&amp;$F322&amp;$J322,'Doc''s Pagos | Rodopar 108'!$B:$B,Z$1)+SUMIFS('Doc Há Pagar | Rodopar 1015'!$J:$J,'Doc Há Pagar | Rodopar 1015'!$A:$A,$B322&amp;$E322&amp;$F322,'Doc Há Pagar | Rodopar 1015'!$B:$B,Z$1)</f>
        <v>420.19</v>
      </c>
      <c r="AA322" s="20">
        <f>SUMIFS('Doc''s Pagos | Rodopar 108'!$J:$J,'Doc''s Pagos | Rodopar 108'!$A:$A,$B322&amp;$E322&amp;$F322&amp;$J322,'Doc''s Pagos | Rodopar 108'!$B:$B,AA$1)+SUMIFS('Doc Há Pagar | Rodopar 1015'!$J:$J,'Doc Há Pagar | Rodopar 1015'!$A:$A,$B322&amp;$E322&amp;$F322,'Doc Há Pagar | Rodopar 1015'!$B:$B,AA$1)</f>
        <v>420.19</v>
      </c>
      <c r="AB322" s="20">
        <f>SUMIFS('Doc''s Pagos | Rodopar 108'!$J:$J,'Doc''s Pagos | Rodopar 108'!$A:$A,$B322&amp;$E322&amp;$F322&amp;$J322,'Doc''s Pagos | Rodopar 108'!$B:$B,AB$1)+SUMIFS('Doc Há Pagar | Rodopar 1015'!$J:$J,'Doc Há Pagar | Rodopar 1015'!$A:$A,$B322&amp;$E322&amp;$F322,'Doc Há Pagar | Rodopar 1015'!$B:$B,AB$1)</f>
        <v>420.19</v>
      </c>
      <c r="AC322" s="20">
        <f>SUMIFS('Doc''s Pagos | Rodopar 108'!$J:$J,'Doc''s Pagos | Rodopar 108'!$A:$A,$B322&amp;$E322&amp;$F322&amp;$J322,'Doc''s Pagos | Rodopar 108'!$B:$B,AC$1)+SUMIFS('Doc Há Pagar | Rodopar 1015'!$J:$J,'Doc Há Pagar | Rodopar 1015'!$A:$A,$B322&amp;$E322&amp;$F322,'Doc Há Pagar | Rodopar 1015'!$B:$B,AC$1)</f>
        <v>0</v>
      </c>
      <c r="AD322" s="20">
        <f>SUMIFS('Doc''s Pagos | Rodopar 108'!$J:$J,'Doc''s Pagos | Rodopar 108'!$A:$A,$B322&amp;$E322&amp;$F322&amp;$J322,'Doc''s Pagos | Rodopar 108'!$B:$B,AD$1)+SUMIFS('Doc Há Pagar | Rodopar 1015'!$J:$J,'Doc Há Pagar | Rodopar 1015'!$A:$A,$B322&amp;$E322&amp;$F322,'Doc Há Pagar | Rodopar 1015'!$B:$B,AD$1)</f>
        <v>0</v>
      </c>
    </row>
    <row r="323" spans="1:30" x14ac:dyDescent="0.25">
      <c r="A323" s="1" t="str">
        <f>VLOOKUP($E323,Fornecedores!$A:$C,3,0)</f>
        <v>Frota</v>
      </c>
      <c r="B323" s="14">
        <v>40111</v>
      </c>
      <c r="C323" s="14" t="str">
        <f>IFERROR(VLOOKUP($E323,Fornecedores!$A:$E,4,0),"")</f>
        <v>Manutenção</v>
      </c>
      <c r="D323" s="14" t="str">
        <f>IFERROR(VLOOKUP($E323,Fornecedores!$A:$E,5,0),"")</f>
        <v>Vans</v>
      </c>
      <c r="E323" s="8" t="s">
        <v>133</v>
      </c>
      <c r="F323" s="14" t="s">
        <v>380</v>
      </c>
      <c r="G323" s="8" t="s">
        <v>493</v>
      </c>
      <c r="H323" s="9">
        <v>87</v>
      </c>
      <c r="I323" s="21">
        <v>1602.46</v>
      </c>
      <c r="J323" s="11">
        <v>46230</v>
      </c>
      <c r="K323" s="11">
        <v>46231</v>
      </c>
      <c r="L323" s="8" t="s">
        <v>494</v>
      </c>
      <c r="M323" s="14" t="s">
        <v>234</v>
      </c>
      <c r="N323" s="16">
        <v>1556</v>
      </c>
      <c r="O323" s="14" t="s">
        <v>241</v>
      </c>
      <c r="P323" s="14"/>
      <c r="Q323" s="20">
        <f t="shared" si="5"/>
        <v>0</v>
      </c>
      <c r="S323" s="20">
        <f>SUMIFS('Doc''s Pagos | Rodopar 108'!$J:$J,'Doc''s Pagos | Rodopar 108'!$A:$A,$B323&amp;$E323&amp;$F323&amp;$J323,'Doc''s Pagos | Rodopar 108'!$B:$B,S$1)+SUMIFS('Doc Há Pagar | Rodopar 1015'!$J:$J,'Doc Há Pagar | Rodopar 1015'!$A:$A,$B323&amp;$E323&amp;$F323,'Doc Há Pagar | Rodopar 1015'!$B:$B,S$1)</f>
        <v>0</v>
      </c>
      <c r="T323" s="20">
        <f>SUMIFS('Doc''s Pagos | Rodopar 108'!$J:$J,'Doc''s Pagos | Rodopar 108'!$A:$A,$B323&amp;$E323&amp;$F323&amp;$J323,'Doc''s Pagos | Rodopar 108'!$B:$B,T$1)+SUMIFS('Doc Há Pagar | Rodopar 1015'!$J:$J,'Doc Há Pagar | Rodopar 1015'!$A:$A,$B323&amp;$E323&amp;$F323,'Doc Há Pagar | Rodopar 1015'!$B:$B,T$1)</f>
        <v>0</v>
      </c>
      <c r="U323" s="20">
        <f>SUMIFS('Doc''s Pagos | Rodopar 108'!$J:$J,'Doc''s Pagos | Rodopar 108'!$A:$A,$B323&amp;$E323&amp;$F323&amp;$J323,'Doc''s Pagos | Rodopar 108'!$B:$B,U$1)+SUMIFS('Doc Há Pagar | Rodopar 1015'!$J:$J,'Doc Há Pagar | Rodopar 1015'!$A:$A,$B323&amp;$E323&amp;$F323,'Doc Há Pagar | Rodopar 1015'!$B:$B,U$1)</f>
        <v>0</v>
      </c>
      <c r="V323" s="20">
        <f>SUMIFS('Doc''s Pagos | Rodopar 108'!$J:$J,'Doc''s Pagos | Rodopar 108'!$A:$A,$B323&amp;$E323&amp;$F323&amp;$J323,'Doc''s Pagos | Rodopar 108'!$B:$B,V$1)+SUMIFS('Doc Há Pagar | Rodopar 1015'!$J:$J,'Doc Há Pagar | Rodopar 1015'!$A:$A,$B323&amp;$E323&amp;$F323,'Doc Há Pagar | Rodopar 1015'!$B:$B,V$1)</f>
        <v>0</v>
      </c>
      <c r="W323" s="20">
        <f>SUMIFS('Doc''s Pagos | Rodopar 108'!$J:$J,'Doc''s Pagos | Rodopar 108'!$A:$A,$B323&amp;$E323&amp;$F323&amp;$J323,'Doc''s Pagos | Rodopar 108'!$B:$B,W$1)+SUMIFS('Doc Há Pagar | Rodopar 1015'!$J:$J,'Doc Há Pagar | Rodopar 1015'!$A:$A,$B323&amp;$E323&amp;$F323,'Doc Há Pagar | Rodopar 1015'!$B:$B,W$1)</f>
        <v>0</v>
      </c>
      <c r="X323" s="20">
        <f>SUMIFS('Doc''s Pagos | Rodopar 108'!$J:$J,'Doc''s Pagos | Rodopar 108'!$A:$A,$B323&amp;$E323&amp;$F323&amp;$J323,'Doc''s Pagos | Rodopar 108'!$B:$B,X$1)+SUMIFS('Doc Há Pagar | Rodopar 1015'!$J:$J,'Doc Há Pagar | Rodopar 1015'!$A:$A,$B323&amp;$E323&amp;$F323,'Doc Há Pagar | Rodopar 1015'!$B:$B,X$1)</f>
        <v>0</v>
      </c>
      <c r="Y323" s="20">
        <f>SUMIFS('Doc''s Pagos | Rodopar 108'!$J:$J,'Doc''s Pagos | Rodopar 108'!$A:$A,$B323&amp;$E323&amp;$F323&amp;$J323,'Doc''s Pagos | Rodopar 108'!$B:$B,Y$1)+SUMIFS('Doc Há Pagar | Rodopar 1015'!$J:$J,'Doc Há Pagar | Rodopar 1015'!$A:$A,$B323&amp;$E323&amp;$F323,'Doc Há Pagar | Rodopar 1015'!$B:$B,Y$1)</f>
        <v>0</v>
      </c>
      <c r="Z323" s="20">
        <f>SUMIFS('Doc''s Pagos | Rodopar 108'!$J:$J,'Doc''s Pagos | Rodopar 108'!$A:$A,$B323&amp;$E323&amp;$F323&amp;$J323,'Doc''s Pagos | Rodopar 108'!$B:$B,Z$1)+SUMIFS('Doc Há Pagar | Rodopar 1015'!$J:$J,'Doc Há Pagar | Rodopar 1015'!$A:$A,$B323&amp;$E323&amp;$F323,'Doc Há Pagar | Rodopar 1015'!$B:$B,Z$1)</f>
        <v>801.23</v>
      </c>
      <c r="AA323" s="20">
        <f>SUMIFS('Doc''s Pagos | Rodopar 108'!$J:$J,'Doc''s Pagos | Rodopar 108'!$A:$A,$B323&amp;$E323&amp;$F323&amp;$J323,'Doc''s Pagos | Rodopar 108'!$B:$B,AA$1)+SUMIFS('Doc Há Pagar | Rodopar 1015'!$J:$J,'Doc Há Pagar | Rodopar 1015'!$A:$A,$B323&amp;$E323&amp;$F323,'Doc Há Pagar | Rodopar 1015'!$B:$B,AA$1)</f>
        <v>801.23</v>
      </c>
      <c r="AB323" s="20">
        <f>SUMIFS('Doc''s Pagos | Rodopar 108'!$J:$J,'Doc''s Pagos | Rodopar 108'!$A:$A,$B323&amp;$E323&amp;$F323&amp;$J323,'Doc''s Pagos | Rodopar 108'!$B:$B,AB$1)+SUMIFS('Doc Há Pagar | Rodopar 1015'!$J:$J,'Doc Há Pagar | Rodopar 1015'!$A:$A,$B323&amp;$E323&amp;$F323,'Doc Há Pagar | Rodopar 1015'!$B:$B,AB$1)</f>
        <v>0</v>
      </c>
      <c r="AC323" s="20">
        <f>SUMIFS('Doc''s Pagos | Rodopar 108'!$J:$J,'Doc''s Pagos | Rodopar 108'!$A:$A,$B323&amp;$E323&amp;$F323&amp;$J323,'Doc''s Pagos | Rodopar 108'!$B:$B,AC$1)+SUMIFS('Doc Há Pagar | Rodopar 1015'!$J:$J,'Doc Há Pagar | Rodopar 1015'!$A:$A,$B323&amp;$E323&amp;$F323,'Doc Há Pagar | Rodopar 1015'!$B:$B,AC$1)</f>
        <v>0</v>
      </c>
      <c r="AD323" s="20">
        <f>SUMIFS('Doc''s Pagos | Rodopar 108'!$J:$J,'Doc''s Pagos | Rodopar 108'!$A:$A,$B323&amp;$E323&amp;$F323&amp;$J323,'Doc''s Pagos | Rodopar 108'!$B:$B,AD$1)+SUMIFS('Doc Há Pagar | Rodopar 1015'!$J:$J,'Doc Há Pagar | Rodopar 1015'!$A:$A,$B323&amp;$E323&amp;$F323,'Doc Há Pagar | Rodopar 1015'!$B:$B,AD$1)</f>
        <v>0</v>
      </c>
    </row>
    <row r="324" spans="1:30" x14ac:dyDescent="0.25">
      <c r="A324" s="1" t="str">
        <f>VLOOKUP($E324,Fornecedores!$A:$C,3,0)</f>
        <v>Frota</v>
      </c>
      <c r="B324" s="14">
        <v>40113</v>
      </c>
      <c r="C324" s="14" t="str">
        <f>IFERROR(VLOOKUP($E324,Fornecedores!$A:$E,4,0),"")</f>
        <v>Manutenção</v>
      </c>
      <c r="D324" s="14" t="str">
        <f>IFERROR(VLOOKUP($E324,Fornecedores!$A:$E,5,0),"")</f>
        <v>Vans</v>
      </c>
      <c r="E324" s="8" t="s">
        <v>133</v>
      </c>
      <c r="F324" s="14" t="s">
        <v>380</v>
      </c>
      <c r="G324" s="8" t="s">
        <v>493</v>
      </c>
      <c r="H324" s="9">
        <v>87</v>
      </c>
      <c r="I324" s="21">
        <v>279.58</v>
      </c>
      <c r="J324" s="11">
        <v>46230</v>
      </c>
      <c r="K324" s="11">
        <v>46231</v>
      </c>
      <c r="L324" s="8" t="s">
        <v>494</v>
      </c>
      <c r="M324" s="14" t="s">
        <v>234</v>
      </c>
      <c r="N324" s="16">
        <v>1556</v>
      </c>
      <c r="O324" s="14" t="s">
        <v>241</v>
      </c>
      <c r="P324" s="14"/>
      <c r="Q324" s="20">
        <f t="shared" si="5"/>
        <v>0</v>
      </c>
      <c r="S324" s="20">
        <f>SUMIFS('Doc''s Pagos | Rodopar 108'!$J:$J,'Doc''s Pagos | Rodopar 108'!$A:$A,$B324&amp;$E324&amp;$F324&amp;$J324,'Doc''s Pagos | Rodopar 108'!$B:$B,S$1)+SUMIFS('Doc Há Pagar | Rodopar 1015'!$J:$J,'Doc Há Pagar | Rodopar 1015'!$A:$A,$B324&amp;$E324&amp;$F324,'Doc Há Pagar | Rodopar 1015'!$B:$B,S$1)</f>
        <v>0</v>
      </c>
      <c r="T324" s="20">
        <f>SUMIFS('Doc''s Pagos | Rodopar 108'!$J:$J,'Doc''s Pagos | Rodopar 108'!$A:$A,$B324&amp;$E324&amp;$F324&amp;$J324,'Doc''s Pagos | Rodopar 108'!$B:$B,T$1)+SUMIFS('Doc Há Pagar | Rodopar 1015'!$J:$J,'Doc Há Pagar | Rodopar 1015'!$A:$A,$B324&amp;$E324&amp;$F324,'Doc Há Pagar | Rodopar 1015'!$B:$B,T$1)</f>
        <v>0</v>
      </c>
      <c r="U324" s="20">
        <f>SUMIFS('Doc''s Pagos | Rodopar 108'!$J:$J,'Doc''s Pagos | Rodopar 108'!$A:$A,$B324&amp;$E324&amp;$F324&amp;$J324,'Doc''s Pagos | Rodopar 108'!$B:$B,U$1)+SUMIFS('Doc Há Pagar | Rodopar 1015'!$J:$J,'Doc Há Pagar | Rodopar 1015'!$A:$A,$B324&amp;$E324&amp;$F324,'Doc Há Pagar | Rodopar 1015'!$B:$B,U$1)</f>
        <v>0</v>
      </c>
      <c r="V324" s="20">
        <f>SUMIFS('Doc''s Pagos | Rodopar 108'!$J:$J,'Doc''s Pagos | Rodopar 108'!$A:$A,$B324&amp;$E324&amp;$F324&amp;$J324,'Doc''s Pagos | Rodopar 108'!$B:$B,V$1)+SUMIFS('Doc Há Pagar | Rodopar 1015'!$J:$J,'Doc Há Pagar | Rodopar 1015'!$A:$A,$B324&amp;$E324&amp;$F324,'Doc Há Pagar | Rodopar 1015'!$B:$B,V$1)</f>
        <v>0</v>
      </c>
      <c r="W324" s="20">
        <f>SUMIFS('Doc''s Pagos | Rodopar 108'!$J:$J,'Doc''s Pagos | Rodopar 108'!$A:$A,$B324&amp;$E324&amp;$F324&amp;$J324,'Doc''s Pagos | Rodopar 108'!$B:$B,W$1)+SUMIFS('Doc Há Pagar | Rodopar 1015'!$J:$J,'Doc Há Pagar | Rodopar 1015'!$A:$A,$B324&amp;$E324&amp;$F324,'Doc Há Pagar | Rodopar 1015'!$B:$B,W$1)</f>
        <v>0</v>
      </c>
      <c r="X324" s="20">
        <f>SUMIFS('Doc''s Pagos | Rodopar 108'!$J:$J,'Doc''s Pagos | Rodopar 108'!$A:$A,$B324&amp;$E324&amp;$F324&amp;$J324,'Doc''s Pagos | Rodopar 108'!$B:$B,X$1)+SUMIFS('Doc Há Pagar | Rodopar 1015'!$J:$J,'Doc Há Pagar | Rodopar 1015'!$A:$A,$B324&amp;$E324&amp;$F324,'Doc Há Pagar | Rodopar 1015'!$B:$B,X$1)</f>
        <v>0</v>
      </c>
      <c r="Y324" s="20">
        <f>SUMIFS('Doc''s Pagos | Rodopar 108'!$J:$J,'Doc''s Pagos | Rodopar 108'!$A:$A,$B324&amp;$E324&amp;$F324&amp;$J324,'Doc''s Pagos | Rodopar 108'!$B:$B,Y$1)+SUMIFS('Doc Há Pagar | Rodopar 1015'!$J:$J,'Doc Há Pagar | Rodopar 1015'!$A:$A,$B324&amp;$E324&amp;$F324,'Doc Há Pagar | Rodopar 1015'!$B:$B,Y$1)</f>
        <v>0</v>
      </c>
      <c r="Z324" s="20">
        <f>SUMIFS('Doc''s Pagos | Rodopar 108'!$J:$J,'Doc''s Pagos | Rodopar 108'!$A:$A,$B324&amp;$E324&amp;$F324&amp;$J324,'Doc''s Pagos | Rodopar 108'!$B:$B,Z$1)+SUMIFS('Doc Há Pagar | Rodopar 1015'!$J:$J,'Doc Há Pagar | Rodopar 1015'!$A:$A,$B324&amp;$E324&amp;$F324,'Doc Há Pagar | Rodopar 1015'!$B:$B,Z$1)</f>
        <v>279.58</v>
      </c>
      <c r="AA324" s="20">
        <f>SUMIFS('Doc''s Pagos | Rodopar 108'!$J:$J,'Doc''s Pagos | Rodopar 108'!$A:$A,$B324&amp;$E324&amp;$F324&amp;$J324,'Doc''s Pagos | Rodopar 108'!$B:$B,AA$1)+SUMIFS('Doc Há Pagar | Rodopar 1015'!$J:$J,'Doc Há Pagar | Rodopar 1015'!$A:$A,$B324&amp;$E324&amp;$F324,'Doc Há Pagar | Rodopar 1015'!$B:$B,AA$1)</f>
        <v>0</v>
      </c>
      <c r="AB324" s="20">
        <f>SUMIFS('Doc''s Pagos | Rodopar 108'!$J:$J,'Doc''s Pagos | Rodopar 108'!$A:$A,$B324&amp;$E324&amp;$F324&amp;$J324,'Doc''s Pagos | Rodopar 108'!$B:$B,AB$1)+SUMIFS('Doc Há Pagar | Rodopar 1015'!$J:$J,'Doc Há Pagar | Rodopar 1015'!$A:$A,$B324&amp;$E324&amp;$F324,'Doc Há Pagar | Rodopar 1015'!$B:$B,AB$1)</f>
        <v>0</v>
      </c>
      <c r="AC324" s="20">
        <f>SUMIFS('Doc''s Pagos | Rodopar 108'!$J:$J,'Doc''s Pagos | Rodopar 108'!$A:$A,$B324&amp;$E324&amp;$F324&amp;$J324,'Doc''s Pagos | Rodopar 108'!$B:$B,AC$1)+SUMIFS('Doc Há Pagar | Rodopar 1015'!$J:$J,'Doc Há Pagar | Rodopar 1015'!$A:$A,$B324&amp;$E324&amp;$F324,'Doc Há Pagar | Rodopar 1015'!$B:$B,AC$1)</f>
        <v>0</v>
      </c>
      <c r="AD324" s="20">
        <f>SUMIFS('Doc''s Pagos | Rodopar 108'!$J:$J,'Doc''s Pagos | Rodopar 108'!$A:$A,$B324&amp;$E324&amp;$F324&amp;$J324,'Doc''s Pagos | Rodopar 108'!$B:$B,AD$1)+SUMIFS('Doc Há Pagar | Rodopar 1015'!$J:$J,'Doc Há Pagar | Rodopar 1015'!$A:$A,$B324&amp;$E324&amp;$F324,'Doc Há Pagar | Rodopar 1015'!$B:$B,AD$1)</f>
        <v>0</v>
      </c>
    </row>
    <row r="325" spans="1:30" x14ac:dyDescent="0.25">
      <c r="A325" s="1" t="str">
        <f>VLOOKUP($E325,Fornecedores!$A:$C,3,0)</f>
        <v>Frota</v>
      </c>
      <c r="B325" s="14">
        <v>40161</v>
      </c>
      <c r="C325" s="14" t="str">
        <f>IFERROR(VLOOKUP($E325,Fornecedores!$A:$E,4,0),"")</f>
        <v>Manutenção</v>
      </c>
      <c r="D325" s="14" t="str">
        <f>IFERROR(VLOOKUP($E325,Fornecedores!$A:$E,5,0),"")</f>
        <v>Vans</v>
      </c>
      <c r="E325" s="8" t="s">
        <v>133</v>
      </c>
      <c r="F325" s="14" t="s">
        <v>380</v>
      </c>
      <c r="G325" s="8" t="s">
        <v>493</v>
      </c>
      <c r="H325" s="9">
        <v>87</v>
      </c>
      <c r="I325" s="21">
        <v>2252.31</v>
      </c>
      <c r="J325" s="11">
        <v>46230</v>
      </c>
      <c r="K325" s="11">
        <v>46232</v>
      </c>
      <c r="L325" s="8" t="s">
        <v>494</v>
      </c>
      <c r="M325" s="14" t="s">
        <v>234</v>
      </c>
      <c r="N325" s="16">
        <v>1556</v>
      </c>
      <c r="O325" s="14" t="s">
        <v>250</v>
      </c>
      <c r="P325" s="14"/>
      <c r="Q325" s="20">
        <f t="shared" si="5"/>
        <v>0</v>
      </c>
      <c r="S325" s="20">
        <f>SUMIFS('Doc''s Pagos | Rodopar 108'!$J:$J,'Doc''s Pagos | Rodopar 108'!$A:$A,$B325&amp;$E325&amp;$F325&amp;$J325,'Doc''s Pagos | Rodopar 108'!$B:$B,S$1)+SUMIFS('Doc Há Pagar | Rodopar 1015'!$J:$J,'Doc Há Pagar | Rodopar 1015'!$A:$A,$B325&amp;$E325&amp;$F325,'Doc Há Pagar | Rodopar 1015'!$B:$B,S$1)</f>
        <v>0</v>
      </c>
      <c r="T325" s="20">
        <f>SUMIFS('Doc''s Pagos | Rodopar 108'!$J:$J,'Doc''s Pagos | Rodopar 108'!$A:$A,$B325&amp;$E325&amp;$F325&amp;$J325,'Doc''s Pagos | Rodopar 108'!$B:$B,T$1)+SUMIFS('Doc Há Pagar | Rodopar 1015'!$J:$J,'Doc Há Pagar | Rodopar 1015'!$A:$A,$B325&amp;$E325&amp;$F325,'Doc Há Pagar | Rodopar 1015'!$B:$B,T$1)</f>
        <v>0</v>
      </c>
      <c r="U325" s="20">
        <f>SUMIFS('Doc''s Pagos | Rodopar 108'!$J:$J,'Doc''s Pagos | Rodopar 108'!$A:$A,$B325&amp;$E325&amp;$F325&amp;$J325,'Doc''s Pagos | Rodopar 108'!$B:$B,U$1)+SUMIFS('Doc Há Pagar | Rodopar 1015'!$J:$J,'Doc Há Pagar | Rodopar 1015'!$A:$A,$B325&amp;$E325&amp;$F325,'Doc Há Pagar | Rodopar 1015'!$B:$B,U$1)</f>
        <v>0</v>
      </c>
      <c r="V325" s="20">
        <f>SUMIFS('Doc''s Pagos | Rodopar 108'!$J:$J,'Doc''s Pagos | Rodopar 108'!$A:$A,$B325&amp;$E325&amp;$F325&amp;$J325,'Doc''s Pagos | Rodopar 108'!$B:$B,V$1)+SUMIFS('Doc Há Pagar | Rodopar 1015'!$J:$J,'Doc Há Pagar | Rodopar 1015'!$A:$A,$B325&amp;$E325&amp;$F325,'Doc Há Pagar | Rodopar 1015'!$B:$B,V$1)</f>
        <v>0</v>
      </c>
      <c r="W325" s="20">
        <f>SUMIFS('Doc''s Pagos | Rodopar 108'!$J:$J,'Doc''s Pagos | Rodopar 108'!$A:$A,$B325&amp;$E325&amp;$F325&amp;$J325,'Doc''s Pagos | Rodopar 108'!$B:$B,W$1)+SUMIFS('Doc Há Pagar | Rodopar 1015'!$J:$J,'Doc Há Pagar | Rodopar 1015'!$A:$A,$B325&amp;$E325&amp;$F325,'Doc Há Pagar | Rodopar 1015'!$B:$B,W$1)</f>
        <v>0</v>
      </c>
      <c r="X325" s="20">
        <f>SUMIFS('Doc''s Pagos | Rodopar 108'!$J:$J,'Doc''s Pagos | Rodopar 108'!$A:$A,$B325&amp;$E325&amp;$F325&amp;$J325,'Doc''s Pagos | Rodopar 108'!$B:$B,X$1)+SUMIFS('Doc Há Pagar | Rodopar 1015'!$J:$J,'Doc Há Pagar | Rodopar 1015'!$A:$A,$B325&amp;$E325&amp;$F325,'Doc Há Pagar | Rodopar 1015'!$B:$B,X$1)</f>
        <v>0</v>
      </c>
      <c r="Y325" s="20">
        <f>SUMIFS('Doc''s Pagos | Rodopar 108'!$J:$J,'Doc''s Pagos | Rodopar 108'!$A:$A,$B325&amp;$E325&amp;$F325&amp;$J325,'Doc''s Pagos | Rodopar 108'!$B:$B,Y$1)+SUMIFS('Doc Há Pagar | Rodopar 1015'!$J:$J,'Doc Há Pagar | Rodopar 1015'!$A:$A,$B325&amp;$E325&amp;$F325,'Doc Há Pagar | Rodopar 1015'!$B:$B,Y$1)</f>
        <v>0</v>
      </c>
      <c r="Z325" s="20">
        <f>SUMIFS('Doc''s Pagos | Rodopar 108'!$J:$J,'Doc''s Pagos | Rodopar 108'!$A:$A,$B325&amp;$E325&amp;$F325&amp;$J325,'Doc''s Pagos | Rodopar 108'!$B:$B,Z$1)+SUMIFS('Doc Há Pagar | Rodopar 1015'!$J:$J,'Doc Há Pagar | Rodopar 1015'!$A:$A,$B325&amp;$E325&amp;$F325,'Doc Há Pagar | Rodopar 1015'!$B:$B,Z$1)</f>
        <v>1126.1600000000001</v>
      </c>
      <c r="AA325" s="20">
        <f>SUMIFS('Doc''s Pagos | Rodopar 108'!$J:$J,'Doc''s Pagos | Rodopar 108'!$A:$A,$B325&amp;$E325&amp;$F325&amp;$J325,'Doc''s Pagos | Rodopar 108'!$B:$B,AA$1)+SUMIFS('Doc Há Pagar | Rodopar 1015'!$J:$J,'Doc Há Pagar | Rodopar 1015'!$A:$A,$B325&amp;$E325&amp;$F325,'Doc Há Pagar | Rodopar 1015'!$B:$B,AA$1)</f>
        <v>1126.1500000000001</v>
      </c>
      <c r="AB325" s="20">
        <f>SUMIFS('Doc''s Pagos | Rodopar 108'!$J:$J,'Doc''s Pagos | Rodopar 108'!$A:$A,$B325&amp;$E325&amp;$F325&amp;$J325,'Doc''s Pagos | Rodopar 108'!$B:$B,AB$1)+SUMIFS('Doc Há Pagar | Rodopar 1015'!$J:$J,'Doc Há Pagar | Rodopar 1015'!$A:$A,$B325&amp;$E325&amp;$F325,'Doc Há Pagar | Rodopar 1015'!$B:$B,AB$1)</f>
        <v>0</v>
      </c>
      <c r="AC325" s="20">
        <f>SUMIFS('Doc''s Pagos | Rodopar 108'!$J:$J,'Doc''s Pagos | Rodopar 108'!$A:$A,$B325&amp;$E325&amp;$F325&amp;$J325,'Doc''s Pagos | Rodopar 108'!$B:$B,AC$1)+SUMIFS('Doc Há Pagar | Rodopar 1015'!$J:$J,'Doc Há Pagar | Rodopar 1015'!$A:$A,$B325&amp;$E325&amp;$F325,'Doc Há Pagar | Rodopar 1015'!$B:$B,AC$1)</f>
        <v>0</v>
      </c>
      <c r="AD325" s="20">
        <f>SUMIFS('Doc''s Pagos | Rodopar 108'!$J:$J,'Doc''s Pagos | Rodopar 108'!$A:$A,$B325&amp;$E325&amp;$F325&amp;$J325,'Doc''s Pagos | Rodopar 108'!$B:$B,AD$1)+SUMIFS('Doc Há Pagar | Rodopar 1015'!$J:$J,'Doc Há Pagar | Rodopar 1015'!$A:$A,$B325&amp;$E325&amp;$F325,'Doc Há Pagar | Rodopar 1015'!$B:$B,AD$1)</f>
        <v>0</v>
      </c>
    </row>
    <row r="326" spans="1:30" x14ac:dyDescent="0.25">
      <c r="A326" s="1" t="str">
        <f>VLOOKUP($E326,Fornecedores!$A:$C,3,0)</f>
        <v>Frota</v>
      </c>
      <c r="B326" s="14">
        <v>40162</v>
      </c>
      <c r="C326" s="14" t="str">
        <f>IFERROR(VLOOKUP($E326,Fornecedores!$A:$E,4,0),"")</f>
        <v>Manutenção</v>
      </c>
      <c r="D326" s="14" t="str">
        <f>IFERROR(VLOOKUP($E326,Fornecedores!$A:$E,5,0),"")</f>
        <v>Vans</v>
      </c>
      <c r="E326" s="8" t="s">
        <v>133</v>
      </c>
      <c r="F326" s="14" t="s">
        <v>380</v>
      </c>
      <c r="G326" s="8" t="s">
        <v>493</v>
      </c>
      <c r="H326" s="9">
        <v>87</v>
      </c>
      <c r="I326" s="21">
        <v>6992.13</v>
      </c>
      <c r="J326" s="11">
        <v>46230</v>
      </c>
      <c r="K326" s="11">
        <v>46232</v>
      </c>
      <c r="L326" s="8" t="s">
        <v>494</v>
      </c>
      <c r="M326" s="14" t="s">
        <v>234</v>
      </c>
      <c r="N326" s="16">
        <v>1556</v>
      </c>
      <c r="O326" s="14" t="s">
        <v>241</v>
      </c>
      <c r="P326" s="14"/>
      <c r="Q326" s="20">
        <f t="shared" si="5"/>
        <v>0</v>
      </c>
      <c r="S326" s="20">
        <f>SUMIFS('Doc''s Pagos | Rodopar 108'!$J:$J,'Doc''s Pagos | Rodopar 108'!$A:$A,$B326&amp;$E326&amp;$F326&amp;$J326,'Doc''s Pagos | Rodopar 108'!$B:$B,S$1)+SUMIFS('Doc Há Pagar | Rodopar 1015'!$J:$J,'Doc Há Pagar | Rodopar 1015'!$A:$A,$B326&amp;$E326&amp;$F326,'Doc Há Pagar | Rodopar 1015'!$B:$B,S$1)</f>
        <v>0</v>
      </c>
      <c r="T326" s="20">
        <f>SUMIFS('Doc''s Pagos | Rodopar 108'!$J:$J,'Doc''s Pagos | Rodopar 108'!$A:$A,$B326&amp;$E326&amp;$F326&amp;$J326,'Doc''s Pagos | Rodopar 108'!$B:$B,T$1)+SUMIFS('Doc Há Pagar | Rodopar 1015'!$J:$J,'Doc Há Pagar | Rodopar 1015'!$A:$A,$B326&amp;$E326&amp;$F326,'Doc Há Pagar | Rodopar 1015'!$B:$B,T$1)</f>
        <v>0</v>
      </c>
      <c r="U326" s="20">
        <f>SUMIFS('Doc''s Pagos | Rodopar 108'!$J:$J,'Doc''s Pagos | Rodopar 108'!$A:$A,$B326&amp;$E326&amp;$F326&amp;$J326,'Doc''s Pagos | Rodopar 108'!$B:$B,U$1)+SUMIFS('Doc Há Pagar | Rodopar 1015'!$J:$J,'Doc Há Pagar | Rodopar 1015'!$A:$A,$B326&amp;$E326&amp;$F326,'Doc Há Pagar | Rodopar 1015'!$B:$B,U$1)</f>
        <v>0</v>
      </c>
      <c r="V326" s="20">
        <f>SUMIFS('Doc''s Pagos | Rodopar 108'!$J:$J,'Doc''s Pagos | Rodopar 108'!$A:$A,$B326&amp;$E326&amp;$F326&amp;$J326,'Doc''s Pagos | Rodopar 108'!$B:$B,V$1)+SUMIFS('Doc Há Pagar | Rodopar 1015'!$J:$J,'Doc Há Pagar | Rodopar 1015'!$A:$A,$B326&amp;$E326&amp;$F326,'Doc Há Pagar | Rodopar 1015'!$B:$B,V$1)</f>
        <v>0</v>
      </c>
      <c r="W326" s="20">
        <f>SUMIFS('Doc''s Pagos | Rodopar 108'!$J:$J,'Doc''s Pagos | Rodopar 108'!$A:$A,$B326&amp;$E326&amp;$F326&amp;$J326,'Doc''s Pagos | Rodopar 108'!$B:$B,W$1)+SUMIFS('Doc Há Pagar | Rodopar 1015'!$J:$J,'Doc Há Pagar | Rodopar 1015'!$A:$A,$B326&amp;$E326&amp;$F326,'Doc Há Pagar | Rodopar 1015'!$B:$B,W$1)</f>
        <v>0</v>
      </c>
      <c r="X326" s="20">
        <f>SUMIFS('Doc''s Pagos | Rodopar 108'!$J:$J,'Doc''s Pagos | Rodopar 108'!$A:$A,$B326&amp;$E326&amp;$F326&amp;$J326,'Doc''s Pagos | Rodopar 108'!$B:$B,X$1)+SUMIFS('Doc Há Pagar | Rodopar 1015'!$J:$J,'Doc Há Pagar | Rodopar 1015'!$A:$A,$B326&amp;$E326&amp;$F326,'Doc Há Pagar | Rodopar 1015'!$B:$B,X$1)</f>
        <v>0</v>
      </c>
      <c r="Y326" s="20">
        <f>SUMIFS('Doc''s Pagos | Rodopar 108'!$J:$J,'Doc''s Pagos | Rodopar 108'!$A:$A,$B326&amp;$E326&amp;$F326&amp;$J326,'Doc''s Pagos | Rodopar 108'!$B:$B,Y$1)+SUMIFS('Doc Há Pagar | Rodopar 1015'!$J:$J,'Doc Há Pagar | Rodopar 1015'!$A:$A,$B326&amp;$E326&amp;$F326,'Doc Há Pagar | Rodopar 1015'!$B:$B,Y$1)</f>
        <v>0</v>
      </c>
      <c r="Z326" s="20">
        <f>SUMIFS('Doc''s Pagos | Rodopar 108'!$J:$J,'Doc''s Pagos | Rodopar 108'!$A:$A,$B326&amp;$E326&amp;$F326&amp;$J326,'Doc''s Pagos | Rodopar 108'!$B:$B,Z$1)+SUMIFS('Doc Há Pagar | Rodopar 1015'!$J:$J,'Doc Há Pagar | Rodopar 1015'!$A:$A,$B326&amp;$E326&amp;$F326,'Doc Há Pagar | Rodopar 1015'!$B:$B,Z$1)</f>
        <v>2330.71</v>
      </c>
      <c r="AA326" s="20">
        <f>SUMIFS('Doc''s Pagos | Rodopar 108'!$J:$J,'Doc''s Pagos | Rodopar 108'!$A:$A,$B326&amp;$E326&amp;$F326&amp;$J326,'Doc''s Pagos | Rodopar 108'!$B:$B,AA$1)+SUMIFS('Doc Há Pagar | Rodopar 1015'!$J:$J,'Doc Há Pagar | Rodopar 1015'!$A:$A,$B326&amp;$E326&amp;$F326,'Doc Há Pagar | Rodopar 1015'!$B:$B,AA$1)</f>
        <v>2330.71</v>
      </c>
      <c r="AB326" s="20">
        <f>SUMIFS('Doc''s Pagos | Rodopar 108'!$J:$J,'Doc''s Pagos | Rodopar 108'!$A:$A,$B326&amp;$E326&amp;$F326&amp;$J326,'Doc''s Pagos | Rodopar 108'!$B:$B,AB$1)+SUMIFS('Doc Há Pagar | Rodopar 1015'!$J:$J,'Doc Há Pagar | Rodopar 1015'!$A:$A,$B326&amp;$E326&amp;$F326,'Doc Há Pagar | Rodopar 1015'!$B:$B,AB$1)</f>
        <v>2330.71</v>
      </c>
      <c r="AC326" s="20">
        <f>SUMIFS('Doc''s Pagos | Rodopar 108'!$J:$J,'Doc''s Pagos | Rodopar 108'!$A:$A,$B326&amp;$E326&amp;$F326&amp;$J326,'Doc''s Pagos | Rodopar 108'!$B:$B,AC$1)+SUMIFS('Doc Há Pagar | Rodopar 1015'!$J:$J,'Doc Há Pagar | Rodopar 1015'!$A:$A,$B326&amp;$E326&amp;$F326,'Doc Há Pagar | Rodopar 1015'!$B:$B,AC$1)</f>
        <v>0</v>
      </c>
      <c r="AD326" s="20">
        <f>SUMIFS('Doc''s Pagos | Rodopar 108'!$J:$J,'Doc''s Pagos | Rodopar 108'!$A:$A,$B326&amp;$E326&amp;$F326&amp;$J326,'Doc''s Pagos | Rodopar 108'!$B:$B,AD$1)+SUMIFS('Doc Há Pagar | Rodopar 1015'!$J:$J,'Doc Há Pagar | Rodopar 1015'!$A:$A,$B326&amp;$E326&amp;$F326,'Doc Há Pagar | Rodopar 1015'!$B:$B,AD$1)</f>
        <v>0</v>
      </c>
    </row>
    <row r="327" spans="1:30" x14ac:dyDescent="0.25">
      <c r="A327" s="1" t="str">
        <f>VLOOKUP($E327,Fornecedores!$A:$C,3,0)</f>
        <v>Frota</v>
      </c>
      <c r="B327" s="14">
        <v>40163</v>
      </c>
      <c r="C327" s="14" t="str">
        <f>IFERROR(VLOOKUP($E327,Fornecedores!$A:$E,4,0),"")</f>
        <v>Manutenção</v>
      </c>
      <c r="D327" s="14" t="str">
        <f>IFERROR(VLOOKUP($E327,Fornecedores!$A:$E,5,0),"")</f>
        <v>Vans</v>
      </c>
      <c r="E327" s="8" t="s">
        <v>133</v>
      </c>
      <c r="F327" s="14" t="s">
        <v>380</v>
      </c>
      <c r="G327" s="8" t="s">
        <v>493</v>
      </c>
      <c r="H327" s="9">
        <v>87</v>
      </c>
      <c r="I327" s="21">
        <v>7520.35</v>
      </c>
      <c r="J327" s="11">
        <v>46230</v>
      </c>
      <c r="K327" s="11">
        <v>46232</v>
      </c>
      <c r="L327" s="8" t="s">
        <v>494</v>
      </c>
      <c r="M327" s="14" t="s">
        <v>234</v>
      </c>
      <c r="N327" s="16">
        <v>1556</v>
      </c>
      <c r="O327" s="14" t="s">
        <v>250</v>
      </c>
      <c r="P327" s="14"/>
      <c r="Q327" s="20">
        <f t="shared" si="5"/>
        <v>0</v>
      </c>
      <c r="S327" s="20">
        <f>SUMIFS('Doc''s Pagos | Rodopar 108'!$J:$J,'Doc''s Pagos | Rodopar 108'!$A:$A,$B327&amp;$E327&amp;$F327&amp;$J327,'Doc''s Pagos | Rodopar 108'!$B:$B,S$1)+SUMIFS('Doc Há Pagar | Rodopar 1015'!$J:$J,'Doc Há Pagar | Rodopar 1015'!$A:$A,$B327&amp;$E327&amp;$F327,'Doc Há Pagar | Rodopar 1015'!$B:$B,S$1)</f>
        <v>0</v>
      </c>
      <c r="T327" s="20">
        <f>SUMIFS('Doc''s Pagos | Rodopar 108'!$J:$J,'Doc''s Pagos | Rodopar 108'!$A:$A,$B327&amp;$E327&amp;$F327&amp;$J327,'Doc''s Pagos | Rodopar 108'!$B:$B,T$1)+SUMIFS('Doc Há Pagar | Rodopar 1015'!$J:$J,'Doc Há Pagar | Rodopar 1015'!$A:$A,$B327&amp;$E327&amp;$F327,'Doc Há Pagar | Rodopar 1015'!$B:$B,T$1)</f>
        <v>0</v>
      </c>
      <c r="U327" s="20">
        <f>SUMIFS('Doc''s Pagos | Rodopar 108'!$J:$J,'Doc''s Pagos | Rodopar 108'!$A:$A,$B327&amp;$E327&amp;$F327&amp;$J327,'Doc''s Pagos | Rodopar 108'!$B:$B,U$1)+SUMIFS('Doc Há Pagar | Rodopar 1015'!$J:$J,'Doc Há Pagar | Rodopar 1015'!$A:$A,$B327&amp;$E327&amp;$F327,'Doc Há Pagar | Rodopar 1015'!$B:$B,U$1)</f>
        <v>0</v>
      </c>
      <c r="V327" s="20">
        <f>SUMIFS('Doc''s Pagos | Rodopar 108'!$J:$J,'Doc''s Pagos | Rodopar 108'!$A:$A,$B327&amp;$E327&amp;$F327&amp;$J327,'Doc''s Pagos | Rodopar 108'!$B:$B,V$1)+SUMIFS('Doc Há Pagar | Rodopar 1015'!$J:$J,'Doc Há Pagar | Rodopar 1015'!$A:$A,$B327&amp;$E327&amp;$F327,'Doc Há Pagar | Rodopar 1015'!$B:$B,V$1)</f>
        <v>0</v>
      </c>
      <c r="W327" s="20">
        <f>SUMIFS('Doc''s Pagos | Rodopar 108'!$J:$J,'Doc''s Pagos | Rodopar 108'!$A:$A,$B327&amp;$E327&amp;$F327&amp;$J327,'Doc''s Pagos | Rodopar 108'!$B:$B,W$1)+SUMIFS('Doc Há Pagar | Rodopar 1015'!$J:$J,'Doc Há Pagar | Rodopar 1015'!$A:$A,$B327&amp;$E327&amp;$F327,'Doc Há Pagar | Rodopar 1015'!$B:$B,W$1)</f>
        <v>0</v>
      </c>
      <c r="X327" s="20">
        <f>SUMIFS('Doc''s Pagos | Rodopar 108'!$J:$J,'Doc''s Pagos | Rodopar 108'!$A:$A,$B327&amp;$E327&amp;$F327&amp;$J327,'Doc''s Pagos | Rodopar 108'!$B:$B,X$1)+SUMIFS('Doc Há Pagar | Rodopar 1015'!$J:$J,'Doc Há Pagar | Rodopar 1015'!$A:$A,$B327&amp;$E327&amp;$F327,'Doc Há Pagar | Rodopar 1015'!$B:$B,X$1)</f>
        <v>0</v>
      </c>
      <c r="Y327" s="20">
        <f>SUMIFS('Doc''s Pagos | Rodopar 108'!$J:$J,'Doc''s Pagos | Rodopar 108'!$A:$A,$B327&amp;$E327&amp;$F327&amp;$J327,'Doc''s Pagos | Rodopar 108'!$B:$B,Y$1)+SUMIFS('Doc Há Pagar | Rodopar 1015'!$J:$J,'Doc Há Pagar | Rodopar 1015'!$A:$A,$B327&amp;$E327&amp;$F327,'Doc Há Pagar | Rodopar 1015'!$B:$B,Y$1)</f>
        <v>0</v>
      </c>
      <c r="Z327" s="20">
        <f>SUMIFS('Doc''s Pagos | Rodopar 108'!$J:$J,'Doc''s Pagos | Rodopar 108'!$A:$A,$B327&amp;$E327&amp;$F327&amp;$J327,'Doc''s Pagos | Rodopar 108'!$B:$B,Z$1)+SUMIFS('Doc Há Pagar | Rodopar 1015'!$J:$J,'Doc Há Pagar | Rodopar 1015'!$A:$A,$B327&amp;$E327&amp;$F327,'Doc Há Pagar | Rodopar 1015'!$B:$B,Z$1)</f>
        <v>2506.79</v>
      </c>
      <c r="AA327" s="20">
        <f>SUMIFS('Doc''s Pagos | Rodopar 108'!$J:$J,'Doc''s Pagos | Rodopar 108'!$A:$A,$B327&amp;$E327&amp;$F327&amp;$J327,'Doc''s Pagos | Rodopar 108'!$B:$B,AA$1)+SUMIFS('Doc Há Pagar | Rodopar 1015'!$J:$J,'Doc Há Pagar | Rodopar 1015'!$A:$A,$B327&amp;$E327&amp;$F327,'Doc Há Pagar | Rodopar 1015'!$B:$B,AA$1)</f>
        <v>2506.7800000000002</v>
      </c>
      <c r="AB327" s="20">
        <f>SUMIFS('Doc''s Pagos | Rodopar 108'!$J:$J,'Doc''s Pagos | Rodopar 108'!$A:$A,$B327&amp;$E327&amp;$F327&amp;$J327,'Doc''s Pagos | Rodopar 108'!$B:$B,AB$1)+SUMIFS('Doc Há Pagar | Rodopar 1015'!$J:$J,'Doc Há Pagar | Rodopar 1015'!$A:$A,$B327&amp;$E327&amp;$F327,'Doc Há Pagar | Rodopar 1015'!$B:$B,AB$1)</f>
        <v>2506.7800000000002</v>
      </c>
      <c r="AC327" s="20">
        <f>SUMIFS('Doc''s Pagos | Rodopar 108'!$J:$J,'Doc''s Pagos | Rodopar 108'!$A:$A,$B327&amp;$E327&amp;$F327&amp;$J327,'Doc''s Pagos | Rodopar 108'!$B:$B,AC$1)+SUMIFS('Doc Há Pagar | Rodopar 1015'!$J:$J,'Doc Há Pagar | Rodopar 1015'!$A:$A,$B327&amp;$E327&amp;$F327,'Doc Há Pagar | Rodopar 1015'!$B:$B,AC$1)</f>
        <v>0</v>
      </c>
      <c r="AD327" s="20">
        <f>SUMIFS('Doc''s Pagos | Rodopar 108'!$J:$J,'Doc''s Pagos | Rodopar 108'!$A:$A,$B327&amp;$E327&amp;$F327&amp;$J327,'Doc''s Pagos | Rodopar 108'!$B:$B,AD$1)+SUMIFS('Doc Há Pagar | Rodopar 1015'!$J:$J,'Doc Há Pagar | Rodopar 1015'!$A:$A,$B327&amp;$E327&amp;$F327,'Doc Há Pagar | Rodopar 1015'!$B:$B,AD$1)</f>
        <v>0</v>
      </c>
    </row>
    <row r="328" spans="1:30" x14ac:dyDescent="0.25">
      <c r="A328" s="1" t="str">
        <f>VLOOKUP($E328,Fornecedores!$A:$C,3,0)</f>
        <v>Frota</v>
      </c>
      <c r="B328" s="14">
        <v>8298</v>
      </c>
      <c r="C328" s="14" t="str">
        <f>IFERROR(VLOOKUP($E328,Fornecedores!$A:$E,4,0),"")</f>
        <v>Manutenção</v>
      </c>
      <c r="D328" s="14" t="str">
        <f>IFERROR(VLOOKUP($E328,Fornecedores!$A:$E,5,0),"")</f>
        <v>Peças E Serviços</v>
      </c>
      <c r="E328" s="8" t="s">
        <v>77</v>
      </c>
      <c r="F328" s="14" t="s">
        <v>380</v>
      </c>
      <c r="G328" s="8" t="s">
        <v>585</v>
      </c>
      <c r="H328" s="9">
        <v>87</v>
      </c>
      <c r="I328" s="21">
        <v>303</v>
      </c>
      <c r="J328" s="11">
        <v>46230</v>
      </c>
      <c r="K328" s="11">
        <v>46231</v>
      </c>
      <c r="L328" s="8" t="s">
        <v>501</v>
      </c>
      <c r="M328" s="14" t="s">
        <v>234</v>
      </c>
      <c r="N328" s="16">
        <v>1556</v>
      </c>
      <c r="O328" s="14" t="s">
        <v>241</v>
      </c>
      <c r="P328" s="14"/>
      <c r="Q328" s="20">
        <f t="shared" si="5"/>
        <v>0</v>
      </c>
      <c r="S328" s="20">
        <f>SUMIFS('Doc''s Pagos | Rodopar 108'!$J:$J,'Doc''s Pagos | Rodopar 108'!$A:$A,$B328&amp;$E328&amp;$F328&amp;$J328,'Doc''s Pagos | Rodopar 108'!$B:$B,S$1)+SUMIFS('Doc Há Pagar | Rodopar 1015'!$J:$J,'Doc Há Pagar | Rodopar 1015'!$A:$A,$B328&amp;$E328&amp;$F328,'Doc Há Pagar | Rodopar 1015'!$B:$B,S$1)</f>
        <v>0</v>
      </c>
      <c r="T328" s="20">
        <f>SUMIFS('Doc''s Pagos | Rodopar 108'!$J:$J,'Doc''s Pagos | Rodopar 108'!$A:$A,$B328&amp;$E328&amp;$F328&amp;$J328,'Doc''s Pagos | Rodopar 108'!$B:$B,T$1)+SUMIFS('Doc Há Pagar | Rodopar 1015'!$J:$J,'Doc Há Pagar | Rodopar 1015'!$A:$A,$B328&amp;$E328&amp;$F328,'Doc Há Pagar | Rodopar 1015'!$B:$B,T$1)</f>
        <v>0</v>
      </c>
      <c r="U328" s="20">
        <f>SUMIFS('Doc''s Pagos | Rodopar 108'!$J:$J,'Doc''s Pagos | Rodopar 108'!$A:$A,$B328&amp;$E328&amp;$F328&amp;$J328,'Doc''s Pagos | Rodopar 108'!$B:$B,U$1)+SUMIFS('Doc Há Pagar | Rodopar 1015'!$J:$J,'Doc Há Pagar | Rodopar 1015'!$A:$A,$B328&amp;$E328&amp;$F328,'Doc Há Pagar | Rodopar 1015'!$B:$B,U$1)</f>
        <v>0</v>
      </c>
      <c r="V328" s="20">
        <f>SUMIFS('Doc''s Pagos | Rodopar 108'!$J:$J,'Doc''s Pagos | Rodopar 108'!$A:$A,$B328&amp;$E328&amp;$F328&amp;$J328,'Doc''s Pagos | Rodopar 108'!$B:$B,V$1)+SUMIFS('Doc Há Pagar | Rodopar 1015'!$J:$J,'Doc Há Pagar | Rodopar 1015'!$A:$A,$B328&amp;$E328&amp;$F328,'Doc Há Pagar | Rodopar 1015'!$B:$B,V$1)</f>
        <v>0</v>
      </c>
      <c r="W328" s="20">
        <f>SUMIFS('Doc''s Pagos | Rodopar 108'!$J:$J,'Doc''s Pagos | Rodopar 108'!$A:$A,$B328&amp;$E328&amp;$F328&amp;$J328,'Doc''s Pagos | Rodopar 108'!$B:$B,W$1)+SUMIFS('Doc Há Pagar | Rodopar 1015'!$J:$J,'Doc Há Pagar | Rodopar 1015'!$A:$A,$B328&amp;$E328&amp;$F328,'Doc Há Pagar | Rodopar 1015'!$B:$B,W$1)</f>
        <v>0</v>
      </c>
      <c r="X328" s="20">
        <f>SUMIFS('Doc''s Pagos | Rodopar 108'!$J:$J,'Doc''s Pagos | Rodopar 108'!$A:$A,$B328&amp;$E328&amp;$F328&amp;$J328,'Doc''s Pagos | Rodopar 108'!$B:$B,X$1)+SUMIFS('Doc Há Pagar | Rodopar 1015'!$J:$J,'Doc Há Pagar | Rodopar 1015'!$A:$A,$B328&amp;$E328&amp;$F328,'Doc Há Pagar | Rodopar 1015'!$B:$B,X$1)</f>
        <v>0</v>
      </c>
      <c r="Y328" s="20">
        <f>SUMIFS('Doc''s Pagos | Rodopar 108'!$J:$J,'Doc''s Pagos | Rodopar 108'!$A:$A,$B328&amp;$E328&amp;$F328&amp;$J328,'Doc''s Pagos | Rodopar 108'!$B:$B,Y$1)+SUMIFS('Doc Há Pagar | Rodopar 1015'!$J:$J,'Doc Há Pagar | Rodopar 1015'!$A:$A,$B328&amp;$E328&amp;$F328,'Doc Há Pagar | Rodopar 1015'!$B:$B,Y$1)</f>
        <v>0</v>
      </c>
      <c r="Z328" s="20">
        <f>SUMIFS('Doc''s Pagos | Rodopar 108'!$J:$J,'Doc''s Pagos | Rodopar 108'!$A:$A,$B328&amp;$E328&amp;$F328&amp;$J328,'Doc''s Pagos | Rodopar 108'!$B:$B,Z$1)+SUMIFS('Doc Há Pagar | Rodopar 1015'!$J:$J,'Doc Há Pagar | Rodopar 1015'!$A:$A,$B328&amp;$E328&amp;$F328,'Doc Há Pagar | Rodopar 1015'!$B:$B,Z$1)</f>
        <v>303</v>
      </c>
      <c r="AA328" s="20">
        <f>SUMIFS('Doc''s Pagos | Rodopar 108'!$J:$J,'Doc''s Pagos | Rodopar 108'!$A:$A,$B328&amp;$E328&amp;$F328&amp;$J328,'Doc''s Pagos | Rodopar 108'!$B:$B,AA$1)+SUMIFS('Doc Há Pagar | Rodopar 1015'!$J:$J,'Doc Há Pagar | Rodopar 1015'!$A:$A,$B328&amp;$E328&amp;$F328,'Doc Há Pagar | Rodopar 1015'!$B:$B,AA$1)</f>
        <v>0</v>
      </c>
      <c r="AB328" s="20">
        <f>SUMIFS('Doc''s Pagos | Rodopar 108'!$J:$J,'Doc''s Pagos | Rodopar 108'!$A:$A,$B328&amp;$E328&amp;$F328&amp;$J328,'Doc''s Pagos | Rodopar 108'!$B:$B,AB$1)+SUMIFS('Doc Há Pagar | Rodopar 1015'!$J:$J,'Doc Há Pagar | Rodopar 1015'!$A:$A,$B328&amp;$E328&amp;$F328,'Doc Há Pagar | Rodopar 1015'!$B:$B,AB$1)</f>
        <v>0</v>
      </c>
      <c r="AC328" s="20">
        <f>SUMIFS('Doc''s Pagos | Rodopar 108'!$J:$J,'Doc''s Pagos | Rodopar 108'!$A:$A,$B328&amp;$E328&amp;$F328&amp;$J328,'Doc''s Pagos | Rodopar 108'!$B:$B,AC$1)+SUMIFS('Doc Há Pagar | Rodopar 1015'!$J:$J,'Doc Há Pagar | Rodopar 1015'!$A:$A,$B328&amp;$E328&amp;$F328,'Doc Há Pagar | Rodopar 1015'!$B:$B,AC$1)</f>
        <v>0</v>
      </c>
      <c r="AD328" s="20">
        <f>SUMIFS('Doc''s Pagos | Rodopar 108'!$J:$J,'Doc''s Pagos | Rodopar 108'!$A:$A,$B328&amp;$E328&amp;$F328&amp;$J328,'Doc''s Pagos | Rodopar 108'!$B:$B,AD$1)+SUMIFS('Doc Há Pagar | Rodopar 1015'!$J:$J,'Doc Há Pagar | Rodopar 1015'!$A:$A,$B328&amp;$E328&amp;$F328,'Doc Há Pagar | Rodopar 1015'!$B:$B,AD$1)</f>
        <v>0</v>
      </c>
    </row>
    <row r="329" spans="1:30" x14ac:dyDescent="0.25">
      <c r="A329" s="1" t="str">
        <f>VLOOKUP($E329,Fornecedores!$A:$C,3,0)</f>
        <v>Frota</v>
      </c>
      <c r="B329" s="14">
        <v>1889</v>
      </c>
      <c r="C329" s="14" t="str">
        <f>IFERROR(VLOOKUP($E329,Fornecedores!$A:$E,4,0),"")</f>
        <v>Manutenção</v>
      </c>
      <c r="D329" s="14" t="str">
        <f>IFERROR(VLOOKUP($E329,Fornecedores!$A:$E,5,0),"")</f>
        <v>Vans</v>
      </c>
      <c r="E329" s="8" t="s">
        <v>133</v>
      </c>
      <c r="F329" s="14" t="s">
        <v>665</v>
      </c>
      <c r="G329" s="8" t="s">
        <v>493</v>
      </c>
      <c r="H329" s="9">
        <v>87</v>
      </c>
      <c r="I329" s="21">
        <v>1339</v>
      </c>
      <c r="J329" s="11">
        <v>46230</v>
      </c>
      <c r="K329" s="11">
        <v>46231</v>
      </c>
      <c r="L329" s="8" t="s">
        <v>494</v>
      </c>
      <c r="M329" s="14" t="s">
        <v>234</v>
      </c>
      <c r="N329" s="16">
        <v>1556</v>
      </c>
      <c r="O329" s="14" t="s">
        <v>241</v>
      </c>
      <c r="P329" s="14"/>
      <c r="Q329" s="20">
        <f t="shared" si="5"/>
        <v>0</v>
      </c>
      <c r="S329" s="20">
        <f>SUMIFS('Doc''s Pagos | Rodopar 108'!$J:$J,'Doc''s Pagos | Rodopar 108'!$A:$A,$B329&amp;$E329&amp;$F329&amp;$J329,'Doc''s Pagos | Rodopar 108'!$B:$B,S$1)+SUMIFS('Doc Há Pagar | Rodopar 1015'!$J:$J,'Doc Há Pagar | Rodopar 1015'!$A:$A,$B329&amp;$E329&amp;$F329,'Doc Há Pagar | Rodopar 1015'!$B:$B,S$1)</f>
        <v>0</v>
      </c>
      <c r="T329" s="20">
        <f>SUMIFS('Doc''s Pagos | Rodopar 108'!$J:$J,'Doc''s Pagos | Rodopar 108'!$A:$A,$B329&amp;$E329&amp;$F329&amp;$J329,'Doc''s Pagos | Rodopar 108'!$B:$B,T$1)+SUMIFS('Doc Há Pagar | Rodopar 1015'!$J:$J,'Doc Há Pagar | Rodopar 1015'!$A:$A,$B329&amp;$E329&amp;$F329,'Doc Há Pagar | Rodopar 1015'!$B:$B,T$1)</f>
        <v>0</v>
      </c>
      <c r="U329" s="20">
        <f>SUMIFS('Doc''s Pagos | Rodopar 108'!$J:$J,'Doc''s Pagos | Rodopar 108'!$A:$A,$B329&amp;$E329&amp;$F329&amp;$J329,'Doc''s Pagos | Rodopar 108'!$B:$B,U$1)+SUMIFS('Doc Há Pagar | Rodopar 1015'!$J:$J,'Doc Há Pagar | Rodopar 1015'!$A:$A,$B329&amp;$E329&amp;$F329,'Doc Há Pagar | Rodopar 1015'!$B:$B,U$1)</f>
        <v>0</v>
      </c>
      <c r="V329" s="20">
        <f>SUMIFS('Doc''s Pagos | Rodopar 108'!$J:$J,'Doc''s Pagos | Rodopar 108'!$A:$A,$B329&amp;$E329&amp;$F329&amp;$J329,'Doc''s Pagos | Rodopar 108'!$B:$B,V$1)+SUMIFS('Doc Há Pagar | Rodopar 1015'!$J:$J,'Doc Há Pagar | Rodopar 1015'!$A:$A,$B329&amp;$E329&amp;$F329,'Doc Há Pagar | Rodopar 1015'!$B:$B,V$1)</f>
        <v>0</v>
      </c>
      <c r="W329" s="20">
        <f>SUMIFS('Doc''s Pagos | Rodopar 108'!$J:$J,'Doc''s Pagos | Rodopar 108'!$A:$A,$B329&amp;$E329&amp;$F329&amp;$J329,'Doc''s Pagos | Rodopar 108'!$B:$B,W$1)+SUMIFS('Doc Há Pagar | Rodopar 1015'!$J:$J,'Doc Há Pagar | Rodopar 1015'!$A:$A,$B329&amp;$E329&amp;$F329,'Doc Há Pagar | Rodopar 1015'!$B:$B,W$1)</f>
        <v>0</v>
      </c>
      <c r="X329" s="20">
        <f>SUMIFS('Doc''s Pagos | Rodopar 108'!$J:$J,'Doc''s Pagos | Rodopar 108'!$A:$A,$B329&amp;$E329&amp;$F329&amp;$J329,'Doc''s Pagos | Rodopar 108'!$B:$B,X$1)+SUMIFS('Doc Há Pagar | Rodopar 1015'!$J:$J,'Doc Há Pagar | Rodopar 1015'!$A:$A,$B329&amp;$E329&amp;$F329,'Doc Há Pagar | Rodopar 1015'!$B:$B,X$1)</f>
        <v>0</v>
      </c>
      <c r="Y329" s="20">
        <f>SUMIFS('Doc''s Pagos | Rodopar 108'!$J:$J,'Doc''s Pagos | Rodopar 108'!$A:$A,$B329&amp;$E329&amp;$F329&amp;$J329,'Doc''s Pagos | Rodopar 108'!$B:$B,Y$1)+SUMIFS('Doc Há Pagar | Rodopar 1015'!$J:$J,'Doc Há Pagar | Rodopar 1015'!$A:$A,$B329&amp;$E329&amp;$F329,'Doc Há Pagar | Rodopar 1015'!$B:$B,Y$1)</f>
        <v>0</v>
      </c>
      <c r="Z329" s="20">
        <f>SUMIFS('Doc''s Pagos | Rodopar 108'!$J:$J,'Doc''s Pagos | Rodopar 108'!$A:$A,$B329&amp;$E329&amp;$F329&amp;$J329,'Doc''s Pagos | Rodopar 108'!$B:$B,Z$1)+SUMIFS('Doc Há Pagar | Rodopar 1015'!$J:$J,'Doc Há Pagar | Rodopar 1015'!$A:$A,$B329&amp;$E329&amp;$F329,'Doc Há Pagar | Rodopar 1015'!$B:$B,Z$1)</f>
        <v>669.5</v>
      </c>
      <c r="AA329" s="20">
        <f>SUMIFS('Doc''s Pagos | Rodopar 108'!$J:$J,'Doc''s Pagos | Rodopar 108'!$A:$A,$B329&amp;$E329&amp;$F329&amp;$J329,'Doc''s Pagos | Rodopar 108'!$B:$B,AA$1)+SUMIFS('Doc Há Pagar | Rodopar 1015'!$J:$J,'Doc Há Pagar | Rodopar 1015'!$A:$A,$B329&amp;$E329&amp;$F329,'Doc Há Pagar | Rodopar 1015'!$B:$B,AA$1)</f>
        <v>669.5</v>
      </c>
      <c r="AB329" s="20">
        <f>SUMIFS('Doc''s Pagos | Rodopar 108'!$J:$J,'Doc''s Pagos | Rodopar 108'!$A:$A,$B329&amp;$E329&amp;$F329&amp;$J329,'Doc''s Pagos | Rodopar 108'!$B:$B,AB$1)+SUMIFS('Doc Há Pagar | Rodopar 1015'!$J:$J,'Doc Há Pagar | Rodopar 1015'!$A:$A,$B329&amp;$E329&amp;$F329,'Doc Há Pagar | Rodopar 1015'!$B:$B,AB$1)</f>
        <v>0</v>
      </c>
      <c r="AC329" s="20">
        <f>SUMIFS('Doc''s Pagos | Rodopar 108'!$J:$J,'Doc''s Pagos | Rodopar 108'!$A:$A,$B329&amp;$E329&amp;$F329&amp;$J329,'Doc''s Pagos | Rodopar 108'!$B:$B,AC$1)+SUMIFS('Doc Há Pagar | Rodopar 1015'!$J:$J,'Doc Há Pagar | Rodopar 1015'!$A:$A,$B329&amp;$E329&amp;$F329,'Doc Há Pagar | Rodopar 1015'!$B:$B,AC$1)</f>
        <v>0</v>
      </c>
      <c r="AD329" s="20">
        <f>SUMIFS('Doc''s Pagos | Rodopar 108'!$J:$J,'Doc''s Pagos | Rodopar 108'!$A:$A,$B329&amp;$E329&amp;$F329&amp;$J329,'Doc''s Pagos | Rodopar 108'!$B:$B,AD$1)+SUMIFS('Doc Há Pagar | Rodopar 1015'!$J:$J,'Doc Há Pagar | Rodopar 1015'!$A:$A,$B329&amp;$E329&amp;$F329,'Doc Há Pagar | Rodopar 1015'!$B:$B,AD$1)</f>
        <v>0</v>
      </c>
    </row>
    <row r="330" spans="1:30" x14ac:dyDescent="0.25">
      <c r="A330" s="1" t="str">
        <f>VLOOKUP($E330,Fornecedores!$A:$C,3,0)</f>
        <v>Frota</v>
      </c>
      <c r="B330" s="14">
        <v>1896</v>
      </c>
      <c r="C330" s="14" t="str">
        <f>IFERROR(VLOOKUP($E330,Fornecedores!$A:$E,4,0),"")</f>
        <v>Manutenção</v>
      </c>
      <c r="D330" s="14" t="str">
        <f>IFERROR(VLOOKUP($E330,Fornecedores!$A:$E,5,0),"")</f>
        <v>Vans</v>
      </c>
      <c r="E330" s="8" t="s">
        <v>133</v>
      </c>
      <c r="F330" s="14" t="s">
        <v>665</v>
      </c>
      <c r="G330" s="8" t="s">
        <v>493</v>
      </c>
      <c r="H330" s="9">
        <v>87</v>
      </c>
      <c r="I330" s="21">
        <v>1269.5</v>
      </c>
      <c r="J330" s="11">
        <v>46230</v>
      </c>
      <c r="K330" s="11">
        <v>46232</v>
      </c>
      <c r="L330" s="8" t="s">
        <v>494</v>
      </c>
      <c r="M330" s="14" t="s">
        <v>234</v>
      </c>
      <c r="N330" s="16">
        <v>1556</v>
      </c>
      <c r="O330" s="14" t="s">
        <v>250</v>
      </c>
      <c r="P330" s="14"/>
      <c r="Q330" s="20">
        <f t="shared" si="5"/>
        <v>0</v>
      </c>
      <c r="S330" s="20">
        <f>SUMIFS('Doc''s Pagos | Rodopar 108'!$J:$J,'Doc''s Pagos | Rodopar 108'!$A:$A,$B330&amp;$E330&amp;$F330&amp;$J330,'Doc''s Pagos | Rodopar 108'!$B:$B,S$1)+SUMIFS('Doc Há Pagar | Rodopar 1015'!$J:$J,'Doc Há Pagar | Rodopar 1015'!$A:$A,$B330&amp;$E330&amp;$F330,'Doc Há Pagar | Rodopar 1015'!$B:$B,S$1)</f>
        <v>0</v>
      </c>
      <c r="T330" s="20">
        <f>SUMIFS('Doc''s Pagos | Rodopar 108'!$J:$J,'Doc''s Pagos | Rodopar 108'!$A:$A,$B330&amp;$E330&amp;$F330&amp;$J330,'Doc''s Pagos | Rodopar 108'!$B:$B,T$1)+SUMIFS('Doc Há Pagar | Rodopar 1015'!$J:$J,'Doc Há Pagar | Rodopar 1015'!$A:$A,$B330&amp;$E330&amp;$F330,'Doc Há Pagar | Rodopar 1015'!$B:$B,T$1)</f>
        <v>0</v>
      </c>
      <c r="U330" s="20">
        <f>SUMIFS('Doc''s Pagos | Rodopar 108'!$J:$J,'Doc''s Pagos | Rodopar 108'!$A:$A,$B330&amp;$E330&amp;$F330&amp;$J330,'Doc''s Pagos | Rodopar 108'!$B:$B,U$1)+SUMIFS('Doc Há Pagar | Rodopar 1015'!$J:$J,'Doc Há Pagar | Rodopar 1015'!$A:$A,$B330&amp;$E330&amp;$F330,'Doc Há Pagar | Rodopar 1015'!$B:$B,U$1)</f>
        <v>0</v>
      </c>
      <c r="V330" s="20">
        <f>SUMIFS('Doc''s Pagos | Rodopar 108'!$J:$J,'Doc''s Pagos | Rodopar 108'!$A:$A,$B330&amp;$E330&amp;$F330&amp;$J330,'Doc''s Pagos | Rodopar 108'!$B:$B,V$1)+SUMIFS('Doc Há Pagar | Rodopar 1015'!$J:$J,'Doc Há Pagar | Rodopar 1015'!$A:$A,$B330&amp;$E330&amp;$F330,'Doc Há Pagar | Rodopar 1015'!$B:$B,V$1)</f>
        <v>0</v>
      </c>
      <c r="W330" s="20">
        <f>SUMIFS('Doc''s Pagos | Rodopar 108'!$J:$J,'Doc''s Pagos | Rodopar 108'!$A:$A,$B330&amp;$E330&amp;$F330&amp;$J330,'Doc''s Pagos | Rodopar 108'!$B:$B,W$1)+SUMIFS('Doc Há Pagar | Rodopar 1015'!$J:$J,'Doc Há Pagar | Rodopar 1015'!$A:$A,$B330&amp;$E330&amp;$F330,'Doc Há Pagar | Rodopar 1015'!$B:$B,W$1)</f>
        <v>0</v>
      </c>
      <c r="X330" s="20">
        <f>SUMIFS('Doc''s Pagos | Rodopar 108'!$J:$J,'Doc''s Pagos | Rodopar 108'!$A:$A,$B330&amp;$E330&amp;$F330&amp;$J330,'Doc''s Pagos | Rodopar 108'!$B:$B,X$1)+SUMIFS('Doc Há Pagar | Rodopar 1015'!$J:$J,'Doc Há Pagar | Rodopar 1015'!$A:$A,$B330&amp;$E330&amp;$F330,'Doc Há Pagar | Rodopar 1015'!$B:$B,X$1)</f>
        <v>0</v>
      </c>
      <c r="Y330" s="20">
        <f>SUMIFS('Doc''s Pagos | Rodopar 108'!$J:$J,'Doc''s Pagos | Rodopar 108'!$A:$A,$B330&amp;$E330&amp;$F330&amp;$J330,'Doc''s Pagos | Rodopar 108'!$B:$B,Y$1)+SUMIFS('Doc Há Pagar | Rodopar 1015'!$J:$J,'Doc Há Pagar | Rodopar 1015'!$A:$A,$B330&amp;$E330&amp;$F330,'Doc Há Pagar | Rodopar 1015'!$B:$B,Y$1)</f>
        <v>0</v>
      </c>
      <c r="Z330" s="20">
        <f>SUMIFS('Doc''s Pagos | Rodopar 108'!$J:$J,'Doc''s Pagos | Rodopar 108'!$A:$A,$B330&amp;$E330&amp;$F330&amp;$J330,'Doc''s Pagos | Rodopar 108'!$B:$B,Z$1)+SUMIFS('Doc Há Pagar | Rodopar 1015'!$J:$J,'Doc Há Pagar | Rodopar 1015'!$A:$A,$B330&amp;$E330&amp;$F330,'Doc Há Pagar | Rodopar 1015'!$B:$B,Z$1)</f>
        <v>634.75</v>
      </c>
      <c r="AA330" s="20">
        <f>SUMIFS('Doc''s Pagos | Rodopar 108'!$J:$J,'Doc''s Pagos | Rodopar 108'!$A:$A,$B330&amp;$E330&amp;$F330&amp;$J330,'Doc''s Pagos | Rodopar 108'!$B:$B,AA$1)+SUMIFS('Doc Há Pagar | Rodopar 1015'!$J:$J,'Doc Há Pagar | Rodopar 1015'!$A:$A,$B330&amp;$E330&amp;$F330,'Doc Há Pagar | Rodopar 1015'!$B:$B,AA$1)</f>
        <v>634.75</v>
      </c>
      <c r="AB330" s="20">
        <f>SUMIFS('Doc''s Pagos | Rodopar 108'!$J:$J,'Doc''s Pagos | Rodopar 108'!$A:$A,$B330&amp;$E330&amp;$F330&amp;$J330,'Doc''s Pagos | Rodopar 108'!$B:$B,AB$1)+SUMIFS('Doc Há Pagar | Rodopar 1015'!$J:$J,'Doc Há Pagar | Rodopar 1015'!$A:$A,$B330&amp;$E330&amp;$F330,'Doc Há Pagar | Rodopar 1015'!$B:$B,AB$1)</f>
        <v>0</v>
      </c>
      <c r="AC330" s="20">
        <f>SUMIFS('Doc''s Pagos | Rodopar 108'!$J:$J,'Doc''s Pagos | Rodopar 108'!$A:$A,$B330&amp;$E330&amp;$F330&amp;$J330,'Doc''s Pagos | Rodopar 108'!$B:$B,AC$1)+SUMIFS('Doc Há Pagar | Rodopar 1015'!$J:$J,'Doc Há Pagar | Rodopar 1015'!$A:$A,$B330&amp;$E330&amp;$F330,'Doc Há Pagar | Rodopar 1015'!$B:$B,AC$1)</f>
        <v>0</v>
      </c>
      <c r="AD330" s="20">
        <f>SUMIFS('Doc''s Pagos | Rodopar 108'!$J:$J,'Doc''s Pagos | Rodopar 108'!$A:$A,$B330&amp;$E330&amp;$F330&amp;$J330,'Doc''s Pagos | Rodopar 108'!$B:$B,AD$1)+SUMIFS('Doc Há Pagar | Rodopar 1015'!$J:$J,'Doc Há Pagar | Rodopar 1015'!$A:$A,$B330&amp;$E330&amp;$F330,'Doc Há Pagar | Rodopar 1015'!$B:$B,AD$1)</f>
        <v>0</v>
      </c>
    </row>
    <row r="331" spans="1:30" x14ac:dyDescent="0.25">
      <c r="A331" s="1" t="str">
        <f>VLOOKUP($E331,Fornecedores!$A:$C,3,0)</f>
        <v>Frota</v>
      </c>
      <c r="B331" s="14">
        <v>1897</v>
      </c>
      <c r="C331" s="14" t="str">
        <f>IFERROR(VLOOKUP($E331,Fornecedores!$A:$E,4,0),"")</f>
        <v>Manutenção</v>
      </c>
      <c r="D331" s="14" t="str">
        <f>IFERROR(VLOOKUP($E331,Fornecedores!$A:$E,5,0),"")</f>
        <v>Vans</v>
      </c>
      <c r="E331" s="8" t="s">
        <v>133</v>
      </c>
      <c r="F331" s="14" t="s">
        <v>665</v>
      </c>
      <c r="G331" s="8" t="s">
        <v>493</v>
      </c>
      <c r="H331" s="9">
        <v>87</v>
      </c>
      <c r="I331" s="21">
        <v>1133</v>
      </c>
      <c r="J331" s="11">
        <v>46230</v>
      </c>
      <c r="K331" s="11">
        <v>46232</v>
      </c>
      <c r="L331" s="8" t="s">
        <v>494</v>
      </c>
      <c r="M331" s="14" t="s">
        <v>234</v>
      </c>
      <c r="N331" s="16">
        <v>1556</v>
      </c>
      <c r="O331" s="14" t="s">
        <v>241</v>
      </c>
      <c r="P331" s="14"/>
      <c r="Q331" s="20">
        <f t="shared" si="5"/>
        <v>0</v>
      </c>
      <c r="S331" s="20">
        <f>SUMIFS('Doc''s Pagos | Rodopar 108'!$J:$J,'Doc''s Pagos | Rodopar 108'!$A:$A,$B331&amp;$E331&amp;$F331&amp;$J331,'Doc''s Pagos | Rodopar 108'!$B:$B,S$1)+SUMIFS('Doc Há Pagar | Rodopar 1015'!$J:$J,'Doc Há Pagar | Rodopar 1015'!$A:$A,$B331&amp;$E331&amp;$F331,'Doc Há Pagar | Rodopar 1015'!$B:$B,S$1)</f>
        <v>0</v>
      </c>
      <c r="T331" s="20">
        <f>SUMIFS('Doc''s Pagos | Rodopar 108'!$J:$J,'Doc''s Pagos | Rodopar 108'!$A:$A,$B331&amp;$E331&amp;$F331&amp;$J331,'Doc''s Pagos | Rodopar 108'!$B:$B,T$1)+SUMIFS('Doc Há Pagar | Rodopar 1015'!$J:$J,'Doc Há Pagar | Rodopar 1015'!$A:$A,$B331&amp;$E331&amp;$F331,'Doc Há Pagar | Rodopar 1015'!$B:$B,T$1)</f>
        <v>0</v>
      </c>
      <c r="U331" s="20">
        <f>SUMIFS('Doc''s Pagos | Rodopar 108'!$J:$J,'Doc''s Pagos | Rodopar 108'!$A:$A,$B331&amp;$E331&amp;$F331&amp;$J331,'Doc''s Pagos | Rodopar 108'!$B:$B,U$1)+SUMIFS('Doc Há Pagar | Rodopar 1015'!$J:$J,'Doc Há Pagar | Rodopar 1015'!$A:$A,$B331&amp;$E331&amp;$F331,'Doc Há Pagar | Rodopar 1015'!$B:$B,U$1)</f>
        <v>0</v>
      </c>
      <c r="V331" s="20">
        <f>SUMIFS('Doc''s Pagos | Rodopar 108'!$J:$J,'Doc''s Pagos | Rodopar 108'!$A:$A,$B331&amp;$E331&amp;$F331&amp;$J331,'Doc''s Pagos | Rodopar 108'!$B:$B,V$1)+SUMIFS('Doc Há Pagar | Rodopar 1015'!$J:$J,'Doc Há Pagar | Rodopar 1015'!$A:$A,$B331&amp;$E331&amp;$F331,'Doc Há Pagar | Rodopar 1015'!$B:$B,V$1)</f>
        <v>0</v>
      </c>
      <c r="W331" s="20">
        <f>SUMIFS('Doc''s Pagos | Rodopar 108'!$J:$J,'Doc''s Pagos | Rodopar 108'!$A:$A,$B331&amp;$E331&amp;$F331&amp;$J331,'Doc''s Pagos | Rodopar 108'!$B:$B,W$1)+SUMIFS('Doc Há Pagar | Rodopar 1015'!$J:$J,'Doc Há Pagar | Rodopar 1015'!$A:$A,$B331&amp;$E331&amp;$F331,'Doc Há Pagar | Rodopar 1015'!$B:$B,W$1)</f>
        <v>0</v>
      </c>
      <c r="X331" s="20">
        <f>SUMIFS('Doc''s Pagos | Rodopar 108'!$J:$J,'Doc''s Pagos | Rodopar 108'!$A:$A,$B331&amp;$E331&amp;$F331&amp;$J331,'Doc''s Pagos | Rodopar 108'!$B:$B,X$1)+SUMIFS('Doc Há Pagar | Rodopar 1015'!$J:$J,'Doc Há Pagar | Rodopar 1015'!$A:$A,$B331&amp;$E331&amp;$F331,'Doc Há Pagar | Rodopar 1015'!$B:$B,X$1)</f>
        <v>0</v>
      </c>
      <c r="Y331" s="20">
        <f>SUMIFS('Doc''s Pagos | Rodopar 108'!$J:$J,'Doc''s Pagos | Rodopar 108'!$A:$A,$B331&amp;$E331&amp;$F331&amp;$J331,'Doc''s Pagos | Rodopar 108'!$B:$B,Y$1)+SUMIFS('Doc Há Pagar | Rodopar 1015'!$J:$J,'Doc Há Pagar | Rodopar 1015'!$A:$A,$B331&amp;$E331&amp;$F331,'Doc Há Pagar | Rodopar 1015'!$B:$B,Y$1)</f>
        <v>0</v>
      </c>
      <c r="Z331" s="20">
        <f>SUMIFS('Doc''s Pagos | Rodopar 108'!$J:$J,'Doc''s Pagos | Rodopar 108'!$A:$A,$B331&amp;$E331&amp;$F331&amp;$J331,'Doc''s Pagos | Rodopar 108'!$B:$B,Z$1)+SUMIFS('Doc Há Pagar | Rodopar 1015'!$J:$J,'Doc Há Pagar | Rodopar 1015'!$A:$A,$B331&amp;$E331&amp;$F331,'Doc Há Pagar | Rodopar 1015'!$B:$B,Z$1)</f>
        <v>377.67</v>
      </c>
      <c r="AA331" s="20">
        <f>SUMIFS('Doc''s Pagos | Rodopar 108'!$J:$J,'Doc''s Pagos | Rodopar 108'!$A:$A,$B331&amp;$E331&amp;$F331&amp;$J331,'Doc''s Pagos | Rodopar 108'!$B:$B,AA$1)+SUMIFS('Doc Há Pagar | Rodopar 1015'!$J:$J,'Doc Há Pagar | Rodopar 1015'!$A:$A,$B331&amp;$E331&amp;$F331,'Doc Há Pagar | Rodopar 1015'!$B:$B,AA$1)</f>
        <v>377.67</v>
      </c>
      <c r="AB331" s="20">
        <f>SUMIFS('Doc''s Pagos | Rodopar 108'!$J:$J,'Doc''s Pagos | Rodopar 108'!$A:$A,$B331&amp;$E331&amp;$F331&amp;$J331,'Doc''s Pagos | Rodopar 108'!$B:$B,AB$1)+SUMIFS('Doc Há Pagar | Rodopar 1015'!$J:$J,'Doc Há Pagar | Rodopar 1015'!$A:$A,$B331&amp;$E331&amp;$F331,'Doc Há Pagar | Rodopar 1015'!$B:$B,AB$1)</f>
        <v>377.66</v>
      </c>
      <c r="AC331" s="20">
        <f>SUMIFS('Doc''s Pagos | Rodopar 108'!$J:$J,'Doc''s Pagos | Rodopar 108'!$A:$A,$B331&amp;$E331&amp;$F331&amp;$J331,'Doc''s Pagos | Rodopar 108'!$B:$B,AC$1)+SUMIFS('Doc Há Pagar | Rodopar 1015'!$J:$J,'Doc Há Pagar | Rodopar 1015'!$A:$A,$B331&amp;$E331&amp;$F331,'Doc Há Pagar | Rodopar 1015'!$B:$B,AC$1)</f>
        <v>0</v>
      </c>
      <c r="AD331" s="20">
        <f>SUMIFS('Doc''s Pagos | Rodopar 108'!$J:$J,'Doc''s Pagos | Rodopar 108'!$A:$A,$B331&amp;$E331&amp;$F331&amp;$J331,'Doc''s Pagos | Rodopar 108'!$B:$B,AD$1)+SUMIFS('Doc Há Pagar | Rodopar 1015'!$J:$J,'Doc Há Pagar | Rodopar 1015'!$A:$A,$B331&amp;$E331&amp;$F331,'Doc Há Pagar | Rodopar 1015'!$B:$B,AD$1)</f>
        <v>0</v>
      </c>
    </row>
    <row r="332" spans="1:30" x14ac:dyDescent="0.25">
      <c r="A332" s="1" t="str">
        <f>VLOOKUP($E332,Fornecedores!$A:$C,3,0)</f>
        <v>Frota</v>
      </c>
      <c r="B332" s="14">
        <v>1898</v>
      </c>
      <c r="C332" s="14" t="str">
        <f>IFERROR(VLOOKUP($E332,Fornecedores!$A:$E,4,0),"")</f>
        <v>Manutenção</v>
      </c>
      <c r="D332" s="14" t="str">
        <f>IFERROR(VLOOKUP($E332,Fornecedores!$A:$E,5,0),"")</f>
        <v>Vans</v>
      </c>
      <c r="E332" s="8" t="s">
        <v>133</v>
      </c>
      <c r="F332" s="14" t="s">
        <v>665</v>
      </c>
      <c r="G332" s="8" t="s">
        <v>493</v>
      </c>
      <c r="H332" s="9">
        <v>87</v>
      </c>
      <c r="I332" s="21">
        <v>2311.48</v>
      </c>
      <c r="J332" s="11">
        <v>46230</v>
      </c>
      <c r="K332" s="11">
        <v>46232</v>
      </c>
      <c r="L332" s="8" t="s">
        <v>494</v>
      </c>
      <c r="M332" s="14" t="s">
        <v>234</v>
      </c>
      <c r="N332" s="16">
        <v>1556</v>
      </c>
      <c r="O332" s="14" t="s">
        <v>250</v>
      </c>
      <c r="P332" s="14"/>
      <c r="Q332" s="20">
        <f t="shared" si="5"/>
        <v>0</v>
      </c>
      <c r="S332" s="20">
        <f>SUMIFS('Doc''s Pagos | Rodopar 108'!$J:$J,'Doc''s Pagos | Rodopar 108'!$A:$A,$B332&amp;$E332&amp;$F332&amp;$J332,'Doc''s Pagos | Rodopar 108'!$B:$B,S$1)+SUMIFS('Doc Há Pagar | Rodopar 1015'!$J:$J,'Doc Há Pagar | Rodopar 1015'!$A:$A,$B332&amp;$E332&amp;$F332,'Doc Há Pagar | Rodopar 1015'!$B:$B,S$1)</f>
        <v>0</v>
      </c>
      <c r="T332" s="20">
        <f>SUMIFS('Doc''s Pagos | Rodopar 108'!$J:$J,'Doc''s Pagos | Rodopar 108'!$A:$A,$B332&amp;$E332&amp;$F332&amp;$J332,'Doc''s Pagos | Rodopar 108'!$B:$B,T$1)+SUMIFS('Doc Há Pagar | Rodopar 1015'!$J:$J,'Doc Há Pagar | Rodopar 1015'!$A:$A,$B332&amp;$E332&amp;$F332,'Doc Há Pagar | Rodopar 1015'!$B:$B,T$1)</f>
        <v>0</v>
      </c>
      <c r="U332" s="20">
        <f>SUMIFS('Doc''s Pagos | Rodopar 108'!$J:$J,'Doc''s Pagos | Rodopar 108'!$A:$A,$B332&amp;$E332&amp;$F332&amp;$J332,'Doc''s Pagos | Rodopar 108'!$B:$B,U$1)+SUMIFS('Doc Há Pagar | Rodopar 1015'!$J:$J,'Doc Há Pagar | Rodopar 1015'!$A:$A,$B332&amp;$E332&amp;$F332,'Doc Há Pagar | Rodopar 1015'!$B:$B,U$1)</f>
        <v>0</v>
      </c>
      <c r="V332" s="20">
        <f>SUMIFS('Doc''s Pagos | Rodopar 108'!$J:$J,'Doc''s Pagos | Rodopar 108'!$A:$A,$B332&amp;$E332&amp;$F332&amp;$J332,'Doc''s Pagos | Rodopar 108'!$B:$B,V$1)+SUMIFS('Doc Há Pagar | Rodopar 1015'!$J:$J,'Doc Há Pagar | Rodopar 1015'!$A:$A,$B332&amp;$E332&amp;$F332,'Doc Há Pagar | Rodopar 1015'!$B:$B,V$1)</f>
        <v>0</v>
      </c>
      <c r="W332" s="20">
        <f>SUMIFS('Doc''s Pagos | Rodopar 108'!$J:$J,'Doc''s Pagos | Rodopar 108'!$A:$A,$B332&amp;$E332&amp;$F332&amp;$J332,'Doc''s Pagos | Rodopar 108'!$B:$B,W$1)+SUMIFS('Doc Há Pagar | Rodopar 1015'!$J:$J,'Doc Há Pagar | Rodopar 1015'!$A:$A,$B332&amp;$E332&amp;$F332,'Doc Há Pagar | Rodopar 1015'!$B:$B,W$1)</f>
        <v>0</v>
      </c>
      <c r="X332" s="20">
        <f>SUMIFS('Doc''s Pagos | Rodopar 108'!$J:$J,'Doc''s Pagos | Rodopar 108'!$A:$A,$B332&amp;$E332&amp;$F332&amp;$J332,'Doc''s Pagos | Rodopar 108'!$B:$B,X$1)+SUMIFS('Doc Há Pagar | Rodopar 1015'!$J:$J,'Doc Há Pagar | Rodopar 1015'!$A:$A,$B332&amp;$E332&amp;$F332,'Doc Há Pagar | Rodopar 1015'!$B:$B,X$1)</f>
        <v>0</v>
      </c>
      <c r="Y332" s="20">
        <f>SUMIFS('Doc''s Pagos | Rodopar 108'!$J:$J,'Doc''s Pagos | Rodopar 108'!$A:$A,$B332&amp;$E332&amp;$F332&amp;$J332,'Doc''s Pagos | Rodopar 108'!$B:$B,Y$1)+SUMIFS('Doc Há Pagar | Rodopar 1015'!$J:$J,'Doc Há Pagar | Rodopar 1015'!$A:$A,$B332&amp;$E332&amp;$F332,'Doc Há Pagar | Rodopar 1015'!$B:$B,Y$1)</f>
        <v>0</v>
      </c>
      <c r="Z332" s="20">
        <f>SUMIFS('Doc''s Pagos | Rodopar 108'!$J:$J,'Doc''s Pagos | Rodopar 108'!$A:$A,$B332&amp;$E332&amp;$F332&amp;$J332,'Doc''s Pagos | Rodopar 108'!$B:$B,Z$1)+SUMIFS('Doc Há Pagar | Rodopar 1015'!$J:$J,'Doc Há Pagar | Rodopar 1015'!$A:$A,$B332&amp;$E332&amp;$F332,'Doc Há Pagar | Rodopar 1015'!$B:$B,Z$1)</f>
        <v>770.5</v>
      </c>
      <c r="AA332" s="20">
        <f>SUMIFS('Doc''s Pagos | Rodopar 108'!$J:$J,'Doc''s Pagos | Rodopar 108'!$A:$A,$B332&amp;$E332&amp;$F332&amp;$J332,'Doc''s Pagos | Rodopar 108'!$B:$B,AA$1)+SUMIFS('Doc Há Pagar | Rodopar 1015'!$J:$J,'Doc Há Pagar | Rodopar 1015'!$A:$A,$B332&amp;$E332&amp;$F332,'Doc Há Pagar | Rodopar 1015'!$B:$B,AA$1)</f>
        <v>770.49</v>
      </c>
      <c r="AB332" s="20">
        <f>SUMIFS('Doc''s Pagos | Rodopar 108'!$J:$J,'Doc''s Pagos | Rodopar 108'!$A:$A,$B332&amp;$E332&amp;$F332&amp;$J332,'Doc''s Pagos | Rodopar 108'!$B:$B,AB$1)+SUMIFS('Doc Há Pagar | Rodopar 1015'!$J:$J,'Doc Há Pagar | Rodopar 1015'!$A:$A,$B332&amp;$E332&amp;$F332,'Doc Há Pagar | Rodopar 1015'!$B:$B,AB$1)</f>
        <v>770.49</v>
      </c>
      <c r="AC332" s="20">
        <f>SUMIFS('Doc''s Pagos | Rodopar 108'!$J:$J,'Doc''s Pagos | Rodopar 108'!$A:$A,$B332&amp;$E332&amp;$F332&amp;$J332,'Doc''s Pagos | Rodopar 108'!$B:$B,AC$1)+SUMIFS('Doc Há Pagar | Rodopar 1015'!$J:$J,'Doc Há Pagar | Rodopar 1015'!$A:$A,$B332&amp;$E332&amp;$F332,'Doc Há Pagar | Rodopar 1015'!$B:$B,AC$1)</f>
        <v>0</v>
      </c>
      <c r="AD332" s="20">
        <f>SUMIFS('Doc''s Pagos | Rodopar 108'!$J:$J,'Doc''s Pagos | Rodopar 108'!$A:$A,$B332&amp;$E332&amp;$F332&amp;$J332,'Doc''s Pagos | Rodopar 108'!$B:$B,AD$1)+SUMIFS('Doc Há Pagar | Rodopar 1015'!$J:$J,'Doc Há Pagar | Rodopar 1015'!$A:$A,$B332&amp;$E332&amp;$F332,'Doc Há Pagar | Rodopar 1015'!$B:$B,AD$1)</f>
        <v>0</v>
      </c>
    </row>
    <row r="333" spans="1:30" x14ac:dyDescent="0.25">
      <c r="A333" s="1" t="str">
        <f>VLOOKUP($E333,Fornecedores!$A:$C,3,0)</f>
        <v>Frota</v>
      </c>
      <c r="B333" s="14">
        <v>2275</v>
      </c>
      <c r="C333" s="14" t="str">
        <f>IFERROR(VLOOKUP($E333,Fornecedores!$A:$E,4,0),"")</f>
        <v>Manutenção</v>
      </c>
      <c r="D333" s="14" t="str">
        <f>IFERROR(VLOOKUP($E333,Fornecedores!$A:$E,5,0),"")</f>
        <v>Vans</v>
      </c>
      <c r="E333" s="8" t="s">
        <v>160</v>
      </c>
      <c r="F333" s="14" t="s">
        <v>665</v>
      </c>
      <c r="G333" s="8" t="s">
        <v>607</v>
      </c>
      <c r="H333" s="9">
        <v>87</v>
      </c>
      <c r="I333" s="21">
        <v>410</v>
      </c>
      <c r="J333" s="11">
        <v>46230</v>
      </c>
      <c r="K333" s="11">
        <v>46230</v>
      </c>
      <c r="L333" s="8" t="s">
        <v>608</v>
      </c>
      <c r="M333" s="14" t="s">
        <v>234</v>
      </c>
      <c r="N333" s="16">
        <v>1556</v>
      </c>
      <c r="O333" s="14" t="s">
        <v>241</v>
      </c>
      <c r="P333" s="14"/>
      <c r="Q333" s="20">
        <f t="shared" si="5"/>
        <v>0</v>
      </c>
      <c r="S333" s="20">
        <f>SUMIFS('Doc''s Pagos | Rodopar 108'!$J:$J,'Doc''s Pagos | Rodopar 108'!$A:$A,$B333&amp;$E333&amp;$F333&amp;$J333,'Doc''s Pagos | Rodopar 108'!$B:$B,S$1)+SUMIFS('Doc Há Pagar | Rodopar 1015'!$J:$J,'Doc Há Pagar | Rodopar 1015'!$A:$A,$B333&amp;$E333&amp;$F333,'Doc Há Pagar | Rodopar 1015'!$B:$B,S$1)</f>
        <v>0</v>
      </c>
      <c r="T333" s="20">
        <f>SUMIFS('Doc''s Pagos | Rodopar 108'!$J:$J,'Doc''s Pagos | Rodopar 108'!$A:$A,$B333&amp;$E333&amp;$F333&amp;$J333,'Doc''s Pagos | Rodopar 108'!$B:$B,T$1)+SUMIFS('Doc Há Pagar | Rodopar 1015'!$J:$J,'Doc Há Pagar | Rodopar 1015'!$A:$A,$B333&amp;$E333&amp;$F333,'Doc Há Pagar | Rodopar 1015'!$B:$B,T$1)</f>
        <v>0</v>
      </c>
      <c r="U333" s="20">
        <f>SUMIFS('Doc''s Pagos | Rodopar 108'!$J:$J,'Doc''s Pagos | Rodopar 108'!$A:$A,$B333&amp;$E333&amp;$F333&amp;$J333,'Doc''s Pagos | Rodopar 108'!$B:$B,U$1)+SUMIFS('Doc Há Pagar | Rodopar 1015'!$J:$J,'Doc Há Pagar | Rodopar 1015'!$A:$A,$B333&amp;$E333&amp;$F333,'Doc Há Pagar | Rodopar 1015'!$B:$B,U$1)</f>
        <v>0</v>
      </c>
      <c r="V333" s="20">
        <f>SUMIFS('Doc''s Pagos | Rodopar 108'!$J:$J,'Doc''s Pagos | Rodopar 108'!$A:$A,$B333&amp;$E333&amp;$F333&amp;$J333,'Doc''s Pagos | Rodopar 108'!$B:$B,V$1)+SUMIFS('Doc Há Pagar | Rodopar 1015'!$J:$J,'Doc Há Pagar | Rodopar 1015'!$A:$A,$B333&amp;$E333&amp;$F333,'Doc Há Pagar | Rodopar 1015'!$B:$B,V$1)</f>
        <v>0</v>
      </c>
      <c r="W333" s="20">
        <f>SUMIFS('Doc''s Pagos | Rodopar 108'!$J:$J,'Doc''s Pagos | Rodopar 108'!$A:$A,$B333&amp;$E333&amp;$F333&amp;$J333,'Doc''s Pagos | Rodopar 108'!$B:$B,W$1)+SUMIFS('Doc Há Pagar | Rodopar 1015'!$J:$J,'Doc Há Pagar | Rodopar 1015'!$A:$A,$B333&amp;$E333&amp;$F333,'Doc Há Pagar | Rodopar 1015'!$B:$B,W$1)</f>
        <v>0</v>
      </c>
      <c r="X333" s="20">
        <f>SUMIFS('Doc''s Pagos | Rodopar 108'!$J:$J,'Doc''s Pagos | Rodopar 108'!$A:$A,$B333&amp;$E333&amp;$F333&amp;$J333,'Doc''s Pagos | Rodopar 108'!$B:$B,X$1)+SUMIFS('Doc Há Pagar | Rodopar 1015'!$J:$J,'Doc Há Pagar | Rodopar 1015'!$A:$A,$B333&amp;$E333&amp;$F333,'Doc Há Pagar | Rodopar 1015'!$B:$B,X$1)</f>
        <v>0</v>
      </c>
      <c r="Y333" s="20">
        <f>SUMIFS('Doc''s Pagos | Rodopar 108'!$J:$J,'Doc''s Pagos | Rodopar 108'!$A:$A,$B333&amp;$E333&amp;$F333&amp;$J333,'Doc''s Pagos | Rodopar 108'!$B:$B,Y$1)+SUMIFS('Doc Há Pagar | Rodopar 1015'!$J:$J,'Doc Há Pagar | Rodopar 1015'!$A:$A,$B333&amp;$E333&amp;$F333,'Doc Há Pagar | Rodopar 1015'!$B:$B,Y$1)</f>
        <v>410</v>
      </c>
      <c r="Z333" s="20">
        <f>SUMIFS('Doc''s Pagos | Rodopar 108'!$J:$J,'Doc''s Pagos | Rodopar 108'!$A:$A,$B333&amp;$E333&amp;$F333&amp;$J333,'Doc''s Pagos | Rodopar 108'!$B:$B,Z$1)+SUMIFS('Doc Há Pagar | Rodopar 1015'!$J:$J,'Doc Há Pagar | Rodopar 1015'!$A:$A,$B333&amp;$E333&amp;$F333,'Doc Há Pagar | Rodopar 1015'!$B:$B,Z$1)</f>
        <v>0</v>
      </c>
      <c r="AA333" s="20">
        <f>SUMIFS('Doc''s Pagos | Rodopar 108'!$J:$J,'Doc''s Pagos | Rodopar 108'!$A:$A,$B333&amp;$E333&amp;$F333&amp;$J333,'Doc''s Pagos | Rodopar 108'!$B:$B,AA$1)+SUMIFS('Doc Há Pagar | Rodopar 1015'!$J:$J,'Doc Há Pagar | Rodopar 1015'!$A:$A,$B333&amp;$E333&amp;$F333,'Doc Há Pagar | Rodopar 1015'!$B:$B,AA$1)</f>
        <v>0</v>
      </c>
      <c r="AB333" s="20">
        <f>SUMIFS('Doc''s Pagos | Rodopar 108'!$J:$J,'Doc''s Pagos | Rodopar 108'!$A:$A,$B333&amp;$E333&amp;$F333&amp;$J333,'Doc''s Pagos | Rodopar 108'!$B:$B,AB$1)+SUMIFS('Doc Há Pagar | Rodopar 1015'!$J:$J,'Doc Há Pagar | Rodopar 1015'!$A:$A,$B333&amp;$E333&amp;$F333,'Doc Há Pagar | Rodopar 1015'!$B:$B,AB$1)</f>
        <v>0</v>
      </c>
      <c r="AC333" s="20">
        <f>SUMIFS('Doc''s Pagos | Rodopar 108'!$J:$J,'Doc''s Pagos | Rodopar 108'!$A:$A,$B333&amp;$E333&amp;$F333&amp;$J333,'Doc''s Pagos | Rodopar 108'!$B:$B,AC$1)+SUMIFS('Doc Há Pagar | Rodopar 1015'!$J:$J,'Doc Há Pagar | Rodopar 1015'!$A:$A,$B333&amp;$E333&amp;$F333,'Doc Há Pagar | Rodopar 1015'!$B:$B,AC$1)</f>
        <v>0</v>
      </c>
      <c r="AD333" s="20">
        <f>SUMIFS('Doc''s Pagos | Rodopar 108'!$J:$J,'Doc''s Pagos | Rodopar 108'!$A:$A,$B333&amp;$E333&amp;$F333&amp;$J333,'Doc''s Pagos | Rodopar 108'!$B:$B,AD$1)+SUMIFS('Doc Há Pagar | Rodopar 1015'!$J:$J,'Doc Há Pagar | Rodopar 1015'!$A:$A,$B333&amp;$E333&amp;$F333,'Doc Há Pagar | Rodopar 1015'!$B:$B,AD$1)</f>
        <v>0</v>
      </c>
    </row>
    <row r="334" spans="1:30" x14ac:dyDescent="0.25">
      <c r="A334" s="1" t="str">
        <f>VLOOKUP($E334,Fornecedores!$A:$C,3,0)</f>
        <v>Frota</v>
      </c>
      <c r="B334" s="14">
        <v>335</v>
      </c>
      <c r="C334" s="14" t="str">
        <f>IFERROR(VLOOKUP($E334,Fornecedores!$A:$E,4,0),"")</f>
        <v>Manutenção</v>
      </c>
      <c r="D334" s="14" t="str">
        <f>IFERROR(VLOOKUP($E334,Fornecedores!$A:$E,5,0),"")</f>
        <v>Peças E Serviços</v>
      </c>
      <c r="E334" s="8" t="s">
        <v>77</v>
      </c>
      <c r="F334" s="14" t="s">
        <v>665</v>
      </c>
      <c r="G334" s="8" t="s">
        <v>585</v>
      </c>
      <c r="H334" s="9">
        <v>87</v>
      </c>
      <c r="I334" s="21">
        <v>220</v>
      </c>
      <c r="J334" s="11">
        <v>46230</v>
      </c>
      <c r="K334" s="11">
        <v>46255</v>
      </c>
      <c r="L334" s="8" t="s">
        <v>501</v>
      </c>
      <c r="M334" s="14" t="s">
        <v>234</v>
      </c>
      <c r="N334" s="16">
        <v>1556</v>
      </c>
      <c r="O334" s="14" t="s">
        <v>241</v>
      </c>
      <c r="P334" s="14"/>
      <c r="Q334" s="20">
        <f t="shared" si="5"/>
        <v>0</v>
      </c>
      <c r="S334" s="20">
        <f>SUMIFS('Doc''s Pagos | Rodopar 108'!$J:$J,'Doc''s Pagos | Rodopar 108'!$A:$A,$B334&amp;$E334&amp;$F334&amp;$J334,'Doc''s Pagos | Rodopar 108'!$B:$B,S$1)+SUMIFS('Doc Há Pagar | Rodopar 1015'!$J:$J,'Doc Há Pagar | Rodopar 1015'!$A:$A,$B334&amp;$E334&amp;$F334,'Doc Há Pagar | Rodopar 1015'!$B:$B,S$1)</f>
        <v>0</v>
      </c>
      <c r="T334" s="20">
        <f>SUMIFS('Doc''s Pagos | Rodopar 108'!$J:$J,'Doc''s Pagos | Rodopar 108'!$A:$A,$B334&amp;$E334&amp;$F334&amp;$J334,'Doc''s Pagos | Rodopar 108'!$B:$B,T$1)+SUMIFS('Doc Há Pagar | Rodopar 1015'!$J:$J,'Doc Há Pagar | Rodopar 1015'!$A:$A,$B334&amp;$E334&amp;$F334,'Doc Há Pagar | Rodopar 1015'!$B:$B,T$1)</f>
        <v>0</v>
      </c>
      <c r="U334" s="20">
        <f>SUMIFS('Doc''s Pagos | Rodopar 108'!$J:$J,'Doc''s Pagos | Rodopar 108'!$A:$A,$B334&amp;$E334&amp;$F334&amp;$J334,'Doc''s Pagos | Rodopar 108'!$B:$B,U$1)+SUMIFS('Doc Há Pagar | Rodopar 1015'!$J:$J,'Doc Há Pagar | Rodopar 1015'!$A:$A,$B334&amp;$E334&amp;$F334,'Doc Há Pagar | Rodopar 1015'!$B:$B,U$1)</f>
        <v>0</v>
      </c>
      <c r="V334" s="20">
        <f>SUMIFS('Doc''s Pagos | Rodopar 108'!$J:$J,'Doc''s Pagos | Rodopar 108'!$A:$A,$B334&amp;$E334&amp;$F334&amp;$J334,'Doc''s Pagos | Rodopar 108'!$B:$B,V$1)+SUMIFS('Doc Há Pagar | Rodopar 1015'!$J:$J,'Doc Há Pagar | Rodopar 1015'!$A:$A,$B334&amp;$E334&amp;$F334,'Doc Há Pagar | Rodopar 1015'!$B:$B,V$1)</f>
        <v>0</v>
      </c>
      <c r="W334" s="20">
        <f>SUMIFS('Doc''s Pagos | Rodopar 108'!$J:$J,'Doc''s Pagos | Rodopar 108'!$A:$A,$B334&amp;$E334&amp;$F334&amp;$J334,'Doc''s Pagos | Rodopar 108'!$B:$B,W$1)+SUMIFS('Doc Há Pagar | Rodopar 1015'!$J:$J,'Doc Há Pagar | Rodopar 1015'!$A:$A,$B334&amp;$E334&amp;$F334,'Doc Há Pagar | Rodopar 1015'!$B:$B,W$1)</f>
        <v>0</v>
      </c>
      <c r="X334" s="20">
        <f>SUMIFS('Doc''s Pagos | Rodopar 108'!$J:$J,'Doc''s Pagos | Rodopar 108'!$A:$A,$B334&amp;$E334&amp;$F334&amp;$J334,'Doc''s Pagos | Rodopar 108'!$B:$B,X$1)+SUMIFS('Doc Há Pagar | Rodopar 1015'!$J:$J,'Doc Há Pagar | Rodopar 1015'!$A:$A,$B334&amp;$E334&amp;$F334,'Doc Há Pagar | Rodopar 1015'!$B:$B,X$1)</f>
        <v>0</v>
      </c>
      <c r="Y334" s="20">
        <f>SUMIFS('Doc''s Pagos | Rodopar 108'!$J:$J,'Doc''s Pagos | Rodopar 108'!$A:$A,$B334&amp;$E334&amp;$F334&amp;$J334,'Doc''s Pagos | Rodopar 108'!$B:$B,Y$1)+SUMIFS('Doc Há Pagar | Rodopar 1015'!$J:$J,'Doc Há Pagar | Rodopar 1015'!$A:$A,$B334&amp;$E334&amp;$F334,'Doc Há Pagar | Rodopar 1015'!$B:$B,Y$1)</f>
        <v>0</v>
      </c>
      <c r="Z334" s="20">
        <f>SUMIFS('Doc''s Pagos | Rodopar 108'!$J:$J,'Doc''s Pagos | Rodopar 108'!$A:$A,$B334&amp;$E334&amp;$F334&amp;$J334,'Doc''s Pagos | Rodopar 108'!$B:$B,Z$1)+SUMIFS('Doc Há Pagar | Rodopar 1015'!$J:$J,'Doc Há Pagar | Rodopar 1015'!$A:$A,$B334&amp;$E334&amp;$F334,'Doc Há Pagar | Rodopar 1015'!$B:$B,Z$1)</f>
        <v>220</v>
      </c>
      <c r="AA334" s="20">
        <f>SUMIFS('Doc''s Pagos | Rodopar 108'!$J:$J,'Doc''s Pagos | Rodopar 108'!$A:$A,$B334&amp;$E334&amp;$F334&amp;$J334,'Doc''s Pagos | Rodopar 108'!$B:$B,AA$1)+SUMIFS('Doc Há Pagar | Rodopar 1015'!$J:$J,'Doc Há Pagar | Rodopar 1015'!$A:$A,$B334&amp;$E334&amp;$F334,'Doc Há Pagar | Rodopar 1015'!$B:$B,AA$1)</f>
        <v>0</v>
      </c>
      <c r="AB334" s="20">
        <f>SUMIFS('Doc''s Pagos | Rodopar 108'!$J:$J,'Doc''s Pagos | Rodopar 108'!$A:$A,$B334&amp;$E334&amp;$F334&amp;$J334,'Doc''s Pagos | Rodopar 108'!$B:$B,AB$1)+SUMIFS('Doc Há Pagar | Rodopar 1015'!$J:$J,'Doc Há Pagar | Rodopar 1015'!$A:$A,$B334&amp;$E334&amp;$F334,'Doc Há Pagar | Rodopar 1015'!$B:$B,AB$1)</f>
        <v>0</v>
      </c>
      <c r="AC334" s="20">
        <f>SUMIFS('Doc''s Pagos | Rodopar 108'!$J:$J,'Doc''s Pagos | Rodopar 108'!$A:$A,$B334&amp;$E334&amp;$F334&amp;$J334,'Doc''s Pagos | Rodopar 108'!$B:$B,AC$1)+SUMIFS('Doc Há Pagar | Rodopar 1015'!$J:$J,'Doc Há Pagar | Rodopar 1015'!$A:$A,$B334&amp;$E334&amp;$F334,'Doc Há Pagar | Rodopar 1015'!$B:$B,AC$1)</f>
        <v>0</v>
      </c>
      <c r="AD334" s="20">
        <f>SUMIFS('Doc''s Pagos | Rodopar 108'!$J:$J,'Doc''s Pagos | Rodopar 108'!$A:$A,$B334&amp;$E334&amp;$F334&amp;$J334,'Doc''s Pagos | Rodopar 108'!$B:$B,AD$1)+SUMIFS('Doc Há Pagar | Rodopar 1015'!$J:$J,'Doc Há Pagar | Rodopar 1015'!$A:$A,$B334&amp;$E334&amp;$F334,'Doc Há Pagar | Rodopar 1015'!$B:$B,AD$1)</f>
        <v>0</v>
      </c>
    </row>
    <row r="335" spans="1:30" x14ac:dyDescent="0.25">
      <c r="A335" s="1" t="str">
        <f>VLOOKUP($E335,Fornecedores!$A:$C,3,0)</f>
        <v>Frota</v>
      </c>
      <c r="B335" s="14">
        <v>764</v>
      </c>
      <c r="C335" s="14" t="str">
        <f>IFERROR(VLOOKUP($E335,Fornecedores!$A:$E,4,0),"")</f>
        <v>Manutenção</v>
      </c>
      <c r="D335" s="14" t="str">
        <f>IFERROR(VLOOKUP($E335,Fornecedores!$A:$E,5,0),"")</f>
        <v>Vans</v>
      </c>
      <c r="E335" s="8" t="s">
        <v>23</v>
      </c>
      <c r="F335" s="14" t="s">
        <v>665</v>
      </c>
      <c r="G335" s="8" t="s">
        <v>557</v>
      </c>
      <c r="H335" s="9">
        <v>87</v>
      </c>
      <c r="I335" s="21">
        <v>500</v>
      </c>
      <c r="J335" s="11">
        <v>46231</v>
      </c>
      <c r="K335" s="11">
        <v>46232</v>
      </c>
      <c r="L335" s="8" t="s">
        <v>501</v>
      </c>
      <c r="M335" s="14" t="s">
        <v>234</v>
      </c>
      <c r="N335" s="16">
        <v>1556</v>
      </c>
      <c r="O335" s="14" t="s">
        <v>250</v>
      </c>
      <c r="P335" s="14"/>
      <c r="Q335" s="20">
        <f t="shared" si="5"/>
        <v>0</v>
      </c>
      <c r="S335" s="20">
        <f>SUMIFS('Doc''s Pagos | Rodopar 108'!$J:$J,'Doc''s Pagos | Rodopar 108'!$A:$A,$B335&amp;$E335&amp;$F335&amp;$J335,'Doc''s Pagos | Rodopar 108'!$B:$B,S$1)+SUMIFS('Doc Há Pagar | Rodopar 1015'!$J:$J,'Doc Há Pagar | Rodopar 1015'!$A:$A,$B335&amp;$E335&amp;$F335,'Doc Há Pagar | Rodopar 1015'!$B:$B,S$1)</f>
        <v>0</v>
      </c>
      <c r="T335" s="20">
        <f>SUMIFS('Doc''s Pagos | Rodopar 108'!$J:$J,'Doc''s Pagos | Rodopar 108'!$A:$A,$B335&amp;$E335&amp;$F335&amp;$J335,'Doc''s Pagos | Rodopar 108'!$B:$B,T$1)+SUMIFS('Doc Há Pagar | Rodopar 1015'!$J:$J,'Doc Há Pagar | Rodopar 1015'!$A:$A,$B335&amp;$E335&amp;$F335,'Doc Há Pagar | Rodopar 1015'!$B:$B,T$1)</f>
        <v>0</v>
      </c>
      <c r="U335" s="20">
        <f>SUMIFS('Doc''s Pagos | Rodopar 108'!$J:$J,'Doc''s Pagos | Rodopar 108'!$A:$A,$B335&amp;$E335&amp;$F335&amp;$J335,'Doc''s Pagos | Rodopar 108'!$B:$B,U$1)+SUMIFS('Doc Há Pagar | Rodopar 1015'!$J:$J,'Doc Há Pagar | Rodopar 1015'!$A:$A,$B335&amp;$E335&amp;$F335,'Doc Há Pagar | Rodopar 1015'!$B:$B,U$1)</f>
        <v>0</v>
      </c>
      <c r="V335" s="20">
        <f>SUMIFS('Doc''s Pagos | Rodopar 108'!$J:$J,'Doc''s Pagos | Rodopar 108'!$A:$A,$B335&amp;$E335&amp;$F335&amp;$J335,'Doc''s Pagos | Rodopar 108'!$B:$B,V$1)+SUMIFS('Doc Há Pagar | Rodopar 1015'!$J:$J,'Doc Há Pagar | Rodopar 1015'!$A:$A,$B335&amp;$E335&amp;$F335,'Doc Há Pagar | Rodopar 1015'!$B:$B,V$1)</f>
        <v>0</v>
      </c>
      <c r="W335" s="20">
        <f>SUMIFS('Doc''s Pagos | Rodopar 108'!$J:$J,'Doc''s Pagos | Rodopar 108'!$A:$A,$B335&amp;$E335&amp;$F335&amp;$J335,'Doc''s Pagos | Rodopar 108'!$B:$B,W$1)+SUMIFS('Doc Há Pagar | Rodopar 1015'!$J:$J,'Doc Há Pagar | Rodopar 1015'!$A:$A,$B335&amp;$E335&amp;$F335,'Doc Há Pagar | Rodopar 1015'!$B:$B,W$1)</f>
        <v>0</v>
      </c>
      <c r="X335" s="20">
        <f>SUMIFS('Doc''s Pagos | Rodopar 108'!$J:$J,'Doc''s Pagos | Rodopar 108'!$A:$A,$B335&amp;$E335&amp;$F335&amp;$J335,'Doc''s Pagos | Rodopar 108'!$B:$B,X$1)+SUMIFS('Doc Há Pagar | Rodopar 1015'!$J:$J,'Doc Há Pagar | Rodopar 1015'!$A:$A,$B335&amp;$E335&amp;$F335,'Doc Há Pagar | Rodopar 1015'!$B:$B,X$1)</f>
        <v>0</v>
      </c>
      <c r="Y335" s="20">
        <f>SUMIFS('Doc''s Pagos | Rodopar 108'!$J:$J,'Doc''s Pagos | Rodopar 108'!$A:$A,$B335&amp;$E335&amp;$F335&amp;$J335,'Doc''s Pagos | Rodopar 108'!$B:$B,Y$1)+SUMIFS('Doc Há Pagar | Rodopar 1015'!$J:$J,'Doc Há Pagar | Rodopar 1015'!$A:$A,$B335&amp;$E335&amp;$F335,'Doc Há Pagar | Rodopar 1015'!$B:$B,Y$1)</f>
        <v>0</v>
      </c>
      <c r="Z335" s="20">
        <f>SUMIFS('Doc''s Pagos | Rodopar 108'!$J:$J,'Doc''s Pagos | Rodopar 108'!$A:$A,$B335&amp;$E335&amp;$F335&amp;$J335,'Doc''s Pagos | Rodopar 108'!$B:$B,Z$1)+SUMIFS('Doc Há Pagar | Rodopar 1015'!$J:$J,'Doc Há Pagar | Rodopar 1015'!$A:$A,$B335&amp;$E335&amp;$F335,'Doc Há Pagar | Rodopar 1015'!$B:$B,Z$1)</f>
        <v>500</v>
      </c>
      <c r="AA335" s="20">
        <f>SUMIFS('Doc''s Pagos | Rodopar 108'!$J:$J,'Doc''s Pagos | Rodopar 108'!$A:$A,$B335&amp;$E335&amp;$F335&amp;$J335,'Doc''s Pagos | Rodopar 108'!$B:$B,AA$1)+SUMIFS('Doc Há Pagar | Rodopar 1015'!$J:$J,'Doc Há Pagar | Rodopar 1015'!$A:$A,$B335&amp;$E335&amp;$F335,'Doc Há Pagar | Rodopar 1015'!$B:$B,AA$1)</f>
        <v>0</v>
      </c>
      <c r="AB335" s="20">
        <f>SUMIFS('Doc''s Pagos | Rodopar 108'!$J:$J,'Doc''s Pagos | Rodopar 108'!$A:$A,$B335&amp;$E335&amp;$F335&amp;$J335,'Doc''s Pagos | Rodopar 108'!$B:$B,AB$1)+SUMIFS('Doc Há Pagar | Rodopar 1015'!$J:$J,'Doc Há Pagar | Rodopar 1015'!$A:$A,$B335&amp;$E335&amp;$F335,'Doc Há Pagar | Rodopar 1015'!$B:$B,AB$1)</f>
        <v>0</v>
      </c>
      <c r="AC335" s="20">
        <f>SUMIFS('Doc''s Pagos | Rodopar 108'!$J:$J,'Doc''s Pagos | Rodopar 108'!$A:$A,$B335&amp;$E335&amp;$F335&amp;$J335,'Doc''s Pagos | Rodopar 108'!$B:$B,AC$1)+SUMIFS('Doc Há Pagar | Rodopar 1015'!$J:$J,'Doc Há Pagar | Rodopar 1015'!$A:$A,$B335&amp;$E335&amp;$F335,'Doc Há Pagar | Rodopar 1015'!$B:$B,AC$1)</f>
        <v>0</v>
      </c>
      <c r="AD335" s="20">
        <f>SUMIFS('Doc''s Pagos | Rodopar 108'!$J:$J,'Doc''s Pagos | Rodopar 108'!$A:$A,$B335&amp;$E335&amp;$F335&amp;$J335,'Doc''s Pagos | Rodopar 108'!$B:$B,AD$1)+SUMIFS('Doc Há Pagar | Rodopar 1015'!$J:$J,'Doc Há Pagar | Rodopar 1015'!$A:$A,$B335&amp;$E335&amp;$F335,'Doc Há Pagar | Rodopar 1015'!$B:$B,AD$1)</f>
        <v>0</v>
      </c>
    </row>
    <row r="336" spans="1:30" x14ac:dyDescent="0.25">
      <c r="A336" s="1" t="str">
        <f>VLOOKUP($E336,Fornecedores!$A:$C,3,0)</f>
        <v>Frota</v>
      </c>
      <c r="B336" s="14">
        <v>766</v>
      </c>
      <c r="C336" s="14" t="str">
        <f>IFERROR(VLOOKUP($E336,Fornecedores!$A:$E,4,0),"")</f>
        <v>Manutenção</v>
      </c>
      <c r="D336" s="14" t="str">
        <f>IFERROR(VLOOKUP($E336,Fornecedores!$A:$E,5,0),"")</f>
        <v>Vans</v>
      </c>
      <c r="E336" s="8" t="s">
        <v>23</v>
      </c>
      <c r="F336" s="14" t="s">
        <v>665</v>
      </c>
      <c r="G336" s="8" t="s">
        <v>557</v>
      </c>
      <c r="H336" s="9">
        <v>87</v>
      </c>
      <c r="I336" s="21">
        <v>500</v>
      </c>
      <c r="J336" s="11">
        <v>46231</v>
      </c>
      <c r="K336" s="11">
        <v>46232</v>
      </c>
      <c r="L336" s="8" t="s">
        <v>501</v>
      </c>
      <c r="M336" s="14" t="s">
        <v>234</v>
      </c>
      <c r="N336" s="16">
        <v>1556</v>
      </c>
      <c r="O336" s="14" t="s">
        <v>250</v>
      </c>
      <c r="P336" s="14"/>
      <c r="Q336" s="20">
        <f t="shared" si="5"/>
        <v>0</v>
      </c>
      <c r="S336" s="20">
        <f>SUMIFS('Doc''s Pagos | Rodopar 108'!$J:$J,'Doc''s Pagos | Rodopar 108'!$A:$A,$B336&amp;$E336&amp;$F336&amp;$J336,'Doc''s Pagos | Rodopar 108'!$B:$B,S$1)+SUMIFS('Doc Há Pagar | Rodopar 1015'!$J:$J,'Doc Há Pagar | Rodopar 1015'!$A:$A,$B336&amp;$E336&amp;$F336,'Doc Há Pagar | Rodopar 1015'!$B:$B,S$1)</f>
        <v>0</v>
      </c>
      <c r="T336" s="20">
        <f>SUMIFS('Doc''s Pagos | Rodopar 108'!$J:$J,'Doc''s Pagos | Rodopar 108'!$A:$A,$B336&amp;$E336&amp;$F336&amp;$J336,'Doc''s Pagos | Rodopar 108'!$B:$B,T$1)+SUMIFS('Doc Há Pagar | Rodopar 1015'!$J:$J,'Doc Há Pagar | Rodopar 1015'!$A:$A,$B336&amp;$E336&amp;$F336,'Doc Há Pagar | Rodopar 1015'!$B:$B,T$1)</f>
        <v>0</v>
      </c>
      <c r="U336" s="20">
        <f>SUMIFS('Doc''s Pagos | Rodopar 108'!$J:$J,'Doc''s Pagos | Rodopar 108'!$A:$A,$B336&amp;$E336&amp;$F336&amp;$J336,'Doc''s Pagos | Rodopar 108'!$B:$B,U$1)+SUMIFS('Doc Há Pagar | Rodopar 1015'!$J:$J,'Doc Há Pagar | Rodopar 1015'!$A:$A,$B336&amp;$E336&amp;$F336,'Doc Há Pagar | Rodopar 1015'!$B:$B,U$1)</f>
        <v>0</v>
      </c>
      <c r="V336" s="20">
        <f>SUMIFS('Doc''s Pagos | Rodopar 108'!$J:$J,'Doc''s Pagos | Rodopar 108'!$A:$A,$B336&amp;$E336&amp;$F336&amp;$J336,'Doc''s Pagos | Rodopar 108'!$B:$B,V$1)+SUMIFS('Doc Há Pagar | Rodopar 1015'!$J:$J,'Doc Há Pagar | Rodopar 1015'!$A:$A,$B336&amp;$E336&amp;$F336,'Doc Há Pagar | Rodopar 1015'!$B:$B,V$1)</f>
        <v>0</v>
      </c>
      <c r="W336" s="20">
        <f>SUMIFS('Doc''s Pagos | Rodopar 108'!$J:$J,'Doc''s Pagos | Rodopar 108'!$A:$A,$B336&amp;$E336&amp;$F336&amp;$J336,'Doc''s Pagos | Rodopar 108'!$B:$B,W$1)+SUMIFS('Doc Há Pagar | Rodopar 1015'!$J:$J,'Doc Há Pagar | Rodopar 1015'!$A:$A,$B336&amp;$E336&amp;$F336,'Doc Há Pagar | Rodopar 1015'!$B:$B,W$1)</f>
        <v>0</v>
      </c>
      <c r="X336" s="20">
        <f>SUMIFS('Doc''s Pagos | Rodopar 108'!$J:$J,'Doc''s Pagos | Rodopar 108'!$A:$A,$B336&amp;$E336&amp;$F336&amp;$J336,'Doc''s Pagos | Rodopar 108'!$B:$B,X$1)+SUMIFS('Doc Há Pagar | Rodopar 1015'!$J:$J,'Doc Há Pagar | Rodopar 1015'!$A:$A,$B336&amp;$E336&amp;$F336,'Doc Há Pagar | Rodopar 1015'!$B:$B,X$1)</f>
        <v>0</v>
      </c>
      <c r="Y336" s="20">
        <f>SUMIFS('Doc''s Pagos | Rodopar 108'!$J:$J,'Doc''s Pagos | Rodopar 108'!$A:$A,$B336&amp;$E336&amp;$F336&amp;$J336,'Doc''s Pagos | Rodopar 108'!$B:$B,Y$1)+SUMIFS('Doc Há Pagar | Rodopar 1015'!$J:$J,'Doc Há Pagar | Rodopar 1015'!$A:$A,$B336&amp;$E336&amp;$F336,'Doc Há Pagar | Rodopar 1015'!$B:$B,Y$1)</f>
        <v>0</v>
      </c>
      <c r="Z336" s="20">
        <f>SUMIFS('Doc''s Pagos | Rodopar 108'!$J:$J,'Doc''s Pagos | Rodopar 108'!$A:$A,$B336&amp;$E336&amp;$F336&amp;$J336,'Doc''s Pagos | Rodopar 108'!$B:$B,Z$1)+SUMIFS('Doc Há Pagar | Rodopar 1015'!$J:$J,'Doc Há Pagar | Rodopar 1015'!$A:$A,$B336&amp;$E336&amp;$F336,'Doc Há Pagar | Rodopar 1015'!$B:$B,Z$1)</f>
        <v>500</v>
      </c>
      <c r="AA336" s="20">
        <f>SUMIFS('Doc''s Pagos | Rodopar 108'!$J:$J,'Doc''s Pagos | Rodopar 108'!$A:$A,$B336&amp;$E336&amp;$F336&amp;$J336,'Doc''s Pagos | Rodopar 108'!$B:$B,AA$1)+SUMIFS('Doc Há Pagar | Rodopar 1015'!$J:$J,'Doc Há Pagar | Rodopar 1015'!$A:$A,$B336&amp;$E336&amp;$F336,'Doc Há Pagar | Rodopar 1015'!$B:$B,AA$1)</f>
        <v>0</v>
      </c>
      <c r="AB336" s="20">
        <f>SUMIFS('Doc''s Pagos | Rodopar 108'!$J:$J,'Doc''s Pagos | Rodopar 108'!$A:$A,$B336&amp;$E336&amp;$F336&amp;$J336,'Doc''s Pagos | Rodopar 108'!$B:$B,AB$1)+SUMIFS('Doc Há Pagar | Rodopar 1015'!$J:$J,'Doc Há Pagar | Rodopar 1015'!$A:$A,$B336&amp;$E336&amp;$F336,'Doc Há Pagar | Rodopar 1015'!$B:$B,AB$1)</f>
        <v>0</v>
      </c>
      <c r="AC336" s="20">
        <f>SUMIFS('Doc''s Pagos | Rodopar 108'!$J:$J,'Doc''s Pagos | Rodopar 108'!$A:$A,$B336&amp;$E336&amp;$F336&amp;$J336,'Doc''s Pagos | Rodopar 108'!$B:$B,AC$1)+SUMIFS('Doc Há Pagar | Rodopar 1015'!$J:$J,'Doc Há Pagar | Rodopar 1015'!$A:$A,$B336&amp;$E336&amp;$F336,'Doc Há Pagar | Rodopar 1015'!$B:$B,AC$1)</f>
        <v>0</v>
      </c>
      <c r="AD336" s="20">
        <f>SUMIFS('Doc''s Pagos | Rodopar 108'!$J:$J,'Doc''s Pagos | Rodopar 108'!$A:$A,$B336&amp;$E336&amp;$F336&amp;$J336,'Doc''s Pagos | Rodopar 108'!$B:$B,AD$1)+SUMIFS('Doc Há Pagar | Rodopar 1015'!$J:$J,'Doc Há Pagar | Rodopar 1015'!$A:$A,$B336&amp;$E336&amp;$F336,'Doc Há Pagar | Rodopar 1015'!$B:$B,AD$1)</f>
        <v>0</v>
      </c>
    </row>
    <row r="337" spans="1:30" x14ac:dyDescent="0.25">
      <c r="A337" s="1" t="str">
        <f>VLOOKUP($E337,Fornecedores!$A:$C,3,0)</f>
        <v>Frota</v>
      </c>
      <c r="B337" s="14">
        <v>40260</v>
      </c>
      <c r="C337" s="14" t="str">
        <f>IFERROR(VLOOKUP($E337,Fornecedores!$A:$E,4,0),"")</f>
        <v>Manutenção</v>
      </c>
      <c r="D337" s="14" t="str">
        <f>IFERROR(VLOOKUP($E337,Fornecedores!$A:$E,5,0),"")</f>
        <v>Vans</v>
      </c>
      <c r="E337" s="8" t="s">
        <v>133</v>
      </c>
      <c r="F337" s="14" t="s">
        <v>380</v>
      </c>
      <c r="G337" s="8" t="s">
        <v>493</v>
      </c>
      <c r="H337" s="9">
        <v>87</v>
      </c>
      <c r="I337" s="21">
        <v>1602.46</v>
      </c>
      <c r="J337" s="11">
        <v>46232</v>
      </c>
      <c r="K337" s="11">
        <v>46234</v>
      </c>
      <c r="L337" s="8" t="s">
        <v>494</v>
      </c>
      <c r="M337" s="14" t="s">
        <v>234</v>
      </c>
      <c r="N337" s="16">
        <v>1556</v>
      </c>
      <c r="O337" s="14" t="s">
        <v>241</v>
      </c>
      <c r="P337" s="14"/>
      <c r="Q337" s="20">
        <f t="shared" si="5"/>
        <v>0</v>
      </c>
      <c r="S337" s="20">
        <f>SUMIFS('Doc''s Pagos | Rodopar 108'!$J:$J,'Doc''s Pagos | Rodopar 108'!$A:$A,$B337&amp;$E337&amp;$F337&amp;$J337,'Doc''s Pagos | Rodopar 108'!$B:$B,S$1)+SUMIFS('Doc Há Pagar | Rodopar 1015'!$J:$J,'Doc Há Pagar | Rodopar 1015'!$A:$A,$B337&amp;$E337&amp;$F337,'Doc Há Pagar | Rodopar 1015'!$B:$B,S$1)</f>
        <v>0</v>
      </c>
      <c r="T337" s="20">
        <f>SUMIFS('Doc''s Pagos | Rodopar 108'!$J:$J,'Doc''s Pagos | Rodopar 108'!$A:$A,$B337&amp;$E337&amp;$F337&amp;$J337,'Doc''s Pagos | Rodopar 108'!$B:$B,T$1)+SUMIFS('Doc Há Pagar | Rodopar 1015'!$J:$J,'Doc Há Pagar | Rodopar 1015'!$A:$A,$B337&amp;$E337&amp;$F337,'Doc Há Pagar | Rodopar 1015'!$B:$B,T$1)</f>
        <v>0</v>
      </c>
      <c r="U337" s="20">
        <f>SUMIFS('Doc''s Pagos | Rodopar 108'!$J:$J,'Doc''s Pagos | Rodopar 108'!$A:$A,$B337&amp;$E337&amp;$F337&amp;$J337,'Doc''s Pagos | Rodopar 108'!$B:$B,U$1)+SUMIFS('Doc Há Pagar | Rodopar 1015'!$J:$J,'Doc Há Pagar | Rodopar 1015'!$A:$A,$B337&amp;$E337&amp;$F337,'Doc Há Pagar | Rodopar 1015'!$B:$B,U$1)</f>
        <v>0</v>
      </c>
      <c r="V337" s="20">
        <f>SUMIFS('Doc''s Pagos | Rodopar 108'!$J:$J,'Doc''s Pagos | Rodopar 108'!$A:$A,$B337&amp;$E337&amp;$F337&amp;$J337,'Doc''s Pagos | Rodopar 108'!$B:$B,V$1)+SUMIFS('Doc Há Pagar | Rodopar 1015'!$J:$J,'Doc Há Pagar | Rodopar 1015'!$A:$A,$B337&amp;$E337&amp;$F337,'Doc Há Pagar | Rodopar 1015'!$B:$B,V$1)</f>
        <v>0</v>
      </c>
      <c r="W337" s="20">
        <f>SUMIFS('Doc''s Pagos | Rodopar 108'!$J:$J,'Doc''s Pagos | Rodopar 108'!$A:$A,$B337&amp;$E337&amp;$F337&amp;$J337,'Doc''s Pagos | Rodopar 108'!$B:$B,W$1)+SUMIFS('Doc Há Pagar | Rodopar 1015'!$J:$J,'Doc Há Pagar | Rodopar 1015'!$A:$A,$B337&amp;$E337&amp;$F337,'Doc Há Pagar | Rodopar 1015'!$B:$B,W$1)</f>
        <v>0</v>
      </c>
      <c r="X337" s="20">
        <f>SUMIFS('Doc''s Pagos | Rodopar 108'!$J:$J,'Doc''s Pagos | Rodopar 108'!$A:$A,$B337&amp;$E337&amp;$F337&amp;$J337,'Doc''s Pagos | Rodopar 108'!$B:$B,X$1)+SUMIFS('Doc Há Pagar | Rodopar 1015'!$J:$J,'Doc Há Pagar | Rodopar 1015'!$A:$A,$B337&amp;$E337&amp;$F337,'Doc Há Pagar | Rodopar 1015'!$B:$B,X$1)</f>
        <v>0</v>
      </c>
      <c r="Y337" s="20">
        <f>SUMIFS('Doc''s Pagos | Rodopar 108'!$J:$J,'Doc''s Pagos | Rodopar 108'!$A:$A,$B337&amp;$E337&amp;$F337&amp;$J337,'Doc''s Pagos | Rodopar 108'!$B:$B,Y$1)+SUMIFS('Doc Há Pagar | Rodopar 1015'!$J:$J,'Doc Há Pagar | Rodopar 1015'!$A:$A,$B337&amp;$E337&amp;$F337,'Doc Há Pagar | Rodopar 1015'!$B:$B,Y$1)</f>
        <v>0</v>
      </c>
      <c r="Z337" s="20">
        <f>SUMIFS('Doc''s Pagos | Rodopar 108'!$J:$J,'Doc''s Pagos | Rodopar 108'!$A:$A,$B337&amp;$E337&amp;$F337&amp;$J337,'Doc''s Pagos | Rodopar 108'!$B:$B,Z$1)+SUMIFS('Doc Há Pagar | Rodopar 1015'!$J:$J,'Doc Há Pagar | Rodopar 1015'!$A:$A,$B337&amp;$E337&amp;$F337,'Doc Há Pagar | Rodopar 1015'!$B:$B,Z$1)</f>
        <v>801.23</v>
      </c>
      <c r="AA337" s="20">
        <f>SUMIFS('Doc''s Pagos | Rodopar 108'!$J:$J,'Doc''s Pagos | Rodopar 108'!$A:$A,$B337&amp;$E337&amp;$F337&amp;$J337,'Doc''s Pagos | Rodopar 108'!$B:$B,AA$1)+SUMIFS('Doc Há Pagar | Rodopar 1015'!$J:$J,'Doc Há Pagar | Rodopar 1015'!$A:$A,$B337&amp;$E337&amp;$F337,'Doc Há Pagar | Rodopar 1015'!$B:$B,AA$1)</f>
        <v>801.23</v>
      </c>
      <c r="AB337" s="20">
        <f>SUMIFS('Doc''s Pagos | Rodopar 108'!$J:$J,'Doc''s Pagos | Rodopar 108'!$A:$A,$B337&amp;$E337&amp;$F337&amp;$J337,'Doc''s Pagos | Rodopar 108'!$B:$B,AB$1)+SUMIFS('Doc Há Pagar | Rodopar 1015'!$J:$J,'Doc Há Pagar | Rodopar 1015'!$A:$A,$B337&amp;$E337&amp;$F337,'Doc Há Pagar | Rodopar 1015'!$B:$B,AB$1)</f>
        <v>0</v>
      </c>
      <c r="AC337" s="20">
        <f>SUMIFS('Doc''s Pagos | Rodopar 108'!$J:$J,'Doc''s Pagos | Rodopar 108'!$A:$A,$B337&amp;$E337&amp;$F337&amp;$J337,'Doc''s Pagos | Rodopar 108'!$B:$B,AC$1)+SUMIFS('Doc Há Pagar | Rodopar 1015'!$J:$J,'Doc Há Pagar | Rodopar 1015'!$A:$A,$B337&amp;$E337&amp;$F337,'Doc Há Pagar | Rodopar 1015'!$B:$B,AC$1)</f>
        <v>0</v>
      </c>
      <c r="AD337" s="20">
        <f>SUMIFS('Doc''s Pagos | Rodopar 108'!$J:$J,'Doc''s Pagos | Rodopar 108'!$A:$A,$B337&amp;$E337&amp;$F337&amp;$J337,'Doc''s Pagos | Rodopar 108'!$B:$B,AD$1)+SUMIFS('Doc Há Pagar | Rodopar 1015'!$J:$J,'Doc Há Pagar | Rodopar 1015'!$A:$A,$B337&amp;$E337&amp;$F337,'Doc Há Pagar | Rodopar 1015'!$B:$B,AD$1)</f>
        <v>0</v>
      </c>
    </row>
    <row r="338" spans="1:30" x14ac:dyDescent="0.25">
      <c r="A338" s="1" t="str">
        <f>VLOOKUP($E338,Fornecedores!$A:$C,3,0)</f>
        <v>Frota</v>
      </c>
      <c r="B338" s="14">
        <v>40262</v>
      </c>
      <c r="C338" s="14" t="str">
        <f>IFERROR(VLOOKUP($E338,Fornecedores!$A:$E,4,0),"")</f>
        <v>Manutenção</v>
      </c>
      <c r="D338" s="14" t="str">
        <f>IFERROR(VLOOKUP($E338,Fornecedores!$A:$E,5,0),"")</f>
        <v>Vans</v>
      </c>
      <c r="E338" s="8" t="s">
        <v>133</v>
      </c>
      <c r="F338" s="14" t="s">
        <v>380</v>
      </c>
      <c r="G338" s="8" t="s">
        <v>493</v>
      </c>
      <c r="H338" s="9">
        <v>87</v>
      </c>
      <c r="I338" s="21">
        <v>4540.8</v>
      </c>
      <c r="J338" s="11">
        <v>46232</v>
      </c>
      <c r="K338" s="11">
        <v>46234</v>
      </c>
      <c r="L338" s="8" t="s">
        <v>494</v>
      </c>
      <c r="M338" s="14" t="s">
        <v>234</v>
      </c>
      <c r="N338" s="16">
        <v>1556</v>
      </c>
      <c r="O338" s="14" t="s">
        <v>241</v>
      </c>
      <c r="P338" s="14"/>
      <c r="Q338" s="20">
        <f t="shared" si="5"/>
        <v>0</v>
      </c>
      <c r="S338" s="20">
        <f>SUMIFS('Doc''s Pagos | Rodopar 108'!$J:$J,'Doc''s Pagos | Rodopar 108'!$A:$A,$B338&amp;$E338&amp;$F338&amp;$J338,'Doc''s Pagos | Rodopar 108'!$B:$B,S$1)+SUMIFS('Doc Há Pagar | Rodopar 1015'!$J:$J,'Doc Há Pagar | Rodopar 1015'!$A:$A,$B338&amp;$E338&amp;$F338,'Doc Há Pagar | Rodopar 1015'!$B:$B,S$1)</f>
        <v>0</v>
      </c>
      <c r="T338" s="20">
        <f>SUMIFS('Doc''s Pagos | Rodopar 108'!$J:$J,'Doc''s Pagos | Rodopar 108'!$A:$A,$B338&amp;$E338&amp;$F338&amp;$J338,'Doc''s Pagos | Rodopar 108'!$B:$B,T$1)+SUMIFS('Doc Há Pagar | Rodopar 1015'!$J:$J,'Doc Há Pagar | Rodopar 1015'!$A:$A,$B338&amp;$E338&amp;$F338,'Doc Há Pagar | Rodopar 1015'!$B:$B,T$1)</f>
        <v>0</v>
      </c>
      <c r="U338" s="20">
        <f>SUMIFS('Doc''s Pagos | Rodopar 108'!$J:$J,'Doc''s Pagos | Rodopar 108'!$A:$A,$B338&amp;$E338&amp;$F338&amp;$J338,'Doc''s Pagos | Rodopar 108'!$B:$B,U$1)+SUMIFS('Doc Há Pagar | Rodopar 1015'!$J:$J,'Doc Há Pagar | Rodopar 1015'!$A:$A,$B338&amp;$E338&amp;$F338,'Doc Há Pagar | Rodopar 1015'!$B:$B,U$1)</f>
        <v>0</v>
      </c>
      <c r="V338" s="20">
        <f>SUMIFS('Doc''s Pagos | Rodopar 108'!$J:$J,'Doc''s Pagos | Rodopar 108'!$A:$A,$B338&amp;$E338&amp;$F338&amp;$J338,'Doc''s Pagos | Rodopar 108'!$B:$B,V$1)+SUMIFS('Doc Há Pagar | Rodopar 1015'!$J:$J,'Doc Há Pagar | Rodopar 1015'!$A:$A,$B338&amp;$E338&amp;$F338,'Doc Há Pagar | Rodopar 1015'!$B:$B,V$1)</f>
        <v>0</v>
      </c>
      <c r="W338" s="20">
        <f>SUMIFS('Doc''s Pagos | Rodopar 108'!$J:$J,'Doc''s Pagos | Rodopar 108'!$A:$A,$B338&amp;$E338&amp;$F338&amp;$J338,'Doc''s Pagos | Rodopar 108'!$B:$B,W$1)+SUMIFS('Doc Há Pagar | Rodopar 1015'!$J:$J,'Doc Há Pagar | Rodopar 1015'!$A:$A,$B338&amp;$E338&amp;$F338,'Doc Há Pagar | Rodopar 1015'!$B:$B,W$1)</f>
        <v>0</v>
      </c>
      <c r="X338" s="20">
        <f>SUMIFS('Doc''s Pagos | Rodopar 108'!$J:$J,'Doc''s Pagos | Rodopar 108'!$A:$A,$B338&amp;$E338&amp;$F338&amp;$J338,'Doc''s Pagos | Rodopar 108'!$B:$B,X$1)+SUMIFS('Doc Há Pagar | Rodopar 1015'!$J:$J,'Doc Há Pagar | Rodopar 1015'!$A:$A,$B338&amp;$E338&amp;$F338,'Doc Há Pagar | Rodopar 1015'!$B:$B,X$1)</f>
        <v>0</v>
      </c>
      <c r="Y338" s="20">
        <f>SUMIFS('Doc''s Pagos | Rodopar 108'!$J:$J,'Doc''s Pagos | Rodopar 108'!$A:$A,$B338&amp;$E338&amp;$F338&amp;$J338,'Doc''s Pagos | Rodopar 108'!$B:$B,Y$1)+SUMIFS('Doc Há Pagar | Rodopar 1015'!$J:$J,'Doc Há Pagar | Rodopar 1015'!$A:$A,$B338&amp;$E338&amp;$F338,'Doc Há Pagar | Rodopar 1015'!$B:$B,Y$1)</f>
        <v>0</v>
      </c>
      <c r="Z338" s="20">
        <f>SUMIFS('Doc''s Pagos | Rodopar 108'!$J:$J,'Doc''s Pagos | Rodopar 108'!$A:$A,$B338&amp;$E338&amp;$F338&amp;$J338,'Doc''s Pagos | Rodopar 108'!$B:$B,Z$1)+SUMIFS('Doc Há Pagar | Rodopar 1015'!$J:$J,'Doc Há Pagar | Rodopar 1015'!$A:$A,$B338&amp;$E338&amp;$F338,'Doc Há Pagar | Rodopar 1015'!$B:$B,Z$1)</f>
        <v>2270.4</v>
      </c>
      <c r="AA338" s="20">
        <f>SUMIFS('Doc''s Pagos | Rodopar 108'!$J:$J,'Doc''s Pagos | Rodopar 108'!$A:$A,$B338&amp;$E338&amp;$F338&amp;$J338,'Doc''s Pagos | Rodopar 108'!$B:$B,AA$1)+SUMIFS('Doc Há Pagar | Rodopar 1015'!$J:$J,'Doc Há Pagar | Rodopar 1015'!$A:$A,$B338&amp;$E338&amp;$F338,'Doc Há Pagar | Rodopar 1015'!$B:$B,AA$1)</f>
        <v>2270.4</v>
      </c>
      <c r="AB338" s="20">
        <f>SUMIFS('Doc''s Pagos | Rodopar 108'!$J:$J,'Doc''s Pagos | Rodopar 108'!$A:$A,$B338&amp;$E338&amp;$F338&amp;$J338,'Doc''s Pagos | Rodopar 108'!$B:$B,AB$1)+SUMIFS('Doc Há Pagar | Rodopar 1015'!$J:$J,'Doc Há Pagar | Rodopar 1015'!$A:$A,$B338&amp;$E338&amp;$F338,'Doc Há Pagar | Rodopar 1015'!$B:$B,AB$1)</f>
        <v>0</v>
      </c>
      <c r="AC338" s="20">
        <f>SUMIFS('Doc''s Pagos | Rodopar 108'!$J:$J,'Doc''s Pagos | Rodopar 108'!$A:$A,$B338&amp;$E338&amp;$F338&amp;$J338,'Doc''s Pagos | Rodopar 108'!$B:$B,AC$1)+SUMIFS('Doc Há Pagar | Rodopar 1015'!$J:$J,'Doc Há Pagar | Rodopar 1015'!$A:$A,$B338&amp;$E338&amp;$F338,'Doc Há Pagar | Rodopar 1015'!$B:$B,AC$1)</f>
        <v>0</v>
      </c>
      <c r="AD338" s="20">
        <f>SUMIFS('Doc''s Pagos | Rodopar 108'!$J:$J,'Doc''s Pagos | Rodopar 108'!$A:$A,$B338&amp;$E338&amp;$F338&amp;$J338,'Doc''s Pagos | Rodopar 108'!$B:$B,AD$1)+SUMIFS('Doc Há Pagar | Rodopar 1015'!$J:$J,'Doc Há Pagar | Rodopar 1015'!$A:$A,$B338&amp;$E338&amp;$F338,'Doc Há Pagar | Rodopar 1015'!$B:$B,AD$1)</f>
        <v>0</v>
      </c>
    </row>
    <row r="339" spans="1:30" x14ac:dyDescent="0.25">
      <c r="A339" s="1" t="str">
        <f>VLOOKUP($E339,Fornecedores!$A:$C,3,0)</f>
        <v>Frota</v>
      </c>
      <c r="B339" s="14">
        <v>1924</v>
      </c>
      <c r="C339" s="14" t="str">
        <f>IFERROR(VLOOKUP($E339,Fornecedores!$A:$E,4,0),"")</f>
        <v>Manutenção</v>
      </c>
      <c r="D339" s="14" t="str">
        <f>IFERROR(VLOOKUP($E339,Fornecedores!$A:$E,5,0),"")</f>
        <v>Vans</v>
      </c>
      <c r="E339" s="8" t="s">
        <v>133</v>
      </c>
      <c r="F339" s="14" t="s">
        <v>665</v>
      </c>
      <c r="G339" s="8" t="s">
        <v>493</v>
      </c>
      <c r="H339" s="9">
        <v>87</v>
      </c>
      <c r="I339" s="21">
        <v>875.5</v>
      </c>
      <c r="J339" s="11">
        <v>46232</v>
      </c>
      <c r="K339" s="11">
        <v>46234</v>
      </c>
      <c r="L339" s="8" t="s">
        <v>494</v>
      </c>
      <c r="M339" s="14" t="s">
        <v>234</v>
      </c>
      <c r="N339" s="16">
        <v>1556</v>
      </c>
      <c r="O339" s="14" t="s">
        <v>241</v>
      </c>
      <c r="P339" s="14"/>
      <c r="Q339" s="20">
        <f t="shared" si="5"/>
        <v>0</v>
      </c>
      <c r="S339" s="20">
        <f>SUMIFS('Doc''s Pagos | Rodopar 108'!$J:$J,'Doc''s Pagos | Rodopar 108'!$A:$A,$B339&amp;$E339&amp;$F339&amp;$J339,'Doc''s Pagos | Rodopar 108'!$B:$B,S$1)+SUMIFS('Doc Há Pagar | Rodopar 1015'!$J:$J,'Doc Há Pagar | Rodopar 1015'!$A:$A,$B339&amp;$E339&amp;$F339,'Doc Há Pagar | Rodopar 1015'!$B:$B,S$1)</f>
        <v>0</v>
      </c>
      <c r="T339" s="20">
        <f>SUMIFS('Doc''s Pagos | Rodopar 108'!$J:$J,'Doc''s Pagos | Rodopar 108'!$A:$A,$B339&amp;$E339&amp;$F339&amp;$J339,'Doc''s Pagos | Rodopar 108'!$B:$B,T$1)+SUMIFS('Doc Há Pagar | Rodopar 1015'!$J:$J,'Doc Há Pagar | Rodopar 1015'!$A:$A,$B339&amp;$E339&amp;$F339,'Doc Há Pagar | Rodopar 1015'!$B:$B,T$1)</f>
        <v>0</v>
      </c>
      <c r="U339" s="20">
        <f>SUMIFS('Doc''s Pagos | Rodopar 108'!$J:$J,'Doc''s Pagos | Rodopar 108'!$A:$A,$B339&amp;$E339&amp;$F339&amp;$J339,'Doc''s Pagos | Rodopar 108'!$B:$B,U$1)+SUMIFS('Doc Há Pagar | Rodopar 1015'!$J:$J,'Doc Há Pagar | Rodopar 1015'!$A:$A,$B339&amp;$E339&amp;$F339,'Doc Há Pagar | Rodopar 1015'!$B:$B,U$1)</f>
        <v>0</v>
      </c>
      <c r="V339" s="20">
        <f>SUMIFS('Doc''s Pagos | Rodopar 108'!$J:$J,'Doc''s Pagos | Rodopar 108'!$A:$A,$B339&amp;$E339&amp;$F339&amp;$J339,'Doc''s Pagos | Rodopar 108'!$B:$B,V$1)+SUMIFS('Doc Há Pagar | Rodopar 1015'!$J:$J,'Doc Há Pagar | Rodopar 1015'!$A:$A,$B339&amp;$E339&amp;$F339,'Doc Há Pagar | Rodopar 1015'!$B:$B,V$1)</f>
        <v>0</v>
      </c>
      <c r="W339" s="20">
        <f>SUMIFS('Doc''s Pagos | Rodopar 108'!$J:$J,'Doc''s Pagos | Rodopar 108'!$A:$A,$B339&amp;$E339&amp;$F339&amp;$J339,'Doc''s Pagos | Rodopar 108'!$B:$B,W$1)+SUMIFS('Doc Há Pagar | Rodopar 1015'!$J:$J,'Doc Há Pagar | Rodopar 1015'!$A:$A,$B339&amp;$E339&amp;$F339,'Doc Há Pagar | Rodopar 1015'!$B:$B,W$1)</f>
        <v>0</v>
      </c>
      <c r="X339" s="20">
        <f>SUMIFS('Doc''s Pagos | Rodopar 108'!$J:$J,'Doc''s Pagos | Rodopar 108'!$A:$A,$B339&amp;$E339&amp;$F339&amp;$J339,'Doc''s Pagos | Rodopar 108'!$B:$B,X$1)+SUMIFS('Doc Há Pagar | Rodopar 1015'!$J:$J,'Doc Há Pagar | Rodopar 1015'!$A:$A,$B339&amp;$E339&amp;$F339,'Doc Há Pagar | Rodopar 1015'!$B:$B,X$1)</f>
        <v>0</v>
      </c>
      <c r="Y339" s="20">
        <f>SUMIFS('Doc''s Pagos | Rodopar 108'!$J:$J,'Doc''s Pagos | Rodopar 108'!$A:$A,$B339&amp;$E339&amp;$F339&amp;$J339,'Doc''s Pagos | Rodopar 108'!$B:$B,Y$1)+SUMIFS('Doc Há Pagar | Rodopar 1015'!$J:$J,'Doc Há Pagar | Rodopar 1015'!$A:$A,$B339&amp;$E339&amp;$F339,'Doc Há Pagar | Rodopar 1015'!$B:$B,Y$1)</f>
        <v>0</v>
      </c>
      <c r="Z339" s="20">
        <f>SUMIFS('Doc''s Pagos | Rodopar 108'!$J:$J,'Doc''s Pagos | Rodopar 108'!$A:$A,$B339&amp;$E339&amp;$F339&amp;$J339,'Doc''s Pagos | Rodopar 108'!$B:$B,Z$1)+SUMIFS('Doc Há Pagar | Rodopar 1015'!$J:$J,'Doc Há Pagar | Rodopar 1015'!$A:$A,$B339&amp;$E339&amp;$F339,'Doc Há Pagar | Rodopar 1015'!$B:$B,Z$1)</f>
        <v>437.75</v>
      </c>
      <c r="AA339" s="20">
        <f>SUMIFS('Doc''s Pagos | Rodopar 108'!$J:$J,'Doc''s Pagos | Rodopar 108'!$A:$A,$B339&amp;$E339&amp;$F339&amp;$J339,'Doc''s Pagos | Rodopar 108'!$B:$B,AA$1)+SUMIFS('Doc Há Pagar | Rodopar 1015'!$J:$J,'Doc Há Pagar | Rodopar 1015'!$A:$A,$B339&amp;$E339&amp;$F339,'Doc Há Pagar | Rodopar 1015'!$B:$B,AA$1)</f>
        <v>437.75</v>
      </c>
      <c r="AB339" s="20">
        <f>SUMIFS('Doc''s Pagos | Rodopar 108'!$J:$J,'Doc''s Pagos | Rodopar 108'!$A:$A,$B339&amp;$E339&amp;$F339&amp;$J339,'Doc''s Pagos | Rodopar 108'!$B:$B,AB$1)+SUMIFS('Doc Há Pagar | Rodopar 1015'!$J:$J,'Doc Há Pagar | Rodopar 1015'!$A:$A,$B339&amp;$E339&amp;$F339,'Doc Há Pagar | Rodopar 1015'!$B:$B,AB$1)</f>
        <v>0</v>
      </c>
      <c r="AC339" s="20">
        <f>SUMIFS('Doc''s Pagos | Rodopar 108'!$J:$J,'Doc''s Pagos | Rodopar 108'!$A:$A,$B339&amp;$E339&amp;$F339&amp;$J339,'Doc''s Pagos | Rodopar 108'!$B:$B,AC$1)+SUMIFS('Doc Há Pagar | Rodopar 1015'!$J:$J,'Doc Há Pagar | Rodopar 1015'!$A:$A,$B339&amp;$E339&amp;$F339,'Doc Há Pagar | Rodopar 1015'!$B:$B,AC$1)</f>
        <v>0</v>
      </c>
      <c r="AD339" s="20">
        <f>SUMIFS('Doc''s Pagos | Rodopar 108'!$J:$J,'Doc''s Pagos | Rodopar 108'!$A:$A,$B339&amp;$E339&amp;$F339&amp;$J339,'Doc''s Pagos | Rodopar 108'!$B:$B,AD$1)+SUMIFS('Doc Há Pagar | Rodopar 1015'!$J:$J,'Doc Há Pagar | Rodopar 1015'!$A:$A,$B339&amp;$E339&amp;$F339,'Doc Há Pagar | Rodopar 1015'!$B:$B,AD$1)</f>
        <v>0</v>
      </c>
    </row>
    <row r="340" spans="1:30" x14ac:dyDescent="0.25">
      <c r="A340" s="1" t="str">
        <f>VLOOKUP($E340,Fornecedores!$A:$C,3,0)</f>
        <v>Frota</v>
      </c>
      <c r="B340" s="14">
        <v>1925</v>
      </c>
      <c r="C340" s="14" t="str">
        <f>IFERROR(VLOOKUP($E340,Fornecedores!$A:$E,4,0),"")</f>
        <v>Manutenção</v>
      </c>
      <c r="D340" s="14" t="str">
        <f>IFERROR(VLOOKUP($E340,Fornecedores!$A:$E,5,0),"")</f>
        <v>Vans</v>
      </c>
      <c r="E340" s="8" t="s">
        <v>133</v>
      </c>
      <c r="F340" s="14" t="s">
        <v>665</v>
      </c>
      <c r="G340" s="8" t="s">
        <v>493</v>
      </c>
      <c r="H340" s="9">
        <v>87</v>
      </c>
      <c r="I340" s="21">
        <v>1287.5</v>
      </c>
      <c r="J340" s="11">
        <v>46232</v>
      </c>
      <c r="K340" s="11">
        <v>46234</v>
      </c>
      <c r="L340" s="8" t="s">
        <v>494</v>
      </c>
      <c r="M340" s="14" t="s">
        <v>234</v>
      </c>
      <c r="N340" s="16">
        <v>1556</v>
      </c>
      <c r="O340" s="14" t="s">
        <v>241</v>
      </c>
      <c r="P340" s="14"/>
      <c r="Q340" s="20">
        <f t="shared" si="5"/>
        <v>0</v>
      </c>
      <c r="S340" s="20">
        <f>SUMIFS('Doc''s Pagos | Rodopar 108'!$J:$J,'Doc''s Pagos | Rodopar 108'!$A:$A,$B340&amp;$E340&amp;$F340&amp;$J340,'Doc''s Pagos | Rodopar 108'!$B:$B,S$1)+SUMIFS('Doc Há Pagar | Rodopar 1015'!$J:$J,'Doc Há Pagar | Rodopar 1015'!$A:$A,$B340&amp;$E340&amp;$F340,'Doc Há Pagar | Rodopar 1015'!$B:$B,S$1)</f>
        <v>0</v>
      </c>
      <c r="T340" s="20">
        <f>SUMIFS('Doc''s Pagos | Rodopar 108'!$J:$J,'Doc''s Pagos | Rodopar 108'!$A:$A,$B340&amp;$E340&amp;$F340&amp;$J340,'Doc''s Pagos | Rodopar 108'!$B:$B,T$1)+SUMIFS('Doc Há Pagar | Rodopar 1015'!$J:$J,'Doc Há Pagar | Rodopar 1015'!$A:$A,$B340&amp;$E340&amp;$F340,'Doc Há Pagar | Rodopar 1015'!$B:$B,T$1)</f>
        <v>0</v>
      </c>
      <c r="U340" s="20">
        <f>SUMIFS('Doc''s Pagos | Rodopar 108'!$J:$J,'Doc''s Pagos | Rodopar 108'!$A:$A,$B340&amp;$E340&amp;$F340&amp;$J340,'Doc''s Pagos | Rodopar 108'!$B:$B,U$1)+SUMIFS('Doc Há Pagar | Rodopar 1015'!$J:$J,'Doc Há Pagar | Rodopar 1015'!$A:$A,$B340&amp;$E340&amp;$F340,'Doc Há Pagar | Rodopar 1015'!$B:$B,U$1)</f>
        <v>0</v>
      </c>
      <c r="V340" s="20">
        <f>SUMIFS('Doc''s Pagos | Rodopar 108'!$J:$J,'Doc''s Pagos | Rodopar 108'!$A:$A,$B340&amp;$E340&amp;$F340&amp;$J340,'Doc''s Pagos | Rodopar 108'!$B:$B,V$1)+SUMIFS('Doc Há Pagar | Rodopar 1015'!$J:$J,'Doc Há Pagar | Rodopar 1015'!$A:$A,$B340&amp;$E340&amp;$F340,'Doc Há Pagar | Rodopar 1015'!$B:$B,V$1)</f>
        <v>0</v>
      </c>
      <c r="W340" s="20">
        <f>SUMIFS('Doc''s Pagos | Rodopar 108'!$J:$J,'Doc''s Pagos | Rodopar 108'!$A:$A,$B340&amp;$E340&amp;$F340&amp;$J340,'Doc''s Pagos | Rodopar 108'!$B:$B,W$1)+SUMIFS('Doc Há Pagar | Rodopar 1015'!$J:$J,'Doc Há Pagar | Rodopar 1015'!$A:$A,$B340&amp;$E340&amp;$F340,'Doc Há Pagar | Rodopar 1015'!$B:$B,W$1)</f>
        <v>0</v>
      </c>
      <c r="X340" s="20">
        <f>SUMIFS('Doc''s Pagos | Rodopar 108'!$J:$J,'Doc''s Pagos | Rodopar 108'!$A:$A,$B340&amp;$E340&amp;$F340&amp;$J340,'Doc''s Pagos | Rodopar 108'!$B:$B,X$1)+SUMIFS('Doc Há Pagar | Rodopar 1015'!$J:$J,'Doc Há Pagar | Rodopar 1015'!$A:$A,$B340&amp;$E340&amp;$F340,'Doc Há Pagar | Rodopar 1015'!$B:$B,X$1)</f>
        <v>0</v>
      </c>
      <c r="Y340" s="20">
        <f>SUMIFS('Doc''s Pagos | Rodopar 108'!$J:$J,'Doc''s Pagos | Rodopar 108'!$A:$A,$B340&amp;$E340&amp;$F340&amp;$J340,'Doc''s Pagos | Rodopar 108'!$B:$B,Y$1)+SUMIFS('Doc Há Pagar | Rodopar 1015'!$J:$J,'Doc Há Pagar | Rodopar 1015'!$A:$A,$B340&amp;$E340&amp;$F340,'Doc Há Pagar | Rodopar 1015'!$B:$B,Y$1)</f>
        <v>0</v>
      </c>
      <c r="Z340" s="20">
        <f>SUMIFS('Doc''s Pagos | Rodopar 108'!$J:$J,'Doc''s Pagos | Rodopar 108'!$A:$A,$B340&amp;$E340&amp;$F340&amp;$J340,'Doc''s Pagos | Rodopar 108'!$B:$B,Z$1)+SUMIFS('Doc Há Pagar | Rodopar 1015'!$J:$J,'Doc Há Pagar | Rodopar 1015'!$A:$A,$B340&amp;$E340&amp;$F340,'Doc Há Pagar | Rodopar 1015'!$B:$B,Z$1)</f>
        <v>643.75</v>
      </c>
      <c r="AA340" s="20">
        <f>SUMIFS('Doc''s Pagos | Rodopar 108'!$J:$J,'Doc''s Pagos | Rodopar 108'!$A:$A,$B340&amp;$E340&amp;$F340&amp;$J340,'Doc''s Pagos | Rodopar 108'!$B:$B,AA$1)+SUMIFS('Doc Há Pagar | Rodopar 1015'!$J:$J,'Doc Há Pagar | Rodopar 1015'!$A:$A,$B340&amp;$E340&amp;$F340,'Doc Há Pagar | Rodopar 1015'!$B:$B,AA$1)</f>
        <v>643.75</v>
      </c>
      <c r="AB340" s="20">
        <f>SUMIFS('Doc''s Pagos | Rodopar 108'!$J:$J,'Doc''s Pagos | Rodopar 108'!$A:$A,$B340&amp;$E340&amp;$F340&amp;$J340,'Doc''s Pagos | Rodopar 108'!$B:$B,AB$1)+SUMIFS('Doc Há Pagar | Rodopar 1015'!$J:$J,'Doc Há Pagar | Rodopar 1015'!$A:$A,$B340&amp;$E340&amp;$F340,'Doc Há Pagar | Rodopar 1015'!$B:$B,AB$1)</f>
        <v>0</v>
      </c>
      <c r="AC340" s="20">
        <f>SUMIFS('Doc''s Pagos | Rodopar 108'!$J:$J,'Doc''s Pagos | Rodopar 108'!$A:$A,$B340&amp;$E340&amp;$F340&amp;$J340,'Doc''s Pagos | Rodopar 108'!$B:$B,AC$1)+SUMIFS('Doc Há Pagar | Rodopar 1015'!$J:$J,'Doc Há Pagar | Rodopar 1015'!$A:$A,$B340&amp;$E340&amp;$F340,'Doc Há Pagar | Rodopar 1015'!$B:$B,AC$1)</f>
        <v>0</v>
      </c>
      <c r="AD340" s="20">
        <f>SUMIFS('Doc''s Pagos | Rodopar 108'!$J:$J,'Doc''s Pagos | Rodopar 108'!$A:$A,$B340&amp;$E340&amp;$F340&amp;$J340,'Doc''s Pagos | Rodopar 108'!$B:$B,AD$1)+SUMIFS('Doc Há Pagar | Rodopar 1015'!$J:$J,'Doc Há Pagar | Rodopar 1015'!$A:$A,$B340&amp;$E340&amp;$F340,'Doc Há Pagar | Rodopar 1015'!$B:$B,AD$1)</f>
        <v>0</v>
      </c>
    </row>
    <row r="341" spans="1:30" x14ac:dyDescent="0.25">
      <c r="A341" s="1" t="str">
        <f>VLOOKUP($E341,Fornecedores!$A:$C,3,0)</f>
        <v>Frota</v>
      </c>
      <c r="B341" s="14">
        <v>40352</v>
      </c>
      <c r="C341" s="14" t="str">
        <f>IFERROR(VLOOKUP($E341,Fornecedores!$A:$E,4,0),"")</f>
        <v>Manutenção</v>
      </c>
      <c r="D341" s="14" t="str">
        <f>IFERROR(VLOOKUP($E341,Fornecedores!$A:$E,5,0),"")</f>
        <v>Vans</v>
      </c>
      <c r="E341" s="8" t="s">
        <v>133</v>
      </c>
      <c r="F341" s="14" t="s">
        <v>380</v>
      </c>
      <c r="G341" s="8" t="s">
        <v>493</v>
      </c>
      <c r="H341" s="9">
        <v>87</v>
      </c>
      <c r="I341" s="21">
        <v>12213.87</v>
      </c>
      <c r="J341" s="11">
        <v>46233</v>
      </c>
      <c r="K341" s="11">
        <v>46234</v>
      </c>
      <c r="L341" s="8" t="s">
        <v>494</v>
      </c>
      <c r="M341" s="14" t="s">
        <v>234</v>
      </c>
      <c r="N341" s="16">
        <v>1556</v>
      </c>
      <c r="O341" s="14" t="s">
        <v>241</v>
      </c>
      <c r="P341" s="14"/>
      <c r="Q341" s="20">
        <f t="shared" si="5"/>
        <v>-2035.6399999999994</v>
      </c>
      <c r="S341" s="20">
        <f>SUMIFS('Doc''s Pagos | Rodopar 108'!$J:$J,'Doc''s Pagos | Rodopar 108'!$A:$A,$B341&amp;$E341&amp;$F341&amp;$J341,'Doc''s Pagos | Rodopar 108'!$B:$B,S$1)+SUMIFS('Doc Há Pagar | Rodopar 1015'!$J:$J,'Doc Há Pagar | Rodopar 1015'!$A:$A,$B341&amp;$E341&amp;$F341,'Doc Há Pagar | Rodopar 1015'!$B:$B,S$1)</f>
        <v>0</v>
      </c>
      <c r="T341" s="20">
        <f>SUMIFS('Doc''s Pagos | Rodopar 108'!$J:$J,'Doc''s Pagos | Rodopar 108'!$A:$A,$B341&amp;$E341&amp;$F341&amp;$J341,'Doc''s Pagos | Rodopar 108'!$B:$B,T$1)+SUMIFS('Doc Há Pagar | Rodopar 1015'!$J:$J,'Doc Há Pagar | Rodopar 1015'!$A:$A,$B341&amp;$E341&amp;$F341,'Doc Há Pagar | Rodopar 1015'!$B:$B,T$1)</f>
        <v>0</v>
      </c>
      <c r="U341" s="20">
        <f>SUMIFS('Doc''s Pagos | Rodopar 108'!$J:$J,'Doc''s Pagos | Rodopar 108'!$A:$A,$B341&amp;$E341&amp;$F341&amp;$J341,'Doc''s Pagos | Rodopar 108'!$B:$B,U$1)+SUMIFS('Doc Há Pagar | Rodopar 1015'!$J:$J,'Doc Há Pagar | Rodopar 1015'!$A:$A,$B341&amp;$E341&amp;$F341,'Doc Há Pagar | Rodopar 1015'!$B:$B,U$1)</f>
        <v>0</v>
      </c>
      <c r="V341" s="20">
        <f>SUMIFS('Doc''s Pagos | Rodopar 108'!$J:$J,'Doc''s Pagos | Rodopar 108'!$A:$A,$B341&amp;$E341&amp;$F341&amp;$J341,'Doc''s Pagos | Rodopar 108'!$B:$B,V$1)+SUMIFS('Doc Há Pagar | Rodopar 1015'!$J:$J,'Doc Há Pagar | Rodopar 1015'!$A:$A,$B341&amp;$E341&amp;$F341,'Doc Há Pagar | Rodopar 1015'!$B:$B,V$1)</f>
        <v>0</v>
      </c>
      <c r="W341" s="20">
        <f>SUMIFS('Doc''s Pagos | Rodopar 108'!$J:$J,'Doc''s Pagos | Rodopar 108'!$A:$A,$B341&amp;$E341&amp;$F341&amp;$J341,'Doc''s Pagos | Rodopar 108'!$B:$B,W$1)+SUMIFS('Doc Há Pagar | Rodopar 1015'!$J:$J,'Doc Há Pagar | Rodopar 1015'!$A:$A,$B341&amp;$E341&amp;$F341,'Doc Há Pagar | Rodopar 1015'!$B:$B,W$1)</f>
        <v>0</v>
      </c>
      <c r="X341" s="20">
        <f>SUMIFS('Doc''s Pagos | Rodopar 108'!$J:$J,'Doc''s Pagos | Rodopar 108'!$A:$A,$B341&amp;$E341&amp;$F341&amp;$J341,'Doc''s Pagos | Rodopar 108'!$B:$B,X$1)+SUMIFS('Doc Há Pagar | Rodopar 1015'!$J:$J,'Doc Há Pagar | Rodopar 1015'!$A:$A,$B341&amp;$E341&amp;$F341,'Doc Há Pagar | Rodopar 1015'!$B:$B,X$1)</f>
        <v>0</v>
      </c>
      <c r="Y341" s="20">
        <f>SUMIFS('Doc''s Pagos | Rodopar 108'!$J:$J,'Doc''s Pagos | Rodopar 108'!$A:$A,$B341&amp;$E341&amp;$F341&amp;$J341,'Doc''s Pagos | Rodopar 108'!$B:$B,Y$1)+SUMIFS('Doc Há Pagar | Rodopar 1015'!$J:$J,'Doc Há Pagar | Rodopar 1015'!$A:$A,$B341&amp;$E341&amp;$F341,'Doc Há Pagar | Rodopar 1015'!$B:$B,Y$1)</f>
        <v>0</v>
      </c>
      <c r="Z341" s="20">
        <f>SUMIFS('Doc''s Pagos | Rodopar 108'!$J:$J,'Doc''s Pagos | Rodopar 108'!$A:$A,$B341&amp;$E341&amp;$F341&amp;$J341,'Doc''s Pagos | Rodopar 108'!$B:$B,Z$1)+SUMIFS('Doc Há Pagar | Rodopar 1015'!$J:$J,'Doc Há Pagar | Rodopar 1015'!$A:$A,$B341&amp;$E341&amp;$F341,'Doc Há Pagar | Rodopar 1015'!$B:$B,Z$1)</f>
        <v>2035.65</v>
      </c>
      <c r="AA341" s="20">
        <f>SUMIFS('Doc''s Pagos | Rodopar 108'!$J:$J,'Doc''s Pagos | Rodopar 108'!$A:$A,$B341&amp;$E341&amp;$F341&amp;$J341,'Doc''s Pagos | Rodopar 108'!$B:$B,AA$1)+SUMIFS('Doc Há Pagar | Rodopar 1015'!$J:$J,'Doc Há Pagar | Rodopar 1015'!$A:$A,$B341&amp;$E341&amp;$F341,'Doc Há Pagar | Rodopar 1015'!$B:$B,AA$1)</f>
        <v>2035.65</v>
      </c>
      <c r="AB341" s="20">
        <f>SUMIFS('Doc''s Pagos | Rodopar 108'!$J:$J,'Doc''s Pagos | Rodopar 108'!$A:$A,$B341&amp;$E341&amp;$F341&amp;$J341,'Doc''s Pagos | Rodopar 108'!$B:$B,AB$1)+SUMIFS('Doc Há Pagar | Rodopar 1015'!$J:$J,'Doc Há Pagar | Rodopar 1015'!$A:$A,$B341&amp;$E341&amp;$F341,'Doc Há Pagar | Rodopar 1015'!$B:$B,AB$1)</f>
        <v>2035.65</v>
      </c>
      <c r="AC341" s="20">
        <f>SUMIFS('Doc''s Pagos | Rodopar 108'!$J:$J,'Doc''s Pagos | Rodopar 108'!$A:$A,$B341&amp;$E341&amp;$F341&amp;$J341,'Doc''s Pagos | Rodopar 108'!$B:$B,AC$1)+SUMIFS('Doc Há Pagar | Rodopar 1015'!$J:$J,'Doc Há Pagar | Rodopar 1015'!$A:$A,$B341&amp;$E341&amp;$F341,'Doc Há Pagar | Rodopar 1015'!$B:$B,AC$1)</f>
        <v>2035.64</v>
      </c>
      <c r="AD341" s="20">
        <f>SUMIFS('Doc''s Pagos | Rodopar 108'!$J:$J,'Doc''s Pagos | Rodopar 108'!$A:$A,$B341&amp;$E341&amp;$F341&amp;$J341,'Doc''s Pagos | Rodopar 108'!$B:$B,AD$1)+SUMIFS('Doc Há Pagar | Rodopar 1015'!$J:$J,'Doc Há Pagar | Rodopar 1015'!$A:$A,$B341&amp;$E341&amp;$F341,'Doc Há Pagar | Rodopar 1015'!$B:$B,AD$1)</f>
        <v>2035.64</v>
      </c>
    </row>
    <row r="342" spans="1:30" x14ac:dyDescent="0.25">
      <c r="A342" s="1" t="str">
        <f>VLOOKUP($E342,Fornecedores!$A:$C,3,0)</f>
        <v>Frota</v>
      </c>
      <c r="B342" s="14">
        <v>1964</v>
      </c>
      <c r="C342" s="14" t="str">
        <f>IFERROR(VLOOKUP($E342,Fornecedores!$A:$E,4,0),"")</f>
        <v>Manutenção</v>
      </c>
      <c r="D342" s="14" t="str">
        <f>IFERROR(VLOOKUP($E342,Fornecedores!$A:$E,5,0),"")</f>
        <v>Vans</v>
      </c>
      <c r="E342" s="8" t="s">
        <v>133</v>
      </c>
      <c r="F342" s="14" t="s">
        <v>665</v>
      </c>
      <c r="G342" s="8" t="s">
        <v>493</v>
      </c>
      <c r="H342" s="9">
        <v>87</v>
      </c>
      <c r="I342" s="21">
        <v>8115.56</v>
      </c>
      <c r="J342" s="11">
        <v>46233</v>
      </c>
      <c r="K342" s="11">
        <v>46234</v>
      </c>
      <c r="L342" s="8" t="s">
        <v>494</v>
      </c>
      <c r="M342" s="14" t="s">
        <v>234</v>
      </c>
      <c r="N342" s="16">
        <v>1556</v>
      </c>
      <c r="O342" s="14" t="s">
        <v>241</v>
      </c>
      <c r="P342" s="14"/>
      <c r="Q342" s="20">
        <f t="shared" si="5"/>
        <v>-1352.5900000000001</v>
      </c>
      <c r="S342" s="20">
        <f>SUMIFS('Doc''s Pagos | Rodopar 108'!$J:$J,'Doc''s Pagos | Rodopar 108'!$A:$A,$B342&amp;$E342&amp;$F342&amp;$J342,'Doc''s Pagos | Rodopar 108'!$B:$B,S$1)+SUMIFS('Doc Há Pagar | Rodopar 1015'!$J:$J,'Doc Há Pagar | Rodopar 1015'!$A:$A,$B342&amp;$E342&amp;$F342,'Doc Há Pagar | Rodopar 1015'!$B:$B,S$1)</f>
        <v>0</v>
      </c>
      <c r="T342" s="20">
        <f>SUMIFS('Doc''s Pagos | Rodopar 108'!$J:$J,'Doc''s Pagos | Rodopar 108'!$A:$A,$B342&amp;$E342&amp;$F342&amp;$J342,'Doc''s Pagos | Rodopar 108'!$B:$B,T$1)+SUMIFS('Doc Há Pagar | Rodopar 1015'!$J:$J,'Doc Há Pagar | Rodopar 1015'!$A:$A,$B342&amp;$E342&amp;$F342,'Doc Há Pagar | Rodopar 1015'!$B:$B,T$1)</f>
        <v>0</v>
      </c>
      <c r="U342" s="20">
        <f>SUMIFS('Doc''s Pagos | Rodopar 108'!$J:$J,'Doc''s Pagos | Rodopar 108'!$A:$A,$B342&amp;$E342&amp;$F342&amp;$J342,'Doc''s Pagos | Rodopar 108'!$B:$B,U$1)+SUMIFS('Doc Há Pagar | Rodopar 1015'!$J:$J,'Doc Há Pagar | Rodopar 1015'!$A:$A,$B342&amp;$E342&amp;$F342,'Doc Há Pagar | Rodopar 1015'!$B:$B,U$1)</f>
        <v>0</v>
      </c>
      <c r="V342" s="20">
        <f>SUMIFS('Doc''s Pagos | Rodopar 108'!$J:$J,'Doc''s Pagos | Rodopar 108'!$A:$A,$B342&amp;$E342&amp;$F342&amp;$J342,'Doc''s Pagos | Rodopar 108'!$B:$B,V$1)+SUMIFS('Doc Há Pagar | Rodopar 1015'!$J:$J,'Doc Há Pagar | Rodopar 1015'!$A:$A,$B342&amp;$E342&amp;$F342,'Doc Há Pagar | Rodopar 1015'!$B:$B,V$1)</f>
        <v>0</v>
      </c>
      <c r="W342" s="20">
        <f>SUMIFS('Doc''s Pagos | Rodopar 108'!$J:$J,'Doc''s Pagos | Rodopar 108'!$A:$A,$B342&amp;$E342&amp;$F342&amp;$J342,'Doc''s Pagos | Rodopar 108'!$B:$B,W$1)+SUMIFS('Doc Há Pagar | Rodopar 1015'!$J:$J,'Doc Há Pagar | Rodopar 1015'!$A:$A,$B342&amp;$E342&amp;$F342,'Doc Há Pagar | Rodopar 1015'!$B:$B,W$1)</f>
        <v>0</v>
      </c>
      <c r="X342" s="20">
        <f>SUMIFS('Doc''s Pagos | Rodopar 108'!$J:$J,'Doc''s Pagos | Rodopar 108'!$A:$A,$B342&amp;$E342&amp;$F342&amp;$J342,'Doc''s Pagos | Rodopar 108'!$B:$B,X$1)+SUMIFS('Doc Há Pagar | Rodopar 1015'!$J:$J,'Doc Há Pagar | Rodopar 1015'!$A:$A,$B342&amp;$E342&amp;$F342,'Doc Há Pagar | Rodopar 1015'!$B:$B,X$1)</f>
        <v>0</v>
      </c>
      <c r="Y342" s="20">
        <f>SUMIFS('Doc''s Pagos | Rodopar 108'!$J:$J,'Doc''s Pagos | Rodopar 108'!$A:$A,$B342&amp;$E342&amp;$F342&amp;$J342,'Doc''s Pagos | Rodopar 108'!$B:$B,Y$1)+SUMIFS('Doc Há Pagar | Rodopar 1015'!$J:$J,'Doc Há Pagar | Rodopar 1015'!$A:$A,$B342&amp;$E342&amp;$F342,'Doc Há Pagar | Rodopar 1015'!$B:$B,Y$1)</f>
        <v>0</v>
      </c>
      <c r="Z342" s="20">
        <f>SUMIFS('Doc''s Pagos | Rodopar 108'!$J:$J,'Doc''s Pagos | Rodopar 108'!$A:$A,$B342&amp;$E342&amp;$F342&amp;$J342,'Doc''s Pagos | Rodopar 108'!$B:$B,Z$1)+SUMIFS('Doc Há Pagar | Rodopar 1015'!$J:$J,'Doc Há Pagar | Rodopar 1015'!$A:$A,$B342&amp;$E342&amp;$F342,'Doc Há Pagar | Rodopar 1015'!$B:$B,Z$1)</f>
        <v>1352.6</v>
      </c>
      <c r="AA342" s="20">
        <f>SUMIFS('Doc''s Pagos | Rodopar 108'!$J:$J,'Doc''s Pagos | Rodopar 108'!$A:$A,$B342&amp;$E342&amp;$F342&amp;$J342,'Doc''s Pagos | Rodopar 108'!$B:$B,AA$1)+SUMIFS('Doc Há Pagar | Rodopar 1015'!$J:$J,'Doc Há Pagar | Rodopar 1015'!$A:$A,$B342&amp;$E342&amp;$F342,'Doc Há Pagar | Rodopar 1015'!$B:$B,AA$1)</f>
        <v>1352.6</v>
      </c>
      <c r="AB342" s="20">
        <f>SUMIFS('Doc''s Pagos | Rodopar 108'!$J:$J,'Doc''s Pagos | Rodopar 108'!$A:$A,$B342&amp;$E342&amp;$F342&amp;$J342,'Doc''s Pagos | Rodopar 108'!$B:$B,AB$1)+SUMIFS('Doc Há Pagar | Rodopar 1015'!$J:$J,'Doc Há Pagar | Rodopar 1015'!$A:$A,$B342&amp;$E342&amp;$F342,'Doc Há Pagar | Rodopar 1015'!$B:$B,AB$1)</f>
        <v>1352.59</v>
      </c>
      <c r="AC342" s="20">
        <f>SUMIFS('Doc''s Pagos | Rodopar 108'!$J:$J,'Doc''s Pagos | Rodopar 108'!$A:$A,$B342&amp;$E342&amp;$F342&amp;$J342,'Doc''s Pagos | Rodopar 108'!$B:$B,AC$1)+SUMIFS('Doc Há Pagar | Rodopar 1015'!$J:$J,'Doc Há Pagar | Rodopar 1015'!$A:$A,$B342&amp;$E342&amp;$F342,'Doc Há Pagar | Rodopar 1015'!$B:$B,AC$1)</f>
        <v>1352.59</v>
      </c>
      <c r="AD342" s="20">
        <f>SUMIFS('Doc''s Pagos | Rodopar 108'!$J:$J,'Doc''s Pagos | Rodopar 108'!$A:$A,$B342&amp;$E342&amp;$F342&amp;$J342,'Doc''s Pagos | Rodopar 108'!$B:$B,AD$1)+SUMIFS('Doc Há Pagar | Rodopar 1015'!$J:$J,'Doc Há Pagar | Rodopar 1015'!$A:$A,$B342&amp;$E342&amp;$F342,'Doc Há Pagar | Rodopar 1015'!$B:$B,AD$1)</f>
        <v>1352.59</v>
      </c>
    </row>
    <row r="343" spans="1:30" x14ac:dyDescent="0.25">
      <c r="A343" s="1" t="str">
        <f>VLOOKUP($E343,Fornecedores!$A:$C,3,0)</f>
        <v>Frota</v>
      </c>
      <c r="B343" s="14">
        <v>2927</v>
      </c>
      <c r="C343" s="14" t="str">
        <f>IFERROR(VLOOKUP($E343,Fornecedores!$A:$E,4,0),"")</f>
        <v>Manutenção</v>
      </c>
      <c r="D343" s="14" t="str">
        <f>IFERROR(VLOOKUP($E343,Fornecedores!$A:$E,5,0),"")</f>
        <v>Frota Leve OPE</v>
      </c>
      <c r="E343" s="8" t="s">
        <v>125</v>
      </c>
      <c r="F343" s="14" t="s">
        <v>380</v>
      </c>
      <c r="G343" s="8" t="s">
        <v>467</v>
      </c>
      <c r="H343" s="9">
        <v>87</v>
      </c>
      <c r="I343" s="21">
        <v>690</v>
      </c>
      <c r="J343" s="11">
        <v>46234</v>
      </c>
      <c r="K343" s="11">
        <v>46245</v>
      </c>
      <c r="L343" s="8" t="s">
        <v>282</v>
      </c>
      <c r="M343" s="14" t="s">
        <v>234</v>
      </c>
      <c r="N343" s="16">
        <v>1556</v>
      </c>
      <c r="O343" s="14" t="s">
        <v>241</v>
      </c>
      <c r="P343" s="14"/>
      <c r="Q343" s="20">
        <f t="shared" si="5"/>
        <v>0</v>
      </c>
      <c r="S343" s="20">
        <f>SUMIFS('Doc''s Pagos | Rodopar 108'!$J:$J,'Doc''s Pagos | Rodopar 108'!$A:$A,$B343&amp;$E343&amp;$F343&amp;$J343,'Doc''s Pagos | Rodopar 108'!$B:$B,S$1)+SUMIFS('Doc Há Pagar | Rodopar 1015'!$J:$J,'Doc Há Pagar | Rodopar 1015'!$A:$A,$B343&amp;$E343&amp;$F343,'Doc Há Pagar | Rodopar 1015'!$B:$B,S$1)</f>
        <v>0</v>
      </c>
      <c r="T343" s="20">
        <f>SUMIFS('Doc''s Pagos | Rodopar 108'!$J:$J,'Doc''s Pagos | Rodopar 108'!$A:$A,$B343&amp;$E343&amp;$F343&amp;$J343,'Doc''s Pagos | Rodopar 108'!$B:$B,T$1)+SUMIFS('Doc Há Pagar | Rodopar 1015'!$J:$J,'Doc Há Pagar | Rodopar 1015'!$A:$A,$B343&amp;$E343&amp;$F343,'Doc Há Pagar | Rodopar 1015'!$B:$B,T$1)</f>
        <v>0</v>
      </c>
      <c r="U343" s="20">
        <f>SUMIFS('Doc''s Pagos | Rodopar 108'!$J:$J,'Doc''s Pagos | Rodopar 108'!$A:$A,$B343&amp;$E343&amp;$F343&amp;$J343,'Doc''s Pagos | Rodopar 108'!$B:$B,U$1)+SUMIFS('Doc Há Pagar | Rodopar 1015'!$J:$J,'Doc Há Pagar | Rodopar 1015'!$A:$A,$B343&amp;$E343&amp;$F343,'Doc Há Pagar | Rodopar 1015'!$B:$B,U$1)</f>
        <v>0</v>
      </c>
      <c r="V343" s="20">
        <f>SUMIFS('Doc''s Pagos | Rodopar 108'!$J:$J,'Doc''s Pagos | Rodopar 108'!$A:$A,$B343&amp;$E343&amp;$F343&amp;$J343,'Doc''s Pagos | Rodopar 108'!$B:$B,V$1)+SUMIFS('Doc Há Pagar | Rodopar 1015'!$J:$J,'Doc Há Pagar | Rodopar 1015'!$A:$A,$B343&amp;$E343&amp;$F343,'Doc Há Pagar | Rodopar 1015'!$B:$B,V$1)</f>
        <v>0</v>
      </c>
      <c r="W343" s="20">
        <f>SUMIFS('Doc''s Pagos | Rodopar 108'!$J:$J,'Doc''s Pagos | Rodopar 108'!$A:$A,$B343&amp;$E343&amp;$F343&amp;$J343,'Doc''s Pagos | Rodopar 108'!$B:$B,W$1)+SUMIFS('Doc Há Pagar | Rodopar 1015'!$J:$J,'Doc Há Pagar | Rodopar 1015'!$A:$A,$B343&amp;$E343&amp;$F343,'Doc Há Pagar | Rodopar 1015'!$B:$B,W$1)</f>
        <v>0</v>
      </c>
      <c r="X343" s="20">
        <f>SUMIFS('Doc''s Pagos | Rodopar 108'!$J:$J,'Doc''s Pagos | Rodopar 108'!$A:$A,$B343&amp;$E343&amp;$F343&amp;$J343,'Doc''s Pagos | Rodopar 108'!$B:$B,X$1)+SUMIFS('Doc Há Pagar | Rodopar 1015'!$J:$J,'Doc Há Pagar | Rodopar 1015'!$A:$A,$B343&amp;$E343&amp;$F343,'Doc Há Pagar | Rodopar 1015'!$B:$B,X$1)</f>
        <v>0</v>
      </c>
      <c r="Y343" s="20">
        <f>SUMIFS('Doc''s Pagos | Rodopar 108'!$J:$J,'Doc''s Pagos | Rodopar 108'!$A:$A,$B343&amp;$E343&amp;$F343&amp;$J343,'Doc''s Pagos | Rodopar 108'!$B:$B,Y$1)+SUMIFS('Doc Há Pagar | Rodopar 1015'!$J:$J,'Doc Há Pagar | Rodopar 1015'!$A:$A,$B343&amp;$E343&amp;$F343,'Doc Há Pagar | Rodopar 1015'!$B:$B,Y$1)</f>
        <v>0</v>
      </c>
      <c r="Z343" s="20">
        <f>SUMIFS('Doc''s Pagos | Rodopar 108'!$J:$J,'Doc''s Pagos | Rodopar 108'!$A:$A,$B343&amp;$E343&amp;$F343&amp;$J343,'Doc''s Pagos | Rodopar 108'!$B:$B,Z$1)+SUMIFS('Doc Há Pagar | Rodopar 1015'!$J:$J,'Doc Há Pagar | Rodopar 1015'!$A:$A,$B343&amp;$E343&amp;$F343,'Doc Há Pagar | Rodopar 1015'!$B:$B,Z$1)</f>
        <v>690</v>
      </c>
      <c r="AA343" s="20">
        <f>SUMIFS('Doc''s Pagos | Rodopar 108'!$J:$J,'Doc''s Pagos | Rodopar 108'!$A:$A,$B343&amp;$E343&amp;$F343&amp;$J343,'Doc''s Pagos | Rodopar 108'!$B:$B,AA$1)+SUMIFS('Doc Há Pagar | Rodopar 1015'!$J:$J,'Doc Há Pagar | Rodopar 1015'!$A:$A,$B343&amp;$E343&amp;$F343,'Doc Há Pagar | Rodopar 1015'!$B:$B,AA$1)</f>
        <v>0</v>
      </c>
      <c r="AB343" s="20">
        <f>SUMIFS('Doc''s Pagos | Rodopar 108'!$J:$J,'Doc''s Pagos | Rodopar 108'!$A:$A,$B343&amp;$E343&amp;$F343&amp;$J343,'Doc''s Pagos | Rodopar 108'!$B:$B,AB$1)+SUMIFS('Doc Há Pagar | Rodopar 1015'!$J:$J,'Doc Há Pagar | Rodopar 1015'!$A:$A,$B343&amp;$E343&amp;$F343,'Doc Há Pagar | Rodopar 1015'!$B:$B,AB$1)</f>
        <v>0</v>
      </c>
      <c r="AC343" s="20">
        <f>SUMIFS('Doc''s Pagos | Rodopar 108'!$J:$J,'Doc''s Pagos | Rodopar 108'!$A:$A,$B343&amp;$E343&amp;$F343&amp;$J343,'Doc''s Pagos | Rodopar 108'!$B:$B,AC$1)+SUMIFS('Doc Há Pagar | Rodopar 1015'!$J:$J,'Doc Há Pagar | Rodopar 1015'!$A:$A,$B343&amp;$E343&amp;$F343,'Doc Há Pagar | Rodopar 1015'!$B:$B,AC$1)</f>
        <v>0</v>
      </c>
      <c r="AD343" s="20">
        <f>SUMIFS('Doc''s Pagos | Rodopar 108'!$J:$J,'Doc''s Pagos | Rodopar 108'!$A:$A,$B343&amp;$E343&amp;$F343&amp;$J343,'Doc''s Pagos | Rodopar 108'!$B:$B,AD$1)+SUMIFS('Doc Há Pagar | Rodopar 1015'!$J:$J,'Doc Há Pagar | Rodopar 1015'!$A:$A,$B343&amp;$E343&amp;$F343,'Doc Há Pagar | Rodopar 1015'!$B:$B,AD$1)</f>
        <v>0</v>
      </c>
    </row>
    <row r="344" spans="1:30" x14ac:dyDescent="0.25">
      <c r="A344" s="1" t="str">
        <f>VLOOKUP($E344,Fornecedores!$A:$C,3,0)</f>
        <v>Frota</v>
      </c>
      <c r="B344" s="14">
        <v>40425</v>
      </c>
      <c r="C344" s="14" t="str">
        <f>IFERROR(VLOOKUP($E344,Fornecedores!$A:$E,4,0),"")</f>
        <v>Manutenção</v>
      </c>
      <c r="D344" s="14" t="str">
        <f>IFERROR(VLOOKUP($E344,Fornecedores!$A:$E,5,0),"")</f>
        <v>Vans</v>
      </c>
      <c r="E344" s="8" t="s">
        <v>133</v>
      </c>
      <c r="F344" s="14" t="s">
        <v>380</v>
      </c>
      <c r="G344" s="8" t="s">
        <v>493</v>
      </c>
      <c r="H344" s="9">
        <v>87</v>
      </c>
      <c r="I344" s="21">
        <v>12382.2</v>
      </c>
      <c r="J344" s="11">
        <v>46234</v>
      </c>
      <c r="K344" s="11">
        <v>46238</v>
      </c>
      <c r="L344" s="8" t="s">
        <v>494</v>
      </c>
      <c r="M344" s="14" t="s">
        <v>234</v>
      </c>
      <c r="N344" s="16">
        <v>1556</v>
      </c>
      <c r="O344" s="14" t="s">
        <v>250</v>
      </c>
      <c r="P344" s="14"/>
      <c r="Q344" s="20">
        <f t="shared" si="5"/>
        <v>-2063.7000000000007</v>
      </c>
      <c r="S344" s="20">
        <f>SUMIFS('Doc''s Pagos | Rodopar 108'!$J:$J,'Doc''s Pagos | Rodopar 108'!$A:$A,$B344&amp;$E344&amp;$F344&amp;$J344,'Doc''s Pagos | Rodopar 108'!$B:$B,S$1)+SUMIFS('Doc Há Pagar | Rodopar 1015'!$J:$J,'Doc Há Pagar | Rodopar 1015'!$A:$A,$B344&amp;$E344&amp;$F344,'Doc Há Pagar | Rodopar 1015'!$B:$B,S$1)</f>
        <v>0</v>
      </c>
      <c r="T344" s="20">
        <f>SUMIFS('Doc''s Pagos | Rodopar 108'!$J:$J,'Doc''s Pagos | Rodopar 108'!$A:$A,$B344&amp;$E344&amp;$F344&amp;$J344,'Doc''s Pagos | Rodopar 108'!$B:$B,T$1)+SUMIFS('Doc Há Pagar | Rodopar 1015'!$J:$J,'Doc Há Pagar | Rodopar 1015'!$A:$A,$B344&amp;$E344&amp;$F344,'Doc Há Pagar | Rodopar 1015'!$B:$B,T$1)</f>
        <v>0</v>
      </c>
      <c r="U344" s="20">
        <f>SUMIFS('Doc''s Pagos | Rodopar 108'!$J:$J,'Doc''s Pagos | Rodopar 108'!$A:$A,$B344&amp;$E344&amp;$F344&amp;$J344,'Doc''s Pagos | Rodopar 108'!$B:$B,U$1)+SUMIFS('Doc Há Pagar | Rodopar 1015'!$J:$J,'Doc Há Pagar | Rodopar 1015'!$A:$A,$B344&amp;$E344&amp;$F344,'Doc Há Pagar | Rodopar 1015'!$B:$B,U$1)</f>
        <v>0</v>
      </c>
      <c r="V344" s="20">
        <f>SUMIFS('Doc''s Pagos | Rodopar 108'!$J:$J,'Doc''s Pagos | Rodopar 108'!$A:$A,$B344&amp;$E344&amp;$F344&amp;$J344,'Doc''s Pagos | Rodopar 108'!$B:$B,V$1)+SUMIFS('Doc Há Pagar | Rodopar 1015'!$J:$J,'Doc Há Pagar | Rodopar 1015'!$A:$A,$B344&amp;$E344&amp;$F344,'Doc Há Pagar | Rodopar 1015'!$B:$B,V$1)</f>
        <v>0</v>
      </c>
      <c r="W344" s="20">
        <f>SUMIFS('Doc''s Pagos | Rodopar 108'!$J:$J,'Doc''s Pagos | Rodopar 108'!$A:$A,$B344&amp;$E344&amp;$F344&amp;$J344,'Doc''s Pagos | Rodopar 108'!$B:$B,W$1)+SUMIFS('Doc Há Pagar | Rodopar 1015'!$J:$J,'Doc Há Pagar | Rodopar 1015'!$A:$A,$B344&amp;$E344&amp;$F344,'Doc Há Pagar | Rodopar 1015'!$B:$B,W$1)</f>
        <v>0</v>
      </c>
      <c r="X344" s="20">
        <f>SUMIFS('Doc''s Pagos | Rodopar 108'!$J:$J,'Doc''s Pagos | Rodopar 108'!$A:$A,$B344&amp;$E344&amp;$F344&amp;$J344,'Doc''s Pagos | Rodopar 108'!$B:$B,X$1)+SUMIFS('Doc Há Pagar | Rodopar 1015'!$J:$J,'Doc Há Pagar | Rodopar 1015'!$A:$A,$B344&amp;$E344&amp;$F344,'Doc Há Pagar | Rodopar 1015'!$B:$B,X$1)</f>
        <v>0</v>
      </c>
      <c r="Y344" s="20">
        <f>SUMIFS('Doc''s Pagos | Rodopar 108'!$J:$J,'Doc''s Pagos | Rodopar 108'!$A:$A,$B344&amp;$E344&amp;$F344&amp;$J344,'Doc''s Pagos | Rodopar 108'!$B:$B,Y$1)+SUMIFS('Doc Há Pagar | Rodopar 1015'!$J:$J,'Doc Há Pagar | Rodopar 1015'!$A:$A,$B344&amp;$E344&amp;$F344,'Doc Há Pagar | Rodopar 1015'!$B:$B,Y$1)</f>
        <v>0</v>
      </c>
      <c r="Z344" s="20">
        <f>SUMIFS('Doc''s Pagos | Rodopar 108'!$J:$J,'Doc''s Pagos | Rodopar 108'!$A:$A,$B344&amp;$E344&amp;$F344&amp;$J344,'Doc''s Pagos | Rodopar 108'!$B:$B,Z$1)+SUMIFS('Doc Há Pagar | Rodopar 1015'!$J:$J,'Doc Há Pagar | Rodopar 1015'!$A:$A,$B344&amp;$E344&amp;$F344,'Doc Há Pagar | Rodopar 1015'!$B:$B,Z$1)</f>
        <v>2063.6999999999998</v>
      </c>
      <c r="AA344" s="20">
        <f>SUMIFS('Doc''s Pagos | Rodopar 108'!$J:$J,'Doc''s Pagos | Rodopar 108'!$A:$A,$B344&amp;$E344&amp;$F344&amp;$J344,'Doc''s Pagos | Rodopar 108'!$B:$B,AA$1)+SUMIFS('Doc Há Pagar | Rodopar 1015'!$J:$J,'Doc Há Pagar | Rodopar 1015'!$A:$A,$B344&amp;$E344&amp;$F344,'Doc Há Pagar | Rodopar 1015'!$B:$B,AA$1)</f>
        <v>2063.6999999999998</v>
      </c>
      <c r="AB344" s="20">
        <f>SUMIFS('Doc''s Pagos | Rodopar 108'!$J:$J,'Doc''s Pagos | Rodopar 108'!$A:$A,$B344&amp;$E344&amp;$F344&amp;$J344,'Doc''s Pagos | Rodopar 108'!$B:$B,AB$1)+SUMIFS('Doc Há Pagar | Rodopar 1015'!$J:$J,'Doc Há Pagar | Rodopar 1015'!$A:$A,$B344&amp;$E344&amp;$F344,'Doc Há Pagar | Rodopar 1015'!$B:$B,AB$1)</f>
        <v>2063.6999999999998</v>
      </c>
      <c r="AC344" s="20">
        <f>SUMIFS('Doc''s Pagos | Rodopar 108'!$J:$J,'Doc''s Pagos | Rodopar 108'!$A:$A,$B344&amp;$E344&amp;$F344&amp;$J344,'Doc''s Pagos | Rodopar 108'!$B:$B,AC$1)+SUMIFS('Doc Há Pagar | Rodopar 1015'!$J:$J,'Doc Há Pagar | Rodopar 1015'!$A:$A,$B344&amp;$E344&amp;$F344,'Doc Há Pagar | Rodopar 1015'!$B:$B,AC$1)</f>
        <v>2063.6999999999998</v>
      </c>
      <c r="AD344" s="20">
        <f>SUMIFS('Doc''s Pagos | Rodopar 108'!$J:$J,'Doc''s Pagos | Rodopar 108'!$A:$A,$B344&amp;$E344&amp;$F344&amp;$J344,'Doc''s Pagos | Rodopar 108'!$B:$B,AD$1)+SUMIFS('Doc Há Pagar | Rodopar 1015'!$J:$J,'Doc Há Pagar | Rodopar 1015'!$A:$A,$B344&amp;$E344&amp;$F344,'Doc Há Pagar | Rodopar 1015'!$B:$B,AD$1)</f>
        <v>2063.6999999999998</v>
      </c>
    </row>
    <row r="345" spans="1:30" x14ac:dyDescent="0.25">
      <c r="A345" s="1" t="str">
        <f>VLOOKUP($E345,Fornecedores!$A:$C,3,0)</f>
        <v>Frota</v>
      </c>
      <c r="B345" s="14">
        <v>71000</v>
      </c>
      <c r="C345" s="14" t="str">
        <f>IFERROR(VLOOKUP($E345,Fornecedores!$A:$E,4,0),"")</f>
        <v>Sinistro</v>
      </c>
      <c r="D345" s="14" t="str">
        <f>IFERROR(VLOOKUP($E345,Fornecedores!$A:$E,5,0),"")</f>
        <v>Parabrisa</v>
      </c>
      <c r="E345" s="8" t="s">
        <v>165</v>
      </c>
      <c r="F345" s="14" t="s">
        <v>380</v>
      </c>
      <c r="G345" s="8" t="s">
        <v>573</v>
      </c>
      <c r="H345" s="9">
        <v>87</v>
      </c>
      <c r="I345" s="21">
        <v>860</v>
      </c>
      <c r="J345" s="11">
        <v>46234</v>
      </c>
      <c r="K345" s="11">
        <v>46237</v>
      </c>
      <c r="L345" s="8" t="s">
        <v>233</v>
      </c>
      <c r="M345" s="14" t="s">
        <v>234</v>
      </c>
      <c r="N345" s="16">
        <v>1556</v>
      </c>
      <c r="O345" s="14" t="s">
        <v>250</v>
      </c>
      <c r="P345" s="14"/>
      <c r="Q345" s="20">
        <f t="shared" si="5"/>
        <v>0</v>
      </c>
      <c r="S345" s="20">
        <f>SUMIFS('Doc''s Pagos | Rodopar 108'!$J:$J,'Doc''s Pagos | Rodopar 108'!$A:$A,$B345&amp;$E345&amp;$F345&amp;$J345,'Doc''s Pagos | Rodopar 108'!$B:$B,S$1)+SUMIFS('Doc Há Pagar | Rodopar 1015'!$J:$J,'Doc Há Pagar | Rodopar 1015'!$A:$A,$B345&amp;$E345&amp;$F345,'Doc Há Pagar | Rodopar 1015'!$B:$B,S$1)</f>
        <v>0</v>
      </c>
      <c r="T345" s="20">
        <f>SUMIFS('Doc''s Pagos | Rodopar 108'!$J:$J,'Doc''s Pagos | Rodopar 108'!$A:$A,$B345&amp;$E345&amp;$F345&amp;$J345,'Doc''s Pagos | Rodopar 108'!$B:$B,T$1)+SUMIFS('Doc Há Pagar | Rodopar 1015'!$J:$J,'Doc Há Pagar | Rodopar 1015'!$A:$A,$B345&amp;$E345&amp;$F345,'Doc Há Pagar | Rodopar 1015'!$B:$B,T$1)</f>
        <v>0</v>
      </c>
      <c r="U345" s="20">
        <f>SUMIFS('Doc''s Pagos | Rodopar 108'!$J:$J,'Doc''s Pagos | Rodopar 108'!$A:$A,$B345&amp;$E345&amp;$F345&amp;$J345,'Doc''s Pagos | Rodopar 108'!$B:$B,U$1)+SUMIFS('Doc Há Pagar | Rodopar 1015'!$J:$J,'Doc Há Pagar | Rodopar 1015'!$A:$A,$B345&amp;$E345&amp;$F345,'Doc Há Pagar | Rodopar 1015'!$B:$B,U$1)</f>
        <v>0</v>
      </c>
      <c r="V345" s="20">
        <f>SUMIFS('Doc''s Pagos | Rodopar 108'!$J:$J,'Doc''s Pagos | Rodopar 108'!$A:$A,$B345&amp;$E345&amp;$F345&amp;$J345,'Doc''s Pagos | Rodopar 108'!$B:$B,V$1)+SUMIFS('Doc Há Pagar | Rodopar 1015'!$J:$J,'Doc Há Pagar | Rodopar 1015'!$A:$A,$B345&amp;$E345&amp;$F345,'Doc Há Pagar | Rodopar 1015'!$B:$B,V$1)</f>
        <v>0</v>
      </c>
      <c r="W345" s="20">
        <f>SUMIFS('Doc''s Pagos | Rodopar 108'!$J:$J,'Doc''s Pagos | Rodopar 108'!$A:$A,$B345&amp;$E345&amp;$F345&amp;$J345,'Doc''s Pagos | Rodopar 108'!$B:$B,W$1)+SUMIFS('Doc Há Pagar | Rodopar 1015'!$J:$J,'Doc Há Pagar | Rodopar 1015'!$A:$A,$B345&amp;$E345&amp;$F345,'Doc Há Pagar | Rodopar 1015'!$B:$B,W$1)</f>
        <v>0</v>
      </c>
      <c r="X345" s="20">
        <f>SUMIFS('Doc''s Pagos | Rodopar 108'!$J:$J,'Doc''s Pagos | Rodopar 108'!$A:$A,$B345&amp;$E345&amp;$F345&amp;$J345,'Doc''s Pagos | Rodopar 108'!$B:$B,X$1)+SUMIFS('Doc Há Pagar | Rodopar 1015'!$J:$J,'Doc Há Pagar | Rodopar 1015'!$A:$A,$B345&amp;$E345&amp;$F345,'Doc Há Pagar | Rodopar 1015'!$B:$B,X$1)</f>
        <v>0</v>
      </c>
      <c r="Y345" s="20">
        <f>SUMIFS('Doc''s Pagos | Rodopar 108'!$J:$J,'Doc''s Pagos | Rodopar 108'!$A:$A,$B345&amp;$E345&amp;$F345&amp;$J345,'Doc''s Pagos | Rodopar 108'!$B:$B,Y$1)+SUMIFS('Doc Há Pagar | Rodopar 1015'!$J:$J,'Doc Há Pagar | Rodopar 1015'!$A:$A,$B345&amp;$E345&amp;$F345,'Doc Há Pagar | Rodopar 1015'!$B:$B,Y$1)</f>
        <v>0</v>
      </c>
      <c r="Z345" s="20">
        <f>SUMIFS('Doc''s Pagos | Rodopar 108'!$J:$J,'Doc''s Pagos | Rodopar 108'!$A:$A,$B345&amp;$E345&amp;$F345&amp;$J345,'Doc''s Pagos | Rodopar 108'!$B:$B,Z$1)+SUMIFS('Doc Há Pagar | Rodopar 1015'!$J:$J,'Doc Há Pagar | Rodopar 1015'!$A:$A,$B345&amp;$E345&amp;$F345,'Doc Há Pagar | Rodopar 1015'!$B:$B,Z$1)</f>
        <v>860</v>
      </c>
      <c r="AA345" s="20">
        <f>SUMIFS('Doc''s Pagos | Rodopar 108'!$J:$J,'Doc''s Pagos | Rodopar 108'!$A:$A,$B345&amp;$E345&amp;$F345&amp;$J345,'Doc''s Pagos | Rodopar 108'!$B:$B,AA$1)+SUMIFS('Doc Há Pagar | Rodopar 1015'!$J:$J,'Doc Há Pagar | Rodopar 1015'!$A:$A,$B345&amp;$E345&amp;$F345,'Doc Há Pagar | Rodopar 1015'!$B:$B,AA$1)</f>
        <v>0</v>
      </c>
      <c r="AB345" s="20">
        <f>SUMIFS('Doc''s Pagos | Rodopar 108'!$J:$J,'Doc''s Pagos | Rodopar 108'!$A:$A,$B345&amp;$E345&amp;$F345&amp;$J345,'Doc''s Pagos | Rodopar 108'!$B:$B,AB$1)+SUMIFS('Doc Há Pagar | Rodopar 1015'!$J:$J,'Doc Há Pagar | Rodopar 1015'!$A:$A,$B345&amp;$E345&amp;$F345,'Doc Há Pagar | Rodopar 1015'!$B:$B,AB$1)</f>
        <v>0</v>
      </c>
      <c r="AC345" s="20">
        <f>SUMIFS('Doc''s Pagos | Rodopar 108'!$J:$J,'Doc''s Pagos | Rodopar 108'!$A:$A,$B345&amp;$E345&amp;$F345&amp;$J345,'Doc''s Pagos | Rodopar 108'!$B:$B,AC$1)+SUMIFS('Doc Há Pagar | Rodopar 1015'!$J:$J,'Doc Há Pagar | Rodopar 1015'!$A:$A,$B345&amp;$E345&amp;$F345,'Doc Há Pagar | Rodopar 1015'!$B:$B,AC$1)</f>
        <v>0</v>
      </c>
      <c r="AD345" s="20">
        <f>SUMIFS('Doc''s Pagos | Rodopar 108'!$J:$J,'Doc''s Pagos | Rodopar 108'!$A:$A,$B345&amp;$E345&amp;$F345&amp;$J345,'Doc''s Pagos | Rodopar 108'!$B:$B,AD$1)+SUMIFS('Doc Há Pagar | Rodopar 1015'!$J:$J,'Doc Há Pagar | Rodopar 1015'!$A:$A,$B345&amp;$E345&amp;$F345,'Doc Há Pagar | Rodopar 1015'!$B:$B,AD$1)</f>
        <v>0</v>
      </c>
    </row>
    <row r="346" spans="1:30" x14ac:dyDescent="0.25">
      <c r="A346" s="1" t="str">
        <f>VLOOKUP($E346,Fornecedores!$A:$C,3,0)</f>
        <v>Frota</v>
      </c>
      <c r="B346" s="14">
        <v>117</v>
      </c>
      <c r="C346" s="14" t="str">
        <f>IFERROR(VLOOKUP($E346,Fornecedores!$A:$E,4,0),"")</f>
        <v>Manutenção</v>
      </c>
      <c r="D346" s="14" t="str">
        <f>IFERROR(VLOOKUP($E346,Fornecedores!$A:$E,5,0),"")</f>
        <v>Frota Leve OPE</v>
      </c>
      <c r="E346" s="8" t="s">
        <v>125</v>
      </c>
      <c r="F346" s="14" t="s">
        <v>665</v>
      </c>
      <c r="G346" s="8" t="s">
        <v>467</v>
      </c>
      <c r="H346" s="9">
        <v>87</v>
      </c>
      <c r="I346" s="21">
        <v>1176</v>
      </c>
      <c r="J346" s="11">
        <v>46234</v>
      </c>
      <c r="K346" s="11">
        <v>46245</v>
      </c>
      <c r="L346" s="8" t="s">
        <v>282</v>
      </c>
      <c r="M346" s="14" t="s">
        <v>234</v>
      </c>
      <c r="N346" s="16">
        <v>1556</v>
      </c>
      <c r="O346" s="14" t="s">
        <v>241</v>
      </c>
      <c r="P346" s="14"/>
      <c r="Q346" s="20">
        <f t="shared" si="5"/>
        <v>0</v>
      </c>
      <c r="S346" s="20">
        <f>SUMIFS('Doc''s Pagos | Rodopar 108'!$J:$J,'Doc''s Pagos | Rodopar 108'!$A:$A,$B346&amp;$E346&amp;$F346&amp;$J346,'Doc''s Pagos | Rodopar 108'!$B:$B,S$1)+SUMIFS('Doc Há Pagar | Rodopar 1015'!$J:$J,'Doc Há Pagar | Rodopar 1015'!$A:$A,$B346&amp;$E346&amp;$F346,'Doc Há Pagar | Rodopar 1015'!$B:$B,S$1)</f>
        <v>0</v>
      </c>
      <c r="T346" s="20">
        <f>SUMIFS('Doc''s Pagos | Rodopar 108'!$J:$J,'Doc''s Pagos | Rodopar 108'!$A:$A,$B346&amp;$E346&amp;$F346&amp;$J346,'Doc''s Pagos | Rodopar 108'!$B:$B,T$1)+SUMIFS('Doc Há Pagar | Rodopar 1015'!$J:$J,'Doc Há Pagar | Rodopar 1015'!$A:$A,$B346&amp;$E346&amp;$F346,'Doc Há Pagar | Rodopar 1015'!$B:$B,T$1)</f>
        <v>0</v>
      </c>
      <c r="U346" s="20">
        <f>SUMIFS('Doc''s Pagos | Rodopar 108'!$J:$J,'Doc''s Pagos | Rodopar 108'!$A:$A,$B346&amp;$E346&amp;$F346&amp;$J346,'Doc''s Pagos | Rodopar 108'!$B:$B,U$1)+SUMIFS('Doc Há Pagar | Rodopar 1015'!$J:$J,'Doc Há Pagar | Rodopar 1015'!$A:$A,$B346&amp;$E346&amp;$F346,'Doc Há Pagar | Rodopar 1015'!$B:$B,U$1)</f>
        <v>0</v>
      </c>
      <c r="V346" s="20">
        <f>SUMIFS('Doc''s Pagos | Rodopar 108'!$J:$J,'Doc''s Pagos | Rodopar 108'!$A:$A,$B346&amp;$E346&amp;$F346&amp;$J346,'Doc''s Pagos | Rodopar 108'!$B:$B,V$1)+SUMIFS('Doc Há Pagar | Rodopar 1015'!$J:$J,'Doc Há Pagar | Rodopar 1015'!$A:$A,$B346&amp;$E346&amp;$F346,'Doc Há Pagar | Rodopar 1015'!$B:$B,V$1)</f>
        <v>0</v>
      </c>
      <c r="W346" s="20">
        <f>SUMIFS('Doc''s Pagos | Rodopar 108'!$J:$J,'Doc''s Pagos | Rodopar 108'!$A:$A,$B346&amp;$E346&amp;$F346&amp;$J346,'Doc''s Pagos | Rodopar 108'!$B:$B,W$1)+SUMIFS('Doc Há Pagar | Rodopar 1015'!$J:$J,'Doc Há Pagar | Rodopar 1015'!$A:$A,$B346&amp;$E346&amp;$F346,'Doc Há Pagar | Rodopar 1015'!$B:$B,W$1)</f>
        <v>0</v>
      </c>
      <c r="X346" s="20">
        <f>SUMIFS('Doc''s Pagos | Rodopar 108'!$J:$J,'Doc''s Pagos | Rodopar 108'!$A:$A,$B346&amp;$E346&amp;$F346&amp;$J346,'Doc''s Pagos | Rodopar 108'!$B:$B,X$1)+SUMIFS('Doc Há Pagar | Rodopar 1015'!$J:$J,'Doc Há Pagar | Rodopar 1015'!$A:$A,$B346&amp;$E346&amp;$F346,'Doc Há Pagar | Rodopar 1015'!$B:$B,X$1)</f>
        <v>0</v>
      </c>
      <c r="Y346" s="20">
        <f>SUMIFS('Doc''s Pagos | Rodopar 108'!$J:$J,'Doc''s Pagos | Rodopar 108'!$A:$A,$B346&amp;$E346&amp;$F346&amp;$J346,'Doc''s Pagos | Rodopar 108'!$B:$B,Y$1)+SUMIFS('Doc Há Pagar | Rodopar 1015'!$J:$J,'Doc Há Pagar | Rodopar 1015'!$A:$A,$B346&amp;$E346&amp;$F346,'Doc Há Pagar | Rodopar 1015'!$B:$B,Y$1)</f>
        <v>0</v>
      </c>
      <c r="Z346" s="20">
        <f>SUMIFS('Doc''s Pagos | Rodopar 108'!$J:$J,'Doc''s Pagos | Rodopar 108'!$A:$A,$B346&amp;$E346&amp;$F346&amp;$J346,'Doc''s Pagos | Rodopar 108'!$B:$B,Z$1)+SUMIFS('Doc Há Pagar | Rodopar 1015'!$J:$J,'Doc Há Pagar | Rodopar 1015'!$A:$A,$B346&amp;$E346&amp;$F346,'Doc Há Pagar | Rodopar 1015'!$B:$B,Z$1)</f>
        <v>1176</v>
      </c>
      <c r="AA346" s="20">
        <f>SUMIFS('Doc''s Pagos | Rodopar 108'!$J:$J,'Doc''s Pagos | Rodopar 108'!$A:$A,$B346&amp;$E346&amp;$F346&amp;$J346,'Doc''s Pagos | Rodopar 108'!$B:$B,AA$1)+SUMIFS('Doc Há Pagar | Rodopar 1015'!$J:$J,'Doc Há Pagar | Rodopar 1015'!$A:$A,$B346&amp;$E346&amp;$F346,'Doc Há Pagar | Rodopar 1015'!$B:$B,AA$1)</f>
        <v>0</v>
      </c>
      <c r="AB346" s="20">
        <f>SUMIFS('Doc''s Pagos | Rodopar 108'!$J:$J,'Doc''s Pagos | Rodopar 108'!$A:$A,$B346&amp;$E346&amp;$F346&amp;$J346,'Doc''s Pagos | Rodopar 108'!$B:$B,AB$1)+SUMIFS('Doc Há Pagar | Rodopar 1015'!$J:$J,'Doc Há Pagar | Rodopar 1015'!$A:$A,$B346&amp;$E346&amp;$F346,'Doc Há Pagar | Rodopar 1015'!$B:$B,AB$1)</f>
        <v>0</v>
      </c>
      <c r="AC346" s="20">
        <f>SUMIFS('Doc''s Pagos | Rodopar 108'!$J:$J,'Doc''s Pagos | Rodopar 108'!$A:$A,$B346&amp;$E346&amp;$F346&amp;$J346,'Doc''s Pagos | Rodopar 108'!$B:$B,AC$1)+SUMIFS('Doc Há Pagar | Rodopar 1015'!$J:$J,'Doc Há Pagar | Rodopar 1015'!$A:$A,$B346&amp;$E346&amp;$F346,'Doc Há Pagar | Rodopar 1015'!$B:$B,AC$1)</f>
        <v>0</v>
      </c>
      <c r="AD346" s="20">
        <f>SUMIFS('Doc''s Pagos | Rodopar 108'!$J:$J,'Doc''s Pagos | Rodopar 108'!$A:$A,$B346&amp;$E346&amp;$F346&amp;$J346,'Doc''s Pagos | Rodopar 108'!$B:$B,AD$1)+SUMIFS('Doc Há Pagar | Rodopar 1015'!$J:$J,'Doc Há Pagar | Rodopar 1015'!$A:$A,$B346&amp;$E346&amp;$F346,'Doc Há Pagar | Rodopar 1015'!$B:$B,AD$1)</f>
        <v>0</v>
      </c>
    </row>
    <row r="347" spans="1:30" x14ac:dyDescent="0.25">
      <c r="A347" s="1" t="str">
        <f>VLOOKUP($E347,Fornecedores!$A:$C,3,0)</f>
        <v>Frota</v>
      </c>
      <c r="B347" s="14">
        <v>1983</v>
      </c>
      <c r="C347" s="14" t="str">
        <f>IFERROR(VLOOKUP($E347,Fornecedores!$A:$E,4,0),"")</f>
        <v>Manutenção</v>
      </c>
      <c r="D347" s="14" t="str">
        <f>IFERROR(VLOOKUP($E347,Fornecedores!$A:$E,5,0),"")</f>
        <v>Vans</v>
      </c>
      <c r="E347" s="8" t="s">
        <v>133</v>
      </c>
      <c r="F347" s="14" t="s">
        <v>665</v>
      </c>
      <c r="G347" s="8" t="s">
        <v>493</v>
      </c>
      <c r="H347" s="9">
        <v>87</v>
      </c>
      <c r="I347" s="21">
        <v>11477.69</v>
      </c>
      <c r="J347" s="11">
        <v>46234</v>
      </c>
      <c r="K347" s="11">
        <v>46238</v>
      </c>
      <c r="L347" s="8" t="s">
        <v>494</v>
      </c>
      <c r="M347" s="14" t="s">
        <v>234</v>
      </c>
      <c r="N347" s="16">
        <v>1556</v>
      </c>
      <c r="O347" s="14" t="s">
        <v>250</v>
      </c>
      <c r="P347" s="14"/>
      <c r="Q347" s="20">
        <f t="shared" si="5"/>
        <v>-1912.9400000000005</v>
      </c>
      <c r="S347" s="20">
        <f>SUMIFS('Doc''s Pagos | Rodopar 108'!$J:$J,'Doc''s Pagos | Rodopar 108'!$A:$A,$B347&amp;$E347&amp;$F347&amp;$J347,'Doc''s Pagos | Rodopar 108'!$B:$B,S$1)+SUMIFS('Doc Há Pagar | Rodopar 1015'!$J:$J,'Doc Há Pagar | Rodopar 1015'!$A:$A,$B347&amp;$E347&amp;$F347,'Doc Há Pagar | Rodopar 1015'!$B:$B,S$1)</f>
        <v>0</v>
      </c>
      <c r="T347" s="20">
        <f>SUMIFS('Doc''s Pagos | Rodopar 108'!$J:$J,'Doc''s Pagos | Rodopar 108'!$A:$A,$B347&amp;$E347&amp;$F347&amp;$J347,'Doc''s Pagos | Rodopar 108'!$B:$B,T$1)+SUMIFS('Doc Há Pagar | Rodopar 1015'!$J:$J,'Doc Há Pagar | Rodopar 1015'!$A:$A,$B347&amp;$E347&amp;$F347,'Doc Há Pagar | Rodopar 1015'!$B:$B,T$1)</f>
        <v>0</v>
      </c>
      <c r="U347" s="20">
        <f>SUMIFS('Doc''s Pagos | Rodopar 108'!$J:$J,'Doc''s Pagos | Rodopar 108'!$A:$A,$B347&amp;$E347&amp;$F347&amp;$J347,'Doc''s Pagos | Rodopar 108'!$B:$B,U$1)+SUMIFS('Doc Há Pagar | Rodopar 1015'!$J:$J,'Doc Há Pagar | Rodopar 1015'!$A:$A,$B347&amp;$E347&amp;$F347,'Doc Há Pagar | Rodopar 1015'!$B:$B,U$1)</f>
        <v>0</v>
      </c>
      <c r="V347" s="20">
        <f>SUMIFS('Doc''s Pagos | Rodopar 108'!$J:$J,'Doc''s Pagos | Rodopar 108'!$A:$A,$B347&amp;$E347&amp;$F347&amp;$J347,'Doc''s Pagos | Rodopar 108'!$B:$B,V$1)+SUMIFS('Doc Há Pagar | Rodopar 1015'!$J:$J,'Doc Há Pagar | Rodopar 1015'!$A:$A,$B347&amp;$E347&amp;$F347,'Doc Há Pagar | Rodopar 1015'!$B:$B,V$1)</f>
        <v>0</v>
      </c>
      <c r="W347" s="20">
        <f>SUMIFS('Doc''s Pagos | Rodopar 108'!$J:$J,'Doc''s Pagos | Rodopar 108'!$A:$A,$B347&amp;$E347&amp;$F347&amp;$J347,'Doc''s Pagos | Rodopar 108'!$B:$B,W$1)+SUMIFS('Doc Há Pagar | Rodopar 1015'!$J:$J,'Doc Há Pagar | Rodopar 1015'!$A:$A,$B347&amp;$E347&amp;$F347,'Doc Há Pagar | Rodopar 1015'!$B:$B,W$1)</f>
        <v>0</v>
      </c>
      <c r="X347" s="20">
        <f>SUMIFS('Doc''s Pagos | Rodopar 108'!$J:$J,'Doc''s Pagos | Rodopar 108'!$A:$A,$B347&amp;$E347&amp;$F347&amp;$J347,'Doc''s Pagos | Rodopar 108'!$B:$B,X$1)+SUMIFS('Doc Há Pagar | Rodopar 1015'!$J:$J,'Doc Há Pagar | Rodopar 1015'!$A:$A,$B347&amp;$E347&amp;$F347,'Doc Há Pagar | Rodopar 1015'!$B:$B,X$1)</f>
        <v>0</v>
      </c>
      <c r="Y347" s="20">
        <f>SUMIFS('Doc''s Pagos | Rodopar 108'!$J:$J,'Doc''s Pagos | Rodopar 108'!$A:$A,$B347&amp;$E347&amp;$F347&amp;$J347,'Doc''s Pagos | Rodopar 108'!$B:$B,Y$1)+SUMIFS('Doc Há Pagar | Rodopar 1015'!$J:$J,'Doc Há Pagar | Rodopar 1015'!$A:$A,$B347&amp;$E347&amp;$F347,'Doc Há Pagar | Rodopar 1015'!$B:$B,Y$1)</f>
        <v>0</v>
      </c>
      <c r="Z347" s="20">
        <f>SUMIFS('Doc''s Pagos | Rodopar 108'!$J:$J,'Doc''s Pagos | Rodopar 108'!$A:$A,$B347&amp;$E347&amp;$F347&amp;$J347,'Doc''s Pagos | Rodopar 108'!$B:$B,Z$1)+SUMIFS('Doc Há Pagar | Rodopar 1015'!$J:$J,'Doc Há Pagar | Rodopar 1015'!$A:$A,$B347&amp;$E347&amp;$F347,'Doc Há Pagar | Rodopar 1015'!$B:$B,Z$1)</f>
        <v>1912.95</v>
      </c>
      <c r="AA347" s="20">
        <f>SUMIFS('Doc''s Pagos | Rodopar 108'!$J:$J,'Doc''s Pagos | Rodopar 108'!$A:$A,$B347&amp;$E347&amp;$F347&amp;$J347,'Doc''s Pagos | Rodopar 108'!$B:$B,AA$1)+SUMIFS('Doc Há Pagar | Rodopar 1015'!$J:$J,'Doc Há Pagar | Rodopar 1015'!$A:$A,$B347&amp;$E347&amp;$F347,'Doc Há Pagar | Rodopar 1015'!$B:$B,AA$1)</f>
        <v>1912.95</v>
      </c>
      <c r="AB347" s="20">
        <f>SUMIFS('Doc''s Pagos | Rodopar 108'!$J:$J,'Doc''s Pagos | Rodopar 108'!$A:$A,$B347&amp;$E347&amp;$F347&amp;$J347,'Doc''s Pagos | Rodopar 108'!$B:$B,AB$1)+SUMIFS('Doc Há Pagar | Rodopar 1015'!$J:$J,'Doc Há Pagar | Rodopar 1015'!$A:$A,$B347&amp;$E347&amp;$F347,'Doc Há Pagar | Rodopar 1015'!$B:$B,AB$1)</f>
        <v>1912.95</v>
      </c>
      <c r="AC347" s="20">
        <f>SUMIFS('Doc''s Pagos | Rodopar 108'!$J:$J,'Doc''s Pagos | Rodopar 108'!$A:$A,$B347&amp;$E347&amp;$F347&amp;$J347,'Doc''s Pagos | Rodopar 108'!$B:$B,AC$1)+SUMIFS('Doc Há Pagar | Rodopar 1015'!$J:$J,'Doc Há Pagar | Rodopar 1015'!$A:$A,$B347&amp;$E347&amp;$F347,'Doc Há Pagar | Rodopar 1015'!$B:$B,AC$1)</f>
        <v>1912.95</v>
      </c>
      <c r="AD347" s="20">
        <f>SUMIFS('Doc''s Pagos | Rodopar 108'!$J:$J,'Doc''s Pagos | Rodopar 108'!$A:$A,$B347&amp;$E347&amp;$F347&amp;$J347,'Doc''s Pagos | Rodopar 108'!$B:$B,AD$1)+SUMIFS('Doc Há Pagar | Rodopar 1015'!$J:$J,'Doc Há Pagar | Rodopar 1015'!$A:$A,$B347&amp;$E347&amp;$F347,'Doc Há Pagar | Rodopar 1015'!$B:$B,AD$1)</f>
        <v>1912.95</v>
      </c>
    </row>
    <row r="348" spans="1:30" x14ac:dyDescent="0.25">
      <c r="A348" s="1" t="str">
        <f>VLOOKUP($E348,Fornecedores!$A:$C,3,0)</f>
        <v>Frota</v>
      </c>
      <c r="B348" s="14">
        <v>7947</v>
      </c>
      <c r="C348" s="14" t="str">
        <f>IFERROR(VLOOKUP($E348,Fornecedores!$A:$E,4,0),"")</f>
        <v>Pneus</v>
      </c>
      <c r="D348" s="14" t="str">
        <f>IFERROR(VLOOKUP($E348,Fornecedores!$A:$E,5,0),"")</f>
        <v>Ressolagem</v>
      </c>
      <c r="E348" s="8" t="s">
        <v>166</v>
      </c>
      <c r="F348" s="14" t="s">
        <v>665</v>
      </c>
      <c r="G348" s="8" t="s">
        <v>611</v>
      </c>
      <c r="H348" s="9">
        <v>87</v>
      </c>
      <c r="I348" s="21">
        <v>2442</v>
      </c>
      <c r="J348" s="11">
        <v>46234</v>
      </c>
      <c r="K348" s="11">
        <v>46234</v>
      </c>
      <c r="L348" s="8" t="s">
        <v>382</v>
      </c>
      <c r="M348" s="14" t="s">
        <v>234</v>
      </c>
      <c r="N348" s="16">
        <v>1556</v>
      </c>
      <c r="O348" s="14" t="s">
        <v>241</v>
      </c>
      <c r="P348" s="14"/>
      <c r="Q348" s="20">
        <f t="shared" si="5"/>
        <v>0</v>
      </c>
      <c r="S348" s="20">
        <f>SUMIFS('Doc''s Pagos | Rodopar 108'!$J:$J,'Doc''s Pagos | Rodopar 108'!$A:$A,$B348&amp;$E348&amp;$F348&amp;$J348,'Doc''s Pagos | Rodopar 108'!$B:$B,S$1)+SUMIFS('Doc Há Pagar | Rodopar 1015'!$J:$J,'Doc Há Pagar | Rodopar 1015'!$A:$A,$B348&amp;$E348&amp;$F348,'Doc Há Pagar | Rodopar 1015'!$B:$B,S$1)</f>
        <v>0</v>
      </c>
      <c r="T348" s="20">
        <f>SUMIFS('Doc''s Pagos | Rodopar 108'!$J:$J,'Doc''s Pagos | Rodopar 108'!$A:$A,$B348&amp;$E348&amp;$F348&amp;$J348,'Doc''s Pagos | Rodopar 108'!$B:$B,T$1)+SUMIFS('Doc Há Pagar | Rodopar 1015'!$J:$J,'Doc Há Pagar | Rodopar 1015'!$A:$A,$B348&amp;$E348&amp;$F348,'Doc Há Pagar | Rodopar 1015'!$B:$B,T$1)</f>
        <v>0</v>
      </c>
      <c r="U348" s="20">
        <f>SUMIFS('Doc''s Pagos | Rodopar 108'!$J:$J,'Doc''s Pagos | Rodopar 108'!$A:$A,$B348&amp;$E348&amp;$F348&amp;$J348,'Doc''s Pagos | Rodopar 108'!$B:$B,U$1)+SUMIFS('Doc Há Pagar | Rodopar 1015'!$J:$J,'Doc Há Pagar | Rodopar 1015'!$A:$A,$B348&amp;$E348&amp;$F348,'Doc Há Pagar | Rodopar 1015'!$B:$B,U$1)</f>
        <v>0</v>
      </c>
      <c r="V348" s="20">
        <f>SUMIFS('Doc''s Pagos | Rodopar 108'!$J:$J,'Doc''s Pagos | Rodopar 108'!$A:$A,$B348&amp;$E348&amp;$F348&amp;$J348,'Doc''s Pagos | Rodopar 108'!$B:$B,V$1)+SUMIFS('Doc Há Pagar | Rodopar 1015'!$J:$J,'Doc Há Pagar | Rodopar 1015'!$A:$A,$B348&amp;$E348&amp;$F348,'Doc Há Pagar | Rodopar 1015'!$B:$B,V$1)</f>
        <v>0</v>
      </c>
      <c r="W348" s="20">
        <f>SUMIFS('Doc''s Pagos | Rodopar 108'!$J:$J,'Doc''s Pagos | Rodopar 108'!$A:$A,$B348&amp;$E348&amp;$F348&amp;$J348,'Doc''s Pagos | Rodopar 108'!$B:$B,W$1)+SUMIFS('Doc Há Pagar | Rodopar 1015'!$J:$J,'Doc Há Pagar | Rodopar 1015'!$A:$A,$B348&amp;$E348&amp;$F348,'Doc Há Pagar | Rodopar 1015'!$B:$B,W$1)</f>
        <v>0</v>
      </c>
      <c r="X348" s="20">
        <f>SUMIFS('Doc''s Pagos | Rodopar 108'!$J:$J,'Doc''s Pagos | Rodopar 108'!$A:$A,$B348&amp;$E348&amp;$F348&amp;$J348,'Doc''s Pagos | Rodopar 108'!$B:$B,X$1)+SUMIFS('Doc Há Pagar | Rodopar 1015'!$J:$J,'Doc Há Pagar | Rodopar 1015'!$A:$A,$B348&amp;$E348&amp;$F348,'Doc Há Pagar | Rodopar 1015'!$B:$B,X$1)</f>
        <v>0</v>
      </c>
      <c r="Y348" s="20">
        <f>SUMIFS('Doc''s Pagos | Rodopar 108'!$J:$J,'Doc''s Pagos | Rodopar 108'!$A:$A,$B348&amp;$E348&amp;$F348&amp;$J348,'Doc''s Pagos | Rodopar 108'!$B:$B,Y$1)+SUMIFS('Doc Há Pagar | Rodopar 1015'!$J:$J,'Doc Há Pagar | Rodopar 1015'!$A:$A,$B348&amp;$E348&amp;$F348,'Doc Há Pagar | Rodopar 1015'!$B:$B,Y$1)</f>
        <v>0</v>
      </c>
      <c r="Z348" s="20">
        <f>SUMIFS('Doc''s Pagos | Rodopar 108'!$J:$J,'Doc''s Pagos | Rodopar 108'!$A:$A,$B348&amp;$E348&amp;$F348&amp;$J348,'Doc''s Pagos | Rodopar 108'!$B:$B,Z$1)+SUMIFS('Doc Há Pagar | Rodopar 1015'!$J:$J,'Doc Há Pagar | Rodopar 1015'!$A:$A,$B348&amp;$E348&amp;$F348,'Doc Há Pagar | Rodopar 1015'!$B:$B,Z$1)</f>
        <v>814</v>
      </c>
      <c r="AA348" s="20">
        <f>SUMIFS('Doc''s Pagos | Rodopar 108'!$J:$J,'Doc''s Pagos | Rodopar 108'!$A:$A,$B348&amp;$E348&amp;$F348&amp;$J348,'Doc''s Pagos | Rodopar 108'!$B:$B,AA$1)+SUMIFS('Doc Há Pagar | Rodopar 1015'!$J:$J,'Doc Há Pagar | Rodopar 1015'!$A:$A,$B348&amp;$E348&amp;$F348,'Doc Há Pagar | Rodopar 1015'!$B:$B,AA$1)</f>
        <v>814</v>
      </c>
      <c r="AB348" s="20">
        <f>SUMIFS('Doc''s Pagos | Rodopar 108'!$J:$J,'Doc''s Pagos | Rodopar 108'!$A:$A,$B348&amp;$E348&amp;$F348&amp;$J348,'Doc''s Pagos | Rodopar 108'!$B:$B,AB$1)+SUMIFS('Doc Há Pagar | Rodopar 1015'!$J:$J,'Doc Há Pagar | Rodopar 1015'!$A:$A,$B348&amp;$E348&amp;$F348,'Doc Há Pagar | Rodopar 1015'!$B:$B,AB$1)</f>
        <v>814</v>
      </c>
      <c r="AC348" s="20">
        <f>SUMIFS('Doc''s Pagos | Rodopar 108'!$J:$J,'Doc''s Pagos | Rodopar 108'!$A:$A,$B348&amp;$E348&amp;$F348&amp;$J348,'Doc''s Pagos | Rodopar 108'!$B:$B,AC$1)+SUMIFS('Doc Há Pagar | Rodopar 1015'!$J:$J,'Doc Há Pagar | Rodopar 1015'!$A:$A,$B348&amp;$E348&amp;$F348,'Doc Há Pagar | Rodopar 1015'!$B:$B,AC$1)</f>
        <v>0</v>
      </c>
      <c r="AD348" s="20">
        <f>SUMIFS('Doc''s Pagos | Rodopar 108'!$J:$J,'Doc''s Pagos | Rodopar 108'!$A:$A,$B348&amp;$E348&amp;$F348&amp;$J348,'Doc''s Pagos | Rodopar 108'!$B:$B,AD$1)+SUMIFS('Doc Há Pagar | Rodopar 1015'!$J:$J,'Doc Há Pagar | Rodopar 1015'!$A:$A,$B348&amp;$E348&amp;$F348,'Doc Há Pagar | Rodopar 1015'!$B:$B,AD$1)</f>
        <v>0</v>
      </c>
    </row>
    <row r="349" spans="1:30" x14ac:dyDescent="0.25">
      <c r="A349" s="1" t="str">
        <f>VLOOKUP($E349,Fornecedores!$A:$C,3,0)</f>
        <v>Frota</v>
      </c>
      <c r="B349" s="14">
        <v>26171417312</v>
      </c>
      <c r="C349" s="14" t="str">
        <f>IFERROR(VLOOKUP($E349,Fornecedores!$A:$E,4,0),"")</f>
        <v>Pedagios</v>
      </c>
      <c r="D349" s="14" t="str">
        <f>IFERROR(VLOOKUP($E349,Fornecedores!$A:$E,5,0),"")</f>
        <v>Pedagios</v>
      </c>
      <c r="E349" s="8" t="s">
        <v>38</v>
      </c>
      <c r="F349" s="14" t="s">
        <v>232</v>
      </c>
      <c r="G349" s="8" t="s">
        <v>261</v>
      </c>
      <c r="H349" s="9">
        <v>87</v>
      </c>
      <c r="I349" s="21">
        <v>21191.62</v>
      </c>
      <c r="J349" s="11">
        <v>46237</v>
      </c>
      <c r="K349" s="11">
        <v>46238</v>
      </c>
      <c r="L349" s="8" t="s">
        <v>262</v>
      </c>
      <c r="M349" s="14" t="s">
        <v>263</v>
      </c>
      <c r="N349" s="16">
        <v>2556</v>
      </c>
      <c r="O349" s="14" t="s">
        <v>241</v>
      </c>
      <c r="P349" s="14"/>
      <c r="Q349" s="20">
        <f t="shared" si="5"/>
        <v>0</v>
      </c>
      <c r="S349" s="20">
        <f>SUMIFS('Doc''s Pagos | Rodopar 108'!$J:$J,'Doc''s Pagos | Rodopar 108'!$A:$A,$B349&amp;$E349&amp;$F349&amp;$J349,'Doc''s Pagos | Rodopar 108'!$B:$B,S$1)+SUMIFS('Doc Há Pagar | Rodopar 1015'!$J:$J,'Doc Há Pagar | Rodopar 1015'!$A:$A,$B349&amp;$E349&amp;$F349,'Doc Há Pagar | Rodopar 1015'!$B:$B,S$1)</f>
        <v>0</v>
      </c>
      <c r="T349" s="20">
        <f>SUMIFS('Doc''s Pagos | Rodopar 108'!$J:$J,'Doc''s Pagos | Rodopar 108'!$A:$A,$B349&amp;$E349&amp;$F349&amp;$J349,'Doc''s Pagos | Rodopar 108'!$B:$B,T$1)+SUMIFS('Doc Há Pagar | Rodopar 1015'!$J:$J,'Doc Há Pagar | Rodopar 1015'!$A:$A,$B349&amp;$E349&amp;$F349,'Doc Há Pagar | Rodopar 1015'!$B:$B,T$1)</f>
        <v>0</v>
      </c>
      <c r="U349" s="20">
        <f>SUMIFS('Doc''s Pagos | Rodopar 108'!$J:$J,'Doc''s Pagos | Rodopar 108'!$A:$A,$B349&amp;$E349&amp;$F349&amp;$J349,'Doc''s Pagos | Rodopar 108'!$B:$B,U$1)+SUMIFS('Doc Há Pagar | Rodopar 1015'!$J:$J,'Doc Há Pagar | Rodopar 1015'!$A:$A,$B349&amp;$E349&amp;$F349,'Doc Há Pagar | Rodopar 1015'!$B:$B,U$1)</f>
        <v>0</v>
      </c>
      <c r="V349" s="20">
        <f>SUMIFS('Doc''s Pagos | Rodopar 108'!$J:$J,'Doc''s Pagos | Rodopar 108'!$A:$A,$B349&amp;$E349&amp;$F349&amp;$J349,'Doc''s Pagos | Rodopar 108'!$B:$B,V$1)+SUMIFS('Doc Há Pagar | Rodopar 1015'!$J:$J,'Doc Há Pagar | Rodopar 1015'!$A:$A,$B349&amp;$E349&amp;$F349,'Doc Há Pagar | Rodopar 1015'!$B:$B,V$1)</f>
        <v>0</v>
      </c>
      <c r="W349" s="20">
        <f>SUMIFS('Doc''s Pagos | Rodopar 108'!$J:$J,'Doc''s Pagos | Rodopar 108'!$A:$A,$B349&amp;$E349&amp;$F349&amp;$J349,'Doc''s Pagos | Rodopar 108'!$B:$B,W$1)+SUMIFS('Doc Há Pagar | Rodopar 1015'!$J:$J,'Doc Há Pagar | Rodopar 1015'!$A:$A,$B349&amp;$E349&amp;$F349,'Doc Há Pagar | Rodopar 1015'!$B:$B,W$1)</f>
        <v>0</v>
      </c>
      <c r="X349" s="20">
        <f>SUMIFS('Doc''s Pagos | Rodopar 108'!$J:$J,'Doc''s Pagos | Rodopar 108'!$A:$A,$B349&amp;$E349&amp;$F349&amp;$J349,'Doc''s Pagos | Rodopar 108'!$B:$B,X$1)+SUMIFS('Doc Há Pagar | Rodopar 1015'!$J:$J,'Doc Há Pagar | Rodopar 1015'!$A:$A,$B349&amp;$E349&amp;$F349,'Doc Há Pagar | Rodopar 1015'!$B:$B,X$1)</f>
        <v>0</v>
      </c>
      <c r="Y349" s="20">
        <f>SUMIFS('Doc''s Pagos | Rodopar 108'!$J:$J,'Doc''s Pagos | Rodopar 108'!$A:$A,$B349&amp;$E349&amp;$F349&amp;$J349,'Doc''s Pagos | Rodopar 108'!$B:$B,Y$1)+SUMIFS('Doc Há Pagar | Rodopar 1015'!$J:$J,'Doc Há Pagar | Rodopar 1015'!$A:$A,$B349&amp;$E349&amp;$F349,'Doc Há Pagar | Rodopar 1015'!$B:$B,Y$1)</f>
        <v>0</v>
      </c>
      <c r="Z349" s="20">
        <f>SUMIFS('Doc''s Pagos | Rodopar 108'!$J:$J,'Doc''s Pagos | Rodopar 108'!$A:$A,$B349&amp;$E349&amp;$F349&amp;$J349,'Doc''s Pagos | Rodopar 108'!$B:$B,Z$1)+SUMIFS('Doc Há Pagar | Rodopar 1015'!$J:$J,'Doc Há Pagar | Rodopar 1015'!$A:$A,$B349&amp;$E349&amp;$F349,'Doc Há Pagar | Rodopar 1015'!$B:$B,Z$1)</f>
        <v>21191.62</v>
      </c>
      <c r="AA349" s="20">
        <f>SUMIFS('Doc''s Pagos | Rodopar 108'!$J:$J,'Doc''s Pagos | Rodopar 108'!$A:$A,$B349&amp;$E349&amp;$F349&amp;$J349,'Doc''s Pagos | Rodopar 108'!$B:$B,AA$1)+SUMIFS('Doc Há Pagar | Rodopar 1015'!$J:$J,'Doc Há Pagar | Rodopar 1015'!$A:$A,$B349&amp;$E349&amp;$F349,'Doc Há Pagar | Rodopar 1015'!$B:$B,AA$1)</f>
        <v>0</v>
      </c>
      <c r="AB349" s="20">
        <f>SUMIFS('Doc''s Pagos | Rodopar 108'!$J:$J,'Doc''s Pagos | Rodopar 108'!$A:$A,$B349&amp;$E349&amp;$F349&amp;$J349,'Doc''s Pagos | Rodopar 108'!$B:$B,AB$1)+SUMIFS('Doc Há Pagar | Rodopar 1015'!$J:$J,'Doc Há Pagar | Rodopar 1015'!$A:$A,$B349&amp;$E349&amp;$F349,'Doc Há Pagar | Rodopar 1015'!$B:$B,AB$1)</f>
        <v>0</v>
      </c>
      <c r="AC349" s="20">
        <f>SUMIFS('Doc''s Pagos | Rodopar 108'!$J:$J,'Doc''s Pagos | Rodopar 108'!$A:$A,$B349&amp;$E349&amp;$F349&amp;$J349,'Doc''s Pagos | Rodopar 108'!$B:$B,AC$1)+SUMIFS('Doc Há Pagar | Rodopar 1015'!$J:$J,'Doc Há Pagar | Rodopar 1015'!$A:$A,$B349&amp;$E349&amp;$F349,'Doc Há Pagar | Rodopar 1015'!$B:$B,AC$1)</f>
        <v>0</v>
      </c>
      <c r="AD349" s="20">
        <f>SUMIFS('Doc''s Pagos | Rodopar 108'!$J:$J,'Doc''s Pagos | Rodopar 108'!$A:$A,$B349&amp;$E349&amp;$F349&amp;$J349,'Doc''s Pagos | Rodopar 108'!$B:$B,AD$1)+SUMIFS('Doc Há Pagar | Rodopar 1015'!$J:$J,'Doc Há Pagar | Rodopar 1015'!$A:$A,$B349&amp;$E349&amp;$F349,'Doc Há Pagar | Rodopar 1015'!$B:$B,AD$1)</f>
        <v>0</v>
      </c>
    </row>
    <row r="350" spans="1:30" x14ac:dyDescent="0.25">
      <c r="A350" s="1" t="str">
        <f>VLOOKUP($E350,Fornecedores!$A:$C,3,0)</f>
        <v>Frota</v>
      </c>
      <c r="B350" s="14">
        <v>71018</v>
      </c>
      <c r="C350" s="14" t="str">
        <f>IFERROR(VLOOKUP($E350,Fornecedores!$A:$E,4,0),"")</f>
        <v>Sinistro</v>
      </c>
      <c r="D350" s="14" t="str">
        <f>IFERROR(VLOOKUP($E350,Fornecedores!$A:$E,5,0),"")</f>
        <v>Parabrisa</v>
      </c>
      <c r="E350" s="8" t="s">
        <v>165</v>
      </c>
      <c r="F350" s="14" t="s">
        <v>380</v>
      </c>
      <c r="G350" s="8" t="s">
        <v>573</v>
      </c>
      <c r="H350" s="9">
        <v>87</v>
      </c>
      <c r="I350" s="21">
        <v>920</v>
      </c>
      <c r="J350" s="11">
        <v>46237</v>
      </c>
      <c r="K350" s="11">
        <v>46245</v>
      </c>
      <c r="L350" s="8" t="s">
        <v>233</v>
      </c>
      <c r="M350" s="14" t="s">
        <v>234</v>
      </c>
      <c r="N350" s="16">
        <v>1556</v>
      </c>
      <c r="O350" s="14" t="s">
        <v>250</v>
      </c>
      <c r="P350" s="14"/>
      <c r="Q350" s="20">
        <f t="shared" si="5"/>
        <v>0</v>
      </c>
      <c r="S350" s="20">
        <f>SUMIFS('Doc''s Pagos | Rodopar 108'!$J:$J,'Doc''s Pagos | Rodopar 108'!$A:$A,$B350&amp;$E350&amp;$F350&amp;$J350,'Doc''s Pagos | Rodopar 108'!$B:$B,S$1)+SUMIFS('Doc Há Pagar | Rodopar 1015'!$J:$J,'Doc Há Pagar | Rodopar 1015'!$A:$A,$B350&amp;$E350&amp;$F350,'Doc Há Pagar | Rodopar 1015'!$B:$B,S$1)</f>
        <v>0</v>
      </c>
      <c r="T350" s="20">
        <f>SUMIFS('Doc''s Pagos | Rodopar 108'!$J:$J,'Doc''s Pagos | Rodopar 108'!$A:$A,$B350&amp;$E350&amp;$F350&amp;$J350,'Doc''s Pagos | Rodopar 108'!$B:$B,T$1)+SUMIFS('Doc Há Pagar | Rodopar 1015'!$J:$J,'Doc Há Pagar | Rodopar 1015'!$A:$A,$B350&amp;$E350&amp;$F350,'Doc Há Pagar | Rodopar 1015'!$B:$B,T$1)</f>
        <v>0</v>
      </c>
      <c r="U350" s="20">
        <f>SUMIFS('Doc''s Pagos | Rodopar 108'!$J:$J,'Doc''s Pagos | Rodopar 108'!$A:$A,$B350&amp;$E350&amp;$F350&amp;$J350,'Doc''s Pagos | Rodopar 108'!$B:$B,U$1)+SUMIFS('Doc Há Pagar | Rodopar 1015'!$J:$J,'Doc Há Pagar | Rodopar 1015'!$A:$A,$B350&amp;$E350&amp;$F350,'Doc Há Pagar | Rodopar 1015'!$B:$B,U$1)</f>
        <v>0</v>
      </c>
      <c r="V350" s="20">
        <f>SUMIFS('Doc''s Pagos | Rodopar 108'!$J:$J,'Doc''s Pagos | Rodopar 108'!$A:$A,$B350&amp;$E350&amp;$F350&amp;$J350,'Doc''s Pagos | Rodopar 108'!$B:$B,V$1)+SUMIFS('Doc Há Pagar | Rodopar 1015'!$J:$J,'Doc Há Pagar | Rodopar 1015'!$A:$A,$B350&amp;$E350&amp;$F350,'Doc Há Pagar | Rodopar 1015'!$B:$B,V$1)</f>
        <v>0</v>
      </c>
      <c r="W350" s="20">
        <f>SUMIFS('Doc''s Pagos | Rodopar 108'!$J:$J,'Doc''s Pagos | Rodopar 108'!$A:$A,$B350&amp;$E350&amp;$F350&amp;$J350,'Doc''s Pagos | Rodopar 108'!$B:$B,W$1)+SUMIFS('Doc Há Pagar | Rodopar 1015'!$J:$J,'Doc Há Pagar | Rodopar 1015'!$A:$A,$B350&amp;$E350&amp;$F350,'Doc Há Pagar | Rodopar 1015'!$B:$B,W$1)</f>
        <v>0</v>
      </c>
      <c r="X350" s="20">
        <f>SUMIFS('Doc''s Pagos | Rodopar 108'!$J:$J,'Doc''s Pagos | Rodopar 108'!$A:$A,$B350&amp;$E350&amp;$F350&amp;$J350,'Doc''s Pagos | Rodopar 108'!$B:$B,X$1)+SUMIFS('Doc Há Pagar | Rodopar 1015'!$J:$J,'Doc Há Pagar | Rodopar 1015'!$A:$A,$B350&amp;$E350&amp;$F350,'Doc Há Pagar | Rodopar 1015'!$B:$B,X$1)</f>
        <v>0</v>
      </c>
      <c r="Y350" s="20">
        <f>SUMIFS('Doc''s Pagos | Rodopar 108'!$J:$J,'Doc''s Pagos | Rodopar 108'!$A:$A,$B350&amp;$E350&amp;$F350&amp;$J350,'Doc''s Pagos | Rodopar 108'!$B:$B,Y$1)+SUMIFS('Doc Há Pagar | Rodopar 1015'!$J:$J,'Doc Há Pagar | Rodopar 1015'!$A:$A,$B350&amp;$E350&amp;$F350,'Doc Há Pagar | Rodopar 1015'!$B:$B,Y$1)</f>
        <v>0</v>
      </c>
      <c r="Z350" s="20">
        <f>SUMIFS('Doc''s Pagos | Rodopar 108'!$J:$J,'Doc''s Pagos | Rodopar 108'!$A:$A,$B350&amp;$E350&amp;$F350&amp;$J350,'Doc''s Pagos | Rodopar 108'!$B:$B,Z$1)+SUMIFS('Doc Há Pagar | Rodopar 1015'!$J:$J,'Doc Há Pagar | Rodopar 1015'!$A:$A,$B350&amp;$E350&amp;$F350,'Doc Há Pagar | Rodopar 1015'!$B:$B,Z$1)</f>
        <v>0</v>
      </c>
      <c r="AA350" s="20">
        <f>SUMIFS('Doc''s Pagos | Rodopar 108'!$J:$J,'Doc''s Pagos | Rodopar 108'!$A:$A,$B350&amp;$E350&amp;$F350&amp;$J350,'Doc''s Pagos | Rodopar 108'!$B:$B,AA$1)+SUMIFS('Doc Há Pagar | Rodopar 1015'!$J:$J,'Doc Há Pagar | Rodopar 1015'!$A:$A,$B350&amp;$E350&amp;$F350,'Doc Há Pagar | Rodopar 1015'!$B:$B,AA$1)</f>
        <v>920</v>
      </c>
      <c r="AB350" s="20">
        <f>SUMIFS('Doc''s Pagos | Rodopar 108'!$J:$J,'Doc''s Pagos | Rodopar 108'!$A:$A,$B350&amp;$E350&amp;$F350&amp;$J350,'Doc''s Pagos | Rodopar 108'!$B:$B,AB$1)+SUMIFS('Doc Há Pagar | Rodopar 1015'!$J:$J,'Doc Há Pagar | Rodopar 1015'!$A:$A,$B350&amp;$E350&amp;$F350,'Doc Há Pagar | Rodopar 1015'!$B:$B,AB$1)</f>
        <v>0</v>
      </c>
      <c r="AC350" s="20">
        <f>SUMIFS('Doc''s Pagos | Rodopar 108'!$J:$J,'Doc''s Pagos | Rodopar 108'!$A:$A,$B350&amp;$E350&amp;$F350&amp;$J350,'Doc''s Pagos | Rodopar 108'!$B:$B,AC$1)+SUMIFS('Doc Há Pagar | Rodopar 1015'!$J:$J,'Doc Há Pagar | Rodopar 1015'!$A:$A,$B350&amp;$E350&amp;$F350,'Doc Há Pagar | Rodopar 1015'!$B:$B,AC$1)</f>
        <v>0</v>
      </c>
      <c r="AD350" s="20">
        <f>SUMIFS('Doc''s Pagos | Rodopar 108'!$J:$J,'Doc''s Pagos | Rodopar 108'!$A:$A,$B350&amp;$E350&amp;$F350&amp;$J350,'Doc''s Pagos | Rodopar 108'!$B:$B,AD$1)+SUMIFS('Doc Há Pagar | Rodopar 1015'!$J:$J,'Doc Há Pagar | Rodopar 1015'!$A:$A,$B350&amp;$E350&amp;$F350,'Doc Há Pagar | Rodopar 1015'!$B:$B,AD$1)</f>
        <v>0</v>
      </c>
    </row>
    <row r="351" spans="1:30" x14ac:dyDescent="0.25">
      <c r="A351" s="1" t="str">
        <f>VLOOKUP($E351,Fornecedores!$A:$C,3,0)</f>
        <v>Frota</v>
      </c>
      <c r="B351" s="14">
        <v>71022</v>
      </c>
      <c r="C351" s="14" t="str">
        <f>IFERROR(VLOOKUP($E351,Fornecedores!$A:$E,4,0),"")</f>
        <v>Sinistro</v>
      </c>
      <c r="D351" s="14" t="str">
        <f>IFERROR(VLOOKUP($E351,Fornecedores!$A:$E,5,0),"")</f>
        <v>Parabrisa</v>
      </c>
      <c r="E351" s="8" t="s">
        <v>165</v>
      </c>
      <c r="F351" s="14" t="s">
        <v>380</v>
      </c>
      <c r="G351" s="8" t="s">
        <v>573</v>
      </c>
      <c r="H351" s="9">
        <v>87</v>
      </c>
      <c r="I351" s="21">
        <v>920</v>
      </c>
      <c r="J351" s="11">
        <v>46237</v>
      </c>
      <c r="K351" s="11">
        <v>46245</v>
      </c>
      <c r="L351" s="8" t="s">
        <v>233</v>
      </c>
      <c r="M351" s="14" t="s">
        <v>234</v>
      </c>
      <c r="N351" s="16">
        <v>1556</v>
      </c>
      <c r="O351" s="14" t="s">
        <v>250</v>
      </c>
      <c r="P351" s="14"/>
      <c r="Q351" s="20">
        <f t="shared" si="5"/>
        <v>0</v>
      </c>
      <c r="S351" s="20">
        <f>SUMIFS('Doc''s Pagos | Rodopar 108'!$J:$J,'Doc''s Pagos | Rodopar 108'!$A:$A,$B351&amp;$E351&amp;$F351&amp;$J351,'Doc''s Pagos | Rodopar 108'!$B:$B,S$1)+SUMIFS('Doc Há Pagar | Rodopar 1015'!$J:$J,'Doc Há Pagar | Rodopar 1015'!$A:$A,$B351&amp;$E351&amp;$F351,'Doc Há Pagar | Rodopar 1015'!$B:$B,S$1)</f>
        <v>0</v>
      </c>
      <c r="T351" s="20">
        <f>SUMIFS('Doc''s Pagos | Rodopar 108'!$J:$J,'Doc''s Pagos | Rodopar 108'!$A:$A,$B351&amp;$E351&amp;$F351&amp;$J351,'Doc''s Pagos | Rodopar 108'!$B:$B,T$1)+SUMIFS('Doc Há Pagar | Rodopar 1015'!$J:$J,'Doc Há Pagar | Rodopar 1015'!$A:$A,$B351&amp;$E351&amp;$F351,'Doc Há Pagar | Rodopar 1015'!$B:$B,T$1)</f>
        <v>0</v>
      </c>
      <c r="U351" s="20">
        <f>SUMIFS('Doc''s Pagos | Rodopar 108'!$J:$J,'Doc''s Pagos | Rodopar 108'!$A:$A,$B351&amp;$E351&amp;$F351&amp;$J351,'Doc''s Pagos | Rodopar 108'!$B:$B,U$1)+SUMIFS('Doc Há Pagar | Rodopar 1015'!$J:$J,'Doc Há Pagar | Rodopar 1015'!$A:$A,$B351&amp;$E351&amp;$F351,'Doc Há Pagar | Rodopar 1015'!$B:$B,U$1)</f>
        <v>0</v>
      </c>
      <c r="V351" s="20">
        <f>SUMIFS('Doc''s Pagos | Rodopar 108'!$J:$J,'Doc''s Pagos | Rodopar 108'!$A:$A,$B351&amp;$E351&amp;$F351&amp;$J351,'Doc''s Pagos | Rodopar 108'!$B:$B,V$1)+SUMIFS('Doc Há Pagar | Rodopar 1015'!$J:$J,'Doc Há Pagar | Rodopar 1015'!$A:$A,$B351&amp;$E351&amp;$F351,'Doc Há Pagar | Rodopar 1015'!$B:$B,V$1)</f>
        <v>0</v>
      </c>
      <c r="W351" s="20">
        <f>SUMIFS('Doc''s Pagos | Rodopar 108'!$J:$J,'Doc''s Pagos | Rodopar 108'!$A:$A,$B351&amp;$E351&amp;$F351&amp;$J351,'Doc''s Pagos | Rodopar 108'!$B:$B,W$1)+SUMIFS('Doc Há Pagar | Rodopar 1015'!$J:$J,'Doc Há Pagar | Rodopar 1015'!$A:$A,$B351&amp;$E351&amp;$F351,'Doc Há Pagar | Rodopar 1015'!$B:$B,W$1)</f>
        <v>0</v>
      </c>
      <c r="X351" s="20">
        <f>SUMIFS('Doc''s Pagos | Rodopar 108'!$J:$J,'Doc''s Pagos | Rodopar 108'!$A:$A,$B351&amp;$E351&amp;$F351&amp;$J351,'Doc''s Pagos | Rodopar 108'!$B:$B,X$1)+SUMIFS('Doc Há Pagar | Rodopar 1015'!$J:$J,'Doc Há Pagar | Rodopar 1015'!$A:$A,$B351&amp;$E351&amp;$F351,'Doc Há Pagar | Rodopar 1015'!$B:$B,X$1)</f>
        <v>0</v>
      </c>
      <c r="Y351" s="20">
        <f>SUMIFS('Doc''s Pagos | Rodopar 108'!$J:$J,'Doc''s Pagos | Rodopar 108'!$A:$A,$B351&amp;$E351&amp;$F351&amp;$J351,'Doc''s Pagos | Rodopar 108'!$B:$B,Y$1)+SUMIFS('Doc Há Pagar | Rodopar 1015'!$J:$J,'Doc Há Pagar | Rodopar 1015'!$A:$A,$B351&amp;$E351&amp;$F351,'Doc Há Pagar | Rodopar 1015'!$B:$B,Y$1)</f>
        <v>0</v>
      </c>
      <c r="Z351" s="20">
        <f>SUMIFS('Doc''s Pagos | Rodopar 108'!$J:$J,'Doc''s Pagos | Rodopar 108'!$A:$A,$B351&amp;$E351&amp;$F351&amp;$J351,'Doc''s Pagos | Rodopar 108'!$B:$B,Z$1)+SUMIFS('Doc Há Pagar | Rodopar 1015'!$J:$J,'Doc Há Pagar | Rodopar 1015'!$A:$A,$B351&amp;$E351&amp;$F351,'Doc Há Pagar | Rodopar 1015'!$B:$B,Z$1)</f>
        <v>0</v>
      </c>
      <c r="AA351" s="20">
        <f>SUMIFS('Doc''s Pagos | Rodopar 108'!$J:$J,'Doc''s Pagos | Rodopar 108'!$A:$A,$B351&amp;$E351&amp;$F351&amp;$J351,'Doc''s Pagos | Rodopar 108'!$B:$B,AA$1)+SUMIFS('Doc Há Pagar | Rodopar 1015'!$J:$J,'Doc Há Pagar | Rodopar 1015'!$A:$A,$B351&amp;$E351&amp;$F351,'Doc Há Pagar | Rodopar 1015'!$B:$B,AA$1)</f>
        <v>920</v>
      </c>
      <c r="AB351" s="20">
        <f>SUMIFS('Doc''s Pagos | Rodopar 108'!$J:$J,'Doc''s Pagos | Rodopar 108'!$A:$A,$B351&amp;$E351&amp;$F351&amp;$J351,'Doc''s Pagos | Rodopar 108'!$B:$B,AB$1)+SUMIFS('Doc Há Pagar | Rodopar 1015'!$J:$J,'Doc Há Pagar | Rodopar 1015'!$A:$A,$B351&amp;$E351&amp;$F351,'Doc Há Pagar | Rodopar 1015'!$B:$B,AB$1)</f>
        <v>0</v>
      </c>
      <c r="AC351" s="20">
        <f>SUMIFS('Doc''s Pagos | Rodopar 108'!$J:$J,'Doc''s Pagos | Rodopar 108'!$A:$A,$B351&amp;$E351&amp;$F351&amp;$J351,'Doc''s Pagos | Rodopar 108'!$B:$B,AC$1)+SUMIFS('Doc Há Pagar | Rodopar 1015'!$J:$J,'Doc Há Pagar | Rodopar 1015'!$A:$A,$B351&amp;$E351&amp;$F351,'Doc Há Pagar | Rodopar 1015'!$B:$B,AC$1)</f>
        <v>0</v>
      </c>
      <c r="AD351" s="20">
        <f>SUMIFS('Doc''s Pagos | Rodopar 108'!$J:$J,'Doc''s Pagos | Rodopar 108'!$A:$A,$B351&amp;$E351&amp;$F351&amp;$J351,'Doc''s Pagos | Rodopar 108'!$B:$B,AD$1)+SUMIFS('Doc Há Pagar | Rodopar 1015'!$J:$J,'Doc Há Pagar | Rodopar 1015'!$A:$A,$B351&amp;$E351&amp;$F351,'Doc Há Pagar | Rodopar 1015'!$B:$B,AD$1)</f>
        <v>0</v>
      </c>
    </row>
    <row r="352" spans="1:30" x14ac:dyDescent="0.25">
      <c r="A352" s="1" t="str">
        <f>VLOOKUP($E352,Fornecedores!$A:$C,3,0)</f>
        <v>Frota</v>
      </c>
      <c r="B352" s="14">
        <v>190245</v>
      </c>
      <c r="C352" s="14" t="str">
        <f>IFERROR(VLOOKUP($E352,Fornecedores!$A:$E,4,0),"")</f>
        <v>Manutenção</v>
      </c>
      <c r="D352" s="14" t="str">
        <f>IFERROR(VLOOKUP($E352,Fornecedores!$A:$E,5,0),"")</f>
        <v>Vans</v>
      </c>
      <c r="E352" s="8" t="s">
        <v>132</v>
      </c>
      <c r="F352" s="14" t="s">
        <v>380</v>
      </c>
      <c r="G352" s="8" t="s">
        <v>434</v>
      </c>
      <c r="H352" s="9">
        <v>87</v>
      </c>
      <c r="I352" s="21">
        <v>1976.9</v>
      </c>
      <c r="J352" s="11">
        <v>46238</v>
      </c>
      <c r="K352" s="11">
        <v>46239</v>
      </c>
      <c r="L352" s="8" t="s">
        <v>435</v>
      </c>
      <c r="M352" s="14" t="s">
        <v>234</v>
      </c>
      <c r="N352" s="16">
        <v>1556</v>
      </c>
      <c r="O352" s="14" t="s">
        <v>250</v>
      </c>
      <c r="P352" s="14"/>
      <c r="Q352" s="20">
        <f t="shared" si="5"/>
        <v>0</v>
      </c>
      <c r="S352" s="20">
        <f>SUMIFS('Doc''s Pagos | Rodopar 108'!$J:$J,'Doc''s Pagos | Rodopar 108'!$A:$A,$B352&amp;$E352&amp;$F352&amp;$J352,'Doc''s Pagos | Rodopar 108'!$B:$B,S$1)+SUMIFS('Doc Há Pagar | Rodopar 1015'!$J:$J,'Doc Há Pagar | Rodopar 1015'!$A:$A,$B352&amp;$E352&amp;$F352,'Doc Há Pagar | Rodopar 1015'!$B:$B,S$1)</f>
        <v>0</v>
      </c>
      <c r="T352" s="20">
        <f>SUMIFS('Doc''s Pagos | Rodopar 108'!$J:$J,'Doc''s Pagos | Rodopar 108'!$A:$A,$B352&amp;$E352&amp;$F352&amp;$J352,'Doc''s Pagos | Rodopar 108'!$B:$B,T$1)+SUMIFS('Doc Há Pagar | Rodopar 1015'!$J:$J,'Doc Há Pagar | Rodopar 1015'!$A:$A,$B352&amp;$E352&amp;$F352,'Doc Há Pagar | Rodopar 1015'!$B:$B,T$1)</f>
        <v>0</v>
      </c>
      <c r="U352" s="20">
        <f>SUMIFS('Doc''s Pagos | Rodopar 108'!$J:$J,'Doc''s Pagos | Rodopar 108'!$A:$A,$B352&amp;$E352&amp;$F352&amp;$J352,'Doc''s Pagos | Rodopar 108'!$B:$B,U$1)+SUMIFS('Doc Há Pagar | Rodopar 1015'!$J:$J,'Doc Há Pagar | Rodopar 1015'!$A:$A,$B352&amp;$E352&amp;$F352,'Doc Há Pagar | Rodopar 1015'!$B:$B,U$1)</f>
        <v>0</v>
      </c>
      <c r="V352" s="20">
        <f>SUMIFS('Doc''s Pagos | Rodopar 108'!$J:$J,'Doc''s Pagos | Rodopar 108'!$A:$A,$B352&amp;$E352&amp;$F352&amp;$J352,'Doc''s Pagos | Rodopar 108'!$B:$B,V$1)+SUMIFS('Doc Há Pagar | Rodopar 1015'!$J:$J,'Doc Há Pagar | Rodopar 1015'!$A:$A,$B352&amp;$E352&amp;$F352,'Doc Há Pagar | Rodopar 1015'!$B:$B,V$1)</f>
        <v>0</v>
      </c>
      <c r="W352" s="20">
        <f>SUMIFS('Doc''s Pagos | Rodopar 108'!$J:$J,'Doc''s Pagos | Rodopar 108'!$A:$A,$B352&amp;$E352&amp;$F352&amp;$J352,'Doc''s Pagos | Rodopar 108'!$B:$B,W$1)+SUMIFS('Doc Há Pagar | Rodopar 1015'!$J:$J,'Doc Há Pagar | Rodopar 1015'!$A:$A,$B352&amp;$E352&amp;$F352,'Doc Há Pagar | Rodopar 1015'!$B:$B,W$1)</f>
        <v>0</v>
      </c>
      <c r="X352" s="20">
        <f>SUMIFS('Doc''s Pagos | Rodopar 108'!$J:$J,'Doc''s Pagos | Rodopar 108'!$A:$A,$B352&amp;$E352&amp;$F352&amp;$J352,'Doc''s Pagos | Rodopar 108'!$B:$B,X$1)+SUMIFS('Doc Há Pagar | Rodopar 1015'!$J:$J,'Doc Há Pagar | Rodopar 1015'!$A:$A,$B352&amp;$E352&amp;$F352,'Doc Há Pagar | Rodopar 1015'!$B:$B,X$1)</f>
        <v>0</v>
      </c>
      <c r="Y352" s="20">
        <f>SUMIFS('Doc''s Pagos | Rodopar 108'!$J:$J,'Doc''s Pagos | Rodopar 108'!$A:$A,$B352&amp;$E352&amp;$F352&amp;$J352,'Doc''s Pagos | Rodopar 108'!$B:$B,Y$1)+SUMIFS('Doc Há Pagar | Rodopar 1015'!$J:$J,'Doc Há Pagar | Rodopar 1015'!$A:$A,$B352&amp;$E352&amp;$F352,'Doc Há Pagar | Rodopar 1015'!$B:$B,Y$1)</f>
        <v>0</v>
      </c>
      <c r="Z352" s="20">
        <f>SUMIFS('Doc''s Pagos | Rodopar 108'!$J:$J,'Doc''s Pagos | Rodopar 108'!$A:$A,$B352&amp;$E352&amp;$F352&amp;$J352,'Doc''s Pagos | Rodopar 108'!$B:$B,Z$1)+SUMIFS('Doc Há Pagar | Rodopar 1015'!$J:$J,'Doc Há Pagar | Rodopar 1015'!$A:$A,$B352&amp;$E352&amp;$F352,'Doc Há Pagar | Rodopar 1015'!$B:$B,Z$1)</f>
        <v>0</v>
      </c>
      <c r="AA352" s="20">
        <f>SUMIFS('Doc''s Pagos | Rodopar 108'!$J:$J,'Doc''s Pagos | Rodopar 108'!$A:$A,$B352&amp;$E352&amp;$F352&amp;$J352,'Doc''s Pagos | Rodopar 108'!$B:$B,AA$1)+SUMIFS('Doc Há Pagar | Rodopar 1015'!$J:$J,'Doc Há Pagar | Rodopar 1015'!$A:$A,$B352&amp;$E352&amp;$F352,'Doc Há Pagar | Rodopar 1015'!$B:$B,AA$1)</f>
        <v>988.45</v>
      </c>
      <c r="AB352" s="20">
        <f>SUMIFS('Doc''s Pagos | Rodopar 108'!$J:$J,'Doc''s Pagos | Rodopar 108'!$A:$A,$B352&amp;$E352&amp;$F352&amp;$J352,'Doc''s Pagos | Rodopar 108'!$B:$B,AB$1)+SUMIFS('Doc Há Pagar | Rodopar 1015'!$J:$J,'Doc Há Pagar | Rodopar 1015'!$A:$A,$B352&amp;$E352&amp;$F352,'Doc Há Pagar | Rodopar 1015'!$B:$B,AB$1)</f>
        <v>988.45</v>
      </c>
      <c r="AC352" s="20">
        <f>SUMIFS('Doc''s Pagos | Rodopar 108'!$J:$J,'Doc''s Pagos | Rodopar 108'!$A:$A,$B352&amp;$E352&amp;$F352&amp;$J352,'Doc''s Pagos | Rodopar 108'!$B:$B,AC$1)+SUMIFS('Doc Há Pagar | Rodopar 1015'!$J:$J,'Doc Há Pagar | Rodopar 1015'!$A:$A,$B352&amp;$E352&amp;$F352,'Doc Há Pagar | Rodopar 1015'!$B:$B,AC$1)</f>
        <v>0</v>
      </c>
      <c r="AD352" s="20">
        <f>SUMIFS('Doc''s Pagos | Rodopar 108'!$J:$J,'Doc''s Pagos | Rodopar 108'!$A:$A,$B352&amp;$E352&amp;$F352&amp;$J352,'Doc''s Pagos | Rodopar 108'!$B:$B,AD$1)+SUMIFS('Doc Há Pagar | Rodopar 1015'!$J:$J,'Doc Há Pagar | Rodopar 1015'!$A:$A,$B352&amp;$E352&amp;$F352,'Doc Há Pagar | Rodopar 1015'!$B:$B,AD$1)</f>
        <v>0</v>
      </c>
    </row>
    <row r="353" spans="1:30" x14ac:dyDescent="0.25">
      <c r="A353" s="1" t="str">
        <f>VLOOKUP($E353,Fornecedores!$A:$C,3,0)</f>
        <v>Frota</v>
      </c>
      <c r="B353" s="14">
        <v>202600000024868</v>
      </c>
      <c r="C353" s="14" t="str">
        <f>IFERROR(VLOOKUP($E353,Fornecedores!$A:$E,4,0),"")</f>
        <v>Manutenção</v>
      </c>
      <c r="D353" s="14" t="str">
        <f>IFERROR(VLOOKUP($E353,Fornecedores!$A:$E,5,0),"")</f>
        <v>Vans</v>
      </c>
      <c r="E353" s="8" t="s">
        <v>132</v>
      </c>
      <c r="F353" s="14" t="s">
        <v>614</v>
      </c>
      <c r="G353" s="8" t="s">
        <v>434</v>
      </c>
      <c r="H353" s="9">
        <v>87</v>
      </c>
      <c r="I353" s="21">
        <v>1794</v>
      </c>
      <c r="J353" s="11">
        <v>46238</v>
      </c>
      <c r="K353" s="11">
        <v>46239</v>
      </c>
      <c r="L353" s="8" t="s">
        <v>435</v>
      </c>
      <c r="M353" s="14" t="s">
        <v>234</v>
      </c>
      <c r="N353" s="16">
        <v>1556</v>
      </c>
      <c r="O353" s="14" t="s">
        <v>250</v>
      </c>
      <c r="P353" s="14"/>
      <c r="Q353" s="20">
        <f t="shared" si="5"/>
        <v>0</v>
      </c>
      <c r="S353" s="20">
        <f>SUMIFS('Doc''s Pagos | Rodopar 108'!$J:$J,'Doc''s Pagos | Rodopar 108'!$A:$A,$B353&amp;$E353&amp;$F353&amp;$J353,'Doc''s Pagos | Rodopar 108'!$B:$B,S$1)+SUMIFS('Doc Há Pagar | Rodopar 1015'!$J:$J,'Doc Há Pagar | Rodopar 1015'!$A:$A,$B353&amp;$E353&amp;$F353,'Doc Há Pagar | Rodopar 1015'!$B:$B,S$1)</f>
        <v>0</v>
      </c>
      <c r="T353" s="20">
        <f>SUMIFS('Doc''s Pagos | Rodopar 108'!$J:$J,'Doc''s Pagos | Rodopar 108'!$A:$A,$B353&amp;$E353&amp;$F353&amp;$J353,'Doc''s Pagos | Rodopar 108'!$B:$B,T$1)+SUMIFS('Doc Há Pagar | Rodopar 1015'!$J:$J,'Doc Há Pagar | Rodopar 1015'!$A:$A,$B353&amp;$E353&amp;$F353,'Doc Há Pagar | Rodopar 1015'!$B:$B,T$1)</f>
        <v>0</v>
      </c>
      <c r="U353" s="20">
        <f>SUMIFS('Doc''s Pagos | Rodopar 108'!$J:$J,'Doc''s Pagos | Rodopar 108'!$A:$A,$B353&amp;$E353&amp;$F353&amp;$J353,'Doc''s Pagos | Rodopar 108'!$B:$B,U$1)+SUMIFS('Doc Há Pagar | Rodopar 1015'!$J:$J,'Doc Há Pagar | Rodopar 1015'!$A:$A,$B353&amp;$E353&amp;$F353,'Doc Há Pagar | Rodopar 1015'!$B:$B,U$1)</f>
        <v>0</v>
      </c>
      <c r="V353" s="20">
        <f>SUMIFS('Doc''s Pagos | Rodopar 108'!$J:$J,'Doc''s Pagos | Rodopar 108'!$A:$A,$B353&amp;$E353&amp;$F353&amp;$J353,'Doc''s Pagos | Rodopar 108'!$B:$B,V$1)+SUMIFS('Doc Há Pagar | Rodopar 1015'!$J:$J,'Doc Há Pagar | Rodopar 1015'!$A:$A,$B353&amp;$E353&amp;$F353,'Doc Há Pagar | Rodopar 1015'!$B:$B,V$1)</f>
        <v>0</v>
      </c>
      <c r="W353" s="20">
        <f>SUMIFS('Doc''s Pagos | Rodopar 108'!$J:$J,'Doc''s Pagos | Rodopar 108'!$A:$A,$B353&amp;$E353&amp;$F353&amp;$J353,'Doc''s Pagos | Rodopar 108'!$B:$B,W$1)+SUMIFS('Doc Há Pagar | Rodopar 1015'!$J:$J,'Doc Há Pagar | Rodopar 1015'!$A:$A,$B353&amp;$E353&amp;$F353,'Doc Há Pagar | Rodopar 1015'!$B:$B,W$1)</f>
        <v>0</v>
      </c>
      <c r="X353" s="20">
        <f>SUMIFS('Doc''s Pagos | Rodopar 108'!$J:$J,'Doc''s Pagos | Rodopar 108'!$A:$A,$B353&amp;$E353&amp;$F353&amp;$J353,'Doc''s Pagos | Rodopar 108'!$B:$B,X$1)+SUMIFS('Doc Há Pagar | Rodopar 1015'!$J:$J,'Doc Há Pagar | Rodopar 1015'!$A:$A,$B353&amp;$E353&amp;$F353,'Doc Há Pagar | Rodopar 1015'!$B:$B,X$1)</f>
        <v>0</v>
      </c>
      <c r="Y353" s="20">
        <f>SUMIFS('Doc''s Pagos | Rodopar 108'!$J:$J,'Doc''s Pagos | Rodopar 108'!$A:$A,$B353&amp;$E353&amp;$F353&amp;$J353,'Doc''s Pagos | Rodopar 108'!$B:$B,Y$1)+SUMIFS('Doc Há Pagar | Rodopar 1015'!$J:$J,'Doc Há Pagar | Rodopar 1015'!$A:$A,$B353&amp;$E353&amp;$F353,'Doc Há Pagar | Rodopar 1015'!$B:$B,Y$1)</f>
        <v>0</v>
      </c>
      <c r="Z353" s="20">
        <f>SUMIFS('Doc''s Pagos | Rodopar 108'!$J:$J,'Doc''s Pagos | Rodopar 108'!$A:$A,$B353&amp;$E353&amp;$F353&amp;$J353,'Doc''s Pagos | Rodopar 108'!$B:$B,Z$1)+SUMIFS('Doc Há Pagar | Rodopar 1015'!$J:$J,'Doc Há Pagar | Rodopar 1015'!$A:$A,$B353&amp;$E353&amp;$F353,'Doc Há Pagar | Rodopar 1015'!$B:$B,Z$1)</f>
        <v>0</v>
      </c>
      <c r="AA353" s="20">
        <f>SUMIFS('Doc''s Pagos | Rodopar 108'!$J:$J,'Doc''s Pagos | Rodopar 108'!$A:$A,$B353&amp;$E353&amp;$F353&amp;$J353,'Doc''s Pagos | Rodopar 108'!$B:$B,AA$1)+SUMIFS('Doc Há Pagar | Rodopar 1015'!$J:$J,'Doc Há Pagar | Rodopar 1015'!$A:$A,$B353&amp;$E353&amp;$F353,'Doc Há Pagar | Rodopar 1015'!$B:$B,AA$1)</f>
        <v>897</v>
      </c>
      <c r="AB353" s="20">
        <f>SUMIFS('Doc''s Pagos | Rodopar 108'!$J:$J,'Doc''s Pagos | Rodopar 108'!$A:$A,$B353&amp;$E353&amp;$F353&amp;$J353,'Doc''s Pagos | Rodopar 108'!$B:$B,AB$1)+SUMIFS('Doc Há Pagar | Rodopar 1015'!$J:$J,'Doc Há Pagar | Rodopar 1015'!$A:$A,$B353&amp;$E353&amp;$F353,'Doc Há Pagar | Rodopar 1015'!$B:$B,AB$1)</f>
        <v>897</v>
      </c>
      <c r="AC353" s="20">
        <f>SUMIFS('Doc''s Pagos | Rodopar 108'!$J:$J,'Doc''s Pagos | Rodopar 108'!$A:$A,$B353&amp;$E353&amp;$F353&amp;$J353,'Doc''s Pagos | Rodopar 108'!$B:$B,AC$1)+SUMIFS('Doc Há Pagar | Rodopar 1015'!$J:$J,'Doc Há Pagar | Rodopar 1015'!$A:$A,$B353&amp;$E353&amp;$F353,'Doc Há Pagar | Rodopar 1015'!$B:$B,AC$1)</f>
        <v>0</v>
      </c>
      <c r="AD353" s="20">
        <f>SUMIFS('Doc''s Pagos | Rodopar 108'!$J:$J,'Doc''s Pagos | Rodopar 108'!$A:$A,$B353&amp;$E353&amp;$F353&amp;$J353,'Doc''s Pagos | Rodopar 108'!$B:$B,AD$1)+SUMIFS('Doc Há Pagar | Rodopar 1015'!$J:$J,'Doc Há Pagar | Rodopar 1015'!$A:$A,$B353&amp;$E353&amp;$F353,'Doc Há Pagar | Rodopar 1015'!$B:$B,AD$1)</f>
        <v>0</v>
      </c>
    </row>
    <row r="354" spans="1:30" x14ac:dyDescent="0.25">
      <c r="A354" s="1" t="str">
        <f>VLOOKUP($E354,Fornecedores!$A:$C,3,0)</f>
        <v>Frota</v>
      </c>
      <c r="B354" s="14">
        <v>1618</v>
      </c>
      <c r="C354" s="14" t="str">
        <f>IFERROR(VLOOKUP($E354,Fornecedores!$A:$E,4,0),"")</f>
        <v>Manutenção</v>
      </c>
      <c r="D354" s="14" t="str">
        <f>IFERROR(VLOOKUP($E354,Fornecedores!$A:$E,5,0),"")</f>
        <v>Frota Leve OPE</v>
      </c>
      <c r="E354" s="8" t="s">
        <v>144</v>
      </c>
      <c r="F354" s="14" t="s">
        <v>380</v>
      </c>
      <c r="G354" s="8" t="s">
        <v>427</v>
      </c>
      <c r="H354" s="9">
        <v>87</v>
      </c>
      <c r="I354" s="21">
        <v>400</v>
      </c>
      <c r="J354" s="11">
        <v>46240</v>
      </c>
      <c r="K354" s="11">
        <v>46245</v>
      </c>
      <c r="L354" s="8" t="s">
        <v>428</v>
      </c>
      <c r="M354" s="14" t="s">
        <v>234</v>
      </c>
      <c r="N354" s="16">
        <v>1556</v>
      </c>
      <c r="O354" s="14" t="s">
        <v>250</v>
      </c>
      <c r="P354" s="14"/>
      <c r="Q354" s="20">
        <f t="shared" si="5"/>
        <v>0</v>
      </c>
      <c r="S354" s="20">
        <f>SUMIFS('Doc''s Pagos | Rodopar 108'!$J:$J,'Doc''s Pagos | Rodopar 108'!$A:$A,$B354&amp;$E354&amp;$F354&amp;$J354,'Doc''s Pagos | Rodopar 108'!$B:$B,S$1)+SUMIFS('Doc Há Pagar | Rodopar 1015'!$J:$J,'Doc Há Pagar | Rodopar 1015'!$A:$A,$B354&amp;$E354&amp;$F354,'Doc Há Pagar | Rodopar 1015'!$B:$B,S$1)</f>
        <v>0</v>
      </c>
      <c r="T354" s="20">
        <f>SUMIFS('Doc''s Pagos | Rodopar 108'!$J:$J,'Doc''s Pagos | Rodopar 108'!$A:$A,$B354&amp;$E354&amp;$F354&amp;$J354,'Doc''s Pagos | Rodopar 108'!$B:$B,T$1)+SUMIFS('Doc Há Pagar | Rodopar 1015'!$J:$J,'Doc Há Pagar | Rodopar 1015'!$A:$A,$B354&amp;$E354&amp;$F354,'Doc Há Pagar | Rodopar 1015'!$B:$B,T$1)</f>
        <v>0</v>
      </c>
      <c r="U354" s="20">
        <f>SUMIFS('Doc''s Pagos | Rodopar 108'!$J:$J,'Doc''s Pagos | Rodopar 108'!$A:$A,$B354&amp;$E354&amp;$F354&amp;$J354,'Doc''s Pagos | Rodopar 108'!$B:$B,U$1)+SUMIFS('Doc Há Pagar | Rodopar 1015'!$J:$J,'Doc Há Pagar | Rodopar 1015'!$A:$A,$B354&amp;$E354&amp;$F354,'Doc Há Pagar | Rodopar 1015'!$B:$B,U$1)</f>
        <v>0</v>
      </c>
      <c r="V354" s="20">
        <f>SUMIFS('Doc''s Pagos | Rodopar 108'!$J:$J,'Doc''s Pagos | Rodopar 108'!$A:$A,$B354&amp;$E354&amp;$F354&amp;$J354,'Doc''s Pagos | Rodopar 108'!$B:$B,V$1)+SUMIFS('Doc Há Pagar | Rodopar 1015'!$J:$J,'Doc Há Pagar | Rodopar 1015'!$A:$A,$B354&amp;$E354&amp;$F354,'Doc Há Pagar | Rodopar 1015'!$B:$B,V$1)</f>
        <v>0</v>
      </c>
      <c r="W354" s="20">
        <f>SUMIFS('Doc''s Pagos | Rodopar 108'!$J:$J,'Doc''s Pagos | Rodopar 108'!$A:$A,$B354&amp;$E354&amp;$F354&amp;$J354,'Doc''s Pagos | Rodopar 108'!$B:$B,W$1)+SUMIFS('Doc Há Pagar | Rodopar 1015'!$J:$J,'Doc Há Pagar | Rodopar 1015'!$A:$A,$B354&amp;$E354&amp;$F354,'Doc Há Pagar | Rodopar 1015'!$B:$B,W$1)</f>
        <v>0</v>
      </c>
      <c r="X354" s="20">
        <f>SUMIFS('Doc''s Pagos | Rodopar 108'!$J:$J,'Doc''s Pagos | Rodopar 108'!$A:$A,$B354&amp;$E354&amp;$F354&amp;$J354,'Doc''s Pagos | Rodopar 108'!$B:$B,X$1)+SUMIFS('Doc Há Pagar | Rodopar 1015'!$J:$J,'Doc Há Pagar | Rodopar 1015'!$A:$A,$B354&amp;$E354&amp;$F354,'Doc Há Pagar | Rodopar 1015'!$B:$B,X$1)</f>
        <v>0</v>
      </c>
      <c r="Y354" s="20">
        <f>SUMIFS('Doc''s Pagos | Rodopar 108'!$J:$J,'Doc''s Pagos | Rodopar 108'!$A:$A,$B354&amp;$E354&amp;$F354&amp;$J354,'Doc''s Pagos | Rodopar 108'!$B:$B,Y$1)+SUMIFS('Doc Há Pagar | Rodopar 1015'!$J:$J,'Doc Há Pagar | Rodopar 1015'!$A:$A,$B354&amp;$E354&amp;$F354,'Doc Há Pagar | Rodopar 1015'!$B:$B,Y$1)</f>
        <v>0</v>
      </c>
      <c r="Z354" s="20">
        <f>SUMIFS('Doc''s Pagos | Rodopar 108'!$J:$J,'Doc''s Pagos | Rodopar 108'!$A:$A,$B354&amp;$E354&amp;$F354&amp;$J354,'Doc''s Pagos | Rodopar 108'!$B:$B,Z$1)+SUMIFS('Doc Há Pagar | Rodopar 1015'!$J:$J,'Doc Há Pagar | Rodopar 1015'!$A:$A,$B354&amp;$E354&amp;$F354,'Doc Há Pagar | Rodopar 1015'!$B:$B,Z$1)</f>
        <v>0</v>
      </c>
      <c r="AA354" s="20">
        <f>SUMIFS('Doc''s Pagos | Rodopar 108'!$J:$J,'Doc''s Pagos | Rodopar 108'!$A:$A,$B354&amp;$E354&amp;$F354&amp;$J354,'Doc''s Pagos | Rodopar 108'!$B:$B,AA$1)+SUMIFS('Doc Há Pagar | Rodopar 1015'!$J:$J,'Doc Há Pagar | Rodopar 1015'!$A:$A,$B354&amp;$E354&amp;$F354,'Doc Há Pagar | Rodopar 1015'!$B:$B,AA$1)</f>
        <v>400</v>
      </c>
      <c r="AB354" s="20">
        <f>SUMIFS('Doc''s Pagos | Rodopar 108'!$J:$J,'Doc''s Pagos | Rodopar 108'!$A:$A,$B354&amp;$E354&amp;$F354&amp;$J354,'Doc''s Pagos | Rodopar 108'!$B:$B,AB$1)+SUMIFS('Doc Há Pagar | Rodopar 1015'!$J:$J,'Doc Há Pagar | Rodopar 1015'!$A:$A,$B354&amp;$E354&amp;$F354,'Doc Há Pagar | Rodopar 1015'!$B:$B,AB$1)</f>
        <v>0</v>
      </c>
      <c r="AC354" s="20">
        <f>SUMIFS('Doc''s Pagos | Rodopar 108'!$J:$J,'Doc''s Pagos | Rodopar 108'!$A:$A,$B354&amp;$E354&amp;$F354&amp;$J354,'Doc''s Pagos | Rodopar 108'!$B:$B,AC$1)+SUMIFS('Doc Há Pagar | Rodopar 1015'!$J:$J,'Doc Há Pagar | Rodopar 1015'!$A:$A,$B354&amp;$E354&amp;$F354,'Doc Há Pagar | Rodopar 1015'!$B:$B,AC$1)</f>
        <v>0</v>
      </c>
      <c r="AD354" s="20">
        <f>SUMIFS('Doc''s Pagos | Rodopar 108'!$J:$J,'Doc''s Pagos | Rodopar 108'!$A:$A,$B354&amp;$E354&amp;$F354&amp;$J354,'Doc''s Pagos | Rodopar 108'!$B:$B,AD$1)+SUMIFS('Doc Há Pagar | Rodopar 1015'!$J:$J,'Doc Há Pagar | Rodopar 1015'!$A:$A,$B354&amp;$E354&amp;$F354,'Doc Há Pagar | Rodopar 1015'!$B:$B,AD$1)</f>
        <v>0</v>
      </c>
    </row>
    <row r="355" spans="1:30" x14ac:dyDescent="0.25">
      <c r="A355" s="1" t="str">
        <f>VLOOKUP($E355,Fornecedores!$A:$C,3,0)</f>
        <v>Frota</v>
      </c>
      <c r="B355" s="14">
        <v>71119</v>
      </c>
      <c r="C355" s="14" t="str">
        <f>IFERROR(VLOOKUP($E355,Fornecedores!$A:$E,4,0),"")</f>
        <v>Sinistro</v>
      </c>
      <c r="D355" s="14" t="str">
        <f>IFERROR(VLOOKUP($E355,Fornecedores!$A:$E,5,0),"")</f>
        <v>Parabrisa</v>
      </c>
      <c r="E355" s="8" t="s">
        <v>165</v>
      </c>
      <c r="F355" s="14" t="s">
        <v>380</v>
      </c>
      <c r="G355" s="8" t="s">
        <v>573</v>
      </c>
      <c r="H355" s="9">
        <v>87</v>
      </c>
      <c r="I355" s="21">
        <v>920</v>
      </c>
      <c r="J355" s="11">
        <v>46240</v>
      </c>
      <c r="K355" s="11">
        <v>46245</v>
      </c>
      <c r="L355" s="8" t="s">
        <v>233</v>
      </c>
      <c r="M355" s="14" t="s">
        <v>234</v>
      </c>
      <c r="N355" s="16">
        <v>1556</v>
      </c>
      <c r="O355" s="14" t="s">
        <v>250</v>
      </c>
      <c r="P355" s="14"/>
      <c r="Q355" s="20">
        <f t="shared" si="5"/>
        <v>0</v>
      </c>
      <c r="S355" s="20">
        <f>SUMIFS('Doc''s Pagos | Rodopar 108'!$J:$J,'Doc''s Pagos | Rodopar 108'!$A:$A,$B355&amp;$E355&amp;$F355&amp;$J355,'Doc''s Pagos | Rodopar 108'!$B:$B,S$1)+SUMIFS('Doc Há Pagar | Rodopar 1015'!$J:$J,'Doc Há Pagar | Rodopar 1015'!$A:$A,$B355&amp;$E355&amp;$F355,'Doc Há Pagar | Rodopar 1015'!$B:$B,S$1)</f>
        <v>0</v>
      </c>
      <c r="T355" s="20">
        <f>SUMIFS('Doc''s Pagos | Rodopar 108'!$J:$J,'Doc''s Pagos | Rodopar 108'!$A:$A,$B355&amp;$E355&amp;$F355&amp;$J355,'Doc''s Pagos | Rodopar 108'!$B:$B,T$1)+SUMIFS('Doc Há Pagar | Rodopar 1015'!$J:$J,'Doc Há Pagar | Rodopar 1015'!$A:$A,$B355&amp;$E355&amp;$F355,'Doc Há Pagar | Rodopar 1015'!$B:$B,T$1)</f>
        <v>0</v>
      </c>
      <c r="U355" s="20">
        <f>SUMIFS('Doc''s Pagos | Rodopar 108'!$J:$J,'Doc''s Pagos | Rodopar 108'!$A:$A,$B355&amp;$E355&amp;$F355&amp;$J355,'Doc''s Pagos | Rodopar 108'!$B:$B,U$1)+SUMIFS('Doc Há Pagar | Rodopar 1015'!$J:$J,'Doc Há Pagar | Rodopar 1015'!$A:$A,$B355&amp;$E355&amp;$F355,'Doc Há Pagar | Rodopar 1015'!$B:$B,U$1)</f>
        <v>0</v>
      </c>
      <c r="V355" s="20">
        <f>SUMIFS('Doc''s Pagos | Rodopar 108'!$J:$J,'Doc''s Pagos | Rodopar 108'!$A:$A,$B355&amp;$E355&amp;$F355&amp;$J355,'Doc''s Pagos | Rodopar 108'!$B:$B,V$1)+SUMIFS('Doc Há Pagar | Rodopar 1015'!$J:$J,'Doc Há Pagar | Rodopar 1015'!$A:$A,$B355&amp;$E355&amp;$F355,'Doc Há Pagar | Rodopar 1015'!$B:$B,V$1)</f>
        <v>0</v>
      </c>
      <c r="W355" s="20">
        <f>SUMIFS('Doc''s Pagos | Rodopar 108'!$J:$J,'Doc''s Pagos | Rodopar 108'!$A:$A,$B355&amp;$E355&amp;$F355&amp;$J355,'Doc''s Pagos | Rodopar 108'!$B:$B,W$1)+SUMIFS('Doc Há Pagar | Rodopar 1015'!$J:$J,'Doc Há Pagar | Rodopar 1015'!$A:$A,$B355&amp;$E355&amp;$F355,'Doc Há Pagar | Rodopar 1015'!$B:$B,W$1)</f>
        <v>0</v>
      </c>
      <c r="X355" s="20">
        <f>SUMIFS('Doc''s Pagos | Rodopar 108'!$J:$J,'Doc''s Pagos | Rodopar 108'!$A:$A,$B355&amp;$E355&amp;$F355&amp;$J355,'Doc''s Pagos | Rodopar 108'!$B:$B,X$1)+SUMIFS('Doc Há Pagar | Rodopar 1015'!$J:$J,'Doc Há Pagar | Rodopar 1015'!$A:$A,$B355&amp;$E355&amp;$F355,'Doc Há Pagar | Rodopar 1015'!$B:$B,X$1)</f>
        <v>0</v>
      </c>
      <c r="Y355" s="20">
        <f>SUMIFS('Doc''s Pagos | Rodopar 108'!$J:$J,'Doc''s Pagos | Rodopar 108'!$A:$A,$B355&amp;$E355&amp;$F355&amp;$J355,'Doc''s Pagos | Rodopar 108'!$B:$B,Y$1)+SUMIFS('Doc Há Pagar | Rodopar 1015'!$J:$J,'Doc Há Pagar | Rodopar 1015'!$A:$A,$B355&amp;$E355&amp;$F355,'Doc Há Pagar | Rodopar 1015'!$B:$B,Y$1)</f>
        <v>0</v>
      </c>
      <c r="Z355" s="20">
        <f>SUMIFS('Doc''s Pagos | Rodopar 108'!$J:$J,'Doc''s Pagos | Rodopar 108'!$A:$A,$B355&amp;$E355&amp;$F355&amp;$J355,'Doc''s Pagos | Rodopar 108'!$B:$B,Z$1)+SUMIFS('Doc Há Pagar | Rodopar 1015'!$J:$J,'Doc Há Pagar | Rodopar 1015'!$A:$A,$B355&amp;$E355&amp;$F355,'Doc Há Pagar | Rodopar 1015'!$B:$B,Z$1)</f>
        <v>0</v>
      </c>
      <c r="AA355" s="20">
        <f>SUMIFS('Doc''s Pagos | Rodopar 108'!$J:$J,'Doc''s Pagos | Rodopar 108'!$A:$A,$B355&amp;$E355&amp;$F355&amp;$J355,'Doc''s Pagos | Rodopar 108'!$B:$B,AA$1)+SUMIFS('Doc Há Pagar | Rodopar 1015'!$J:$J,'Doc Há Pagar | Rodopar 1015'!$A:$A,$B355&amp;$E355&amp;$F355,'Doc Há Pagar | Rodopar 1015'!$B:$B,AA$1)</f>
        <v>920</v>
      </c>
      <c r="AB355" s="20">
        <f>SUMIFS('Doc''s Pagos | Rodopar 108'!$J:$J,'Doc''s Pagos | Rodopar 108'!$A:$A,$B355&amp;$E355&amp;$F355&amp;$J355,'Doc''s Pagos | Rodopar 108'!$B:$B,AB$1)+SUMIFS('Doc Há Pagar | Rodopar 1015'!$J:$J,'Doc Há Pagar | Rodopar 1015'!$A:$A,$B355&amp;$E355&amp;$F355,'Doc Há Pagar | Rodopar 1015'!$B:$B,AB$1)</f>
        <v>0</v>
      </c>
      <c r="AC355" s="20">
        <f>SUMIFS('Doc''s Pagos | Rodopar 108'!$J:$J,'Doc''s Pagos | Rodopar 108'!$A:$A,$B355&amp;$E355&amp;$F355&amp;$J355,'Doc''s Pagos | Rodopar 108'!$B:$B,AC$1)+SUMIFS('Doc Há Pagar | Rodopar 1015'!$J:$J,'Doc Há Pagar | Rodopar 1015'!$A:$A,$B355&amp;$E355&amp;$F355,'Doc Há Pagar | Rodopar 1015'!$B:$B,AC$1)</f>
        <v>0</v>
      </c>
      <c r="AD355" s="20">
        <f>SUMIFS('Doc''s Pagos | Rodopar 108'!$J:$J,'Doc''s Pagos | Rodopar 108'!$A:$A,$B355&amp;$E355&amp;$F355&amp;$J355,'Doc''s Pagos | Rodopar 108'!$B:$B,AD$1)+SUMIFS('Doc Há Pagar | Rodopar 1015'!$J:$J,'Doc Há Pagar | Rodopar 1015'!$A:$A,$B355&amp;$E355&amp;$F355,'Doc Há Pagar | Rodopar 1015'!$B:$B,AD$1)</f>
        <v>0</v>
      </c>
    </row>
    <row r="356" spans="1:30" x14ac:dyDescent="0.25">
      <c r="A356" s="1" t="str">
        <f>VLOOKUP($E356,Fornecedores!$A:$C,3,0)</f>
        <v>Frota</v>
      </c>
      <c r="B356" s="14">
        <v>2538</v>
      </c>
      <c r="C356" s="14" t="str">
        <f>IFERROR(VLOOKUP($E356,Fornecedores!$A:$E,4,0),"")</f>
        <v>Manutenção</v>
      </c>
      <c r="D356" s="14" t="str">
        <f>IFERROR(VLOOKUP($E356,Fornecedores!$A:$E,5,0),"")</f>
        <v>Frota Leve OPE</v>
      </c>
      <c r="E356" s="8" t="s">
        <v>144</v>
      </c>
      <c r="F356" s="14" t="s">
        <v>665</v>
      </c>
      <c r="G356" s="8" t="s">
        <v>427</v>
      </c>
      <c r="H356" s="9">
        <v>87</v>
      </c>
      <c r="I356" s="21">
        <v>150</v>
      </c>
      <c r="J356" s="11">
        <v>46240</v>
      </c>
      <c r="K356" s="11">
        <v>46245</v>
      </c>
      <c r="L356" s="8" t="s">
        <v>428</v>
      </c>
      <c r="M356" s="14" t="s">
        <v>234</v>
      </c>
      <c r="N356" s="16">
        <v>1556</v>
      </c>
      <c r="O356" s="14" t="s">
        <v>250</v>
      </c>
      <c r="P356" s="14"/>
      <c r="Q356" s="20">
        <f t="shared" si="5"/>
        <v>0</v>
      </c>
      <c r="S356" s="20">
        <f>SUMIFS('Doc''s Pagos | Rodopar 108'!$J:$J,'Doc''s Pagos | Rodopar 108'!$A:$A,$B356&amp;$E356&amp;$F356&amp;$J356,'Doc''s Pagos | Rodopar 108'!$B:$B,S$1)+SUMIFS('Doc Há Pagar | Rodopar 1015'!$J:$J,'Doc Há Pagar | Rodopar 1015'!$A:$A,$B356&amp;$E356&amp;$F356,'Doc Há Pagar | Rodopar 1015'!$B:$B,S$1)</f>
        <v>0</v>
      </c>
      <c r="T356" s="20">
        <f>SUMIFS('Doc''s Pagos | Rodopar 108'!$J:$J,'Doc''s Pagos | Rodopar 108'!$A:$A,$B356&amp;$E356&amp;$F356&amp;$J356,'Doc''s Pagos | Rodopar 108'!$B:$B,T$1)+SUMIFS('Doc Há Pagar | Rodopar 1015'!$J:$J,'Doc Há Pagar | Rodopar 1015'!$A:$A,$B356&amp;$E356&amp;$F356,'Doc Há Pagar | Rodopar 1015'!$B:$B,T$1)</f>
        <v>0</v>
      </c>
      <c r="U356" s="20">
        <f>SUMIFS('Doc''s Pagos | Rodopar 108'!$J:$J,'Doc''s Pagos | Rodopar 108'!$A:$A,$B356&amp;$E356&amp;$F356&amp;$J356,'Doc''s Pagos | Rodopar 108'!$B:$B,U$1)+SUMIFS('Doc Há Pagar | Rodopar 1015'!$J:$J,'Doc Há Pagar | Rodopar 1015'!$A:$A,$B356&amp;$E356&amp;$F356,'Doc Há Pagar | Rodopar 1015'!$B:$B,U$1)</f>
        <v>0</v>
      </c>
      <c r="V356" s="20">
        <f>SUMIFS('Doc''s Pagos | Rodopar 108'!$J:$J,'Doc''s Pagos | Rodopar 108'!$A:$A,$B356&amp;$E356&amp;$F356&amp;$J356,'Doc''s Pagos | Rodopar 108'!$B:$B,V$1)+SUMIFS('Doc Há Pagar | Rodopar 1015'!$J:$J,'Doc Há Pagar | Rodopar 1015'!$A:$A,$B356&amp;$E356&amp;$F356,'Doc Há Pagar | Rodopar 1015'!$B:$B,V$1)</f>
        <v>0</v>
      </c>
      <c r="W356" s="20">
        <f>SUMIFS('Doc''s Pagos | Rodopar 108'!$J:$J,'Doc''s Pagos | Rodopar 108'!$A:$A,$B356&amp;$E356&amp;$F356&amp;$J356,'Doc''s Pagos | Rodopar 108'!$B:$B,W$1)+SUMIFS('Doc Há Pagar | Rodopar 1015'!$J:$J,'Doc Há Pagar | Rodopar 1015'!$A:$A,$B356&amp;$E356&amp;$F356,'Doc Há Pagar | Rodopar 1015'!$B:$B,W$1)</f>
        <v>0</v>
      </c>
      <c r="X356" s="20">
        <f>SUMIFS('Doc''s Pagos | Rodopar 108'!$J:$J,'Doc''s Pagos | Rodopar 108'!$A:$A,$B356&amp;$E356&amp;$F356&amp;$J356,'Doc''s Pagos | Rodopar 108'!$B:$B,X$1)+SUMIFS('Doc Há Pagar | Rodopar 1015'!$J:$J,'Doc Há Pagar | Rodopar 1015'!$A:$A,$B356&amp;$E356&amp;$F356,'Doc Há Pagar | Rodopar 1015'!$B:$B,X$1)</f>
        <v>0</v>
      </c>
      <c r="Y356" s="20">
        <f>SUMIFS('Doc''s Pagos | Rodopar 108'!$J:$J,'Doc''s Pagos | Rodopar 108'!$A:$A,$B356&amp;$E356&amp;$F356&amp;$J356,'Doc''s Pagos | Rodopar 108'!$B:$B,Y$1)+SUMIFS('Doc Há Pagar | Rodopar 1015'!$J:$J,'Doc Há Pagar | Rodopar 1015'!$A:$A,$B356&amp;$E356&amp;$F356,'Doc Há Pagar | Rodopar 1015'!$B:$B,Y$1)</f>
        <v>0</v>
      </c>
      <c r="Z356" s="20">
        <f>SUMIFS('Doc''s Pagos | Rodopar 108'!$J:$J,'Doc''s Pagos | Rodopar 108'!$A:$A,$B356&amp;$E356&amp;$F356&amp;$J356,'Doc''s Pagos | Rodopar 108'!$B:$B,Z$1)+SUMIFS('Doc Há Pagar | Rodopar 1015'!$J:$J,'Doc Há Pagar | Rodopar 1015'!$A:$A,$B356&amp;$E356&amp;$F356,'Doc Há Pagar | Rodopar 1015'!$B:$B,Z$1)</f>
        <v>0</v>
      </c>
      <c r="AA356" s="20">
        <f>SUMIFS('Doc''s Pagos | Rodopar 108'!$J:$J,'Doc''s Pagos | Rodopar 108'!$A:$A,$B356&amp;$E356&amp;$F356&amp;$J356,'Doc''s Pagos | Rodopar 108'!$B:$B,AA$1)+SUMIFS('Doc Há Pagar | Rodopar 1015'!$J:$J,'Doc Há Pagar | Rodopar 1015'!$A:$A,$B356&amp;$E356&amp;$F356,'Doc Há Pagar | Rodopar 1015'!$B:$B,AA$1)</f>
        <v>150</v>
      </c>
      <c r="AB356" s="20">
        <f>SUMIFS('Doc''s Pagos | Rodopar 108'!$J:$J,'Doc''s Pagos | Rodopar 108'!$A:$A,$B356&amp;$E356&amp;$F356&amp;$J356,'Doc''s Pagos | Rodopar 108'!$B:$B,AB$1)+SUMIFS('Doc Há Pagar | Rodopar 1015'!$J:$J,'Doc Há Pagar | Rodopar 1015'!$A:$A,$B356&amp;$E356&amp;$F356,'Doc Há Pagar | Rodopar 1015'!$B:$B,AB$1)</f>
        <v>0</v>
      </c>
      <c r="AC356" s="20">
        <f>SUMIFS('Doc''s Pagos | Rodopar 108'!$J:$J,'Doc''s Pagos | Rodopar 108'!$A:$A,$B356&amp;$E356&amp;$F356&amp;$J356,'Doc''s Pagos | Rodopar 108'!$B:$B,AC$1)+SUMIFS('Doc Há Pagar | Rodopar 1015'!$J:$J,'Doc Há Pagar | Rodopar 1015'!$A:$A,$B356&amp;$E356&amp;$F356,'Doc Há Pagar | Rodopar 1015'!$B:$B,AC$1)</f>
        <v>0</v>
      </c>
      <c r="AD356" s="20">
        <f>SUMIFS('Doc''s Pagos | Rodopar 108'!$J:$J,'Doc''s Pagos | Rodopar 108'!$A:$A,$B356&amp;$E356&amp;$F356&amp;$J356,'Doc''s Pagos | Rodopar 108'!$B:$B,AD$1)+SUMIFS('Doc Há Pagar | Rodopar 1015'!$J:$J,'Doc Há Pagar | Rodopar 1015'!$A:$A,$B356&amp;$E356&amp;$F356,'Doc Há Pagar | Rodopar 1015'!$B:$B,AD$1)</f>
        <v>0</v>
      </c>
    </row>
    <row r="357" spans="1:30" x14ac:dyDescent="0.25">
      <c r="A357" s="1" t="str">
        <f>VLOOKUP($E357,Fornecedores!$A:$C,3,0)</f>
        <v>Frota</v>
      </c>
      <c r="B357" s="14">
        <v>453</v>
      </c>
      <c r="C357" s="14" t="str">
        <f>IFERROR(VLOOKUP($E357,Fornecedores!$A:$E,4,0),"")</f>
        <v>Manutenção</v>
      </c>
      <c r="D357" s="14" t="str">
        <f>IFERROR(VLOOKUP($E357,Fornecedores!$A:$E,5,0),"")</f>
        <v>Frota Leve OPE</v>
      </c>
      <c r="E357" s="8" t="s">
        <v>109</v>
      </c>
      <c r="F357" s="14" t="s">
        <v>665</v>
      </c>
      <c r="G357" s="8" t="s">
        <v>880</v>
      </c>
      <c r="H357" s="9">
        <v>87</v>
      </c>
      <c r="I357" s="21">
        <v>1333.71</v>
      </c>
      <c r="J357" s="11">
        <v>46240</v>
      </c>
      <c r="K357" s="11">
        <v>46245</v>
      </c>
      <c r="L357" s="8" t="s">
        <v>382</v>
      </c>
      <c r="M357" s="14" t="s">
        <v>234</v>
      </c>
      <c r="N357" s="16">
        <v>1556</v>
      </c>
      <c r="O357" s="14" t="s">
        <v>250</v>
      </c>
      <c r="P357" s="14"/>
      <c r="Q357" s="20">
        <f t="shared" si="5"/>
        <v>0</v>
      </c>
      <c r="S357" s="20">
        <f>SUMIFS('Doc''s Pagos | Rodopar 108'!$J:$J,'Doc''s Pagos | Rodopar 108'!$A:$A,$B357&amp;$E357&amp;$F357&amp;$J357,'Doc''s Pagos | Rodopar 108'!$B:$B,S$1)+SUMIFS('Doc Há Pagar | Rodopar 1015'!$J:$J,'Doc Há Pagar | Rodopar 1015'!$A:$A,$B357&amp;$E357&amp;$F357,'Doc Há Pagar | Rodopar 1015'!$B:$B,S$1)</f>
        <v>0</v>
      </c>
      <c r="T357" s="20">
        <f>SUMIFS('Doc''s Pagos | Rodopar 108'!$J:$J,'Doc''s Pagos | Rodopar 108'!$A:$A,$B357&amp;$E357&amp;$F357&amp;$J357,'Doc''s Pagos | Rodopar 108'!$B:$B,T$1)+SUMIFS('Doc Há Pagar | Rodopar 1015'!$J:$J,'Doc Há Pagar | Rodopar 1015'!$A:$A,$B357&amp;$E357&amp;$F357,'Doc Há Pagar | Rodopar 1015'!$B:$B,T$1)</f>
        <v>0</v>
      </c>
      <c r="U357" s="20">
        <f>SUMIFS('Doc''s Pagos | Rodopar 108'!$J:$J,'Doc''s Pagos | Rodopar 108'!$A:$A,$B357&amp;$E357&amp;$F357&amp;$J357,'Doc''s Pagos | Rodopar 108'!$B:$B,U$1)+SUMIFS('Doc Há Pagar | Rodopar 1015'!$J:$J,'Doc Há Pagar | Rodopar 1015'!$A:$A,$B357&amp;$E357&amp;$F357,'Doc Há Pagar | Rodopar 1015'!$B:$B,U$1)</f>
        <v>0</v>
      </c>
      <c r="V357" s="20">
        <f>SUMIFS('Doc''s Pagos | Rodopar 108'!$J:$J,'Doc''s Pagos | Rodopar 108'!$A:$A,$B357&amp;$E357&amp;$F357&amp;$J357,'Doc''s Pagos | Rodopar 108'!$B:$B,V$1)+SUMIFS('Doc Há Pagar | Rodopar 1015'!$J:$J,'Doc Há Pagar | Rodopar 1015'!$A:$A,$B357&amp;$E357&amp;$F357,'Doc Há Pagar | Rodopar 1015'!$B:$B,V$1)</f>
        <v>0</v>
      </c>
      <c r="W357" s="20">
        <f>SUMIFS('Doc''s Pagos | Rodopar 108'!$J:$J,'Doc''s Pagos | Rodopar 108'!$A:$A,$B357&amp;$E357&amp;$F357&amp;$J357,'Doc''s Pagos | Rodopar 108'!$B:$B,W$1)+SUMIFS('Doc Há Pagar | Rodopar 1015'!$J:$J,'Doc Há Pagar | Rodopar 1015'!$A:$A,$B357&amp;$E357&amp;$F357,'Doc Há Pagar | Rodopar 1015'!$B:$B,W$1)</f>
        <v>0</v>
      </c>
      <c r="X357" s="20">
        <f>SUMIFS('Doc''s Pagos | Rodopar 108'!$J:$J,'Doc''s Pagos | Rodopar 108'!$A:$A,$B357&amp;$E357&amp;$F357&amp;$J357,'Doc''s Pagos | Rodopar 108'!$B:$B,X$1)+SUMIFS('Doc Há Pagar | Rodopar 1015'!$J:$J,'Doc Há Pagar | Rodopar 1015'!$A:$A,$B357&amp;$E357&amp;$F357,'Doc Há Pagar | Rodopar 1015'!$B:$B,X$1)</f>
        <v>0</v>
      </c>
      <c r="Y357" s="20">
        <f>SUMIFS('Doc''s Pagos | Rodopar 108'!$J:$J,'Doc''s Pagos | Rodopar 108'!$A:$A,$B357&amp;$E357&amp;$F357&amp;$J357,'Doc''s Pagos | Rodopar 108'!$B:$B,Y$1)+SUMIFS('Doc Há Pagar | Rodopar 1015'!$J:$J,'Doc Há Pagar | Rodopar 1015'!$A:$A,$B357&amp;$E357&amp;$F357,'Doc Há Pagar | Rodopar 1015'!$B:$B,Y$1)</f>
        <v>0</v>
      </c>
      <c r="Z357" s="20">
        <f>SUMIFS('Doc''s Pagos | Rodopar 108'!$J:$J,'Doc''s Pagos | Rodopar 108'!$A:$A,$B357&amp;$E357&amp;$F357&amp;$J357,'Doc''s Pagos | Rodopar 108'!$B:$B,Z$1)+SUMIFS('Doc Há Pagar | Rodopar 1015'!$J:$J,'Doc Há Pagar | Rodopar 1015'!$A:$A,$B357&amp;$E357&amp;$F357,'Doc Há Pagar | Rodopar 1015'!$B:$B,Z$1)</f>
        <v>0</v>
      </c>
      <c r="AA357" s="20">
        <f>SUMIFS('Doc''s Pagos | Rodopar 108'!$J:$J,'Doc''s Pagos | Rodopar 108'!$A:$A,$B357&amp;$E357&amp;$F357&amp;$J357,'Doc''s Pagos | Rodopar 108'!$B:$B,AA$1)+SUMIFS('Doc Há Pagar | Rodopar 1015'!$J:$J,'Doc Há Pagar | Rodopar 1015'!$A:$A,$B357&amp;$E357&amp;$F357,'Doc Há Pagar | Rodopar 1015'!$B:$B,AA$1)</f>
        <v>1333.71</v>
      </c>
      <c r="AB357" s="20">
        <f>SUMIFS('Doc''s Pagos | Rodopar 108'!$J:$J,'Doc''s Pagos | Rodopar 108'!$A:$A,$B357&amp;$E357&amp;$F357&amp;$J357,'Doc''s Pagos | Rodopar 108'!$B:$B,AB$1)+SUMIFS('Doc Há Pagar | Rodopar 1015'!$J:$J,'Doc Há Pagar | Rodopar 1015'!$A:$A,$B357&amp;$E357&amp;$F357,'Doc Há Pagar | Rodopar 1015'!$B:$B,AB$1)</f>
        <v>0</v>
      </c>
      <c r="AC357" s="20">
        <f>SUMIFS('Doc''s Pagos | Rodopar 108'!$J:$J,'Doc''s Pagos | Rodopar 108'!$A:$A,$B357&amp;$E357&amp;$F357&amp;$J357,'Doc''s Pagos | Rodopar 108'!$B:$B,AC$1)+SUMIFS('Doc Há Pagar | Rodopar 1015'!$J:$J,'Doc Há Pagar | Rodopar 1015'!$A:$A,$B357&amp;$E357&amp;$F357,'Doc Há Pagar | Rodopar 1015'!$B:$B,AC$1)</f>
        <v>0</v>
      </c>
      <c r="AD357" s="20">
        <f>SUMIFS('Doc''s Pagos | Rodopar 108'!$J:$J,'Doc''s Pagos | Rodopar 108'!$A:$A,$B357&amp;$E357&amp;$F357&amp;$J357,'Doc''s Pagos | Rodopar 108'!$B:$B,AD$1)+SUMIFS('Doc Há Pagar | Rodopar 1015'!$J:$J,'Doc Há Pagar | Rodopar 1015'!$A:$A,$B357&amp;$E357&amp;$F357,'Doc Há Pagar | Rodopar 1015'!$B:$B,AD$1)</f>
        <v>0</v>
      </c>
    </row>
    <row r="358" spans="1:30" x14ac:dyDescent="0.25">
      <c r="A358" s="1" t="str">
        <f>VLOOKUP($E358,Fornecedores!$A:$C,3,0)</f>
        <v>Frota</v>
      </c>
      <c r="B358" s="14">
        <v>996795</v>
      </c>
      <c r="C358" s="14" t="str">
        <f>IFERROR(VLOOKUP($E358,Fornecedores!$A:$E,4,0),"")</f>
        <v>Telemetria</v>
      </c>
      <c r="D358" s="14" t="str">
        <f>IFERROR(VLOOKUP($E358,Fornecedores!$A:$E,5,0),"")</f>
        <v>Telemetria</v>
      </c>
      <c r="E358" s="8" t="s">
        <v>179</v>
      </c>
      <c r="F358" s="14" t="s">
        <v>665</v>
      </c>
      <c r="G358" s="8" t="s">
        <v>673</v>
      </c>
      <c r="H358" s="9">
        <v>87</v>
      </c>
      <c r="I358" s="21">
        <v>357.45</v>
      </c>
      <c r="J358" s="11">
        <v>46240</v>
      </c>
      <c r="K358" s="11">
        <v>46245</v>
      </c>
      <c r="L358" s="8" t="s">
        <v>674</v>
      </c>
      <c r="M358" s="14" t="s">
        <v>263</v>
      </c>
      <c r="N358" s="16">
        <v>2556</v>
      </c>
      <c r="O358" s="14" t="s">
        <v>241</v>
      </c>
      <c r="P358" s="14"/>
      <c r="Q358" s="20">
        <f t="shared" si="5"/>
        <v>0</v>
      </c>
      <c r="S358" s="20">
        <f>SUMIFS('Doc''s Pagos | Rodopar 108'!$J:$J,'Doc''s Pagos | Rodopar 108'!$A:$A,$B358&amp;$E358&amp;$F358&amp;$J358,'Doc''s Pagos | Rodopar 108'!$B:$B,S$1)+SUMIFS('Doc Há Pagar | Rodopar 1015'!$J:$J,'Doc Há Pagar | Rodopar 1015'!$A:$A,$B358&amp;$E358&amp;$F358,'Doc Há Pagar | Rodopar 1015'!$B:$B,S$1)</f>
        <v>0</v>
      </c>
      <c r="T358" s="20">
        <f>SUMIFS('Doc''s Pagos | Rodopar 108'!$J:$J,'Doc''s Pagos | Rodopar 108'!$A:$A,$B358&amp;$E358&amp;$F358&amp;$J358,'Doc''s Pagos | Rodopar 108'!$B:$B,T$1)+SUMIFS('Doc Há Pagar | Rodopar 1015'!$J:$J,'Doc Há Pagar | Rodopar 1015'!$A:$A,$B358&amp;$E358&amp;$F358,'Doc Há Pagar | Rodopar 1015'!$B:$B,T$1)</f>
        <v>0</v>
      </c>
      <c r="U358" s="20">
        <f>SUMIFS('Doc''s Pagos | Rodopar 108'!$J:$J,'Doc''s Pagos | Rodopar 108'!$A:$A,$B358&amp;$E358&amp;$F358&amp;$J358,'Doc''s Pagos | Rodopar 108'!$B:$B,U$1)+SUMIFS('Doc Há Pagar | Rodopar 1015'!$J:$J,'Doc Há Pagar | Rodopar 1015'!$A:$A,$B358&amp;$E358&amp;$F358,'Doc Há Pagar | Rodopar 1015'!$B:$B,U$1)</f>
        <v>0</v>
      </c>
      <c r="V358" s="20">
        <f>SUMIFS('Doc''s Pagos | Rodopar 108'!$J:$J,'Doc''s Pagos | Rodopar 108'!$A:$A,$B358&amp;$E358&amp;$F358&amp;$J358,'Doc''s Pagos | Rodopar 108'!$B:$B,V$1)+SUMIFS('Doc Há Pagar | Rodopar 1015'!$J:$J,'Doc Há Pagar | Rodopar 1015'!$A:$A,$B358&amp;$E358&amp;$F358,'Doc Há Pagar | Rodopar 1015'!$B:$B,V$1)</f>
        <v>0</v>
      </c>
      <c r="W358" s="20">
        <f>SUMIFS('Doc''s Pagos | Rodopar 108'!$J:$J,'Doc''s Pagos | Rodopar 108'!$A:$A,$B358&amp;$E358&amp;$F358&amp;$J358,'Doc''s Pagos | Rodopar 108'!$B:$B,W$1)+SUMIFS('Doc Há Pagar | Rodopar 1015'!$J:$J,'Doc Há Pagar | Rodopar 1015'!$A:$A,$B358&amp;$E358&amp;$F358,'Doc Há Pagar | Rodopar 1015'!$B:$B,W$1)</f>
        <v>0</v>
      </c>
      <c r="X358" s="20">
        <f>SUMIFS('Doc''s Pagos | Rodopar 108'!$J:$J,'Doc''s Pagos | Rodopar 108'!$A:$A,$B358&amp;$E358&amp;$F358&amp;$J358,'Doc''s Pagos | Rodopar 108'!$B:$B,X$1)+SUMIFS('Doc Há Pagar | Rodopar 1015'!$J:$J,'Doc Há Pagar | Rodopar 1015'!$A:$A,$B358&amp;$E358&amp;$F358,'Doc Há Pagar | Rodopar 1015'!$B:$B,X$1)</f>
        <v>0</v>
      </c>
      <c r="Y358" s="20">
        <f>SUMIFS('Doc''s Pagos | Rodopar 108'!$J:$J,'Doc''s Pagos | Rodopar 108'!$A:$A,$B358&amp;$E358&amp;$F358&amp;$J358,'Doc''s Pagos | Rodopar 108'!$B:$B,Y$1)+SUMIFS('Doc Há Pagar | Rodopar 1015'!$J:$J,'Doc Há Pagar | Rodopar 1015'!$A:$A,$B358&amp;$E358&amp;$F358,'Doc Há Pagar | Rodopar 1015'!$B:$B,Y$1)</f>
        <v>0</v>
      </c>
      <c r="Z358" s="20">
        <f>SUMIFS('Doc''s Pagos | Rodopar 108'!$J:$J,'Doc''s Pagos | Rodopar 108'!$A:$A,$B358&amp;$E358&amp;$F358&amp;$J358,'Doc''s Pagos | Rodopar 108'!$B:$B,Z$1)+SUMIFS('Doc Há Pagar | Rodopar 1015'!$J:$J,'Doc Há Pagar | Rodopar 1015'!$A:$A,$B358&amp;$E358&amp;$F358,'Doc Há Pagar | Rodopar 1015'!$B:$B,Z$1)</f>
        <v>0</v>
      </c>
      <c r="AA358" s="20">
        <f>SUMIFS('Doc''s Pagos | Rodopar 108'!$J:$J,'Doc''s Pagos | Rodopar 108'!$A:$A,$B358&amp;$E358&amp;$F358&amp;$J358,'Doc''s Pagos | Rodopar 108'!$B:$B,AA$1)+SUMIFS('Doc Há Pagar | Rodopar 1015'!$J:$J,'Doc Há Pagar | Rodopar 1015'!$A:$A,$B358&amp;$E358&amp;$F358,'Doc Há Pagar | Rodopar 1015'!$B:$B,AA$1)</f>
        <v>357.45</v>
      </c>
      <c r="AB358" s="20">
        <f>SUMIFS('Doc''s Pagos | Rodopar 108'!$J:$J,'Doc''s Pagos | Rodopar 108'!$A:$A,$B358&amp;$E358&amp;$F358&amp;$J358,'Doc''s Pagos | Rodopar 108'!$B:$B,AB$1)+SUMIFS('Doc Há Pagar | Rodopar 1015'!$J:$J,'Doc Há Pagar | Rodopar 1015'!$A:$A,$B358&amp;$E358&amp;$F358,'Doc Há Pagar | Rodopar 1015'!$B:$B,AB$1)</f>
        <v>0</v>
      </c>
      <c r="AC358" s="20">
        <f>SUMIFS('Doc''s Pagos | Rodopar 108'!$J:$J,'Doc''s Pagos | Rodopar 108'!$A:$A,$B358&amp;$E358&amp;$F358&amp;$J358,'Doc''s Pagos | Rodopar 108'!$B:$B,AC$1)+SUMIFS('Doc Há Pagar | Rodopar 1015'!$J:$J,'Doc Há Pagar | Rodopar 1015'!$A:$A,$B358&amp;$E358&amp;$F358,'Doc Há Pagar | Rodopar 1015'!$B:$B,AC$1)</f>
        <v>0</v>
      </c>
      <c r="AD358" s="20">
        <f>SUMIFS('Doc''s Pagos | Rodopar 108'!$J:$J,'Doc''s Pagos | Rodopar 108'!$A:$A,$B358&amp;$E358&amp;$F358&amp;$J358,'Doc''s Pagos | Rodopar 108'!$B:$B,AD$1)+SUMIFS('Doc Há Pagar | Rodopar 1015'!$J:$J,'Doc Há Pagar | Rodopar 1015'!$A:$A,$B358&amp;$E358&amp;$F358,'Doc Há Pagar | Rodopar 1015'!$B:$B,AD$1)</f>
        <v>0</v>
      </c>
    </row>
    <row r="359" spans="1:30" x14ac:dyDescent="0.25">
      <c r="A359" s="1" t="str">
        <f>VLOOKUP($E359,Fornecedores!$A:$C,3,0)</f>
        <v>Frota</v>
      </c>
      <c r="B359" s="14">
        <v>1580</v>
      </c>
      <c r="C359" s="14" t="str">
        <f>IFERROR(VLOOKUP($E359,Fornecedores!$A:$E,4,0),"")</f>
        <v>MTSR</v>
      </c>
      <c r="D359" s="14" t="str">
        <f>IFERROR(VLOOKUP($E359,Fornecedores!$A:$E,5,0),"")</f>
        <v>Tecnologia</v>
      </c>
      <c r="E359" s="8" t="s">
        <v>24</v>
      </c>
      <c r="F359" s="14" t="s">
        <v>232</v>
      </c>
      <c r="G359" s="8" t="s">
        <v>238</v>
      </c>
      <c r="H359" s="9">
        <v>87</v>
      </c>
      <c r="I359" s="21">
        <v>59176.89</v>
      </c>
      <c r="J359" s="11">
        <v>46241</v>
      </c>
      <c r="K359" s="11">
        <v>46245</v>
      </c>
      <c r="L359" s="8" t="s">
        <v>239</v>
      </c>
      <c r="M359" s="14" t="s">
        <v>240</v>
      </c>
      <c r="N359" s="16">
        <v>2556</v>
      </c>
      <c r="O359" s="14" t="s">
        <v>241</v>
      </c>
      <c r="P359" s="14"/>
      <c r="Q359" s="20">
        <f t="shared" si="5"/>
        <v>0</v>
      </c>
      <c r="S359" s="20">
        <f>SUMIFS('Doc''s Pagos | Rodopar 108'!$J:$J,'Doc''s Pagos | Rodopar 108'!$A:$A,$B359&amp;$E359&amp;$F359&amp;$J359,'Doc''s Pagos | Rodopar 108'!$B:$B,S$1)+SUMIFS('Doc Há Pagar | Rodopar 1015'!$J:$J,'Doc Há Pagar | Rodopar 1015'!$A:$A,$B359&amp;$E359&amp;$F359,'Doc Há Pagar | Rodopar 1015'!$B:$B,S$1)</f>
        <v>0</v>
      </c>
      <c r="T359" s="20">
        <f>SUMIFS('Doc''s Pagos | Rodopar 108'!$J:$J,'Doc''s Pagos | Rodopar 108'!$A:$A,$B359&amp;$E359&amp;$F359&amp;$J359,'Doc''s Pagos | Rodopar 108'!$B:$B,T$1)+SUMIFS('Doc Há Pagar | Rodopar 1015'!$J:$J,'Doc Há Pagar | Rodopar 1015'!$A:$A,$B359&amp;$E359&amp;$F359,'Doc Há Pagar | Rodopar 1015'!$B:$B,T$1)</f>
        <v>0</v>
      </c>
      <c r="U359" s="20">
        <f>SUMIFS('Doc''s Pagos | Rodopar 108'!$J:$J,'Doc''s Pagos | Rodopar 108'!$A:$A,$B359&amp;$E359&amp;$F359&amp;$J359,'Doc''s Pagos | Rodopar 108'!$B:$B,U$1)+SUMIFS('Doc Há Pagar | Rodopar 1015'!$J:$J,'Doc Há Pagar | Rodopar 1015'!$A:$A,$B359&amp;$E359&amp;$F359,'Doc Há Pagar | Rodopar 1015'!$B:$B,U$1)</f>
        <v>0</v>
      </c>
      <c r="V359" s="20">
        <f>SUMIFS('Doc''s Pagos | Rodopar 108'!$J:$J,'Doc''s Pagos | Rodopar 108'!$A:$A,$B359&amp;$E359&amp;$F359&amp;$J359,'Doc''s Pagos | Rodopar 108'!$B:$B,V$1)+SUMIFS('Doc Há Pagar | Rodopar 1015'!$J:$J,'Doc Há Pagar | Rodopar 1015'!$A:$A,$B359&amp;$E359&amp;$F359,'Doc Há Pagar | Rodopar 1015'!$B:$B,V$1)</f>
        <v>0</v>
      </c>
      <c r="W359" s="20">
        <f>SUMIFS('Doc''s Pagos | Rodopar 108'!$J:$J,'Doc''s Pagos | Rodopar 108'!$A:$A,$B359&amp;$E359&amp;$F359&amp;$J359,'Doc''s Pagos | Rodopar 108'!$B:$B,W$1)+SUMIFS('Doc Há Pagar | Rodopar 1015'!$J:$J,'Doc Há Pagar | Rodopar 1015'!$A:$A,$B359&amp;$E359&amp;$F359,'Doc Há Pagar | Rodopar 1015'!$B:$B,W$1)</f>
        <v>0</v>
      </c>
      <c r="X359" s="20">
        <f>SUMIFS('Doc''s Pagos | Rodopar 108'!$J:$J,'Doc''s Pagos | Rodopar 108'!$A:$A,$B359&amp;$E359&amp;$F359&amp;$J359,'Doc''s Pagos | Rodopar 108'!$B:$B,X$1)+SUMIFS('Doc Há Pagar | Rodopar 1015'!$J:$J,'Doc Há Pagar | Rodopar 1015'!$A:$A,$B359&amp;$E359&amp;$F359,'Doc Há Pagar | Rodopar 1015'!$B:$B,X$1)</f>
        <v>0</v>
      </c>
      <c r="Y359" s="20">
        <f>SUMIFS('Doc''s Pagos | Rodopar 108'!$J:$J,'Doc''s Pagos | Rodopar 108'!$A:$A,$B359&amp;$E359&amp;$F359&amp;$J359,'Doc''s Pagos | Rodopar 108'!$B:$B,Y$1)+SUMIFS('Doc Há Pagar | Rodopar 1015'!$J:$J,'Doc Há Pagar | Rodopar 1015'!$A:$A,$B359&amp;$E359&amp;$F359,'Doc Há Pagar | Rodopar 1015'!$B:$B,Y$1)</f>
        <v>0</v>
      </c>
      <c r="Z359" s="20">
        <f>SUMIFS('Doc''s Pagos | Rodopar 108'!$J:$J,'Doc''s Pagos | Rodopar 108'!$A:$A,$B359&amp;$E359&amp;$F359&amp;$J359,'Doc''s Pagos | Rodopar 108'!$B:$B,Z$1)+SUMIFS('Doc Há Pagar | Rodopar 1015'!$J:$J,'Doc Há Pagar | Rodopar 1015'!$A:$A,$B359&amp;$E359&amp;$F359,'Doc Há Pagar | Rodopar 1015'!$B:$B,Z$1)</f>
        <v>0</v>
      </c>
      <c r="AA359" s="20">
        <f>SUMIFS('Doc''s Pagos | Rodopar 108'!$J:$J,'Doc''s Pagos | Rodopar 108'!$A:$A,$B359&amp;$E359&amp;$F359&amp;$J359,'Doc''s Pagos | Rodopar 108'!$B:$B,AA$1)+SUMIFS('Doc Há Pagar | Rodopar 1015'!$J:$J,'Doc Há Pagar | Rodopar 1015'!$A:$A,$B359&amp;$E359&amp;$F359,'Doc Há Pagar | Rodopar 1015'!$B:$B,AA$1)</f>
        <v>59176.89</v>
      </c>
      <c r="AB359" s="20">
        <f>SUMIFS('Doc''s Pagos | Rodopar 108'!$J:$J,'Doc''s Pagos | Rodopar 108'!$A:$A,$B359&amp;$E359&amp;$F359&amp;$J359,'Doc''s Pagos | Rodopar 108'!$B:$B,AB$1)+SUMIFS('Doc Há Pagar | Rodopar 1015'!$J:$J,'Doc Há Pagar | Rodopar 1015'!$A:$A,$B359&amp;$E359&amp;$F359,'Doc Há Pagar | Rodopar 1015'!$B:$B,AB$1)</f>
        <v>0</v>
      </c>
      <c r="AC359" s="20">
        <f>SUMIFS('Doc''s Pagos | Rodopar 108'!$J:$J,'Doc''s Pagos | Rodopar 108'!$A:$A,$B359&amp;$E359&amp;$F359&amp;$J359,'Doc''s Pagos | Rodopar 108'!$B:$B,AC$1)+SUMIFS('Doc Há Pagar | Rodopar 1015'!$J:$J,'Doc Há Pagar | Rodopar 1015'!$A:$A,$B359&amp;$E359&amp;$F359,'Doc Há Pagar | Rodopar 1015'!$B:$B,AC$1)</f>
        <v>0</v>
      </c>
      <c r="AD359" s="20">
        <f>SUMIFS('Doc''s Pagos | Rodopar 108'!$J:$J,'Doc''s Pagos | Rodopar 108'!$A:$A,$B359&amp;$E359&amp;$F359&amp;$J359,'Doc''s Pagos | Rodopar 108'!$B:$B,AD$1)+SUMIFS('Doc Há Pagar | Rodopar 1015'!$J:$J,'Doc Há Pagar | Rodopar 1015'!$A:$A,$B359&amp;$E359&amp;$F359,'Doc Há Pagar | Rodopar 1015'!$B:$B,AD$1)</f>
        <v>0</v>
      </c>
    </row>
    <row r="360" spans="1:30" x14ac:dyDescent="0.25">
      <c r="A360" s="1" t="str">
        <f>VLOOKUP($E360,Fornecedores!$A:$C,3,0)</f>
        <v>Frota</v>
      </c>
      <c r="B360" s="14">
        <v>2942</v>
      </c>
      <c r="C360" s="14" t="str">
        <f>IFERROR(VLOOKUP($E360,Fornecedores!$A:$E,4,0),"")</f>
        <v>Manutenção</v>
      </c>
      <c r="D360" s="14" t="str">
        <f>IFERROR(VLOOKUP($E360,Fornecedores!$A:$E,5,0),"")</f>
        <v>Frota Leve OPE</v>
      </c>
      <c r="E360" s="8" t="s">
        <v>125</v>
      </c>
      <c r="F360" s="14" t="s">
        <v>380</v>
      </c>
      <c r="G360" s="8" t="s">
        <v>467</v>
      </c>
      <c r="H360" s="9">
        <v>87</v>
      </c>
      <c r="I360" s="21">
        <v>460</v>
      </c>
      <c r="J360" s="11">
        <v>46241</v>
      </c>
      <c r="K360" s="11">
        <v>46245</v>
      </c>
      <c r="L360" s="8" t="s">
        <v>282</v>
      </c>
      <c r="M360" s="14" t="s">
        <v>234</v>
      </c>
      <c r="N360" s="16">
        <v>1556</v>
      </c>
      <c r="O360" s="14" t="s">
        <v>241</v>
      </c>
      <c r="P360" s="14"/>
      <c r="Q360" s="20">
        <f t="shared" si="5"/>
        <v>0</v>
      </c>
      <c r="S360" s="20">
        <f>SUMIFS('Doc''s Pagos | Rodopar 108'!$J:$J,'Doc''s Pagos | Rodopar 108'!$A:$A,$B360&amp;$E360&amp;$F360&amp;$J360,'Doc''s Pagos | Rodopar 108'!$B:$B,S$1)+SUMIFS('Doc Há Pagar | Rodopar 1015'!$J:$J,'Doc Há Pagar | Rodopar 1015'!$A:$A,$B360&amp;$E360&amp;$F360,'Doc Há Pagar | Rodopar 1015'!$B:$B,S$1)</f>
        <v>0</v>
      </c>
      <c r="T360" s="20">
        <f>SUMIFS('Doc''s Pagos | Rodopar 108'!$J:$J,'Doc''s Pagos | Rodopar 108'!$A:$A,$B360&amp;$E360&amp;$F360&amp;$J360,'Doc''s Pagos | Rodopar 108'!$B:$B,T$1)+SUMIFS('Doc Há Pagar | Rodopar 1015'!$J:$J,'Doc Há Pagar | Rodopar 1015'!$A:$A,$B360&amp;$E360&amp;$F360,'Doc Há Pagar | Rodopar 1015'!$B:$B,T$1)</f>
        <v>0</v>
      </c>
      <c r="U360" s="20">
        <f>SUMIFS('Doc''s Pagos | Rodopar 108'!$J:$J,'Doc''s Pagos | Rodopar 108'!$A:$A,$B360&amp;$E360&amp;$F360&amp;$J360,'Doc''s Pagos | Rodopar 108'!$B:$B,U$1)+SUMIFS('Doc Há Pagar | Rodopar 1015'!$J:$J,'Doc Há Pagar | Rodopar 1015'!$A:$A,$B360&amp;$E360&amp;$F360,'Doc Há Pagar | Rodopar 1015'!$B:$B,U$1)</f>
        <v>0</v>
      </c>
      <c r="V360" s="20">
        <f>SUMIFS('Doc''s Pagos | Rodopar 108'!$J:$J,'Doc''s Pagos | Rodopar 108'!$A:$A,$B360&amp;$E360&amp;$F360&amp;$J360,'Doc''s Pagos | Rodopar 108'!$B:$B,V$1)+SUMIFS('Doc Há Pagar | Rodopar 1015'!$J:$J,'Doc Há Pagar | Rodopar 1015'!$A:$A,$B360&amp;$E360&amp;$F360,'Doc Há Pagar | Rodopar 1015'!$B:$B,V$1)</f>
        <v>0</v>
      </c>
      <c r="W360" s="20">
        <f>SUMIFS('Doc''s Pagos | Rodopar 108'!$J:$J,'Doc''s Pagos | Rodopar 108'!$A:$A,$B360&amp;$E360&amp;$F360&amp;$J360,'Doc''s Pagos | Rodopar 108'!$B:$B,W$1)+SUMIFS('Doc Há Pagar | Rodopar 1015'!$J:$J,'Doc Há Pagar | Rodopar 1015'!$A:$A,$B360&amp;$E360&amp;$F360,'Doc Há Pagar | Rodopar 1015'!$B:$B,W$1)</f>
        <v>0</v>
      </c>
      <c r="X360" s="20">
        <f>SUMIFS('Doc''s Pagos | Rodopar 108'!$J:$J,'Doc''s Pagos | Rodopar 108'!$A:$A,$B360&amp;$E360&amp;$F360&amp;$J360,'Doc''s Pagos | Rodopar 108'!$B:$B,X$1)+SUMIFS('Doc Há Pagar | Rodopar 1015'!$J:$J,'Doc Há Pagar | Rodopar 1015'!$A:$A,$B360&amp;$E360&amp;$F360,'Doc Há Pagar | Rodopar 1015'!$B:$B,X$1)</f>
        <v>0</v>
      </c>
      <c r="Y360" s="20">
        <f>SUMIFS('Doc''s Pagos | Rodopar 108'!$J:$J,'Doc''s Pagos | Rodopar 108'!$A:$A,$B360&amp;$E360&amp;$F360&amp;$J360,'Doc''s Pagos | Rodopar 108'!$B:$B,Y$1)+SUMIFS('Doc Há Pagar | Rodopar 1015'!$J:$J,'Doc Há Pagar | Rodopar 1015'!$A:$A,$B360&amp;$E360&amp;$F360,'Doc Há Pagar | Rodopar 1015'!$B:$B,Y$1)</f>
        <v>0</v>
      </c>
      <c r="Z360" s="20">
        <f>SUMIFS('Doc''s Pagos | Rodopar 108'!$J:$J,'Doc''s Pagos | Rodopar 108'!$A:$A,$B360&amp;$E360&amp;$F360&amp;$J360,'Doc''s Pagos | Rodopar 108'!$B:$B,Z$1)+SUMIFS('Doc Há Pagar | Rodopar 1015'!$J:$J,'Doc Há Pagar | Rodopar 1015'!$A:$A,$B360&amp;$E360&amp;$F360,'Doc Há Pagar | Rodopar 1015'!$B:$B,Z$1)</f>
        <v>0</v>
      </c>
      <c r="AA360" s="20">
        <f>SUMIFS('Doc''s Pagos | Rodopar 108'!$J:$J,'Doc''s Pagos | Rodopar 108'!$A:$A,$B360&amp;$E360&amp;$F360&amp;$J360,'Doc''s Pagos | Rodopar 108'!$B:$B,AA$1)+SUMIFS('Doc Há Pagar | Rodopar 1015'!$J:$J,'Doc Há Pagar | Rodopar 1015'!$A:$A,$B360&amp;$E360&amp;$F360,'Doc Há Pagar | Rodopar 1015'!$B:$B,AA$1)</f>
        <v>460</v>
      </c>
      <c r="AB360" s="20">
        <f>SUMIFS('Doc''s Pagos | Rodopar 108'!$J:$J,'Doc''s Pagos | Rodopar 108'!$A:$A,$B360&amp;$E360&amp;$F360&amp;$J360,'Doc''s Pagos | Rodopar 108'!$B:$B,AB$1)+SUMIFS('Doc Há Pagar | Rodopar 1015'!$J:$J,'Doc Há Pagar | Rodopar 1015'!$A:$A,$B360&amp;$E360&amp;$F360,'Doc Há Pagar | Rodopar 1015'!$B:$B,AB$1)</f>
        <v>0</v>
      </c>
      <c r="AC360" s="20">
        <f>SUMIFS('Doc''s Pagos | Rodopar 108'!$J:$J,'Doc''s Pagos | Rodopar 108'!$A:$A,$B360&amp;$E360&amp;$F360&amp;$J360,'Doc''s Pagos | Rodopar 108'!$B:$B,AC$1)+SUMIFS('Doc Há Pagar | Rodopar 1015'!$J:$J,'Doc Há Pagar | Rodopar 1015'!$A:$A,$B360&amp;$E360&amp;$F360,'Doc Há Pagar | Rodopar 1015'!$B:$B,AC$1)</f>
        <v>0</v>
      </c>
      <c r="AD360" s="20">
        <f>SUMIFS('Doc''s Pagos | Rodopar 108'!$J:$J,'Doc''s Pagos | Rodopar 108'!$A:$A,$B360&amp;$E360&amp;$F360&amp;$J360,'Doc''s Pagos | Rodopar 108'!$B:$B,AD$1)+SUMIFS('Doc Há Pagar | Rodopar 1015'!$J:$J,'Doc Há Pagar | Rodopar 1015'!$A:$A,$B360&amp;$E360&amp;$F360,'Doc Há Pagar | Rodopar 1015'!$B:$B,AD$1)</f>
        <v>0</v>
      </c>
    </row>
    <row r="361" spans="1:30" x14ac:dyDescent="0.25">
      <c r="A361" s="1" t="str">
        <f>VLOOKUP($E361,Fornecedores!$A:$C,3,0)</f>
        <v>Frota</v>
      </c>
      <c r="B361" s="14">
        <v>1234</v>
      </c>
      <c r="C361" s="14" t="str">
        <f>IFERROR(VLOOKUP($E361,Fornecedores!$A:$E,4,0),"")</f>
        <v>MTSR</v>
      </c>
      <c r="D361" s="14" t="str">
        <f>IFERROR(VLOOKUP($E361,Fornecedores!$A:$E,5,0),"")</f>
        <v>Tecnologia</v>
      </c>
      <c r="E361" s="8" t="s">
        <v>24</v>
      </c>
      <c r="F361" s="14" t="s">
        <v>665</v>
      </c>
      <c r="G361" s="8" t="s">
        <v>238</v>
      </c>
      <c r="H361" s="9">
        <v>87</v>
      </c>
      <c r="I361" s="21">
        <v>11929.32</v>
      </c>
      <c r="J361" s="11">
        <v>46241</v>
      </c>
      <c r="K361" s="11">
        <v>46245</v>
      </c>
      <c r="L361" s="8" t="s">
        <v>239</v>
      </c>
      <c r="M361" s="14" t="s">
        <v>240</v>
      </c>
      <c r="N361" s="16">
        <v>2556</v>
      </c>
      <c r="O361" s="14" t="s">
        <v>241</v>
      </c>
      <c r="P361" s="14"/>
      <c r="Q361" s="20">
        <f t="shared" si="5"/>
        <v>0</v>
      </c>
      <c r="S361" s="20">
        <f>SUMIFS('Doc''s Pagos | Rodopar 108'!$J:$J,'Doc''s Pagos | Rodopar 108'!$A:$A,$B361&amp;$E361&amp;$F361&amp;$J361,'Doc''s Pagos | Rodopar 108'!$B:$B,S$1)+SUMIFS('Doc Há Pagar | Rodopar 1015'!$J:$J,'Doc Há Pagar | Rodopar 1015'!$A:$A,$B361&amp;$E361&amp;$F361,'Doc Há Pagar | Rodopar 1015'!$B:$B,S$1)</f>
        <v>0</v>
      </c>
      <c r="T361" s="20">
        <f>SUMIFS('Doc''s Pagos | Rodopar 108'!$J:$J,'Doc''s Pagos | Rodopar 108'!$A:$A,$B361&amp;$E361&amp;$F361&amp;$J361,'Doc''s Pagos | Rodopar 108'!$B:$B,T$1)+SUMIFS('Doc Há Pagar | Rodopar 1015'!$J:$J,'Doc Há Pagar | Rodopar 1015'!$A:$A,$B361&amp;$E361&amp;$F361,'Doc Há Pagar | Rodopar 1015'!$B:$B,T$1)</f>
        <v>0</v>
      </c>
      <c r="U361" s="20">
        <f>SUMIFS('Doc''s Pagos | Rodopar 108'!$J:$J,'Doc''s Pagos | Rodopar 108'!$A:$A,$B361&amp;$E361&amp;$F361&amp;$J361,'Doc''s Pagos | Rodopar 108'!$B:$B,U$1)+SUMIFS('Doc Há Pagar | Rodopar 1015'!$J:$J,'Doc Há Pagar | Rodopar 1015'!$A:$A,$B361&amp;$E361&amp;$F361,'Doc Há Pagar | Rodopar 1015'!$B:$B,U$1)</f>
        <v>0</v>
      </c>
      <c r="V361" s="20">
        <f>SUMIFS('Doc''s Pagos | Rodopar 108'!$J:$J,'Doc''s Pagos | Rodopar 108'!$A:$A,$B361&amp;$E361&amp;$F361&amp;$J361,'Doc''s Pagos | Rodopar 108'!$B:$B,V$1)+SUMIFS('Doc Há Pagar | Rodopar 1015'!$J:$J,'Doc Há Pagar | Rodopar 1015'!$A:$A,$B361&amp;$E361&amp;$F361,'Doc Há Pagar | Rodopar 1015'!$B:$B,V$1)</f>
        <v>0</v>
      </c>
      <c r="W361" s="20">
        <f>SUMIFS('Doc''s Pagos | Rodopar 108'!$J:$J,'Doc''s Pagos | Rodopar 108'!$A:$A,$B361&amp;$E361&amp;$F361&amp;$J361,'Doc''s Pagos | Rodopar 108'!$B:$B,W$1)+SUMIFS('Doc Há Pagar | Rodopar 1015'!$J:$J,'Doc Há Pagar | Rodopar 1015'!$A:$A,$B361&amp;$E361&amp;$F361,'Doc Há Pagar | Rodopar 1015'!$B:$B,W$1)</f>
        <v>0</v>
      </c>
      <c r="X361" s="20">
        <f>SUMIFS('Doc''s Pagos | Rodopar 108'!$J:$J,'Doc''s Pagos | Rodopar 108'!$A:$A,$B361&amp;$E361&amp;$F361&amp;$J361,'Doc''s Pagos | Rodopar 108'!$B:$B,X$1)+SUMIFS('Doc Há Pagar | Rodopar 1015'!$J:$J,'Doc Há Pagar | Rodopar 1015'!$A:$A,$B361&amp;$E361&amp;$F361,'Doc Há Pagar | Rodopar 1015'!$B:$B,X$1)</f>
        <v>0</v>
      </c>
      <c r="Y361" s="20">
        <f>SUMIFS('Doc''s Pagos | Rodopar 108'!$J:$J,'Doc''s Pagos | Rodopar 108'!$A:$A,$B361&amp;$E361&amp;$F361&amp;$J361,'Doc''s Pagos | Rodopar 108'!$B:$B,Y$1)+SUMIFS('Doc Há Pagar | Rodopar 1015'!$J:$J,'Doc Há Pagar | Rodopar 1015'!$A:$A,$B361&amp;$E361&amp;$F361,'Doc Há Pagar | Rodopar 1015'!$B:$B,Y$1)</f>
        <v>0</v>
      </c>
      <c r="Z361" s="20">
        <f>SUMIFS('Doc''s Pagos | Rodopar 108'!$J:$J,'Doc''s Pagos | Rodopar 108'!$A:$A,$B361&amp;$E361&amp;$F361&amp;$J361,'Doc''s Pagos | Rodopar 108'!$B:$B,Z$1)+SUMIFS('Doc Há Pagar | Rodopar 1015'!$J:$J,'Doc Há Pagar | Rodopar 1015'!$A:$A,$B361&amp;$E361&amp;$F361,'Doc Há Pagar | Rodopar 1015'!$B:$B,Z$1)</f>
        <v>0</v>
      </c>
      <c r="AA361" s="20">
        <f>SUMIFS('Doc''s Pagos | Rodopar 108'!$J:$J,'Doc''s Pagos | Rodopar 108'!$A:$A,$B361&amp;$E361&amp;$F361&amp;$J361,'Doc''s Pagos | Rodopar 108'!$B:$B,AA$1)+SUMIFS('Doc Há Pagar | Rodopar 1015'!$J:$J,'Doc Há Pagar | Rodopar 1015'!$A:$A,$B361&amp;$E361&amp;$F361,'Doc Há Pagar | Rodopar 1015'!$B:$B,AA$1)</f>
        <v>11929.32</v>
      </c>
      <c r="AB361" s="20">
        <f>SUMIFS('Doc''s Pagos | Rodopar 108'!$J:$J,'Doc''s Pagos | Rodopar 108'!$A:$A,$B361&amp;$E361&amp;$F361&amp;$J361,'Doc''s Pagos | Rodopar 108'!$B:$B,AB$1)+SUMIFS('Doc Há Pagar | Rodopar 1015'!$J:$J,'Doc Há Pagar | Rodopar 1015'!$A:$A,$B361&amp;$E361&amp;$F361,'Doc Há Pagar | Rodopar 1015'!$B:$B,AB$1)</f>
        <v>0</v>
      </c>
      <c r="AC361" s="20">
        <f>SUMIFS('Doc''s Pagos | Rodopar 108'!$J:$J,'Doc''s Pagos | Rodopar 108'!$A:$A,$B361&amp;$E361&amp;$F361&amp;$J361,'Doc''s Pagos | Rodopar 108'!$B:$B,AC$1)+SUMIFS('Doc Há Pagar | Rodopar 1015'!$J:$J,'Doc Há Pagar | Rodopar 1015'!$A:$A,$B361&amp;$E361&amp;$F361,'Doc Há Pagar | Rodopar 1015'!$B:$B,AC$1)</f>
        <v>0</v>
      </c>
      <c r="AD361" s="20">
        <f>SUMIFS('Doc''s Pagos | Rodopar 108'!$J:$J,'Doc''s Pagos | Rodopar 108'!$A:$A,$B361&amp;$E361&amp;$F361&amp;$J361,'Doc''s Pagos | Rodopar 108'!$B:$B,AD$1)+SUMIFS('Doc Há Pagar | Rodopar 1015'!$J:$J,'Doc Há Pagar | Rodopar 1015'!$A:$A,$B361&amp;$E361&amp;$F361,'Doc Há Pagar | Rodopar 1015'!$B:$B,AD$1)</f>
        <v>0</v>
      </c>
    </row>
    <row r="362" spans="1:30" x14ac:dyDescent="0.25">
      <c r="A362" s="1" t="str">
        <f>VLOOKUP($E362,Fornecedores!$A:$C,3,0)</f>
        <v>Frota</v>
      </c>
      <c r="B362" s="14">
        <v>1235</v>
      </c>
      <c r="C362" s="14" t="str">
        <f>IFERROR(VLOOKUP($E362,Fornecedores!$A:$E,4,0),"")</f>
        <v>MTSR</v>
      </c>
      <c r="D362" s="14" t="str">
        <f>IFERROR(VLOOKUP($E362,Fornecedores!$A:$E,5,0),"")</f>
        <v>Tecnologia</v>
      </c>
      <c r="E362" s="8" t="s">
        <v>24</v>
      </c>
      <c r="F362" s="14" t="s">
        <v>665</v>
      </c>
      <c r="G362" s="8" t="s">
        <v>238</v>
      </c>
      <c r="H362" s="9">
        <v>87</v>
      </c>
      <c r="I362" s="21">
        <v>9885</v>
      </c>
      <c r="J362" s="11">
        <v>46241</v>
      </c>
      <c r="K362" s="11">
        <v>46245</v>
      </c>
      <c r="L362" s="8" t="s">
        <v>239</v>
      </c>
      <c r="M362" s="14" t="s">
        <v>240</v>
      </c>
      <c r="N362" s="16">
        <v>2556</v>
      </c>
      <c r="O362" s="14" t="s">
        <v>241</v>
      </c>
      <c r="P362" s="14"/>
      <c r="Q362" s="20">
        <f t="shared" si="5"/>
        <v>0</v>
      </c>
      <c r="S362" s="20">
        <f>SUMIFS('Doc''s Pagos | Rodopar 108'!$J:$J,'Doc''s Pagos | Rodopar 108'!$A:$A,$B362&amp;$E362&amp;$F362&amp;$J362,'Doc''s Pagos | Rodopar 108'!$B:$B,S$1)+SUMIFS('Doc Há Pagar | Rodopar 1015'!$J:$J,'Doc Há Pagar | Rodopar 1015'!$A:$A,$B362&amp;$E362&amp;$F362,'Doc Há Pagar | Rodopar 1015'!$B:$B,S$1)</f>
        <v>0</v>
      </c>
      <c r="T362" s="20">
        <f>SUMIFS('Doc''s Pagos | Rodopar 108'!$J:$J,'Doc''s Pagos | Rodopar 108'!$A:$A,$B362&amp;$E362&amp;$F362&amp;$J362,'Doc''s Pagos | Rodopar 108'!$B:$B,T$1)+SUMIFS('Doc Há Pagar | Rodopar 1015'!$J:$J,'Doc Há Pagar | Rodopar 1015'!$A:$A,$B362&amp;$E362&amp;$F362,'Doc Há Pagar | Rodopar 1015'!$B:$B,T$1)</f>
        <v>0</v>
      </c>
      <c r="U362" s="20">
        <f>SUMIFS('Doc''s Pagos | Rodopar 108'!$J:$J,'Doc''s Pagos | Rodopar 108'!$A:$A,$B362&amp;$E362&amp;$F362&amp;$J362,'Doc''s Pagos | Rodopar 108'!$B:$B,U$1)+SUMIFS('Doc Há Pagar | Rodopar 1015'!$J:$J,'Doc Há Pagar | Rodopar 1015'!$A:$A,$B362&amp;$E362&amp;$F362,'Doc Há Pagar | Rodopar 1015'!$B:$B,U$1)</f>
        <v>0</v>
      </c>
      <c r="V362" s="20">
        <f>SUMIFS('Doc''s Pagos | Rodopar 108'!$J:$J,'Doc''s Pagos | Rodopar 108'!$A:$A,$B362&amp;$E362&amp;$F362&amp;$J362,'Doc''s Pagos | Rodopar 108'!$B:$B,V$1)+SUMIFS('Doc Há Pagar | Rodopar 1015'!$J:$J,'Doc Há Pagar | Rodopar 1015'!$A:$A,$B362&amp;$E362&amp;$F362,'Doc Há Pagar | Rodopar 1015'!$B:$B,V$1)</f>
        <v>0</v>
      </c>
      <c r="W362" s="20">
        <f>SUMIFS('Doc''s Pagos | Rodopar 108'!$J:$J,'Doc''s Pagos | Rodopar 108'!$A:$A,$B362&amp;$E362&amp;$F362&amp;$J362,'Doc''s Pagos | Rodopar 108'!$B:$B,W$1)+SUMIFS('Doc Há Pagar | Rodopar 1015'!$J:$J,'Doc Há Pagar | Rodopar 1015'!$A:$A,$B362&amp;$E362&amp;$F362,'Doc Há Pagar | Rodopar 1015'!$B:$B,W$1)</f>
        <v>0</v>
      </c>
      <c r="X362" s="20">
        <f>SUMIFS('Doc''s Pagos | Rodopar 108'!$J:$J,'Doc''s Pagos | Rodopar 108'!$A:$A,$B362&amp;$E362&amp;$F362&amp;$J362,'Doc''s Pagos | Rodopar 108'!$B:$B,X$1)+SUMIFS('Doc Há Pagar | Rodopar 1015'!$J:$J,'Doc Há Pagar | Rodopar 1015'!$A:$A,$B362&amp;$E362&amp;$F362,'Doc Há Pagar | Rodopar 1015'!$B:$B,X$1)</f>
        <v>0</v>
      </c>
      <c r="Y362" s="20">
        <f>SUMIFS('Doc''s Pagos | Rodopar 108'!$J:$J,'Doc''s Pagos | Rodopar 108'!$A:$A,$B362&amp;$E362&amp;$F362&amp;$J362,'Doc''s Pagos | Rodopar 108'!$B:$B,Y$1)+SUMIFS('Doc Há Pagar | Rodopar 1015'!$J:$J,'Doc Há Pagar | Rodopar 1015'!$A:$A,$B362&amp;$E362&amp;$F362,'Doc Há Pagar | Rodopar 1015'!$B:$B,Y$1)</f>
        <v>0</v>
      </c>
      <c r="Z362" s="20">
        <f>SUMIFS('Doc''s Pagos | Rodopar 108'!$J:$J,'Doc''s Pagos | Rodopar 108'!$A:$A,$B362&amp;$E362&amp;$F362&amp;$J362,'Doc''s Pagos | Rodopar 108'!$B:$B,Z$1)+SUMIFS('Doc Há Pagar | Rodopar 1015'!$J:$J,'Doc Há Pagar | Rodopar 1015'!$A:$A,$B362&amp;$E362&amp;$F362,'Doc Há Pagar | Rodopar 1015'!$B:$B,Z$1)</f>
        <v>0</v>
      </c>
      <c r="AA362" s="20">
        <f>SUMIFS('Doc''s Pagos | Rodopar 108'!$J:$J,'Doc''s Pagos | Rodopar 108'!$A:$A,$B362&amp;$E362&amp;$F362&amp;$J362,'Doc''s Pagos | Rodopar 108'!$B:$B,AA$1)+SUMIFS('Doc Há Pagar | Rodopar 1015'!$J:$J,'Doc Há Pagar | Rodopar 1015'!$A:$A,$B362&amp;$E362&amp;$F362,'Doc Há Pagar | Rodopar 1015'!$B:$B,AA$1)</f>
        <v>9885</v>
      </c>
      <c r="AB362" s="20">
        <f>SUMIFS('Doc''s Pagos | Rodopar 108'!$J:$J,'Doc''s Pagos | Rodopar 108'!$A:$A,$B362&amp;$E362&amp;$F362&amp;$J362,'Doc''s Pagos | Rodopar 108'!$B:$B,AB$1)+SUMIFS('Doc Há Pagar | Rodopar 1015'!$J:$J,'Doc Há Pagar | Rodopar 1015'!$A:$A,$B362&amp;$E362&amp;$F362,'Doc Há Pagar | Rodopar 1015'!$B:$B,AB$1)</f>
        <v>0</v>
      </c>
      <c r="AC362" s="20">
        <f>SUMIFS('Doc''s Pagos | Rodopar 108'!$J:$J,'Doc''s Pagos | Rodopar 108'!$A:$A,$B362&amp;$E362&amp;$F362&amp;$J362,'Doc''s Pagos | Rodopar 108'!$B:$B,AC$1)+SUMIFS('Doc Há Pagar | Rodopar 1015'!$J:$J,'Doc Há Pagar | Rodopar 1015'!$A:$A,$B362&amp;$E362&amp;$F362,'Doc Há Pagar | Rodopar 1015'!$B:$B,AC$1)</f>
        <v>0</v>
      </c>
      <c r="AD362" s="20">
        <f>SUMIFS('Doc''s Pagos | Rodopar 108'!$J:$J,'Doc''s Pagos | Rodopar 108'!$A:$A,$B362&amp;$E362&amp;$F362&amp;$J362,'Doc''s Pagos | Rodopar 108'!$B:$B,AD$1)+SUMIFS('Doc Há Pagar | Rodopar 1015'!$J:$J,'Doc Há Pagar | Rodopar 1015'!$A:$A,$B362&amp;$E362&amp;$F362,'Doc Há Pagar | Rodopar 1015'!$B:$B,AD$1)</f>
        <v>0</v>
      </c>
    </row>
    <row r="363" spans="1:30" x14ac:dyDescent="0.25">
      <c r="A363" s="1" t="str">
        <f>VLOOKUP($E363,Fornecedores!$A:$C,3,0)</f>
        <v>Frota</v>
      </c>
      <c r="B363" s="14">
        <v>132</v>
      </c>
      <c r="C363" s="14" t="str">
        <f>IFERROR(VLOOKUP($E363,Fornecedores!$A:$E,4,0),"")</f>
        <v>Manutenção</v>
      </c>
      <c r="D363" s="14" t="str">
        <f>IFERROR(VLOOKUP($E363,Fornecedores!$A:$E,5,0),"")</f>
        <v>Frota Leve OPE</v>
      </c>
      <c r="E363" s="8" t="s">
        <v>125</v>
      </c>
      <c r="F363" s="14" t="s">
        <v>665</v>
      </c>
      <c r="G363" s="8" t="s">
        <v>467</v>
      </c>
      <c r="H363" s="9">
        <v>87</v>
      </c>
      <c r="I363" s="21">
        <v>550</v>
      </c>
      <c r="J363" s="11">
        <v>46241</v>
      </c>
      <c r="K363" s="11">
        <v>46245</v>
      </c>
      <c r="L363" s="8" t="s">
        <v>282</v>
      </c>
      <c r="M363" s="14" t="s">
        <v>234</v>
      </c>
      <c r="N363" s="16">
        <v>1556</v>
      </c>
      <c r="O363" s="14" t="s">
        <v>241</v>
      </c>
      <c r="P363" s="14"/>
      <c r="Q363" s="20">
        <f t="shared" si="5"/>
        <v>0</v>
      </c>
      <c r="S363" s="20">
        <f>SUMIFS('Doc''s Pagos | Rodopar 108'!$J:$J,'Doc''s Pagos | Rodopar 108'!$A:$A,$B363&amp;$E363&amp;$F363&amp;$J363,'Doc''s Pagos | Rodopar 108'!$B:$B,S$1)+SUMIFS('Doc Há Pagar | Rodopar 1015'!$J:$J,'Doc Há Pagar | Rodopar 1015'!$A:$A,$B363&amp;$E363&amp;$F363,'Doc Há Pagar | Rodopar 1015'!$B:$B,S$1)</f>
        <v>0</v>
      </c>
      <c r="T363" s="20">
        <f>SUMIFS('Doc''s Pagos | Rodopar 108'!$J:$J,'Doc''s Pagos | Rodopar 108'!$A:$A,$B363&amp;$E363&amp;$F363&amp;$J363,'Doc''s Pagos | Rodopar 108'!$B:$B,T$1)+SUMIFS('Doc Há Pagar | Rodopar 1015'!$J:$J,'Doc Há Pagar | Rodopar 1015'!$A:$A,$B363&amp;$E363&amp;$F363,'Doc Há Pagar | Rodopar 1015'!$B:$B,T$1)</f>
        <v>0</v>
      </c>
      <c r="U363" s="20">
        <f>SUMIFS('Doc''s Pagos | Rodopar 108'!$J:$J,'Doc''s Pagos | Rodopar 108'!$A:$A,$B363&amp;$E363&amp;$F363&amp;$J363,'Doc''s Pagos | Rodopar 108'!$B:$B,U$1)+SUMIFS('Doc Há Pagar | Rodopar 1015'!$J:$J,'Doc Há Pagar | Rodopar 1015'!$A:$A,$B363&amp;$E363&amp;$F363,'Doc Há Pagar | Rodopar 1015'!$B:$B,U$1)</f>
        <v>0</v>
      </c>
      <c r="V363" s="20">
        <f>SUMIFS('Doc''s Pagos | Rodopar 108'!$J:$J,'Doc''s Pagos | Rodopar 108'!$A:$A,$B363&amp;$E363&amp;$F363&amp;$J363,'Doc''s Pagos | Rodopar 108'!$B:$B,V$1)+SUMIFS('Doc Há Pagar | Rodopar 1015'!$J:$J,'Doc Há Pagar | Rodopar 1015'!$A:$A,$B363&amp;$E363&amp;$F363,'Doc Há Pagar | Rodopar 1015'!$B:$B,V$1)</f>
        <v>0</v>
      </c>
      <c r="W363" s="20">
        <f>SUMIFS('Doc''s Pagos | Rodopar 108'!$J:$J,'Doc''s Pagos | Rodopar 108'!$A:$A,$B363&amp;$E363&amp;$F363&amp;$J363,'Doc''s Pagos | Rodopar 108'!$B:$B,W$1)+SUMIFS('Doc Há Pagar | Rodopar 1015'!$J:$J,'Doc Há Pagar | Rodopar 1015'!$A:$A,$B363&amp;$E363&amp;$F363,'Doc Há Pagar | Rodopar 1015'!$B:$B,W$1)</f>
        <v>0</v>
      </c>
      <c r="X363" s="20">
        <f>SUMIFS('Doc''s Pagos | Rodopar 108'!$J:$J,'Doc''s Pagos | Rodopar 108'!$A:$A,$B363&amp;$E363&amp;$F363&amp;$J363,'Doc''s Pagos | Rodopar 108'!$B:$B,X$1)+SUMIFS('Doc Há Pagar | Rodopar 1015'!$J:$J,'Doc Há Pagar | Rodopar 1015'!$A:$A,$B363&amp;$E363&amp;$F363,'Doc Há Pagar | Rodopar 1015'!$B:$B,X$1)</f>
        <v>0</v>
      </c>
      <c r="Y363" s="20">
        <f>SUMIFS('Doc''s Pagos | Rodopar 108'!$J:$J,'Doc''s Pagos | Rodopar 108'!$A:$A,$B363&amp;$E363&amp;$F363&amp;$J363,'Doc''s Pagos | Rodopar 108'!$B:$B,Y$1)+SUMIFS('Doc Há Pagar | Rodopar 1015'!$J:$J,'Doc Há Pagar | Rodopar 1015'!$A:$A,$B363&amp;$E363&amp;$F363,'Doc Há Pagar | Rodopar 1015'!$B:$B,Y$1)</f>
        <v>0</v>
      </c>
      <c r="Z363" s="20">
        <f>SUMIFS('Doc''s Pagos | Rodopar 108'!$J:$J,'Doc''s Pagos | Rodopar 108'!$A:$A,$B363&amp;$E363&amp;$F363&amp;$J363,'Doc''s Pagos | Rodopar 108'!$B:$B,Z$1)+SUMIFS('Doc Há Pagar | Rodopar 1015'!$J:$J,'Doc Há Pagar | Rodopar 1015'!$A:$A,$B363&amp;$E363&amp;$F363,'Doc Há Pagar | Rodopar 1015'!$B:$B,Z$1)</f>
        <v>0</v>
      </c>
      <c r="AA363" s="20">
        <f>SUMIFS('Doc''s Pagos | Rodopar 108'!$J:$J,'Doc''s Pagos | Rodopar 108'!$A:$A,$B363&amp;$E363&amp;$F363&amp;$J363,'Doc''s Pagos | Rodopar 108'!$B:$B,AA$1)+SUMIFS('Doc Há Pagar | Rodopar 1015'!$J:$J,'Doc Há Pagar | Rodopar 1015'!$A:$A,$B363&amp;$E363&amp;$F363,'Doc Há Pagar | Rodopar 1015'!$B:$B,AA$1)</f>
        <v>550</v>
      </c>
      <c r="AB363" s="20">
        <f>SUMIFS('Doc''s Pagos | Rodopar 108'!$J:$J,'Doc''s Pagos | Rodopar 108'!$A:$A,$B363&amp;$E363&amp;$F363&amp;$J363,'Doc''s Pagos | Rodopar 108'!$B:$B,AB$1)+SUMIFS('Doc Há Pagar | Rodopar 1015'!$J:$J,'Doc Há Pagar | Rodopar 1015'!$A:$A,$B363&amp;$E363&amp;$F363,'Doc Há Pagar | Rodopar 1015'!$B:$B,AB$1)</f>
        <v>0</v>
      </c>
      <c r="AC363" s="20">
        <f>SUMIFS('Doc''s Pagos | Rodopar 108'!$J:$J,'Doc''s Pagos | Rodopar 108'!$A:$A,$B363&amp;$E363&amp;$F363&amp;$J363,'Doc''s Pagos | Rodopar 108'!$B:$B,AC$1)+SUMIFS('Doc Há Pagar | Rodopar 1015'!$J:$J,'Doc Há Pagar | Rodopar 1015'!$A:$A,$B363&amp;$E363&amp;$F363,'Doc Há Pagar | Rodopar 1015'!$B:$B,AC$1)</f>
        <v>0</v>
      </c>
      <c r="AD363" s="20">
        <f>SUMIFS('Doc''s Pagos | Rodopar 108'!$J:$J,'Doc''s Pagos | Rodopar 108'!$A:$A,$B363&amp;$E363&amp;$F363&amp;$J363,'Doc''s Pagos | Rodopar 108'!$B:$B,AD$1)+SUMIFS('Doc Há Pagar | Rodopar 1015'!$J:$J,'Doc Há Pagar | Rodopar 1015'!$A:$A,$B363&amp;$E363&amp;$F363,'Doc Há Pagar | Rodopar 1015'!$B:$B,AD$1)</f>
        <v>0</v>
      </c>
    </row>
    <row r="364" spans="1:30" x14ac:dyDescent="0.25">
      <c r="A364" s="1" t="str">
        <f>VLOOKUP($E364,Fornecedores!$A:$C,3,0)</f>
        <v>Frota</v>
      </c>
      <c r="B364" s="14">
        <v>2</v>
      </c>
      <c r="C364" s="14" t="str">
        <f>IFERROR(VLOOKUP($E364,Fornecedores!$A:$E,4,0),"")</f>
        <v>Pneus</v>
      </c>
      <c r="D364" s="14" t="str">
        <f>IFERROR(VLOOKUP($E364,Fornecedores!$A:$E,5,0),"")</f>
        <v>Serviços Gerais</v>
      </c>
      <c r="E364" s="8" t="s">
        <v>53</v>
      </c>
      <c r="F364" s="14" t="s">
        <v>665</v>
      </c>
      <c r="G364" s="8" t="s">
        <v>666</v>
      </c>
      <c r="H364" s="9">
        <v>87</v>
      </c>
      <c r="I364" s="21">
        <v>530</v>
      </c>
      <c r="J364" s="11">
        <v>46241</v>
      </c>
      <c r="K364" s="11">
        <v>46245</v>
      </c>
      <c r="L364" s="8" t="s">
        <v>282</v>
      </c>
      <c r="M364" s="14" t="s">
        <v>234</v>
      </c>
      <c r="N364" s="16">
        <v>1556</v>
      </c>
      <c r="O364" s="14" t="s">
        <v>241</v>
      </c>
      <c r="P364" s="14"/>
      <c r="Q364" s="20">
        <f t="shared" si="5"/>
        <v>0</v>
      </c>
      <c r="S364" s="20">
        <f>SUMIFS('Doc''s Pagos | Rodopar 108'!$J:$J,'Doc''s Pagos | Rodopar 108'!$A:$A,$B364&amp;$E364&amp;$F364&amp;$J364,'Doc''s Pagos | Rodopar 108'!$B:$B,S$1)+SUMIFS('Doc Há Pagar | Rodopar 1015'!$J:$J,'Doc Há Pagar | Rodopar 1015'!$A:$A,$B364&amp;$E364&amp;$F364,'Doc Há Pagar | Rodopar 1015'!$B:$B,S$1)</f>
        <v>0</v>
      </c>
      <c r="T364" s="20">
        <f>SUMIFS('Doc''s Pagos | Rodopar 108'!$J:$J,'Doc''s Pagos | Rodopar 108'!$A:$A,$B364&amp;$E364&amp;$F364&amp;$J364,'Doc''s Pagos | Rodopar 108'!$B:$B,T$1)+SUMIFS('Doc Há Pagar | Rodopar 1015'!$J:$J,'Doc Há Pagar | Rodopar 1015'!$A:$A,$B364&amp;$E364&amp;$F364,'Doc Há Pagar | Rodopar 1015'!$B:$B,T$1)</f>
        <v>0</v>
      </c>
      <c r="U364" s="20">
        <f>SUMIFS('Doc''s Pagos | Rodopar 108'!$J:$J,'Doc''s Pagos | Rodopar 108'!$A:$A,$B364&amp;$E364&amp;$F364&amp;$J364,'Doc''s Pagos | Rodopar 108'!$B:$B,U$1)+SUMIFS('Doc Há Pagar | Rodopar 1015'!$J:$J,'Doc Há Pagar | Rodopar 1015'!$A:$A,$B364&amp;$E364&amp;$F364,'Doc Há Pagar | Rodopar 1015'!$B:$B,U$1)</f>
        <v>0</v>
      </c>
      <c r="V364" s="20">
        <f>SUMIFS('Doc''s Pagos | Rodopar 108'!$J:$J,'Doc''s Pagos | Rodopar 108'!$A:$A,$B364&amp;$E364&amp;$F364&amp;$J364,'Doc''s Pagos | Rodopar 108'!$B:$B,V$1)+SUMIFS('Doc Há Pagar | Rodopar 1015'!$J:$J,'Doc Há Pagar | Rodopar 1015'!$A:$A,$B364&amp;$E364&amp;$F364,'Doc Há Pagar | Rodopar 1015'!$B:$B,V$1)</f>
        <v>0</v>
      </c>
      <c r="W364" s="20">
        <f>SUMIFS('Doc''s Pagos | Rodopar 108'!$J:$J,'Doc''s Pagos | Rodopar 108'!$A:$A,$B364&amp;$E364&amp;$F364&amp;$J364,'Doc''s Pagos | Rodopar 108'!$B:$B,W$1)+SUMIFS('Doc Há Pagar | Rodopar 1015'!$J:$J,'Doc Há Pagar | Rodopar 1015'!$A:$A,$B364&amp;$E364&amp;$F364,'Doc Há Pagar | Rodopar 1015'!$B:$B,W$1)</f>
        <v>0</v>
      </c>
      <c r="X364" s="20">
        <f>SUMIFS('Doc''s Pagos | Rodopar 108'!$J:$J,'Doc''s Pagos | Rodopar 108'!$A:$A,$B364&amp;$E364&amp;$F364&amp;$J364,'Doc''s Pagos | Rodopar 108'!$B:$B,X$1)+SUMIFS('Doc Há Pagar | Rodopar 1015'!$J:$J,'Doc Há Pagar | Rodopar 1015'!$A:$A,$B364&amp;$E364&amp;$F364,'Doc Há Pagar | Rodopar 1015'!$B:$B,X$1)</f>
        <v>0</v>
      </c>
      <c r="Y364" s="20">
        <f>SUMIFS('Doc''s Pagos | Rodopar 108'!$J:$J,'Doc''s Pagos | Rodopar 108'!$A:$A,$B364&amp;$E364&amp;$F364&amp;$J364,'Doc''s Pagos | Rodopar 108'!$B:$B,Y$1)+SUMIFS('Doc Há Pagar | Rodopar 1015'!$J:$J,'Doc Há Pagar | Rodopar 1015'!$A:$A,$B364&amp;$E364&amp;$F364,'Doc Há Pagar | Rodopar 1015'!$B:$B,Y$1)</f>
        <v>0</v>
      </c>
      <c r="Z364" s="20">
        <f>SUMIFS('Doc''s Pagos | Rodopar 108'!$J:$J,'Doc''s Pagos | Rodopar 108'!$A:$A,$B364&amp;$E364&amp;$F364&amp;$J364,'Doc''s Pagos | Rodopar 108'!$B:$B,Z$1)+SUMIFS('Doc Há Pagar | Rodopar 1015'!$J:$J,'Doc Há Pagar | Rodopar 1015'!$A:$A,$B364&amp;$E364&amp;$F364,'Doc Há Pagar | Rodopar 1015'!$B:$B,Z$1)</f>
        <v>0</v>
      </c>
      <c r="AA364" s="20">
        <f>SUMIFS('Doc''s Pagos | Rodopar 108'!$J:$J,'Doc''s Pagos | Rodopar 108'!$A:$A,$B364&amp;$E364&amp;$F364&amp;$J364,'Doc''s Pagos | Rodopar 108'!$B:$B,AA$1)+SUMIFS('Doc Há Pagar | Rodopar 1015'!$J:$J,'Doc Há Pagar | Rodopar 1015'!$A:$A,$B364&amp;$E364&amp;$F364,'Doc Há Pagar | Rodopar 1015'!$B:$B,AA$1)</f>
        <v>530</v>
      </c>
      <c r="AB364" s="20">
        <f>SUMIFS('Doc''s Pagos | Rodopar 108'!$J:$J,'Doc''s Pagos | Rodopar 108'!$A:$A,$B364&amp;$E364&amp;$F364&amp;$J364,'Doc''s Pagos | Rodopar 108'!$B:$B,AB$1)+SUMIFS('Doc Há Pagar | Rodopar 1015'!$J:$J,'Doc Há Pagar | Rodopar 1015'!$A:$A,$B364&amp;$E364&amp;$F364,'Doc Há Pagar | Rodopar 1015'!$B:$B,AB$1)</f>
        <v>0</v>
      </c>
      <c r="AC364" s="20">
        <f>SUMIFS('Doc''s Pagos | Rodopar 108'!$J:$J,'Doc''s Pagos | Rodopar 108'!$A:$A,$B364&amp;$E364&amp;$F364&amp;$J364,'Doc''s Pagos | Rodopar 108'!$B:$B,AC$1)+SUMIFS('Doc Há Pagar | Rodopar 1015'!$J:$J,'Doc Há Pagar | Rodopar 1015'!$A:$A,$B364&amp;$E364&amp;$F364,'Doc Há Pagar | Rodopar 1015'!$B:$B,AC$1)</f>
        <v>0</v>
      </c>
      <c r="AD364" s="20">
        <f>SUMIFS('Doc''s Pagos | Rodopar 108'!$J:$J,'Doc''s Pagos | Rodopar 108'!$A:$A,$B364&amp;$E364&amp;$F364&amp;$J364,'Doc''s Pagos | Rodopar 108'!$B:$B,AD$1)+SUMIFS('Doc Há Pagar | Rodopar 1015'!$J:$J,'Doc Há Pagar | Rodopar 1015'!$A:$A,$B364&amp;$E364&amp;$F364,'Doc Há Pagar | Rodopar 1015'!$B:$B,AD$1)</f>
        <v>0</v>
      </c>
    </row>
    <row r="365" spans="1:30" x14ac:dyDescent="0.25">
      <c r="A365" s="1" t="str">
        <f>VLOOKUP($E365,Fornecedores!$A:$C,3,0)</f>
        <v>Frota</v>
      </c>
      <c r="B365" s="14">
        <v>3393</v>
      </c>
      <c r="C365" s="14" t="str">
        <f>IFERROR(VLOOKUP($E365,Fornecedores!$A:$E,4,0),"")</f>
        <v>Segurança</v>
      </c>
      <c r="D365" s="14" t="str">
        <f>IFERROR(VLOOKUP($E365,Fornecedores!$A:$E,5,0),"")</f>
        <v>Extintores</v>
      </c>
      <c r="E365" s="8" t="s">
        <v>21</v>
      </c>
      <c r="F365" s="14" t="s">
        <v>665</v>
      </c>
      <c r="G365" s="8" t="s">
        <v>637</v>
      </c>
      <c r="H365" s="9">
        <v>87</v>
      </c>
      <c r="I365" s="21">
        <v>162</v>
      </c>
      <c r="J365" s="11">
        <v>46241</v>
      </c>
      <c r="K365" s="11">
        <v>46245</v>
      </c>
      <c r="L365" s="8" t="s">
        <v>233</v>
      </c>
      <c r="M365" s="14" t="s">
        <v>234</v>
      </c>
      <c r="N365" s="16">
        <v>1556</v>
      </c>
      <c r="O365" s="14" t="s">
        <v>241</v>
      </c>
      <c r="P365" s="14"/>
      <c r="Q365" s="20">
        <f t="shared" si="5"/>
        <v>0</v>
      </c>
      <c r="S365" s="20">
        <f>SUMIFS('Doc''s Pagos | Rodopar 108'!$J:$J,'Doc''s Pagos | Rodopar 108'!$A:$A,$B365&amp;$E365&amp;$F365&amp;$J365,'Doc''s Pagos | Rodopar 108'!$B:$B,S$1)+SUMIFS('Doc Há Pagar | Rodopar 1015'!$J:$J,'Doc Há Pagar | Rodopar 1015'!$A:$A,$B365&amp;$E365&amp;$F365,'Doc Há Pagar | Rodopar 1015'!$B:$B,S$1)</f>
        <v>0</v>
      </c>
      <c r="T365" s="20">
        <f>SUMIFS('Doc''s Pagos | Rodopar 108'!$J:$J,'Doc''s Pagos | Rodopar 108'!$A:$A,$B365&amp;$E365&amp;$F365&amp;$J365,'Doc''s Pagos | Rodopar 108'!$B:$B,T$1)+SUMIFS('Doc Há Pagar | Rodopar 1015'!$J:$J,'Doc Há Pagar | Rodopar 1015'!$A:$A,$B365&amp;$E365&amp;$F365,'Doc Há Pagar | Rodopar 1015'!$B:$B,T$1)</f>
        <v>0</v>
      </c>
      <c r="U365" s="20">
        <f>SUMIFS('Doc''s Pagos | Rodopar 108'!$J:$J,'Doc''s Pagos | Rodopar 108'!$A:$A,$B365&amp;$E365&amp;$F365&amp;$J365,'Doc''s Pagos | Rodopar 108'!$B:$B,U$1)+SUMIFS('Doc Há Pagar | Rodopar 1015'!$J:$J,'Doc Há Pagar | Rodopar 1015'!$A:$A,$B365&amp;$E365&amp;$F365,'Doc Há Pagar | Rodopar 1015'!$B:$B,U$1)</f>
        <v>0</v>
      </c>
      <c r="V365" s="20">
        <f>SUMIFS('Doc''s Pagos | Rodopar 108'!$J:$J,'Doc''s Pagos | Rodopar 108'!$A:$A,$B365&amp;$E365&amp;$F365&amp;$J365,'Doc''s Pagos | Rodopar 108'!$B:$B,V$1)+SUMIFS('Doc Há Pagar | Rodopar 1015'!$J:$J,'Doc Há Pagar | Rodopar 1015'!$A:$A,$B365&amp;$E365&amp;$F365,'Doc Há Pagar | Rodopar 1015'!$B:$B,V$1)</f>
        <v>0</v>
      </c>
      <c r="W365" s="20">
        <f>SUMIFS('Doc''s Pagos | Rodopar 108'!$J:$J,'Doc''s Pagos | Rodopar 108'!$A:$A,$B365&amp;$E365&amp;$F365&amp;$J365,'Doc''s Pagos | Rodopar 108'!$B:$B,W$1)+SUMIFS('Doc Há Pagar | Rodopar 1015'!$J:$J,'Doc Há Pagar | Rodopar 1015'!$A:$A,$B365&amp;$E365&amp;$F365,'Doc Há Pagar | Rodopar 1015'!$B:$B,W$1)</f>
        <v>0</v>
      </c>
      <c r="X365" s="20">
        <f>SUMIFS('Doc''s Pagos | Rodopar 108'!$J:$J,'Doc''s Pagos | Rodopar 108'!$A:$A,$B365&amp;$E365&amp;$F365&amp;$J365,'Doc''s Pagos | Rodopar 108'!$B:$B,X$1)+SUMIFS('Doc Há Pagar | Rodopar 1015'!$J:$J,'Doc Há Pagar | Rodopar 1015'!$A:$A,$B365&amp;$E365&amp;$F365,'Doc Há Pagar | Rodopar 1015'!$B:$B,X$1)</f>
        <v>0</v>
      </c>
      <c r="Y365" s="20">
        <f>SUMIFS('Doc''s Pagos | Rodopar 108'!$J:$J,'Doc''s Pagos | Rodopar 108'!$A:$A,$B365&amp;$E365&amp;$F365&amp;$J365,'Doc''s Pagos | Rodopar 108'!$B:$B,Y$1)+SUMIFS('Doc Há Pagar | Rodopar 1015'!$J:$J,'Doc Há Pagar | Rodopar 1015'!$A:$A,$B365&amp;$E365&amp;$F365,'Doc Há Pagar | Rodopar 1015'!$B:$B,Y$1)</f>
        <v>0</v>
      </c>
      <c r="Z365" s="20">
        <f>SUMIFS('Doc''s Pagos | Rodopar 108'!$J:$J,'Doc''s Pagos | Rodopar 108'!$A:$A,$B365&amp;$E365&amp;$F365&amp;$J365,'Doc''s Pagos | Rodopar 108'!$B:$B,Z$1)+SUMIFS('Doc Há Pagar | Rodopar 1015'!$J:$J,'Doc Há Pagar | Rodopar 1015'!$A:$A,$B365&amp;$E365&amp;$F365,'Doc Há Pagar | Rodopar 1015'!$B:$B,Z$1)</f>
        <v>0</v>
      </c>
      <c r="AA365" s="20">
        <f>SUMIFS('Doc''s Pagos | Rodopar 108'!$J:$J,'Doc''s Pagos | Rodopar 108'!$A:$A,$B365&amp;$E365&amp;$F365&amp;$J365,'Doc''s Pagos | Rodopar 108'!$B:$B,AA$1)+SUMIFS('Doc Há Pagar | Rodopar 1015'!$J:$J,'Doc Há Pagar | Rodopar 1015'!$A:$A,$B365&amp;$E365&amp;$F365,'Doc Há Pagar | Rodopar 1015'!$B:$B,AA$1)</f>
        <v>162</v>
      </c>
      <c r="AB365" s="20">
        <f>SUMIFS('Doc''s Pagos | Rodopar 108'!$J:$J,'Doc''s Pagos | Rodopar 108'!$A:$A,$B365&amp;$E365&amp;$F365&amp;$J365,'Doc''s Pagos | Rodopar 108'!$B:$B,AB$1)+SUMIFS('Doc Há Pagar | Rodopar 1015'!$J:$J,'Doc Há Pagar | Rodopar 1015'!$A:$A,$B365&amp;$E365&amp;$F365,'Doc Há Pagar | Rodopar 1015'!$B:$B,AB$1)</f>
        <v>0</v>
      </c>
      <c r="AC365" s="20">
        <f>SUMIFS('Doc''s Pagos | Rodopar 108'!$J:$J,'Doc''s Pagos | Rodopar 108'!$A:$A,$B365&amp;$E365&amp;$F365&amp;$J365,'Doc''s Pagos | Rodopar 108'!$B:$B,AC$1)+SUMIFS('Doc Há Pagar | Rodopar 1015'!$J:$J,'Doc Há Pagar | Rodopar 1015'!$A:$A,$B365&amp;$E365&amp;$F365,'Doc Há Pagar | Rodopar 1015'!$B:$B,AC$1)</f>
        <v>0</v>
      </c>
      <c r="AD365" s="20">
        <f>SUMIFS('Doc''s Pagos | Rodopar 108'!$J:$J,'Doc''s Pagos | Rodopar 108'!$A:$A,$B365&amp;$E365&amp;$F365&amp;$J365,'Doc''s Pagos | Rodopar 108'!$B:$B,AD$1)+SUMIFS('Doc Há Pagar | Rodopar 1015'!$J:$J,'Doc Há Pagar | Rodopar 1015'!$A:$A,$B365&amp;$E365&amp;$F365,'Doc Há Pagar | Rodopar 1015'!$B:$B,AD$1)</f>
        <v>0</v>
      </c>
    </row>
    <row r="366" spans="1:30" x14ac:dyDescent="0.25">
      <c r="A366" s="1" t="str">
        <f>VLOOKUP($E366,Fornecedores!$A:$C,3,0)</f>
        <v>Frota</v>
      </c>
      <c r="B366" s="14">
        <v>3596</v>
      </c>
      <c r="C366" s="14" t="str">
        <f>IFERROR(VLOOKUP($E366,Fornecedores!$A:$E,4,0),"")</f>
        <v>Pneus</v>
      </c>
      <c r="D366" s="14" t="str">
        <f>IFERROR(VLOOKUP($E366,Fornecedores!$A:$E,5,0),"")</f>
        <v>Tecnologia</v>
      </c>
      <c r="E366" s="8" t="s">
        <v>145</v>
      </c>
      <c r="F366" s="14" t="s">
        <v>665</v>
      </c>
      <c r="G366" s="8" t="s">
        <v>644</v>
      </c>
      <c r="H366" s="9">
        <v>87</v>
      </c>
      <c r="I366" s="21">
        <v>936.1</v>
      </c>
      <c r="J366" s="11">
        <v>46241</v>
      </c>
      <c r="K366" s="11">
        <v>46241</v>
      </c>
      <c r="L366" s="8" t="s">
        <v>339</v>
      </c>
      <c r="M366" s="14" t="s">
        <v>263</v>
      </c>
      <c r="N366" s="16">
        <v>2949</v>
      </c>
      <c r="O366" s="14" t="s">
        <v>512</v>
      </c>
      <c r="P366" s="14"/>
      <c r="Q366" s="20">
        <f t="shared" si="5"/>
        <v>0</v>
      </c>
      <c r="S366" s="20">
        <f>SUMIFS('Doc''s Pagos | Rodopar 108'!$J:$J,'Doc''s Pagos | Rodopar 108'!$A:$A,$B366&amp;$E366&amp;$F366&amp;$J366,'Doc''s Pagos | Rodopar 108'!$B:$B,S$1)+SUMIFS('Doc Há Pagar | Rodopar 1015'!$J:$J,'Doc Há Pagar | Rodopar 1015'!$A:$A,$B366&amp;$E366&amp;$F366,'Doc Há Pagar | Rodopar 1015'!$B:$B,S$1)</f>
        <v>0</v>
      </c>
      <c r="T366" s="20">
        <f>SUMIFS('Doc''s Pagos | Rodopar 108'!$J:$J,'Doc''s Pagos | Rodopar 108'!$A:$A,$B366&amp;$E366&amp;$F366&amp;$J366,'Doc''s Pagos | Rodopar 108'!$B:$B,T$1)+SUMIFS('Doc Há Pagar | Rodopar 1015'!$J:$J,'Doc Há Pagar | Rodopar 1015'!$A:$A,$B366&amp;$E366&amp;$F366,'Doc Há Pagar | Rodopar 1015'!$B:$B,T$1)</f>
        <v>0</v>
      </c>
      <c r="U366" s="20">
        <f>SUMIFS('Doc''s Pagos | Rodopar 108'!$J:$J,'Doc''s Pagos | Rodopar 108'!$A:$A,$B366&amp;$E366&amp;$F366&amp;$J366,'Doc''s Pagos | Rodopar 108'!$B:$B,U$1)+SUMIFS('Doc Há Pagar | Rodopar 1015'!$J:$J,'Doc Há Pagar | Rodopar 1015'!$A:$A,$B366&amp;$E366&amp;$F366,'Doc Há Pagar | Rodopar 1015'!$B:$B,U$1)</f>
        <v>0</v>
      </c>
      <c r="V366" s="20">
        <f>SUMIFS('Doc''s Pagos | Rodopar 108'!$J:$J,'Doc''s Pagos | Rodopar 108'!$A:$A,$B366&amp;$E366&amp;$F366&amp;$J366,'Doc''s Pagos | Rodopar 108'!$B:$B,V$1)+SUMIFS('Doc Há Pagar | Rodopar 1015'!$J:$J,'Doc Há Pagar | Rodopar 1015'!$A:$A,$B366&amp;$E366&amp;$F366,'Doc Há Pagar | Rodopar 1015'!$B:$B,V$1)</f>
        <v>0</v>
      </c>
      <c r="W366" s="20">
        <f>SUMIFS('Doc''s Pagos | Rodopar 108'!$J:$J,'Doc''s Pagos | Rodopar 108'!$A:$A,$B366&amp;$E366&amp;$F366&amp;$J366,'Doc''s Pagos | Rodopar 108'!$B:$B,W$1)+SUMIFS('Doc Há Pagar | Rodopar 1015'!$J:$J,'Doc Há Pagar | Rodopar 1015'!$A:$A,$B366&amp;$E366&amp;$F366,'Doc Há Pagar | Rodopar 1015'!$B:$B,W$1)</f>
        <v>0</v>
      </c>
      <c r="X366" s="20">
        <f>SUMIFS('Doc''s Pagos | Rodopar 108'!$J:$J,'Doc''s Pagos | Rodopar 108'!$A:$A,$B366&amp;$E366&amp;$F366&amp;$J366,'Doc''s Pagos | Rodopar 108'!$B:$B,X$1)+SUMIFS('Doc Há Pagar | Rodopar 1015'!$J:$J,'Doc Há Pagar | Rodopar 1015'!$A:$A,$B366&amp;$E366&amp;$F366,'Doc Há Pagar | Rodopar 1015'!$B:$B,X$1)</f>
        <v>0</v>
      </c>
      <c r="Y366" s="20">
        <f>SUMIFS('Doc''s Pagos | Rodopar 108'!$J:$J,'Doc''s Pagos | Rodopar 108'!$A:$A,$B366&amp;$E366&amp;$F366&amp;$J366,'Doc''s Pagos | Rodopar 108'!$B:$B,Y$1)+SUMIFS('Doc Há Pagar | Rodopar 1015'!$J:$J,'Doc Há Pagar | Rodopar 1015'!$A:$A,$B366&amp;$E366&amp;$F366,'Doc Há Pagar | Rodopar 1015'!$B:$B,Y$1)</f>
        <v>0</v>
      </c>
      <c r="Z366" s="20">
        <f>SUMIFS('Doc''s Pagos | Rodopar 108'!$J:$J,'Doc''s Pagos | Rodopar 108'!$A:$A,$B366&amp;$E366&amp;$F366&amp;$J366,'Doc''s Pagos | Rodopar 108'!$B:$B,Z$1)+SUMIFS('Doc Há Pagar | Rodopar 1015'!$J:$J,'Doc Há Pagar | Rodopar 1015'!$A:$A,$B366&amp;$E366&amp;$F366,'Doc Há Pagar | Rodopar 1015'!$B:$B,Z$1)</f>
        <v>0</v>
      </c>
      <c r="AA366" s="20">
        <f>SUMIFS('Doc''s Pagos | Rodopar 108'!$J:$J,'Doc''s Pagos | Rodopar 108'!$A:$A,$B366&amp;$E366&amp;$F366&amp;$J366,'Doc''s Pagos | Rodopar 108'!$B:$B,AA$1)+SUMIFS('Doc Há Pagar | Rodopar 1015'!$J:$J,'Doc Há Pagar | Rodopar 1015'!$A:$A,$B366&amp;$E366&amp;$F366,'Doc Há Pagar | Rodopar 1015'!$B:$B,AA$1)</f>
        <v>936.1</v>
      </c>
      <c r="AB366" s="20">
        <f>SUMIFS('Doc''s Pagos | Rodopar 108'!$J:$J,'Doc''s Pagos | Rodopar 108'!$A:$A,$B366&amp;$E366&amp;$F366&amp;$J366,'Doc''s Pagos | Rodopar 108'!$B:$B,AB$1)+SUMIFS('Doc Há Pagar | Rodopar 1015'!$J:$J,'Doc Há Pagar | Rodopar 1015'!$A:$A,$B366&amp;$E366&amp;$F366,'Doc Há Pagar | Rodopar 1015'!$B:$B,AB$1)</f>
        <v>0</v>
      </c>
      <c r="AC366" s="20">
        <f>SUMIFS('Doc''s Pagos | Rodopar 108'!$J:$J,'Doc''s Pagos | Rodopar 108'!$A:$A,$B366&amp;$E366&amp;$F366&amp;$J366,'Doc''s Pagos | Rodopar 108'!$B:$B,AC$1)+SUMIFS('Doc Há Pagar | Rodopar 1015'!$J:$J,'Doc Há Pagar | Rodopar 1015'!$A:$A,$B366&amp;$E366&amp;$F366,'Doc Há Pagar | Rodopar 1015'!$B:$B,AC$1)</f>
        <v>0</v>
      </c>
      <c r="AD366" s="20">
        <f>SUMIFS('Doc''s Pagos | Rodopar 108'!$J:$J,'Doc''s Pagos | Rodopar 108'!$A:$A,$B366&amp;$E366&amp;$F366&amp;$J366,'Doc''s Pagos | Rodopar 108'!$B:$B,AD$1)+SUMIFS('Doc Há Pagar | Rodopar 1015'!$J:$J,'Doc Há Pagar | Rodopar 1015'!$A:$A,$B366&amp;$E366&amp;$F366,'Doc Há Pagar | Rodopar 1015'!$B:$B,AD$1)</f>
        <v>0</v>
      </c>
    </row>
    <row r="367" spans="1:30" x14ac:dyDescent="0.25">
      <c r="A367" s="1" t="str">
        <f>VLOOKUP($E367,Fornecedores!$A:$C,3,0)</f>
        <v>Frota</v>
      </c>
      <c r="B367" s="14">
        <v>57</v>
      </c>
      <c r="C367" s="14" t="str">
        <f>IFERROR(VLOOKUP($E367,Fornecedores!$A:$E,4,0),"")</f>
        <v>Lavagem</v>
      </c>
      <c r="D367" s="14" t="str">
        <f>IFERROR(VLOOKUP($E367,Fornecedores!$A:$E,5,0),"")</f>
        <v>Lavagem</v>
      </c>
      <c r="E367" s="8" t="s">
        <v>44</v>
      </c>
      <c r="F367" s="14" t="s">
        <v>665</v>
      </c>
      <c r="G367" s="8" t="s">
        <v>899</v>
      </c>
      <c r="H367" s="9">
        <v>87</v>
      </c>
      <c r="I367" s="21">
        <v>310</v>
      </c>
      <c r="J367" s="11">
        <v>46241</v>
      </c>
      <c r="K367" s="11">
        <v>46245</v>
      </c>
      <c r="L367" s="8" t="s">
        <v>435</v>
      </c>
      <c r="M367" s="14" t="s">
        <v>234</v>
      </c>
      <c r="N367" s="16">
        <v>1556</v>
      </c>
      <c r="O367" s="14" t="s">
        <v>241</v>
      </c>
      <c r="P367" s="14"/>
      <c r="Q367" s="20">
        <f t="shared" si="5"/>
        <v>0</v>
      </c>
      <c r="S367" s="20">
        <f>SUMIFS('Doc''s Pagos | Rodopar 108'!$J:$J,'Doc''s Pagos | Rodopar 108'!$A:$A,$B367&amp;$E367&amp;$F367&amp;$J367,'Doc''s Pagos | Rodopar 108'!$B:$B,S$1)+SUMIFS('Doc Há Pagar | Rodopar 1015'!$J:$J,'Doc Há Pagar | Rodopar 1015'!$A:$A,$B367&amp;$E367&amp;$F367,'Doc Há Pagar | Rodopar 1015'!$B:$B,S$1)</f>
        <v>0</v>
      </c>
      <c r="T367" s="20">
        <f>SUMIFS('Doc''s Pagos | Rodopar 108'!$J:$J,'Doc''s Pagos | Rodopar 108'!$A:$A,$B367&amp;$E367&amp;$F367&amp;$J367,'Doc''s Pagos | Rodopar 108'!$B:$B,T$1)+SUMIFS('Doc Há Pagar | Rodopar 1015'!$J:$J,'Doc Há Pagar | Rodopar 1015'!$A:$A,$B367&amp;$E367&amp;$F367,'Doc Há Pagar | Rodopar 1015'!$B:$B,T$1)</f>
        <v>0</v>
      </c>
      <c r="U367" s="20">
        <f>SUMIFS('Doc''s Pagos | Rodopar 108'!$J:$J,'Doc''s Pagos | Rodopar 108'!$A:$A,$B367&amp;$E367&amp;$F367&amp;$J367,'Doc''s Pagos | Rodopar 108'!$B:$B,U$1)+SUMIFS('Doc Há Pagar | Rodopar 1015'!$J:$J,'Doc Há Pagar | Rodopar 1015'!$A:$A,$B367&amp;$E367&amp;$F367,'Doc Há Pagar | Rodopar 1015'!$B:$B,U$1)</f>
        <v>0</v>
      </c>
      <c r="V367" s="20">
        <f>SUMIFS('Doc''s Pagos | Rodopar 108'!$J:$J,'Doc''s Pagos | Rodopar 108'!$A:$A,$B367&amp;$E367&amp;$F367&amp;$J367,'Doc''s Pagos | Rodopar 108'!$B:$B,V$1)+SUMIFS('Doc Há Pagar | Rodopar 1015'!$J:$J,'Doc Há Pagar | Rodopar 1015'!$A:$A,$B367&amp;$E367&amp;$F367,'Doc Há Pagar | Rodopar 1015'!$B:$B,V$1)</f>
        <v>0</v>
      </c>
      <c r="W367" s="20">
        <f>SUMIFS('Doc''s Pagos | Rodopar 108'!$J:$J,'Doc''s Pagos | Rodopar 108'!$A:$A,$B367&amp;$E367&amp;$F367&amp;$J367,'Doc''s Pagos | Rodopar 108'!$B:$B,W$1)+SUMIFS('Doc Há Pagar | Rodopar 1015'!$J:$J,'Doc Há Pagar | Rodopar 1015'!$A:$A,$B367&amp;$E367&amp;$F367,'Doc Há Pagar | Rodopar 1015'!$B:$B,W$1)</f>
        <v>0</v>
      </c>
      <c r="X367" s="20">
        <f>SUMIFS('Doc''s Pagos | Rodopar 108'!$J:$J,'Doc''s Pagos | Rodopar 108'!$A:$A,$B367&amp;$E367&amp;$F367&amp;$J367,'Doc''s Pagos | Rodopar 108'!$B:$B,X$1)+SUMIFS('Doc Há Pagar | Rodopar 1015'!$J:$J,'Doc Há Pagar | Rodopar 1015'!$A:$A,$B367&amp;$E367&amp;$F367,'Doc Há Pagar | Rodopar 1015'!$B:$B,X$1)</f>
        <v>0</v>
      </c>
      <c r="Y367" s="20">
        <f>SUMIFS('Doc''s Pagos | Rodopar 108'!$J:$J,'Doc''s Pagos | Rodopar 108'!$A:$A,$B367&amp;$E367&amp;$F367&amp;$J367,'Doc''s Pagos | Rodopar 108'!$B:$B,Y$1)+SUMIFS('Doc Há Pagar | Rodopar 1015'!$J:$J,'Doc Há Pagar | Rodopar 1015'!$A:$A,$B367&amp;$E367&amp;$F367,'Doc Há Pagar | Rodopar 1015'!$B:$B,Y$1)</f>
        <v>0</v>
      </c>
      <c r="Z367" s="20">
        <f>SUMIFS('Doc''s Pagos | Rodopar 108'!$J:$J,'Doc''s Pagos | Rodopar 108'!$A:$A,$B367&amp;$E367&amp;$F367&amp;$J367,'Doc''s Pagos | Rodopar 108'!$B:$B,Z$1)+SUMIFS('Doc Há Pagar | Rodopar 1015'!$J:$J,'Doc Há Pagar | Rodopar 1015'!$A:$A,$B367&amp;$E367&amp;$F367,'Doc Há Pagar | Rodopar 1015'!$B:$B,Z$1)</f>
        <v>0</v>
      </c>
      <c r="AA367" s="20">
        <f>SUMIFS('Doc''s Pagos | Rodopar 108'!$J:$J,'Doc''s Pagos | Rodopar 108'!$A:$A,$B367&amp;$E367&amp;$F367&amp;$J367,'Doc''s Pagos | Rodopar 108'!$B:$B,AA$1)+SUMIFS('Doc Há Pagar | Rodopar 1015'!$J:$J,'Doc Há Pagar | Rodopar 1015'!$A:$A,$B367&amp;$E367&amp;$F367,'Doc Há Pagar | Rodopar 1015'!$B:$B,AA$1)</f>
        <v>310</v>
      </c>
      <c r="AB367" s="20">
        <f>SUMIFS('Doc''s Pagos | Rodopar 108'!$J:$J,'Doc''s Pagos | Rodopar 108'!$A:$A,$B367&amp;$E367&amp;$F367&amp;$J367,'Doc''s Pagos | Rodopar 108'!$B:$B,AB$1)+SUMIFS('Doc Há Pagar | Rodopar 1015'!$J:$J,'Doc Há Pagar | Rodopar 1015'!$A:$A,$B367&amp;$E367&amp;$F367,'Doc Há Pagar | Rodopar 1015'!$B:$B,AB$1)</f>
        <v>0</v>
      </c>
      <c r="AC367" s="20">
        <f>SUMIFS('Doc''s Pagos | Rodopar 108'!$J:$J,'Doc''s Pagos | Rodopar 108'!$A:$A,$B367&amp;$E367&amp;$F367&amp;$J367,'Doc''s Pagos | Rodopar 108'!$B:$B,AC$1)+SUMIFS('Doc Há Pagar | Rodopar 1015'!$J:$J,'Doc Há Pagar | Rodopar 1015'!$A:$A,$B367&amp;$E367&amp;$F367,'Doc Há Pagar | Rodopar 1015'!$B:$B,AC$1)</f>
        <v>0</v>
      </c>
      <c r="AD367" s="20">
        <f>SUMIFS('Doc''s Pagos | Rodopar 108'!$J:$J,'Doc''s Pagos | Rodopar 108'!$A:$A,$B367&amp;$E367&amp;$F367&amp;$J367,'Doc''s Pagos | Rodopar 108'!$B:$B,AD$1)+SUMIFS('Doc Há Pagar | Rodopar 1015'!$J:$J,'Doc Há Pagar | Rodopar 1015'!$A:$A,$B367&amp;$E367&amp;$F367,'Doc Há Pagar | Rodopar 1015'!$B:$B,AD$1)</f>
        <v>0</v>
      </c>
    </row>
    <row r="368" spans="1:30" x14ac:dyDescent="0.25">
      <c r="A368" s="1" t="str">
        <f>VLOOKUP($E368,Fornecedores!$A:$C,3,0)</f>
        <v>Frota</v>
      </c>
      <c r="B368" s="14">
        <v>901</v>
      </c>
      <c r="C368" s="14" t="str">
        <f>IFERROR(VLOOKUP($E368,Fornecedores!$A:$E,4,0),"")</f>
        <v>Lavagem</v>
      </c>
      <c r="D368" s="14" t="str">
        <f>IFERROR(VLOOKUP($E368,Fornecedores!$A:$E,5,0),"")</f>
        <v>Lavagem</v>
      </c>
      <c r="E368" s="8" t="s">
        <v>22</v>
      </c>
      <c r="F368" s="14" t="s">
        <v>665</v>
      </c>
      <c r="G368" s="8" t="s">
        <v>941</v>
      </c>
      <c r="H368" s="9">
        <v>87</v>
      </c>
      <c r="I368" s="21">
        <v>320</v>
      </c>
      <c r="J368" s="11">
        <v>46241</v>
      </c>
      <c r="K368" s="11">
        <v>46245</v>
      </c>
      <c r="L368" s="8" t="s">
        <v>282</v>
      </c>
      <c r="M368" s="14" t="s">
        <v>234</v>
      </c>
      <c r="N368" s="16">
        <v>1556</v>
      </c>
      <c r="O368" s="14" t="s">
        <v>241</v>
      </c>
      <c r="P368" s="14"/>
      <c r="Q368" s="20">
        <f t="shared" si="5"/>
        <v>0</v>
      </c>
      <c r="S368" s="20">
        <f>SUMIFS('Doc''s Pagos | Rodopar 108'!$J:$J,'Doc''s Pagos | Rodopar 108'!$A:$A,$B368&amp;$E368&amp;$F368&amp;$J368,'Doc''s Pagos | Rodopar 108'!$B:$B,S$1)+SUMIFS('Doc Há Pagar | Rodopar 1015'!$J:$J,'Doc Há Pagar | Rodopar 1015'!$A:$A,$B368&amp;$E368&amp;$F368,'Doc Há Pagar | Rodopar 1015'!$B:$B,S$1)</f>
        <v>0</v>
      </c>
      <c r="T368" s="20">
        <f>SUMIFS('Doc''s Pagos | Rodopar 108'!$J:$J,'Doc''s Pagos | Rodopar 108'!$A:$A,$B368&amp;$E368&amp;$F368&amp;$J368,'Doc''s Pagos | Rodopar 108'!$B:$B,T$1)+SUMIFS('Doc Há Pagar | Rodopar 1015'!$J:$J,'Doc Há Pagar | Rodopar 1015'!$A:$A,$B368&amp;$E368&amp;$F368,'Doc Há Pagar | Rodopar 1015'!$B:$B,T$1)</f>
        <v>0</v>
      </c>
      <c r="U368" s="20">
        <f>SUMIFS('Doc''s Pagos | Rodopar 108'!$J:$J,'Doc''s Pagos | Rodopar 108'!$A:$A,$B368&amp;$E368&amp;$F368&amp;$J368,'Doc''s Pagos | Rodopar 108'!$B:$B,U$1)+SUMIFS('Doc Há Pagar | Rodopar 1015'!$J:$J,'Doc Há Pagar | Rodopar 1015'!$A:$A,$B368&amp;$E368&amp;$F368,'Doc Há Pagar | Rodopar 1015'!$B:$B,U$1)</f>
        <v>0</v>
      </c>
      <c r="V368" s="20">
        <f>SUMIFS('Doc''s Pagos | Rodopar 108'!$J:$J,'Doc''s Pagos | Rodopar 108'!$A:$A,$B368&amp;$E368&amp;$F368&amp;$J368,'Doc''s Pagos | Rodopar 108'!$B:$B,V$1)+SUMIFS('Doc Há Pagar | Rodopar 1015'!$J:$J,'Doc Há Pagar | Rodopar 1015'!$A:$A,$B368&amp;$E368&amp;$F368,'Doc Há Pagar | Rodopar 1015'!$B:$B,V$1)</f>
        <v>0</v>
      </c>
      <c r="W368" s="20">
        <f>SUMIFS('Doc''s Pagos | Rodopar 108'!$J:$J,'Doc''s Pagos | Rodopar 108'!$A:$A,$B368&amp;$E368&amp;$F368&amp;$J368,'Doc''s Pagos | Rodopar 108'!$B:$B,W$1)+SUMIFS('Doc Há Pagar | Rodopar 1015'!$J:$J,'Doc Há Pagar | Rodopar 1015'!$A:$A,$B368&amp;$E368&amp;$F368,'Doc Há Pagar | Rodopar 1015'!$B:$B,W$1)</f>
        <v>0</v>
      </c>
      <c r="X368" s="20">
        <f>SUMIFS('Doc''s Pagos | Rodopar 108'!$J:$J,'Doc''s Pagos | Rodopar 108'!$A:$A,$B368&amp;$E368&amp;$F368&amp;$J368,'Doc''s Pagos | Rodopar 108'!$B:$B,X$1)+SUMIFS('Doc Há Pagar | Rodopar 1015'!$J:$J,'Doc Há Pagar | Rodopar 1015'!$A:$A,$B368&amp;$E368&amp;$F368,'Doc Há Pagar | Rodopar 1015'!$B:$B,X$1)</f>
        <v>0</v>
      </c>
      <c r="Y368" s="20">
        <f>SUMIFS('Doc''s Pagos | Rodopar 108'!$J:$J,'Doc''s Pagos | Rodopar 108'!$A:$A,$B368&amp;$E368&amp;$F368&amp;$J368,'Doc''s Pagos | Rodopar 108'!$B:$B,Y$1)+SUMIFS('Doc Há Pagar | Rodopar 1015'!$J:$J,'Doc Há Pagar | Rodopar 1015'!$A:$A,$B368&amp;$E368&amp;$F368,'Doc Há Pagar | Rodopar 1015'!$B:$B,Y$1)</f>
        <v>0</v>
      </c>
      <c r="Z368" s="20">
        <f>SUMIFS('Doc''s Pagos | Rodopar 108'!$J:$J,'Doc''s Pagos | Rodopar 108'!$A:$A,$B368&amp;$E368&amp;$F368&amp;$J368,'Doc''s Pagos | Rodopar 108'!$B:$B,Z$1)+SUMIFS('Doc Há Pagar | Rodopar 1015'!$J:$J,'Doc Há Pagar | Rodopar 1015'!$A:$A,$B368&amp;$E368&amp;$F368,'Doc Há Pagar | Rodopar 1015'!$B:$B,Z$1)</f>
        <v>0</v>
      </c>
      <c r="AA368" s="20">
        <f>SUMIFS('Doc''s Pagos | Rodopar 108'!$J:$J,'Doc''s Pagos | Rodopar 108'!$A:$A,$B368&amp;$E368&amp;$F368&amp;$J368,'Doc''s Pagos | Rodopar 108'!$B:$B,AA$1)+SUMIFS('Doc Há Pagar | Rodopar 1015'!$J:$J,'Doc Há Pagar | Rodopar 1015'!$A:$A,$B368&amp;$E368&amp;$F368,'Doc Há Pagar | Rodopar 1015'!$B:$B,AA$1)</f>
        <v>320</v>
      </c>
      <c r="AB368" s="20">
        <f>SUMIFS('Doc''s Pagos | Rodopar 108'!$J:$J,'Doc''s Pagos | Rodopar 108'!$A:$A,$B368&amp;$E368&amp;$F368&amp;$J368,'Doc''s Pagos | Rodopar 108'!$B:$B,AB$1)+SUMIFS('Doc Há Pagar | Rodopar 1015'!$J:$J,'Doc Há Pagar | Rodopar 1015'!$A:$A,$B368&amp;$E368&amp;$F368,'Doc Há Pagar | Rodopar 1015'!$B:$B,AB$1)</f>
        <v>0</v>
      </c>
      <c r="AC368" s="20">
        <f>SUMIFS('Doc''s Pagos | Rodopar 108'!$J:$J,'Doc''s Pagos | Rodopar 108'!$A:$A,$B368&amp;$E368&amp;$F368&amp;$J368,'Doc''s Pagos | Rodopar 108'!$B:$B,AC$1)+SUMIFS('Doc Há Pagar | Rodopar 1015'!$J:$J,'Doc Há Pagar | Rodopar 1015'!$A:$A,$B368&amp;$E368&amp;$F368,'Doc Há Pagar | Rodopar 1015'!$B:$B,AC$1)</f>
        <v>0</v>
      </c>
      <c r="AD368" s="20">
        <f>SUMIFS('Doc''s Pagos | Rodopar 108'!$J:$J,'Doc''s Pagos | Rodopar 108'!$A:$A,$B368&amp;$E368&amp;$F368&amp;$J368,'Doc''s Pagos | Rodopar 108'!$B:$B,AD$1)+SUMIFS('Doc Há Pagar | Rodopar 1015'!$J:$J,'Doc Há Pagar | Rodopar 1015'!$A:$A,$B368&amp;$E368&amp;$F368,'Doc Há Pagar | Rodopar 1015'!$B:$B,AD$1)</f>
        <v>0</v>
      </c>
    </row>
    <row r="369" spans="1:30" x14ac:dyDescent="0.25">
      <c r="A369" s="1" t="str">
        <f>VLOOKUP($E369,Fornecedores!$A:$C,3,0)</f>
        <v>Frota</v>
      </c>
      <c r="B369" s="14">
        <v>146</v>
      </c>
      <c r="C369" s="14" t="str">
        <f>IFERROR(VLOOKUP($E369,Fornecedores!$A:$E,4,0),"")</f>
        <v>Sinistro</v>
      </c>
      <c r="D369" s="14" t="str">
        <f>IFERROR(VLOOKUP($E369,Fornecedores!$A:$E,5,0),"")</f>
        <v>Lanternagem</v>
      </c>
      <c r="E369" s="8" t="s">
        <v>150</v>
      </c>
      <c r="F369" s="14" t="s">
        <v>665</v>
      </c>
      <c r="G369" s="8" t="s">
        <v>726</v>
      </c>
      <c r="H369" s="9">
        <v>87</v>
      </c>
      <c r="I369" s="21">
        <v>5000</v>
      </c>
      <c r="J369" s="11">
        <v>46244</v>
      </c>
      <c r="K369" s="11">
        <v>46255</v>
      </c>
      <c r="L369" s="8" t="s">
        <v>233</v>
      </c>
      <c r="M369" s="14" t="s">
        <v>234</v>
      </c>
      <c r="N369" s="16">
        <v>1556</v>
      </c>
      <c r="O369" s="14" t="s">
        <v>241</v>
      </c>
      <c r="P369" s="14"/>
      <c r="Q369" s="20">
        <f t="shared" si="5"/>
        <v>0</v>
      </c>
      <c r="S369" s="20">
        <f>SUMIFS('Doc''s Pagos | Rodopar 108'!$J:$J,'Doc''s Pagos | Rodopar 108'!$A:$A,$B369&amp;$E369&amp;$F369&amp;$J369,'Doc''s Pagos | Rodopar 108'!$B:$B,S$1)+SUMIFS('Doc Há Pagar | Rodopar 1015'!$J:$J,'Doc Há Pagar | Rodopar 1015'!$A:$A,$B369&amp;$E369&amp;$F369,'Doc Há Pagar | Rodopar 1015'!$B:$B,S$1)</f>
        <v>0</v>
      </c>
      <c r="T369" s="20">
        <f>SUMIFS('Doc''s Pagos | Rodopar 108'!$J:$J,'Doc''s Pagos | Rodopar 108'!$A:$A,$B369&amp;$E369&amp;$F369&amp;$J369,'Doc''s Pagos | Rodopar 108'!$B:$B,T$1)+SUMIFS('Doc Há Pagar | Rodopar 1015'!$J:$J,'Doc Há Pagar | Rodopar 1015'!$A:$A,$B369&amp;$E369&amp;$F369,'Doc Há Pagar | Rodopar 1015'!$B:$B,T$1)</f>
        <v>0</v>
      </c>
      <c r="U369" s="20">
        <f>SUMIFS('Doc''s Pagos | Rodopar 108'!$J:$J,'Doc''s Pagos | Rodopar 108'!$A:$A,$B369&amp;$E369&amp;$F369&amp;$J369,'Doc''s Pagos | Rodopar 108'!$B:$B,U$1)+SUMIFS('Doc Há Pagar | Rodopar 1015'!$J:$J,'Doc Há Pagar | Rodopar 1015'!$A:$A,$B369&amp;$E369&amp;$F369,'Doc Há Pagar | Rodopar 1015'!$B:$B,U$1)</f>
        <v>0</v>
      </c>
      <c r="V369" s="20">
        <f>SUMIFS('Doc''s Pagos | Rodopar 108'!$J:$J,'Doc''s Pagos | Rodopar 108'!$A:$A,$B369&amp;$E369&amp;$F369&amp;$J369,'Doc''s Pagos | Rodopar 108'!$B:$B,V$1)+SUMIFS('Doc Há Pagar | Rodopar 1015'!$J:$J,'Doc Há Pagar | Rodopar 1015'!$A:$A,$B369&amp;$E369&amp;$F369,'Doc Há Pagar | Rodopar 1015'!$B:$B,V$1)</f>
        <v>0</v>
      </c>
      <c r="W369" s="20">
        <f>SUMIFS('Doc''s Pagos | Rodopar 108'!$J:$J,'Doc''s Pagos | Rodopar 108'!$A:$A,$B369&amp;$E369&amp;$F369&amp;$J369,'Doc''s Pagos | Rodopar 108'!$B:$B,W$1)+SUMIFS('Doc Há Pagar | Rodopar 1015'!$J:$J,'Doc Há Pagar | Rodopar 1015'!$A:$A,$B369&amp;$E369&amp;$F369,'Doc Há Pagar | Rodopar 1015'!$B:$B,W$1)</f>
        <v>0</v>
      </c>
      <c r="X369" s="20">
        <f>SUMIFS('Doc''s Pagos | Rodopar 108'!$J:$J,'Doc''s Pagos | Rodopar 108'!$A:$A,$B369&amp;$E369&amp;$F369&amp;$J369,'Doc''s Pagos | Rodopar 108'!$B:$B,X$1)+SUMIFS('Doc Há Pagar | Rodopar 1015'!$J:$J,'Doc Há Pagar | Rodopar 1015'!$A:$A,$B369&amp;$E369&amp;$F369,'Doc Há Pagar | Rodopar 1015'!$B:$B,X$1)</f>
        <v>0</v>
      </c>
      <c r="Y369" s="20">
        <f>SUMIFS('Doc''s Pagos | Rodopar 108'!$J:$J,'Doc''s Pagos | Rodopar 108'!$A:$A,$B369&amp;$E369&amp;$F369&amp;$J369,'Doc''s Pagos | Rodopar 108'!$B:$B,Y$1)+SUMIFS('Doc Há Pagar | Rodopar 1015'!$J:$J,'Doc Há Pagar | Rodopar 1015'!$A:$A,$B369&amp;$E369&amp;$F369,'Doc Há Pagar | Rodopar 1015'!$B:$B,Y$1)</f>
        <v>0</v>
      </c>
      <c r="Z369" s="20">
        <f>SUMIFS('Doc''s Pagos | Rodopar 108'!$J:$J,'Doc''s Pagos | Rodopar 108'!$A:$A,$B369&amp;$E369&amp;$F369&amp;$J369,'Doc''s Pagos | Rodopar 108'!$B:$B,Z$1)+SUMIFS('Doc Há Pagar | Rodopar 1015'!$J:$J,'Doc Há Pagar | Rodopar 1015'!$A:$A,$B369&amp;$E369&amp;$F369,'Doc Há Pagar | Rodopar 1015'!$B:$B,Z$1)</f>
        <v>0</v>
      </c>
      <c r="AA369" s="20">
        <f>SUMIFS('Doc''s Pagos | Rodopar 108'!$J:$J,'Doc''s Pagos | Rodopar 108'!$A:$A,$B369&amp;$E369&amp;$F369&amp;$J369,'Doc''s Pagos | Rodopar 108'!$B:$B,AA$1)+SUMIFS('Doc Há Pagar | Rodopar 1015'!$J:$J,'Doc Há Pagar | Rodopar 1015'!$A:$A,$B369&amp;$E369&amp;$F369,'Doc Há Pagar | Rodopar 1015'!$B:$B,AA$1)</f>
        <v>5000</v>
      </c>
      <c r="AB369" s="20">
        <f>SUMIFS('Doc''s Pagos | Rodopar 108'!$J:$J,'Doc''s Pagos | Rodopar 108'!$A:$A,$B369&amp;$E369&amp;$F369&amp;$J369,'Doc''s Pagos | Rodopar 108'!$B:$B,AB$1)+SUMIFS('Doc Há Pagar | Rodopar 1015'!$J:$J,'Doc Há Pagar | Rodopar 1015'!$A:$A,$B369&amp;$E369&amp;$F369,'Doc Há Pagar | Rodopar 1015'!$B:$B,AB$1)</f>
        <v>0</v>
      </c>
      <c r="AC369" s="20">
        <f>SUMIFS('Doc''s Pagos | Rodopar 108'!$J:$J,'Doc''s Pagos | Rodopar 108'!$A:$A,$B369&amp;$E369&amp;$F369&amp;$J369,'Doc''s Pagos | Rodopar 108'!$B:$B,AC$1)+SUMIFS('Doc Há Pagar | Rodopar 1015'!$J:$J,'Doc Há Pagar | Rodopar 1015'!$A:$A,$B369&amp;$E369&amp;$F369,'Doc Há Pagar | Rodopar 1015'!$B:$B,AC$1)</f>
        <v>0</v>
      </c>
      <c r="AD369" s="20">
        <f>SUMIFS('Doc''s Pagos | Rodopar 108'!$J:$J,'Doc''s Pagos | Rodopar 108'!$A:$A,$B369&amp;$E369&amp;$F369&amp;$J369,'Doc''s Pagos | Rodopar 108'!$B:$B,AD$1)+SUMIFS('Doc Há Pagar | Rodopar 1015'!$J:$J,'Doc Há Pagar | Rodopar 1015'!$A:$A,$B369&amp;$E369&amp;$F369,'Doc Há Pagar | Rodopar 1015'!$B:$B,AD$1)</f>
        <v>0</v>
      </c>
    </row>
    <row r="370" spans="1:30" x14ac:dyDescent="0.25">
      <c r="A370" s="1" t="str">
        <f>VLOOKUP($E370,Fornecedores!$A:$C,3,0)</f>
        <v>Frota</v>
      </c>
      <c r="B370" s="14">
        <v>695</v>
      </c>
      <c r="C370" s="14" t="str">
        <f>IFERROR(VLOOKUP($E370,Fornecedores!$A:$E,4,0),"")</f>
        <v>Manutenção</v>
      </c>
      <c r="D370" s="14" t="str">
        <f>IFERROR(VLOOKUP($E370,Fornecedores!$A:$E,5,0),"")</f>
        <v>Peças E Serviços</v>
      </c>
      <c r="E370" s="8" t="s">
        <v>195</v>
      </c>
      <c r="F370" s="14" t="s">
        <v>665</v>
      </c>
      <c r="G370" s="8" t="s">
        <v>418</v>
      </c>
      <c r="H370" s="9">
        <v>87</v>
      </c>
      <c r="I370" s="21">
        <v>1272.5</v>
      </c>
      <c r="J370" s="11">
        <v>46244</v>
      </c>
      <c r="K370" s="11">
        <v>46245</v>
      </c>
      <c r="L370" s="8" t="s">
        <v>282</v>
      </c>
      <c r="M370" s="14" t="s">
        <v>234</v>
      </c>
      <c r="N370" s="16">
        <v>1556</v>
      </c>
      <c r="O370" s="14" t="s">
        <v>241</v>
      </c>
      <c r="P370" s="14"/>
      <c r="Q370" s="20">
        <f t="shared" si="5"/>
        <v>0</v>
      </c>
      <c r="S370" s="20">
        <f>SUMIFS('Doc''s Pagos | Rodopar 108'!$J:$J,'Doc''s Pagos | Rodopar 108'!$A:$A,$B370&amp;$E370&amp;$F370&amp;$J370,'Doc''s Pagos | Rodopar 108'!$B:$B,S$1)+SUMIFS('Doc Há Pagar | Rodopar 1015'!$J:$J,'Doc Há Pagar | Rodopar 1015'!$A:$A,$B370&amp;$E370&amp;$F370,'Doc Há Pagar | Rodopar 1015'!$B:$B,S$1)</f>
        <v>0</v>
      </c>
      <c r="T370" s="20">
        <f>SUMIFS('Doc''s Pagos | Rodopar 108'!$J:$J,'Doc''s Pagos | Rodopar 108'!$A:$A,$B370&amp;$E370&amp;$F370&amp;$J370,'Doc''s Pagos | Rodopar 108'!$B:$B,T$1)+SUMIFS('Doc Há Pagar | Rodopar 1015'!$J:$J,'Doc Há Pagar | Rodopar 1015'!$A:$A,$B370&amp;$E370&amp;$F370,'Doc Há Pagar | Rodopar 1015'!$B:$B,T$1)</f>
        <v>0</v>
      </c>
      <c r="U370" s="20">
        <f>SUMIFS('Doc''s Pagos | Rodopar 108'!$J:$J,'Doc''s Pagos | Rodopar 108'!$A:$A,$B370&amp;$E370&amp;$F370&amp;$J370,'Doc''s Pagos | Rodopar 108'!$B:$B,U$1)+SUMIFS('Doc Há Pagar | Rodopar 1015'!$J:$J,'Doc Há Pagar | Rodopar 1015'!$A:$A,$B370&amp;$E370&amp;$F370,'Doc Há Pagar | Rodopar 1015'!$B:$B,U$1)</f>
        <v>0</v>
      </c>
      <c r="V370" s="20">
        <f>SUMIFS('Doc''s Pagos | Rodopar 108'!$J:$J,'Doc''s Pagos | Rodopar 108'!$A:$A,$B370&amp;$E370&amp;$F370&amp;$J370,'Doc''s Pagos | Rodopar 108'!$B:$B,V$1)+SUMIFS('Doc Há Pagar | Rodopar 1015'!$J:$J,'Doc Há Pagar | Rodopar 1015'!$A:$A,$B370&amp;$E370&amp;$F370,'Doc Há Pagar | Rodopar 1015'!$B:$B,V$1)</f>
        <v>0</v>
      </c>
      <c r="W370" s="20">
        <f>SUMIFS('Doc''s Pagos | Rodopar 108'!$J:$J,'Doc''s Pagos | Rodopar 108'!$A:$A,$B370&amp;$E370&amp;$F370&amp;$J370,'Doc''s Pagos | Rodopar 108'!$B:$B,W$1)+SUMIFS('Doc Há Pagar | Rodopar 1015'!$J:$J,'Doc Há Pagar | Rodopar 1015'!$A:$A,$B370&amp;$E370&amp;$F370,'Doc Há Pagar | Rodopar 1015'!$B:$B,W$1)</f>
        <v>0</v>
      </c>
      <c r="X370" s="20">
        <f>SUMIFS('Doc''s Pagos | Rodopar 108'!$J:$J,'Doc''s Pagos | Rodopar 108'!$A:$A,$B370&amp;$E370&amp;$F370&amp;$J370,'Doc''s Pagos | Rodopar 108'!$B:$B,X$1)+SUMIFS('Doc Há Pagar | Rodopar 1015'!$J:$J,'Doc Há Pagar | Rodopar 1015'!$A:$A,$B370&amp;$E370&amp;$F370,'Doc Há Pagar | Rodopar 1015'!$B:$B,X$1)</f>
        <v>0</v>
      </c>
      <c r="Y370" s="20">
        <f>SUMIFS('Doc''s Pagos | Rodopar 108'!$J:$J,'Doc''s Pagos | Rodopar 108'!$A:$A,$B370&amp;$E370&amp;$F370&amp;$J370,'Doc''s Pagos | Rodopar 108'!$B:$B,Y$1)+SUMIFS('Doc Há Pagar | Rodopar 1015'!$J:$J,'Doc Há Pagar | Rodopar 1015'!$A:$A,$B370&amp;$E370&amp;$F370,'Doc Há Pagar | Rodopar 1015'!$B:$B,Y$1)</f>
        <v>0</v>
      </c>
      <c r="Z370" s="20">
        <f>SUMIFS('Doc''s Pagos | Rodopar 108'!$J:$J,'Doc''s Pagos | Rodopar 108'!$A:$A,$B370&amp;$E370&amp;$F370&amp;$J370,'Doc''s Pagos | Rodopar 108'!$B:$B,Z$1)+SUMIFS('Doc Há Pagar | Rodopar 1015'!$J:$J,'Doc Há Pagar | Rodopar 1015'!$A:$A,$B370&amp;$E370&amp;$F370,'Doc Há Pagar | Rodopar 1015'!$B:$B,Z$1)</f>
        <v>0</v>
      </c>
      <c r="AA370" s="20">
        <f>SUMIFS('Doc''s Pagos | Rodopar 108'!$J:$J,'Doc''s Pagos | Rodopar 108'!$A:$A,$B370&amp;$E370&amp;$F370&amp;$J370,'Doc''s Pagos | Rodopar 108'!$B:$B,AA$1)+SUMIFS('Doc Há Pagar | Rodopar 1015'!$J:$J,'Doc Há Pagar | Rodopar 1015'!$A:$A,$B370&amp;$E370&amp;$F370,'Doc Há Pagar | Rodopar 1015'!$B:$B,AA$1)</f>
        <v>1272.5</v>
      </c>
      <c r="AB370" s="20">
        <f>SUMIFS('Doc''s Pagos | Rodopar 108'!$J:$J,'Doc''s Pagos | Rodopar 108'!$A:$A,$B370&amp;$E370&amp;$F370&amp;$J370,'Doc''s Pagos | Rodopar 108'!$B:$B,AB$1)+SUMIFS('Doc Há Pagar | Rodopar 1015'!$J:$J,'Doc Há Pagar | Rodopar 1015'!$A:$A,$B370&amp;$E370&amp;$F370,'Doc Há Pagar | Rodopar 1015'!$B:$B,AB$1)</f>
        <v>0</v>
      </c>
      <c r="AC370" s="20">
        <f>SUMIFS('Doc''s Pagos | Rodopar 108'!$J:$J,'Doc''s Pagos | Rodopar 108'!$A:$A,$B370&amp;$E370&amp;$F370&amp;$J370,'Doc''s Pagos | Rodopar 108'!$B:$B,AC$1)+SUMIFS('Doc Há Pagar | Rodopar 1015'!$J:$J,'Doc Há Pagar | Rodopar 1015'!$A:$A,$B370&amp;$E370&amp;$F370,'Doc Há Pagar | Rodopar 1015'!$B:$B,AC$1)</f>
        <v>0</v>
      </c>
      <c r="AD370" s="20">
        <f>SUMIFS('Doc''s Pagos | Rodopar 108'!$J:$J,'Doc''s Pagos | Rodopar 108'!$A:$A,$B370&amp;$E370&amp;$F370&amp;$J370,'Doc''s Pagos | Rodopar 108'!$B:$B,AD$1)+SUMIFS('Doc Há Pagar | Rodopar 1015'!$J:$J,'Doc Há Pagar | Rodopar 1015'!$A:$A,$B370&amp;$E370&amp;$F370,'Doc Há Pagar | Rodopar 1015'!$B:$B,AD$1)</f>
        <v>0</v>
      </c>
    </row>
    <row r="371" spans="1:30" x14ac:dyDescent="0.25">
      <c r="A371" s="1" t="str">
        <f>VLOOKUP($E371,Fornecedores!$A:$C,3,0)</f>
        <v>Frota</v>
      </c>
      <c r="B371" s="14">
        <v>95</v>
      </c>
      <c r="C371" s="14" t="str">
        <f>IFERROR(VLOOKUP($E371,Fornecedores!$A:$E,4,0),"")</f>
        <v>Manutenção</v>
      </c>
      <c r="D371" s="14" t="str">
        <f>IFERROR(VLOOKUP($E371,Fornecedores!$A:$E,5,0),"")</f>
        <v>Peças E Serviços</v>
      </c>
      <c r="E371" s="8" t="s">
        <v>67</v>
      </c>
      <c r="F371" s="14" t="s">
        <v>665</v>
      </c>
      <c r="G371" s="8" t="s">
        <v>931</v>
      </c>
      <c r="H371" s="9">
        <v>87</v>
      </c>
      <c r="I371" s="21">
        <v>3700</v>
      </c>
      <c r="J371" s="11">
        <v>46244</v>
      </c>
      <c r="K371" s="11">
        <v>46245</v>
      </c>
      <c r="L371" s="8" t="s">
        <v>932</v>
      </c>
      <c r="M371" s="14" t="s">
        <v>234</v>
      </c>
      <c r="N371" s="16">
        <v>1556</v>
      </c>
      <c r="O371" s="14" t="s">
        <v>241</v>
      </c>
      <c r="P371" s="14"/>
      <c r="Q371" s="20">
        <f t="shared" si="5"/>
        <v>0</v>
      </c>
      <c r="S371" s="20">
        <f>SUMIFS('Doc''s Pagos | Rodopar 108'!$J:$J,'Doc''s Pagos | Rodopar 108'!$A:$A,$B371&amp;$E371&amp;$F371&amp;$J371,'Doc''s Pagos | Rodopar 108'!$B:$B,S$1)+SUMIFS('Doc Há Pagar | Rodopar 1015'!$J:$J,'Doc Há Pagar | Rodopar 1015'!$A:$A,$B371&amp;$E371&amp;$F371,'Doc Há Pagar | Rodopar 1015'!$B:$B,S$1)</f>
        <v>0</v>
      </c>
      <c r="T371" s="20">
        <f>SUMIFS('Doc''s Pagos | Rodopar 108'!$J:$J,'Doc''s Pagos | Rodopar 108'!$A:$A,$B371&amp;$E371&amp;$F371&amp;$J371,'Doc''s Pagos | Rodopar 108'!$B:$B,T$1)+SUMIFS('Doc Há Pagar | Rodopar 1015'!$J:$J,'Doc Há Pagar | Rodopar 1015'!$A:$A,$B371&amp;$E371&amp;$F371,'Doc Há Pagar | Rodopar 1015'!$B:$B,T$1)</f>
        <v>0</v>
      </c>
      <c r="U371" s="20">
        <f>SUMIFS('Doc''s Pagos | Rodopar 108'!$J:$J,'Doc''s Pagos | Rodopar 108'!$A:$A,$B371&amp;$E371&amp;$F371&amp;$J371,'Doc''s Pagos | Rodopar 108'!$B:$B,U$1)+SUMIFS('Doc Há Pagar | Rodopar 1015'!$J:$J,'Doc Há Pagar | Rodopar 1015'!$A:$A,$B371&amp;$E371&amp;$F371,'Doc Há Pagar | Rodopar 1015'!$B:$B,U$1)</f>
        <v>0</v>
      </c>
      <c r="V371" s="20">
        <f>SUMIFS('Doc''s Pagos | Rodopar 108'!$J:$J,'Doc''s Pagos | Rodopar 108'!$A:$A,$B371&amp;$E371&amp;$F371&amp;$J371,'Doc''s Pagos | Rodopar 108'!$B:$B,V$1)+SUMIFS('Doc Há Pagar | Rodopar 1015'!$J:$J,'Doc Há Pagar | Rodopar 1015'!$A:$A,$B371&amp;$E371&amp;$F371,'Doc Há Pagar | Rodopar 1015'!$B:$B,V$1)</f>
        <v>0</v>
      </c>
      <c r="W371" s="20">
        <f>SUMIFS('Doc''s Pagos | Rodopar 108'!$J:$J,'Doc''s Pagos | Rodopar 108'!$A:$A,$B371&amp;$E371&amp;$F371&amp;$J371,'Doc''s Pagos | Rodopar 108'!$B:$B,W$1)+SUMIFS('Doc Há Pagar | Rodopar 1015'!$J:$J,'Doc Há Pagar | Rodopar 1015'!$A:$A,$B371&amp;$E371&amp;$F371,'Doc Há Pagar | Rodopar 1015'!$B:$B,W$1)</f>
        <v>0</v>
      </c>
      <c r="X371" s="20">
        <f>SUMIFS('Doc''s Pagos | Rodopar 108'!$J:$J,'Doc''s Pagos | Rodopar 108'!$A:$A,$B371&amp;$E371&amp;$F371&amp;$J371,'Doc''s Pagos | Rodopar 108'!$B:$B,X$1)+SUMIFS('Doc Há Pagar | Rodopar 1015'!$J:$J,'Doc Há Pagar | Rodopar 1015'!$A:$A,$B371&amp;$E371&amp;$F371,'Doc Há Pagar | Rodopar 1015'!$B:$B,X$1)</f>
        <v>0</v>
      </c>
      <c r="Y371" s="20">
        <f>SUMIFS('Doc''s Pagos | Rodopar 108'!$J:$J,'Doc''s Pagos | Rodopar 108'!$A:$A,$B371&amp;$E371&amp;$F371&amp;$J371,'Doc''s Pagos | Rodopar 108'!$B:$B,Y$1)+SUMIFS('Doc Há Pagar | Rodopar 1015'!$J:$J,'Doc Há Pagar | Rodopar 1015'!$A:$A,$B371&amp;$E371&amp;$F371,'Doc Há Pagar | Rodopar 1015'!$B:$B,Y$1)</f>
        <v>0</v>
      </c>
      <c r="Z371" s="20">
        <f>SUMIFS('Doc''s Pagos | Rodopar 108'!$J:$J,'Doc''s Pagos | Rodopar 108'!$A:$A,$B371&amp;$E371&amp;$F371&amp;$J371,'Doc''s Pagos | Rodopar 108'!$B:$B,Z$1)+SUMIFS('Doc Há Pagar | Rodopar 1015'!$J:$J,'Doc Há Pagar | Rodopar 1015'!$A:$A,$B371&amp;$E371&amp;$F371,'Doc Há Pagar | Rodopar 1015'!$B:$B,Z$1)</f>
        <v>0</v>
      </c>
      <c r="AA371" s="20">
        <f>SUMIFS('Doc''s Pagos | Rodopar 108'!$J:$J,'Doc''s Pagos | Rodopar 108'!$A:$A,$B371&amp;$E371&amp;$F371&amp;$J371,'Doc''s Pagos | Rodopar 108'!$B:$B,AA$1)+SUMIFS('Doc Há Pagar | Rodopar 1015'!$J:$J,'Doc Há Pagar | Rodopar 1015'!$A:$A,$B371&amp;$E371&amp;$F371,'Doc Há Pagar | Rodopar 1015'!$B:$B,AA$1)</f>
        <v>3700</v>
      </c>
      <c r="AB371" s="20">
        <f>SUMIFS('Doc''s Pagos | Rodopar 108'!$J:$J,'Doc''s Pagos | Rodopar 108'!$A:$A,$B371&amp;$E371&amp;$F371&amp;$J371,'Doc''s Pagos | Rodopar 108'!$B:$B,AB$1)+SUMIFS('Doc Há Pagar | Rodopar 1015'!$J:$J,'Doc Há Pagar | Rodopar 1015'!$A:$A,$B371&amp;$E371&amp;$F371,'Doc Há Pagar | Rodopar 1015'!$B:$B,AB$1)</f>
        <v>0</v>
      </c>
      <c r="AC371" s="20">
        <f>SUMIFS('Doc''s Pagos | Rodopar 108'!$J:$J,'Doc''s Pagos | Rodopar 108'!$A:$A,$B371&amp;$E371&amp;$F371&amp;$J371,'Doc''s Pagos | Rodopar 108'!$B:$B,AC$1)+SUMIFS('Doc Há Pagar | Rodopar 1015'!$J:$J,'Doc Há Pagar | Rodopar 1015'!$A:$A,$B371&amp;$E371&amp;$F371,'Doc Há Pagar | Rodopar 1015'!$B:$B,AC$1)</f>
        <v>0</v>
      </c>
      <c r="AD371" s="20">
        <f>SUMIFS('Doc''s Pagos | Rodopar 108'!$J:$J,'Doc''s Pagos | Rodopar 108'!$A:$A,$B371&amp;$E371&amp;$F371&amp;$J371,'Doc''s Pagos | Rodopar 108'!$B:$B,AD$1)+SUMIFS('Doc Há Pagar | Rodopar 1015'!$J:$J,'Doc Há Pagar | Rodopar 1015'!$A:$A,$B371&amp;$E371&amp;$F371,'Doc Há Pagar | Rodopar 1015'!$B:$B,AD$1)</f>
        <v>0</v>
      </c>
    </row>
    <row r="372" spans="1:30" x14ac:dyDescent="0.25">
      <c r="A372" s="1" t="str">
        <f>VLOOKUP($E372,Fornecedores!$A:$C,3,0)</f>
        <v>Frota</v>
      </c>
      <c r="B372" s="14">
        <v>48</v>
      </c>
      <c r="C372" s="14" t="str">
        <f>IFERROR(VLOOKUP($E372,Fornecedores!$A:$E,4,0),"")</f>
        <v>Lavagem</v>
      </c>
      <c r="D372" s="14" t="str">
        <f>IFERROR(VLOOKUP($E372,Fornecedores!$A:$E,5,0),"")</f>
        <v>Lavagem</v>
      </c>
      <c r="E372" s="8" t="s">
        <v>18</v>
      </c>
      <c r="F372" s="14" t="s">
        <v>614</v>
      </c>
      <c r="G372" s="8" t="s">
        <v>650</v>
      </c>
      <c r="H372" s="9">
        <v>87</v>
      </c>
      <c r="I372" s="21">
        <v>300</v>
      </c>
      <c r="J372" s="11">
        <v>46245</v>
      </c>
      <c r="K372" s="11">
        <v>46248</v>
      </c>
      <c r="L372" s="8" t="s">
        <v>501</v>
      </c>
      <c r="M372" s="14" t="s">
        <v>234</v>
      </c>
      <c r="N372" s="16">
        <v>1556</v>
      </c>
      <c r="O372" s="14" t="s">
        <v>250</v>
      </c>
      <c r="P372" s="14"/>
      <c r="Q372" s="20">
        <f t="shared" si="5"/>
        <v>0</v>
      </c>
      <c r="S372" s="20">
        <f>SUMIFS('Doc''s Pagos | Rodopar 108'!$J:$J,'Doc''s Pagos | Rodopar 108'!$A:$A,$B372&amp;$E372&amp;$F372&amp;$J372,'Doc''s Pagos | Rodopar 108'!$B:$B,S$1)+SUMIFS('Doc Há Pagar | Rodopar 1015'!$J:$J,'Doc Há Pagar | Rodopar 1015'!$A:$A,$B372&amp;$E372&amp;$F372,'Doc Há Pagar | Rodopar 1015'!$B:$B,S$1)</f>
        <v>0</v>
      </c>
      <c r="T372" s="20">
        <f>SUMIFS('Doc''s Pagos | Rodopar 108'!$J:$J,'Doc''s Pagos | Rodopar 108'!$A:$A,$B372&amp;$E372&amp;$F372&amp;$J372,'Doc''s Pagos | Rodopar 108'!$B:$B,T$1)+SUMIFS('Doc Há Pagar | Rodopar 1015'!$J:$J,'Doc Há Pagar | Rodopar 1015'!$A:$A,$B372&amp;$E372&amp;$F372,'Doc Há Pagar | Rodopar 1015'!$B:$B,T$1)</f>
        <v>0</v>
      </c>
      <c r="U372" s="20">
        <f>SUMIFS('Doc''s Pagos | Rodopar 108'!$J:$J,'Doc''s Pagos | Rodopar 108'!$A:$A,$B372&amp;$E372&amp;$F372&amp;$J372,'Doc''s Pagos | Rodopar 108'!$B:$B,U$1)+SUMIFS('Doc Há Pagar | Rodopar 1015'!$J:$J,'Doc Há Pagar | Rodopar 1015'!$A:$A,$B372&amp;$E372&amp;$F372,'Doc Há Pagar | Rodopar 1015'!$B:$B,U$1)</f>
        <v>0</v>
      </c>
      <c r="V372" s="20">
        <f>SUMIFS('Doc''s Pagos | Rodopar 108'!$J:$J,'Doc''s Pagos | Rodopar 108'!$A:$A,$B372&amp;$E372&amp;$F372&amp;$J372,'Doc''s Pagos | Rodopar 108'!$B:$B,V$1)+SUMIFS('Doc Há Pagar | Rodopar 1015'!$J:$J,'Doc Há Pagar | Rodopar 1015'!$A:$A,$B372&amp;$E372&amp;$F372,'Doc Há Pagar | Rodopar 1015'!$B:$B,V$1)</f>
        <v>0</v>
      </c>
      <c r="W372" s="20">
        <f>SUMIFS('Doc''s Pagos | Rodopar 108'!$J:$J,'Doc''s Pagos | Rodopar 108'!$A:$A,$B372&amp;$E372&amp;$F372&amp;$J372,'Doc''s Pagos | Rodopar 108'!$B:$B,W$1)+SUMIFS('Doc Há Pagar | Rodopar 1015'!$J:$J,'Doc Há Pagar | Rodopar 1015'!$A:$A,$B372&amp;$E372&amp;$F372,'Doc Há Pagar | Rodopar 1015'!$B:$B,W$1)</f>
        <v>0</v>
      </c>
      <c r="X372" s="20">
        <f>SUMIFS('Doc''s Pagos | Rodopar 108'!$J:$J,'Doc''s Pagos | Rodopar 108'!$A:$A,$B372&amp;$E372&amp;$F372&amp;$J372,'Doc''s Pagos | Rodopar 108'!$B:$B,X$1)+SUMIFS('Doc Há Pagar | Rodopar 1015'!$J:$J,'Doc Há Pagar | Rodopar 1015'!$A:$A,$B372&amp;$E372&amp;$F372,'Doc Há Pagar | Rodopar 1015'!$B:$B,X$1)</f>
        <v>0</v>
      </c>
      <c r="Y372" s="20">
        <f>SUMIFS('Doc''s Pagos | Rodopar 108'!$J:$J,'Doc''s Pagos | Rodopar 108'!$A:$A,$B372&amp;$E372&amp;$F372&amp;$J372,'Doc''s Pagos | Rodopar 108'!$B:$B,Y$1)+SUMIFS('Doc Há Pagar | Rodopar 1015'!$J:$J,'Doc Há Pagar | Rodopar 1015'!$A:$A,$B372&amp;$E372&amp;$F372,'Doc Há Pagar | Rodopar 1015'!$B:$B,Y$1)</f>
        <v>0</v>
      </c>
      <c r="Z372" s="20">
        <f>SUMIFS('Doc''s Pagos | Rodopar 108'!$J:$J,'Doc''s Pagos | Rodopar 108'!$A:$A,$B372&amp;$E372&amp;$F372&amp;$J372,'Doc''s Pagos | Rodopar 108'!$B:$B,Z$1)+SUMIFS('Doc Há Pagar | Rodopar 1015'!$J:$J,'Doc Há Pagar | Rodopar 1015'!$A:$A,$B372&amp;$E372&amp;$F372,'Doc Há Pagar | Rodopar 1015'!$B:$B,Z$1)</f>
        <v>0</v>
      </c>
      <c r="AA372" s="20">
        <f>SUMIFS('Doc''s Pagos | Rodopar 108'!$J:$J,'Doc''s Pagos | Rodopar 108'!$A:$A,$B372&amp;$E372&amp;$F372&amp;$J372,'Doc''s Pagos | Rodopar 108'!$B:$B,AA$1)+SUMIFS('Doc Há Pagar | Rodopar 1015'!$J:$J,'Doc Há Pagar | Rodopar 1015'!$A:$A,$B372&amp;$E372&amp;$F372,'Doc Há Pagar | Rodopar 1015'!$B:$B,AA$1)</f>
        <v>300</v>
      </c>
      <c r="AB372" s="20">
        <f>SUMIFS('Doc''s Pagos | Rodopar 108'!$J:$J,'Doc''s Pagos | Rodopar 108'!$A:$A,$B372&amp;$E372&amp;$F372&amp;$J372,'Doc''s Pagos | Rodopar 108'!$B:$B,AB$1)+SUMIFS('Doc Há Pagar | Rodopar 1015'!$J:$J,'Doc Há Pagar | Rodopar 1015'!$A:$A,$B372&amp;$E372&amp;$F372,'Doc Há Pagar | Rodopar 1015'!$B:$B,AB$1)</f>
        <v>0</v>
      </c>
      <c r="AC372" s="20">
        <f>SUMIFS('Doc''s Pagos | Rodopar 108'!$J:$J,'Doc''s Pagos | Rodopar 108'!$A:$A,$B372&amp;$E372&amp;$F372&amp;$J372,'Doc''s Pagos | Rodopar 108'!$B:$B,AC$1)+SUMIFS('Doc Há Pagar | Rodopar 1015'!$J:$J,'Doc Há Pagar | Rodopar 1015'!$A:$A,$B372&amp;$E372&amp;$F372,'Doc Há Pagar | Rodopar 1015'!$B:$B,AC$1)</f>
        <v>0</v>
      </c>
      <c r="AD372" s="20">
        <f>SUMIFS('Doc''s Pagos | Rodopar 108'!$J:$J,'Doc''s Pagos | Rodopar 108'!$A:$A,$B372&amp;$E372&amp;$F372&amp;$J372,'Doc''s Pagos | Rodopar 108'!$B:$B,AD$1)+SUMIFS('Doc Há Pagar | Rodopar 1015'!$J:$J,'Doc Há Pagar | Rodopar 1015'!$A:$A,$B372&amp;$E372&amp;$F372,'Doc Há Pagar | Rodopar 1015'!$B:$B,AD$1)</f>
        <v>0</v>
      </c>
    </row>
    <row r="373" spans="1:30" x14ac:dyDescent="0.25">
      <c r="A373" s="1" t="str">
        <f>VLOOKUP($E373,Fornecedores!$A:$C,3,0)</f>
        <v>Frota</v>
      </c>
      <c r="B373" s="14">
        <v>160</v>
      </c>
      <c r="C373" s="14" t="str">
        <f>IFERROR(VLOOKUP($E373,Fornecedores!$A:$E,4,0),"")</f>
        <v>Manutenção</v>
      </c>
      <c r="D373" s="14" t="str">
        <f>IFERROR(VLOOKUP($E373,Fornecedores!$A:$E,5,0),"")</f>
        <v>Peças E Serviços</v>
      </c>
      <c r="E373" s="8" t="s">
        <v>204</v>
      </c>
      <c r="F373" s="14" t="s">
        <v>665</v>
      </c>
      <c r="G373" s="8" t="s">
        <v>396</v>
      </c>
      <c r="H373" s="9">
        <v>87</v>
      </c>
      <c r="I373" s="21">
        <v>120</v>
      </c>
      <c r="J373" s="11">
        <v>46245</v>
      </c>
      <c r="K373" s="11">
        <v>46248</v>
      </c>
      <c r="L373" s="8" t="s">
        <v>282</v>
      </c>
      <c r="M373" s="14" t="s">
        <v>234</v>
      </c>
      <c r="N373" s="16">
        <v>1556</v>
      </c>
      <c r="O373" s="14" t="s">
        <v>250</v>
      </c>
      <c r="P373" s="14"/>
      <c r="Q373" s="20">
        <f t="shared" si="5"/>
        <v>0</v>
      </c>
      <c r="S373" s="20">
        <f>SUMIFS('Doc''s Pagos | Rodopar 108'!$J:$J,'Doc''s Pagos | Rodopar 108'!$A:$A,$B373&amp;$E373&amp;$F373&amp;$J373,'Doc''s Pagos | Rodopar 108'!$B:$B,S$1)+SUMIFS('Doc Há Pagar | Rodopar 1015'!$J:$J,'Doc Há Pagar | Rodopar 1015'!$A:$A,$B373&amp;$E373&amp;$F373,'Doc Há Pagar | Rodopar 1015'!$B:$B,S$1)</f>
        <v>0</v>
      </c>
      <c r="T373" s="20">
        <f>SUMIFS('Doc''s Pagos | Rodopar 108'!$J:$J,'Doc''s Pagos | Rodopar 108'!$A:$A,$B373&amp;$E373&amp;$F373&amp;$J373,'Doc''s Pagos | Rodopar 108'!$B:$B,T$1)+SUMIFS('Doc Há Pagar | Rodopar 1015'!$J:$J,'Doc Há Pagar | Rodopar 1015'!$A:$A,$B373&amp;$E373&amp;$F373,'Doc Há Pagar | Rodopar 1015'!$B:$B,T$1)</f>
        <v>0</v>
      </c>
      <c r="U373" s="20">
        <f>SUMIFS('Doc''s Pagos | Rodopar 108'!$J:$J,'Doc''s Pagos | Rodopar 108'!$A:$A,$B373&amp;$E373&amp;$F373&amp;$J373,'Doc''s Pagos | Rodopar 108'!$B:$B,U$1)+SUMIFS('Doc Há Pagar | Rodopar 1015'!$J:$J,'Doc Há Pagar | Rodopar 1015'!$A:$A,$B373&amp;$E373&amp;$F373,'Doc Há Pagar | Rodopar 1015'!$B:$B,U$1)</f>
        <v>0</v>
      </c>
      <c r="V373" s="20">
        <f>SUMIFS('Doc''s Pagos | Rodopar 108'!$J:$J,'Doc''s Pagos | Rodopar 108'!$A:$A,$B373&amp;$E373&amp;$F373&amp;$J373,'Doc''s Pagos | Rodopar 108'!$B:$B,V$1)+SUMIFS('Doc Há Pagar | Rodopar 1015'!$J:$J,'Doc Há Pagar | Rodopar 1015'!$A:$A,$B373&amp;$E373&amp;$F373,'Doc Há Pagar | Rodopar 1015'!$B:$B,V$1)</f>
        <v>0</v>
      </c>
      <c r="W373" s="20">
        <f>SUMIFS('Doc''s Pagos | Rodopar 108'!$J:$J,'Doc''s Pagos | Rodopar 108'!$A:$A,$B373&amp;$E373&amp;$F373&amp;$J373,'Doc''s Pagos | Rodopar 108'!$B:$B,W$1)+SUMIFS('Doc Há Pagar | Rodopar 1015'!$J:$J,'Doc Há Pagar | Rodopar 1015'!$A:$A,$B373&amp;$E373&amp;$F373,'Doc Há Pagar | Rodopar 1015'!$B:$B,W$1)</f>
        <v>0</v>
      </c>
      <c r="X373" s="20">
        <f>SUMIFS('Doc''s Pagos | Rodopar 108'!$J:$J,'Doc''s Pagos | Rodopar 108'!$A:$A,$B373&amp;$E373&amp;$F373&amp;$J373,'Doc''s Pagos | Rodopar 108'!$B:$B,X$1)+SUMIFS('Doc Há Pagar | Rodopar 1015'!$J:$J,'Doc Há Pagar | Rodopar 1015'!$A:$A,$B373&amp;$E373&amp;$F373,'Doc Há Pagar | Rodopar 1015'!$B:$B,X$1)</f>
        <v>0</v>
      </c>
      <c r="Y373" s="20">
        <f>SUMIFS('Doc''s Pagos | Rodopar 108'!$J:$J,'Doc''s Pagos | Rodopar 108'!$A:$A,$B373&amp;$E373&amp;$F373&amp;$J373,'Doc''s Pagos | Rodopar 108'!$B:$B,Y$1)+SUMIFS('Doc Há Pagar | Rodopar 1015'!$J:$J,'Doc Há Pagar | Rodopar 1015'!$A:$A,$B373&amp;$E373&amp;$F373,'Doc Há Pagar | Rodopar 1015'!$B:$B,Y$1)</f>
        <v>0</v>
      </c>
      <c r="Z373" s="20">
        <f>SUMIFS('Doc''s Pagos | Rodopar 108'!$J:$J,'Doc''s Pagos | Rodopar 108'!$A:$A,$B373&amp;$E373&amp;$F373&amp;$J373,'Doc''s Pagos | Rodopar 108'!$B:$B,Z$1)+SUMIFS('Doc Há Pagar | Rodopar 1015'!$J:$J,'Doc Há Pagar | Rodopar 1015'!$A:$A,$B373&amp;$E373&amp;$F373,'Doc Há Pagar | Rodopar 1015'!$B:$B,Z$1)</f>
        <v>0</v>
      </c>
      <c r="AA373" s="20">
        <f>SUMIFS('Doc''s Pagos | Rodopar 108'!$J:$J,'Doc''s Pagos | Rodopar 108'!$A:$A,$B373&amp;$E373&amp;$F373&amp;$J373,'Doc''s Pagos | Rodopar 108'!$B:$B,AA$1)+SUMIFS('Doc Há Pagar | Rodopar 1015'!$J:$J,'Doc Há Pagar | Rodopar 1015'!$A:$A,$B373&amp;$E373&amp;$F373,'Doc Há Pagar | Rodopar 1015'!$B:$B,AA$1)</f>
        <v>120</v>
      </c>
      <c r="AB373" s="20">
        <f>SUMIFS('Doc''s Pagos | Rodopar 108'!$J:$J,'Doc''s Pagos | Rodopar 108'!$A:$A,$B373&amp;$E373&amp;$F373&amp;$J373,'Doc''s Pagos | Rodopar 108'!$B:$B,AB$1)+SUMIFS('Doc Há Pagar | Rodopar 1015'!$J:$J,'Doc Há Pagar | Rodopar 1015'!$A:$A,$B373&amp;$E373&amp;$F373,'Doc Há Pagar | Rodopar 1015'!$B:$B,AB$1)</f>
        <v>0</v>
      </c>
      <c r="AC373" s="20">
        <f>SUMIFS('Doc''s Pagos | Rodopar 108'!$J:$J,'Doc''s Pagos | Rodopar 108'!$A:$A,$B373&amp;$E373&amp;$F373&amp;$J373,'Doc''s Pagos | Rodopar 108'!$B:$B,AC$1)+SUMIFS('Doc Há Pagar | Rodopar 1015'!$J:$J,'Doc Há Pagar | Rodopar 1015'!$A:$A,$B373&amp;$E373&amp;$F373,'Doc Há Pagar | Rodopar 1015'!$B:$B,AC$1)</f>
        <v>0</v>
      </c>
      <c r="AD373" s="20">
        <f>SUMIFS('Doc''s Pagos | Rodopar 108'!$J:$J,'Doc''s Pagos | Rodopar 108'!$A:$A,$B373&amp;$E373&amp;$F373&amp;$J373,'Doc''s Pagos | Rodopar 108'!$B:$B,AD$1)+SUMIFS('Doc Há Pagar | Rodopar 1015'!$J:$J,'Doc Há Pagar | Rodopar 1015'!$A:$A,$B373&amp;$E373&amp;$F373,'Doc Há Pagar | Rodopar 1015'!$B:$B,AD$1)</f>
        <v>0</v>
      </c>
    </row>
    <row r="374" spans="1:30" x14ac:dyDescent="0.25">
      <c r="A374" s="1" t="str">
        <f>VLOOKUP($E374,Fornecedores!$A:$C,3,0)</f>
        <v>Frota</v>
      </c>
      <c r="B374" s="14">
        <v>1723539</v>
      </c>
      <c r="C374" s="14" t="str">
        <f>IFERROR(VLOOKUP($E374,Fornecedores!$A:$E,4,0),"")</f>
        <v>MTSR</v>
      </c>
      <c r="D374" s="14" t="str">
        <f>IFERROR(VLOOKUP($E374,Fornecedores!$A:$E,5,0),"")</f>
        <v>Tecnologia</v>
      </c>
      <c r="E374" s="8" t="s">
        <v>191</v>
      </c>
      <c r="F374" s="14" t="s">
        <v>665</v>
      </c>
      <c r="G374" s="8" t="s">
        <v>722</v>
      </c>
      <c r="H374" s="9">
        <v>87</v>
      </c>
      <c r="I374" s="21">
        <v>1615.79</v>
      </c>
      <c r="J374" s="11">
        <v>46246</v>
      </c>
      <c r="K374" s="11">
        <v>46252</v>
      </c>
      <c r="L374" s="8" t="s">
        <v>723</v>
      </c>
      <c r="M374" s="14" t="s">
        <v>684</v>
      </c>
      <c r="N374" s="16">
        <v>2556</v>
      </c>
      <c r="O374" s="14" t="s">
        <v>250</v>
      </c>
      <c r="P374" s="14"/>
      <c r="Q374" s="20">
        <f t="shared" si="5"/>
        <v>0</v>
      </c>
      <c r="S374" s="20">
        <f>SUMIFS('Doc''s Pagos | Rodopar 108'!$J:$J,'Doc''s Pagos | Rodopar 108'!$A:$A,$B374&amp;$E374&amp;$F374&amp;$J374,'Doc''s Pagos | Rodopar 108'!$B:$B,S$1)+SUMIFS('Doc Há Pagar | Rodopar 1015'!$J:$J,'Doc Há Pagar | Rodopar 1015'!$A:$A,$B374&amp;$E374&amp;$F374,'Doc Há Pagar | Rodopar 1015'!$B:$B,S$1)</f>
        <v>0</v>
      </c>
      <c r="T374" s="20">
        <f>SUMIFS('Doc''s Pagos | Rodopar 108'!$J:$J,'Doc''s Pagos | Rodopar 108'!$A:$A,$B374&amp;$E374&amp;$F374&amp;$J374,'Doc''s Pagos | Rodopar 108'!$B:$B,T$1)+SUMIFS('Doc Há Pagar | Rodopar 1015'!$J:$J,'Doc Há Pagar | Rodopar 1015'!$A:$A,$B374&amp;$E374&amp;$F374,'Doc Há Pagar | Rodopar 1015'!$B:$B,T$1)</f>
        <v>0</v>
      </c>
      <c r="U374" s="20">
        <f>SUMIFS('Doc''s Pagos | Rodopar 108'!$J:$J,'Doc''s Pagos | Rodopar 108'!$A:$A,$B374&amp;$E374&amp;$F374&amp;$J374,'Doc''s Pagos | Rodopar 108'!$B:$B,U$1)+SUMIFS('Doc Há Pagar | Rodopar 1015'!$J:$J,'Doc Há Pagar | Rodopar 1015'!$A:$A,$B374&amp;$E374&amp;$F374,'Doc Há Pagar | Rodopar 1015'!$B:$B,U$1)</f>
        <v>0</v>
      </c>
      <c r="V374" s="20">
        <f>SUMIFS('Doc''s Pagos | Rodopar 108'!$J:$J,'Doc''s Pagos | Rodopar 108'!$A:$A,$B374&amp;$E374&amp;$F374&amp;$J374,'Doc''s Pagos | Rodopar 108'!$B:$B,V$1)+SUMIFS('Doc Há Pagar | Rodopar 1015'!$J:$J,'Doc Há Pagar | Rodopar 1015'!$A:$A,$B374&amp;$E374&amp;$F374,'Doc Há Pagar | Rodopar 1015'!$B:$B,V$1)</f>
        <v>0</v>
      </c>
      <c r="W374" s="20">
        <f>SUMIFS('Doc''s Pagos | Rodopar 108'!$J:$J,'Doc''s Pagos | Rodopar 108'!$A:$A,$B374&amp;$E374&amp;$F374&amp;$J374,'Doc''s Pagos | Rodopar 108'!$B:$B,W$1)+SUMIFS('Doc Há Pagar | Rodopar 1015'!$J:$J,'Doc Há Pagar | Rodopar 1015'!$A:$A,$B374&amp;$E374&amp;$F374,'Doc Há Pagar | Rodopar 1015'!$B:$B,W$1)</f>
        <v>0</v>
      </c>
      <c r="X374" s="20">
        <f>SUMIFS('Doc''s Pagos | Rodopar 108'!$J:$J,'Doc''s Pagos | Rodopar 108'!$A:$A,$B374&amp;$E374&amp;$F374&amp;$J374,'Doc''s Pagos | Rodopar 108'!$B:$B,X$1)+SUMIFS('Doc Há Pagar | Rodopar 1015'!$J:$J,'Doc Há Pagar | Rodopar 1015'!$A:$A,$B374&amp;$E374&amp;$F374,'Doc Há Pagar | Rodopar 1015'!$B:$B,X$1)</f>
        <v>0</v>
      </c>
      <c r="Y374" s="20">
        <f>SUMIFS('Doc''s Pagos | Rodopar 108'!$J:$J,'Doc''s Pagos | Rodopar 108'!$A:$A,$B374&amp;$E374&amp;$F374&amp;$J374,'Doc''s Pagos | Rodopar 108'!$B:$B,Y$1)+SUMIFS('Doc Há Pagar | Rodopar 1015'!$J:$J,'Doc Há Pagar | Rodopar 1015'!$A:$A,$B374&amp;$E374&amp;$F374,'Doc Há Pagar | Rodopar 1015'!$B:$B,Y$1)</f>
        <v>0</v>
      </c>
      <c r="Z374" s="20">
        <f>SUMIFS('Doc''s Pagos | Rodopar 108'!$J:$J,'Doc''s Pagos | Rodopar 108'!$A:$A,$B374&amp;$E374&amp;$F374&amp;$J374,'Doc''s Pagos | Rodopar 108'!$B:$B,Z$1)+SUMIFS('Doc Há Pagar | Rodopar 1015'!$J:$J,'Doc Há Pagar | Rodopar 1015'!$A:$A,$B374&amp;$E374&amp;$F374,'Doc Há Pagar | Rodopar 1015'!$B:$B,Z$1)</f>
        <v>0</v>
      </c>
      <c r="AA374" s="20">
        <f>SUMIFS('Doc''s Pagos | Rodopar 108'!$J:$J,'Doc''s Pagos | Rodopar 108'!$A:$A,$B374&amp;$E374&amp;$F374&amp;$J374,'Doc''s Pagos | Rodopar 108'!$B:$B,AA$1)+SUMIFS('Doc Há Pagar | Rodopar 1015'!$J:$J,'Doc Há Pagar | Rodopar 1015'!$A:$A,$B374&amp;$E374&amp;$F374,'Doc Há Pagar | Rodopar 1015'!$B:$B,AA$1)</f>
        <v>1615.79</v>
      </c>
      <c r="AB374" s="20">
        <f>SUMIFS('Doc''s Pagos | Rodopar 108'!$J:$J,'Doc''s Pagos | Rodopar 108'!$A:$A,$B374&amp;$E374&amp;$F374&amp;$J374,'Doc''s Pagos | Rodopar 108'!$B:$B,AB$1)+SUMIFS('Doc Há Pagar | Rodopar 1015'!$J:$J,'Doc Há Pagar | Rodopar 1015'!$A:$A,$B374&amp;$E374&amp;$F374,'Doc Há Pagar | Rodopar 1015'!$B:$B,AB$1)</f>
        <v>0</v>
      </c>
      <c r="AC374" s="20">
        <f>SUMIFS('Doc''s Pagos | Rodopar 108'!$J:$J,'Doc''s Pagos | Rodopar 108'!$A:$A,$B374&amp;$E374&amp;$F374&amp;$J374,'Doc''s Pagos | Rodopar 108'!$B:$B,AC$1)+SUMIFS('Doc Há Pagar | Rodopar 1015'!$J:$J,'Doc Há Pagar | Rodopar 1015'!$A:$A,$B374&amp;$E374&amp;$F374,'Doc Há Pagar | Rodopar 1015'!$B:$B,AC$1)</f>
        <v>0</v>
      </c>
      <c r="AD374" s="20">
        <f>SUMIFS('Doc''s Pagos | Rodopar 108'!$J:$J,'Doc''s Pagos | Rodopar 108'!$A:$A,$B374&amp;$E374&amp;$F374&amp;$J374,'Doc''s Pagos | Rodopar 108'!$B:$B,AD$1)+SUMIFS('Doc Há Pagar | Rodopar 1015'!$J:$J,'Doc Há Pagar | Rodopar 1015'!$A:$A,$B374&amp;$E374&amp;$F374,'Doc Há Pagar | Rodopar 1015'!$B:$B,AD$1)</f>
        <v>0</v>
      </c>
    </row>
    <row r="375" spans="1:30" x14ac:dyDescent="0.25">
      <c r="A375" s="1" t="str">
        <f>VLOOKUP($E375,Fornecedores!$A:$C,3,0)</f>
        <v>Frota</v>
      </c>
      <c r="B375" s="14">
        <v>3444044</v>
      </c>
      <c r="C375" s="14" t="str">
        <f>IFERROR(VLOOKUP($E375,Fornecedores!$A:$E,4,0),"")</f>
        <v>MTSR</v>
      </c>
      <c r="D375" s="14" t="str">
        <f>IFERROR(VLOOKUP($E375,Fornecedores!$A:$E,5,0),"")</f>
        <v>Tecnologia</v>
      </c>
      <c r="E375" s="8" t="s">
        <v>192</v>
      </c>
      <c r="F375" s="14" t="s">
        <v>665</v>
      </c>
      <c r="G375" s="8" t="s">
        <v>837</v>
      </c>
      <c r="H375" s="9">
        <v>87</v>
      </c>
      <c r="I375" s="21">
        <v>9137.4699999999993</v>
      </c>
      <c r="J375" s="11">
        <v>46246</v>
      </c>
      <c r="K375" s="11">
        <v>46252</v>
      </c>
      <c r="L375" s="8" t="s">
        <v>723</v>
      </c>
      <c r="M375" s="14" t="s">
        <v>684</v>
      </c>
      <c r="N375" s="16">
        <v>2556</v>
      </c>
      <c r="O375" s="14" t="s">
        <v>250</v>
      </c>
      <c r="P375" s="14"/>
      <c r="Q375" s="20">
        <f t="shared" si="5"/>
        <v>0</v>
      </c>
      <c r="S375" s="20">
        <f>SUMIFS('Doc''s Pagos | Rodopar 108'!$J:$J,'Doc''s Pagos | Rodopar 108'!$A:$A,$B375&amp;$E375&amp;$F375&amp;$J375,'Doc''s Pagos | Rodopar 108'!$B:$B,S$1)+SUMIFS('Doc Há Pagar | Rodopar 1015'!$J:$J,'Doc Há Pagar | Rodopar 1015'!$A:$A,$B375&amp;$E375&amp;$F375,'Doc Há Pagar | Rodopar 1015'!$B:$B,S$1)</f>
        <v>0</v>
      </c>
      <c r="T375" s="20">
        <f>SUMIFS('Doc''s Pagos | Rodopar 108'!$J:$J,'Doc''s Pagos | Rodopar 108'!$A:$A,$B375&amp;$E375&amp;$F375&amp;$J375,'Doc''s Pagos | Rodopar 108'!$B:$B,T$1)+SUMIFS('Doc Há Pagar | Rodopar 1015'!$J:$J,'Doc Há Pagar | Rodopar 1015'!$A:$A,$B375&amp;$E375&amp;$F375,'Doc Há Pagar | Rodopar 1015'!$B:$B,T$1)</f>
        <v>0</v>
      </c>
      <c r="U375" s="20">
        <f>SUMIFS('Doc''s Pagos | Rodopar 108'!$J:$J,'Doc''s Pagos | Rodopar 108'!$A:$A,$B375&amp;$E375&amp;$F375&amp;$J375,'Doc''s Pagos | Rodopar 108'!$B:$B,U$1)+SUMIFS('Doc Há Pagar | Rodopar 1015'!$J:$J,'Doc Há Pagar | Rodopar 1015'!$A:$A,$B375&amp;$E375&amp;$F375,'Doc Há Pagar | Rodopar 1015'!$B:$B,U$1)</f>
        <v>0</v>
      </c>
      <c r="V375" s="20">
        <f>SUMIFS('Doc''s Pagos | Rodopar 108'!$J:$J,'Doc''s Pagos | Rodopar 108'!$A:$A,$B375&amp;$E375&amp;$F375&amp;$J375,'Doc''s Pagos | Rodopar 108'!$B:$B,V$1)+SUMIFS('Doc Há Pagar | Rodopar 1015'!$J:$J,'Doc Há Pagar | Rodopar 1015'!$A:$A,$B375&amp;$E375&amp;$F375,'Doc Há Pagar | Rodopar 1015'!$B:$B,V$1)</f>
        <v>0</v>
      </c>
      <c r="W375" s="20">
        <f>SUMIFS('Doc''s Pagos | Rodopar 108'!$J:$J,'Doc''s Pagos | Rodopar 108'!$A:$A,$B375&amp;$E375&amp;$F375&amp;$J375,'Doc''s Pagos | Rodopar 108'!$B:$B,W$1)+SUMIFS('Doc Há Pagar | Rodopar 1015'!$J:$J,'Doc Há Pagar | Rodopar 1015'!$A:$A,$B375&amp;$E375&amp;$F375,'Doc Há Pagar | Rodopar 1015'!$B:$B,W$1)</f>
        <v>0</v>
      </c>
      <c r="X375" s="20">
        <f>SUMIFS('Doc''s Pagos | Rodopar 108'!$J:$J,'Doc''s Pagos | Rodopar 108'!$A:$A,$B375&amp;$E375&amp;$F375&amp;$J375,'Doc''s Pagos | Rodopar 108'!$B:$B,X$1)+SUMIFS('Doc Há Pagar | Rodopar 1015'!$J:$J,'Doc Há Pagar | Rodopar 1015'!$A:$A,$B375&amp;$E375&amp;$F375,'Doc Há Pagar | Rodopar 1015'!$B:$B,X$1)</f>
        <v>0</v>
      </c>
      <c r="Y375" s="20">
        <f>SUMIFS('Doc''s Pagos | Rodopar 108'!$J:$J,'Doc''s Pagos | Rodopar 108'!$A:$A,$B375&amp;$E375&amp;$F375&amp;$J375,'Doc''s Pagos | Rodopar 108'!$B:$B,Y$1)+SUMIFS('Doc Há Pagar | Rodopar 1015'!$J:$J,'Doc Há Pagar | Rodopar 1015'!$A:$A,$B375&amp;$E375&amp;$F375,'Doc Há Pagar | Rodopar 1015'!$B:$B,Y$1)</f>
        <v>0</v>
      </c>
      <c r="Z375" s="20">
        <f>SUMIFS('Doc''s Pagos | Rodopar 108'!$J:$J,'Doc''s Pagos | Rodopar 108'!$A:$A,$B375&amp;$E375&amp;$F375&amp;$J375,'Doc''s Pagos | Rodopar 108'!$B:$B,Z$1)+SUMIFS('Doc Há Pagar | Rodopar 1015'!$J:$J,'Doc Há Pagar | Rodopar 1015'!$A:$A,$B375&amp;$E375&amp;$F375,'Doc Há Pagar | Rodopar 1015'!$B:$B,Z$1)</f>
        <v>0</v>
      </c>
      <c r="AA375" s="20">
        <f>SUMIFS('Doc''s Pagos | Rodopar 108'!$J:$J,'Doc''s Pagos | Rodopar 108'!$A:$A,$B375&amp;$E375&amp;$F375&amp;$J375,'Doc''s Pagos | Rodopar 108'!$B:$B,AA$1)+SUMIFS('Doc Há Pagar | Rodopar 1015'!$J:$J,'Doc Há Pagar | Rodopar 1015'!$A:$A,$B375&amp;$E375&amp;$F375,'Doc Há Pagar | Rodopar 1015'!$B:$B,AA$1)</f>
        <v>9137.4699999999993</v>
      </c>
      <c r="AB375" s="20">
        <f>SUMIFS('Doc''s Pagos | Rodopar 108'!$J:$J,'Doc''s Pagos | Rodopar 108'!$A:$A,$B375&amp;$E375&amp;$F375&amp;$J375,'Doc''s Pagos | Rodopar 108'!$B:$B,AB$1)+SUMIFS('Doc Há Pagar | Rodopar 1015'!$J:$J,'Doc Há Pagar | Rodopar 1015'!$A:$A,$B375&amp;$E375&amp;$F375,'Doc Há Pagar | Rodopar 1015'!$B:$B,AB$1)</f>
        <v>0</v>
      </c>
      <c r="AC375" s="20">
        <f>SUMIFS('Doc''s Pagos | Rodopar 108'!$J:$J,'Doc''s Pagos | Rodopar 108'!$A:$A,$B375&amp;$E375&amp;$F375&amp;$J375,'Doc''s Pagos | Rodopar 108'!$B:$B,AC$1)+SUMIFS('Doc Há Pagar | Rodopar 1015'!$J:$J,'Doc Há Pagar | Rodopar 1015'!$A:$A,$B375&amp;$E375&amp;$F375,'Doc Há Pagar | Rodopar 1015'!$B:$B,AC$1)</f>
        <v>0</v>
      </c>
      <c r="AD375" s="20">
        <f>SUMIFS('Doc''s Pagos | Rodopar 108'!$J:$J,'Doc''s Pagos | Rodopar 108'!$A:$A,$B375&amp;$E375&amp;$F375&amp;$J375,'Doc''s Pagos | Rodopar 108'!$B:$B,AD$1)+SUMIFS('Doc Há Pagar | Rodopar 1015'!$J:$J,'Doc Há Pagar | Rodopar 1015'!$A:$A,$B375&amp;$E375&amp;$F375,'Doc Há Pagar | Rodopar 1015'!$B:$B,AD$1)</f>
        <v>0</v>
      </c>
    </row>
    <row r="376" spans="1:30" x14ac:dyDescent="0.25">
      <c r="A376" s="1" t="str">
        <f>VLOOKUP($E376,Fornecedores!$A:$C,3,0)</f>
        <v>Frota</v>
      </c>
      <c r="B376" s="14">
        <v>52</v>
      </c>
      <c r="C376" s="14" t="str">
        <f>IFERROR(VLOOKUP($E376,Fornecedores!$A:$E,4,0),"")</f>
        <v>Sinistro</v>
      </c>
      <c r="D376" s="14" t="str">
        <f>IFERROR(VLOOKUP($E376,Fornecedores!$A:$E,5,0),"")</f>
        <v>Lanternagem</v>
      </c>
      <c r="E376" s="8" t="s">
        <v>34</v>
      </c>
      <c r="F376" s="14" t="s">
        <v>665</v>
      </c>
      <c r="G376" s="8" t="s">
        <v>848</v>
      </c>
      <c r="H376" s="9">
        <v>87</v>
      </c>
      <c r="I376" s="21">
        <v>500</v>
      </c>
      <c r="J376" s="11">
        <v>46246</v>
      </c>
      <c r="K376" s="11">
        <v>46252</v>
      </c>
      <c r="L376" s="8" t="s">
        <v>382</v>
      </c>
      <c r="M376" s="14" t="s">
        <v>234</v>
      </c>
      <c r="N376" s="16">
        <v>1556</v>
      </c>
      <c r="O376" s="14" t="s">
        <v>250</v>
      </c>
      <c r="P376" s="14"/>
      <c r="Q376" s="20">
        <f t="shared" si="5"/>
        <v>0</v>
      </c>
      <c r="S376" s="20">
        <f>SUMIFS('Doc''s Pagos | Rodopar 108'!$J:$J,'Doc''s Pagos | Rodopar 108'!$A:$A,$B376&amp;$E376&amp;$F376&amp;$J376,'Doc''s Pagos | Rodopar 108'!$B:$B,S$1)+SUMIFS('Doc Há Pagar | Rodopar 1015'!$J:$J,'Doc Há Pagar | Rodopar 1015'!$A:$A,$B376&amp;$E376&amp;$F376,'Doc Há Pagar | Rodopar 1015'!$B:$B,S$1)</f>
        <v>0</v>
      </c>
      <c r="T376" s="20">
        <f>SUMIFS('Doc''s Pagos | Rodopar 108'!$J:$J,'Doc''s Pagos | Rodopar 108'!$A:$A,$B376&amp;$E376&amp;$F376&amp;$J376,'Doc''s Pagos | Rodopar 108'!$B:$B,T$1)+SUMIFS('Doc Há Pagar | Rodopar 1015'!$J:$J,'Doc Há Pagar | Rodopar 1015'!$A:$A,$B376&amp;$E376&amp;$F376,'Doc Há Pagar | Rodopar 1015'!$B:$B,T$1)</f>
        <v>0</v>
      </c>
      <c r="U376" s="20">
        <f>SUMIFS('Doc''s Pagos | Rodopar 108'!$J:$J,'Doc''s Pagos | Rodopar 108'!$A:$A,$B376&amp;$E376&amp;$F376&amp;$J376,'Doc''s Pagos | Rodopar 108'!$B:$B,U$1)+SUMIFS('Doc Há Pagar | Rodopar 1015'!$J:$J,'Doc Há Pagar | Rodopar 1015'!$A:$A,$B376&amp;$E376&amp;$F376,'Doc Há Pagar | Rodopar 1015'!$B:$B,U$1)</f>
        <v>0</v>
      </c>
      <c r="V376" s="20">
        <f>SUMIFS('Doc''s Pagos | Rodopar 108'!$J:$J,'Doc''s Pagos | Rodopar 108'!$A:$A,$B376&amp;$E376&amp;$F376&amp;$J376,'Doc''s Pagos | Rodopar 108'!$B:$B,V$1)+SUMIFS('Doc Há Pagar | Rodopar 1015'!$J:$J,'Doc Há Pagar | Rodopar 1015'!$A:$A,$B376&amp;$E376&amp;$F376,'Doc Há Pagar | Rodopar 1015'!$B:$B,V$1)</f>
        <v>0</v>
      </c>
      <c r="W376" s="20">
        <f>SUMIFS('Doc''s Pagos | Rodopar 108'!$J:$J,'Doc''s Pagos | Rodopar 108'!$A:$A,$B376&amp;$E376&amp;$F376&amp;$J376,'Doc''s Pagos | Rodopar 108'!$B:$B,W$1)+SUMIFS('Doc Há Pagar | Rodopar 1015'!$J:$J,'Doc Há Pagar | Rodopar 1015'!$A:$A,$B376&amp;$E376&amp;$F376,'Doc Há Pagar | Rodopar 1015'!$B:$B,W$1)</f>
        <v>0</v>
      </c>
      <c r="X376" s="20">
        <f>SUMIFS('Doc''s Pagos | Rodopar 108'!$J:$J,'Doc''s Pagos | Rodopar 108'!$A:$A,$B376&amp;$E376&amp;$F376&amp;$J376,'Doc''s Pagos | Rodopar 108'!$B:$B,X$1)+SUMIFS('Doc Há Pagar | Rodopar 1015'!$J:$J,'Doc Há Pagar | Rodopar 1015'!$A:$A,$B376&amp;$E376&amp;$F376,'Doc Há Pagar | Rodopar 1015'!$B:$B,X$1)</f>
        <v>0</v>
      </c>
      <c r="Y376" s="20">
        <f>SUMIFS('Doc''s Pagos | Rodopar 108'!$J:$J,'Doc''s Pagos | Rodopar 108'!$A:$A,$B376&amp;$E376&amp;$F376&amp;$J376,'Doc''s Pagos | Rodopar 108'!$B:$B,Y$1)+SUMIFS('Doc Há Pagar | Rodopar 1015'!$J:$J,'Doc Há Pagar | Rodopar 1015'!$A:$A,$B376&amp;$E376&amp;$F376,'Doc Há Pagar | Rodopar 1015'!$B:$B,Y$1)</f>
        <v>0</v>
      </c>
      <c r="Z376" s="20">
        <f>SUMIFS('Doc''s Pagos | Rodopar 108'!$J:$J,'Doc''s Pagos | Rodopar 108'!$A:$A,$B376&amp;$E376&amp;$F376&amp;$J376,'Doc''s Pagos | Rodopar 108'!$B:$B,Z$1)+SUMIFS('Doc Há Pagar | Rodopar 1015'!$J:$J,'Doc Há Pagar | Rodopar 1015'!$A:$A,$B376&amp;$E376&amp;$F376,'Doc Há Pagar | Rodopar 1015'!$B:$B,Z$1)</f>
        <v>0</v>
      </c>
      <c r="AA376" s="20">
        <f>SUMIFS('Doc''s Pagos | Rodopar 108'!$J:$J,'Doc''s Pagos | Rodopar 108'!$A:$A,$B376&amp;$E376&amp;$F376&amp;$J376,'Doc''s Pagos | Rodopar 108'!$B:$B,AA$1)+SUMIFS('Doc Há Pagar | Rodopar 1015'!$J:$J,'Doc Há Pagar | Rodopar 1015'!$A:$A,$B376&amp;$E376&amp;$F376,'Doc Há Pagar | Rodopar 1015'!$B:$B,AA$1)</f>
        <v>500</v>
      </c>
      <c r="AB376" s="20">
        <f>SUMIFS('Doc''s Pagos | Rodopar 108'!$J:$J,'Doc''s Pagos | Rodopar 108'!$A:$A,$B376&amp;$E376&amp;$F376&amp;$J376,'Doc''s Pagos | Rodopar 108'!$B:$B,AB$1)+SUMIFS('Doc Há Pagar | Rodopar 1015'!$J:$J,'Doc Há Pagar | Rodopar 1015'!$A:$A,$B376&amp;$E376&amp;$F376,'Doc Há Pagar | Rodopar 1015'!$B:$B,AB$1)</f>
        <v>0</v>
      </c>
      <c r="AC376" s="20">
        <f>SUMIFS('Doc''s Pagos | Rodopar 108'!$J:$J,'Doc''s Pagos | Rodopar 108'!$A:$A,$B376&amp;$E376&amp;$F376&amp;$J376,'Doc''s Pagos | Rodopar 108'!$B:$B,AC$1)+SUMIFS('Doc Há Pagar | Rodopar 1015'!$J:$J,'Doc Há Pagar | Rodopar 1015'!$A:$A,$B376&amp;$E376&amp;$F376,'Doc Há Pagar | Rodopar 1015'!$B:$B,AC$1)</f>
        <v>0</v>
      </c>
      <c r="AD376" s="20">
        <f>SUMIFS('Doc''s Pagos | Rodopar 108'!$J:$J,'Doc''s Pagos | Rodopar 108'!$A:$A,$B376&amp;$E376&amp;$F376&amp;$J376,'Doc''s Pagos | Rodopar 108'!$B:$B,AD$1)+SUMIFS('Doc Há Pagar | Rodopar 1015'!$J:$J,'Doc Há Pagar | Rodopar 1015'!$A:$A,$B376&amp;$E376&amp;$F376,'Doc Há Pagar | Rodopar 1015'!$B:$B,AD$1)</f>
        <v>0</v>
      </c>
    </row>
    <row r="377" spans="1:30" x14ac:dyDescent="0.25">
      <c r="A377" s="1" t="str">
        <f>VLOOKUP($E377,Fornecedores!$A:$C,3,0)</f>
        <v>Frota</v>
      </c>
      <c r="B377" s="14">
        <v>1030041</v>
      </c>
      <c r="C377" s="14" t="str">
        <f>IFERROR(VLOOKUP($E377,Fornecedores!$A:$E,4,0),"")</f>
        <v>Manutenção</v>
      </c>
      <c r="D377" s="14" t="str">
        <f>IFERROR(VLOOKUP($E377,Fornecedores!$A:$E,5,0),"")</f>
        <v>Caminhão</v>
      </c>
      <c r="E377" s="8" t="s">
        <v>190</v>
      </c>
      <c r="F377" s="14" t="s">
        <v>380</v>
      </c>
      <c r="G377" s="8" t="s">
        <v>381</v>
      </c>
      <c r="H377" s="9">
        <v>87</v>
      </c>
      <c r="I377" s="21">
        <v>1943.25</v>
      </c>
      <c r="J377" s="11">
        <v>46247</v>
      </c>
      <c r="K377" s="11">
        <v>46247</v>
      </c>
      <c r="L377" s="8" t="s">
        <v>382</v>
      </c>
      <c r="M377" s="14" t="s">
        <v>234</v>
      </c>
      <c r="N377" s="16">
        <v>1556</v>
      </c>
      <c r="O377" s="14" t="s">
        <v>241</v>
      </c>
      <c r="P377" s="14"/>
      <c r="Q377" s="20">
        <f t="shared" si="5"/>
        <v>0</v>
      </c>
      <c r="S377" s="20">
        <f>SUMIFS('Doc''s Pagos | Rodopar 108'!$J:$J,'Doc''s Pagos | Rodopar 108'!$A:$A,$B377&amp;$E377&amp;$F377&amp;$J377,'Doc''s Pagos | Rodopar 108'!$B:$B,S$1)+SUMIFS('Doc Há Pagar | Rodopar 1015'!$J:$J,'Doc Há Pagar | Rodopar 1015'!$A:$A,$B377&amp;$E377&amp;$F377,'Doc Há Pagar | Rodopar 1015'!$B:$B,S$1)</f>
        <v>0</v>
      </c>
      <c r="T377" s="20">
        <f>SUMIFS('Doc''s Pagos | Rodopar 108'!$J:$J,'Doc''s Pagos | Rodopar 108'!$A:$A,$B377&amp;$E377&amp;$F377&amp;$J377,'Doc''s Pagos | Rodopar 108'!$B:$B,T$1)+SUMIFS('Doc Há Pagar | Rodopar 1015'!$J:$J,'Doc Há Pagar | Rodopar 1015'!$A:$A,$B377&amp;$E377&amp;$F377,'Doc Há Pagar | Rodopar 1015'!$B:$B,T$1)</f>
        <v>0</v>
      </c>
      <c r="U377" s="20">
        <f>SUMIFS('Doc''s Pagos | Rodopar 108'!$J:$J,'Doc''s Pagos | Rodopar 108'!$A:$A,$B377&amp;$E377&amp;$F377&amp;$J377,'Doc''s Pagos | Rodopar 108'!$B:$B,U$1)+SUMIFS('Doc Há Pagar | Rodopar 1015'!$J:$J,'Doc Há Pagar | Rodopar 1015'!$A:$A,$B377&amp;$E377&amp;$F377,'Doc Há Pagar | Rodopar 1015'!$B:$B,U$1)</f>
        <v>0</v>
      </c>
      <c r="V377" s="20">
        <f>SUMIFS('Doc''s Pagos | Rodopar 108'!$J:$J,'Doc''s Pagos | Rodopar 108'!$A:$A,$B377&amp;$E377&amp;$F377&amp;$J377,'Doc''s Pagos | Rodopar 108'!$B:$B,V$1)+SUMIFS('Doc Há Pagar | Rodopar 1015'!$J:$J,'Doc Há Pagar | Rodopar 1015'!$A:$A,$B377&amp;$E377&amp;$F377,'Doc Há Pagar | Rodopar 1015'!$B:$B,V$1)</f>
        <v>0</v>
      </c>
      <c r="W377" s="20">
        <f>SUMIFS('Doc''s Pagos | Rodopar 108'!$J:$J,'Doc''s Pagos | Rodopar 108'!$A:$A,$B377&amp;$E377&amp;$F377&amp;$J377,'Doc''s Pagos | Rodopar 108'!$B:$B,W$1)+SUMIFS('Doc Há Pagar | Rodopar 1015'!$J:$J,'Doc Há Pagar | Rodopar 1015'!$A:$A,$B377&amp;$E377&amp;$F377,'Doc Há Pagar | Rodopar 1015'!$B:$B,W$1)</f>
        <v>0</v>
      </c>
      <c r="X377" s="20">
        <f>SUMIFS('Doc''s Pagos | Rodopar 108'!$J:$J,'Doc''s Pagos | Rodopar 108'!$A:$A,$B377&amp;$E377&amp;$F377&amp;$J377,'Doc''s Pagos | Rodopar 108'!$B:$B,X$1)+SUMIFS('Doc Há Pagar | Rodopar 1015'!$J:$J,'Doc Há Pagar | Rodopar 1015'!$A:$A,$B377&amp;$E377&amp;$F377,'Doc Há Pagar | Rodopar 1015'!$B:$B,X$1)</f>
        <v>0</v>
      </c>
      <c r="Y377" s="20">
        <f>SUMIFS('Doc''s Pagos | Rodopar 108'!$J:$J,'Doc''s Pagos | Rodopar 108'!$A:$A,$B377&amp;$E377&amp;$F377&amp;$J377,'Doc''s Pagos | Rodopar 108'!$B:$B,Y$1)+SUMIFS('Doc Há Pagar | Rodopar 1015'!$J:$J,'Doc Há Pagar | Rodopar 1015'!$A:$A,$B377&amp;$E377&amp;$F377,'Doc Há Pagar | Rodopar 1015'!$B:$B,Y$1)</f>
        <v>0</v>
      </c>
      <c r="Z377" s="20">
        <f>SUMIFS('Doc''s Pagos | Rodopar 108'!$J:$J,'Doc''s Pagos | Rodopar 108'!$A:$A,$B377&amp;$E377&amp;$F377&amp;$J377,'Doc''s Pagos | Rodopar 108'!$B:$B,Z$1)+SUMIFS('Doc Há Pagar | Rodopar 1015'!$J:$J,'Doc Há Pagar | Rodopar 1015'!$A:$A,$B377&amp;$E377&amp;$F377,'Doc Há Pagar | Rodopar 1015'!$B:$B,Z$1)</f>
        <v>1943.25</v>
      </c>
      <c r="AA377" s="20">
        <f>SUMIFS('Doc''s Pagos | Rodopar 108'!$J:$J,'Doc''s Pagos | Rodopar 108'!$A:$A,$B377&amp;$E377&amp;$F377&amp;$J377,'Doc''s Pagos | Rodopar 108'!$B:$B,AA$1)+SUMIFS('Doc Há Pagar | Rodopar 1015'!$J:$J,'Doc Há Pagar | Rodopar 1015'!$A:$A,$B377&amp;$E377&amp;$F377,'Doc Há Pagar | Rodopar 1015'!$B:$B,AA$1)</f>
        <v>0</v>
      </c>
      <c r="AB377" s="20">
        <f>SUMIFS('Doc''s Pagos | Rodopar 108'!$J:$J,'Doc''s Pagos | Rodopar 108'!$A:$A,$B377&amp;$E377&amp;$F377&amp;$J377,'Doc''s Pagos | Rodopar 108'!$B:$B,AB$1)+SUMIFS('Doc Há Pagar | Rodopar 1015'!$J:$J,'Doc Há Pagar | Rodopar 1015'!$A:$A,$B377&amp;$E377&amp;$F377,'Doc Há Pagar | Rodopar 1015'!$B:$B,AB$1)</f>
        <v>0</v>
      </c>
      <c r="AC377" s="20">
        <f>SUMIFS('Doc''s Pagos | Rodopar 108'!$J:$J,'Doc''s Pagos | Rodopar 108'!$A:$A,$B377&amp;$E377&amp;$F377&amp;$J377,'Doc''s Pagos | Rodopar 108'!$B:$B,AC$1)+SUMIFS('Doc Há Pagar | Rodopar 1015'!$J:$J,'Doc Há Pagar | Rodopar 1015'!$A:$A,$B377&amp;$E377&amp;$F377,'Doc Há Pagar | Rodopar 1015'!$B:$B,AC$1)</f>
        <v>0</v>
      </c>
      <c r="AD377" s="20">
        <f>SUMIFS('Doc''s Pagos | Rodopar 108'!$J:$J,'Doc''s Pagos | Rodopar 108'!$A:$A,$B377&amp;$E377&amp;$F377&amp;$J377,'Doc''s Pagos | Rodopar 108'!$B:$B,AD$1)+SUMIFS('Doc Há Pagar | Rodopar 1015'!$J:$J,'Doc Há Pagar | Rodopar 1015'!$A:$A,$B377&amp;$E377&amp;$F377,'Doc Há Pagar | Rodopar 1015'!$B:$B,AD$1)</f>
        <v>0</v>
      </c>
    </row>
    <row r="378" spans="1:30" x14ac:dyDescent="0.25">
      <c r="A378" s="1" t="str">
        <f>VLOOKUP($E378,Fornecedores!$A:$C,3,0)</f>
        <v>Frota</v>
      </c>
      <c r="B378" s="14">
        <v>11</v>
      </c>
      <c r="C378" s="14" t="str">
        <f>IFERROR(VLOOKUP($E378,Fornecedores!$A:$E,4,0),"")</f>
        <v>Sinistro</v>
      </c>
      <c r="D378" s="14" t="str">
        <f>IFERROR(VLOOKUP($E378,Fornecedores!$A:$E,5,0),"")</f>
        <v>Lanternagem</v>
      </c>
      <c r="E378" s="8" t="s">
        <v>35</v>
      </c>
      <c r="F378" s="14" t="s">
        <v>380</v>
      </c>
      <c r="G378" s="8" t="s">
        <v>399</v>
      </c>
      <c r="H378" s="9">
        <v>87</v>
      </c>
      <c r="I378" s="21">
        <v>9453.4</v>
      </c>
      <c r="J378" s="11">
        <v>46247</v>
      </c>
      <c r="K378" s="11">
        <v>46252</v>
      </c>
      <c r="L378" s="8" t="s">
        <v>282</v>
      </c>
      <c r="M378" s="14" t="s">
        <v>234</v>
      </c>
      <c r="N378" s="16">
        <v>1556</v>
      </c>
      <c r="O378" s="14" t="s">
        <v>250</v>
      </c>
      <c r="P378" s="14"/>
      <c r="Q378" s="20">
        <f t="shared" si="5"/>
        <v>0</v>
      </c>
      <c r="S378" s="20">
        <f>SUMIFS('Doc''s Pagos | Rodopar 108'!$J:$J,'Doc''s Pagos | Rodopar 108'!$A:$A,$B378&amp;$E378&amp;$F378&amp;$J378,'Doc''s Pagos | Rodopar 108'!$B:$B,S$1)+SUMIFS('Doc Há Pagar | Rodopar 1015'!$J:$J,'Doc Há Pagar | Rodopar 1015'!$A:$A,$B378&amp;$E378&amp;$F378,'Doc Há Pagar | Rodopar 1015'!$B:$B,S$1)</f>
        <v>0</v>
      </c>
      <c r="T378" s="20">
        <f>SUMIFS('Doc''s Pagos | Rodopar 108'!$J:$J,'Doc''s Pagos | Rodopar 108'!$A:$A,$B378&amp;$E378&amp;$F378&amp;$J378,'Doc''s Pagos | Rodopar 108'!$B:$B,T$1)+SUMIFS('Doc Há Pagar | Rodopar 1015'!$J:$J,'Doc Há Pagar | Rodopar 1015'!$A:$A,$B378&amp;$E378&amp;$F378,'Doc Há Pagar | Rodopar 1015'!$B:$B,T$1)</f>
        <v>0</v>
      </c>
      <c r="U378" s="20">
        <f>SUMIFS('Doc''s Pagos | Rodopar 108'!$J:$J,'Doc''s Pagos | Rodopar 108'!$A:$A,$B378&amp;$E378&amp;$F378&amp;$J378,'Doc''s Pagos | Rodopar 108'!$B:$B,U$1)+SUMIFS('Doc Há Pagar | Rodopar 1015'!$J:$J,'Doc Há Pagar | Rodopar 1015'!$A:$A,$B378&amp;$E378&amp;$F378,'Doc Há Pagar | Rodopar 1015'!$B:$B,U$1)</f>
        <v>0</v>
      </c>
      <c r="V378" s="20">
        <f>SUMIFS('Doc''s Pagos | Rodopar 108'!$J:$J,'Doc''s Pagos | Rodopar 108'!$A:$A,$B378&amp;$E378&amp;$F378&amp;$J378,'Doc''s Pagos | Rodopar 108'!$B:$B,V$1)+SUMIFS('Doc Há Pagar | Rodopar 1015'!$J:$J,'Doc Há Pagar | Rodopar 1015'!$A:$A,$B378&amp;$E378&amp;$F378,'Doc Há Pagar | Rodopar 1015'!$B:$B,V$1)</f>
        <v>0</v>
      </c>
      <c r="W378" s="20">
        <f>SUMIFS('Doc''s Pagos | Rodopar 108'!$J:$J,'Doc''s Pagos | Rodopar 108'!$A:$A,$B378&amp;$E378&amp;$F378&amp;$J378,'Doc''s Pagos | Rodopar 108'!$B:$B,W$1)+SUMIFS('Doc Há Pagar | Rodopar 1015'!$J:$J,'Doc Há Pagar | Rodopar 1015'!$A:$A,$B378&amp;$E378&amp;$F378,'Doc Há Pagar | Rodopar 1015'!$B:$B,W$1)</f>
        <v>0</v>
      </c>
      <c r="X378" s="20">
        <f>SUMIFS('Doc''s Pagos | Rodopar 108'!$J:$J,'Doc''s Pagos | Rodopar 108'!$A:$A,$B378&amp;$E378&amp;$F378&amp;$J378,'Doc''s Pagos | Rodopar 108'!$B:$B,X$1)+SUMIFS('Doc Há Pagar | Rodopar 1015'!$J:$J,'Doc Há Pagar | Rodopar 1015'!$A:$A,$B378&amp;$E378&amp;$F378,'Doc Há Pagar | Rodopar 1015'!$B:$B,X$1)</f>
        <v>0</v>
      </c>
      <c r="Y378" s="20">
        <f>SUMIFS('Doc''s Pagos | Rodopar 108'!$J:$J,'Doc''s Pagos | Rodopar 108'!$A:$A,$B378&amp;$E378&amp;$F378&amp;$J378,'Doc''s Pagos | Rodopar 108'!$B:$B,Y$1)+SUMIFS('Doc Há Pagar | Rodopar 1015'!$J:$J,'Doc Há Pagar | Rodopar 1015'!$A:$A,$B378&amp;$E378&amp;$F378,'Doc Há Pagar | Rodopar 1015'!$B:$B,Y$1)</f>
        <v>0</v>
      </c>
      <c r="Z378" s="20">
        <f>SUMIFS('Doc''s Pagos | Rodopar 108'!$J:$J,'Doc''s Pagos | Rodopar 108'!$A:$A,$B378&amp;$E378&amp;$F378&amp;$J378,'Doc''s Pagos | Rodopar 108'!$B:$B,Z$1)+SUMIFS('Doc Há Pagar | Rodopar 1015'!$J:$J,'Doc Há Pagar | Rodopar 1015'!$A:$A,$B378&amp;$E378&amp;$F378,'Doc Há Pagar | Rodopar 1015'!$B:$B,Z$1)</f>
        <v>0</v>
      </c>
      <c r="AA378" s="20">
        <f>SUMIFS('Doc''s Pagos | Rodopar 108'!$J:$J,'Doc''s Pagos | Rodopar 108'!$A:$A,$B378&amp;$E378&amp;$F378&amp;$J378,'Doc''s Pagos | Rodopar 108'!$B:$B,AA$1)+SUMIFS('Doc Há Pagar | Rodopar 1015'!$J:$J,'Doc Há Pagar | Rodopar 1015'!$A:$A,$B378&amp;$E378&amp;$F378,'Doc Há Pagar | Rodopar 1015'!$B:$B,AA$1)</f>
        <v>9453.4</v>
      </c>
      <c r="AB378" s="20">
        <f>SUMIFS('Doc''s Pagos | Rodopar 108'!$J:$J,'Doc''s Pagos | Rodopar 108'!$A:$A,$B378&amp;$E378&amp;$F378&amp;$J378,'Doc''s Pagos | Rodopar 108'!$B:$B,AB$1)+SUMIFS('Doc Há Pagar | Rodopar 1015'!$J:$J,'Doc Há Pagar | Rodopar 1015'!$A:$A,$B378&amp;$E378&amp;$F378,'Doc Há Pagar | Rodopar 1015'!$B:$B,AB$1)</f>
        <v>0</v>
      </c>
      <c r="AC378" s="20">
        <f>SUMIFS('Doc''s Pagos | Rodopar 108'!$J:$J,'Doc''s Pagos | Rodopar 108'!$A:$A,$B378&amp;$E378&amp;$F378&amp;$J378,'Doc''s Pagos | Rodopar 108'!$B:$B,AC$1)+SUMIFS('Doc Há Pagar | Rodopar 1015'!$J:$J,'Doc Há Pagar | Rodopar 1015'!$A:$A,$B378&amp;$E378&amp;$F378,'Doc Há Pagar | Rodopar 1015'!$B:$B,AC$1)</f>
        <v>0</v>
      </c>
      <c r="AD378" s="20">
        <f>SUMIFS('Doc''s Pagos | Rodopar 108'!$J:$J,'Doc''s Pagos | Rodopar 108'!$A:$A,$B378&amp;$E378&amp;$F378&amp;$J378,'Doc''s Pagos | Rodopar 108'!$B:$B,AD$1)+SUMIFS('Doc Há Pagar | Rodopar 1015'!$J:$J,'Doc Há Pagar | Rodopar 1015'!$A:$A,$B378&amp;$E378&amp;$F378,'Doc Há Pagar | Rodopar 1015'!$B:$B,AD$1)</f>
        <v>0</v>
      </c>
    </row>
    <row r="379" spans="1:30" x14ac:dyDescent="0.25">
      <c r="A379" s="1" t="str">
        <f>VLOOKUP($E379,Fornecedores!$A:$C,3,0)</f>
        <v>Frota</v>
      </c>
      <c r="B379" s="14">
        <v>9</v>
      </c>
      <c r="C379" s="14" t="str">
        <f>IFERROR(VLOOKUP($E379,Fornecedores!$A:$E,4,0),"")</f>
        <v>Sinistro</v>
      </c>
      <c r="D379" s="14" t="str">
        <f>IFERROR(VLOOKUP($E379,Fornecedores!$A:$E,5,0),"")</f>
        <v>Lanternagem</v>
      </c>
      <c r="E379" s="8" t="s">
        <v>35</v>
      </c>
      <c r="F379" s="14" t="s">
        <v>380</v>
      </c>
      <c r="G379" s="8" t="s">
        <v>399</v>
      </c>
      <c r="H379" s="9">
        <v>87</v>
      </c>
      <c r="I379" s="21">
        <v>975</v>
      </c>
      <c r="J379" s="11">
        <v>46247</v>
      </c>
      <c r="K379" s="11">
        <v>46252</v>
      </c>
      <c r="L379" s="8" t="s">
        <v>282</v>
      </c>
      <c r="M379" s="14" t="s">
        <v>234</v>
      </c>
      <c r="N379" s="16">
        <v>1556</v>
      </c>
      <c r="O379" s="14" t="s">
        <v>250</v>
      </c>
      <c r="P379" s="14"/>
      <c r="Q379" s="20">
        <f t="shared" si="5"/>
        <v>0</v>
      </c>
      <c r="S379" s="20">
        <f>SUMIFS('Doc''s Pagos | Rodopar 108'!$J:$J,'Doc''s Pagos | Rodopar 108'!$A:$A,$B379&amp;$E379&amp;$F379&amp;$J379,'Doc''s Pagos | Rodopar 108'!$B:$B,S$1)+SUMIFS('Doc Há Pagar | Rodopar 1015'!$J:$J,'Doc Há Pagar | Rodopar 1015'!$A:$A,$B379&amp;$E379&amp;$F379,'Doc Há Pagar | Rodopar 1015'!$B:$B,S$1)</f>
        <v>0</v>
      </c>
      <c r="T379" s="20">
        <f>SUMIFS('Doc''s Pagos | Rodopar 108'!$J:$J,'Doc''s Pagos | Rodopar 108'!$A:$A,$B379&amp;$E379&amp;$F379&amp;$J379,'Doc''s Pagos | Rodopar 108'!$B:$B,T$1)+SUMIFS('Doc Há Pagar | Rodopar 1015'!$J:$J,'Doc Há Pagar | Rodopar 1015'!$A:$A,$B379&amp;$E379&amp;$F379,'Doc Há Pagar | Rodopar 1015'!$B:$B,T$1)</f>
        <v>0</v>
      </c>
      <c r="U379" s="20">
        <f>SUMIFS('Doc''s Pagos | Rodopar 108'!$J:$J,'Doc''s Pagos | Rodopar 108'!$A:$A,$B379&amp;$E379&amp;$F379&amp;$J379,'Doc''s Pagos | Rodopar 108'!$B:$B,U$1)+SUMIFS('Doc Há Pagar | Rodopar 1015'!$J:$J,'Doc Há Pagar | Rodopar 1015'!$A:$A,$B379&amp;$E379&amp;$F379,'Doc Há Pagar | Rodopar 1015'!$B:$B,U$1)</f>
        <v>0</v>
      </c>
      <c r="V379" s="20">
        <f>SUMIFS('Doc''s Pagos | Rodopar 108'!$J:$J,'Doc''s Pagos | Rodopar 108'!$A:$A,$B379&amp;$E379&amp;$F379&amp;$J379,'Doc''s Pagos | Rodopar 108'!$B:$B,V$1)+SUMIFS('Doc Há Pagar | Rodopar 1015'!$J:$J,'Doc Há Pagar | Rodopar 1015'!$A:$A,$B379&amp;$E379&amp;$F379,'Doc Há Pagar | Rodopar 1015'!$B:$B,V$1)</f>
        <v>0</v>
      </c>
      <c r="W379" s="20">
        <f>SUMIFS('Doc''s Pagos | Rodopar 108'!$J:$J,'Doc''s Pagos | Rodopar 108'!$A:$A,$B379&amp;$E379&amp;$F379&amp;$J379,'Doc''s Pagos | Rodopar 108'!$B:$B,W$1)+SUMIFS('Doc Há Pagar | Rodopar 1015'!$J:$J,'Doc Há Pagar | Rodopar 1015'!$A:$A,$B379&amp;$E379&amp;$F379,'Doc Há Pagar | Rodopar 1015'!$B:$B,W$1)</f>
        <v>0</v>
      </c>
      <c r="X379" s="20">
        <f>SUMIFS('Doc''s Pagos | Rodopar 108'!$J:$J,'Doc''s Pagos | Rodopar 108'!$A:$A,$B379&amp;$E379&amp;$F379&amp;$J379,'Doc''s Pagos | Rodopar 108'!$B:$B,X$1)+SUMIFS('Doc Há Pagar | Rodopar 1015'!$J:$J,'Doc Há Pagar | Rodopar 1015'!$A:$A,$B379&amp;$E379&amp;$F379,'Doc Há Pagar | Rodopar 1015'!$B:$B,X$1)</f>
        <v>0</v>
      </c>
      <c r="Y379" s="20">
        <f>SUMIFS('Doc''s Pagos | Rodopar 108'!$J:$J,'Doc''s Pagos | Rodopar 108'!$A:$A,$B379&amp;$E379&amp;$F379&amp;$J379,'Doc''s Pagos | Rodopar 108'!$B:$B,Y$1)+SUMIFS('Doc Há Pagar | Rodopar 1015'!$J:$J,'Doc Há Pagar | Rodopar 1015'!$A:$A,$B379&amp;$E379&amp;$F379,'Doc Há Pagar | Rodopar 1015'!$B:$B,Y$1)</f>
        <v>0</v>
      </c>
      <c r="Z379" s="20">
        <f>SUMIFS('Doc''s Pagos | Rodopar 108'!$J:$J,'Doc''s Pagos | Rodopar 108'!$A:$A,$B379&amp;$E379&amp;$F379&amp;$J379,'Doc''s Pagos | Rodopar 108'!$B:$B,Z$1)+SUMIFS('Doc Há Pagar | Rodopar 1015'!$J:$J,'Doc Há Pagar | Rodopar 1015'!$A:$A,$B379&amp;$E379&amp;$F379,'Doc Há Pagar | Rodopar 1015'!$B:$B,Z$1)</f>
        <v>0</v>
      </c>
      <c r="AA379" s="20">
        <f>SUMIFS('Doc''s Pagos | Rodopar 108'!$J:$J,'Doc''s Pagos | Rodopar 108'!$A:$A,$B379&amp;$E379&amp;$F379&amp;$J379,'Doc''s Pagos | Rodopar 108'!$B:$B,AA$1)+SUMIFS('Doc Há Pagar | Rodopar 1015'!$J:$J,'Doc Há Pagar | Rodopar 1015'!$A:$A,$B379&amp;$E379&amp;$F379,'Doc Há Pagar | Rodopar 1015'!$B:$B,AA$1)</f>
        <v>975</v>
      </c>
      <c r="AB379" s="20">
        <f>SUMIFS('Doc''s Pagos | Rodopar 108'!$J:$J,'Doc''s Pagos | Rodopar 108'!$A:$A,$B379&amp;$E379&amp;$F379&amp;$J379,'Doc''s Pagos | Rodopar 108'!$B:$B,AB$1)+SUMIFS('Doc Há Pagar | Rodopar 1015'!$J:$J,'Doc Há Pagar | Rodopar 1015'!$A:$A,$B379&amp;$E379&amp;$F379,'Doc Há Pagar | Rodopar 1015'!$B:$B,AB$1)</f>
        <v>0</v>
      </c>
      <c r="AC379" s="20">
        <f>SUMIFS('Doc''s Pagos | Rodopar 108'!$J:$J,'Doc''s Pagos | Rodopar 108'!$A:$A,$B379&amp;$E379&amp;$F379&amp;$J379,'Doc''s Pagos | Rodopar 108'!$B:$B,AC$1)+SUMIFS('Doc Há Pagar | Rodopar 1015'!$J:$J,'Doc Há Pagar | Rodopar 1015'!$A:$A,$B379&amp;$E379&amp;$F379,'Doc Há Pagar | Rodopar 1015'!$B:$B,AC$1)</f>
        <v>0</v>
      </c>
      <c r="AD379" s="20">
        <f>SUMIFS('Doc''s Pagos | Rodopar 108'!$J:$J,'Doc''s Pagos | Rodopar 108'!$A:$A,$B379&amp;$E379&amp;$F379&amp;$J379,'Doc''s Pagos | Rodopar 108'!$B:$B,AD$1)+SUMIFS('Doc Há Pagar | Rodopar 1015'!$J:$J,'Doc Há Pagar | Rodopar 1015'!$A:$A,$B379&amp;$E379&amp;$F379,'Doc Há Pagar | Rodopar 1015'!$B:$B,AD$1)</f>
        <v>0</v>
      </c>
    </row>
    <row r="380" spans="1:30" x14ac:dyDescent="0.25">
      <c r="A380" s="1" t="str">
        <f>VLOOKUP($E380,Fornecedores!$A:$C,3,0)</f>
        <v>Frota</v>
      </c>
      <c r="B380" s="14" t="s">
        <v>298</v>
      </c>
      <c r="C380" s="14" t="str">
        <f>IFERROR(VLOOKUP($E380,Fornecedores!$A:$E,4,0),"")</f>
        <v>OPE Merchandising</v>
      </c>
      <c r="D380" s="14" t="str">
        <f>IFERROR(VLOOKUP($E380,Fornecedores!$A:$E,5,0),"")</f>
        <v>Locação</v>
      </c>
      <c r="E380" s="8" t="s">
        <v>112</v>
      </c>
      <c r="F380" s="14" t="s">
        <v>232</v>
      </c>
      <c r="G380" s="8" t="s">
        <v>289</v>
      </c>
      <c r="H380" s="9">
        <v>87</v>
      </c>
      <c r="I380" s="21">
        <v>29819.52</v>
      </c>
      <c r="J380" s="11">
        <v>46249</v>
      </c>
      <c r="K380" s="11">
        <v>46253</v>
      </c>
      <c r="L380" s="8" t="s">
        <v>233</v>
      </c>
      <c r="M380" s="14" t="s">
        <v>234</v>
      </c>
      <c r="N380" s="16">
        <v>1556</v>
      </c>
      <c r="O380" s="14" t="s">
        <v>241</v>
      </c>
      <c r="P380" s="14"/>
      <c r="Q380" s="20">
        <f t="shared" si="5"/>
        <v>0</v>
      </c>
      <c r="S380" s="20">
        <f>SUMIFS('Doc''s Pagos | Rodopar 108'!$J:$J,'Doc''s Pagos | Rodopar 108'!$A:$A,$B380&amp;$E380&amp;$F380&amp;$J380,'Doc''s Pagos | Rodopar 108'!$B:$B,S$1)+SUMIFS('Doc Há Pagar | Rodopar 1015'!$J:$J,'Doc Há Pagar | Rodopar 1015'!$A:$A,$B380&amp;$E380&amp;$F380,'Doc Há Pagar | Rodopar 1015'!$B:$B,S$1)</f>
        <v>0</v>
      </c>
      <c r="T380" s="20">
        <f>SUMIFS('Doc''s Pagos | Rodopar 108'!$J:$J,'Doc''s Pagos | Rodopar 108'!$A:$A,$B380&amp;$E380&amp;$F380&amp;$J380,'Doc''s Pagos | Rodopar 108'!$B:$B,T$1)+SUMIFS('Doc Há Pagar | Rodopar 1015'!$J:$J,'Doc Há Pagar | Rodopar 1015'!$A:$A,$B380&amp;$E380&amp;$F380,'Doc Há Pagar | Rodopar 1015'!$B:$B,T$1)</f>
        <v>0</v>
      </c>
      <c r="U380" s="20">
        <f>SUMIFS('Doc''s Pagos | Rodopar 108'!$J:$J,'Doc''s Pagos | Rodopar 108'!$A:$A,$B380&amp;$E380&amp;$F380&amp;$J380,'Doc''s Pagos | Rodopar 108'!$B:$B,U$1)+SUMIFS('Doc Há Pagar | Rodopar 1015'!$J:$J,'Doc Há Pagar | Rodopar 1015'!$A:$A,$B380&amp;$E380&amp;$F380,'Doc Há Pagar | Rodopar 1015'!$B:$B,U$1)</f>
        <v>0</v>
      </c>
      <c r="V380" s="20">
        <f>SUMIFS('Doc''s Pagos | Rodopar 108'!$J:$J,'Doc''s Pagos | Rodopar 108'!$A:$A,$B380&amp;$E380&amp;$F380&amp;$J380,'Doc''s Pagos | Rodopar 108'!$B:$B,V$1)+SUMIFS('Doc Há Pagar | Rodopar 1015'!$J:$J,'Doc Há Pagar | Rodopar 1015'!$A:$A,$B380&amp;$E380&amp;$F380,'Doc Há Pagar | Rodopar 1015'!$B:$B,V$1)</f>
        <v>0</v>
      </c>
      <c r="W380" s="20">
        <f>SUMIFS('Doc''s Pagos | Rodopar 108'!$J:$J,'Doc''s Pagos | Rodopar 108'!$A:$A,$B380&amp;$E380&amp;$F380&amp;$J380,'Doc''s Pagos | Rodopar 108'!$B:$B,W$1)+SUMIFS('Doc Há Pagar | Rodopar 1015'!$J:$J,'Doc Há Pagar | Rodopar 1015'!$A:$A,$B380&amp;$E380&amp;$F380,'Doc Há Pagar | Rodopar 1015'!$B:$B,W$1)</f>
        <v>0</v>
      </c>
      <c r="X380" s="20">
        <f>SUMIFS('Doc''s Pagos | Rodopar 108'!$J:$J,'Doc''s Pagos | Rodopar 108'!$A:$A,$B380&amp;$E380&amp;$F380&amp;$J380,'Doc''s Pagos | Rodopar 108'!$B:$B,X$1)+SUMIFS('Doc Há Pagar | Rodopar 1015'!$J:$J,'Doc Há Pagar | Rodopar 1015'!$A:$A,$B380&amp;$E380&amp;$F380,'Doc Há Pagar | Rodopar 1015'!$B:$B,X$1)</f>
        <v>0</v>
      </c>
      <c r="Y380" s="20">
        <f>SUMIFS('Doc''s Pagos | Rodopar 108'!$J:$J,'Doc''s Pagos | Rodopar 108'!$A:$A,$B380&amp;$E380&amp;$F380&amp;$J380,'Doc''s Pagos | Rodopar 108'!$B:$B,Y$1)+SUMIFS('Doc Há Pagar | Rodopar 1015'!$J:$J,'Doc Há Pagar | Rodopar 1015'!$A:$A,$B380&amp;$E380&amp;$F380,'Doc Há Pagar | Rodopar 1015'!$B:$B,Y$1)</f>
        <v>0</v>
      </c>
      <c r="Z380" s="20">
        <f>SUMIFS('Doc''s Pagos | Rodopar 108'!$J:$J,'Doc''s Pagos | Rodopar 108'!$A:$A,$B380&amp;$E380&amp;$F380&amp;$J380,'Doc''s Pagos | Rodopar 108'!$B:$B,Z$1)+SUMIFS('Doc Há Pagar | Rodopar 1015'!$J:$J,'Doc Há Pagar | Rodopar 1015'!$A:$A,$B380&amp;$E380&amp;$F380,'Doc Há Pagar | Rodopar 1015'!$B:$B,Z$1)</f>
        <v>29819.52</v>
      </c>
      <c r="AA380" s="20">
        <f>SUMIFS('Doc''s Pagos | Rodopar 108'!$J:$J,'Doc''s Pagos | Rodopar 108'!$A:$A,$B380&amp;$E380&amp;$F380&amp;$J380,'Doc''s Pagos | Rodopar 108'!$B:$B,AA$1)+SUMIFS('Doc Há Pagar | Rodopar 1015'!$J:$J,'Doc Há Pagar | Rodopar 1015'!$A:$A,$B380&amp;$E380&amp;$F380,'Doc Há Pagar | Rodopar 1015'!$B:$B,AA$1)</f>
        <v>0</v>
      </c>
      <c r="AB380" s="20">
        <f>SUMIFS('Doc''s Pagos | Rodopar 108'!$J:$J,'Doc''s Pagos | Rodopar 108'!$A:$A,$B380&amp;$E380&amp;$F380&amp;$J380,'Doc''s Pagos | Rodopar 108'!$B:$B,AB$1)+SUMIFS('Doc Há Pagar | Rodopar 1015'!$J:$J,'Doc Há Pagar | Rodopar 1015'!$A:$A,$B380&amp;$E380&amp;$F380,'Doc Há Pagar | Rodopar 1015'!$B:$B,AB$1)</f>
        <v>0</v>
      </c>
      <c r="AC380" s="20">
        <f>SUMIFS('Doc''s Pagos | Rodopar 108'!$J:$J,'Doc''s Pagos | Rodopar 108'!$A:$A,$B380&amp;$E380&amp;$F380&amp;$J380,'Doc''s Pagos | Rodopar 108'!$B:$B,AC$1)+SUMIFS('Doc Há Pagar | Rodopar 1015'!$J:$J,'Doc Há Pagar | Rodopar 1015'!$A:$A,$B380&amp;$E380&amp;$F380,'Doc Há Pagar | Rodopar 1015'!$B:$B,AC$1)</f>
        <v>0</v>
      </c>
      <c r="AD380" s="20">
        <f>SUMIFS('Doc''s Pagos | Rodopar 108'!$J:$J,'Doc''s Pagos | Rodopar 108'!$A:$A,$B380&amp;$E380&amp;$F380&amp;$J380,'Doc''s Pagos | Rodopar 108'!$B:$B,AD$1)+SUMIFS('Doc Há Pagar | Rodopar 1015'!$J:$J,'Doc Há Pagar | Rodopar 1015'!$A:$A,$B380&amp;$E380&amp;$F380,'Doc Há Pagar | Rodopar 1015'!$B:$B,AD$1)</f>
        <v>0</v>
      </c>
    </row>
    <row r="381" spans="1:30" x14ac:dyDescent="0.25">
      <c r="A381" s="1" t="str">
        <f>VLOOKUP($E381,Fornecedores!$A:$C,3,0)</f>
        <v>Frota</v>
      </c>
      <c r="B381" s="14" t="s">
        <v>326</v>
      </c>
      <c r="C381" s="14" t="str">
        <f>IFERROR(VLOOKUP($E381,Fornecedores!$A:$E,4,0),"")</f>
        <v>OPE Merchandising</v>
      </c>
      <c r="D381" s="14" t="str">
        <f>IFERROR(VLOOKUP($E381,Fornecedores!$A:$E,5,0),"")</f>
        <v>Locação</v>
      </c>
      <c r="E381" s="8" t="s">
        <v>112</v>
      </c>
      <c r="F381" s="14" t="s">
        <v>232</v>
      </c>
      <c r="G381" s="8" t="s">
        <v>289</v>
      </c>
      <c r="H381" s="9">
        <v>87</v>
      </c>
      <c r="I381" s="21">
        <v>6175.37</v>
      </c>
      <c r="J381" s="11">
        <v>46249</v>
      </c>
      <c r="K381" s="11">
        <v>46258</v>
      </c>
      <c r="L381" s="8" t="s">
        <v>233</v>
      </c>
      <c r="M381" s="14" t="s">
        <v>234</v>
      </c>
      <c r="N381" s="16">
        <v>1556</v>
      </c>
      <c r="O381" s="14" t="s">
        <v>241</v>
      </c>
      <c r="P381" s="14"/>
      <c r="Q381" s="20">
        <f t="shared" si="5"/>
        <v>0</v>
      </c>
      <c r="S381" s="20">
        <f>SUMIFS('Doc''s Pagos | Rodopar 108'!$J:$J,'Doc''s Pagos | Rodopar 108'!$A:$A,$B381&amp;$E381&amp;$F381&amp;$J381,'Doc''s Pagos | Rodopar 108'!$B:$B,S$1)+SUMIFS('Doc Há Pagar | Rodopar 1015'!$J:$J,'Doc Há Pagar | Rodopar 1015'!$A:$A,$B381&amp;$E381&amp;$F381,'Doc Há Pagar | Rodopar 1015'!$B:$B,S$1)</f>
        <v>0</v>
      </c>
      <c r="T381" s="20">
        <f>SUMIFS('Doc''s Pagos | Rodopar 108'!$J:$J,'Doc''s Pagos | Rodopar 108'!$A:$A,$B381&amp;$E381&amp;$F381&amp;$J381,'Doc''s Pagos | Rodopar 108'!$B:$B,T$1)+SUMIFS('Doc Há Pagar | Rodopar 1015'!$J:$J,'Doc Há Pagar | Rodopar 1015'!$A:$A,$B381&amp;$E381&amp;$F381,'Doc Há Pagar | Rodopar 1015'!$B:$B,T$1)</f>
        <v>0</v>
      </c>
      <c r="U381" s="20">
        <f>SUMIFS('Doc''s Pagos | Rodopar 108'!$J:$J,'Doc''s Pagos | Rodopar 108'!$A:$A,$B381&amp;$E381&amp;$F381&amp;$J381,'Doc''s Pagos | Rodopar 108'!$B:$B,U$1)+SUMIFS('Doc Há Pagar | Rodopar 1015'!$J:$J,'Doc Há Pagar | Rodopar 1015'!$A:$A,$B381&amp;$E381&amp;$F381,'Doc Há Pagar | Rodopar 1015'!$B:$B,U$1)</f>
        <v>0</v>
      </c>
      <c r="V381" s="20">
        <f>SUMIFS('Doc''s Pagos | Rodopar 108'!$J:$J,'Doc''s Pagos | Rodopar 108'!$A:$A,$B381&amp;$E381&amp;$F381&amp;$J381,'Doc''s Pagos | Rodopar 108'!$B:$B,V$1)+SUMIFS('Doc Há Pagar | Rodopar 1015'!$J:$J,'Doc Há Pagar | Rodopar 1015'!$A:$A,$B381&amp;$E381&amp;$F381,'Doc Há Pagar | Rodopar 1015'!$B:$B,V$1)</f>
        <v>0</v>
      </c>
      <c r="W381" s="20">
        <f>SUMIFS('Doc''s Pagos | Rodopar 108'!$J:$J,'Doc''s Pagos | Rodopar 108'!$A:$A,$B381&amp;$E381&amp;$F381&amp;$J381,'Doc''s Pagos | Rodopar 108'!$B:$B,W$1)+SUMIFS('Doc Há Pagar | Rodopar 1015'!$J:$J,'Doc Há Pagar | Rodopar 1015'!$A:$A,$B381&amp;$E381&amp;$F381,'Doc Há Pagar | Rodopar 1015'!$B:$B,W$1)</f>
        <v>0</v>
      </c>
      <c r="X381" s="20">
        <f>SUMIFS('Doc''s Pagos | Rodopar 108'!$J:$J,'Doc''s Pagos | Rodopar 108'!$A:$A,$B381&amp;$E381&amp;$F381&amp;$J381,'Doc''s Pagos | Rodopar 108'!$B:$B,X$1)+SUMIFS('Doc Há Pagar | Rodopar 1015'!$J:$J,'Doc Há Pagar | Rodopar 1015'!$A:$A,$B381&amp;$E381&amp;$F381,'Doc Há Pagar | Rodopar 1015'!$B:$B,X$1)</f>
        <v>0</v>
      </c>
      <c r="Y381" s="20">
        <f>SUMIFS('Doc''s Pagos | Rodopar 108'!$J:$J,'Doc''s Pagos | Rodopar 108'!$A:$A,$B381&amp;$E381&amp;$F381&amp;$J381,'Doc''s Pagos | Rodopar 108'!$B:$B,Y$1)+SUMIFS('Doc Há Pagar | Rodopar 1015'!$J:$J,'Doc Há Pagar | Rodopar 1015'!$A:$A,$B381&amp;$E381&amp;$F381,'Doc Há Pagar | Rodopar 1015'!$B:$B,Y$1)</f>
        <v>0</v>
      </c>
      <c r="Z381" s="20">
        <f>SUMIFS('Doc''s Pagos | Rodopar 108'!$J:$J,'Doc''s Pagos | Rodopar 108'!$A:$A,$B381&amp;$E381&amp;$F381&amp;$J381,'Doc''s Pagos | Rodopar 108'!$B:$B,Z$1)+SUMIFS('Doc Há Pagar | Rodopar 1015'!$J:$J,'Doc Há Pagar | Rodopar 1015'!$A:$A,$B381&amp;$E381&amp;$F381,'Doc Há Pagar | Rodopar 1015'!$B:$B,Z$1)</f>
        <v>0</v>
      </c>
      <c r="AA381" s="20">
        <f>SUMIFS('Doc''s Pagos | Rodopar 108'!$J:$J,'Doc''s Pagos | Rodopar 108'!$A:$A,$B381&amp;$E381&amp;$F381&amp;$J381,'Doc''s Pagos | Rodopar 108'!$B:$B,AA$1)+SUMIFS('Doc Há Pagar | Rodopar 1015'!$J:$J,'Doc Há Pagar | Rodopar 1015'!$A:$A,$B381&amp;$E381&amp;$F381,'Doc Há Pagar | Rodopar 1015'!$B:$B,AA$1)</f>
        <v>6175.37</v>
      </c>
      <c r="AB381" s="20">
        <f>SUMIFS('Doc''s Pagos | Rodopar 108'!$J:$J,'Doc''s Pagos | Rodopar 108'!$A:$A,$B381&amp;$E381&amp;$F381&amp;$J381,'Doc''s Pagos | Rodopar 108'!$B:$B,AB$1)+SUMIFS('Doc Há Pagar | Rodopar 1015'!$J:$J,'Doc Há Pagar | Rodopar 1015'!$A:$A,$B381&amp;$E381&amp;$F381,'Doc Há Pagar | Rodopar 1015'!$B:$B,AB$1)</f>
        <v>0</v>
      </c>
      <c r="AC381" s="20">
        <f>SUMIFS('Doc''s Pagos | Rodopar 108'!$J:$J,'Doc''s Pagos | Rodopar 108'!$A:$A,$B381&amp;$E381&amp;$F381&amp;$J381,'Doc''s Pagos | Rodopar 108'!$B:$B,AC$1)+SUMIFS('Doc Há Pagar | Rodopar 1015'!$J:$J,'Doc Há Pagar | Rodopar 1015'!$A:$A,$B381&amp;$E381&amp;$F381,'Doc Há Pagar | Rodopar 1015'!$B:$B,AC$1)</f>
        <v>0</v>
      </c>
      <c r="AD381" s="20">
        <f>SUMIFS('Doc''s Pagos | Rodopar 108'!$J:$J,'Doc''s Pagos | Rodopar 108'!$A:$A,$B381&amp;$E381&amp;$F381&amp;$J381,'Doc''s Pagos | Rodopar 108'!$B:$B,AD$1)+SUMIFS('Doc Há Pagar | Rodopar 1015'!$J:$J,'Doc Há Pagar | Rodopar 1015'!$A:$A,$B381&amp;$E381&amp;$F381,'Doc Há Pagar | Rodopar 1015'!$B:$B,AD$1)</f>
        <v>0</v>
      </c>
    </row>
    <row r="382" spans="1:30" x14ac:dyDescent="0.25">
      <c r="A382" s="1" t="str">
        <f>VLOOKUP($E382,Fornecedores!$A:$C,3,0)</f>
        <v>Frota</v>
      </c>
      <c r="B382" s="14" t="s">
        <v>327</v>
      </c>
      <c r="C382" s="14" t="str">
        <f>IFERROR(VLOOKUP($E382,Fornecedores!$A:$E,4,0),"")</f>
        <v>OPE Merchandising</v>
      </c>
      <c r="D382" s="14" t="str">
        <f>IFERROR(VLOOKUP($E382,Fornecedores!$A:$E,5,0),"")</f>
        <v>Locação</v>
      </c>
      <c r="E382" s="8" t="s">
        <v>112</v>
      </c>
      <c r="F382" s="14" t="s">
        <v>232</v>
      </c>
      <c r="G382" s="8" t="s">
        <v>289</v>
      </c>
      <c r="H382" s="9">
        <v>87</v>
      </c>
      <c r="I382" s="21">
        <v>273.20999999999998</v>
      </c>
      <c r="J382" s="11">
        <v>46249</v>
      </c>
      <c r="K382" s="11">
        <v>46258</v>
      </c>
      <c r="L382" s="8" t="s">
        <v>233</v>
      </c>
      <c r="M382" s="14" t="s">
        <v>234</v>
      </c>
      <c r="N382" s="16">
        <v>1556</v>
      </c>
      <c r="O382" s="14" t="s">
        <v>241</v>
      </c>
      <c r="P382" s="14"/>
      <c r="Q382" s="20">
        <f t="shared" si="5"/>
        <v>0</v>
      </c>
      <c r="S382" s="20">
        <f>SUMIFS('Doc''s Pagos | Rodopar 108'!$J:$J,'Doc''s Pagos | Rodopar 108'!$A:$A,$B382&amp;$E382&amp;$F382&amp;$J382,'Doc''s Pagos | Rodopar 108'!$B:$B,S$1)+SUMIFS('Doc Há Pagar | Rodopar 1015'!$J:$J,'Doc Há Pagar | Rodopar 1015'!$A:$A,$B382&amp;$E382&amp;$F382,'Doc Há Pagar | Rodopar 1015'!$B:$B,S$1)</f>
        <v>0</v>
      </c>
      <c r="T382" s="20">
        <f>SUMIFS('Doc''s Pagos | Rodopar 108'!$J:$J,'Doc''s Pagos | Rodopar 108'!$A:$A,$B382&amp;$E382&amp;$F382&amp;$J382,'Doc''s Pagos | Rodopar 108'!$B:$B,T$1)+SUMIFS('Doc Há Pagar | Rodopar 1015'!$J:$J,'Doc Há Pagar | Rodopar 1015'!$A:$A,$B382&amp;$E382&amp;$F382,'Doc Há Pagar | Rodopar 1015'!$B:$B,T$1)</f>
        <v>0</v>
      </c>
      <c r="U382" s="20">
        <f>SUMIFS('Doc''s Pagos | Rodopar 108'!$J:$J,'Doc''s Pagos | Rodopar 108'!$A:$A,$B382&amp;$E382&amp;$F382&amp;$J382,'Doc''s Pagos | Rodopar 108'!$B:$B,U$1)+SUMIFS('Doc Há Pagar | Rodopar 1015'!$J:$J,'Doc Há Pagar | Rodopar 1015'!$A:$A,$B382&amp;$E382&amp;$F382,'Doc Há Pagar | Rodopar 1015'!$B:$B,U$1)</f>
        <v>0</v>
      </c>
      <c r="V382" s="20">
        <f>SUMIFS('Doc''s Pagos | Rodopar 108'!$J:$J,'Doc''s Pagos | Rodopar 108'!$A:$A,$B382&amp;$E382&amp;$F382&amp;$J382,'Doc''s Pagos | Rodopar 108'!$B:$B,V$1)+SUMIFS('Doc Há Pagar | Rodopar 1015'!$J:$J,'Doc Há Pagar | Rodopar 1015'!$A:$A,$B382&amp;$E382&amp;$F382,'Doc Há Pagar | Rodopar 1015'!$B:$B,V$1)</f>
        <v>0</v>
      </c>
      <c r="W382" s="20">
        <f>SUMIFS('Doc''s Pagos | Rodopar 108'!$J:$J,'Doc''s Pagos | Rodopar 108'!$A:$A,$B382&amp;$E382&amp;$F382&amp;$J382,'Doc''s Pagos | Rodopar 108'!$B:$B,W$1)+SUMIFS('Doc Há Pagar | Rodopar 1015'!$J:$J,'Doc Há Pagar | Rodopar 1015'!$A:$A,$B382&amp;$E382&amp;$F382,'Doc Há Pagar | Rodopar 1015'!$B:$B,W$1)</f>
        <v>0</v>
      </c>
      <c r="X382" s="20">
        <f>SUMIFS('Doc''s Pagos | Rodopar 108'!$J:$J,'Doc''s Pagos | Rodopar 108'!$A:$A,$B382&amp;$E382&amp;$F382&amp;$J382,'Doc''s Pagos | Rodopar 108'!$B:$B,X$1)+SUMIFS('Doc Há Pagar | Rodopar 1015'!$J:$J,'Doc Há Pagar | Rodopar 1015'!$A:$A,$B382&amp;$E382&amp;$F382,'Doc Há Pagar | Rodopar 1015'!$B:$B,X$1)</f>
        <v>0</v>
      </c>
      <c r="Y382" s="20">
        <f>SUMIFS('Doc''s Pagos | Rodopar 108'!$J:$J,'Doc''s Pagos | Rodopar 108'!$A:$A,$B382&amp;$E382&amp;$F382&amp;$J382,'Doc''s Pagos | Rodopar 108'!$B:$B,Y$1)+SUMIFS('Doc Há Pagar | Rodopar 1015'!$J:$J,'Doc Há Pagar | Rodopar 1015'!$A:$A,$B382&amp;$E382&amp;$F382,'Doc Há Pagar | Rodopar 1015'!$B:$B,Y$1)</f>
        <v>0</v>
      </c>
      <c r="Z382" s="20">
        <f>SUMIFS('Doc''s Pagos | Rodopar 108'!$J:$J,'Doc''s Pagos | Rodopar 108'!$A:$A,$B382&amp;$E382&amp;$F382&amp;$J382,'Doc''s Pagos | Rodopar 108'!$B:$B,Z$1)+SUMIFS('Doc Há Pagar | Rodopar 1015'!$J:$J,'Doc Há Pagar | Rodopar 1015'!$A:$A,$B382&amp;$E382&amp;$F382,'Doc Há Pagar | Rodopar 1015'!$B:$B,Z$1)</f>
        <v>0</v>
      </c>
      <c r="AA382" s="20">
        <f>SUMIFS('Doc''s Pagos | Rodopar 108'!$J:$J,'Doc''s Pagos | Rodopar 108'!$A:$A,$B382&amp;$E382&amp;$F382&amp;$J382,'Doc''s Pagos | Rodopar 108'!$B:$B,AA$1)+SUMIFS('Doc Há Pagar | Rodopar 1015'!$J:$J,'Doc Há Pagar | Rodopar 1015'!$A:$A,$B382&amp;$E382&amp;$F382,'Doc Há Pagar | Rodopar 1015'!$B:$B,AA$1)</f>
        <v>273.20999999999998</v>
      </c>
      <c r="AB382" s="20">
        <f>SUMIFS('Doc''s Pagos | Rodopar 108'!$J:$J,'Doc''s Pagos | Rodopar 108'!$A:$A,$B382&amp;$E382&amp;$F382&amp;$J382,'Doc''s Pagos | Rodopar 108'!$B:$B,AB$1)+SUMIFS('Doc Há Pagar | Rodopar 1015'!$J:$J,'Doc Há Pagar | Rodopar 1015'!$A:$A,$B382&amp;$E382&amp;$F382,'Doc Há Pagar | Rodopar 1015'!$B:$B,AB$1)</f>
        <v>0</v>
      </c>
      <c r="AC382" s="20">
        <f>SUMIFS('Doc''s Pagos | Rodopar 108'!$J:$J,'Doc''s Pagos | Rodopar 108'!$A:$A,$B382&amp;$E382&amp;$F382&amp;$J382,'Doc''s Pagos | Rodopar 108'!$B:$B,AC$1)+SUMIFS('Doc Há Pagar | Rodopar 1015'!$J:$J,'Doc Há Pagar | Rodopar 1015'!$A:$A,$B382&amp;$E382&amp;$F382,'Doc Há Pagar | Rodopar 1015'!$B:$B,AC$1)</f>
        <v>0</v>
      </c>
      <c r="AD382" s="20">
        <f>SUMIFS('Doc''s Pagos | Rodopar 108'!$J:$J,'Doc''s Pagos | Rodopar 108'!$A:$A,$B382&amp;$E382&amp;$F382&amp;$J382,'Doc''s Pagos | Rodopar 108'!$B:$B,AD$1)+SUMIFS('Doc Há Pagar | Rodopar 1015'!$J:$J,'Doc Há Pagar | Rodopar 1015'!$A:$A,$B382&amp;$E382&amp;$F382,'Doc Há Pagar | Rodopar 1015'!$B:$B,AD$1)</f>
        <v>0</v>
      </c>
    </row>
    <row r="383" spans="1:30" x14ac:dyDescent="0.25">
      <c r="A383" s="1" t="str">
        <f>VLOOKUP($E383,Fornecedores!$A:$C,3,0)</f>
        <v>Frota</v>
      </c>
      <c r="B383" s="14" t="s">
        <v>328</v>
      </c>
      <c r="C383" s="14" t="str">
        <f>IFERROR(VLOOKUP($E383,Fornecedores!$A:$E,4,0),"")</f>
        <v>OPE Merchandising</v>
      </c>
      <c r="D383" s="14" t="str">
        <f>IFERROR(VLOOKUP($E383,Fornecedores!$A:$E,5,0),"")</f>
        <v>Locação</v>
      </c>
      <c r="E383" s="8" t="s">
        <v>112</v>
      </c>
      <c r="F383" s="14" t="s">
        <v>232</v>
      </c>
      <c r="G383" s="8" t="s">
        <v>289</v>
      </c>
      <c r="H383" s="9">
        <v>87</v>
      </c>
      <c r="I383" s="21">
        <v>1790</v>
      </c>
      <c r="J383" s="11">
        <v>46249</v>
      </c>
      <c r="K383" s="11">
        <v>46258</v>
      </c>
      <c r="L383" s="8" t="s">
        <v>233</v>
      </c>
      <c r="M383" s="14" t="s">
        <v>234</v>
      </c>
      <c r="N383" s="16">
        <v>1556</v>
      </c>
      <c r="O383" s="14" t="s">
        <v>241</v>
      </c>
      <c r="P383" s="14"/>
      <c r="Q383" s="20">
        <f t="shared" si="5"/>
        <v>0</v>
      </c>
      <c r="S383" s="20">
        <f>SUMIFS('Doc''s Pagos | Rodopar 108'!$J:$J,'Doc''s Pagos | Rodopar 108'!$A:$A,$B383&amp;$E383&amp;$F383&amp;$J383,'Doc''s Pagos | Rodopar 108'!$B:$B,S$1)+SUMIFS('Doc Há Pagar | Rodopar 1015'!$J:$J,'Doc Há Pagar | Rodopar 1015'!$A:$A,$B383&amp;$E383&amp;$F383,'Doc Há Pagar | Rodopar 1015'!$B:$B,S$1)</f>
        <v>0</v>
      </c>
      <c r="T383" s="20">
        <f>SUMIFS('Doc''s Pagos | Rodopar 108'!$J:$J,'Doc''s Pagos | Rodopar 108'!$A:$A,$B383&amp;$E383&amp;$F383&amp;$J383,'Doc''s Pagos | Rodopar 108'!$B:$B,T$1)+SUMIFS('Doc Há Pagar | Rodopar 1015'!$J:$J,'Doc Há Pagar | Rodopar 1015'!$A:$A,$B383&amp;$E383&amp;$F383,'Doc Há Pagar | Rodopar 1015'!$B:$B,T$1)</f>
        <v>0</v>
      </c>
      <c r="U383" s="20">
        <f>SUMIFS('Doc''s Pagos | Rodopar 108'!$J:$J,'Doc''s Pagos | Rodopar 108'!$A:$A,$B383&amp;$E383&amp;$F383&amp;$J383,'Doc''s Pagos | Rodopar 108'!$B:$B,U$1)+SUMIFS('Doc Há Pagar | Rodopar 1015'!$J:$J,'Doc Há Pagar | Rodopar 1015'!$A:$A,$B383&amp;$E383&amp;$F383,'Doc Há Pagar | Rodopar 1015'!$B:$B,U$1)</f>
        <v>0</v>
      </c>
      <c r="V383" s="20">
        <f>SUMIFS('Doc''s Pagos | Rodopar 108'!$J:$J,'Doc''s Pagos | Rodopar 108'!$A:$A,$B383&amp;$E383&amp;$F383&amp;$J383,'Doc''s Pagos | Rodopar 108'!$B:$B,V$1)+SUMIFS('Doc Há Pagar | Rodopar 1015'!$J:$J,'Doc Há Pagar | Rodopar 1015'!$A:$A,$B383&amp;$E383&amp;$F383,'Doc Há Pagar | Rodopar 1015'!$B:$B,V$1)</f>
        <v>0</v>
      </c>
      <c r="W383" s="20">
        <f>SUMIFS('Doc''s Pagos | Rodopar 108'!$J:$J,'Doc''s Pagos | Rodopar 108'!$A:$A,$B383&amp;$E383&amp;$F383&amp;$J383,'Doc''s Pagos | Rodopar 108'!$B:$B,W$1)+SUMIFS('Doc Há Pagar | Rodopar 1015'!$J:$J,'Doc Há Pagar | Rodopar 1015'!$A:$A,$B383&amp;$E383&amp;$F383,'Doc Há Pagar | Rodopar 1015'!$B:$B,W$1)</f>
        <v>0</v>
      </c>
      <c r="X383" s="20">
        <f>SUMIFS('Doc''s Pagos | Rodopar 108'!$J:$J,'Doc''s Pagos | Rodopar 108'!$A:$A,$B383&amp;$E383&amp;$F383&amp;$J383,'Doc''s Pagos | Rodopar 108'!$B:$B,X$1)+SUMIFS('Doc Há Pagar | Rodopar 1015'!$J:$J,'Doc Há Pagar | Rodopar 1015'!$A:$A,$B383&amp;$E383&amp;$F383,'Doc Há Pagar | Rodopar 1015'!$B:$B,X$1)</f>
        <v>0</v>
      </c>
      <c r="Y383" s="20">
        <f>SUMIFS('Doc''s Pagos | Rodopar 108'!$J:$J,'Doc''s Pagos | Rodopar 108'!$A:$A,$B383&amp;$E383&amp;$F383&amp;$J383,'Doc''s Pagos | Rodopar 108'!$B:$B,Y$1)+SUMIFS('Doc Há Pagar | Rodopar 1015'!$J:$J,'Doc Há Pagar | Rodopar 1015'!$A:$A,$B383&amp;$E383&amp;$F383,'Doc Há Pagar | Rodopar 1015'!$B:$B,Y$1)</f>
        <v>0</v>
      </c>
      <c r="Z383" s="20">
        <f>SUMIFS('Doc''s Pagos | Rodopar 108'!$J:$J,'Doc''s Pagos | Rodopar 108'!$A:$A,$B383&amp;$E383&amp;$F383&amp;$J383,'Doc''s Pagos | Rodopar 108'!$B:$B,Z$1)+SUMIFS('Doc Há Pagar | Rodopar 1015'!$J:$J,'Doc Há Pagar | Rodopar 1015'!$A:$A,$B383&amp;$E383&amp;$F383,'Doc Há Pagar | Rodopar 1015'!$B:$B,Z$1)</f>
        <v>0</v>
      </c>
      <c r="AA383" s="20">
        <f>SUMIFS('Doc''s Pagos | Rodopar 108'!$J:$J,'Doc''s Pagos | Rodopar 108'!$A:$A,$B383&amp;$E383&amp;$F383&amp;$J383,'Doc''s Pagos | Rodopar 108'!$B:$B,AA$1)+SUMIFS('Doc Há Pagar | Rodopar 1015'!$J:$J,'Doc Há Pagar | Rodopar 1015'!$A:$A,$B383&amp;$E383&amp;$F383,'Doc Há Pagar | Rodopar 1015'!$B:$B,AA$1)</f>
        <v>1790</v>
      </c>
      <c r="AB383" s="20">
        <f>SUMIFS('Doc''s Pagos | Rodopar 108'!$J:$J,'Doc''s Pagos | Rodopar 108'!$A:$A,$B383&amp;$E383&amp;$F383&amp;$J383,'Doc''s Pagos | Rodopar 108'!$B:$B,AB$1)+SUMIFS('Doc Há Pagar | Rodopar 1015'!$J:$J,'Doc Há Pagar | Rodopar 1015'!$A:$A,$B383&amp;$E383&amp;$F383,'Doc Há Pagar | Rodopar 1015'!$B:$B,AB$1)</f>
        <v>0</v>
      </c>
      <c r="AC383" s="20">
        <f>SUMIFS('Doc''s Pagos | Rodopar 108'!$J:$J,'Doc''s Pagos | Rodopar 108'!$A:$A,$B383&amp;$E383&amp;$F383&amp;$J383,'Doc''s Pagos | Rodopar 108'!$B:$B,AC$1)+SUMIFS('Doc Há Pagar | Rodopar 1015'!$J:$J,'Doc Há Pagar | Rodopar 1015'!$A:$A,$B383&amp;$E383&amp;$F383,'Doc Há Pagar | Rodopar 1015'!$B:$B,AC$1)</f>
        <v>0</v>
      </c>
      <c r="AD383" s="20">
        <f>SUMIFS('Doc''s Pagos | Rodopar 108'!$J:$J,'Doc''s Pagos | Rodopar 108'!$A:$A,$B383&amp;$E383&amp;$F383&amp;$J383,'Doc''s Pagos | Rodopar 108'!$B:$B,AD$1)+SUMIFS('Doc Há Pagar | Rodopar 1015'!$J:$J,'Doc Há Pagar | Rodopar 1015'!$A:$A,$B383&amp;$E383&amp;$F383,'Doc Há Pagar | Rodopar 1015'!$B:$B,AD$1)</f>
        <v>0</v>
      </c>
    </row>
    <row r="384" spans="1:30" x14ac:dyDescent="0.25">
      <c r="A384" s="1" t="str">
        <f>VLOOKUP($E384,Fornecedores!$A:$C,3,0)</f>
        <v>Frota</v>
      </c>
      <c r="B384" s="14" t="s">
        <v>299</v>
      </c>
      <c r="C384" s="14" t="str">
        <f>IFERROR(VLOOKUP($E384,Fornecedores!$A:$E,4,0),"")</f>
        <v>OPE Merchandising</v>
      </c>
      <c r="D384" s="14" t="str">
        <f>IFERROR(VLOOKUP($E384,Fornecedores!$A:$E,5,0),"")</f>
        <v>Locação</v>
      </c>
      <c r="E384" s="8" t="s">
        <v>112</v>
      </c>
      <c r="F384" s="14" t="s">
        <v>232</v>
      </c>
      <c r="G384" s="8" t="s">
        <v>289</v>
      </c>
      <c r="H384" s="9">
        <v>87</v>
      </c>
      <c r="I384" s="21">
        <v>11153.45</v>
      </c>
      <c r="J384" s="11">
        <v>46251</v>
      </c>
      <c r="K384" s="11">
        <v>46253</v>
      </c>
      <c r="L384" s="8" t="s">
        <v>233</v>
      </c>
      <c r="M384" s="14" t="s">
        <v>234</v>
      </c>
      <c r="N384" s="16">
        <v>1556</v>
      </c>
      <c r="O384" s="14" t="s">
        <v>241</v>
      </c>
      <c r="P384" s="14"/>
      <c r="Q384" s="20">
        <f t="shared" si="5"/>
        <v>0</v>
      </c>
      <c r="S384" s="20">
        <f>SUMIFS('Doc''s Pagos | Rodopar 108'!$J:$J,'Doc''s Pagos | Rodopar 108'!$A:$A,$B384&amp;$E384&amp;$F384&amp;$J384,'Doc''s Pagos | Rodopar 108'!$B:$B,S$1)+SUMIFS('Doc Há Pagar | Rodopar 1015'!$J:$J,'Doc Há Pagar | Rodopar 1015'!$A:$A,$B384&amp;$E384&amp;$F384,'Doc Há Pagar | Rodopar 1015'!$B:$B,S$1)</f>
        <v>0</v>
      </c>
      <c r="T384" s="20">
        <f>SUMIFS('Doc''s Pagos | Rodopar 108'!$J:$J,'Doc''s Pagos | Rodopar 108'!$A:$A,$B384&amp;$E384&amp;$F384&amp;$J384,'Doc''s Pagos | Rodopar 108'!$B:$B,T$1)+SUMIFS('Doc Há Pagar | Rodopar 1015'!$J:$J,'Doc Há Pagar | Rodopar 1015'!$A:$A,$B384&amp;$E384&amp;$F384,'Doc Há Pagar | Rodopar 1015'!$B:$B,T$1)</f>
        <v>0</v>
      </c>
      <c r="U384" s="20">
        <f>SUMIFS('Doc''s Pagos | Rodopar 108'!$J:$J,'Doc''s Pagos | Rodopar 108'!$A:$A,$B384&amp;$E384&amp;$F384&amp;$J384,'Doc''s Pagos | Rodopar 108'!$B:$B,U$1)+SUMIFS('Doc Há Pagar | Rodopar 1015'!$J:$J,'Doc Há Pagar | Rodopar 1015'!$A:$A,$B384&amp;$E384&amp;$F384,'Doc Há Pagar | Rodopar 1015'!$B:$B,U$1)</f>
        <v>0</v>
      </c>
      <c r="V384" s="20">
        <f>SUMIFS('Doc''s Pagos | Rodopar 108'!$J:$J,'Doc''s Pagos | Rodopar 108'!$A:$A,$B384&amp;$E384&amp;$F384&amp;$J384,'Doc''s Pagos | Rodopar 108'!$B:$B,V$1)+SUMIFS('Doc Há Pagar | Rodopar 1015'!$J:$J,'Doc Há Pagar | Rodopar 1015'!$A:$A,$B384&amp;$E384&amp;$F384,'Doc Há Pagar | Rodopar 1015'!$B:$B,V$1)</f>
        <v>0</v>
      </c>
      <c r="W384" s="20">
        <f>SUMIFS('Doc''s Pagos | Rodopar 108'!$J:$J,'Doc''s Pagos | Rodopar 108'!$A:$A,$B384&amp;$E384&amp;$F384&amp;$J384,'Doc''s Pagos | Rodopar 108'!$B:$B,W$1)+SUMIFS('Doc Há Pagar | Rodopar 1015'!$J:$J,'Doc Há Pagar | Rodopar 1015'!$A:$A,$B384&amp;$E384&amp;$F384,'Doc Há Pagar | Rodopar 1015'!$B:$B,W$1)</f>
        <v>0</v>
      </c>
      <c r="X384" s="20">
        <f>SUMIFS('Doc''s Pagos | Rodopar 108'!$J:$J,'Doc''s Pagos | Rodopar 108'!$A:$A,$B384&amp;$E384&amp;$F384&amp;$J384,'Doc''s Pagos | Rodopar 108'!$B:$B,X$1)+SUMIFS('Doc Há Pagar | Rodopar 1015'!$J:$J,'Doc Há Pagar | Rodopar 1015'!$A:$A,$B384&amp;$E384&amp;$F384,'Doc Há Pagar | Rodopar 1015'!$B:$B,X$1)</f>
        <v>0</v>
      </c>
      <c r="Y384" s="20">
        <f>SUMIFS('Doc''s Pagos | Rodopar 108'!$J:$J,'Doc''s Pagos | Rodopar 108'!$A:$A,$B384&amp;$E384&amp;$F384&amp;$J384,'Doc''s Pagos | Rodopar 108'!$B:$B,Y$1)+SUMIFS('Doc Há Pagar | Rodopar 1015'!$J:$J,'Doc Há Pagar | Rodopar 1015'!$A:$A,$B384&amp;$E384&amp;$F384,'Doc Há Pagar | Rodopar 1015'!$B:$B,Y$1)</f>
        <v>0</v>
      </c>
      <c r="Z384" s="20">
        <f>SUMIFS('Doc''s Pagos | Rodopar 108'!$J:$J,'Doc''s Pagos | Rodopar 108'!$A:$A,$B384&amp;$E384&amp;$F384&amp;$J384,'Doc''s Pagos | Rodopar 108'!$B:$B,Z$1)+SUMIFS('Doc Há Pagar | Rodopar 1015'!$J:$J,'Doc Há Pagar | Rodopar 1015'!$A:$A,$B384&amp;$E384&amp;$F384,'Doc Há Pagar | Rodopar 1015'!$B:$B,Z$1)</f>
        <v>11153.45</v>
      </c>
      <c r="AA384" s="20">
        <f>SUMIFS('Doc''s Pagos | Rodopar 108'!$J:$J,'Doc''s Pagos | Rodopar 108'!$A:$A,$B384&amp;$E384&amp;$F384&amp;$J384,'Doc''s Pagos | Rodopar 108'!$B:$B,AA$1)+SUMIFS('Doc Há Pagar | Rodopar 1015'!$J:$J,'Doc Há Pagar | Rodopar 1015'!$A:$A,$B384&amp;$E384&amp;$F384,'Doc Há Pagar | Rodopar 1015'!$B:$B,AA$1)</f>
        <v>0</v>
      </c>
      <c r="AB384" s="20">
        <f>SUMIFS('Doc''s Pagos | Rodopar 108'!$J:$J,'Doc''s Pagos | Rodopar 108'!$A:$A,$B384&amp;$E384&amp;$F384&amp;$J384,'Doc''s Pagos | Rodopar 108'!$B:$B,AB$1)+SUMIFS('Doc Há Pagar | Rodopar 1015'!$J:$J,'Doc Há Pagar | Rodopar 1015'!$A:$A,$B384&amp;$E384&amp;$F384,'Doc Há Pagar | Rodopar 1015'!$B:$B,AB$1)</f>
        <v>0</v>
      </c>
      <c r="AC384" s="20">
        <f>SUMIFS('Doc''s Pagos | Rodopar 108'!$J:$J,'Doc''s Pagos | Rodopar 108'!$A:$A,$B384&amp;$E384&amp;$F384&amp;$J384,'Doc''s Pagos | Rodopar 108'!$B:$B,AC$1)+SUMIFS('Doc Há Pagar | Rodopar 1015'!$J:$J,'Doc Há Pagar | Rodopar 1015'!$A:$A,$B384&amp;$E384&amp;$F384,'Doc Há Pagar | Rodopar 1015'!$B:$B,AC$1)</f>
        <v>0</v>
      </c>
      <c r="AD384" s="20">
        <f>SUMIFS('Doc''s Pagos | Rodopar 108'!$J:$J,'Doc''s Pagos | Rodopar 108'!$A:$A,$B384&amp;$E384&amp;$F384&amp;$J384,'Doc''s Pagos | Rodopar 108'!$B:$B,AD$1)+SUMIFS('Doc Há Pagar | Rodopar 1015'!$J:$J,'Doc Há Pagar | Rodopar 1015'!$A:$A,$B384&amp;$E384&amp;$F384,'Doc Há Pagar | Rodopar 1015'!$B:$B,AD$1)</f>
        <v>0</v>
      </c>
    </row>
    <row r="385" spans="1:30" x14ac:dyDescent="0.25">
      <c r="A385" s="1" t="str">
        <f>VLOOKUP($E385,Fornecedores!$A:$C,3,0)</f>
        <v>Frota</v>
      </c>
      <c r="B385" s="14">
        <v>686</v>
      </c>
      <c r="C385" s="14" t="str">
        <f>IFERROR(VLOOKUP($E385,Fornecedores!$A:$E,4,0),"")</f>
        <v>Manutenção</v>
      </c>
      <c r="D385" s="14" t="str">
        <f>IFERROR(VLOOKUP($E385,Fornecedores!$A:$E,5,0),"")</f>
        <v>Vans</v>
      </c>
      <c r="E385" s="8" t="s">
        <v>126</v>
      </c>
      <c r="F385" s="14" t="s">
        <v>665</v>
      </c>
      <c r="G385" s="8" t="s">
        <v>936</v>
      </c>
      <c r="H385" s="9">
        <v>87</v>
      </c>
      <c r="I385" s="21">
        <v>1930</v>
      </c>
      <c r="J385" s="11">
        <v>46251</v>
      </c>
      <c r="K385" s="11">
        <v>46252</v>
      </c>
      <c r="L385" s="8" t="s">
        <v>382</v>
      </c>
      <c r="M385" s="14" t="s">
        <v>234</v>
      </c>
      <c r="N385" s="16">
        <v>1556</v>
      </c>
      <c r="O385" s="14" t="s">
        <v>250</v>
      </c>
      <c r="P385" s="14"/>
      <c r="Q385" s="20">
        <f t="shared" si="5"/>
        <v>0</v>
      </c>
      <c r="S385" s="20">
        <f>SUMIFS('Doc''s Pagos | Rodopar 108'!$J:$J,'Doc''s Pagos | Rodopar 108'!$A:$A,$B385&amp;$E385&amp;$F385&amp;$J385,'Doc''s Pagos | Rodopar 108'!$B:$B,S$1)+SUMIFS('Doc Há Pagar | Rodopar 1015'!$J:$J,'Doc Há Pagar | Rodopar 1015'!$A:$A,$B385&amp;$E385&amp;$F385,'Doc Há Pagar | Rodopar 1015'!$B:$B,S$1)</f>
        <v>0</v>
      </c>
      <c r="T385" s="20">
        <f>SUMIFS('Doc''s Pagos | Rodopar 108'!$J:$J,'Doc''s Pagos | Rodopar 108'!$A:$A,$B385&amp;$E385&amp;$F385&amp;$J385,'Doc''s Pagos | Rodopar 108'!$B:$B,T$1)+SUMIFS('Doc Há Pagar | Rodopar 1015'!$J:$J,'Doc Há Pagar | Rodopar 1015'!$A:$A,$B385&amp;$E385&amp;$F385,'Doc Há Pagar | Rodopar 1015'!$B:$B,T$1)</f>
        <v>0</v>
      </c>
      <c r="U385" s="20">
        <f>SUMIFS('Doc''s Pagos | Rodopar 108'!$J:$J,'Doc''s Pagos | Rodopar 108'!$A:$A,$B385&amp;$E385&amp;$F385&amp;$J385,'Doc''s Pagos | Rodopar 108'!$B:$B,U$1)+SUMIFS('Doc Há Pagar | Rodopar 1015'!$J:$J,'Doc Há Pagar | Rodopar 1015'!$A:$A,$B385&amp;$E385&amp;$F385,'Doc Há Pagar | Rodopar 1015'!$B:$B,U$1)</f>
        <v>0</v>
      </c>
      <c r="V385" s="20">
        <f>SUMIFS('Doc''s Pagos | Rodopar 108'!$J:$J,'Doc''s Pagos | Rodopar 108'!$A:$A,$B385&amp;$E385&amp;$F385&amp;$J385,'Doc''s Pagos | Rodopar 108'!$B:$B,V$1)+SUMIFS('Doc Há Pagar | Rodopar 1015'!$J:$J,'Doc Há Pagar | Rodopar 1015'!$A:$A,$B385&amp;$E385&amp;$F385,'Doc Há Pagar | Rodopar 1015'!$B:$B,V$1)</f>
        <v>0</v>
      </c>
      <c r="W385" s="20">
        <f>SUMIFS('Doc''s Pagos | Rodopar 108'!$J:$J,'Doc''s Pagos | Rodopar 108'!$A:$A,$B385&amp;$E385&amp;$F385&amp;$J385,'Doc''s Pagos | Rodopar 108'!$B:$B,W$1)+SUMIFS('Doc Há Pagar | Rodopar 1015'!$J:$J,'Doc Há Pagar | Rodopar 1015'!$A:$A,$B385&amp;$E385&amp;$F385,'Doc Há Pagar | Rodopar 1015'!$B:$B,W$1)</f>
        <v>0</v>
      </c>
      <c r="X385" s="20">
        <f>SUMIFS('Doc''s Pagos | Rodopar 108'!$J:$J,'Doc''s Pagos | Rodopar 108'!$A:$A,$B385&amp;$E385&amp;$F385&amp;$J385,'Doc''s Pagos | Rodopar 108'!$B:$B,X$1)+SUMIFS('Doc Há Pagar | Rodopar 1015'!$J:$J,'Doc Há Pagar | Rodopar 1015'!$A:$A,$B385&amp;$E385&amp;$F385,'Doc Há Pagar | Rodopar 1015'!$B:$B,X$1)</f>
        <v>0</v>
      </c>
      <c r="Y385" s="20">
        <f>SUMIFS('Doc''s Pagos | Rodopar 108'!$J:$J,'Doc''s Pagos | Rodopar 108'!$A:$A,$B385&amp;$E385&amp;$F385&amp;$J385,'Doc''s Pagos | Rodopar 108'!$B:$B,Y$1)+SUMIFS('Doc Há Pagar | Rodopar 1015'!$J:$J,'Doc Há Pagar | Rodopar 1015'!$A:$A,$B385&amp;$E385&amp;$F385,'Doc Há Pagar | Rodopar 1015'!$B:$B,Y$1)</f>
        <v>0</v>
      </c>
      <c r="Z385" s="20">
        <f>SUMIFS('Doc''s Pagos | Rodopar 108'!$J:$J,'Doc''s Pagos | Rodopar 108'!$A:$A,$B385&amp;$E385&amp;$F385&amp;$J385,'Doc''s Pagos | Rodopar 108'!$B:$B,Z$1)+SUMIFS('Doc Há Pagar | Rodopar 1015'!$J:$J,'Doc Há Pagar | Rodopar 1015'!$A:$A,$B385&amp;$E385&amp;$F385,'Doc Há Pagar | Rodopar 1015'!$B:$B,Z$1)</f>
        <v>0</v>
      </c>
      <c r="AA385" s="20">
        <f>SUMIFS('Doc''s Pagos | Rodopar 108'!$J:$J,'Doc''s Pagos | Rodopar 108'!$A:$A,$B385&amp;$E385&amp;$F385&amp;$J385,'Doc''s Pagos | Rodopar 108'!$B:$B,AA$1)+SUMIFS('Doc Há Pagar | Rodopar 1015'!$J:$J,'Doc Há Pagar | Rodopar 1015'!$A:$A,$B385&amp;$E385&amp;$F385,'Doc Há Pagar | Rodopar 1015'!$B:$B,AA$1)</f>
        <v>1930</v>
      </c>
      <c r="AB385" s="20">
        <f>SUMIFS('Doc''s Pagos | Rodopar 108'!$J:$J,'Doc''s Pagos | Rodopar 108'!$A:$A,$B385&amp;$E385&amp;$F385&amp;$J385,'Doc''s Pagos | Rodopar 108'!$B:$B,AB$1)+SUMIFS('Doc Há Pagar | Rodopar 1015'!$J:$J,'Doc Há Pagar | Rodopar 1015'!$A:$A,$B385&amp;$E385&amp;$F385,'Doc Há Pagar | Rodopar 1015'!$B:$B,AB$1)</f>
        <v>0</v>
      </c>
      <c r="AC385" s="20">
        <f>SUMIFS('Doc''s Pagos | Rodopar 108'!$J:$J,'Doc''s Pagos | Rodopar 108'!$A:$A,$B385&amp;$E385&amp;$F385&amp;$J385,'Doc''s Pagos | Rodopar 108'!$B:$B,AC$1)+SUMIFS('Doc Há Pagar | Rodopar 1015'!$J:$J,'Doc Há Pagar | Rodopar 1015'!$A:$A,$B385&amp;$E385&amp;$F385,'Doc Há Pagar | Rodopar 1015'!$B:$B,AC$1)</f>
        <v>0</v>
      </c>
      <c r="AD385" s="20">
        <f>SUMIFS('Doc''s Pagos | Rodopar 108'!$J:$J,'Doc''s Pagos | Rodopar 108'!$A:$A,$B385&amp;$E385&amp;$F385&amp;$J385,'Doc''s Pagos | Rodopar 108'!$B:$B,AD$1)+SUMIFS('Doc Há Pagar | Rodopar 1015'!$J:$J,'Doc Há Pagar | Rodopar 1015'!$A:$A,$B385&amp;$E385&amp;$F385,'Doc Há Pagar | Rodopar 1015'!$B:$B,AD$1)</f>
        <v>0</v>
      </c>
    </row>
    <row r="386" spans="1:30" x14ac:dyDescent="0.25">
      <c r="A386" s="1" t="str">
        <f>VLOOKUP($E386,Fornecedores!$A:$C,3,0)</f>
        <v>Frota</v>
      </c>
      <c r="B386" s="14">
        <v>39</v>
      </c>
      <c r="C386" s="14" t="str">
        <f>IFERROR(VLOOKUP($E386,Fornecedores!$A:$E,4,0),"")</f>
        <v>Sinistro</v>
      </c>
      <c r="D386" s="14" t="str">
        <f>IFERROR(VLOOKUP($E386,Fornecedores!$A:$E,5,0),"")</f>
        <v>Lanternagem</v>
      </c>
      <c r="E386" s="8" t="s">
        <v>174</v>
      </c>
      <c r="F386" s="14" t="s">
        <v>380</v>
      </c>
      <c r="G386" s="8" t="s">
        <v>528</v>
      </c>
      <c r="H386" s="9">
        <v>87</v>
      </c>
      <c r="I386" s="21">
        <v>1279.75</v>
      </c>
      <c r="J386" s="11">
        <v>46252</v>
      </c>
      <c r="K386" s="11">
        <v>46252</v>
      </c>
      <c r="L386" s="8" t="s">
        <v>435</v>
      </c>
      <c r="M386" s="14" t="s">
        <v>234</v>
      </c>
      <c r="N386" s="16">
        <v>1556</v>
      </c>
      <c r="O386" s="14" t="s">
        <v>250</v>
      </c>
      <c r="P386" s="14"/>
      <c r="Q386" s="20">
        <f t="shared" ref="Q386:Q449" si="6">SUM(R386:AD386)-I386</f>
        <v>0</v>
      </c>
      <c r="S386" s="20">
        <f>SUMIFS('Doc''s Pagos | Rodopar 108'!$J:$J,'Doc''s Pagos | Rodopar 108'!$A:$A,$B386&amp;$E386&amp;$F386&amp;$J386,'Doc''s Pagos | Rodopar 108'!$B:$B,S$1)+SUMIFS('Doc Há Pagar | Rodopar 1015'!$J:$J,'Doc Há Pagar | Rodopar 1015'!$A:$A,$B386&amp;$E386&amp;$F386,'Doc Há Pagar | Rodopar 1015'!$B:$B,S$1)</f>
        <v>0</v>
      </c>
      <c r="T386" s="20">
        <f>SUMIFS('Doc''s Pagos | Rodopar 108'!$J:$J,'Doc''s Pagos | Rodopar 108'!$A:$A,$B386&amp;$E386&amp;$F386&amp;$J386,'Doc''s Pagos | Rodopar 108'!$B:$B,T$1)+SUMIFS('Doc Há Pagar | Rodopar 1015'!$J:$J,'Doc Há Pagar | Rodopar 1015'!$A:$A,$B386&amp;$E386&amp;$F386,'Doc Há Pagar | Rodopar 1015'!$B:$B,T$1)</f>
        <v>0</v>
      </c>
      <c r="U386" s="20">
        <f>SUMIFS('Doc''s Pagos | Rodopar 108'!$J:$J,'Doc''s Pagos | Rodopar 108'!$A:$A,$B386&amp;$E386&amp;$F386&amp;$J386,'Doc''s Pagos | Rodopar 108'!$B:$B,U$1)+SUMIFS('Doc Há Pagar | Rodopar 1015'!$J:$J,'Doc Há Pagar | Rodopar 1015'!$A:$A,$B386&amp;$E386&amp;$F386,'Doc Há Pagar | Rodopar 1015'!$B:$B,U$1)</f>
        <v>0</v>
      </c>
      <c r="V386" s="20">
        <f>SUMIFS('Doc''s Pagos | Rodopar 108'!$J:$J,'Doc''s Pagos | Rodopar 108'!$A:$A,$B386&amp;$E386&amp;$F386&amp;$J386,'Doc''s Pagos | Rodopar 108'!$B:$B,V$1)+SUMIFS('Doc Há Pagar | Rodopar 1015'!$J:$J,'Doc Há Pagar | Rodopar 1015'!$A:$A,$B386&amp;$E386&amp;$F386,'Doc Há Pagar | Rodopar 1015'!$B:$B,V$1)</f>
        <v>0</v>
      </c>
      <c r="W386" s="20">
        <f>SUMIFS('Doc''s Pagos | Rodopar 108'!$J:$J,'Doc''s Pagos | Rodopar 108'!$A:$A,$B386&amp;$E386&amp;$F386&amp;$J386,'Doc''s Pagos | Rodopar 108'!$B:$B,W$1)+SUMIFS('Doc Há Pagar | Rodopar 1015'!$J:$J,'Doc Há Pagar | Rodopar 1015'!$A:$A,$B386&amp;$E386&amp;$F386,'Doc Há Pagar | Rodopar 1015'!$B:$B,W$1)</f>
        <v>0</v>
      </c>
      <c r="X386" s="20">
        <f>SUMIFS('Doc''s Pagos | Rodopar 108'!$J:$J,'Doc''s Pagos | Rodopar 108'!$A:$A,$B386&amp;$E386&amp;$F386&amp;$J386,'Doc''s Pagos | Rodopar 108'!$B:$B,X$1)+SUMIFS('Doc Há Pagar | Rodopar 1015'!$J:$J,'Doc Há Pagar | Rodopar 1015'!$A:$A,$B386&amp;$E386&amp;$F386,'Doc Há Pagar | Rodopar 1015'!$B:$B,X$1)</f>
        <v>0</v>
      </c>
      <c r="Y386" s="20">
        <f>SUMIFS('Doc''s Pagos | Rodopar 108'!$J:$J,'Doc''s Pagos | Rodopar 108'!$A:$A,$B386&amp;$E386&amp;$F386&amp;$J386,'Doc''s Pagos | Rodopar 108'!$B:$B,Y$1)+SUMIFS('Doc Há Pagar | Rodopar 1015'!$J:$J,'Doc Há Pagar | Rodopar 1015'!$A:$A,$B386&amp;$E386&amp;$F386,'Doc Há Pagar | Rodopar 1015'!$B:$B,Y$1)</f>
        <v>0</v>
      </c>
      <c r="Z386" s="20">
        <f>SUMIFS('Doc''s Pagos | Rodopar 108'!$J:$J,'Doc''s Pagos | Rodopar 108'!$A:$A,$B386&amp;$E386&amp;$F386&amp;$J386,'Doc''s Pagos | Rodopar 108'!$B:$B,Z$1)+SUMIFS('Doc Há Pagar | Rodopar 1015'!$J:$J,'Doc Há Pagar | Rodopar 1015'!$A:$A,$B386&amp;$E386&amp;$F386,'Doc Há Pagar | Rodopar 1015'!$B:$B,Z$1)</f>
        <v>0</v>
      </c>
      <c r="AA386" s="20">
        <f>SUMIFS('Doc''s Pagos | Rodopar 108'!$J:$J,'Doc''s Pagos | Rodopar 108'!$A:$A,$B386&amp;$E386&amp;$F386&amp;$J386,'Doc''s Pagos | Rodopar 108'!$B:$B,AA$1)+SUMIFS('Doc Há Pagar | Rodopar 1015'!$J:$J,'Doc Há Pagar | Rodopar 1015'!$A:$A,$B386&amp;$E386&amp;$F386,'Doc Há Pagar | Rodopar 1015'!$B:$B,AA$1)</f>
        <v>1279.75</v>
      </c>
      <c r="AB386" s="20">
        <f>SUMIFS('Doc''s Pagos | Rodopar 108'!$J:$J,'Doc''s Pagos | Rodopar 108'!$A:$A,$B386&amp;$E386&amp;$F386&amp;$J386,'Doc''s Pagos | Rodopar 108'!$B:$B,AB$1)+SUMIFS('Doc Há Pagar | Rodopar 1015'!$J:$J,'Doc Há Pagar | Rodopar 1015'!$A:$A,$B386&amp;$E386&amp;$F386,'Doc Há Pagar | Rodopar 1015'!$B:$B,AB$1)</f>
        <v>0</v>
      </c>
      <c r="AC386" s="20">
        <f>SUMIFS('Doc''s Pagos | Rodopar 108'!$J:$J,'Doc''s Pagos | Rodopar 108'!$A:$A,$B386&amp;$E386&amp;$F386&amp;$J386,'Doc''s Pagos | Rodopar 108'!$B:$B,AC$1)+SUMIFS('Doc Há Pagar | Rodopar 1015'!$J:$J,'Doc Há Pagar | Rodopar 1015'!$A:$A,$B386&amp;$E386&amp;$F386,'Doc Há Pagar | Rodopar 1015'!$B:$B,AC$1)</f>
        <v>0</v>
      </c>
      <c r="AD386" s="20">
        <f>SUMIFS('Doc''s Pagos | Rodopar 108'!$J:$J,'Doc''s Pagos | Rodopar 108'!$A:$A,$B386&amp;$E386&amp;$F386&amp;$J386,'Doc''s Pagos | Rodopar 108'!$B:$B,AD$1)+SUMIFS('Doc Há Pagar | Rodopar 1015'!$J:$J,'Doc Há Pagar | Rodopar 1015'!$A:$A,$B386&amp;$E386&amp;$F386,'Doc Há Pagar | Rodopar 1015'!$B:$B,AD$1)</f>
        <v>0</v>
      </c>
    </row>
    <row r="387" spans="1:30" x14ac:dyDescent="0.25">
      <c r="A387" s="1" t="str">
        <f>VLOOKUP($E387,Fornecedores!$A:$C,3,0)</f>
        <v>Frota</v>
      </c>
      <c r="B387" s="14">
        <v>112</v>
      </c>
      <c r="C387" s="14" t="str">
        <f>IFERROR(VLOOKUP($E387,Fornecedores!$A:$E,4,0),"")</f>
        <v>Sinistro</v>
      </c>
      <c r="D387" s="14" t="str">
        <f>IFERROR(VLOOKUP($E387,Fornecedores!$A:$E,5,0),"")</f>
        <v>Lanternagem</v>
      </c>
      <c r="E387" s="8" t="s">
        <v>174</v>
      </c>
      <c r="F387" s="14" t="s">
        <v>665</v>
      </c>
      <c r="G387" s="8" t="s">
        <v>528</v>
      </c>
      <c r="H387" s="9">
        <v>87</v>
      </c>
      <c r="I387" s="21">
        <v>1170</v>
      </c>
      <c r="J387" s="11">
        <v>46252</v>
      </c>
      <c r="K387" s="11">
        <v>46252</v>
      </c>
      <c r="L387" s="8" t="s">
        <v>435</v>
      </c>
      <c r="M387" s="14" t="s">
        <v>234</v>
      </c>
      <c r="N387" s="16">
        <v>1556</v>
      </c>
      <c r="O387" s="14" t="s">
        <v>250</v>
      </c>
      <c r="P387" s="14"/>
      <c r="Q387" s="20">
        <f t="shared" si="6"/>
        <v>0</v>
      </c>
      <c r="S387" s="20">
        <f>SUMIFS('Doc''s Pagos | Rodopar 108'!$J:$J,'Doc''s Pagos | Rodopar 108'!$A:$A,$B387&amp;$E387&amp;$F387&amp;$J387,'Doc''s Pagos | Rodopar 108'!$B:$B,S$1)+SUMIFS('Doc Há Pagar | Rodopar 1015'!$J:$J,'Doc Há Pagar | Rodopar 1015'!$A:$A,$B387&amp;$E387&amp;$F387,'Doc Há Pagar | Rodopar 1015'!$B:$B,S$1)</f>
        <v>0</v>
      </c>
      <c r="T387" s="20">
        <f>SUMIFS('Doc''s Pagos | Rodopar 108'!$J:$J,'Doc''s Pagos | Rodopar 108'!$A:$A,$B387&amp;$E387&amp;$F387&amp;$J387,'Doc''s Pagos | Rodopar 108'!$B:$B,T$1)+SUMIFS('Doc Há Pagar | Rodopar 1015'!$J:$J,'Doc Há Pagar | Rodopar 1015'!$A:$A,$B387&amp;$E387&amp;$F387,'Doc Há Pagar | Rodopar 1015'!$B:$B,T$1)</f>
        <v>0</v>
      </c>
      <c r="U387" s="20">
        <f>SUMIFS('Doc''s Pagos | Rodopar 108'!$J:$J,'Doc''s Pagos | Rodopar 108'!$A:$A,$B387&amp;$E387&amp;$F387&amp;$J387,'Doc''s Pagos | Rodopar 108'!$B:$B,U$1)+SUMIFS('Doc Há Pagar | Rodopar 1015'!$J:$J,'Doc Há Pagar | Rodopar 1015'!$A:$A,$B387&amp;$E387&amp;$F387,'Doc Há Pagar | Rodopar 1015'!$B:$B,U$1)</f>
        <v>0</v>
      </c>
      <c r="V387" s="20">
        <f>SUMIFS('Doc''s Pagos | Rodopar 108'!$J:$J,'Doc''s Pagos | Rodopar 108'!$A:$A,$B387&amp;$E387&amp;$F387&amp;$J387,'Doc''s Pagos | Rodopar 108'!$B:$B,V$1)+SUMIFS('Doc Há Pagar | Rodopar 1015'!$J:$J,'Doc Há Pagar | Rodopar 1015'!$A:$A,$B387&amp;$E387&amp;$F387,'Doc Há Pagar | Rodopar 1015'!$B:$B,V$1)</f>
        <v>0</v>
      </c>
      <c r="W387" s="20">
        <f>SUMIFS('Doc''s Pagos | Rodopar 108'!$J:$J,'Doc''s Pagos | Rodopar 108'!$A:$A,$B387&amp;$E387&amp;$F387&amp;$J387,'Doc''s Pagos | Rodopar 108'!$B:$B,W$1)+SUMIFS('Doc Há Pagar | Rodopar 1015'!$J:$J,'Doc Há Pagar | Rodopar 1015'!$A:$A,$B387&amp;$E387&amp;$F387,'Doc Há Pagar | Rodopar 1015'!$B:$B,W$1)</f>
        <v>0</v>
      </c>
      <c r="X387" s="20">
        <f>SUMIFS('Doc''s Pagos | Rodopar 108'!$J:$J,'Doc''s Pagos | Rodopar 108'!$A:$A,$B387&amp;$E387&amp;$F387&amp;$J387,'Doc''s Pagos | Rodopar 108'!$B:$B,X$1)+SUMIFS('Doc Há Pagar | Rodopar 1015'!$J:$J,'Doc Há Pagar | Rodopar 1015'!$A:$A,$B387&amp;$E387&amp;$F387,'Doc Há Pagar | Rodopar 1015'!$B:$B,X$1)</f>
        <v>0</v>
      </c>
      <c r="Y387" s="20">
        <f>SUMIFS('Doc''s Pagos | Rodopar 108'!$J:$J,'Doc''s Pagos | Rodopar 108'!$A:$A,$B387&amp;$E387&amp;$F387&amp;$J387,'Doc''s Pagos | Rodopar 108'!$B:$B,Y$1)+SUMIFS('Doc Há Pagar | Rodopar 1015'!$J:$J,'Doc Há Pagar | Rodopar 1015'!$A:$A,$B387&amp;$E387&amp;$F387,'Doc Há Pagar | Rodopar 1015'!$B:$B,Y$1)</f>
        <v>0</v>
      </c>
      <c r="Z387" s="20">
        <f>SUMIFS('Doc''s Pagos | Rodopar 108'!$J:$J,'Doc''s Pagos | Rodopar 108'!$A:$A,$B387&amp;$E387&amp;$F387&amp;$J387,'Doc''s Pagos | Rodopar 108'!$B:$B,Z$1)+SUMIFS('Doc Há Pagar | Rodopar 1015'!$J:$J,'Doc Há Pagar | Rodopar 1015'!$A:$A,$B387&amp;$E387&amp;$F387,'Doc Há Pagar | Rodopar 1015'!$B:$B,Z$1)</f>
        <v>0</v>
      </c>
      <c r="AA387" s="20">
        <f>SUMIFS('Doc''s Pagos | Rodopar 108'!$J:$J,'Doc''s Pagos | Rodopar 108'!$A:$A,$B387&amp;$E387&amp;$F387&amp;$J387,'Doc''s Pagos | Rodopar 108'!$B:$B,AA$1)+SUMIFS('Doc Há Pagar | Rodopar 1015'!$J:$J,'Doc Há Pagar | Rodopar 1015'!$A:$A,$B387&amp;$E387&amp;$F387,'Doc Há Pagar | Rodopar 1015'!$B:$B,AA$1)</f>
        <v>1170</v>
      </c>
      <c r="AB387" s="20">
        <f>SUMIFS('Doc''s Pagos | Rodopar 108'!$J:$J,'Doc''s Pagos | Rodopar 108'!$A:$A,$B387&amp;$E387&amp;$F387&amp;$J387,'Doc''s Pagos | Rodopar 108'!$B:$B,AB$1)+SUMIFS('Doc Há Pagar | Rodopar 1015'!$J:$J,'Doc Há Pagar | Rodopar 1015'!$A:$A,$B387&amp;$E387&amp;$F387,'Doc Há Pagar | Rodopar 1015'!$B:$B,AB$1)</f>
        <v>0</v>
      </c>
      <c r="AC387" s="20">
        <f>SUMIFS('Doc''s Pagos | Rodopar 108'!$J:$J,'Doc''s Pagos | Rodopar 108'!$A:$A,$B387&amp;$E387&amp;$F387&amp;$J387,'Doc''s Pagos | Rodopar 108'!$B:$B,AC$1)+SUMIFS('Doc Há Pagar | Rodopar 1015'!$J:$J,'Doc Há Pagar | Rodopar 1015'!$A:$A,$B387&amp;$E387&amp;$F387,'Doc Há Pagar | Rodopar 1015'!$B:$B,AC$1)</f>
        <v>0</v>
      </c>
      <c r="AD387" s="20">
        <f>SUMIFS('Doc''s Pagos | Rodopar 108'!$J:$J,'Doc''s Pagos | Rodopar 108'!$A:$A,$B387&amp;$E387&amp;$F387&amp;$J387,'Doc''s Pagos | Rodopar 108'!$B:$B,AD$1)+SUMIFS('Doc Há Pagar | Rodopar 1015'!$J:$J,'Doc Há Pagar | Rodopar 1015'!$A:$A,$B387&amp;$E387&amp;$F387,'Doc Há Pagar | Rodopar 1015'!$B:$B,AD$1)</f>
        <v>0</v>
      </c>
    </row>
    <row r="388" spans="1:30" x14ac:dyDescent="0.25">
      <c r="A388" s="1" t="str">
        <f>VLOOKUP($E388,Fornecedores!$A:$C,3,0)</f>
        <v>Frota</v>
      </c>
      <c r="B388" s="14">
        <v>455</v>
      </c>
      <c r="C388" s="14" t="str">
        <f>IFERROR(VLOOKUP($E388,Fornecedores!$A:$E,4,0),"")</f>
        <v>Manutenção</v>
      </c>
      <c r="D388" s="14" t="str">
        <f>IFERROR(VLOOKUP($E388,Fornecedores!$A:$E,5,0),"")</f>
        <v>Frota Leve OPE</v>
      </c>
      <c r="E388" s="8" t="s">
        <v>109</v>
      </c>
      <c r="F388" s="14" t="s">
        <v>665</v>
      </c>
      <c r="G388" s="8" t="s">
        <v>880</v>
      </c>
      <c r="H388" s="9">
        <v>87</v>
      </c>
      <c r="I388" s="21">
        <v>1109.3399999999999</v>
      </c>
      <c r="J388" s="11">
        <v>46253</v>
      </c>
      <c r="K388" s="11">
        <v>46254</v>
      </c>
      <c r="L388" s="8" t="s">
        <v>382</v>
      </c>
      <c r="M388" s="14" t="s">
        <v>234</v>
      </c>
      <c r="N388" s="16">
        <v>1556</v>
      </c>
      <c r="O388" s="14" t="s">
        <v>250</v>
      </c>
      <c r="P388" s="14"/>
      <c r="Q388" s="20">
        <f t="shared" si="6"/>
        <v>0</v>
      </c>
      <c r="S388" s="20">
        <f>SUMIFS('Doc''s Pagos | Rodopar 108'!$J:$J,'Doc''s Pagos | Rodopar 108'!$A:$A,$B388&amp;$E388&amp;$F388&amp;$J388,'Doc''s Pagos | Rodopar 108'!$B:$B,S$1)+SUMIFS('Doc Há Pagar | Rodopar 1015'!$J:$J,'Doc Há Pagar | Rodopar 1015'!$A:$A,$B388&amp;$E388&amp;$F388,'Doc Há Pagar | Rodopar 1015'!$B:$B,S$1)</f>
        <v>0</v>
      </c>
      <c r="T388" s="20">
        <f>SUMIFS('Doc''s Pagos | Rodopar 108'!$J:$J,'Doc''s Pagos | Rodopar 108'!$A:$A,$B388&amp;$E388&amp;$F388&amp;$J388,'Doc''s Pagos | Rodopar 108'!$B:$B,T$1)+SUMIFS('Doc Há Pagar | Rodopar 1015'!$J:$J,'Doc Há Pagar | Rodopar 1015'!$A:$A,$B388&amp;$E388&amp;$F388,'Doc Há Pagar | Rodopar 1015'!$B:$B,T$1)</f>
        <v>0</v>
      </c>
      <c r="U388" s="20">
        <f>SUMIFS('Doc''s Pagos | Rodopar 108'!$J:$J,'Doc''s Pagos | Rodopar 108'!$A:$A,$B388&amp;$E388&amp;$F388&amp;$J388,'Doc''s Pagos | Rodopar 108'!$B:$B,U$1)+SUMIFS('Doc Há Pagar | Rodopar 1015'!$J:$J,'Doc Há Pagar | Rodopar 1015'!$A:$A,$B388&amp;$E388&amp;$F388,'Doc Há Pagar | Rodopar 1015'!$B:$B,U$1)</f>
        <v>0</v>
      </c>
      <c r="V388" s="20">
        <f>SUMIFS('Doc''s Pagos | Rodopar 108'!$J:$J,'Doc''s Pagos | Rodopar 108'!$A:$A,$B388&amp;$E388&amp;$F388&amp;$J388,'Doc''s Pagos | Rodopar 108'!$B:$B,V$1)+SUMIFS('Doc Há Pagar | Rodopar 1015'!$J:$J,'Doc Há Pagar | Rodopar 1015'!$A:$A,$B388&amp;$E388&amp;$F388,'Doc Há Pagar | Rodopar 1015'!$B:$B,V$1)</f>
        <v>0</v>
      </c>
      <c r="W388" s="20">
        <f>SUMIFS('Doc''s Pagos | Rodopar 108'!$J:$J,'Doc''s Pagos | Rodopar 108'!$A:$A,$B388&amp;$E388&amp;$F388&amp;$J388,'Doc''s Pagos | Rodopar 108'!$B:$B,W$1)+SUMIFS('Doc Há Pagar | Rodopar 1015'!$J:$J,'Doc Há Pagar | Rodopar 1015'!$A:$A,$B388&amp;$E388&amp;$F388,'Doc Há Pagar | Rodopar 1015'!$B:$B,W$1)</f>
        <v>0</v>
      </c>
      <c r="X388" s="20">
        <f>SUMIFS('Doc''s Pagos | Rodopar 108'!$J:$J,'Doc''s Pagos | Rodopar 108'!$A:$A,$B388&amp;$E388&amp;$F388&amp;$J388,'Doc''s Pagos | Rodopar 108'!$B:$B,X$1)+SUMIFS('Doc Há Pagar | Rodopar 1015'!$J:$J,'Doc Há Pagar | Rodopar 1015'!$A:$A,$B388&amp;$E388&amp;$F388,'Doc Há Pagar | Rodopar 1015'!$B:$B,X$1)</f>
        <v>0</v>
      </c>
      <c r="Y388" s="20">
        <f>SUMIFS('Doc''s Pagos | Rodopar 108'!$J:$J,'Doc''s Pagos | Rodopar 108'!$A:$A,$B388&amp;$E388&amp;$F388&amp;$J388,'Doc''s Pagos | Rodopar 108'!$B:$B,Y$1)+SUMIFS('Doc Há Pagar | Rodopar 1015'!$J:$J,'Doc Há Pagar | Rodopar 1015'!$A:$A,$B388&amp;$E388&amp;$F388,'Doc Há Pagar | Rodopar 1015'!$B:$B,Y$1)</f>
        <v>0</v>
      </c>
      <c r="Z388" s="20">
        <f>SUMIFS('Doc''s Pagos | Rodopar 108'!$J:$J,'Doc''s Pagos | Rodopar 108'!$A:$A,$B388&amp;$E388&amp;$F388&amp;$J388,'Doc''s Pagos | Rodopar 108'!$B:$B,Z$1)+SUMIFS('Doc Há Pagar | Rodopar 1015'!$J:$J,'Doc Há Pagar | Rodopar 1015'!$A:$A,$B388&amp;$E388&amp;$F388,'Doc Há Pagar | Rodopar 1015'!$B:$B,Z$1)</f>
        <v>0</v>
      </c>
      <c r="AA388" s="20">
        <f>SUMIFS('Doc''s Pagos | Rodopar 108'!$J:$J,'Doc''s Pagos | Rodopar 108'!$A:$A,$B388&amp;$E388&amp;$F388&amp;$J388,'Doc''s Pagos | Rodopar 108'!$B:$B,AA$1)+SUMIFS('Doc Há Pagar | Rodopar 1015'!$J:$J,'Doc Há Pagar | Rodopar 1015'!$A:$A,$B388&amp;$E388&amp;$F388,'Doc Há Pagar | Rodopar 1015'!$B:$B,AA$1)</f>
        <v>1109.3399999999999</v>
      </c>
      <c r="AB388" s="20">
        <f>SUMIFS('Doc''s Pagos | Rodopar 108'!$J:$J,'Doc''s Pagos | Rodopar 108'!$A:$A,$B388&amp;$E388&amp;$F388&amp;$J388,'Doc''s Pagos | Rodopar 108'!$B:$B,AB$1)+SUMIFS('Doc Há Pagar | Rodopar 1015'!$J:$J,'Doc Há Pagar | Rodopar 1015'!$A:$A,$B388&amp;$E388&amp;$F388,'Doc Há Pagar | Rodopar 1015'!$B:$B,AB$1)</f>
        <v>0</v>
      </c>
      <c r="AC388" s="20">
        <f>SUMIFS('Doc''s Pagos | Rodopar 108'!$J:$J,'Doc''s Pagos | Rodopar 108'!$A:$A,$B388&amp;$E388&amp;$F388&amp;$J388,'Doc''s Pagos | Rodopar 108'!$B:$B,AC$1)+SUMIFS('Doc Há Pagar | Rodopar 1015'!$J:$J,'Doc Há Pagar | Rodopar 1015'!$A:$A,$B388&amp;$E388&amp;$F388,'Doc Há Pagar | Rodopar 1015'!$B:$B,AC$1)</f>
        <v>0</v>
      </c>
      <c r="AD388" s="20">
        <f>SUMIFS('Doc''s Pagos | Rodopar 108'!$J:$J,'Doc''s Pagos | Rodopar 108'!$A:$A,$B388&amp;$E388&amp;$F388&amp;$J388,'Doc''s Pagos | Rodopar 108'!$B:$B,AD$1)+SUMIFS('Doc Há Pagar | Rodopar 1015'!$J:$J,'Doc Há Pagar | Rodopar 1015'!$A:$A,$B388&amp;$E388&amp;$F388,'Doc Há Pagar | Rodopar 1015'!$B:$B,AD$1)</f>
        <v>0</v>
      </c>
    </row>
    <row r="389" spans="1:30" x14ac:dyDescent="0.25">
      <c r="A389" s="1" t="str">
        <f>VLOOKUP($E389,Fornecedores!$A:$C,3,0)</f>
        <v>Frota</v>
      </c>
      <c r="B389" s="14">
        <v>19030</v>
      </c>
      <c r="C389" s="14" t="str">
        <f>IFERROR(VLOOKUP($E389,Fornecedores!$A:$E,4,0),"")</f>
        <v>Manutenção</v>
      </c>
      <c r="D389" s="14" t="str">
        <f>IFERROR(VLOOKUP($E389,Fornecedores!$A:$E,5,0),"")</f>
        <v>Peças E Serviços</v>
      </c>
      <c r="E389" s="8" t="s">
        <v>25</v>
      </c>
      <c r="F389" s="14" t="s">
        <v>380</v>
      </c>
      <c r="G389" s="8" t="s">
        <v>390</v>
      </c>
      <c r="H389" s="9">
        <v>87</v>
      </c>
      <c r="I389" s="21">
        <v>618</v>
      </c>
      <c r="J389" s="11">
        <v>46254</v>
      </c>
      <c r="K389" s="11">
        <v>46255</v>
      </c>
      <c r="L389" s="8" t="s">
        <v>282</v>
      </c>
      <c r="M389" s="14" t="s">
        <v>234</v>
      </c>
      <c r="N389" s="16">
        <v>1556</v>
      </c>
      <c r="O389" s="14" t="s">
        <v>250</v>
      </c>
      <c r="P389" s="14"/>
      <c r="Q389" s="20">
        <f t="shared" si="6"/>
        <v>0</v>
      </c>
      <c r="S389" s="20">
        <f>SUMIFS('Doc''s Pagos | Rodopar 108'!$J:$J,'Doc''s Pagos | Rodopar 108'!$A:$A,$B389&amp;$E389&amp;$F389&amp;$J389,'Doc''s Pagos | Rodopar 108'!$B:$B,S$1)+SUMIFS('Doc Há Pagar | Rodopar 1015'!$J:$J,'Doc Há Pagar | Rodopar 1015'!$A:$A,$B389&amp;$E389&amp;$F389,'Doc Há Pagar | Rodopar 1015'!$B:$B,S$1)</f>
        <v>0</v>
      </c>
      <c r="T389" s="20">
        <f>SUMIFS('Doc''s Pagos | Rodopar 108'!$J:$J,'Doc''s Pagos | Rodopar 108'!$A:$A,$B389&amp;$E389&amp;$F389&amp;$J389,'Doc''s Pagos | Rodopar 108'!$B:$B,T$1)+SUMIFS('Doc Há Pagar | Rodopar 1015'!$J:$J,'Doc Há Pagar | Rodopar 1015'!$A:$A,$B389&amp;$E389&amp;$F389,'Doc Há Pagar | Rodopar 1015'!$B:$B,T$1)</f>
        <v>0</v>
      </c>
      <c r="U389" s="20">
        <f>SUMIFS('Doc''s Pagos | Rodopar 108'!$J:$J,'Doc''s Pagos | Rodopar 108'!$A:$A,$B389&amp;$E389&amp;$F389&amp;$J389,'Doc''s Pagos | Rodopar 108'!$B:$B,U$1)+SUMIFS('Doc Há Pagar | Rodopar 1015'!$J:$J,'Doc Há Pagar | Rodopar 1015'!$A:$A,$B389&amp;$E389&amp;$F389,'Doc Há Pagar | Rodopar 1015'!$B:$B,U$1)</f>
        <v>0</v>
      </c>
      <c r="V389" s="20">
        <f>SUMIFS('Doc''s Pagos | Rodopar 108'!$J:$J,'Doc''s Pagos | Rodopar 108'!$A:$A,$B389&amp;$E389&amp;$F389&amp;$J389,'Doc''s Pagos | Rodopar 108'!$B:$B,V$1)+SUMIFS('Doc Há Pagar | Rodopar 1015'!$J:$J,'Doc Há Pagar | Rodopar 1015'!$A:$A,$B389&amp;$E389&amp;$F389,'Doc Há Pagar | Rodopar 1015'!$B:$B,V$1)</f>
        <v>0</v>
      </c>
      <c r="W389" s="20">
        <f>SUMIFS('Doc''s Pagos | Rodopar 108'!$J:$J,'Doc''s Pagos | Rodopar 108'!$A:$A,$B389&amp;$E389&amp;$F389&amp;$J389,'Doc''s Pagos | Rodopar 108'!$B:$B,W$1)+SUMIFS('Doc Há Pagar | Rodopar 1015'!$J:$J,'Doc Há Pagar | Rodopar 1015'!$A:$A,$B389&amp;$E389&amp;$F389,'Doc Há Pagar | Rodopar 1015'!$B:$B,W$1)</f>
        <v>0</v>
      </c>
      <c r="X389" s="20">
        <f>SUMIFS('Doc''s Pagos | Rodopar 108'!$J:$J,'Doc''s Pagos | Rodopar 108'!$A:$A,$B389&amp;$E389&amp;$F389&amp;$J389,'Doc''s Pagos | Rodopar 108'!$B:$B,X$1)+SUMIFS('Doc Há Pagar | Rodopar 1015'!$J:$J,'Doc Há Pagar | Rodopar 1015'!$A:$A,$B389&amp;$E389&amp;$F389,'Doc Há Pagar | Rodopar 1015'!$B:$B,X$1)</f>
        <v>0</v>
      </c>
      <c r="Y389" s="20">
        <f>SUMIFS('Doc''s Pagos | Rodopar 108'!$J:$J,'Doc''s Pagos | Rodopar 108'!$A:$A,$B389&amp;$E389&amp;$F389&amp;$J389,'Doc''s Pagos | Rodopar 108'!$B:$B,Y$1)+SUMIFS('Doc Há Pagar | Rodopar 1015'!$J:$J,'Doc Há Pagar | Rodopar 1015'!$A:$A,$B389&amp;$E389&amp;$F389,'Doc Há Pagar | Rodopar 1015'!$B:$B,Y$1)</f>
        <v>0</v>
      </c>
      <c r="Z389" s="20">
        <f>SUMIFS('Doc''s Pagos | Rodopar 108'!$J:$J,'Doc''s Pagos | Rodopar 108'!$A:$A,$B389&amp;$E389&amp;$F389&amp;$J389,'Doc''s Pagos | Rodopar 108'!$B:$B,Z$1)+SUMIFS('Doc Há Pagar | Rodopar 1015'!$J:$J,'Doc Há Pagar | Rodopar 1015'!$A:$A,$B389&amp;$E389&amp;$F389,'Doc Há Pagar | Rodopar 1015'!$B:$B,Z$1)</f>
        <v>0</v>
      </c>
      <c r="AA389" s="20">
        <f>SUMIFS('Doc''s Pagos | Rodopar 108'!$J:$J,'Doc''s Pagos | Rodopar 108'!$A:$A,$B389&amp;$E389&amp;$F389&amp;$J389,'Doc''s Pagos | Rodopar 108'!$B:$B,AA$1)+SUMIFS('Doc Há Pagar | Rodopar 1015'!$J:$J,'Doc Há Pagar | Rodopar 1015'!$A:$A,$B389&amp;$E389&amp;$F389,'Doc Há Pagar | Rodopar 1015'!$B:$B,AA$1)</f>
        <v>618</v>
      </c>
      <c r="AB389" s="20">
        <f>SUMIFS('Doc''s Pagos | Rodopar 108'!$J:$J,'Doc''s Pagos | Rodopar 108'!$A:$A,$B389&amp;$E389&amp;$F389&amp;$J389,'Doc''s Pagos | Rodopar 108'!$B:$B,AB$1)+SUMIFS('Doc Há Pagar | Rodopar 1015'!$J:$J,'Doc Há Pagar | Rodopar 1015'!$A:$A,$B389&amp;$E389&amp;$F389,'Doc Há Pagar | Rodopar 1015'!$B:$B,AB$1)</f>
        <v>0</v>
      </c>
      <c r="AC389" s="20">
        <f>SUMIFS('Doc''s Pagos | Rodopar 108'!$J:$J,'Doc''s Pagos | Rodopar 108'!$A:$A,$B389&amp;$E389&amp;$F389&amp;$J389,'Doc''s Pagos | Rodopar 108'!$B:$B,AC$1)+SUMIFS('Doc Há Pagar | Rodopar 1015'!$J:$J,'Doc Há Pagar | Rodopar 1015'!$A:$A,$B389&amp;$E389&amp;$F389,'Doc Há Pagar | Rodopar 1015'!$B:$B,AC$1)</f>
        <v>0</v>
      </c>
      <c r="AD389" s="20">
        <f>SUMIFS('Doc''s Pagos | Rodopar 108'!$J:$J,'Doc''s Pagos | Rodopar 108'!$A:$A,$B389&amp;$E389&amp;$F389&amp;$J389,'Doc''s Pagos | Rodopar 108'!$B:$B,AD$1)+SUMIFS('Doc Há Pagar | Rodopar 1015'!$J:$J,'Doc Há Pagar | Rodopar 1015'!$A:$A,$B389&amp;$E389&amp;$F389,'Doc Há Pagar | Rodopar 1015'!$B:$B,AD$1)</f>
        <v>0</v>
      </c>
    </row>
    <row r="390" spans="1:30" x14ac:dyDescent="0.25">
      <c r="A390" s="1" t="str">
        <f>VLOOKUP($E390,Fornecedores!$A:$C,3,0)</f>
        <v>Frota</v>
      </c>
      <c r="B390" s="14">
        <v>19031</v>
      </c>
      <c r="C390" s="14" t="str">
        <f>IFERROR(VLOOKUP($E390,Fornecedores!$A:$E,4,0),"")</f>
        <v>Manutenção</v>
      </c>
      <c r="D390" s="14" t="str">
        <f>IFERROR(VLOOKUP($E390,Fornecedores!$A:$E,5,0),"")</f>
        <v>Peças E Serviços</v>
      </c>
      <c r="E390" s="8" t="s">
        <v>25</v>
      </c>
      <c r="F390" s="14" t="s">
        <v>380</v>
      </c>
      <c r="G390" s="8" t="s">
        <v>390</v>
      </c>
      <c r="H390" s="9">
        <v>87</v>
      </c>
      <c r="I390" s="21">
        <v>618</v>
      </c>
      <c r="J390" s="11">
        <v>46254</v>
      </c>
      <c r="K390" s="11">
        <v>46255</v>
      </c>
      <c r="L390" s="8" t="s">
        <v>282</v>
      </c>
      <c r="M390" s="14" t="s">
        <v>234</v>
      </c>
      <c r="N390" s="16">
        <v>1556</v>
      </c>
      <c r="O390" s="14" t="s">
        <v>250</v>
      </c>
      <c r="P390" s="14"/>
      <c r="Q390" s="20">
        <f t="shared" si="6"/>
        <v>0</v>
      </c>
      <c r="S390" s="20">
        <f>SUMIFS('Doc''s Pagos | Rodopar 108'!$J:$J,'Doc''s Pagos | Rodopar 108'!$A:$A,$B390&amp;$E390&amp;$F390&amp;$J390,'Doc''s Pagos | Rodopar 108'!$B:$B,S$1)+SUMIFS('Doc Há Pagar | Rodopar 1015'!$J:$J,'Doc Há Pagar | Rodopar 1015'!$A:$A,$B390&amp;$E390&amp;$F390,'Doc Há Pagar | Rodopar 1015'!$B:$B,S$1)</f>
        <v>0</v>
      </c>
      <c r="T390" s="20">
        <f>SUMIFS('Doc''s Pagos | Rodopar 108'!$J:$J,'Doc''s Pagos | Rodopar 108'!$A:$A,$B390&amp;$E390&amp;$F390&amp;$J390,'Doc''s Pagos | Rodopar 108'!$B:$B,T$1)+SUMIFS('Doc Há Pagar | Rodopar 1015'!$J:$J,'Doc Há Pagar | Rodopar 1015'!$A:$A,$B390&amp;$E390&amp;$F390,'Doc Há Pagar | Rodopar 1015'!$B:$B,T$1)</f>
        <v>0</v>
      </c>
      <c r="U390" s="20">
        <f>SUMIFS('Doc''s Pagos | Rodopar 108'!$J:$J,'Doc''s Pagos | Rodopar 108'!$A:$A,$B390&amp;$E390&amp;$F390&amp;$J390,'Doc''s Pagos | Rodopar 108'!$B:$B,U$1)+SUMIFS('Doc Há Pagar | Rodopar 1015'!$J:$J,'Doc Há Pagar | Rodopar 1015'!$A:$A,$B390&amp;$E390&amp;$F390,'Doc Há Pagar | Rodopar 1015'!$B:$B,U$1)</f>
        <v>0</v>
      </c>
      <c r="V390" s="20">
        <f>SUMIFS('Doc''s Pagos | Rodopar 108'!$J:$J,'Doc''s Pagos | Rodopar 108'!$A:$A,$B390&amp;$E390&amp;$F390&amp;$J390,'Doc''s Pagos | Rodopar 108'!$B:$B,V$1)+SUMIFS('Doc Há Pagar | Rodopar 1015'!$J:$J,'Doc Há Pagar | Rodopar 1015'!$A:$A,$B390&amp;$E390&amp;$F390,'Doc Há Pagar | Rodopar 1015'!$B:$B,V$1)</f>
        <v>0</v>
      </c>
      <c r="W390" s="20">
        <f>SUMIFS('Doc''s Pagos | Rodopar 108'!$J:$J,'Doc''s Pagos | Rodopar 108'!$A:$A,$B390&amp;$E390&amp;$F390&amp;$J390,'Doc''s Pagos | Rodopar 108'!$B:$B,W$1)+SUMIFS('Doc Há Pagar | Rodopar 1015'!$J:$J,'Doc Há Pagar | Rodopar 1015'!$A:$A,$B390&amp;$E390&amp;$F390,'Doc Há Pagar | Rodopar 1015'!$B:$B,W$1)</f>
        <v>0</v>
      </c>
      <c r="X390" s="20">
        <f>SUMIFS('Doc''s Pagos | Rodopar 108'!$J:$J,'Doc''s Pagos | Rodopar 108'!$A:$A,$B390&amp;$E390&amp;$F390&amp;$J390,'Doc''s Pagos | Rodopar 108'!$B:$B,X$1)+SUMIFS('Doc Há Pagar | Rodopar 1015'!$J:$J,'Doc Há Pagar | Rodopar 1015'!$A:$A,$B390&amp;$E390&amp;$F390,'Doc Há Pagar | Rodopar 1015'!$B:$B,X$1)</f>
        <v>0</v>
      </c>
      <c r="Y390" s="20">
        <f>SUMIFS('Doc''s Pagos | Rodopar 108'!$J:$J,'Doc''s Pagos | Rodopar 108'!$A:$A,$B390&amp;$E390&amp;$F390&amp;$J390,'Doc''s Pagos | Rodopar 108'!$B:$B,Y$1)+SUMIFS('Doc Há Pagar | Rodopar 1015'!$J:$J,'Doc Há Pagar | Rodopar 1015'!$A:$A,$B390&amp;$E390&amp;$F390,'Doc Há Pagar | Rodopar 1015'!$B:$B,Y$1)</f>
        <v>0</v>
      </c>
      <c r="Z390" s="20">
        <f>SUMIFS('Doc''s Pagos | Rodopar 108'!$J:$J,'Doc''s Pagos | Rodopar 108'!$A:$A,$B390&amp;$E390&amp;$F390&amp;$J390,'Doc''s Pagos | Rodopar 108'!$B:$B,Z$1)+SUMIFS('Doc Há Pagar | Rodopar 1015'!$J:$J,'Doc Há Pagar | Rodopar 1015'!$A:$A,$B390&amp;$E390&amp;$F390,'Doc Há Pagar | Rodopar 1015'!$B:$B,Z$1)</f>
        <v>0</v>
      </c>
      <c r="AA390" s="20">
        <f>SUMIFS('Doc''s Pagos | Rodopar 108'!$J:$J,'Doc''s Pagos | Rodopar 108'!$A:$A,$B390&amp;$E390&amp;$F390&amp;$J390,'Doc''s Pagos | Rodopar 108'!$B:$B,AA$1)+SUMIFS('Doc Há Pagar | Rodopar 1015'!$J:$J,'Doc Há Pagar | Rodopar 1015'!$A:$A,$B390&amp;$E390&amp;$F390,'Doc Há Pagar | Rodopar 1015'!$B:$B,AA$1)</f>
        <v>618</v>
      </c>
      <c r="AB390" s="20">
        <f>SUMIFS('Doc''s Pagos | Rodopar 108'!$J:$J,'Doc''s Pagos | Rodopar 108'!$A:$A,$B390&amp;$E390&amp;$F390&amp;$J390,'Doc''s Pagos | Rodopar 108'!$B:$B,AB$1)+SUMIFS('Doc Há Pagar | Rodopar 1015'!$J:$J,'Doc Há Pagar | Rodopar 1015'!$A:$A,$B390&amp;$E390&amp;$F390,'Doc Há Pagar | Rodopar 1015'!$B:$B,AB$1)</f>
        <v>0</v>
      </c>
      <c r="AC390" s="20">
        <f>SUMIFS('Doc''s Pagos | Rodopar 108'!$J:$J,'Doc''s Pagos | Rodopar 108'!$A:$A,$B390&amp;$E390&amp;$F390&amp;$J390,'Doc''s Pagos | Rodopar 108'!$B:$B,AC$1)+SUMIFS('Doc Há Pagar | Rodopar 1015'!$J:$J,'Doc Há Pagar | Rodopar 1015'!$A:$A,$B390&amp;$E390&amp;$F390,'Doc Há Pagar | Rodopar 1015'!$B:$B,AC$1)</f>
        <v>0</v>
      </c>
      <c r="AD390" s="20">
        <f>SUMIFS('Doc''s Pagos | Rodopar 108'!$J:$J,'Doc''s Pagos | Rodopar 108'!$A:$A,$B390&amp;$E390&amp;$F390&amp;$J390,'Doc''s Pagos | Rodopar 108'!$B:$B,AD$1)+SUMIFS('Doc Há Pagar | Rodopar 1015'!$J:$J,'Doc Há Pagar | Rodopar 1015'!$A:$A,$B390&amp;$E390&amp;$F390,'Doc Há Pagar | Rodopar 1015'!$B:$B,AD$1)</f>
        <v>0</v>
      </c>
    </row>
    <row r="391" spans="1:30" x14ac:dyDescent="0.25">
      <c r="A391" s="1" t="str">
        <f>VLOOKUP($E391,Fornecedores!$A:$C,3,0)</f>
        <v>Frota</v>
      </c>
      <c r="B391" s="14">
        <v>190796</v>
      </c>
      <c r="C391" s="14" t="str">
        <f>IFERROR(VLOOKUP($E391,Fornecedores!$A:$E,4,0),"")</f>
        <v>Manutenção</v>
      </c>
      <c r="D391" s="14" t="str">
        <f>IFERROR(VLOOKUP($E391,Fornecedores!$A:$E,5,0),"")</f>
        <v>Vans</v>
      </c>
      <c r="E391" s="8" t="s">
        <v>132</v>
      </c>
      <c r="F391" s="14" t="s">
        <v>380</v>
      </c>
      <c r="G391" s="8" t="s">
        <v>434</v>
      </c>
      <c r="H391" s="9">
        <v>87</v>
      </c>
      <c r="I391" s="21">
        <v>987.71</v>
      </c>
      <c r="J391" s="11">
        <v>46254</v>
      </c>
      <c r="K391" s="11">
        <v>46255</v>
      </c>
      <c r="L391" s="8" t="s">
        <v>435</v>
      </c>
      <c r="M391" s="14" t="s">
        <v>234</v>
      </c>
      <c r="N391" s="16">
        <v>1556</v>
      </c>
      <c r="O391" s="14" t="s">
        <v>250</v>
      </c>
      <c r="P391" s="14"/>
      <c r="Q391" s="20">
        <f t="shared" si="6"/>
        <v>0</v>
      </c>
      <c r="S391" s="20">
        <f>SUMIFS('Doc''s Pagos | Rodopar 108'!$J:$J,'Doc''s Pagos | Rodopar 108'!$A:$A,$B391&amp;$E391&amp;$F391&amp;$J391,'Doc''s Pagos | Rodopar 108'!$B:$B,S$1)+SUMIFS('Doc Há Pagar | Rodopar 1015'!$J:$J,'Doc Há Pagar | Rodopar 1015'!$A:$A,$B391&amp;$E391&amp;$F391,'Doc Há Pagar | Rodopar 1015'!$B:$B,S$1)</f>
        <v>0</v>
      </c>
      <c r="T391" s="20">
        <f>SUMIFS('Doc''s Pagos | Rodopar 108'!$J:$J,'Doc''s Pagos | Rodopar 108'!$A:$A,$B391&amp;$E391&amp;$F391&amp;$J391,'Doc''s Pagos | Rodopar 108'!$B:$B,T$1)+SUMIFS('Doc Há Pagar | Rodopar 1015'!$J:$J,'Doc Há Pagar | Rodopar 1015'!$A:$A,$B391&amp;$E391&amp;$F391,'Doc Há Pagar | Rodopar 1015'!$B:$B,T$1)</f>
        <v>0</v>
      </c>
      <c r="U391" s="20">
        <f>SUMIFS('Doc''s Pagos | Rodopar 108'!$J:$J,'Doc''s Pagos | Rodopar 108'!$A:$A,$B391&amp;$E391&amp;$F391&amp;$J391,'Doc''s Pagos | Rodopar 108'!$B:$B,U$1)+SUMIFS('Doc Há Pagar | Rodopar 1015'!$J:$J,'Doc Há Pagar | Rodopar 1015'!$A:$A,$B391&amp;$E391&amp;$F391,'Doc Há Pagar | Rodopar 1015'!$B:$B,U$1)</f>
        <v>0</v>
      </c>
      <c r="V391" s="20">
        <f>SUMIFS('Doc''s Pagos | Rodopar 108'!$J:$J,'Doc''s Pagos | Rodopar 108'!$A:$A,$B391&amp;$E391&amp;$F391&amp;$J391,'Doc''s Pagos | Rodopar 108'!$B:$B,V$1)+SUMIFS('Doc Há Pagar | Rodopar 1015'!$J:$J,'Doc Há Pagar | Rodopar 1015'!$A:$A,$B391&amp;$E391&amp;$F391,'Doc Há Pagar | Rodopar 1015'!$B:$B,V$1)</f>
        <v>0</v>
      </c>
      <c r="W391" s="20">
        <f>SUMIFS('Doc''s Pagos | Rodopar 108'!$J:$J,'Doc''s Pagos | Rodopar 108'!$A:$A,$B391&amp;$E391&amp;$F391&amp;$J391,'Doc''s Pagos | Rodopar 108'!$B:$B,W$1)+SUMIFS('Doc Há Pagar | Rodopar 1015'!$J:$J,'Doc Há Pagar | Rodopar 1015'!$A:$A,$B391&amp;$E391&amp;$F391,'Doc Há Pagar | Rodopar 1015'!$B:$B,W$1)</f>
        <v>0</v>
      </c>
      <c r="X391" s="20">
        <f>SUMIFS('Doc''s Pagos | Rodopar 108'!$J:$J,'Doc''s Pagos | Rodopar 108'!$A:$A,$B391&amp;$E391&amp;$F391&amp;$J391,'Doc''s Pagos | Rodopar 108'!$B:$B,X$1)+SUMIFS('Doc Há Pagar | Rodopar 1015'!$J:$J,'Doc Há Pagar | Rodopar 1015'!$A:$A,$B391&amp;$E391&amp;$F391,'Doc Há Pagar | Rodopar 1015'!$B:$B,X$1)</f>
        <v>0</v>
      </c>
      <c r="Y391" s="20">
        <f>SUMIFS('Doc''s Pagos | Rodopar 108'!$J:$J,'Doc''s Pagos | Rodopar 108'!$A:$A,$B391&amp;$E391&amp;$F391&amp;$J391,'Doc''s Pagos | Rodopar 108'!$B:$B,Y$1)+SUMIFS('Doc Há Pagar | Rodopar 1015'!$J:$J,'Doc Há Pagar | Rodopar 1015'!$A:$A,$B391&amp;$E391&amp;$F391,'Doc Há Pagar | Rodopar 1015'!$B:$B,Y$1)</f>
        <v>0</v>
      </c>
      <c r="Z391" s="20">
        <f>SUMIFS('Doc''s Pagos | Rodopar 108'!$J:$J,'Doc''s Pagos | Rodopar 108'!$A:$A,$B391&amp;$E391&amp;$F391&amp;$J391,'Doc''s Pagos | Rodopar 108'!$B:$B,Z$1)+SUMIFS('Doc Há Pagar | Rodopar 1015'!$J:$J,'Doc Há Pagar | Rodopar 1015'!$A:$A,$B391&amp;$E391&amp;$F391,'Doc Há Pagar | Rodopar 1015'!$B:$B,Z$1)</f>
        <v>0</v>
      </c>
      <c r="AA391" s="20">
        <f>SUMIFS('Doc''s Pagos | Rodopar 108'!$J:$J,'Doc''s Pagos | Rodopar 108'!$A:$A,$B391&amp;$E391&amp;$F391&amp;$J391,'Doc''s Pagos | Rodopar 108'!$B:$B,AA$1)+SUMIFS('Doc Há Pagar | Rodopar 1015'!$J:$J,'Doc Há Pagar | Rodopar 1015'!$A:$A,$B391&amp;$E391&amp;$F391,'Doc Há Pagar | Rodopar 1015'!$B:$B,AA$1)</f>
        <v>987.71</v>
      </c>
      <c r="AB391" s="20">
        <f>SUMIFS('Doc''s Pagos | Rodopar 108'!$J:$J,'Doc''s Pagos | Rodopar 108'!$A:$A,$B391&amp;$E391&amp;$F391&amp;$J391,'Doc''s Pagos | Rodopar 108'!$B:$B,AB$1)+SUMIFS('Doc Há Pagar | Rodopar 1015'!$J:$J,'Doc Há Pagar | Rodopar 1015'!$A:$A,$B391&amp;$E391&amp;$F391,'Doc Há Pagar | Rodopar 1015'!$B:$B,AB$1)</f>
        <v>0</v>
      </c>
      <c r="AC391" s="20">
        <f>SUMIFS('Doc''s Pagos | Rodopar 108'!$J:$J,'Doc''s Pagos | Rodopar 108'!$A:$A,$B391&amp;$E391&amp;$F391&amp;$J391,'Doc''s Pagos | Rodopar 108'!$B:$B,AC$1)+SUMIFS('Doc Há Pagar | Rodopar 1015'!$J:$J,'Doc Há Pagar | Rodopar 1015'!$A:$A,$B391&amp;$E391&amp;$F391,'Doc Há Pagar | Rodopar 1015'!$B:$B,AC$1)</f>
        <v>0</v>
      </c>
      <c r="AD391" s="20">
        <f>SUMIFS('Doc''s Pagos | Rodopar 108'!$J:$J,'Doc''s Pagos | Rodopar 108'!$A:$A,$B391&amp;$E391&amp;$F391&amp;$J391,'Doc''s Pagos | Rodopar 108'!$B:$B,AD$1)+SUMIFS('Doc Há Pagar | Rodopar 1015'!$J:$J,'Doc Há Pagar | Rodopar 1015'!$A:$A,$B391&amp;$E391&amp;$F391,'Doc Há Pagar | Rodopar 1015'!$B:$B,AD$1)</f>
        <v>0</v>
      </c>
    </row>
    <row r="392" spans="1:30" x14ac:dyDescent="0.25">
      <c r="A392" s="1" t="str">
        <f>VLOOKUP($E392,Fornecedores!$A:$C,3,0)</f>
        <v>Frota</v>
      </c>
      <c r="B392" s="14">
        <v>202600000024965</v>
      </c>
      <c r="C392" s="14" t="str">
        <f>IFERROR(VLOOKUP($E392,Fornecedores!$A:$E,4,0),"")</f>
        <v>Manutenção</v>
      </c>
      <c r="D392" s="14" t="str">
        <f>IFERROR(VLOOKUP($E392,Fornecedores!$A:$E,5,0),"")</f>
        <v>Vans</v>
      </c>
      <c r="E392" s="8" t="s">
        <v>132</v>
      </c>
      <c r="F392" s="14" t="s">
        <v>665</v>
      </c>
      <c r="G392" s="8" t="s">
        <v>434</v>
      </c>
      <c r="H392" s="9">
        <v>87</v>
      </c>
      <c r="I392" s="21">
        <v>1170</v>
      </c>
      <c r="J392" s="11">
        <v>46254</v>
      </c>
      <c r="K392" s="11">
        <v>46255</v>
      </c>
      <c r="L392" s="8" t="s">
        <v>435</v>
      </c>
      <c r="M392" s="14" t="s">
        <v>234</v>
      </c>
      <c r="N392" s="16">
        <v>1556</v>
      </c>
      <c r="O392" s="14" t="s">
        <v>250</v>
      </c>
      <c r="P392" s="14"/>
      <c r="Q392" s="20">
        <f t="shared" si="6"/>
        <v>0</v>
      </c>
      <c r="S392" s="20">
        <f>SUMIFS('Doc''s Pagos | Rodopar 108'!$J:$J,'Doc''s Pagos | Rodopar 108'!$A:$A,$B392&amp;$E392&amp;$F392&amp;$J392,'Doc''s Pagos | Rodopar 108'!$B:$B,S$1)+SUMIFS('Doc Há Pagar | Rodopar 1015'!$J:$J,'Doc Há Pagar | Rodopar 1015'!$A:$A,$B392&amp;$E392&amp;$F392,'Doc Há Pagar | Rodopar 1015'!$B:$B,S$1)</f>
        <v>0</v>
      </c>
      <c r="T392" s="20">
        <f>SUMIFS('Doc''s Pagos | Rodopar 108'!$J:$J,'Doc''s Pagos | Rodopar 108'!$A:$A,$B392&amp;$E392&amp;$F392&amp;$J392,'Doc''s Pagos | Rodopar 108'!$B:$B,T$1)+SUMIFS('Doc Há Pagar | Rodopar 1015'!$J:$J,'Doc Há Pagar | Rodopar 1015'!$A:$A,$B392&amp;$E392&amp;$F392,'Doc Há Pagar | Rodopar 1015'!$B:$B,T$1)</f>
        <v>0</v>
      </c>
      <c r="U392" s="20">
        <f>SUMIFS('Doc''s Pagos | Rodopar 108'!$J:$J,'Doc''s Pagos | Rodopar 108'!$A:$A,$B392&amp;$E392&amp;$F392&amp;$J392,'Doc''s Pagos | Rodopar 108'!$B:$B,U$1)+SUMIFS('Doc Há Pagar | Rodopar 1015'!$J:$J,'Doc Há Pagar | Rodopar 1015'!$A:$A,$B392&amp;$E392&amp;$F392,'Doc Há Pagar | Rodopar 1015'!$B:$B,U$1)</f>
        <v>0</v>
      </c>
      <c r="V392" s="20">
        <f>SUMIFS('Doc''s Pagos | Rodopar 108'!$J:$J,'Doc''s Pagos | Rodopar 108'!$A:$A,$B392&amp;$E392&amp;$F392&amp;$J392,'Doc''s Pagos | Rodopar 108'!$B:$B,V$1)+SUMIFS('Doc Há Pagar | Rodopar 1015'!$J:$J,'Doc Há Pagar | Rodopar 1015'!$A:$A,$B392&amp;$E392&amp;$F392,'Doc Há Pagar | Rodopar 1015'!$B:$B,V$1)</f>
        <v>0</v>
      </c>
      <c r="W392" s="20">
        <f>SUMIFS('Doc''s Pagos | Rodopar 108'!$J:$J,'Doc''s Pagos | Rodopar 108'!$A:$A,$B392&amp;$E392&amp;$F392&amp;$J392,'Doc''s Pagos | Rodopar 108'!$B:$B,W$1)+SUMIFS('Doc Há Pagar | Rodopar 1015'!$J:$J,'Doc Há Pagar | Rodopar 1015'!$A:$A,$B392&amp;$E392&amp;$F392,'Doc Há Pagar | Rodopar 1015'!$B:$B,W$1)</f>
        <v>0</v>
      </c>
      <c r="X392" s="20">
        <f>SUMIFS('Doc''s Pagos | Rodopar 108'!$J:$J,'Doc''s Pagos | Rodopar 108'!$A:$A,$B392&amp;$E392&amp;$F392&amp;$J392,'Doc''s Pagos | Rodopar 108'!$B:$B,X$1)+SUMIFS('Doc Há Pagar | Rodopar 1015'!$J:$J,'Doc Há Pagar | Rodopar 1015'!$A:$A,$B392&amp;$E392&amp;$F392,'Doc Há Pagar | Rodopar 1015'!$B:$B,X$1)</f>
        <v>0</v>
      </c>
      <c r="Y392" s="20">
        <f>SUMIFS('Doc''s Pagos | Rodopar 108'!$J:$J,'Doc''s Pagos | Rodopar 108'!$A:$A,$B392&amp;$E392&amp;$F392&amp;$J392,'Doc''s Pagos | Rodopar 108'!$B:$B,Y$1)+SUMIFS('Doc Há Pagar | Rodopar 1015'!$J:$J,'Doc Há Pagar | Rodopar 1015'!$A:$A,$B392&amp;$E392&amp;$F392,'Doc Há Pagar | Rodopar 1015'!$B:$B,Y$1)</f>
        <v>0</v>
      </c>
      <c r="Z392" s="20">
        <f>SUMIFS('Doc''s Pagos | Rodopar 108'!$J:$J,'Doc''s Pagos | Rodopar 108'!$A:$A,$B392&amp;$E392&amp;$F392&amp;$J392,'Doc''s Pagos | Rodopar 108'!$B:$B,Z$1)+SUMIFS('Doc Há Pagar | Rodopar 1015'!$J:$J,'Doc Há Pagar | Rodopar 1015'!$A:$A,$B392&amp;$E392&amp;$F392,'Doc Há Pagar | Rodopar 1015'!$B:$B,Z$1)</f>
        <v>0</v>
      </c>
      <c r="AA392" s="20">
        <f>SUMIFS('Doc''s Pagos | Rodopar 108'!$J:$J,'Doc''s Pagos | Rodopar 108'!$A:$A,$B392&amp;$E392&amp;$F392&amp;$J392,'Doc''s Pagos | Rodopar 108'!$B:$B,AA$1)+SUMIFS('Doc Há Pagar | Rodopar 1015'!$J:$J,'Doc Há Pagar | Rodopar 1015'!$A:$A,$B392&amp;$E392&amp;$F392,'Doc Há Pagar | Rodopar 1015'!$B:$B,AA$1)</f>
        <v>1170</v>
      </c>
      <c r="AB392" s="20">
        <f>SUMIFS('Doc''s Pagos | Rodopar 108'!$J:$J,'Doc''s Pagos | Rodopar 108'!$A:$A,$B392&amp;$E392&amp;$F392&amp;$J392,'Doc''s Pagos | Rodopar 108'!$B:$B,AB$1)+SUMIFS('Doc Há Pagar | Rodopar 1015'!$J:$J,'Doc Há Pagar | Rodopar 1015'!$A:$A,$B392&amp;$E392&amp;$F392,'Doc Há Pagar | Rodopar 1015'!$B:$B,AB$1)</f>
        <v>0</v>
      </c>
      <c r="AC392" s="20">
        <f>SUMIFS('Doc''s Pagos | Rodopar 108'!$J:$J,'Doc''s Pagos | Rodopar 108'!$A:$A,$B392&amp;$E392&amp;$F392&amp;$J392,'Doc''s Pagos | Rodopar 108'!$B:$B,AC$1)+SUMIFS('Doc Há Pagar | Rodopar 1015'!$J:$J,'Doc Há Pagar | Rodopar 1015'!$A:$A,$B392&amp;$E392&amp;$F392,'Doc Há Pagar | Rodopar 1015'!$B:$B,AC$1)</f>
        <v>0</v>
      </c>
      <c r="AD392" s="20">
        <f>SUMIFS('Doc''s Pagos | Rodopar 108'!$J:$J,'Doc''s Pagos | Rodopar 108'!$A:$A,$B392&amp;$E392&amp;$F392&amp;$J392,'Doc''s Pagos | Rodopar 108'!$B:$B,AD$1)+SUMIFS('Doc Há Pagar | Rodopar 1015'!$J:$J,'Doc Há Pagar | Rodopar 1015'!$A:$A,$B392&amp;$E392&amp;$F392,'Doc Há Pagar | Rodopar 1015'!$B:$B,AD$1)</f>
        <v>0</v>
      </c>
    </row>
    <row r="393" spans="1:30" x14ac:dyDescent="0.25">
      <c r="A393" s="1" t="str">
        <f>VLOOKUP($E393,Fornecedores!$A:$C,3,0)</f>
        <v>Frota</v>
      </c>
      <c r="B393" s="14">
        <v>5244</v>
      </c>
      <c r="C393" s="14" t="str">
        <f>IFERROR(VLOOKUP($E393,Fornecedores!$A:$E,4,0),"")</f>
        <v>Manutenção</v>
      </c>
      <c r="D393" s="14" t="str">
        <f>IFERROR(VLOOKUP($E393,Fornecedores!$A:$E,5,0),"")</f>
        <v>Vans</v>
      </c>
      <c r="E393" s="8" t="s">
        <v>23</v>
      </c>
      <c r="F393" s="14" t="s">
        <v>380</v>
      </c>
      <c r="G393" s="8" t="s">
        <v>557</v>
      </c>
      <c r="H393" s="9">
        <v>87</v>
      </c>
      <c r="I393" s="21">
        <v>640</v>
      </c>
      <c r="J393" s="11">
        <v>46255</v>
      </c>
      <c r="K393" s="11">
        <v>46259</v>
      </c>
      <c r="L393" s="8" t="s">
        <v>501</v>
      </c>
      <c r="M393" s="14" t="s">
        <v>234</v>
      </c>
      <c r="N393" s="16">
        <v>1556</v>
      </c>
      <c r="O393" s="14" t="s">
        <v>250</v>
      </c>
      <c r="P393" s="14"/>
      <c r="Q393" s="20">
        <f t="shared" si="6"/>
        <v>0</v>
      </c>
      <c r="S393" s="20">
        <f>SUMIFS('Doc''s Pagos | Rodopar 108'!$J:$J,'Doc''s Pagos | Rodopar 108'!$A:$A,$B393&amp;$E393&amp;$F393&amp;$J393,'Doc''s Pagos | Rodopar 108'!$B:$B,S$1)+SUMIFS('Doc Há Pagar | Rodopar 1015'!$J:$J,'Doc Há Pagar | Rodopar 1015'!$A:$A,$B393&amp;$E393&amp;$F393,'Doc Há Pagar | Rodopar 1015'!$B:$B,S$1)</f>
        <v>0</v>
      </c>
      <c r="T393" s="20">
        <f>SUMIFS('Doc''s Pagos | Rodopar 108'!$J:$J,'Doc''s Pagos | Rodopar 108'!$A:$A,$B393&amp;$E393&amp;$F393&amp;$J393,'Doc''s Pagos | Rodopar 108'!$B:$B,T$1)+SUMIFS('Doc Há Pagar | Rodopar 1015'!$J:$J,'Doc Há Pagar | Rodopar 1015'!$A:$A,$B393&amp;$E393&amp;$F393,'Doc Há Pagar | Rodopar 1015'!$B:$B,T$1)</f>
        <v>0</v>
      </c>
      <c r="U393" s="20">
        <f>SUMIFS('Doc''s Pagos | Rodopar 108'!$J:$J,'Doc''s Pagos | Rodopar 108'!$A:$A,$B393&amp;$E393&amp;$F393&amp;$J393,'Doc''s Pagos | Rodopar 108'!$B:$B,U$1)+SUMIFS('Doc Há Pagar | Rodopar 1015'!$J:$J,'Doc Há Pagar | Rodopar 1015'!$A:$A,$B393&amp;$E393&amp;$F393,'Doc Há Pagar | Rodopar 1015'!$B:$B,U$1)</f>
        <v>0</v>
      </c>
      <c r="V393" s="20">
        <f>SUMIFS('Doc''s Pagos | Rodopar 108'!$J:$J,'Doc''s Pagos | Rodopar 108'!$A:$A,$B393&amp;$E393&amp;$F393&amp;$J393,'Doc''s Pagos | Rodopar 108'!$B:$B,V$1)+SUMIFS('Doc Há Pagar | Rodopar 1015'!$J:$J,'Doc Há Pagar | Rodopar 1015'!$A:$A,$B393&amp;$E393&amp;$F393,'Doc Há Pagar | Rodopar 1015'!$B:$B,V$1)</f>
        <v>0</v>
      </c>
      <c r="W393" s="20">
        <f>SUMIFS('Doc''s Pagos | Rodopar 108'!$J:$J,'Doc''s Pagos | Rodopar 108'!$A:$A,$B393&amp;$E393&amp;$F393&amp;$J393,'Doc''s Pagos | Rodopar 108'!$B:$B,W$1)+SUMIFS('Doc Há Pagar | Rodopar 1015'!$J:$J,'Doc Há Pagar | Rodopar 1015'!$A:$A,$B393&amp;$E393&amp;$F393,'Doc Há Pagar | Rodopar 1015'!$B:$B,W$1)</f>
        <v>0</v>
      </c>
      <c r="X393" s="20">
        <f>SUMIFS('Doc''s Pagos | Rodopar 108'!$J:$J,'Doc''s Pagos | Rodopar 108'!$A:$A,$B393&amp;$E393&amp;$F393&amp;$J393,'Doc''s Pagos | Rodopar 108'!$B:$B,X$1)+SUMIFS('Doc Há Pagar | Rodopar 1015'!$J:$J,'Doc Há Pagar | Rodopar 1015'!$A:$A,$B393&amp;$E393&amp;$F393,'Doc Há Pagar | Rodopar 1015'!$B:$B,X$1)</f>
        <v>0</v>
      </c>
      <c r="Y393" s="20">
        <f>SUMIFS('Doc''s Pagos | Rodopar 108'!$J:$J,'Doc''s Pagos | Rodopar 108'!$A:$A,$B393&amp;$E393&amp;$F393&amp;$J393,'Doc''s Pagos | Rodopar 108'!$B:$B,Y$1)+SUMIFS('Doc Há Pagar | Rodopar 1015'!$J:$J,'Doc Há Pagar | Rodopar 1015'!$A:$A,$B393&amp;$E393&amp;$F393,'Doc Há Pagar | Rodopar 1015'!$B:$B,Y$1)</f>
        <v>0</v>
      </c>
      <c r="Z393" s="20">
        <f>SUMIFS('Doc''s Pagos | Rodopar 108'!$J:$J,'Doc''s Pagos | Rodopar 108'!$A:$A,$B393&amp;$E393&amp;$F393&amp;$J393,'Doc''s Pagos | Rodopar 108'!$B:$B,Z$1)+SUMIFS('Doc Há Pagar | Rodopar 1015'!$J:$J,'Doc Há Pagar | Rodopar 1015'!$A:$A,$B393&amp;$E393&amp;$F393,'Doc Há Pagar | Rodopar 1015'!$B:$B,Z$1)</f>
        <v>0</v>
      </c>
      <c r="AA393" s="20">
        <f>SUMIFS('Doc''s Pagos | Rodopar 108'!$J:$J,'Doc''s Pagos | Rodopar 108'!$A:$A,$B393&amp;$E393&amp;$F393&amp;$J393,'Doc''s Pagos | Rodopar 108'!$B:$B,AA$1)+SUMIFS('Doc Há Pagar | Rodopar 1015'!$J:$J,'Doc Há Pagar | Rodopar 1015'!$A:$A,$B393&amp;$E393&amp;$F393,'Doc Há Pagar | Rodopar 1015'!$B:$B,AA$1)</f>
        <v>640</v>
      </c>
      <c r="AB393" s="20">
        <f>SUMIFS('Doc''s Pagos | Rodopar 108'!$J:$J,'Doc''s Pagos | Rodopar 108'!$A:$A,$B393&amp;$E393&amp;$F393&amp;$J393,'Doc''s Pagos | Rodopar 108'!$B:$B,AB$1)+SUMIFS('Doc Há Pagar | Rodopar 1015'!$J:$J,'Doc Há Pagar | Rodopar 1015'!$A:$A,$B393&amp;$E393&amp;$F393,'Doc Há Pagar | Rodopar 1015'!$B:$B,AB$1)</f>
        <v>0</v>
      </c>
      <c r="AC393" s="20">
        <f>SUMIFS('Doc''s Pagos | Rodopar 108'!$J:$J,'Doc''s Pagos | Rodopar 108'!$A:$A,$B393&amp;$E393&amp;$F393&amp;$J393,'Doc''s Pagos | Rodopar 108'!$B:$B,AC$1)+SUMIFS('Doc Há Pagar | Rodopar 1015'!$J:$J,'Doc Há Pagar | Rodopar 1015'!$A:$A,$B393&amp;$E393&amp;$F393,'Doc Há Pagar | Rodopar 1015'!$B:$B,AC$1)</f>
        <v>0</v>
      </c>
      <c r="AD393" s="20">
        <f>SUMIFS('Doc''s Pagos | Rodopar 108'!$J:$J,'Doc''s Pagos | Rodopar 108'!$A:$A,$B393&amp;$E393&amp;$F393&amp;$J393,'Doc''s Pagos | Rodopar 108'!$B:$B,AD$1)+SUMIFS('Doc Há Pagar | Rodopar 1015'!$J:$J,'Doc Há Pagar | Rodopar 1015'!$A:$A,$B393&amp;$E393&amp;$F393,'Doc Há Pagar | Rodopar 1015'!$B:$B,AD$1)</f>
        <v>0</v>
      </c>
    </row>
    <row r="394" spans="1:30" x14ac:dyDescent="0.25">
      <c r="A394" s="1" t="str">
        <f>VLOOKUP($E394,Fornecedores!$A:$C,3,0)</f>
        <v>Frota</v>
      </c>
      <c r="B394" s="14">
        <v>846</v>
      </c>
      <c r="C394" s="14" t="str">
        <f>IFERROR(VLOOKUP($E394,Fornecedores!$A:$E,4,0),"")</f>
        <v>Manutenção</v>
      </c>
      <c r="D394" s="14" t="str">
        <f>IFERROR(VLOOKUP($E394,Fornecedores!$A:$E,5,0),"")</f>
        <v>Vans</v>
      </c>
      <c r="E394" s="8" t="s">
        <v>23</v>
      </c>
      <c r="F394" s="14" t="s">
        <v>614</v>
      </c>
      <c r="G394" s="8" t="s">
        <v>557</v>
      </c>
      <c r="H394" s="9">
        <v>87</v>
      </c>
      <c r="I394" s="21">
        <v>1630</v>
      </c>
      <c r="J394" s="11">
        <v>46255</v>
      </c>
      <c r="K394" s="11">
        <v>46259</v>
      </c>
      <c r="L394" s="8" t="s">
        <v>501</v>
      </c>
      <c r="M394" s="14" t="s">
        <v>234</v>
      </c>
      <c r="N394" s="16">
        <v>1556</v>
      </c>
      <c r="O394" s="14" t="s">
        <v>250</v>
      </c>
      <c r="P394" s="14"/>
      <c r="Q394" s="20">
        <f t="shared" si="6"/>
        <v>0</v>
      </c>
      <c r="S394" s="20">
        <f>SUMIFS('Doc''s Pagos | Rodopar 108'!$J:$J,'Doc''s Pagos | Rodopar 108'!$A:$A,$B394&amp;$E394&amp;$F394&amp;$J394,'Doc''s Pagos | Rodopar 108'!$B:$B,S$1)+SUMIFS('Doc Há Pagar | Rodopar 1015'!$J:$J,'Doc Há Pagar | Rodopar 1015'!$A:$A,$B394&amp;$E394&amp;$F394,'Doc Há Pagar | Rodopar 1015'!$B:$B,S$1)</f>
        <v>0</v>
      </c>
      <c r="T394" s="20">
        <f>SUMIFS('Doc''s Pagos | Rodopar 108'!$J:$J,'Doc''s Pagos | Rodopar 108'!$A:$A,$B394&amp;$E394&amp;$F394&amp;$J394,'Doc''s Pagos | Rodopar 108'!$B:$B,T$1)+SUMIFS('Doc Há Pagar | Rodopar 1015'!$J:$J,'Doc Há Pagar | Rodopar 1015'!$A:$A,$B394&amp;$E394&amp;$F394,'Doc Há Pagar | Rodopar 1015'!$B:$B,T$1)</f>
        <v>0</v>
      </c>
      <c r="U394" s="20">
        <f>SUMIFS('Doc''s Pagos | Rodopar 108'!$J:$J,'Doc''s Pagos | Rodopar 108'!$A:$A,$B394&amp;$E394&amp;$F394&amp;$J394,'Doc''s Pagos | Rodopar 108'!$B:$B,U$1)+SUMIFS('Doc Há Pagar | Rodopar 1015'!$J:$J,'Doc Há Pagar | Rodopar 1015'!$A:$A,$B394&amp;$E394&amp;$F394,'Doc Há Pagar | Rodopar 1015'!$B:$B,U$1)</f>
        <v>0</v>
      </c>
      <c r="V394" s="20">
        <f>SUMIFS('Doc''s Pagos | Rodopar 108'!$J:$J,'Doc''s Pagos | Rodopar 108'!$A:$A,$B394&amp;$E394&amp;$F394&amp;$J394,'Doc''s Pagos | Rodopar 108'!$B:$B,V$1)+SUMIFS('Doc Há Pagar | Rodopar 1015'!$J:$J,'Doc Há Pagar | Rodopar 1015'!$A:$A,$B394&amp;$E394&amp;$F394,'Doc Há Pagar | Rodopar 1015'!$B:$B,V$1)</f>
        <v>0</v>
      </c>
      <c r="W394" s="20">
        <f>SUMIFS('Doc''s Pagos | Rodopar 108'!$J:$J,'Doc''s Pagos | Rodopar 108'!$A:$A,$B394&amp;$E394&amp;$F394&amp;$J394,'Doc''s Pagos | Rodopar 108'!$B:$B,W$1)+SUMIFS('Doc Há Pagar | Rodopar 1015'!$J:$J,'Doc Há Pagar | Rodopar 1015'!$A:$A,$B394&amp;$E394&amp;$F394,'Doc Há Pagar | Rodopar 1015'!$B:$B,W$1)</f>
        <v>0</v>
      </c>
      <c r="X394" s="20">
        <f>SUMIFS('Doc''s Pagos | Rodopar 108'!$J:$J,'Doc''s Pagos | Rodopar 108'!$A:$A,$B394&amp;$E394&amp;$F394&amp;$J394,'Doc''s Pagos | Rodopar 108'!$B:$B,X$1)+SUMIFS('Doc Há Pagar | Rodopar 1015'!$J:$J,'Doc Há Pagar | Rodopar 1015'!$A:$A,$B394&amp;$E394&amp;$F394,'Doc Há Pagar | Rodopar 1015'!$B:$B,X$1)</f>
        <v>0</v>
      </c>
      <c r="Y394" s="20">
        <f>SUMIFS('Doc''s Pagos | Rodopar 108'!$J:$J,'Doc''s Pagos | Rodopar 108'!$A:$A,$B394&amp;$E394&amp;$F394&amp;$J394,'Doc''s Pagos | Rodopar 108'!$B:$B,Y$1)+SUMIFS('Doc Há Pagar | Rodopar 1015'!$J:$J,'Doc Há Pagar | Rodopar 1015'!$A:$A,$B394&amp;$E394&amp;$F394,'Doc Há Pagar | Rodopar 1015'!$B:$B,Y$1)</f>
        <v>0</v>
      </c>
      <c r="Z394" s="20">
        <f>SUMIFS('Doc''s Pagos | Rodopar 108'!$J:$J,'Doc''s Pagos | Rodopar 108'!$A:$A,$B394&amp;$E394&amp;$F394&amp;$J394,'Doc''s Pagos | Rodopar 108'!$B:$B,Z$1)+SUMIFS('Doc Há Pagar | Rodopar 1015'!$J:$J,'Doc Há Pagar | Rodopar 1015'!$A:$A,$B394&amp;$E394&amp;$F394,'Doc Há Pagar | Rodopar 1015'!$B:$B,Z$1)</f>
        <v>0</v>
      </c>
      <c r="AA394" s="20">
        <f>SUMIFS('Doc''s Pagos | Rodopar 108'!$J:$J,'Doc''s Pagos | Rodopar 108'!$A:$A,$B394&amp;$E394&amp;$F394&amp;$J394,'Doc''s Pagos | Rodopar 108'!$B:$B,AA$1)+SUMIFS('Doc Há Pagar | Rodopar 1015'!$J:$J,'Doc Há Pagar | Rodopar 1015'!$A:$A,$B394&amp;$E394&amp;$F394,'Doc Há Pagar | Rodopar 1015'!$B:$B,AA$1)</f>
        <v>1630</v>
      </c>
      <c r="AB394" s="20">
        <f>SUMIFS('Doc''s Pagos | Rodopar 108'!$J:$J,'Doc''s Pagos | Rodopar 108'!$A:$A,$B394&amp;$E394&amp;$F394&amp;$J394,'Doc''s Pagos | Rodopar 108'!$B:$B,AB$1)+SUMIFS('Doc Há Pagar | Rodopar 1015'!$J:$J,'Doc Há Pagar | Rodopar 1015'!$A:$A,$B394&amp;$E394&amp;$F394,'Doc Há Pagar | Rodopar 1015'!$B:$B,AB$1)</f>
        <v>0</v>
      </c>
      <c r="AC394" s="20">
        <f>SUMIFS('Doc''s Pagos | Rodopar 108'!$J:$J,'Doc''s Pagos | Rodopar 108'!$A:$A,$B394&amp;$E394&amp;$F394&amp;$J394,'Doc''s Pagos | Rodopar 108'!$B:$B,AC$1)+SUMIFS('Doc Há Pagar | Rodopar 1015'!$J:$J,'Doc Há Pagar | Rodopar 1015'!$A:$A,$B394&amp;$E394&amp;$F394,'Doc Há Pagar | Rodopar 1015'!$B:$B,AC$1)</f>
        <v>0</v>
      </c>
      <c r="AD394" s="20">
        <f>SUMIFS('Doc''s Pagos | Rodopar 108'!$J:$J,'Doc''s Pagos | Rodopar 108'!$A:$A,$B394&amp;$E394&amp;$F394&amp;$J394,'Doc''s Pagos | Rodopar 108'!$B:$B,AD$1)+SUMIFS('Doc Há Pagar | Rodopar 1015'!$J:$J,'Doc Há Pagar | Rodopar 1015'!$A:$A,$B394&amp;$E394&amp;$F394,'Doc Há Pagar | Rodopar 1015'!$B:$B,AD$1)</f>
        <v>0</v>
      </c>
    </row>
    <row r="395" spans="1:30" x14ac:dyDescent="0.25">
      <c r="A395" s="1" t="str">
        <f>VLOOKUP($E395,Fornecedores!$A:$C,3,0)</f>
        <v>Frota</v>
      </c>
      <c r="B395" s="14">
        <v>716</v>
      </c>
      <c r="C395" s="14" t="str">
        <f>IFERROR(VLOOKUP($E395,Fornecedores!$A:$E,4,0),"")</f>
        <v>Manutenção</v>
      </c>
      <c r="D395" s="14" t="str">
        <f>IFERROR(VLOOKUP($E395,Fornecedores!$A:$E,5,0),"")</f>
        <v>Vans</v>
      </c>
      <c r="E395" s="8" t="s">
        <v>126</v>
      </c>
      <c r="F395" s="14" t="s">
        <v>665</v>
      </c>
      <c r="G395" s="8" t="s">
        <v>936</v>
      </c>
      <c r="H395" s="9">
        <v>87</v>
      </c>
      <c r="I395" s="21">
        <v>5470</v>
      </c>
      <c r="J395" s="11">
        <v>46255</v>
      </c>
      <c r="K395" s="11">
        <v>46255</v>
      </c>
      <c r="L395" s="8" t="s">
        <v>382</v>
      </c>
      <c r="M395" s="14" t="s">
        <v>234</v>
      </c>
      <c r="N395" s="16">
        <v>1556</v>
      </c>
      <c r="O395" s="14" t="s">
        <v>250</v>
      </c>
      <c r="P395" s="14"/>
      <c r="Q395" s="20">
        <f t="shared" si="6"/>
        <v>0</v>
      </c>
      <c r="S395" s="20">
        <f>SUMIFS('Doc''s Pagos | Rodopar 108'!$J:$J,'Doc''s Pagos | Rodopar 108'!$A:$A,$B395&amp;$E395&amp;$F395&amp;$J395,'Doc''s Pagos | Rodopar 108'!$B:$B,S$1)+SUMIFS('Doc Há Pagar | Rodopar 1015'!$J:$J,'Doc Há Pagar | Rodopar 1015'!$A:$A,$B395&amp;$E395&amp;$F395,'Doc Há Pagar | Rodopar 1015'!$B:$B,S$1)</f>
        <v>0</v>
      </c>
      <c r="T395" s="20">
        <f>SUMIFS('Doc''s Pagos | Rodopar 108'!$J:$J,'Doc''s Pagos | Rodopar 108'!$A:$A,$B395&amp;$E395&amp;$F395&amp;$J395,'Doc''s Pagos | Rodopar 108'!$B:$B,T$1)+SUMIFS('Doc Há Pagar | Rodopar 1015'!$J:$J,'Doc Há Pagar | Rodopar 1015'!$A:$A,$B395&amp;$E395&amp;$F395,'Doc Há Pagar | Rodopar 1015'!$B:$B,T$1)</f>
        <v>0</v>
      </c>
      <c r="U395" s="20">
        <f>SUMIFS('Doc''s Pagos | Rodopar 108'!$J:$J,'Doc''s Pagos | Rodopar 108'!$A:$A,$B395&amp;$E395&amp;$F395&amp;$J395,'Doc''s Pagos | Rodopar 108'!$B:$B,U$1)+SUMIFS('Doc Há Pagar | Rodopar 1015'!$J:$J,'Doc Há Pagar | Rodopar 1015'!$A:$A,$B395&amp;$E395&amp;$F395,'Doc Há Pagar | Rodopar 1015'!$B:$B,U$1)</f>
        <v>0</v>
      </c>
      <c r="V395" s="20">
        <f>SUMIFS('Doc''s Pagos | Rodopar 108'!$J:$J,'Doc''s Pagos | Rodopar 108'!$A:$A,$B395&amp;$E395&amp;$F395&amp;$J395,'Doc''s Pagos | Rodopar 108'!$B:$B,V$1)+SUMIFS('Doc Há Pagar | Rodopar 1015'!$J:$J,'Doc Há Pagar | Rodopar 1015'!$A:$A,$B395&amp;$E395&amp;$F395,'Doc Há Pagar | Rodopar 1015'!$B:$B,V$1)</f>
        <v>0</v>
      </c>
      <c r="W395" s="20">
        <f>SUMIFS('Doc''s Pagos | Rodopar 108'!$J:$J,'Doc''s Pagos | Rodopar 108'!$A:$A,$B395&amp;$E395&amp;$F395&amp;$J395,'Doc''s Pagos | Rodopar 108'!$B:$B,W$1)+SUMIFS('Doc Há Pagar | Rodopar 1015'!$J:$J,'Doc Há Pagar | Rodopar 1015'!$A:$A,$B395&amp;$E395&amp;$F395,'Doc Há Pagar | Rodopar 1015'!$B:$B,W$1)</f>
        <v>0</v>
      </c>
      <c r="X395" s="20">
        <f>SUMIFS('Doc''s Pagos | Rodopar 108'!$J:$J,'Doc''s Pagos | Rodopar 108'!$A:$A,$B395&amp;$E395&amp;$F395&amp;$J395,'Doc''s Pagos | Rodopar 108'!$B:$B,X$1)+SUMIFS('Doc Há Pagar | Rodopar 1015'!$J:$J,'Doc Há Pagar | Rodopar 1015'!$A:$A,$B395&amp;$E395&amp;$F395,'Doc Há Pagar | Rodopar 1015'!$B:$B,X$1)</f>
        <v>0</v>
      </c>
      <c r="Y395" s="20">
        <f>SUMIFS('Doc''s Pagos | Rodopar 108'!$J:$J,'Doc''s Pagos | Rodopar 108'!$A:$A,$B395&amp;$E395&amp;$F395&amp;$J395,'Doc''s Pagos | Rodopar 108'!$B:$B,Y$1)+SUMIFS('Doc Há Pagar | Rodopar 1015'!$J:$J,'Doc Há Pagar | Rodopar 1015'!$A:$A,$B395&amp;$E395&amp;$F395,'Doc Há Pagar | Rodopar 1015'!$B:$B,Y$1)</f>
        <v>0</v>
      </c>
      <c r="Z395" s="20">
        <f>SUMIFS('Doc''s Pagos | Rodopar 108'!$J:$J,'Doc''s Pagos | Rodopar 108'!$A:$A,$B395&amp;$E395&amp;$F395&amp;$J395,'Doc''s Pagos | Rodopar 108'!$B:$B,Z$1)+SUMIFS('Doc Há Pagar | Rodopar 1015'!$J:$J,'Doc Há Pagar | Rodopar 1015'!$A:$A,$B395&amp;$E395&amp;$F395,'Doc Há Pagar | Rodopar 1015'!$B:$B,Z$1)</f>
        <v>0</v>
      </c>
      <c r="AA395" s="20">
        <f>SUMIFS('Doc''s Pagos | Rodopar 108'!$J:$J,'Doc''s Pagos | Rodopar 108'!$A:$A,$B395&amp;$E395&amp;$F395&amp;$J395,'Doc''s Pagos | Rodopar 108'!$B:$B,AA$1)+SUMIFS('Doc Há Pagar | Rodopar 1015'!$J:$J,'Doc Há Pagar | Rodopar 1015'!$A:$A,$B395&amp;$E395&amp;$F395,'Doc Há Pagar | Rodopar 1015'!$B:$B,AA$1)</f>
        <v>5470</v>
      </c>
      <c r="AB395" s="20">
        <f>SUMIFS('Doc''s Pagos | Rodopar 108'!$J:$J,'Doc''s Pagos | Rodopar 108'!$A:$A,$B395&amp;$E395&amp;$F395&amp;$J395,'Doc''s Pagos | Rodopar 108'!$B:$B,AB$1)+SUMIFS('Doc Há Pagar | Rodopar 1015'!$J:$J,'Doc Há Pagar | Rodopar 1015'!$A:$A,$B395&amp;$E395&amp;$F395,'Doc Há Pagar | Rodopar 1015'!$B:$B,AB$1)</f>
        <v>0</v>
      </c>
      <c r="AC395" s="20">
        <f>SUMIFS('Doc''s Pagos | Rodopar 108'!$J:$J,'Doc''s Pagos | Rodopar 108'!$A:$A,$B395&amp;$E395&amp;$F395&amp;$J395,'Doc''s Pagos | Rodopar 108'!$B:$B,AC$1)+SUMIFS('Doc Há Pagar | Rodopar 1015'!$J:$J,'Doc Há Pagar | Rodopar 1015'!$A:$A,$B395&amp;$E395&amp;$F395,'Doc Há Pagar | Rodopar 1015'!$B:$B,AC$1)</f>
        <v>0</v>
      </c>
      <c r="AD395" s="20">
        <f>SUMIFS('Doc''s Pagos | Rodopar 108'!$J:$J,'Doc''s Pagos | Rodopar 108'!$A:$A,$B395&amp;$E395&amp;$F395&amp;$J395,'Doc''s Pagos | Rodopar 108'!$B:$B,AD$1)+SUMIFS('Doc Há Pagar | Rodopar 1015'!$J:$J,'Doc Há Pagar | Rodopar 1015'!$A:$A,$B395&amp;$E395&amp;$F395,'Doc Há Pagar | Rodopar 1015'!$B:$B,AD$1)</f>
        <v>0</v>
      </c>
    </row>
    <row r="396" spans="1:30" x14ac:dyDescent="0.25">
      <c r="A396" s="1" t="str">
        <f>VLOOKUP($E396,Fornecedores!$A:$C,3,0)</f>
        <v>Frota</v>
      </c>
      <c r="B396" s="14">
        <v>354</v>
      </c>
      <c r="C396" s="14" t="str">
        <f>IFERROR(VLOOKUP($E396,Fornecedores!$A:$E,4,0),"")</f>
        <v>Sinistro</v>
      </c>
      <c r="D396" s="14" t="str">
        <f>IFERROR(VLOOKUP($E396,Fornecedores!$A:$E,5,0),"")</f>
        <v>Guincho</v>
      </c>
      <c r="E396" s="8" t="s">
        <v>206</v>
      </c>
      <c r="F396" s="14" t="s">
        <v>614</v>
      </c>
      <c r="G396" s="8" t="s">
        <v>646</v>
      </c>
      <c r="H396" s="9">
        <v>87</v>
      </c>
      <c r="I396" s="21">
        <v>450</v>
      </c>
      <c r="J396" s="11">
        <v>46258</v>
      </c>
      <c r="K396" s="11">
        <v>46259</v>
      </c>
      <c r="L396" s="8" t="s">
        <v>282</v>
      </c>
      <c r="M396" s="14" t="s">
        <v>234</v>
      </c>
      <c r="N396" s="16">
        <v>1556</v>
      </c>
      <c r="O396" s="14" t="s">
        <v>250</v>
      </c>
      <c r="P396" s="14"/>
      <c r="Q396" s="20">
        <f t="shared" si="6"/>
        <v>0</v>
      </c>
      <c r="S396" s="20">
        <f>SUMIFS('Doc''s Pagos | Rodopar 108'!$J:$J,'Doc''s Pagos | Rodopar 108'!$A:$A,$B396&amp;$E396&amp;$F396&amp;$J396,'Doc''s Pagos | Rodopar 108'!$B:$B,S$1)+SUMIFS('Doc Há Pagar | Rodopar 1015'!$J:$J,'Doc Há Pagar | Rodopar 1015'!$A:$A,$B396&amp;$E396&amp;$F396,'Doc Há Pagar | Rodopar 1015'!$B:$B,S$1)</f>
        <v>0</v>
      </c>
      <c r="T396" s="20">
        <f>SUMIFS('Doc''s Pagos | Rodopar 108'!$J:$J,'Doc''s Pagos | Rodopar 108'!$A:$A,$B396&amp;$E396&amp;$F396&amp;$J396,'Doc''s Pagos | Rodopar 108'!$B:$B,T$1)+SUMIFS('Doc Há Pagar | Rodopar 1015'!$J:$J,'Doc Há Pagar | Rodopar 1015'!$A:$A,$B396&amp;$E396&amp;$F396,'Doc Há Pagar | Rodopar 1015'!$B:$B,T$1)</f>
        <v>0</v>
      </c>
      <c r="U396" s="20">
        <f>SUMIFS('Doc''s Pagos | Rodopar 108'!$J:$J,'Doc''s Pagos | Rodopar 108'!$A:$A,$B396&amp;$E396&amp;$F396&amp;$J396,'Doc''s Pagos | Rodopar 108'!$B:$B,U$1)+SUMIFS('Doc Há Pagar | Rodopar 1015'!$J:$J,'Doc Há Pagar | Rodopar 1015'!$A:$A,$B396&amp;$E396&amp;$F396,'Doc Há Pagar | Rodopar 1015'!$B:$B,U$1)</f>
        <v>0</v>
      </c>
      <c r="V396" s="20">
        <f>SUMIFS('Doc''s Pagos | Rodopar 108'!$J:$J,'Doc''s Pagos | Rodopar 108'!$A:$A,$B396&amp;$E396&amp;$F396&amp;$J396,'Doc''s Pagos | Rodopar 108'!$B:$B,V$1)+SUMIFS('Doc Há Pagar | Rodopar 1015'!$J:$J,'Doc Há Pagar | Rodopar 1015'!$A:$A,$B396&amp;$E396&amp;$F396,'Doc Há Pagar | Rodopar 1015'!$B:$B,V$1)</f>
        <v>0</v>
      </c>
      <c r="W396" s="20">
        <f>SUMIFS('Doc''s Pagos | Rodopar 108'!$J:$J,'Doc''s Pagos | Rodopar 108'!$A:$A,$B396&amp;$E396&amp;$F396&amp;$J396,'Doc''s Pagos | Rodopar 108'!$B:$B,W$1)+SUMIFS('Doc Há Pagar | Rodopar 1015'!$J:$J,'Doc Há Pagar | Rodopar 1015'!$A:$A,$B396&amp;$E396&amp;$F396,'Doc Há Pagar | Rodopar 1015'!$B:$B,W$1)</f>
        <v>0</v>
      </c>
      <c r="X396" s="20">
        <f>SUMIFS('Doc''s Pagos | Rodopar 108'!$J:$J,'Doc''s Pagos | Rodopar 108'!$A:$A,$B396&amp;$E396&amp;$F396&amp;$J396,'Doc''s Pagos | Rodopar 108'!$B:$B,X$1)+SUMIFS('Doc Há Pagar | Rodopar 1015'!$J:$J,'Doc Há Pagar | Rodopar 1015'!$A:$A,$B396&amp;$E396&amp;$F396,'Doc Há Pagar | Rodopar 1015'!$B:$B,X$1)</f>
        <v>0</v>
      </c>
      <c r="Y396" s="20">
        <f>SUMIFS('Doc''s Pagos | Rodopar 108'!$J:$J,'Doc''s Pagos | Rodopar 108'!$A:$A,$B396&amp;$E396&amp;$F396&amp;$J396,'Doc''s Pagos | Rodopar 108'!$B:$B,Y$1)+SUMIFS('Doc Há Pagar | Rodopar 1015'!$J:$J,'Doc Há Pagar | Rodopar 1015'!$A:$A,$B396&amp;$E396&amp;$F396,'Doc Há Pagar | Rodopar 1015'!$B:$B,Y$1)</f>
        <v>0</v>
      </c>
      <c r="Z396" s="20">
        <f>SUMIFS('Doc''s Pagos | Rodopar 108'!$J:$J,'Doc''s Pagos | Rodopar 108'!$A:$A,$B396&amp;$E396&amp;$F396&amp;$J396,'Doc''s Pagos | Rodopar 108'!$B:$B,Z$1)+SUMIFS('Doc Há Pagar | Rodopar 1015'!$J:$J,'Doc Há Pagar | Rodopar 1015'!$A:$A,$B396&amp;$E396&amp;$F396,'Doc Há Pagar | Rodopar 1015'!$B:$B,Z$1)</f>
        <v>0</v>
      </c>
      <c r="AA396" s="20">
        <f>SUMIFS('Doc''s Pagos | Rodopar 108'!$J:$J,'Doc''s Pagos | Rodopar 108'!$A:$A,$B396&amp;$E396&amp;$F396&amp;$J396,'Doc''s Pagos | Rodopar 108'!$B:$B,AA$1)+SUMIFS('Doc Há Pagar | Rodopar 1015'!$J:$J,'Doc Há Pagar | Rodopar 1015'!$A:$A,$B396&amp;$E396&amp;$F396,'Doc Há Pagar | Rodopar 1015'!$B:$B,AA$1)</f>
        <v>450</v>
      </c>
      <c r="AB396" s="20">
        <f>SUMIFS('Doc''s Pagos | Rodopar 108'!$J:$J,'Doc''s Pagos | Rodopar 108'!$A:$A,$B396&amp;$E396&amp;$F396&amp;$J396,'Doc''s Pagos | Rodopar 108'!$B:$B,AB$1)+SUMIFS('Doc Há Pagar | Rodopar 1015'!$J:$J,'Doc Há Pagar | Rodopar 1015'!$A:$A,$B396&amp;$E396&amp;$F396,'Doc Há Pagar | Rodopar 1015'!$B:$B,AB$1)</f>
        <v>0</v>
      </c>
      <c r="AC396" s="20">
        <f>SUMIFS('Doc''s Pagos | Rodopar 108'!$J:$J,'Doc''s Pagos | Rodopar 108'!$A:$A,$B396&amp;$E396&amp;$F396&amp;$J396,'Doc''s Pagos | Rodopar 108'!$B:$B,AC$1)+SUMIFS('Doc Há Pagar | Rodopar 1015'!$J:$J,'Doc Há Pagar | Rodopar 1015'!$A:$A,$B396&amp;$E396&amp;$F396,'Doc Há Pagar | Rodopar 1015'!$B:$B,AC$1)</f>
        <v>0</v>
      </c>
      <c r="AD396" s="20">
        <f>SUMIFS('Doc''s Pagos | Rodopar 108'!$J:$J,'Doc''s Pagos | Rodopar 108'!$A:$A,$B396&amp;$E396&amp;$F396&amp;$J396,'Doc''s Pagos | Rodopar 108'!$B:$B,AD$1)+SUMIFS('Doc Há Pagar | Rodopar 1015'!$J:$J,'Doc Há Pagar | Rodopar 1015'!$A:$A,$B396&amp;$E396&amp;$F396,'Doc Há Pagar | Rodopar 1015'!$B:$B,AD$1)</f>
        <v>0</v>
      </c>
    </row>
    <row r="397" spans="1:30" x14ac:dyDescent="0.25">
      <c r="A397" s="1" t="str">
        <f>VLOOKUP($E397,Fornecedores!$A:$C,3,0)</f>
        <v>Frota</v>
      </c>
      <c r="B397" s="14">
        <v>29</v>
      </c>
      <c r="C397" s="14" t="str">
        <f>IFERROR(VLOOKUP($E397,Fornecedores!$A:$E,4,0),"")</f>
        <v>Manutenção</v>
      </c>
      <c r="D397" s="14" t="str">
        <f>IFERROR(VLOOKUP($E397,Fornecedores!$A:$E,5,0),"")</f>
        <v>Vans</v>
      </c>
      <c r="E397" s="8" t="s">
        <v>205</v>
      </c>
      <c r="F397" s="14" t="s">
        <v>380</v>
      </c>
      <c r="G397" s="8" t="s">
        <v>485</v>
      </c>
      <c r="H397" s="9">
        <v>87</v>
      </c>
      <c r="I397" s="21">
        <v>1740</v>
      </c>
      <c r="J397" s="11">
        <v>46259</v>
      </c>
      <c r="K397" s="11">
        <v>46261</v>
      </c>
      <c r="L397" s="8" t="s">
        <v>282</v>
      </c>
      <c r="M397" s="14" t="s">
        <v>234</v>
      </c>
      <c r="N397" s="16">
        <v>1556</v>
      </c>
      <c r="O397" s="14" t="s">
        <v>250</v>
      </c>
      <c r="P397" s="14"/>
      <c r="Q397" s="20">
        <f t="shared" si="6"/>
        <v>0</v>
      </c>
      <c r="S397" s="20">
        <f>SUMIFS('Doc''s Pagos | Rodopar 108'!$J:$J,'Doc''s Pagos | Rodopar 108'!$A:$A,$B397&amp;$E397&amp;$F397&amp;$J397,'Doc''s Pagos | Rodopar 108'!$B:$B,S$1)+SUMIFS('Doc Há Pagar | Rodopar 1015'!$J:$J,'Doc Há Pagar | Rodopar 1015'!$A:$A,$B397&amp;$E397&amp;$F397,'Doc Há Pagar | Rodopar 1015'!$B:$B,S$1)</f>
        <v>0</v>
      </c>
      <c r="T397" s="20">
        <f>SUMIFS('Doc''s Pagos | Rodopar 108'!$J:$J,'Doc''s Pagos | Rodopar 108'!$A:$A,$B397&amp;$E397&amp;$F397&amp;$J397,'Doc''s Pagos | Rodopar 108'!$B:$B,T$1)+SUMIFS('Doc Há Pagar | Rodopar 1015'!$J:$J,'Doc Há Pagar | Rodopar 1015'!$A:$A,$B397&amp;$E397&amp;$F397,'Doc Há Pagar | Rodopar 1015'!$B:$B,T$1)</f>
        <v>0</v>
      </c>
      <c r="U397" s="20">
        <f>SUMIFS('Doc''s Pagos | Rodopar 108'!$J:$J,'Doc''s Pagos | Rodopar 108'!$A:$A,$B397&amp;$E397&amp;$F397&amp;$J397,'Doc''s Pagos | Rodopar 108'!$B:$B,U$1)+SUMIFS('Doc Há Pagar | Rodopar 1015'!$J:$J,'Doc Há Pagar | Rodopar 1015'!$A:$A,$B397&amp;$E397&amp;$F397,'Doc Há Pagar | Rodopar 1015'!$B:$B,U$1)</f>
        <v>0</v>
      </c>
      <c r="V397" s="20">
        <f>SUMIFS('Doc''s Pagos | Rodopar 108'!$J:$J,'Doc''s Pagos | Rodopar 108'!$A:$A,$B397&amp;$E397&amp;$F397&amp;$J397,'Doc''s Pagos | Rodopar 108'!$B:$B,V$1)+SUMIFS('Doc Há Pagar | Rodopar 1015'!$J:$J,'Doc Há Pagar | Rodopar 1015'!$A:$A,$B397&amp;$E397&amp;$F397,'Doc Há Pagar | Rodopar 1015'!$B:$B,V$1)</f>
        <v>0</v>
      </c>
      <c r="W397" s="20">
        <f>SUMIFS('Doc''s Pagos | Rodopar 108'!$J:$J,'Doc''s Pagos | Rodopar 108'!$A:$A,$B397&amp;$E397&amp;$F397&amp;$J397,'Doc''s Pagos | Rodopar 108'!$B:$B,W$1)+SUMIFS('Doc Há Pagar | Rodopar 1015'!$J:$J,'Doc Há Pagar | Rodopar 1015'!$A:$A,$B397&amp;$E397&amp;$F397,'Doc Há Pagar | Rodopar 1015'!$B:$B,W$1)</f>
        <v>0</v>
      </c>
      <c r="X397" s="20">
        <f>SUMIFS('Doc''s Pagos | Rodopar 108'!$J:$J,'Doc''s Pagos | Rodopar 108'!$A:$A,$B397&amp;$E397&amp;$F397&amp;$J397,'Doc''s Pagos | Rodopar 108'!$B:$B,X$1)+SUMIFS('Doc Há Pagar | Rodopar 1015'!$J:$J,'Doc Há Pagar | Rodopar 1015'!$A:$A,$B397&amp;$E397&amp;$F397,'Doc Há Pagar | Rodopar 1015'!$B:$B,X$1)</f>
        <v>0</v>
      </c>
      <c r="Y397" s="20">
        <f>SUMIFS('Doc''s Pagos | Rodopar 108'!$J:$J,'Doc''s Pagos | Rodopar 108'!$A:$A,$B397&amp;$E397&amp;$F397&amp;$J397,'Doc''s Pagos | Rodopar 108'!$B:$B,Y$1)+SUMIFS('Doc Há Pagar | Rodopar 1015'!$J:$J,'Doc Há Pagar | Rodopar 1015'!$A:$A,$B397&amp;$E397&amp;$F397,'Doc Há Pagar | Rodopar 1015'!$B:$B,Y$1)</f>
        <v>0</v>
      </c>
      <c r="Z397" s="20">
        <f>SUMIFS('Doc''s Pagos | Rodopar 108'!$J:$J,'Doc''s Pagos | Rodopar 108'!$A:$A,$B397&amp;$E397&amp;$F397&amp;$J397,'Doc''s Pagos | Rodopar 108'!$B:$B,Z$1)+SUMIFS('Doc Há Pagar | Rodopar 1015'!$J:$J,'Doc Há Pagar | Rodopar 1015'!$A:$A,$B397&amp;$E397&amp;$F397,'Doc Há Pagar | Rodopar 1015'!$B:$B,Z$1)</f>
        <v>0</v>
      </c>
      <c r="AA397" s="20">
        <f>SUMIFS('Doc''s Pagos | Rodopar 108'!$J:$J,'Doc''s Pagos | Rodopar 108'!$A:$A,$B397&amp;$E397&amp;$F397&amp;$J397,'Doc''s Pagos | Rodopar 108'!$B:$B,AA$1)+SUMIFS('Doc Há Pagar | Rodopar 1015'!$J:$J,'Doc Há Pagar | Rodopar 1015'!$A:$A,$B397&amp;$E397&amp;$F397,'Doc Há Pagar | Rodopar 1015'!$B:$B,AA$1)</f>
        <v>1740</v>
      </c>
      <c r="AB397" s="20">
        <f>SUMIFS('Doc''s Pagos | Rodopar 108'!$J:$J,'Doc''s Pagos | Rodopar 108'!$A:$A,$B397&amp;$E397&amp;$F397&amp;$J397,'Doc''s Pagos | Rodopar 108'!$B:$B,AB$1)+SUMIFS('Doc Há Pagar | Rodopar 1015'!$J:$J,'Doc Há Pagar | Rodopar 1015'!$A:$A,$B397&amp;$E397&amp;$F397,'Doc Há Pagar | Rodopar 1015'!$B:$B,AB$1)</f>
        <v>0</v>
      </c>
      <c r="AC397" s="20">
        <f>SUMIFS('Doc''s Pagos | Rodopar 108'!$J:$J,'Doc''s Pagos | Rodopar 108'!$A:$A,$B397&amp;$E397&amp;$F397&amp;$J397,'Doc''s Pagos | Rodopar 108'!$B:$B,AC$1)+SUMIFS('Doc Há Pagar | Rodopar 1015'!$J:$J,'Doc Há Pagar | Rodopar 1015'!$A:$A,$B397&amp;$E397&amp;$F397,'Doc Há Pagar | Rodopar 1015'!$B:$B,AC$1)</f>
        <v>0</v>
      </c>
      <c r="AD397" s="20">
        <f>SUMIFS('Doc''s Pagos | Rodopar 108'!$J:$J,'Doc''s Pagos | Rodopar 108'!$A:$A,$B397&amp;$E397&amp;$F397&amp;$J397,'Doc''s Pagos | Rodopar 108'!$B:$B,AD$1)+SUMIFS('Doc Há Pagar | Rodopar 1015'!$J:$J,'Doc Há Pagar | Rodopar 1015'!$A:$A,$B397&amp;$E397&amp;$F397,'Doc Há Pagar | Rodopar 1015'!$B:$B,AD$1)</f>
        <v>0</v>
      </c>
    </row>
    <row r="398" spans="1:30" x14ac:dyDescent="0.25">
      <c r="A398" s="1" t="str">
        <f>VLOOKUP($E398,Fornecedores!$A:$C,3,0)</f>
        <v>Frota</v>
      </c>
      <c r="B398" s="14">
        <v>80</v>
      </c>
      <c r="C398" s="14" t="str">
        <f>IFERROR(VLOOKUP($E398,Fornecedores!$A:$E,4,0),"")</f>
        <v>Manutenção</v>
      </c>
      <c r="D398" s="14" t="str">
        <f>IFERROR(VLOOKUP($E398,Fornecedores!$A:$E,5,0),"")</f>
        <v>Vans</v>
      </c>
      <c r="E398" s="8" t="s">
        <v>205</v>
      </c>
      <c r="F398" s="14" t="s">
        <v>614</v>
      </c>
      <c r="G398" s="8" t="s">
        <v>485</v>
      </c>
      <c r="H398" s="9">
        <v>87</v>
      </c>
      <c r="I398" s="21">
        <v>809</v>
      </c>
      <c r="J398" s="11">
        <v>46259</v>
      </c>
      <c r="K398" s="11">
        <v>46261</v>
      </c>
      <c r="L398" s="8" t="s">
        <v>282</v>
      </c>
      <c r="M398" s="14" t="s">
        <v>234</v>
      </c>
      <c r="N398" s="16">
        <v>1556</v>
      </c>
      <c r="O398" s="14" t="s">
        <v>250</v>
      </c>
      <c r="P398" s="14"/>
      <c r="Q398" s="20">
        <f t="shared" si="6"/>
        <v>0</v>
      </c>
      <c r="S398" s="20">
        <f>SUMIFS('Doc''s Pagos | Rodopar 108'!$J:$J,'Doc''s Pagos | Rodopar 108'!$A:$A,$B398&amp;$E398&amp;$F398&amp;$J398,'Doc''s Pagos | Rodopar 108'!$B:$B,S$1)+SUMIFS('Doc Há Pagar | Rodopar 1015'!$J:$J,'Doc Há Pagar | Rodopar 1015'!$A:$A,$B398&amp;$E398&amp;$F398,'Doc Há Pagar | Rodopar 1015'!$B:$B,S$1)</f>
        <v>0</v>
      </c>
      <c r="T398" s="20">
        <f>SUMIFS('Doc''s Pagos | Rodopar 108'!$J:$J,'Doc''s Pagos | Rodopar 108'!$A:$A,$B398&amp;$E398&amp;$F398&amp;$J398,'Doc''s Pagos | Rodopar 108'!$B:$B,T$1)+SUMIFS('Doc Há Pagar | Rodopar 1015'!$J:$J,'Doc Há Pagar | Rodopar 1015'!$A:$A,$B398&amp;$E398&amp;$F398,'Doc Há Pagar | Rodopar 1015'!$B:$B,T$1)</f>
        <v>0</v>
      </c>
      <c r="U398" s="20">
        <f>SUMIFS('Doc''s Pagos | Rodopar 108'!$J:$J,'Doc''s Pagos | Rodopar 108'!$A:$A,$B398&amp;$E398&amp;$F398&amp;$J398,'Doc''s Pagos | Rodopar 108'!$B:$B,U$1)+SUMIFS('Doc Há Pagar | Rodopar 1015'!$J:$J,'Doc Há Pagar | Rodopar 1015'!$A:$A,$B398&amp;$E398&amp;$F398,'Doc Há Pagar | Rodopar 1015'!$B:$B,U$1)</f>
        <v>0</v>
      </c>
      <c r="V398" s="20">
        <f>SUMIFS('Doc''s Pagos | Rodopar 108'!$J:$J,'Doc''s Pagos | Rodopar 108'!$A:$A,$B398&amp;$E398&amp;$F398&amp;$J398,'Doc''s Pagos | Rodopar 108'!$B:$B,V$1)+SUMIFS('Doc Há Pagar | Rodopar 1015'!$J:$J,'Doc Há Pagar | Rodopar 1015'!$A:$A,$B398&amp;$E398&amp;$F398,'Doc Há Pagar | Rodopar 1015'!$B:$B,V$1)</f>
        <v>0</v>
      </c>
      <c r="W398" s="20">
        <f>SUMIFS('Doc''s Pagos | Rodopar 108'!$J:$J,'Doc''s Pagos | Rodopar 108'!$A:$A,$B398&amp;$E398&amp;$F398&amp;$J398,'Doc''s Pagos | Rodopar 108'!$B:$B,W$1)+SUMIFS('Doc Há Pagar | Rodopar 1015'!$J:$J,'Doc Há Pagar | Rodopar 1015'!$A:$A,$B398&amp;$E398&amp;$F398,'Doc Há Pagar | Rodopar 1015'!$B:$B,W$1)</f>
        <v>0</v>
      </c>
      <c r="X398" s="20">
        <f>SUMIFS('Doc''s Pagos | Rodopar 108'!$J:$J,'Doc''s Pagos | Rodopar 108'!$A:$A,$B398&amp;$E398&amp;$F398&amp;$J398,'Doc''s Pagos | Rodopar 108'!$B:$B,X$1)+SUMIFS('Doc Há Pagar | Rodopar 1015'!$J:$J,'Doc Há Pagar | Rodopar 1015'!$A:$A,$B398&amp;$E398&amp;$F398,'Doc Há Pagar | Rodopar 1015'!$B:$B,X$1)</f>
        <v>0</v>
      </c>
      <c r="Y398" s="20">
        <f>SUMIFS('Doc''s Pagos | Rodopar 108'!$J:$J,'Doc''s Pagos | Rodopar 108'!$A:$A,$B398&amp;$E398&amp;$F398&amp;$J398,'Doc''s Pagos | Rodopar 108'!$B:$B,Y$1)+SUMIFS('Doc Há Pagar | Rodopar 1015'!$J:$J,'Doc Há Pagar | Rodopar 1015'!$A:$A,$B398&amp;$E398&amp;$F398,'Doc Há Pagar | Rodopar 1015'!$B:$B,Y$1)</f>
        <v>0</v>
      </c>
      <c r="Z398" s="20">
        <f>SUMIFS('Doc''s Pagos | Rodopar 108'!$J:$J,'Doc''s Pagos | Rodopar 108'!$A:$A,$B398&amp;$E398&amp;$F398&amp;$J398,'Doc''s Pagos | Rodopar 108'!$B:$B,Z$1)+SUMIFS('Doc Há Pagar | Rodopar 1015'!$J:$J,'Doc Há Pagar | Rodopar 1015'!$A:$A,$B398&amp;$E398&amp;$F398,'Doc Há Pagar | Rodopar 1015'!$B:$B,Z$1)</f>
        <v>0</v>
      </c>
      <c r="AA398" s="20">
        <f>SUMIFS('Doc''s Pagos | Rodopar 108'!$J:$J,'Doc''s Pagos | Rodopar 108'!$A:$A,$B398&amp;$E398&amp;$F398&amp;$J398,'Doc''s Pagos | Rodopar 108'!$B:$B,AA$1)+SUMIFS('Doc Há Pagar | Rodopar 1015'!$J:$J,'Doc Há Pagar | Rodopar 1015'!$A:$A,$B398&amp;$E398&amp;$F398,'Doc Há Pagar | Rodopar 1015'!$B:$B,AA$1)</f>
        <v>809</v>
      </c>
      <c r="AB398" s="20">
        <f>SUMIFS('Doc''s Pagos | Rodopar 108'!$J:$J,'Doc''s Pagos | Rodopar 108'!$A:$A,$B398&amp;$E398&amp;$F398&amp;$J398,'Doc''s Pagos | Rodopar 108'!$B:$B,AB$1)+SUMIFS('Doc Há Pagar | Rodopar 1015'!$J:$J,'Doc Há Pagar | Rodopar 1015'!$A:$A,$B398&amp;$E398&amp;$F398,'Doc Há Pagar | Rodopar 1015'!$B:$B,AB$1)</f>
        <v>0</v>
      </c>
      <c r="AC398" s="20">
        <f>SUMIFS('Doc''s Pagos | Rodopar 108'!$J:$J,'Doc''s Pagos | Rodopar 108'!$A:$A,$B398&amp;$E398&amp;$F398&amp;$J398,'Doc''s Pagos | Rodopar 108'!$B:$B,AC$1)+SUMIFS('Doc Há Pagar | Rodopar 1015'!$J:$J,'Doc Há Pagar | Rodopar 1015'!$A:$A,$B398&amp;$E398&amp;$F398,'Doc Há Pagar | Rodopar 1015'!$B:$B,AC$1)</f>
        <v>0</v>
      </c>
      <c r="AD398" s="20">
        <f>SUMIFS('Doc''s Pagos | Rodopar 108'!$J:$J,'Doc''s Pagos | Rodopar 108'!$A:$A,$B398&amp;$E398&amp;$F398&amp;$J398,'Doc''s Pagos | Rodopar 108'!$B:$B,AD$1)+SUMIFS('Doc Há Pagar | Rodopar 1015'!$J:$J,'Doc Há Pagar | Rodopar 1015'!$A:$A,$B398&amp;$E398&amp;$F398,'Doc Há Pagar | Rodopar 1015'!$B:$B,AD$1)</f>
        <v>0</v>
      </c>
    </row>
    <row r="399" spans="1:30" x14ac:dyDescent="0.25">
      <c r="A399" s="1" t="str">
        <f>VLOOKUP($E399,Fornecedores!$A:$C,3,0)</f>
        <v>Frota</v>
      </c>
      <c r="B399" s="14">
        <v>1268</v>
      </c>
      <c r="C399" s="14" t="str">
        <f>IFERROR(VLOOKUP($E399,Fornecedores!$A:$E,4,0),"")</f>
        <v>Pneus</v>
      </c>
      <c r="D399" s="14" t="str">
        <f>IFERROR(VLOOKUP($E399,Fornecedores!$A:$E,5,0),"")</f>
        <v>Serviços Gerais</v>
      </c>
      <c r="E399" s="8" t="s">
        <v>164</v>
      </c>
      <c r="F399" s="14" t="s">
        <v>665</v>
      </c>
      <c r="G399" s="8" t="s">
        <v>465</v>
      </c>
      <c r="H399" s="9">
        <v>87</v>
      </c>
      <c r="I399" s="21">
        <v>1863.36</v>
      </c>
      <c r="J399" s="11">
        <v>46259</v>
      </c>
      <c r="K399" s="11">
        <v>46266</v>
      </c>
      <c r="L399" s="8" t="s">
        <v>282</v>
      </c>
      <c r="M399" s="14" t="s">
        <v>234</v>
      </c>
      <c r="N399" s="16">
        <v>1556</v>
      </c>
      <c r="O399" s="14" t="s">
        <v>241</v>
      </c>
      <c r="P399" s="14"/>
      <c r="Q399" s="20">
        <f t="shared" si="6"/>
        <v>0</v>
      </c>
      <c r="S399" s="20">
        <f>SUMIFS('Doc''s Pagos | Rodopar 108'!$J:$J,'Doc''s Pagos | Rodopar 108'!$A:$A,$B399&amp;$E399&amp;$F399&amp;$J399,'Doc''s Pagos | Rodopar 108'!$B:$B,S$1)+SUMIFS('Doc Há Pagar | Rodopar 1015'!$J:$J,'Doc Há Pagar | Rodopar 1015'!$A:$A,$B399&amp;$E399&amp;$F399,'Doc Há Pagar | Rodopar 1015'!$B:$B,S$1)</f>
        <v>0</v>
      </c>
      <c r="T399" s="20">
        <f>SUMIFS('Doc''s Pagos | Rodopar 108'!$J:$J,'Doc''s Pagos | Rodopar 108'!$A:$A,$B399&amp;$E399&amp;$F399&amp;$J399,'Doc''s Pagos | Rodopar 108'!$B:$B,T$1)+SUMIFS('Doc Há Pagar | Rodopar 1015'!$J:$J,'Doc Há Pagar | Rodopar 1015'!$A:$A,$B399&amp;$E399&amp;$F399,'Doc Há Pagar | Rodopar 1015'!$B:$B,T$1)</f>
        <v>0</v>
      </c>
      <c r="U399" s="20">
        <f>SUMIFS('Doc''s Pagos | Rodopar 108'!$J:$J,'Doc''s Pagos | Rodopar 108'!$A:$A,$B399&amp;$E399&amp;$F399&amp;$J399,'Doc''s Pagos | Rodopar 108'!$B:$B,U$1)+SUMIFS('Doc Há Pagar | Rodopar 1015'!$J:$J,'Doc Há Pagar | Rodopar 1015'!$A:$A,$B399&amp;$E399&amp;$F399,'Doc Há Pagar | Rodopar 1015'!$B:$B,U$1)</f>
        <v>0</v>
      </c>
      <c r="V399" s="20">
        <f>SUMIFS('Doc''s Pagos | Rodopar 108'!$J:$J,'Doc''s Pagos | Rodopar 108'!$A:$A,$B399&amp;$E399&amp;$F399&amp;$J399,'Doc''s Pagos | Rodopar 108'!$B:$B,V$1)+SUMIFS('Doc Há Pagar | Rodopar 1015'!$J:$J,'Doc Há Pagar | Rodopar 1015'!$A:$A,$B399&amp;$E399&amp;$F399,'Doc Há Pagar | Rodopar 1015'!$B:$B,V$1)</f>
        <v>0</v>
      </c>
      <c r="W399" s="20">
        <f>SUMIFS('Doc''s Pagos | Rodopar 108'!$J:$J,'Doc''s Pagos | Rodopar 108'!$A:$A,$B399&amp;$E399&amp;$F399&amp;$J399,'Doc''s Pagos | Rodopar 108'!$B:$B,W$1)+SUMIFS('Doc Há Pagar | Rodopar 1015'!$J:$J,'Doc Há Pagar | Rodopar 1015'!$A:$A,$B399&amp;$E399&amp;$F399,'Doc Há Pagar | Rodopar 1015'!$B:$B,W$1)</f>
        <v>0</v>
      </c>
      <c r="X399" s="20">
        <f>SUMIFS('Doc''s Pagos | Rodopar 108'!$J:$J,'Doc''s Pagos | Rodopar 108'!$A:$A,$B399&amp;$E399&amp;$F399&amp;$J399,'Doc''s Pagos | Rodopar 108'!$B:$B,X$1)+SUMIFS('Doc Há Pagar | Rodopar 1015'!$J:$J,'Doc Há Pagar | Rodopar 1015'!$A:$A,$B399&amp;$E399&amp;$F399,'Doc Há Pagar | Rodopar 1015'!$B:$B,X$1)</f>
        <v>0</v>
      </c>
      <c r="Y399" s="20">
        <f>SUMIFS('Doc''s Pagos | Rodopar 108'!$J:$J,'Doc''s Pagos | Rodopar 108'!$A:$A,$B399&amp;$E399&amp;$F399&amp;$J399,'Doc''s Pagos | Rodopar 108'!$B:$B,Y$1)+SUMIFS('Doc Há Pagar | Rodopar 1015'!$J:$J,'Doc Há Pagar | Rodopar 1015'!$A:$A,$B399&amp;$E399&amp;$F399,'Doc Há Pagar | Rodopar 1015'!$B:$B,Y$1)</f>
        <v>0</v>
      </c>
      <c r="Z399" s="20">
        <f>SUMIFS('Doc''s Pagos | Rodopar 108'!$J:$J,'Doc''s Pagos | Rodopar 108'!$A:$A,$B399&amp;$E399&amp;$F399&amp;$J399,'Doc''s Pagos | Rodopar 108'!$B:$B,Z$1)+SUMIFS('Doc Há Pagar | Rodopar 1015'!$J:$J,'Doc Há Pagar | Rodopar 1015'!$A:$A,$B399&amp;$E399&amp;$F399,'Doc Há Pagar | Rodopar 1015'!$B:$B,Z$1)</f>
        <v>0</v>
      </c>
      <c r="AA399" s="20">
        <f>SUMIFS('Doc''s Pagos | Rodopar 108'!$J:$J,'Doc''s Pagos | Rodopar 108'!$A:$A,$B399&amp;$E399&amp;$F399&amp;$J399,'Doc''s Pagos | Rodopar 108'!$B:$B,AA$1)+SUMIFS('Doc Há Pagar | Rodopar 1015'!$J:$J,'Doc Há Pagar | Rodopar 1015'!$A:$A,$B399&amp;$E399&amp;$F399,'Doc Há Pagar | Rodopar 1015'!$B:$B,AA$1)</f>
        <v>0</v>
      </c>
      <c r="AB399" s="20">
        <f>SUMIFS('Doc''s Pagos | Rodopar 108'!$J:$J,'Doc''s Pagos | Rodopar 108'!$A:$A,$B399&amp;$E399&amp;$F399&amp;$J399,'Doc''s Pagos | Rodopar 108'!$B:$B,AB$1)+SUMIFS('Doc Há Pagar | Rodopar 1015'!$J:$J,'Doc Há Pagar | Rodopar 1015'!$A:$A,$B399&amp;$E399&amp;$F399,'Doc Há Pagar | Rodopar 1015'!$B:$B,AB$1)</f>
        <v>1863.36</v>
      </c>
      <c r="AC399" s="20">
        <f>SUMIFS('Doc''s Pagos | Rodopar 108'!$J:$J,'Doc''s Pagos | Rodopar 108'!$A:$A,$B399&amp;$E399&amp;$F399&amp;$J399,'Doc''s Pagos | Rodopar 108'!$B:$B,AC$1)+SUMIFS('Doc Há Pagar | Rodopar 1015'!$J:$J,'Doc Há Pagar | Rodopar 1015'!$A:$A,$B399&amp;$E399&amp;$F399,'Doc Há Pagar | Rodopar 1015'!$B:$B,AC$1)</f>
        <v>0</v>
      </c>
      <c r="AD399" s="20">
        <f>SUMIFS('Doc''s Pagos | Rodopar 108'!$J:$J,'Doc''s Pagos | Rodopar 108'!$A:$A,$B399&amp;$E399&amp;$F399&amp;$J399,'Doc''s Pagos | Rodopar 108'!$B:$B,AD$1)+SUMIFS('Doc Há Pagar | Rodopar 1015'!$J:$J,'Doc Há Pagar | Rodopar 1015'!$A:$A,$B399&amp;$E399&amp;$F399,'Doc Há Pagar | Rodopar 1015'!$B:$B,AD$1)</f>
        <v>0</v>
      </c>
    </row>
    <row r="400" spans="1:30" x14ac:dyDescent="0.25">
      <c r="A400" s="1" t="str">
        <f>VLOOKUP($E400,Fornecedores!$A:$C,3,0)</f>
        <v>Frota</v>
      </c>
      <c r="B400" s="14">
        <v>30</v>
      </c>
      <c r="C400" s="14" t="str">
        <f>IFERROR(VLOOKUP($E400,Fornecedores!$A:$E,4,0),"")</f>
        <v>Manutenção</v>
      </c>
      <c r="D400" s="14" t="str">
        <f>IFERROR(VLOOKUP($E400,Fornecedores!$A:$E,5,0),"")</f>
        <v>Vans</v>
      </c>
      <c r="E400" s="8" t="s">
        <v>205</v>
      </c>
      <c r="F400" s="14" t="s">
        <v>380</v>
      </c>
      <c r="G400" s="8" t="s">
        <v>485</v>
      </c>
      <c r="H400" s="9">
        <v>87</v>
      </c>
      <c r="I400" s="21">
        <v>1300</v>
      </c>
      <c r="J400" s="11">
        <v>46260</v>
      </c>
      <c r="K400" s="11">
        <v>46261</v>
      </c>
      <c r="L400" s="8" t="s">
        <v>282</v>
      </c>
      <c r="M400" s="14" t="s">
        <v>234</v>
      </c>
      <c r="N400" s="16">
        <v>1556</v>
      </c>
      <c r="O400" s="14" t="s">
        <v>250</v>
      </c>
      <c r="P400" s="14"/>
      <c r="Q400" s="20">
        <f t="shared" si="6"/>
        <v>0</v>
      </c>
      <c r="S400" s="20">
        <f>SUMIFS('Doc''s Pagos | Rodopar 108'!$J:$J,'Doc''s Pagos | Rodopar 108'!$A:$A,$B400&amp;$E400&amp;$F400&amp;$J400,'Doc''s Pagos | Rodopar 108'!$B:$B,S$1)+SUMIFS('Doc Há Pagar | Rodopar 1015'!$J:$J,'Doc Há Pagar | Rodopar 1015'!$A:$A,$B400&amp;$E400&amp;$F400,'Doc Há Pagar | Rodopar 1015'!$B:$B,S$1)</f>
        <v>0</v>
      </c>
      <c r="T400" s="20">
        <f>SUMIFS('Doc''s Pagos | Rodopar 108'!$J:$J,'Doc''s Pagos | Rodopar 108'!$A:$A,$B400&amp;$E400&amp;$F400&amp;$J400,'Doc''s Pagos | Rodopar 108'!$B:$B,T$1)+SUMIFS('Doc Há Pagar | Rodopar 1015'!$J:$J,'Doc Há Pagar | Rodopar 1015'!$A:$A,$B400&amp;$E400&amp;$F400,'Doc Há Pagar | Rodopar 1015'!$B:$B,T$1)</f>
        <v>0</v>
      </c>
      <c r="U400" s="20">
        <f>SUMIFS('Doc''s Pagos | Rodopar 108'!$J:$J,'Doc''s Pagos | Rodopar 108'!$A:$A,$B400&amp;$E400&amp;$F400&amp;$J400,'Doc''s Pagos | Rodopar 108'!$B:$B,U$1)+SUMIFS('Doc Há Pagar | Rodopar 1015'!$J:$J,'Doc Há Pagar | Rodopar 1015'!$A:$A,$B400&amp;$E400&amp;$F400,'Doc Há Pagar | Rodopar 1015'!$B:$B,U$1)</f>
        <v>0</v>
      </c>
      <c r="V400" s="20">
        <f>SUMIFS('Doc''s Pagos | Rodopar 108'!$J:$J,'Doc''s Pagos | Rodopar 108'!$A:$A,$B400&amp;$E400&amp;$F400&amp;$J400,'Doc''s Pagos | Rodopar 108'!$B:$B,V$1)+SUMIFS('Doc Há Pagar | Rodopar 1015'!$J:$J,'Doc Há Pagar | Rodopar 1015'!$A:$A,$B400&amp;$E400&amp;$F400,'Doc Há Pagar | Rodopar 1015'!$B:$B,V$1)</f>
        <v>0</v>
      </c>
      <c r="W400" s="20">
        <f>SUMIFS('Doc''s Pagos | Rodopar 108'!$J:$J,'Doc''s Pagos | Rodopar 108'!$A:$A,$B400&amp;$E400&amp;$F400&amp;$J400,'Doc''s Pagos | Rodopar 108'!$B:$B,W$1)+SUMIFS('Doc Há Pagar | Rodopar 1015'!$J:$J,'Doc Há Pagar | Rodopar 1015'!$A:$A,$B400&amp;$E400&amp;$F400,'Doc Há Pagar | Rodopar 1015'!$B:$B,W$1)</f>
        <v>0</v>
      </c>
      <c r="X400" s="20">
        <f>SUMIFS('Doc''s Pagos | Rodopar 108'!$J:$J,'Doc''s Pagos | Rodopar 108'!$A:$A,$B400&amp;$E400&amp;$F400&amp;$J400,'Doc''s Pagos | Rodopar 108'!$B:$B,X$1)+SUMIFS('Doc Há Pagar | Rodopar 1015'!$J:$J,'Doc Há Pagar | Rodopar 1015'!$A:$A,$B400&amp;$E400&amp;$F400,'Doc Há Pagar | Rodopar 1015'!$B:$B,X$1)</f>
        <v>0</v>
      </c>
      <c r="Y400" s="20">
        <f>SUMIFS('Doc''s Pagos | Rodopar 108'!$J:$J,'Doc''s Pagos | Rodopar 108'!$A:$A,$B400&amp;$E400&amp;$F400&amp;$J400,'Doc''s Pagos | Rodopar 108'!$B:$B,Y$1)+SUMIFS('Doc Há Pagar | Rodopar 1015'!$J:$J,'Doc Há Pagar | Rodopar 1015'!$A:$A,$B400&amp;$E400&amp;$F400,'Doc Há Pagar | Rodopar 1015'!$B:$B,Y$1)</f>
        <v>0</v>
      </c>
      <c r="Z400" s="20">
        <f>SUMIFS('Doc''s Pagos | Rodopar 108'!$J:$J,'Doc''s Pagos | Rodopar 108'!$A:$A,$B400&amp;$E400&amp;$F400&amp;$J400,'Doc''s Pagos | Rodopar 108'!$B:$B,Z$1)+SUMIFS('Doc Há Pagar | Rodopar 1015'!$J:$J,'Doc Há Pagar | Rodopar 1015'!$A:$A,$B400&amp;$E400&amp;$F400,'Doc Há Pagar | Rodopar 1015'!$B:$B,Z$1)</f>
        <v>0</v>
      </c>
      <c r="AA400" s="20">
        <f>SUMIFS('Doc''s Pagos | Rodopar 108'!$J:$J,'Doc''s Pagos | Rodopar 108'!$A:$A,$B400&amp;$E400&amp;$F400&amp;$J400,'Doc''s Pagos | Rodopar 108'!$B:$B,AA$1)+SUMIFS('Doc Há Pagar | Rodopar 1015'!$J:$J,'Doc Há Pagar | Rodopar 1015'!$A:$A,$B400&amp;$E400&amp;$F400,'Doc Há Pagar | Rodopar 1015'!$B:$B,AA$1)</f>
        <v>1300</v>
      </c>
      <c r="AB400" s="20">
        <f>SUMIFS('Doc''s Pagos | Rodopar 108'!$J:$J,'Doc''s Pagos | Rodopar 108'!$A:$A,$B400&amp;$E400&amp;$F400&amp;$J400,'Doc''s Pagos | Rodopar 108'!$B:$B,AB$1)+SUMIFS('Doc Há Pagar | Rodopar 1015'!$J:$J,'Doc Há Pagar | Rodopar 1015'!$A:$A,$B400&amp;$E400&amp;$F400,'Doc Há Pagar | Rodopar 1015'!$B:$B,AB$1)</f>
        <v>0</v>
      </c>
      <c r="AC400" s="20">
        <f>SUMIFS('Doc''s Pagos | Rodopar 108'!$J:$J,'Doc''s Pagos | Rodopar 108'!$A:$A,$B400&amp;$E400&amp;$F400&amp;$J400,'Doc''s Pagos | Rodopar 108'!$B:$B,AC$1)+SUMIFS('Doc Há Pagar | Rodopar 1015'!$J:$J,'Doc Há Pagar | Rodopar 1015'!$A:$A,$B400&amp;$E400&amp;$F400,'Doc Há Pagar | Rodopar 1015'!$B:$B,AC$1)</f>
        <v>0</v>
      </c>
      <c r="AD400" s="20">
        <f>SUMIFS('Doc''s Pagos | Rodopar 108'!$J:$J,'Doc''s Pagos | Rodopar 108'!$A:$A,$B400&amp;$E400&amp;$F400&amp;$J400,'Doc''s Pagos | Rodopar 108'!$B:$B,AD$1)+SUMIFS('Doc Há Pagar | Rodopar 1015'!$J:$J,'Doc Há Pagar | Rodopar 1015'!$A:$A,$B400&amp;$E400&amp;$F400,'Doc Há Pagar | Rodopar 1015'!$B:$B,AD$1)</f>
        <v>0</v>
      </c>
    </row>
    <row r="401" spans="1:30" x14ac:dyDescent="0.25">
      <c r="A401" s="1" t="str">
        <f>VLOOKUP($E401,Fornecedores!$A:$C,3,0)</f>
        <v>Frota</v>
      </c>
      <c r="B401" s="14">
        <v>355</v>
      </c>
      <c r="C401" s="14" t="str">
        <f>IFERROR(VLOOKUP($E401,Fornecedores!$A:$E,4,0),"")</f>
        <v>Sinistro</v>
      </c>
      <c r="D401" s="14" t="str">
        <f>IFERROR(VLOOKUP($E401,Fornecedores!$A:$E,5,0),"")</f>
        <v>Guincho</v>
      </c>
      <c r="E401" s="8" t="s">
        <v>206</v>
      </c>
      <c r="F401" s="14" t="s">
        <v>614</v>
      </c>
      <c r="G401" s="8" t="s">
        <v>646</v>
      </c>
      <c r="H401" s="9">
        <v>87</v>
      </c>
      <c r="I401" s="21">
        <v>1450</v>
      </c>
      <c r="J401" s="11">
        <v>46260</v>
      </c>
      <c r="K401" s="11">
        <v>46261</v>
      </c>
      <c r="L401" s="8" t="s">
        <v>282</v>
      </c>
      <c r="M401" s="14" t="s">
        <v>234</v>
      </c>
      <c r="N401" s="16">
        <v>1556</v>
      </c>
      <c r="O401" s="14" t="s">
        <v>250</v>
      </c>
      <c r="P401" s="14"/>
      <c r="Q401" s="20">
        <f t="shared" si="6"/>
        <v>0</v>
      </c>
      <c r="S401" s="20">
        <f>SUMIFS('Doc''s Pagos | Rodopar 108'!$J:$J,'Doc''s Pagos | Rodopar 108'!$A:$A,$B401&amp;$E401&amp;$F401&amp;$J401,'Doc''s Pagos | Rodopar 108'!$B:$B,S$1)+SUMIFS('Doc Há Pagar | Rodopar 1015'!$J:$J,'Doc Há Pagar | Rodopar 1015'!$A:$A,$B401&amp;$E401&amp;$F401,'Doc Há Pagar | Rodopar 1015'!$B:$B,S$1)</f>
        <v>0</v>
      </c>
      <c r="T401" s="20">
        <f>SUMIFS('Doc''s Pagos | Rodopar 108'!$J:$J,'Doc''s Pagos | Rodopar 108'!$A:$A,$B401&amp;$E401&amp;$F401&amp;$J401,'Doc''s Pagos | Rodopar 108'!$B:$B,T$1)+SUMIFS('Doc Há Pagar | Rodopar 1015'!$J:$J,'Doc Há Pagar | Rodopar 1015'!$A:$A,$B401&amp;$E401&amp;$F401,'Doc Há Pagar | Rodopar 1015'!$B:$B,T$1)</f>
        <v>0</v>
      </c>
      <c r="U401" s="20">
        <f>SUMIFS('Doc''s Pagos | Rodopar 108'!$J:$J,'Doc''s Pagos | Rodopar 108'!$A:$A,$B401&amp;$E401&amp;$F401&amp;$J401,'Doc''s Pagos | Rodopar 108'!$B:$B,U$1)+SUMIFS('Doc Há Pagar | Rodopar 1015'!$J:$J,'Doc Há Pagar | Rodopar 1015'!$A:$A,$B401&amp;$E401&amp;$F401,'Doc Há Pagar | Rodopar 1015'!$B:$B,U$1)</f>
        <v>0</v>
      </c>
      <c r="V401" s="20">
        <f>SUMIFS('Doc''s Pagos | Rodopar 108'!$J:$J,'Doc''s Pagos | Rodopar 108'!$A:$A,$B401&amp;$E401&amp;$F401&amp;$J401,'Doc''s Pagos | Rodopar 108'!$B:$B,V$1)+SUMIFS('Doc Há Pagar | Rodopar 1015'!$J:$J,'Doc Há Pagar | Rodopar 1015'!$A:$A,$B401&amp;$E401&amp;$F401,'Doc Há Pagar | Rodopar 1015'!$B:$B,V$1)</f>
        <v>0</v>
      </c>
      <c r="W401" s="20">
        <f>SUMIFS('Doc''s Pagos | Rodopar 108'!$J:$J,'Doc''s Pagos | Rodopar 108'!$A:$A,$B401&amp;$E401&amp;$F401&amp;$J401,'Doc''s Pagos | Rodopar 108'!$B:$B,W$1)+SUMIFS('Doc Há Pagar | Rodopar 1015'!$J:$J,'Doc Há Pagar | Rodopar 1015'!$A:$A,$B401&amp;$E401&amp;$F401,'Doc Há Pagar | Rodopar 1015'!$B:$B,W$1)</f>
        <v>0</v>
      </c>
      <c r="X401" s="20">
        <f>SUMIFS('Doc''s Pagos | Rodopar 108'!$J:$J,'Doc''s Pagos | Rodopar 108'!$A:$A,$B401&amp;$E401&amp;$F401&amp;$J401,'Doc''s Pagos | Rodopar 108'!$B:$B,X$1)+SUMIFS('Doc Há Pagar | Rodopar 1015'!$J:$J,'Doc Há Pagar | Rodopar 1015'!$A:$A,$B401&amp;$E401&amp;$F401,'Doc Há Pagar | Rodopar 1015'!$B:$B,X$1)</f>
        <v>0</v>
      </c>
      <c r="Y401" s="20">
        <f>SUMIFS('Doc''s Pagos | Rodopar 108'!$J:$J,'Doc''s Pagos | Rodopar 108'!$A:$A,$B401&amp;$E401&amp;$F401&amp;$J401,'Doc''s Pagos | Rodopar 108'!$B:$B,Y$1)+SUMIFS('Doc Há Pagar | Rodopar 1015'!$J:$J,'Doc Há Pagar | Rodopar 1015'!$A:$A,$B401&amp;$E401&amp;$F401,'Doc Há Pagar | Rodopar 1015'!$B:$B,Y$1)</f>
        <v>0</v>
      </c>
      <c r="Z401" s="20">
        <f>SUMIFS('Doc''s Pagos | Rodopar 108'!$J:$J,'Doc''s Pagos | Rodopar 108'!$A:$A,$B401&amp;$E401&amp;$F401&amp;$J401,'Doc''s Pagos | Rodopar 108'!$B:$B,Z$1)+SUMIFS('Doc Há Pagar | Rodopar 1015'!$J:$J,'Doc Há Pagar | Rodopar 1015'!$A:$A,$B401&amp;$E401&amp;$F401,'Doc Há Pagar | Rodopar 1015'!$B:$B,Z$1)</f>
        <v>0</v>
      </c>
      <c r="AA401" s="20">
        <f>SUMIFS('Doc''s Pagos | Rodopar 108'!$J:$J,'Doc''s Pagos | Rodopar 108'!$A:$A,$B401&amp;$E401&amp;$F401&amp;$J401,'Doc''s Pagos | Rodopar 108'!$B:$B,AA$1)+SUMIFS('Doc Há Pagar | Rodopar 1015'!$J:$J,'Doc Há Pagar | Rodopar 1015'!$A:$A,$B401&amp;$E401&amp;$F401,'Doc Há Pagar | Rodopar 1015'!$B:$B,AA$1)</f>
        <v>1450</v>
      </c>
      <c r="AB401" s="20">
        <f>SUMIFS('Doc''s Pagos | Rodopar 108'!$J:$J,'Doc''s Pagos | Rodopar 108'!$A:$A,$B401&amp;$E401&amp;$F401&amp;$J401,'Doc''s Pagos | Rodopar 108'!$B:$B,AB$1)+SUMIFS('Doc Há Pagar | Rodopar 1015'!$J:$J,'Doc Há Pagar | Rodopar 1015'!$A:$A,$B401&amp;$E401&amp;$F401,'Doc Há Pagar | Rodopar 1015'!$B:$B,AB$1)</f>
        <v>0</v>
      </c>
      <c r="AC401" s="20">
        <f>SUMIFS('Doc''s Pagos | Rodopar 108'!$J:$J,'Doc''s Pagos | Rodopar 108'!$A:$A,$B401&amp;$E401&amp;$F401&amp;$J401,'Doc''s Pagos | Rodopar 108'!$B:$B,AC$1)+SUMIFS('Doc Há Pagar | Rodopar 1015'!$J:$J,'Doc Há Pagar | Rodopar 1015'!$A:$A,$B401&amp;$E401&amp;$F401,'Doc Há Pagar | Rodopar 1015'!$B:$B,AC$1)</f>
        <v>0</v>
      </c>
      <c r="AD401" s="20">
        <f>SUMIFS('Doc''s Pagos | Rodopar 108'!$J:$J,'Doc''s Pagos | Rodopar 108'!$A:$A,$B401&amp;$E401&amp;$F401&amp;$J401,'Doc''s Pagos | Rodopar 108'!$B:$B,AD$1)+SUMIFS('Doc Há Pagar | Rodopar 1015'!$J:$J,'Doc Há Pagar | Rodopar 1015'!$A:$A,$B401&amp;$E401&amp;$F401,'Doc Há Pagar | Rodopar 1015'!$B:$B,AD$1)</f>
        <v>0</v>
      </c>
    </row>
    <row r="402" spans="1:30" x14ac:dyDescent="0.25">
      <c r="A402" s="1" t="str">
        <f>VLOOKUP($E402,Fornecedores!$A:$C,3,0)</f>
        <v>Frota</v>
      </c>
      <c r="B402" s="14">
        <v>356</v>
      </c>
      <c r="C402" s="14" t="str">
        <f>IFERROR(VLOOKUP($E402,Fornecedores!$A:$E,4,0),"")</f>
        <v>Sinistro</v>
      </c>
      <c r="D402" s="14" t="str">
        <f>IFERROR(VLOOKUP($E402,Fornecedores!$A:$E,5,0),"")</f>
        <v>Guincho</v>
      </c>
      <c r="E402" s="8" t="s">
        <v>206</v>
      </c>
      <c r="F402" s="14" t="s">
        <v>614</v>
      </c>
      <c r="G402" s="8" t="s">
        <v>646</v>
      </c>
      <c r="H402" s="9">
        <v>87</v>
      </c>
      <c r="I402" s="21">
        <v>450</v>
      </c>
      <c r="J402" s="11">
        <v>46260</v>
      </c>
      <c r="K402" s="11">
        <v>46261</v>
      </c>
      <c r="L402" s="8" t="s">
        <v>282</v>
      </c>
      <c r="M402" s="14" t="s">
        <v>234</v>
      </c>
      <c r="N402" s="16">
        <v>1556</v>
      </c>
      <c r="O402" s="14" t="s">
        <v>250</v>
      </c>
      <c r="P402" s="14"/>
      <c r="Q402" s="20">
        <f t="shared" si="6"/>
        <v>0</v>
      </c>
      <c r="S402" s="20">
        <f>SUMIFS('Doc''s Pagos | Rodopar 108'!$J:$J,'Doc''s Pagos | Rodopar 108'!$A:$A,$B402&amp;$E402&amp;$F402&amp;$J402,'Doc''s Pagos | Rodopar 108'!$B:$B,S$1)+SUMIFS('Doc Há Pagar | Rodopar 1015'!$J:$J,'Doc Há Pagar | Rodopar 1015'!$A:$A,$B402&amp;$E402&amp;$F402,'Doc Há Pagar | Rodopar 1015'!$B:$B,S$1)</f>
        <v>0</v>
      </c>
      <c r="T402" s="20">
        <f>SUMIFS('Doc''s Pagos | Rodopar 108'!$J:$J,'Doc''s Pagos | Rodopar 108'!$A:$A,$B402&amp;$E402&amp;$F402&amp;$J402,'Doc''s Pagos | Rodopar 108'!$B:$B,T$1)+SUMIFS('Doc Há Pagar | Rodopar 1015'!$J:$J,'Doc Há Pagar | Rodopar 1015'!$A:$A,$B402&amp;$E402&amp;$F402,'Doc Há Pagar | Rodopar 1015'!$B:$B,T$1)</f>
        <v>0</v>
      </c>
      <c r="U402" s="20">
        <f>SUMIFS('Doc''s Pagos | Rodopar 108'!$J:$J,'Doc''s Pagos | Rodopar 108'!$A:$A,$B402&amp;$E402&amp;$F402&amp;$J402,'Doc''s Pagos | Rodopar 108'!$B:$B,U$1)+SUMIFS('Doc Há Pagar | Rodopar 1015'!$J:$J,'Doc Há Pagar | Rodopar 1015'!$A:$A,$B402&amp;$E402&amp;$F402,'Doc Há Pagar | Rodopar 1015'!$B:$B,U$1)</f>
        <v>0</v>
      </c>
      <c r="V402" s="20">
        <f>SUMIFS('Doc''s Pagos | Rodopar 108'!$J:$J,'Doc''s Pagos | Rodopar 108'!$A:$A,$B402&amp;$E402&amp;$F402&amp;$J402,'Doc''s Pagos | Rodopar 108'!$B:$B,V$1)+SUMIFS('Doc Há Pagar | Rodopar 1015'!$J:$J,'Doc Há Pagar | Rodopar 1015'!$A:$A,$B402&amp;$E402&amp;$F402,'Doc Há Pagar | Rodopar 1015'!$B:$B,V$1)</f>
        <v>0</v>
      </c>
      <c r="W402" s="20">
        <f>SUMIFS('Doc''s Pagos | Rodopar 108'!$J:$J,'Doc''s Pagos | Rodopar 108'!$A:$A,$B402&amp;$E402&amp;$F402&amp;$J402,'Doc''s Pagos | Rodopar 108'!$B:$B,W$1)+SUMIFS('Doc Há Pagar | Rodopar 1015'!$J:$J,'Doc Há Pagar | Rodopar 1015'!$A:$A,$B402&amp;$E402&amp;$F402,'Doc Há Pagar | Rodopar 1015'!$B:$B,W$1)</f>
        <v>0</v>
      </c>
      <c r="X402" s="20">
        <f>SUMIFS('Doc''s Pagos | Rodopar 108'!$J:$J,'Doc''s Pagos | Rodopar 108'!$A:$A,$B402&amp;$E402&amp;$F402&amp;$J402,'Doc''s Pagos | Rodopar 108'!$B:$B,X$1)+SUMIFS('Doc Há Pagar | Rodopar 1015'!$J:$J,'Doc Há Pagar | Rodopar 1015'!$A:$A,$B402&amp;$E402&amp;$F402,'Doc Há Pagar | Rodopar 1015'!$B:$B,X$1)</f>
        <v>0</v>
      </c>
      <c r="Y402" s="20">
        <f>SUMIFS('Doc''s Pagos | Rodopar 108'!$J:$J,'Doc''s Pagos | Rodopar 108'!$A:$A,$B402&amp;$E402&amp;$F402&amp;$J402,'Doc''s Pagos | Rodopar 108'!$B:$B,Y$1)+SUMIFS('Doc Há Pagar | Rodopar 1015'!$J:$J,'Doc Há Pagar | Rodopar 1015'!$A:$A,$B402&amp;$E402&amp;$F402,'Doc Há Pagar | Rodopar 1015'!$B:$B,Y$1)</f>
        <v>0</v>
      </c>
      <c r="Z402" s="20">
        <f>SUMIFS('Doc''s Pagos | Rodopar 108'!$J:$J,'Doc''s Pagos | Rodopar 108'!$A:$A,$B402&amp;$E402&amp;$F402&amp;$J402,'Doc''s Pagos | Rodopar 108'!$B:$B,Z$1)+SUMIFS('Doc Há Pagar | Rodopar 1015'!$J:$J,'Doc Há Pagar | Rodopar 1015'!$A:$A,$B402&amp;$E402&amp;$F402,'Doc Há Pagar | Rodopar 1015'!$B:$B,Z$1)</f>
        <v>0</v>
      </c>
      <c r="AA402" s="20">
        <f>SUMIFS('Doc''s Pagos | Rodopar 108'!$J:$J,'Doc''s Pagos | Rodopar 108'!$A:$A,$B402&amp;$E402&amp;$F402&amp;$J402,'Doc''s Pagos | Rodopar 108'!$B:$B,AA$1)+SUMIFS('Doc Há Pagar | Rodopar 1015'!$J:$J,'Doc Há Pagar | Rodopar 1015'!$A:$A,$B402&amp;$E402&amp;$F402,'Doc Há Pagar | Rodopar 1015'!$B:$B,AA$1)</f>
        <v>450</v>
      </c>
      <c r="AB402" s="20">
        <f>SUMIFS('Doc''s Pagos | Rodopar 108'!$J:$J,'Doc''s Pagos | Rodopar 108'!$A:$A,$B402&amp;$E402&amp;$F402&amp;$J402,'Doc''s Pagos | Rodopar 108'!$B:$B,AB$1)+SUMIFS('Doc Há Pagar | Rodopar 1015'!$J:$J,'Doc Há Pagar | Rodopar 1015'!$A:$A,$B402&amp;$E402&amp;$F402,'Doc Há Pagar | Rodopar 1015'!$B:$B,AB$1)</f>
        <v>0</v>
      </c>
      <c r="AC402" s="20">
        <f>SUMIFS('Doc''s Pagos | Rodopar 108'!$J:$J,'Doc''s Pagos | Rodopar 108'!$A:$A,$B402&amp;$E402&amp;$F402&amp;$J402,'Doc''s Pagos | Rodopar 108'!$B:$B,AC$1)+SUMIFS('Doc Há Pagar | Rodopar 1015'!$J:$J,'Doc Há Pagar | Rodopar 1015'!$A:$A,$B402&amp;$E402&amp;$F402,'Doc Há Pagar | Rodopar 1015'!$B:$B,AC$1)</f>
        <v>0</v>
      </c>
      <c r="AD402" s="20">
        <f>SUMIFS('Doc''s Pagos | Rodopar 108'!$J:$J,'Doc''s Pagos | Rodopar 108'!$A:$A,$B402&amp;$E402&amp;$F402&amp;$J402,'Doc''s Pagos | Rodopar 108'!$B:$B,AD$1)+SUMIFS('Doc Há Pagar | Rodopar 1015'!$J:$J,'Doc Há Pagar | Rodopar 1015'!$A:$A,$B402&amp;$E402&amp;$F402,'Doc Há Pagar | Rodopar 1015'!$B:$B,AD$1)</f>
        <v>0</v>
      </c>
    </row>
    <row r="403" spans="1:30" x14ac:dyDescent="0.25">
      <c r="A403" s="1" t="str">
        <f>VLOOKUP($E403,Fornecedores!$A:$C,3,0)</f>
        <v>Frota</v>
      </c>
      <c r="B403" s="14">
        <v>81</v>
      </c>
      <c r="C403" s="14" t="str">
        <f>IFERROR(VLOOKUP($E403,Fornecedores!$A:$E,4,0),"")</f>
        <v>Manutenção</v>
      </c>
      <c r="D403" s="14" t="str">
        <f>IFERROR(VLOOKUP($E403,Fornecedores!$A:$E,5,0),"")</f>
        <v>Vans</v>
      </c>
      <c r="E403" s="8" t="s">
        <v>205</v>
      </c>
      <c r="F403" s="14" t="s">
        <v>614</v>
      </c>
      <c r="G403" s="8" t="s">
        <v>485</v>
      </c>
      <c r="H403" s="9">
        <v>87</v>
      </c>
      <c r="I403" s="21">
        <v>249</v>
      </c>
      <c r="J403" s="11">
        <v>46260</v>
      </c>
      <c r="K403" s="11">
        <v>46261</v>
      </c>
      <c r="L403" s="8" t="s">
        <v>282</v>
      </c>
      <c r="M403" s="14" t="s">
        <v>234</v>
      </c>
      <c r="N403" s="16">
        <v>1556</v>
      </c>
      <c r="O403" s="14" t="s">
        <v>250</v>
      </c>
      <c r="P403" s="14"/>
      <c r="Q403" s="20">
        <f t="shared" si="6"/>
        <v>0</v>
      </c>
      <c r="S403" s="20">
        <f>SUMIFS('Doc''s Pagos | Rodopar 108'!$J:$J,'Doc''s Pagos | Rodopar 108'!$A:$A,$B403&amp;$E403&amp;$F403&amp;$J403,'Doc''s Pagos | Rodopar 108'!$B:$B,S$1)+SUMIFS('Doc Há Pagar | Rodopar 1015'!$J:$J,'Doc Há Pagar | Rodopar 1015'!$A:$A,$B403&amp;$E403&amp;$F403,'Doc Há Pagar | Rodopar 1015'!$B:$B,S$1)</f>
        <v>0</v>
      </c>
      <c r="T403" s="20">
        <f>SUMIFS('Doc''s Pagos | Rodopar 108'!$J:$J,'Doc''s Pagos | Rodopar 108'!$A:$A,$B403&amp;$E403&amp;$F403&amp;$J403,'Doc''s Pagos | Rodopar 108'!$B:$B,T$1)+SUMIFS('Doc Há Pagar | Rodopar 1015'!$J:$J,'Doc Há Pagar | Rodopar 1015'!$A:$A,$B403&amp;$E403&amp;$F403,'Doc Há Pagar | Rodopar 1015'!$B:$B,T$1)</f>
        <v>0</v>
      </c>
      <c r="U403" s="20">
        <f>SUMIFS('Doc''s Pagos | Rodopar 108'!$J:$J,'Doc''s Pagos | Rodopar 108'!$A:$A,$B403&amp;$E403&amp;$F403&amp;$J403,'Doc''s Pagos | Rodopar 108'!$B:$B,U$1)+SUMIFS('Doc Há Pagar | Rodopar 1015'!$J:$J,'Doc Há Pagar | Rodopar 1015'!$A:$A,$B403&amp;$E403&amp;$F403,'Doc Há Pagar | Rodopar 1015'!$B:$B,U$1)</f>
        <v>0</v>
      </c>
      <c r="V403" s="20">
        <f>SUMIFS('Doc''s Pagos | Rodopar 108'!$J:$J,'Doc''s Pagos | Rodopar 108'!$A:$A,$B403&amp;$E403&amp;$F403&amp;$J403,'Doc''s Pagos | Rodopar 108'!$B:$B,V$1)+SUMIFS('Doc Há Pagar | Rodopar 1015'!$J:$J,'Doc Há Pagar | Rodopar 1015'!$A:$A,$B403&amp;$E403&amp;$F403,'Doc Há Pagar | Rodopar 1015'!$B:$B,V$1)</f>
        <v>0</v>
      </c>
      <c r="W403" s="20">
        <f>SUMIFS('Doc''s Pagos | Rodopar 108'!$J:$J,'Doc''s Pagos | Rodopar 108'!$A:$A,$B403&amp;$E403&amp;$F403&amp;$J403,'Doc''s Pagos | Rodopar 108'!$B:$B,W$1)+SUMIFS('Doc Há Pagar | Rodopar 1015'!$J:$J,'Doc Há Pagar | Rodopar 1015'!$A:$A,$B403&amp;$E403&amp;$F403,'Doc Há Pagar | Rodopar 1015'!$B:$B,W$1)</f>
        <v>0</v>
      </c>
      <c r="X403" s="20">
        <f>SUMIFS('Doc''s Pagos | Rodopar 108'!$J:$J,'Doc''s Pagos | Rodopar 108'!$A:$A,$B403&amp;$E403&amp;$F403&amp;$J403,'Doc''s Pagos | Rodopar 108'!$B:$B,X$1)+SUMIFS('Doc Há Pagar | Rodopar 1015'!$J:$J,'Doc Há Pagar | Rodopar 1015'!$A:$A,$B403&amp;$E403&amp;$F403,'Doc Há Pagar | Rodopar 1015'!$B:$B,X$1)</f>
        <v>0</v>
      </c>
      <c r="Y403" s="20">
        <f>SUMIFS('Doc''s Pagos | Rodopar 108'!$J:$J,'Doc''s Pagos | Rodopar 108'!$A:$A,$B403&amp;$E403&amp;$F403&amp;$J403,'Doc''s Pagos | Rodopar 108'!$B:$B,Y$1)+SUMIFS('Doc Há Pagar | Rodopar 1015'!$J:$J,'Doc Há Pagar | Rodopar 1015'!$A:$A,$B403&amp;$E403&amp;$F403,'Doc Há Pagar | Rodopar 1015'!$B:$B,Y$1)</f>
        <v>0</v>
      </c>
      <c r="Z403" s="20">
        <f>SUMIFS('Doc''s Pagos | Rodopar 108'!$J:$J,'Doc''s Pagos | Rodopar 108'!$A:$A,$B403&amp;$E403&amp;$F403&amp;$J403,'Doc''s Pagos | Rodopar 108'!$B:$B,Z$1)+SUMIFS('Doc Há Pagar | Rodopar 1015'!$J:$J,'Doc Há Pagar | Rodopar 1015'!$A:$A,$B403&amp;$E403&amp;$F403,'Doc Há Pagar | Rodopar 1015'!$B:$B,Z$1)</f>
        <v>0</v>
      </c>
      <c r="AA403" s="20">
        <f>SUMIFS('Doc''s Pagos | Rodopar 108'!$J:$J,'Doc''s Pagos | Rodopar 108'!$A:$A,$B403&amp;$E403&amp;$F403&amp;$J403,'Doc''s Pagos | Rodopar 108'!$B:$B,AA$1)+SUMIFS('Doc Há Pagar | Rodopar 1015'!$J:$J,'Doc Há Pagar | Rodopar 1015'!$A:$A,$B403&amp;$E403&amp;$F403,'Doc Há Pagar | Rodopar 1015'!$B:$B,AA$1)</f>
        <v>249</v>
      </c>
      <c r="AB403" s="20">
        <f>SUMIFS('Doc''s Pagos | Rodopar 108'!$J:$J,'Doc''s Pagos | Rodopar 108'!$A:$A,$B403&amp;$E403&amp;$F403&amp;$J403,'Doc''s Pagos | Rodopar 108'!$B:$B,AB$1)+SUMIFS('Doc Há Pagar | Rodopar 1015'!$J:$J,'Doc Há Pagar | Rodopar 1015'!$A:$A,$B403&amp;$E403&amp;$F403,'Doc Há Pagar | Rodopar 1015'!$B:$B,AB$1)</f>
        <v>0</v>
      </c>
      <c r="AC403" s="20">
        <f>SUMIFS('Doc''s Pagos | Rodopar 108'!$J:$J,'Doc''s Pagos | Rodopar 108'!$A:$A,$B403&amp;$E403&amp;$F403&amp;$J403,'Doc''s Pagos | Rodopar 108'!$B:$B,AC$1)+SUMIFS('Doc Há Pagar | Rodopar 1015'!$J:$J,'Doc Há Pagar | Rodopar 1015'!$A:$A,$B403&amp;$E403&amp;$F403,'Doc Há Pagar | Rodopar 1015'!$B:$B,AC$1)</f>
        <v>0</v>
      </c>
      <c r="AD403" s="20">
        <f>SUMIFS('Doc''s Pagos | Rodopar 108'!$J:$J,'Doc''s Pagos | Rodopar 108'!$A:$A,$B403&amp;$E403&amp;$F403&amp;$J403,'Doc''s Pagos | Rodopar 108'!$B:$B,AD$1)+SUMIFS('Doc Há Pagar | Rodopar 1015'!$J:$J,'Doc Há Pagar | Rodopar 1015'!$A:$A,$B403&amp;$E403&amp;$F403,'Doc Há Pagar | Rodopar 1015'!$B:$B,AD$1)</f>
        <v>0</v>
      </c>
    </row>
    <row r="404" spans="1:30" x14ac:dyDescent="0.25">
      <c r="A404" s="1" t="str">
        <f>VLOOKUP($E404,Fornecedores!$A:$C,3,0)</f>
        <v>Frota</v>
      </c>
      <c r="B404" s="14">
        <v>191085</v>
      </c>
      <c r="C404" s="14" t="str">
        <f>IFERROR(VLOOKUP($E404,Fornecedores!$A:$E,4,0),"")</f>
        <v>Manutenção</v>
      </c>
      <c r="D404" s="14" t="str">
        <f>IFERROR(VLOOKUP($E404,Fornecedores!$A:$E,5,0),"")</f>
        <v>Vans</v>
      </c>
      <c r="E404" s="8" t="s">
        <v>132</v>
      </c>
      <c r="F404" s="14" t="s">
        <v>380</v>
      </c>
      <c r="G404" s="8" t="s">
        <v>434</v>
      </c>
      <c r="H404" s="9">
        <v>87</v>
      </c>
      <c r="I404" s="21">
        <v>2083.4</v>
      </c>
      <c r="J404" s="11">
        <v>46262</v>
      </c>
      <c r="K404" s="11">
        <v>46266</v>
      </c>
      <c r="L404" s="8" t="s">
        <v>435</v>
      </c>
      <c r="M404" s="14" t="s">
        <v>234</v>
      </c>
      <c r="N404" s="16">
        <v>1556</v>
      </c>
      <c r="O404" s="14" t="s">
        <v>250</v>
      </c>
      <c r="P404" s="14"/>
      <c r="Q404" s="20">
        <f t="shared" si="6"/>
        <v>0</v>
      </c>
      <c r="S404" s="20">
        <f>SUMIFS('Doc''s Pagos | Rodopar 108'!$J:$J,'Doc''s Pagos | Rodopar 108'!$A:$A,$B404&amp;$E404&amp;$F404&amp;$J404,'Doc''s Pagos | Rodopar 108'!$B:$B,S$1)+SUMIFS('Doc Há Pagar | Rodopar 1015'!$J:$J,'Doc Há Pagar | Rodopar 1015'!$A:$A,$B404&amp;$E404&amp;$F404,'Doc Há Pagar | Rodopar 1015'!$B:$B,S$1)</f>
        <v>0</v>
      </c>
      <c r="T404" s="20">
        <f>SUMIFS('Doc''s Pagos | Rodopar 108'!$J:$J,'Doc''s Pagos | Rodopar 108'!$A:$A,$B404&amp;$E404&amp;$F404&amp;$J404,'Doc''s Pagos | Rodopar 108'!$B:$B,T$1)+SUMIFS('Doc Há Pagar | Rodopar 1015'!$J:$J,'Doc Há Pagar | Rodopar 1015'!$A:$A,$B404&amp;$E404&amp;$F404,'Doc Há Pagar | Rodopar 1015'!$B:$B,T$1)</f>
        <v>0</v>
      </c>
      <c r="U404" s="20">
        <f>SUMIFS('Doc''s Pagos | Rodopar 108'!$J:$J,'Doc''s Pagos | Rodopar 108'!$A:$A,$B404&amp;$E404&amp;$F404&amp;$J404,'Doc''s Pagos | Rodopar 108'!$B:$B,U$1)+SUMIFS('Doc Há Pagar | Rodopar 1015'!$J:$J,'Doc Há Pagar | Rodopar 1015'!$A:$A,$B404&amp;$E404&amp;$F404,'Doc Há Pagar | Rodopar 1015'!$B:$B,U$1)</f>
        <v>0</v>
      </c>
      <c r="V404" s="20">
        <f>SUMIFS('Doc''s Pagos | Rodopar 108'!$J:$J,'Doc''s Pagos | Rodopar 108'!$A:$A,$B404&amp;$E404&amp;$F404&amp;$J404,'Doc''s Pagos | Rodopar 108'!$B:$B,V$1)+SUMIFS('Doc Há Pagar | Rodopar 1015'!$J:$J,'Doc Há Pagar | Rodopar 1015'!$A:$A,$B404&amp;$E404&amp;$F404,'Doc Há Pagar | Rodopar 1015'!$B:$B,V$1)</f>
        <v>0</v>
      </c>
      <c r="W404" s="20">
        <f>SUMIFS('Doc''s Pagos | Rodopar 108'!$J:$J,'Doc''s Pagos | Rodopar 108'!$A:$A,$B404&amp;$E404&amp;$F404&amp;$J404,'Doc''s Pagos | Rodopar 108'!$B:$B,W$1)+SUMIFS('Doc Há Pagar | Rodopar 1015'!$J:$J,'Doc Há Pagar | Rodopar 1015'!$A:$A,$B404&amp;$E404&amp;$F404,'Doc Há Pagar | Rodopar 1015'!$B:$B,W$1)</f>
        <v>0</v>
      </c>
      <c r="X404" s="20">
        <f>SUMIFS('Doc''s Pagos | Rodopar 108'!$J:$J,'Doc''s Pagos | Rodopar 108'!$A:$A,$B404&amp;$E404&amp;$F404&amp;$J404,'Doc''s Pagos | Rodopar 108'!$B:$B,X$1)+SUMIFS('Doc Há Pagar | Rodopar 1015'!$J:$J,'Doc Há Pagar | Rodopar 1015'!$A:$A,$B404&amp;$E404&amp;$F404,'Doc Há Pagar | Rodopar 1015'!$B:$B,X$1)</f>
        <v>0</v>
      </c>
      <c r="Y404" s="20">
        <f>SUMIFS('Doc''s Pagos | Rodopar 108'!$J:$J,'Doc''s Pagos | Rodopar 108'!$A:$A,$B404&amp;$E404&amp;$F404&amp;$J404,'Doc''s Pagos | Rodopar 108'!$B:$B,Y$1)+SUMIFS('Doc Há Pagar | Rodopar 1015'!$J:$J,'Doc Há Pagar | Rodopar 1015'!$A:$A,$B404&amp;$E404&amp;$F404,'Doc Há Pagar | Rodopar 1015'!$B:$B,Y$1)</f>
        <v>0</v>
      </c>
      <c r="Z404" s="20">
        <f>SUMIFS('Doc''s Pagos | Rodopar 108'!$J:$J,'Doc''s Pagos | Rodopar 108'!$A:$A,$B404&amp;$E404&amp;$F404&amp;$J404,'Doc''s Pagos | Rodopar 108'!$B:$B,Z$1)+SUMIFS('Doc Há Pagar | Rodopar 1015'!$J:$J,'Doc Há Pagar | Rodopar 1015'!$A:$A,$B404&amp;$E404&amp;$F404,'Doc Há Pagar | Rodopar 1015'!$B:$B,Z$1)</f>
        <v>0</v>
      </c>
      <c r="AA404" s="20">
        <f>SUMIFS('Doc''s Pagos | Rodopar 108'!$J:$J,'Doc''s Pagos | Rodopar 108'!$A:$A,$B404&amp;$E404&amp;$F404&amp;$J404,'Doc''s Pagos | Rodopar 108'!$B:$B,AA$1)+SUMIFS('Doc Há Pagar | Rodopar 1015'!$J:$J,'Doc Há Pagar | Rodopar 1015'!$A:$A,$B404&amp;$E404&amp;$F404,'Doc Há Pagar | Rodopar 1015'!$B:$B,AA$1)</f>
        <v>2083.4</v>
      </c>
      <c r="AB404" s="20">
        <f>SUMIFS('Doc''s Pagos | Rodopar 108'!$J:$J,'Doc''s Pagos | Rodopar 108'!$A:$A,$B404&amp;$E404&amp;$F404&amp;$J404,'Doc''s Pagos | Rodopar 108'!$B:$B,AB$1)+SUMIFS('Doc Há Pagar | Rodopar 1015'!$J:$J,'Doc Há Pagar | Rodopar 1015'!$A:$A,$B404&amp;$E404&amp;$F404,'Doc Há Pagar | Rodopar 1015'!$B:$B,AB$1)</f>
        <v>0</v>
      </c>
      <c r="AC404" s="20">
        <f>SUMIFS('Doc''s Pagos | Rodopar 108'!$J:$J,'Doc''s Pagos | Rodopar 108'!$A:$A,$B404&amp;$E404&amp;$F404&amp;$J404,'Doc''s Pagos | Rodopar 108'!$B:$B,AC$1)+SUMIFS('Doc Há Pagar | Rodopar 1015'!$J:$J,'Doc Há Pagar | Rodopar 1015'!$A:$A,$B404&amp;$E404&amp;$F404,'Doc Há Pagar | Rodopar 1015'!$B:$B,AC$1)</f>
        <v>0</v>
      </c>
      <c r="AD404" s="20">
        <f>SUMIFS('Doc''s Pagos | Rodopar 108'!$J:$J,'Doc''s Pagos | Rodopar 108'!$A:$A,$B404&amp;$E404&amp;$F404&amp;$J404,'Doc''s Pagos | Rodopar 108'!$B:$B,AD$1)+SUMIFS('Doc Há Pagar | Rodopar 1015'!$J:$J,'Doc Há Pagar | Rodopar 1015'!$A:$A,$B404&amp;$E404&amp;$F404,'Doc Há Pagar | Rodopar 1015'!$B:$B,AD$1)</f>
        <v>0</v>
      </c>
    </row>
    <row r="405" spans="1:30" x14ac:dyDescent="0.25">
      <c r="A405" s="1" t="str">
        <f>VLOOKUP($E405,Fornecedores!$A:$C,3,0)</f>
        <v>Frota</v>
      </c>
      <c r="B405" s="14">
        <v>41486</v>
      </c>
      <c r="C405" s="14" t="str">
        <f>IFERROR(VLOOKUP($E405,Fornecedores!$A:$E,4,0),"")</f>
        <v>Manutenção</v>
      </c>
      <c r="D405" s="14" t="str">
        <f>IFERROR(VLOOKUP($E405,Fornecedores!$A:$E,5,0),"")</f>
        <v>Vans</v>
      </c>
      <c r="E405" s="8" t="s">
        <v>133</v>
      </c>
      <c r="F405" s="14" t="s">
        <v>380</v>
      </c>
      <c r="G405" s="8" t="s">
        <v>493</v>
      </c>
      <c r="H405" s="9">
        <v>87</v>
      </c>
      <c r="I405" s="21">
        <v>1947.73</v>
      </c>
      <c r="J405" s="11">
        <v>46262</v>
      </c>
      <c r="K405" s="11">
        <v>46263</v>
      </c>
      <c r="L405" s="8" t="s">
        <v>494</v>
      </c>
      <c r="M405" s="14" t="s">
        <v>234</v>
      </c>
      <c r="N405" s="16">
        <v>1556</v>
      </c>
      <c r="O405" s="14" t="s">
        <v>250</v>
      </c>
      <c r="P405" s="14"/>
      <c r="Q405" s="20">
        <f t="shared" si="6"/>
        <v>0</v>
      </c>
      <c r="S405" s="20">
        <f>SUMIFS('Doc''s Pagos | Rodopar 108'!$J:$J,'Doc''s Pagos | Rodopar 108'!$A:$A,$B405&amp;$E405&amp;$F405&amp;$J405,'Doc''s Pagos | Rodopar 108'!$B:$B,S$1)+SUMIFS('Doc Há Pagar | Rodopar 1015'!$J:$J,'Doc Há Pagar | Rodopar 1015'!$A:$A,$B405&amp;$E405&amp;$F405,'Doc Há Pagar | Rodopar 1015'!$B:$B,S$1)</f>
        <v>0</v>
      </c>
      <c r="T405" s="20">
        <f>SUMIFS('Doc''s Pagos | Rodopar 108'!$J:$J,'Doc''s Pagos | Rodopar 108'!$A:$A,$B405&amp;$E405&amp;$F405&amp;$J405,'Doc''s Pagos | Rodopar 108'!$B:$B,T$1)+SUMIFS('Doc Há Pagar | Rodopar 1015'!$J:$J,'Doc Há Pagar | Rodopar 1015'!$A:$A,$B405&amp;$E405&amp;$F405,'Doc Há Pagar | Rodopar 1015'!$B:$B,T$1)</f>
        <v>0</v>
      </c>
      <c r="U405" s="20">
        <f>SUMIFS('Doc''s Pagos | Rodopar 108'!$J:$J,'Doc''s Pagos | Rodopar 108'!$A:$A,$B405&amp;$E405&amp;$F405&amp;$J405,'Doc''s Pagos | Rodopar 108'!$B:$B,U$1)+SUMIFS('Doc Há Pagar | Rodopar 1015'!$J:$J,'Doc Há Pagar | Rodopar 1015'!$A:$A,$B405&amp;$E405&amp;$F405,'Doc Há Pagar | Rodopar 1015'!$B:$B,U$1)</f>
        <v>0</v>
      </c>
      <c r="V405" s="20">
        <f>SUMIFS('Doc''s Pagos | Rodopar 108'!$J:$J,'Doc''s Pagos | Rodopar 108'!$A:$A,$B405&amp;$E405&amp;$F405&amp;$J405,'Doc''s Pagos | Rodopar 108'!$B:$B,V$1)+SUMIFS('Doc Há Pagar | Rodopar 1015'!$J:$J,'Doc Há Pagar | Rodopar 1015'!$A:$A,$B405&amp;$E405&amp;$F405,'Doc Há Pagar | Rodopar 1015'!$B:$B,V$1)</f>
        <v>0</v>
      </c>
      <c r="W405" s="20">
        <f>SUMIFS('Doc''s Pagos | Rodopar 108'!$J:$J,'Doc''s Pagos | Rodopar 108'!$A:$A,$B405&amp;$E405&amp;$F405&amp;$J405,'Doc''s Pagos | Rodopar 108'!$B:$B,W$1)+SUMIFS('Doc Há Pagar | Rodopar 1015'!$J:$J,'Doc Há Pagar | Rodopar 1015'!$A:$A,$B405&amp;$E405&amp;$F405,'Doc Há Pagar | Rodopar 1015'!$B:$B,W$1)</f>
        <v>0</v>
      </c>
      <c r="X405" s="20">
        <f>SUMIFS('Doc''s Pagos | Rodopar 108'!$J:$J,'Doc''s Pagos | Rodopar 108'!$A:$A,$B405&amp;$E405&amp;$F405&amp;$J405,'Doc''s Pagos | Rodopar 108'!$B:$B,X$1)+SUMIFS('Doc Há Pagar | Rodopar 1015'!$J:$J,'Doc Há Pagar | Rodopar 1015'!$A:$A,$B405&amp;$E405&amp;$F405,'Doc Há Pagar | Rodopar 1015'!$B:$B,X$1)</f>
        <v>0</v>
      </c>
      <c r="Y405" s="20">
        <f>SUMIFS('Doc''s Pagos | Rodopar 108'!$J:$J,'Doc''s Pagos | Rodopar 108'!$A:$A,$B405&amp;$E405&amp;$F405&amp;$J405,'Doc''s Pagos | Rodopar 108'!$B:$B,Y$1)+SUMIFS('Doc Há Pagar | Rodopar 1015'!$J:$J,'Doc Há Pagar | Rodopar 1015'!$A:$A,$B405&amp;$E405&amp;$F405,'Doc Há Pagar | Rodopar 1015'!$B:$B,Y$1)</f>
        <v>0</v>
      </c>
      <c r="Z405" s="20">
        <f>SUMIFS('Doc''s Pagos | Rodopar 108'!$J:$J,'Doc''s Pagos | Rodopar 108'!$A:$A,$B405&amp;$E405&amp;$F405&amp;$J405,'Doc''s Pagos | Rodopar 108'!$B:$B,Z$1)+SUMIFS('Doc Há Pagar | Rodopar 1015'!$J:$J,'Doc Há Pagar | Rodopar 1015'!$A:$A,$B405&amp;$E405&amp;$F405,'Doc Há Pagar | Rodopar 1015'!$B:$B,Z$1)</f>
        <v>0</v>
      </c>
      <c r="AA405" s="20">
        <f>SUMIFS('Doc''s Pagos | Rodopar 108'!$J:$J,'Doc''s Pagos | Rodopar 108'!$A:$A,$B405&amp;$E405&amp;$F405&amp;$J405,'Doc''s Pagos | Rodopar 108'!$B:$B,AA$1)+SUMIFS('Doc Há Pagar | Rodopar 1015'!$J:$J,'Doc Há Pagar | Rodopar 1015'!$A:$A,$B405&amp;$E405&amp;$F405,'Doc Há Pagar | Rodopar 1015'!$B:$B,AA$1)</f>
        <v>1947.73</v>
      </c>
      <c r="AB405" s="20">
        <f>SUMIFS('Doc''s Pagos | Rodopar 108'!$J:$J,'Doc''s Pagos | Rodopar 108'!$A:$A,$B405&amp;$E405&amp;$F405&amp;$J405,'Doc''s Pagos | Rodopar 108'!$B:$B,AB$1)+SUMIFS('Doc Há Pagar | Rodopar 1015'!$J:$J,'Doc Há Pagar | Rodopar 1015'!$A:$A,$B405&amp;$E405&amp;$F405,'Doc Há Pagar | Rodopar 1015'!$B:$B,AB$1)</f>
        <v>0</v>
      </c>
      <c r="AC405" s="20">
        <f>SUMIFS('Doc''s Pagos | Rodopar 108'!$J:$J,'Doc''s Pagos | Rodopar 108'!$A:$A,$B405&amp;$E405&amp;$F405&amp;$J405,'Doc''s Pagos | Rodopar 108'!$B:$B,AC$1)+SUMIFS('Doc Há Pagar | Rodopar 1015'!$J:$J,'Doc Há Pagar | Rodopar 1015'!$A:$A,$B405&amp;$E405&amp;$F405,'Doc Há Pagar | Rodopar 1015'!$B:$B,AC$1)</f>
        <v>0</v>
      </c>
      <c r="AD405" s="20">
        <f>SUMIFS('Doc''s Pagos | Rodopar 108'!$J:$J,'Doc''s Pagos | Rodopar 108'!$A:$A,$B405&amp;$E405&amp;$F405&amp;$J405,'Doc''s Pagos | Rodopar 108'!$B:$B,AD$1)+SUMIFS('Doc Há Pagar | Rodopar 1015'!$J:$J,'Doc Há Pagar | Rodopar 1015'!$A:$A,$B405&amp;$E405&amp;$F405,'Doc Há Pagar | Rodopar 1015'!$B:$B,AD$1)</f>
        <v>0</v>
      </c>
    </row>
    <row r="406" spans="1:30" x14ac:dyDescent="0.25">
      <c r="A406" s="1" t="str">
        <f>VLOOKUP($E406,Fornecedores!$A:$C,3,0)</f>
        <v>Frota</v>
      </c>
      <c r="B406" s="14">
        <v>41488</v>
      </c>
      <c r="C406" s="14" t="str">
        <f>IFERROR(VLOOKUP($E406,Fornecedores!$A:$E,4,0),"")</f>
        <v>Manutenção</v>
      </c>
      <c r="D406" s="14" t="str">
        <f>IFERROR(VLOOKUP($E406,Fornecedores!$A:$E,5,0),"")</f>
        <v>Vans</v>
      </c>
      <c r="E406" s="8" t="s">
        <v>133</v>
      </c>
      <c r="F406" s="14" t="s">
        <v>380</v>
      </c>
      <c r="G406" s="8" t="s">
        <v>493</v>
      </c>
      <c r="H406" s="9">
        <v>87</v>
      </c>
      <c r="I406" s="21">
        <v>5964.99</v>
      </c>
      <c r="J406" s="11">
        <v>46262</v>
      </c>
      <c r="K406" s="11">
        <v>46263</v>
      </c>
      <c r="L406" s="8" t="s">
        <v>494</v>
      </c>
      <c r="M406" s="14" t="s">
        <v>234</v>
      </c>
      <c r="N406" s="16">
        <v>1556</v>
      </c>
      <c r="O406" s="14" t="s">
        <v>250</v>
      </c>
      <c r="P406" s="14"/>
      <c r="Q406" s="20">
        <f t="shared" si="6"/>
        <v>0</v>
      </c>
      <c r="S406" s="20">
        <f>SUMIFS('Doc''s Pagos | Rodopar 108'!$J:$J,'Doc''s Pagos | Rodopar 108'!$A:$A,$B406&amp;$E406&amp;$F406&amp;$J406,'Doc''s Pagos | Rodopar 108'!$B:$B,S$1)+SUMIFS('Doc Há Pagar | Rodopar 1015'!$J:$J,'Doc Há Pagar | Rodopar 1015'!$A:$A,$B406&amp;$E406&amp;$F406,'Doc Há Pagar | Rodopar 1015'!$B:$B,S$1)</f>
        <v>0</v>
      </c>
      <c r="T406" s="20">
        <f>SUMIFS('Doc''s Pagos | Rodopar 108'!$J:$J,'Doc''s Pagos | Rodopar 108'!$A:$A,$B406&amp;$E406&amp;$F406&amp;$J406,'Doc''s Pagos | Rodopar 108'!$B:$B,T$1)+SUMIFS('Doc Há Pagar | Rodopar 1015'!$J:$J,'Doc Há Pagar | Rodopar 1015'!$A:$A,$B406&amp;$E406&amp;$F406,'Doc Há Pagar | Rodopar 1015'!$B:$B,T$1)</f>
        <v>0</v>
      </c>
      <c r="U406" s="20">
        <f>SUMIFS('Doc''s Pagos | Rodopar 108'!$J:$J,'Doc''s Pagos | Rodopar 108'!$A:$A,$B406&amp;$E406&amp;$F406&amp;$J406,'Doc''s Pagos | Rodopar 108'!$B:$B,U$1)+SUMIFS('Doc Há Pagar | Rodopar 1015'!$J:$J,'Doc Há Pagar | Rodopar 1015'!$A:$A,$B406&amp;$E406&amp;$F406,'Doc Há Pagar | Rodopar 1015'!$B:$B,U$1)</f>
        <v>0</v>
      </c>
      <c r="V406" s="20">
        <f>SUMIFS('Doc''s Pagos | Rodopar 108'!$J:$J,'Doc''s Pagos | Rodopar 108'!$A:$A,$B406&amp;$E406&amp;$F406&amp;$J406,'Doc''s Pagos | Rodopar 108'!$B:$B,V$1)+SUMIFS('Doc Há Pagar | Rodopar 1015'!$J:$J,'Doc Há Pagar | Rodopar 1015'!$A:$A,$B406&amp;$E406&amp;$F406,'Doc Há Pagar | Rodopar 1015'!$B:$B,V$1)</f>
        <v>0</v>
      </c>
      <c r="W406" s="20">
        <f>SUMIFS('Doc''s Pagos | Rodopar 108'!$J:$J,'Doc''s Pagos | Rodopar 108'!$A:$A,$B406&amp;$E406&amp;$F406&amp;$J406,'Doc''s Pagos | Rodopar 108'!$B:$B,W$1)+SUMIFS('Doc Há Pagar | Rodopar 1015'!$J:$J,'Doc Há Pagar | Rodopar 1015'!$A:$A,$B406&amp;$E406&amp;$F406,'Doc Há Pagar | Rodopar 1015'!$B:$B,W$1)</f>
        <v>0</v>
      </c>
      <c r="X406" s="20">
        <f>SUMIFS('Doc''s Pagos | Rodopar 108'!$J:$J,'Doc''s Pagos | Rodopar 108'!$A:$A,$B406&amp;$E406&amp;$F406&amp;$J406,'Doc''s Pagos | Rodopar 108'!$B:$B,X$1)+SUMIFS('Doc Há Pagar | Rodopar 1015'!$J:$J,'Doc Há Pagar | Rodopar 1015'!$A:$A,$B406&amp;$E406&amp;$F406,'Doc Há Pagar | Rodopar 1015'!$B:$B,X$1)</f>
        <v>0</v>
      </c>
      <c r="Y406" s="20">
        <f>SUMIFS('Doc''s Pagos | Rodopar 108'!$J:$J,'Doc''s Pagos | Rodopar 108'!$A:$A,$B406&amp;$E406&amp;$F406&amp;$J406,'Doc''s Pagos | Rodopar 108'!$B:$B,Y$1)+SUMIFS('Doc Há Pagar | Rodopar 1015'!$J:$J,'Doc Há Pagar | Rodopar 1015'!$A:$A,$B406&amp;$E406&amp;$F406,'Doc Há Pagar | Rodopar 1015'!$B:$B,Y$1)</f>
        <v>0</v>
      </c>
      <c r="Z406" s="20">
        <f>SUMIFS('Doc''s Pagos | Rodopar 108'!$J:$J,'Doc''s Pagos | Rodopar 108'!$A:$A,$B406&amp;$E406&amp;$F406&amp;$J406,'Doc''s Pagos | Rodopar 108'!$B:$B,Z$1)+SUMIFS('Doc Há Pagar | Rodopar 1015'!$J:$J,'Doc Há Pagar | Rodopar 1015'!$A:$A,$B406&amp;$E406&amp;$F406,'Doc Há Pagar | Rodopar 1015'!$B:$B,Z$1)</f>
        <v>0</v>
      </c>
      <c r="AA406" s="20">
        <f>SUMIFS('Doc''s Pagos | Rodopar 108'!$J:$J,'Doc''s Pagos | Rodopar 108'!$A:$A,$B406&amp;$E406&amp;$F406&amp;$J406,'Doc''s Pagos | Rodopar 108'!$B:$B,AA$1)+SUMIFS('Doc Há Pagar | Rodopar 1015'!$J:$J,'Doc Há Pagar | Rodopar 1015'!$A:$A,$B406&amp;$E406&amp;$F406,'Doc Há Pagar | Rodopar 1015'!$B:$B,AA$1)</f>
        <v>1988.33</v>
      </c>
      <c r="AB406" s="20">
        <f>SUMIFS('Doc''s Pagos | Rodopar 108'!$J:$J,'Doc''s Pagos | Rodopar 108'!$A:$A,$B406&amp;$E406&amp;$F406&amp;$J406,'Doc''s Pagos | Rodopar 108'!$B:$B,AB$1)+SUMIFS('Doc Há Pagar | Rodopar 1015'!$J:$J,'Doc Há Pagar | Rodopar 1015'!$A:$A,$B406&amp;$E406&amp;$F406,'Doc Há Pagar | Rodopar 1015'!$B:$B,AB$1)</f>
        <v>1988.33</v>
      </c>
      <c r="AC406" s="20">
        <f>SUMIFS('Doc''s Pagos | Rodopar 108'!$J:$J,'Doc''s Pagos | Rodopar 108'!$A:$A,$B406&amp;$E406&amp;$F406&amp;$J406,'Doc''s Pagos | Rodopar 108'!$B:$B,AC$1)+SUMIFS('Doc Há Pagar | Rodopar 1015'!$J:$J,'Doc Há Pagar | Rodopar 1015'!$A:$A,$B406&amp;$E406&amp;$F406,'Doc Há Pagar | Rodopar 1015'!$B:$B,AC$1)</f>
        <v>1988.33</v>
      </c>
      <c r="AD406" s="20">
        <f>SUMIFS('Doc''s Pagos | Rodopar 108'!$J:$J,'Doc''s Pagos | Rodopar 108'!$A:$A,$B406&amp;$E406&amp;$F406&amp;$J406,'Doc''s Pagos | Rodopar 108'!$B:$B,AD$1)+SUMIFS('Doc Há Pagar | Rodopar 1015'!$J:$J,'Doc Há Pagar | Rodopar 1015'!$A:$A,$B406&amp;$E406&amp;$F406,'Doc Há Pagar | Rodopar 1015'!$B:$B,AD$1)</f>
        <v>0</v>
      </c>
    </row>
    <row r="407" spans="1:30" x14ac:dyDescent="0.25">
      <c r="A407" s="1" t="str">
        <f>VLOOKUP($E407,Fornecedores!$A:$C,3,0)</f>
        <v>Frota</v>
      </c>
      <c r="B407" s="14">
        <v>41499</v>
      </c>
      <c r="C407" s="14" t="str">
        <f>IFERROR(VLOOKUP($E407,Fornecedores!$A:$E,4,0),"")</f>
        <v>Manutenção</v>
      </c>
      <c r="D407" s="14" t="str">
        <f>IFERROR(VLOOKUP($E407,Fornecedores!$A:$E,5,0),"")</f>
        <v>Vans</v>
      </c>
      <c r="E407" s="8" t="s">
        <v>133</v>
      </c>
      <c r="F407" s="14" t="s">
        <v>380</v>
      </c>
      <c r="G407" s="8" t="s">
        <v>493</v>
      </c>
      <c r="H407" s="9">
        <v>87</v>
      </c>
      <c r="I407" s="21">
        <v>670.33</v>
      </c>
      <c r="J407" s="11">
        <v>46262</v>
      </c>
      <c r="K407" s="11">
        <v>46263</v>
      </c>
      <c r="L407" s="8" t="s">
        <v>494</v>
      </c>
      <c r="M407" s="14" t="s">
        <v>234</v>
      </c>
      <c r="N407" s="16">
        <v>1556</v>
      </c>
      <c r="O407" s="14" t="s">
        <v>241</v>
      </c>
      <c r="P407" s="14"/>
      <c r="Q407" s="20">
        <f t="shared" si="6"/>
        <v>0</v>
      </c>
      <c r="S407" s="20">
        <f>SUMIFS('Doc''s Pagos | Rodopar 108'!$J:$J,'Doc''s Pagos | Rodopar 108'!$A:$A,$B407&amp;$E407&amp;$F407&amp;$J407,'Doc''s Pagos | Rodopar 108'!$B:$B,S$1)+SUMIFS('Doc Há Pagar | Rodopar 1015'!$J:$J,'Doc Há Pagar | Rodopar 1015'!$A:$A,$B407&amp;$E407&amp;$F407,'Doc Há Pagar | Rodopar 1015'!$B:$B,S$1)</f>
        <v>0</v>
      </c>
      <c r="T407" s="20">
        <f>SUMIFS('Doc''s Pagos | Rodopar 108'!$J:$J,'Doc''s Pagos | Rodopar 108'!$A:$A,$B407&amp;$E407&amp;$F407&amp;$J407,'Doc''s Pagos | Rodopar 108'!$B:$B,T$1)+SUMIFS('Doc Há Pagar | Rodopar 1015'!$J:$J,'Doc Há Pagar | Rodopar 1015'!$A:$A,$B407&amp;$E407&amp;$F407,'Doc Há Pagar | Rodopar 1015'!$B:$B,T$1)</f>
        <v>0</v>
      </c>
      <c r="U407" s="20">
        <f>SUMIFS('Doc''s Pagos | Rodopar 108'!$J:$J,'Doc''s Pagos | Rodopar 108'!$A:$A,$B407&amp;$E407&amp;$F407&amp;$J407,'Doc''s Pagos | Rodopar 108'!$B:$B,U$1)+SUMIFS('Doc Há Pagar | Rodopar 1015'!$J:$J,'Doc Há Pagar | Rodopar 1015'!$A:$A,$B407&amp;$E407&amp;$F407,'Doc Há Pagar | Rodopar 1015'!$B:$B,U$1)</f>
        <v>0</v>
      </c>
      <c r="V407" s="20">
        <f>SUMIFS('Doc''s Pagos | Rodopar 108'!$J:$J,'Doc''s Pagos | Rodopar 108'!$A:$A,$B407&amp;$E407&amp;$F407&amp;$J407,'Doc''s Pagos | Rodopar 108'!$B:$B,V$1)+SUMIFS('Doc Há Pagar | Rodopar 1015'!$J:$J,'Doc Há Pagar | Rodopar 1015'!$A:$A,$B407&amp;$E407&amp;$F407,'Doc Há Pagar | Rodopar 1015'!$B:$B,V$1)</f>
        <v>0</v>
      </c>
      <c r="W407" s="20">
        <f>SUMIFS('Doc''s Pagos | Rodopar 108'!$J:$J,'Doc''s Pagos | Rodopar 108'!$A:$A,$B407&amp;$E407&amp;$F407&amp;$J407,'Doc''s Pagos | Rodopar 108'!$B:$B,W$1)+SUMIFS('Doc Há Pagar | Rodopar 1015'!$J:$J,'Doc Há Pagar | Rodopar 1015'!$A:$A,$B407&amp;$E407&amp;$F407,'Doc Há Pagar | Rodopar 1015'!$B:$B,W$1)</f>
        <v>0</v>
      </c>
      <c r="X407" s="20">
        <f>SUMIFS('Doc''s Pagos | Rodopar 108'!$J:$J,'Doc''s Pagos | Rodopar 108'!$A:$A,$B407&amp;$E407&amp;$F407&amp;$J407,'Doc''s Pagos | Rodopar 108'!$B:$B,X$1)+SUMIFS('Doc Há Pagar | Rodopar 1015'!$J:$J,'Doc Há Pagar | Rodopar 1015'!$A:$A,$B407&amp;$E407&amp;$F407,'Doc Há Pagar | Rodopar 1015'!$B:$B,X$1)</f>
        <v>0</v>
      </c>
      <c r="Y407" s="20">
        <f>SUMIFS('Doc''s Pagos | Rodopar 108'!$J:$J,'Doc''s Pagos | Rodopar 108'!$A:$A,$B407&amp;$E407&amp;$F407&amp;$J407,'Doc''s Pagos | Rodopar 108'!$B:$B,Y$1)+SUMIFS('Doc Há Pagar | Rodopar 1015'!$J:$J,'Doc Há Pagar | Rodopar 1015'!$A:$A,$B407&amp;$E407&amp;$F407,'Doc Há Pagar | Rodopar 1015'!$B:$B,Y$1)</f>
        <v>0</v>
      </c>
      <c r="Z407" s="20">
        <f>SUMIFS('Doc''s Pagos | Rodopar 108'!$J:$J,'Doc''s Pagos | Rodopar 108'!$A:$A,$B407&amp;$E407&amp;$F407&amp;$J407,'Doc''s Pagos | Rodopar 108'!$B:$B,Z$1)+SUMIFS('Doc Há Pagar | Rodopar 1015'!$J:$J,'Doc Há Pagar | Rodopar 1015'!$A:$A,$B407&amp;$E407&amp;$F407,'Doc Há Pagar | Rodopar 1015'!$B:$B,Z$1)</f>
        <v>0</v>
      </c>
      <c r="AA407" s="20">
        <f>SUMIFS('Doc''s Pagos | Rodopar 108'!$J:$J,'Doc''s Pagos | Rodopar 108'!$A:$A,$B407&amp;$E407&amp;$F407&amp;$J407,'Doc''s Pagos | Rodopar 108'!$B:$B,AA$1)+SUMIFS('Doc Há Pagar | Rodopar 1015'!$J:$J,'Doc Há Pagar | Rodopar 1015'!$A:$A,$B407&amp;$E407&amp;$F407,'Doc Há Pagar | Rodopar 1015'!$B:$B,AA$1)</f>
        <v>670.33</v>
      </c>
      <c r="AB407" s="20">
        <f>SUMIFS('Doc''s Pagos | Rodopar 108'!$J:$J,'Doc''s Pagos | Rodopar 108'!$A:$A,$B407&amp;$E407&amp;$F407&amp;$J407,'Doc''s Pagos | Rodopar 108'!$B:$B,AB$1)+SUMIFS('Doc Há Pagar | Rodopar 1015'!$J:$J,'Doc Há Pagar | Rodopar 1015'!$A:$A,$B407&amp;$E407&amp;$F407,'Doc Há Pagar | Rodopar 1015'!$B:$B,AB$1)</f>
        <v>0</v>
      </c>
      <c r="AC407" s="20">
        <f>SUMIFS('Doc''s Pagos | Rodopar 108'!$J:$J,'Doc''s Pagos | Rodopar 108'!$A:$A,$B407&amp;$E407&amp;$F407&amp;$J407,'Doc''s Pagos | Rodopar 108'!$B:$B,AC$1)+SUMIFS('Doc Há Pagar | Rodopar 1015'!$J:$J,'Doc Há Pagar | Rodopar 1015'!$A:$A,$B407&amp;$E407&amp;$F407,'Doc Há Pagar | Rodopar 1015'!$B:$B,AC$1)</f>
        <v>0</v>
      </c>
      <c r="AD407" s="20">
        <f>SUMIFS('Doc''s Pagos | Rodopar 108'!$J:$J,'Doc''s Pagos | Rodopar 108'!$A:$A,$B407&amp;$E407&amp;$F407&amp;$J407,'Doc''s Pagos | Rodopar 108'!$B:$B,AD$1)+SUMIFS('Doc Há Pagar | Rodopar 1015'!$J:$J,'Doc Há Pagar | Rodopar 1015'!$A:$A,$B407&amp;$E407&amp;$F407,'Doc Há Pagar | Rodopar 1015'!$B:$B,AD$1)</f>
        <v>0</v>
      </c>
    </row>
    <row r="408" spans="1:30" x14ac:dyDescent="0.25">
      <c r="A408" s="1" t="str">
        <f>VLOOKUP($E408,Fornecedores!$A:$C,3,0)</f>
        <v>Frota</v>
      </c>
      <c r="B408" s="14">
        <v>41500</v>
      </c>
      <c r="C408" s="14" t="str">
        <f>IFERROR(VLOOKUP($E408,Fornecedores!$A:$E,4,0),"")</f>
        <v>Manutenção</v>
      </c>
      <c r="D408" s="14" t="str">
        <f>IFERROR(VLOOKUP($E408,Fornecedores!$A:$E,5,0),"")</f>
        <v>Vans</v>
      </c>
      <c r="E408" s="8" t="s">
        <v>133</v>
      </c>
      <c r="F408" s="14" t="s">
        <v>380</v>
      </c>
      <c r="G408" s="8" t="s">
        <v>493</v>
      </c>
      <c r="H408" s="9">
        <v>87</v>
      </c>
      <c r="I408" s="21">
        <v>1197.05</v>
      </c>
      <c r="J408" s="11">
        <v>46262</v>
      </c>
      <c r="K408" s="11">
        <v>46263</v>
      </c>
      <c r="L408" s="8" t="s">
        <v>494</v>
      </c>
      <c r="M408" s="14" t="s">
        <v>234</v>
      </c>
      <c r="N408" s="16">
        <v>1556</v>
      </c>
      <c r="O408" s="14" t="s">
        <v>241</v>
      </c>
      <c r="P408" s="14"/>
      <c r="Q408" s="20">
        <f t="shared" si="6"/>
        <v>0</v>
      </c>
      <c r="S408" s="20">
        <f>SUMIFS('Doc''s Pagos | Rodopar 108'!$J:$J,'Doc''s Pagos | Rodopar 108'!$A:$A,$B408&amp;$E408&amp;$F408&amp;$J408,'Doc''s Pagos | Rodopar 108'!$B:$B,S$1)+SUMIFS('Doc Há Pagar | Rodopar 1015'!$J:$J,'Doc Há Pagar | Rodopar 1015'!$A:$A,$B408&amp;$E408&amp;$F408,'Doc Há Pagar | Rodopar 1015'!$B:$B,S$1)</f>
        <v>0</v>
      </c>
      <c r="T408" s="20">
        <f>SUMIFS('Doc''s Pagos | Rodopar 108'!$J:$J,'Doc''s Pagos | Rodopar 108'!$A:$A,$B408&amp;$E408&amp;$F408&amp;$J408,'Doc''s Pagos | Rodopar 108'!$B:$B,T$1)+SUMIFS('Doc Há Pagar | Rodopar 1015'!$J:$J,'Doc Há Pagar | Rodopar 1015'!$A:$A,$B408&amp;$E408&amp;$F408,'Doc Há Pagar | Rodopar 1015'!$B:$B,T$1)</f>
        <v>0</v>
      </c>
      <c r="U408" s="20">
        <f>SUMIFS('Doc''s Pagos | Rodopar 108'!$J:$J,'Doc''s Pagos | Rodopar 108'!$A:$A,$B408&amp;$E408&amp;$F408&amp;$J408,'Doc''s Pagos | Rodopar 108'!$B:$B,U$1)+SUMIFS('Doc Há Pagar | Rodopar 1015'!$J:$J,'Doc Há Pagar | Rodopar 1015'!$A:$A,$B408&amp;$E408&amp;$F408,'Doc Há Pagar | Rodopar 1015'!$B:$B,U$1)</f>
        <v>0</v>
      </c>
      <c r="V408" s="20">
        <f>SUMIFS('Doc''s Pagos | Rodopar 108'!$J:$J,'Doc''s Pagos | Rodopar 108'!$A:$A,$B408&amp;$E408&amp;$F408&amp;$J408,'Doc''s Pagos | Rodopar 108'!$B:$B,V$1)+SUMIFS('Doc Há Pagar | Rodopar 1015'!$J:$J,'Doc Há Pagar | Rodopar 1015'!$A:$A,$B408&amp;$E408&amp;$F408,'Doc Há Pagar | Rodopar 1015'!$B:$B,V$1)</f>
        <v>0</v>
      </c>
      <c r="W408" s="20">
        <f>SUMIFS('Doc''s Pagos | Rodopar 108'!$J:$J,'Doc''s Pagos | Rodopar 108'!$A:$A,$B408&amp;$E408&amp;$F408&amp;$J408,'Doc''s Pagos | Rodopar 108'!$B:$B,W$1)+SUMIFS('Doc Há Pagar | Rodopar 1015'!$J:$J,'Doc Há Pagar | Rodopar 1015'!$A:$A,$B408&amp;$E408&amp;$F408,'Doc Há Pagar | Rodopar 1015'!$B:$B,W$1)</f>
        <v>0</v>
      </c>
      <c r="X408" s="20">
        <f>SUMIFS('Doc''s Pagos | Rodopar 108'!$J:$J,'Doc''s Pagos | Rodopar 108'!$A:$A,$B408&amp;$E408&amp;$F408&amp;$J408,'Doc''s Pagos | Rodopar 108'!$B:$B,X$1)+SUMIFS('Doc Há Pagar | Rodopar 1015'!$J:$J,'Doc Há Pagar | Rodopar 1015'!$A:$A,$B408&amp;$E408&amp;$F408,'Doc Há Pagar | Rodopar 1015'!$B:$B,X$1)</f>
        <v>0</v>
      </c>
      <c r="Y408" s="20">
        <f>SUMIFS('Doc''s Pagos | Rodopar 108'!$J:$J,'Doc''s Pagos | Rodopar 108'!$A:$A,$B408&amp;$E408&amp;$F408&amp;$J408,'Doc''s Pagos | Rodopar 108'!$B:$B,Y$1)+SUMIFS('Doc Há Pagar | Rodopar 1015'!$J:$J,'Doc Há Pagar | Rodopar 1015'!$A:$A,$B408&amp;$E408&amp;$F408,'Doc Há Pagar | Rodopar 1015'!$B:$B,Y$1)</f>
        <v>0</v>
      </c>
      <c r="Z408" s="20">
        <f>SUMIFS('Doc''s Pagos | Rodopar 108'!$J:$J,'Doc''s Pagos | Rodopar 108'!$A:$A,$B408&amp;$E408&amp;$F408&amp;$J408,'Doc''s Pagos | Rodopar 108'!$B:$B,Z$1)+SUMIFS('Doc Há Pagar | Rodopar 1015'!$J:$J,'Doc Há Pagar | Rodopar 1015'!$A:$A,$B408&amp;$E408&amp;$F408,'Doc Há Pagar | Rodopar 1015'!$B:$B,Z$1)</f>
        <v>0</v>
      </c>
      <c r="AA408" s="20">
        <f>SUMIFS('Doc''s Pagos | Rodopar 108'!$J:$J,'Doc''s Pagos | Rodopar 108'!$A:$A,$B408&amp;$E408&amp;$F408&amp;$J408,'Doc''s Pagos | Rodopar 108'!$B:$B,AA$1)+SUMIFS('Doc Há Pagar | Rodopar 1015'!$J:$J,'Doc Há Pagar | Rodopar 1015'!$A:$A,$B408&amp;$E408&amp;$F408,'Doc Há Pagar | Rodopar 1015'!$B:$B,AA$1)</f>
        <v>1197.05</v>
      </c>
      <c r="AB408" s="20">
        <f>SUMIFS('Doc''s Pagos | Rodopar 108'!$J:$J,'Doc''s Pagos | Rodopar 108'!$A:$A,$B408&amp;$E408&amp;$F408&amp;$J408,'Doc''s Pagos | Rodopar 108'!$B:$B,AB$1)+SUMIFS('Doc Há Pagar | Rodopar 1015'!$J:$J,'Doc Há Pagar | Rodopar 1015'!$A:$A,$B408&amp;$E408&amp;$F408,'Doc Há Pagar | Rodopar 1015'!$B:$B,AB$1)</f>
        <v>0</v>
      </c>
      <c r="AC408" s="20">
        <f>SUMIFS('Doc''s Pagos | Rodopar 108'!$J:$J,'Doc''s Pagos | Rodopar 108'!$A:$A,$B408&amp;$E408&amp;$F408&amp;$J408,'Doc''s Pagos | Rodopar 108'!$B:$B,AC$1)+SUMIFS('Doc Há Pagar | Rodopar 1015'!$J:$J,'Doc Há Pagar | Rodopar 1015'!$A:$A,$B408&amp;$E408&amp;$F408,'Doc Há Pagar | Rodopar 1015'!$B:$B,AC$1)</f>
        <v>0</v>
      </c>
      <c r="AD408" s="20">
        <f>SUMIFS('Doc''s Pagos | Rodopar 108'!$J:$J,'Doc''s Pagos | Rodopar 108'!$A:$A,$B408&amp;$E408&amp;$F408&amp;$J408,'Doc''s Pagos | Rodopar 108'!$B:$B,AD$1)+SUMIFS('Doc Há Pagar | Rodopar 1015'!$J:$J,'Doc Há Pagar | Rodopar 1015'!$A:$A,$B408&amp;$E408&amp;$F408,'Doc Há Pagar | Rodopar 1015'!$B:$B,AD$1)</f>
        <v>0</v>
      </c>
    </row>
    <row r="409" spans="1:30" x14ac:dyDescent="0.25">
      <c r="A409" s="1" t="str">
        <f>VLOOKUP($E409,Fornecedores!$A:$C,3,0)</f>
        <v>Frota</v>
      </c>
      <c r="B409" s="14">
        <v>41502</v>
      </c>
      <c r="C409" s="14" t="str">
        <f>IFERROR(VLOOKUP($E409,Fornecedores!$A:$E,4,0),"")</f>
        <v>Manutenção</v>
      </c>
      <c r="D409" s="14" t="str">
        <f>IFERROR(VLOOKUP($E409,Fornecedores!$A:$E,5,0),"")</f>
        <v>Vans</v>
      </c>
      <c r="E409" s="8" t="s">
        <v>133</v>
      </c>
      <c r="F409" s="14" t="s">
        <v>380</v>
      </c>
      <c r="G409" s="8" t="s">
        <v>493</v>
      </c>
      <c r="H409" s="9">
        <v>87</v>
      </c>
      <c r="I409" s="21">
        <v>305.06</v>
      </c>
      <c r="J409" s="11">
        <v>46262</v>
      </c>
      <c r="K409" s="11">
        <v>46263</v>
      </c>
      <c r="L409" s="8" t="s">
        <v>494</v>
      </c>
      <c r="M409" s="14" t="s">
        <v>234</v>
      </c>
      <c r="N409" s="16">
        <v>1556</v>
      </c>
      <c r="O409" s="14" t="s">
        <v>241</v>
      </c>
      <c r="P409" s="14"/>
      <c r="Q409" s="20">
        <f t="shared" si="6"/>
        <v>0</v>
      </c>
      <c r="S409" s="20">
        <f>SUMIFS('Doc''s Pagos | Rodopar 108'!$J:$J,'Doc''s Pagos | Rodopar 108'!$A:$A,$B409&amp;$E409&amp;$F409&amp;$J409,'Doc''s Pagos | Rodopar 108'!$B:$B,S$1)+SUMIFS('Doc Há Pagar | Rodopar 1015'!$J:$J,'Doc Há Pagar | Rodopar 1015'!$A:$A,$B409&amp;$E409&amp;$F409,'Doc Há Pagar | Rodopar 1015'!$B:$B,S$1)</f>
        <v>0</v>
      </c>
      <c r="T409" s="20">
        <f>SUMIFS('Doc''s Pagos | Rodopar 108'!$J:$J,'Doc''s Pagos | Rodopar 108'!$A:$A,$B409&amp;$E409&amp;$F409&amp;$J409,'Doc''s Pagos | Rodopar 108'!$B:$B,T$1)+SUMIFS('Doc Há Pagar | Rodopar 1015'!$J:$J,'Doc Há Pagar | Rodopar 1015'!$A:$A,$B409&amp;$E409&amp;$F409,'Doc Há Pagar | Rodopar 1015'!$B:$B,T$1)</f>
        <v>0</v>
      </c>
      <c r="U409" s="20">
        <f>SUMIFS('Doc''s Pagos | Rodopar 108'!$J:$J,'Doc''s Pagos | Rodopar 108'!$A:$A,$B409&amp;$E409&amp;$F409&amp;$J409,'Doc''s Pagos | Rodopar 108'!$B:$B,U$1)+SUMIFS('Doc Há Pagar | Rodopar 1015'!$J:$J,'Doc Há Pagar | Rodopar 1015'!$A:$A,$B409&amp;$E409&amp;$F409,'Doc Há Pagar | Rodopar 1015'!$B:$B,U$1)</f>
        <v>0</v>
      </c>
      <c r="V409" s="20">
        <f>SUMIFS('Doc''s Pagos | Rodopar 108'!$J:$J,'Doc''s Pagos | Rodopar 108'!$A:$A,$B409&amp;$E409&amp;$F409&amp;$J409,'Doc''s Pagos | Rodopar 108'!$B:$B,V$1)+SUMIFS('Doc Há Pagar | Rodopar 1015'!$J:$J,'Doc Há Pagar | Rodopar 1015'!$A:$A,$B409&amp;$E409&amp;$F409,'Doc Há Pagar | Rodopar 1015'!$B:$B,V$1)</f>
        <v>0</v>
      </c>
      <c r="W409" s="20">
        <f>SUMIFS('Doc''s Pagos | Rodopar 108'!$J:$J,'Doc''s Pagos | Rodopar 108'!$A:$A,$B409&amp;$E409&amp;$F409&amp;$J409,'Doc''s Pagos | Rodopar 108'!$B:$B,W$1)+SUMIFS('Doc Há Pagar | Rodopar 1015'!$J:$J,'Doc Há Pagar | Rodopar 1015'!$A:$A,$B409&amp;$E409&amp;$F409,'Doc Há Pagar | Rodopar 1015'!$B:$B,W$1)</f>
        <v>0</v>
      </c>
      <c r="X409" s="20">
        <f>SUMIFS('Doc''s Pagos | Rodopar 108'!$J:$J,'Doc''s Pagos | Rodopar 108'!$A:$A,$B409&amp;$E409&amp;$F409&amp;$J409,'Doc''s Pagos | Rodopar 108'!$B:$B,X$1)+SUMIFS('Doc Há Pagar | Rodopar 1015'!$J:$J,'Doc Há Pagar | Rodopar 1015'!$A:$A,$B409&amp;$E409&amp;$F409,'Doc Há Pagar | Rodopar 1015'!$B:$B,X$1)</f>
        <v>0</v>
      </c>
      <c r="Y409" s="20">
        <f>SUMIFS('Doc''s Pagos | Rodopar 108'!$J:$J,'Doc''s Pagos | Rodopar 108'!$A:$A,$B409&amp;$E409&amp;$F409&amp;$J409,'Doc''s Pagos | Rodopar 108'!$B:$B,Y$1)+SUMIFS('Doc Há Pagar | Rodopar 1015'!$J:$J,'Doc Há Pagar | Rodopar 1015'!$A:$A,$B409&amp;$E409&amp;$F409,'Doc Há Pagar | Rodopar 1015'!$B:$B,Y$1)</f>
        <v>0</v>
      </c>
      <c r="Z409" s="20">
        <f>SUMIFS('Doc''s Pagos | Rodopar 108'!$J:$J,'Doc''s Pagos | Rodopar 108'!$A:$A,$B409&amp;$E409&amp;$F409&amp;$J409,'Doc''s Pagos | Rodopar 108'!$B:$B,Z$1)+SUMIFS('Doc Há Pagar | Rodopar 1015'!$J:$J,'Doc Há Pagar | Rodopar 1015'!$A:$A,$B409&amp;$E409&amp;$F409,'Doc Há Pagar | Rodopar 1015'!$B:$B,Z$1)</f>
        <v>0</v>
      </c>
      <c r="AA409" s="20">
        <f>SUMIFS('Doc''s Pagos | Rodopar 108'!$J:$J,'Doc''s Pagos | Rodopar 108'!$A:$A,$B409&amp;$E409&amp;$F409&amp;$J409,'Doc''s Pagos | Rodopar 108'!$B:$B,AA$1)+SUMIFS('Doc Há Pagar | Rodopar 1015'!$J:$J,'Doc Há Pagar | Rodopar 1015'!$A:$A,$B409&amp;$E409&amp;$F409,'Doc Há Pagar | Rodopar 1015'!$B:$B,AA$1)</f>
        <v>305.06</v>
      </c>
      <c r="AB409" s="20">
        <f>SUMIFS('Doc''s Pagos | Rodopar 108'!$J:$J,'Doc''s Pagos | Rodopar 108'!$A:$A,$B409&amp;$E409&amp;$F409&amp;$J409,'Doc''s Pagos | Rodopar 108'!$B:$B,AB$1)+SUMIFS('Doc Há Pagar | Rodopar 1015'!$J:$J,'Doc Há Pagar | Rodopar 1015'!$A:$A,$B409&amp;$E409&amp;$F409,'Doc Há Pagar | Rodopar 1015'!$B:$B,AB$1)</f>
        <v>0</v>
      </c>
      <c r="AC409" s="20">
        <f>SUMIFS('Doc''s Pagos | Rodopar 108'!$J:$J,'Doc''s Pagos | Rodopar 108'!$A:$A,$B409&amp;$E409&amp;$F409&amp;$J409,'Doc''s Pagos | Rodopar 108'!$B:$B,AC$1)+SUMIFS('Doc Há Pagar | Rodopar 1015'!$J:$J,'Doc Há Pagar | Rodopar 1015'!$A:$A,$B409&amp;$E409&amp;$F409,'Doc Há Pagar | Rodopar 1015'!$B:$B,AC$1)</f>
        <v>0</v>
      </c>
      <c r="AD409" s="20">
        <f>SUMIFS('Doc''s Pagos | Rodopar 108'!$J:$J,'Doc''s Pagos | Rodopar 108'!$A:$A,$B409&amp;$E409&amp;$F409&amp;$J409,'Doc''s Pagos | Rodopar 108'!$B:$B,AD$1)+SUMIFS('Doc Há Pagar | Rodopar 1015'!$J:$J,'Doc Há Pagar | Rodopar 1015'!$A:$A,$B409&amp;$E409&amp;$F409,'Doc Há Pagar | Rodopar 1015'!$B:$B,AD$1)</f>
        <v>0</v>
      </c>
    </row>
    <row r="410" spans="1:30" x14ac:dyDescent="0.25">
      <c r="A410" s="1" t="str">
        <f>VLOOKUP($E410,Fornecedores!$A:$C,3,0)</f>
        <v>Frota</v>
      </c>
      <c r="B410" s="14">
        <v>2274</v>
      </c>
      <c r="C410" s="14" t="str">
        <f>IFERROR(VLOOKUP($E410,Fornecedores!$A:$E,4,0),"")</f>
        <v>Manutenção</v>
      </c>
      <c r="D410" s="14" t="str">
        <f>IFERROR(VLOOKUP($E410,Fornecedores!$A:$E,5,0),"")</f>
        <v>Vans</v>
      </c>
      <c r="E410" s="8" t="s">
        <v>133</v>
      </c>
      <c r="F410" s="14" t="s">
        <v>614</v>
      </c>
      <c r="G410" s="8" t="s">
        <v>493</v>
      </c>
      <c r="H410" s="9">
        <v>87</v>
      </c>
      <c r="I410" s="21">
        <v>2963.86</v>
      </c>
      <c r="J410" s="11">
        <v>46262</v>
      </c>
      <c r="K410" s="11">
        <v>46263</v>
      </c>
      <c r="L410" s="8" t="s">
        <v>494</v>
      </c>
      <c r="M410" s="14" t="s">
        <v>234</v>
      </c>
      <c r="N410" s="16">
        <v>1556</v>
      </c>
      <c r="O410" s="14" t="s">
        <v>250</v>
      </c>
      <c r="P410" s="14"/>
      <c r="Q410" s="20">
        <f t="shared" si="6"/>
        <v>0</v>
      </c>
      <c r="S410" s="20">
        <f>SUMIFS('Doc''s Pagos | Rodopar 108'!$J:$J,'Doc''s Pagos | Rodopar 108'!$A:$A,$B410&amp;$E410&amp;$F410&amp;$J410,'Doc''s Pagos | Rodopar 108'!$B:$B,S$1)+SUMIFS('Doc Há Pagar | Rodopar 1015'!$J:$J,'Doc Há Pagar | Rodopar 1015'!$A:$A,$B410&amp;$E410&amp;$F410,'Doc Há Pagar | Rodopar 1015'!$B:$B,S$1)</f>
        <v>0</v>
      </c>
      <c r="T410" s="20">
        <f>SUMIFS('Doc''s Pagos | Rodopar 108'!$J:$J,'Doc''s Pagos | Rodopar 108'!$A:$A,$B410&amp;$E410&amp;$F410&amp;$J410,'Doc''s Pagos | Rodopar 108'!$B:$B,T$1)+SUMIFS('Doc Há Pagar | Rodopar 1015'!$J:$J,'Doc Há Pagar | Rodopar 1015'!$A:$A,$B410&amp;$E410&amp;$F410,'Doc Há Pagar | Rodopar 1015'!$B:$B,T$1)</f>
        <v>0</v>
      </c>
      <c r="U410" s="20">
        <f>SUMIFS('Doc''s Pagos | Rodopar 108'!$J:$J,'Doc''s Pagos | Rodopar 108'!$A:$A,$B410&amp;$E410&amp;$F410&amp;$J410,'Doc''s Pagos | Rodopar 108'!$B:$B,U$1)+SUMIFS('Doc Há Pagar | Rodopar 1015'!$J:$J,'Doc Há Pagar | Rodopar 1015'!$A:$A,$B410&amp;$E410&amp;$F410,'Doc Há Pagar | Rodopar 1015'!$B:$B,U$1)</f>
        <v>0</v>
      </c>
      <c r="V410" s="20">
        <f>SUMIFS('Doc''s Pagos | Rodopar 108'!$J:$J,'Doc''s Pagos | Rodopar 108'!$A:$A,$B410&amp;$E410&amp;$F410&amp;$J410,'Doc''s Pagos | Rodopar 108'!$B:$B,V$1)+SUMIFS('Doc Há Pagar | Rodopar 1015'!$J:$J,'Doc Há Pagar | Rodopar 1015'!$A:$A,$B410&amp;$E410&amp;$F410,'Doc Há Pagar | Rodopar 1015'!$B:$B,V$1)</f>
        <v>0</v>
      </c>
      <c r="W410" s="20">
        <f>SUMIFS('Doc''s Pagos | Rodopar 108'!$J:$J,'Doc''s Pagos | Rodopar 108'!$A:$A,$B410&amp;$E410&amp;$F410&amp;$J410,'Doc''s Pagos | Rodopar 108'!$B:$B,W$1)+SUMIFS('Doc Há Pagar | Rodopar 1015'!$J:$J,'Doc Há Pagar | Rodopar 1015'!$A:$A,$B410&amp;$E410&amp;$F410,'Doc Há Pagar | Rodopar 1015'!$B:$B,W$1)</f>
        <v>0</v>
      </c>
      <c r="X410" s="20">
        <f>SUMIFS('Doc''s Pagos | Rodopar 108'!$J:$J,'Doc''s Pagos | Rodopar 108'!$A:$A,$B410&amp;$E410&amp;$F410&amp;$J410,'Doc''s Pagos | Rodopar 108'!$B:$B,X$1)+SUMIFS('Doc Há Pagar | Rodopar 1015'!$J:$J,'Doc Há Pagar | Rodopar 1015'!$A:$A,$B410&amp;$E410&amp;$F410,'Doc Há Pagar | Rodopar 1015'!$B:$B,X$1)</f>
        <v>0</v>
      </c>
      <c r="Y410" s="20">
        <f>SUMIFS('Doc''s Pagos | Rodopar 108'!$J:$J,'Doc''s Pagos | Rodopar 108'!$A:$A,$B410&amp;$E410&amp;$F410&amp;$J410,'Doc''s Pagos | Rodopar 108'!$B:$B,Y$1)+SUMIFS('Doc Há Pagar | Rodopar 1015'!$J:$J,'Doc Há Pagar | Rodopar 1015'!$A:$A,$B410&amp;$E410&amp;$F410,'Doc Há Pagar | Rodopar 1015'!$B:$B,Y$1)</f>
        <v>0</v>
      </c>
      <c r="Z410" s="20">
        <f>SUMIFS('Doc''s Pagos | Rodopar 108'!$J:$J,'Doc''s Pagos | Rodopar 108'!$A:$A,$B410&amp;$E410&amp;$F410&amp;$J410,'Doc''s Pagos | Rodopar 108'!$B:$B,Z$1)+SUMIFS('Doc Há Pagar | Rodopar 1015'!$J:$J,'Doc Há Pagar | Rodopar 1015'!$A:$A,$B410&amp;$E410&amp;$F410,'Doc Há Pagar | Rodopar 1015'!$B:$B,Z$1)</f>
        <v>0</v>
      </c>
      <c r="AA410" s="20">
        <f>SUMIFS('Doc''s Pagos | Rodopar 108'!$J:$J,'Doc''s Pagos | Rodopar 108'!$A:$A,$B410&amp;$E410&amp;$F410&amp;$J410,'Doc''s Pagos | Rodopar 108'!$B:$B,AA$1)+SUMIFS('Doc Há Pagar | Rodopar 1015'!$J:$J,'Doc Há Pagar | Rodopar 1015'!$A:$A,$B410&amp;$E410&amp;$F410,'Doc Há Pagar | Rodopar 1015'!$B:$B,AA$1)</f>
        <v>987.96</v>
      </c>
      <c r="AB410" s="20">
        <f>SUMIFS('Doc''s Pagos | Rodopar 108'!$J:$J,'Doc''s Pagos | Rodopar 108'!$A:$A,$B410&amp;$E410&amp;$F410&amp;$J410,'Doc''s Pagos | Rodopar 108'!$B:$B,AB$1)+SUMIFS('Doc Há Pagar | Rodopar 1015'!$J:$J,'Doc Há Pagar | Rodopar 1015'!$A:$A,$B410&amp;$E410&amp;$F410,'Doc Há Pagar | Rodopar 1015'!$B:$B,AB$1)</f>
        <v>987.95</v>
      </c>
      <c r="AC410" s="20">
        <f>SUMIFS('Doc''s Pagos | Rodopar 108'!$J:$J,'Doc''s Pagos | Rodopar 108'!$A:$A,$B410&amp;$E410&amp;$F410&amp;$J410,'Doc''s Pagos | Rodopar 108'!$B:$B,AC$1)+SUMIFS('Doc Há Pagar | Rodopar 1015'!$J:$J,'Doc Há Pagar | Rodopar 1015'!$A:$A,$B410&amp;$E410&amp;$F410,'Doc Há Pagar | Rodopar 1015'!$B:$B,AC$1)</f>
        <v>987.95</v>
      </c>
      <c r="AD410" s="20">
        <f>SUMIFS('Doc''s Pagos | Rodopar 108'!$J:$J,'Doc''s Pagos | Rodopar 108'!$A:$A,$B410&amp;$E410&amp;$F410&amp;$J410,'Doc''s Pagos | Rodopar 108'!$B:$B,AD$1)+SUMIFS('Doc Há Pagar | Rodopar 1015'!$J:$J,'Doc Há Pagar | Rodopar 1015'!$A:$A,$B410&amp;$E410&amp;$F410,'Doc Há Pagar | Rodopar 1015'!$B:$B,AD$1)</f>
        <v>0</v>
      </c>
    </row>
    <row r="411" spans="1:30" x14ac:dyDescent="0.25">
      <c r="A411" s="1" t="str">
        <f>VLOOKUP($E411,Fornecedores!$A:$C,3,0)</f>
        <v>Frota</v>
      </c>
      <c r="B411" s="14">
        <v>358</v>
      </c>
      <c r="C411" s="14" t="str">
        <f>IFERROR(VLOOKUP($E411,Fornecedores!$A:$E,4,0),"")</f>
        <v>Sinistro</v>
      </c>
      <c r="D411" s="14" t="str">
        <f>IFERROR(VLOOKUP($E411,Fornecedores!$A:$E,5,0),"")</f>
        <v>Guincho</v>
      </c>
      <c r="E411" s="8" t="s">
        <v>206</v>
      </c>
      <c r="F411" s="14" t="s">
        <v>614</v>
      </c>
      <c r="G411" s="8" t="s">
        <v>646</v>
      </c>
      <c r="H411" s="9">
        <v>87</v>
      </c>
      <c r="I411" s="21">
        <v>400</v>
      </c>
      <c r="J411" s="11">
        <v>46262</v>
      </c>
      <c r="K411" s="11">
        <v>46263</v>
      </c>
      <c r="L411" s="8" t="s">
        <v>282</v>
      </c>
      <c r="M411" s="14" t="s">
        <v>234</v>
      </c>
      <c r="N411" s="16">
        <v>1556</v>
      </c>
      <c r="O411" s="14" t="s">
        <v>250</v>
      </c>
      <c r="P411" s="14"/>
      <c r="Q411" s="20">
        <f t="shared" si="6"/>
        <v>0</v>
      </c>
      <c r="S411" s="20">
        <f>SUMIFS('Doc''s Pagos | Rodopar 108'!$J:$J,'Doc''s Pagos | Rodopar 108'!$A:$A,$B411&amp;$E411&amp;$F411&amp;$J411,'Doc''s Pagos | Rodopar 108'!$B:$B,S$1)+SUMIFS('Doc Há Pagar | Rodopar 1015'!$J:$J,'Doc Há Pagar | Rodopar 1015'!$A:$A,$B411&amp;$E411&amp;$F411,'Doc Há Pagar | Rodopar 1015'!$B:$B,S$1)</f>
        <v>0</v>
      </c>
      <c r="T411" s="20">
        <f>SUMIFS('Doc''s Pagos | Rodopar 108'!$J:$J,'Doc''s Pagos | Rodopar 108'!$A:$A,$B411&amp;$E411&amp;$F411&amp;$J411,'Doc''s Pagos | Rodopar 108'!$B:$B,T$1)+SUMIFS('Doc Há Pagar | Rodopar 1015'!$J:$J,'Doc Há Pagar | Rodopar 1015'!$A:$A,$B411&amp;$E411&amp;$F411,'Doc Há Pagar | Rodopar 1015'!$B:$B,T$1)</f>
        <v>0</v>
      </c>
      <c r="U411" s="20">
        <f>SUMIFS('Doc''s Pagos | Rodopar 108'!$J:$J,'Doc''s Pagos | Rodopar 108'!$A:$A,$B411&amp;$E411&amp;$F411&amp;$J411,'Doc''s Pagos | Rodopar 108'!$B:$B,U$1)+SUMIFS('Doc Há Pagar | Rodopar 1015'!$J:$J,'Doc Há Pagar | Rodopar 1015'!$A:$A,$B411&amp;$E411&amp;$F411,'Doc Há Pagar | Rodopar 1015'!$B:$B,U$1)</f>
        <v>0</v>
      </c>
      <c r="V411" s="20">
        <f>SUMIFS('Doc''s Pagos | Rodopar 108'!$J:$J,'Doc''s Pagos | Rodopar 108'!$A:$A,$B411&amp;$E411&amp;$F411&amp;$J411,'Doc''s Pagos | Rodopar 108'!$B:$B,V$1)+SUMIFS('Doc Há Pagar | Rodopar 1015'!$J:$J,'Doc Há Pagar | Rodopar 1015'!$A:$A,$B411&amp;$E411&amp;$F411,'Doc Há Pagar | Rodopar 1015'!$B:$B,V$1)</f>
        <v>0</v>
      </c>
      <c r="W411" s="20">
        <f>SUMIFS('Doc''s Pagos | Rodopar 108'!$J:$J,'Doc''s Pagos | Rodopar 108'!$A:$A,$B411&amp;$E411&amp;$F411&amp;$J411,'Doc''s Pagos | Rodopar 108'!$B:$B,W$1)+SUMIFS('Doc Há Pagar | Rodopar 1015'!$J:$J,'Doc Há Pagar | Rodopar 1015'!$A:$A,$B411&amp;$E411&amp;$F411,'Doc Há Pagar | Rodopar 1015'!$B:$B,W$1)</f>
        <v>0</v>
      </c>
      <c r="X411" s="20">
        <f>SUMIFS('Doc''s Pagos | Rodopar 108'!$J:$J,'Doc''s Pagos | Rodopar 108'!$A:$A,$B411&amp;$E411&amp;$F411&amp;$J411,'Doc''s Pagos | Rodopar 108'!$B:$B,X$1)+SUMIFS('Doc Há Pagar | Rodopar 1015'!$J:$J,'Doc Há Pagar | Rodopar 1015'!$A:$A,$B411&amp;$E411&amp;$F411,'Doc Há Pagar | Rodopar 1015'!$B:$B,X$1)</f>
        <v>0</v>
      </c>
      <c r="Y411" s="20">
        <f>SUMIFS('Doc''s Pagos | Rodopar 108'!$J:$J,'Doc''s Pagos | Rodopar 108'!$A:$A,$B411&amp;$E411&amp;$F411&amp;$J411,'Doc''s Pagos | Rodopar 108'!$B:$B,Y$1)+SUMIFS('Doc Há Pagar | Rodopar 1015'!$J:$J,'Doc Há Pagar | Rodopar 1015'!$A:$A,$B411&amp;$E411&amp;$F411,'Doc Há Pagar | Rodopar 1015'!$B:$B,Y$1)</f>
        <v>0</v>
      </c>
      <c r="Z411" s="20">
        <f>SUMIFS('Doc''s Pagos | Rodopar 108'!$J:$J,'Doc''s Pagos | Rodopar 108'!$A:$A,$B411&amp;$E411&amp;$F411&amp;$J411,'Doc''s Pagos | Rodopar 108'!$B:$B,Z$1)+SUMIFS('Doc Há Pagar | Rodopar 1015'!$J:$J,'Doc Há Pagar | Rodopar 1015'!$A:$A,$B411&amp;$E411&amp;$F411,'Doc Há Pagar | Rodopar 1015'!$B:$B,Z$1)</f>
        <v>0</v>
      </c>
      <c r="AA411" s="20">
        <f>SUMIFS('Doc''s Pagos | Rodopar 108'!$J:$J,'Doc''s Pagos | Rodopar 108'!$A:$A,$B411&amp;$E411&amp;$F411&amp;$J411,'Doc''s Pagos | Rodopar 108'!$B:$B,AA$1)+SUMIFS('Doc Há Pagar | Rodopar 1015'!$J:$J,'Doc Há Pagar | Rodopar 1015'!$A:$A,$B411&amp;$E411&amp;$F411,'Doc Há Pagar | Rodopar 1015'!$B:$B,AA$1)</f>
        <v>400</v>
      </c>
      <c r="AB411" s="20">
        <f>SUMIFS('Doc''s Pagos | Rodopar 108'!$J:$J,'Doc''s Pagos | Rodopar 108'!$A:$A,$B411&amp;$E411&amp;$F411&amp;$J411,'Doc''s Pagos | Rodopar 108'!$B:$B,AB$1)+SUMIFS('Doc Há Pagar | Rodopar 1015'!$J:$J,'Doc Há Pagar | Rodopar 1015'!$A:$A,$B411&amp;$E411&amp;$F411,'Doc Há Pagar | Rodopar 1015'!$B:$B,AB$1)</f>
        <v>0</v>
      </c>
      <c r="AC411" s="20">
        <f>SUMIFS('Doc''s Pagos | Rodopar 108'!$J:$J,'Doc''s Pagos | Rodopar 108'!$A:$A,$B411&amp;$E411&amp;$F411&amp;$J411,'Doc''s Pagos | Rodopar 108'!$B:$B,AC$1)+SUMIFS('Doc Há Pagar | Rodopar 1015'!$J:$J,'Doc Há Pagar | Rodopar 1015'!$A:$A,$B411&amp;$E411&amp;$F411,'Doc Há Pagar | Rodopar 1015'!$B:$B,AC$1)</f>
        <v>0</v>
      </c>
      <c r="AD411" s="20">
        <f>SUMIFS('Doc''s Pagos | Rodopar 108'!$J:$J,'Doc''s Pagos | Rodopar 108'!$A:$A,$B411&amp;$E411&amp;$F411&amp;$J411,'Doc''s Pagos | Rodopar 108'!$B:$B,AD$1)+SUMIFS('Doc Há Pagar | Rodopar 1015'!$J:$J,'Doc Há Pagar | Rodopar 1015'!$A:$A,$B411&amp;$E411&amp;$F411,'Doc Há Pagar | Rodopar 1015'!$B:$B,AD$1)</f>
        <v>0</v>
      </c>
    </row>
    <row r="412" spans="1:30" x14ac:dyDescent="0.25">
      <c r="A412" s="1" t="str">
        <f>VLOOKUP($E412,Fornecedores!$A:$C,3,0)</f>
        <v>Frota</v>
      </c>
      <c r="B412" s="14">
        <v>20260000025019</v>
      </c>
      <c r="C412" s="14" t="str">
        <f>IFERROR(VLOOKUP($E412,Fornecedores!$A:$E,4,0),"")</f>
        <v>Manutenção</v>
      </c>
      <c r="D412" s="14" t="str">
        <f>IFERROR(VLOOKUP($E412,Fornecedores!$A:$E,5,0),"")</f>
        <v>Vans</v>
      </c>
      <c r="E412" s="8" t="s">
        <v>132</v>
      </c>
      <c r="F412" s="14" t="s">
        <v>665</v>
      </c>
      <c r="G412" s="8" t="s">
        <v>434</v>
      </c>
      <c r="H412" s="9">
        <v>87</v>
      </c>
      <c r="I412" s="21">
        <v>1092</v>
      </c>
      <c r="J412" s="11">
        <v>46262</v>
      </c>
      <c r="K412" s="11">
        <v>46266</v>
      </c>
      <c r="L412" s="8" t="s">
        <v>435</v>
      </c>
      <c r="M412" s="14" t="s">
        <v>234</v>
      </c>
      <c r="N412" s="16">
        <v>1556</v>
      </c>
      <c r="O412" s="14" t="s">
        <v>250</v>
      </c>
      <c r="P412" s="14"/>
      <c r="Q412" s="20">
        <f t="shared" si="6"/>
        <v>0</v>
      </c>
      <c r="S412" s="20">
        <f>SUMIFS('Doc''s Pagos | Rodopar 108'!$J:$J,'Doc''s Pagos | Rodopar 108'!$A:$A,$B412&amp;$E412&amp;$F412&amp;$J412,'Doc''s Pagos | Rodopar 108'!$B:$B,S$1)+SUMIFS('Doc Há Pagar | Rodopar 1015'!$J:$J,'Doc Há Pagar | Rodopar 1015'!$A:$A,$B412&amp;$E412&amp;$F412,'Doc Há Pagar | Rodopar 1015'!$B:$B,S$1)</f>
        <v>0</v>
      </c>
      <c r="T412" s="20">
        <f>SUMIFS('Doc''s Pagos | Rodopar 108'!$J:$J,'Doc''s Pagos | Rodopar 108'!$A:$A,$B412&amp;$E412&amp;$F412&amp;$J412,'Doc''s Pagos | Rodopar 108'!$B:$B,T$1)+SUMIFS('Doc Há Pagar | Rodopar 1015'!$J:$J,'Doc Há Pagar | Rodopar 1015'!$A:$A,$B412&amp;$E412&amp;$F412,'Doc Há Pagar | Rodopar 1015'!$B:$B,T$1)</f>
        <v>0</v>
      </c>
      <c r="U412" s="20">
        <f>SUMIFS('Doc''s Pagos | Rodopar 108'!$J:$J,'Doc''s Pagos | Rodopar 108'!$A:$A,$B412&amp;$E412&amp;$F412&amp;$J412,'Doc''s Pagos | Rodopar 108'!$B:$B,U$1)+SUMIFS('Doc Há Pagar | Rodopar 1015'!$J:$J,'Doc Há Pagar | Rodopar 1015'!$A:$A,$B412&amp;$E412&amp;$F412,'Doc Há Pagar | Rodopar 1015'!$B:$B,U$1)</f>
        <v>0</v>
      </c>
      <c r="V412" s="20">
        <f>SUMIFS('Doc''s Pagos | Rodopar 108'!$J:$J,'Doc''s Pagos | Rodopar 108'!$A:$A,$B412&amp;$E412&amp;$F412&amp;$J412,'Doc''s Pagos | Rodopar 108'!$B:$B,V$1)+SUMIFS('Doc Há Pagar | Rodopar 1015'!$J:$J,'Doc Há Pagar | Rodopar 1015'!$A:$A,$B412&amp;$E412&amp;$F412,'Doc Há Pagar | Rodopar 1015'!$B:$B,V$1)</f>
        <v>0</v>
      </c>
      <c r="W412" s="20">
        <f>SUMIFS('Doc''s Pagos | Rodopar 108'!$J:$J,'Doc''s Pagos | Rodopar 108'!$A:$A,$B412&amp;$E412&amp;$F412&amp;$J412,'Doc''s Pagos | Rodopar 108'!$B:$B,W$1)+SUMIFS('Doc Há Pagar | Rodopar 1015'!$J:$J,'Doc Há Pagar | Rodopar 1015'!$A:$A,$B412&amp;$E412&amp;$F412,'Doc Há Pagar | Rodopar 1015'!$B:$B,W$1)</f>
        <v>0</v>
      </c>
      <c r="X412" s="20">
        <f>SUMIFS('Doc''s Pagos | Rodopar 108'!$J:$J,'Doc''s Pagos | Rodopar 108'!$A:$A,$B412&amp;$E412&amp;$F412&amp;$J412,'Doc''s Pagos | Rodopar 108'!$B:$B,X$1)+SUMIFS('Doc Há Pagar | Rodopar 1015'!$J:$J,'Doc Há Pagar | Rodopar 1015'!$A:$A,$B412&amp;$E412&amp;$F412,'Doc Há Pagar | Rodopar 1015'!$B:$B,X$1)</f>
        <v>0</v>
      </c>
      <c r="Y412" s="20">
        <f>SUMIFS('Doc''s Pagos | Rodopar 108'!$J:$J,'Doc''s Pagos | Rodopar 108'!$A:$A,$B412&amp;$E412&amp;$F412&amp;$J412,'Doc''s Pagos | Rodopar 108'!$B:$B,Y$1)+SUMIFS('Doc Há Pagar | Rodopar 1015'!$J:$J,'Doc Há Pagar | Rodopar 1015'!$A:$A,$B412&amp;$E412&amp;$F412,'Doc Há Pagar | Rodopar 1015'!$B:$B,Y$1)</f>
        <v>0</v>
      </c>
      <c r="Z412" s="20">
        <f>SUMIFS('Doc''s Pagos | Rodopar 108'!$J:$J,'Doc''s Pagos | Rodopar 108'!$A:$A,$B412&amp;$E412&amp;$F412&amp;$J412,'Doc''s Pagos | Rodopar 108'!$B:$B,Z$1)+SUMIFS('Doc Há Pagar | Rodopar 1015'!$J:$J,'Doc Há Pagar | Rodopar 1015'!$A:$A,$B412&amp;$E412&amp;$F412,'Doc Há Pagar | Rodopar 1015'!$B:$B,Z$1)</f>
        <v>0</v>
      </c>
      <c r="AA412" s="20">
        <f>SUMIFS('Doc''s Pagos | Rodopar 108'!$J:$J,'Doc''s Pagos | Rodopar 108'!$A:$A,$B412&amp;$E412&amp;$F412&amp;$J412,'Doc''s Pagos | Rodopar 108'!$B:$B,AA$1)+SUMIFS('Doc Há Pagar | Rodopar 1015'!$J:$J,'Doc Há Pagar | Rodopar 1015'!$A:$A,$B412&amp;$E412&amp;$F412,'Doc Há Pagar | Rodopar 1015'!$B:$B,AA$1)</f>
        <v>1092</v>
      </c>
      <c r="AB412" s="20">
        <f>SUMIFS('Doc''s Pagos | Rodopar 108'!$J:$J,'Doc''s Pagos | Rodopar 108'!$A:$A,$B412&amp;$E412&amp;$F412&amp;$J412,'Doc''s Pagos | Rodopar 108'!$B:$B,AB$1)+SUMIFS('Doc Há Pagar | Rodopar 1015'!$J:$J,'Doc Há Pagar | Rodopar 1015'!$A:$A,$B412&amp;$E412&amp;$F412,'Doc Há Pagar | Rodopar 1015'!$B:$B,AB$1)</f>
        <v>0</v>
      </c>
      <c r="AC412" s="20">
        <f>SUMIFS('Doc''s Pagos | Rodopar 108'!$J:$J,'Doc''s Pagos | Rodopar 108'!$A:$A,$B412&amp;$E412&amp;$F412&amp;$J412,'Doc''s Pagos | Rodopar 108'!$B:$B,AC$1)+SUMIFS('Doc Há Pagar | Rodopar 1015'!$J:$J,'Doc Há Pagar | Rodopar 1015'!$A:$A,$B412&amp;$E412&amp;$F412,'Doc Há Pagar | Rodopar 1015'!$B:$B,AC$1)</f>
        <v>0</v>
      </c>
      <c r="AD412" s="20">
        <f>SUMIFS('Doc''s Pagos | Rodopar 108'!$J:$J,'Doc''s Pagos | Rodopar 108'!$A:$A,$B412&amp;$E412&amp;$F412&amp;$J412,'Doc''s Pagos | Rodopar 108'!$B:$B,AD$1)+SUMIFS('Doc Há Pagar | Rodopar 1015'!$J:$J,'Doc Há Pagar | Rodopar 1015'!$A:$A,$B412&amp;$E412&amp;$F412,'Doc Há Pagar | Rodopar 1015'!$B:$B,AD$1)</f>
        <v>0</v>
      </c>
    </row>
    <row r="413" spans="1:30" x14ac:dyDescent="0.25">
      <c r="A413" s="1" t="str">
        <f>VLOOKUP($E413,Fornecedores!$A:$C,3,0)</f>
        <v>Frota</v>
      </c>
      <c r="B413" s="14">
        <v>2273</v>
      </c>
      <c r="C413" s="14" t="str">
        <f>IFERROR(VLOOKUP($E413,Fornecedores!$A:$E,4,0),"")</f>
        <v>Manutenção</v>
      </c>
      <c r="D413" s="14" t="str">
        <f>IFERROR(VLOOKUP($E413,Fornecedores!$A:$E,5,0),"")</f>
        <v>Vans</v>
      </c>
      <c r="E413" s="8" t="s">
        <v>133</v>
      </c>
      <c r="F413" s="14" t="s">
        <v>665</v>
      </c>
      <c r="G413" s="8" t="s">
        <v>493</v>
      </c>
      <c r="H413" s="9">
        <v>87</v>
      </c>
      <c r="I413" s="21">
        <v>1189.2</v>
      </c>
      <c r="J413" s="11">
        <v>46262</v>
      </c>
      <c r="K413" s="11">
        <v>46263</v>
      </c>
      <c r="L413" s="8" t="s">
        <v>494</v>
      </c>
      <c r="M413" s="14" t="s">
        <v>234</v>
      </c>
      <c r="N413" s="16">
        <v>1556</v>
      </c>
      <c r="O413" s="14" t="s">
        <v>241</v>
      </c>
      <c r="P413" s="14"/>
      <c r="Q413" s="20">
        <f t="shared" si="6"/>
        <v>0</v>
      </c>
      <c r="S413" s="20">
        <f>SUMIFS('Doc''s Pagos | Rodopar 108'!$J:$J,'Doc''s Pagos | Rodopar 108'!$A:$A,$B413&amp;$E413&amp;$F413&amp;$J413,'Doc''s Pagos | Rodopar 108'!$B:$B,S$1)+SUMIFS('Doc Há Pagar | Rodopar 1015'!$J:$J,'Doc Há Pagar | Rodopar 1015'!$A:$A,$B413&amp;$E413&amp;$F413,'Doc Há Pagar | Rodopar 1015'!$B:$B,S$1)</f>
        <v>0</v>
      </c>
      <c r="T413" s="20">
        <f>SUMIFS('Doc''s Pagos | Rodopar 108'!$J:$J,'Doc''s Pagos | Rodopar 108'!$A:$A,$B413&amp;$E413&amp;$F413&amp;$J413,'Doc''s Pagos | Rodopar 108'!$B:$B,T$1)+SUMIFS('Doc Há Pagar | Rodopar 1015'!$J:$J,'Doc Há Pagar | Rodopar 1015'!$A:$A,$B413&amp;$E413&amp;$F413,'Doc Há Pagar | Rodopar 1015'!$B:$B,T$1)</f>
        <v>0</v>
      </c>
      <c r="U413" s="20">
        <f>SUMIFS('Doc''s Pagos | Rodopar 108'!$J:$J,'Doc''s Pagos | Rodopar 108'!$A:$A,$B413&amp;$E413&amp;$F413&amp;$J413,'Doc''s Pagos | Rodopar 108'!$B:$B,U$1)+SUMIFS('Doc Há Pagar | Rodopar 1015'!$J:$J,'Doc Há Pagar | Rodopar 1015'!$A:$A,$B413&amp;$E413&amp;$F413,'Doc Há Pagar | Rodopar 1015'!$B:$B,U$1)</f>
        <v>0</v>
      </c>
      <c r="V413" s="20">
        <f>SUMIFS('Doc''s Pagos | Rodopar 108'!$J:$J,'Doc''s Pagos | Rodopar 108'!$A:$A,$B413&amp;$E413&amp;$F413&amp;$J413,'Doc''s Pagos | Rodopar 108'!$B:$B,V$1)+SUMIFS('Doc Há Pagar | Rodopar 1015'!$J:$J,'Doc Há Pagar | Rodopar 1015'!$A:$A,$B413&amp;$E413&amp;$F413,'Doc Há Pagar | Rodopar 1015'!$B:$B,V$1)</f>
        <v>0</v>
      </c>
      <c r="W413" s="20">
        <f>SUMIFS('Doc''s Pagos | Rodopar 108'!$J:$J,'Doc''s Pagos | Rodopar 108'!$A:$A,$B413&amp;$E413&amp;$F413&amp;$J413,'Doc''s Pagos | Rodopar 108'!$B:$B,W$1)+SUMIFS('Doc Há Pagar | Rodopar 1015'!$J:$J,'Doc Há Pagar | Rodopar 1015'!$A:$A,$B413&amp;$E413&amp;$F413,'Doc Há Pagar | Rodopar 1015'!$B:$B,W$1)</f>
        <v>0</v>
      </c>
      <c r="X413" s="20">
        <f>SUMIFS('Doc''s Pagos | Rodopar 108'!$J:$J,'Doc''s Pagos | Rodopar 108'!$A:$A,$B413&amp;$E413&amp;$F413&amp;$J413,'Doc''s Pagos | Rodopar 108'!$B:$B,X$1)+SUMIFS('Doc Há Pagar | Rodopar 1015'!$J:$J,'Doc Há Pagar | Rodopar 1015'!$A:$A,$B413&amp;$E413&amp;$F413,'Doc Há Pagar | Rodopar 1015'!$B:$B,X$1)</f>
        <v>0</v>
      </c>
      <c r="Y413" s="20">
        <f>SUMIFS('Doc''s Pagos | Rodopar 108'!$J:$J,'Doc''s Pagos | Rodopar 108'!$A:$A,$B413&amp;$E413&amp;$F413&amp;$J413,'Doc''s Pagos | Rodopar 108'!$B:$B,Y$1)+SUMIFS('Doc Há Pagar | Rodopar 1015'!$J:$J,'Doc Há Pagar | Rodopar 1015'!$A:$A,$B413&amp;$E413&amp;$F413,'Doc Há Pagar | Rodopar 1015'!$B:$B,Y$1)</f>
        <v>0</v>
      </c>
      <c r="Z413" s="20">
        <f>SUMIFS('Doc''s Pagos | Rodopar 108'!$J:$J,'Doc''s Pagos | Rodopar 108'!$A:$A,$B413&amp;$E413&amp;$F413&amp;$J413,'Doc''s Pagos | Rodopar 108'!$B:$B,Z$1)+SUMIFS('Doc Há Pagar | Rodopar 1015'!$J:$J,'Doc Há Pagar | Rodopar 1015'!$A:$A,$B413&amp;$E413&amp;$F413,'Doc Há Pagar | Rodopar 1015'!$B:$B,Z$1)</f>
        <v>0</v>
      </c>
      <c r="AA413" s="20">
        <f>SUMIFS('Doc''s Pagos | Rodopar 108'!$J:$J,'Doc''s Pagos | Rodopar 108'!$A:$A,$B413&amp;$E413&amp;$F413&amp;$J413,'Doc''s Pagos | Rodopar 108'!$B:$B,AA$1)+SUMIFS('Doc Há Pagar | Rodopar 1015'!$J:$J,'Doc Há Pagar | Rodopar 1015'!$A:$A,$B413&amp;$E413&amp;$F413,'Doc Há Pagar | Rodopar 1015'!$B:$B,AA$1)</f>
        <v>1189.2</v>
      </c>
      <c r="AB413" s="20">
        <f>SUMIFS('Doc''s Pagos | Rodopar 108'!$J:$J,'Doc''s Pagos | Rodopar 108'!$A:$A,$B413&amp;$E413&amp;$F413&amp;$J413,'Doc''s Pagos | Rodopar 108'!$B:$B,AB$1)+SUMIFS('Doc Há Pagar | Rodopar 1015'!$J:$J,'Doc Há Pagar | Rodopar 1015'!$A:$A,$B413&amp;$E413&amp;$F413,'Doc Há Pagar | Rodopar 1015'!$B:$B,AB$1)</f>
        <v>0</v>
      </c>
      <c r="AC413" s="20">
        <f>SUMIFS('Doc''s Pagos | Rodopar 108'!$J:$J,'Doc''s Pagos | Rodopar 108'!$A:$A,$B413&amp;$E413&amp;$F413&amp;$J413,'Doc''s Pagos | Rodopar 108'!$B:$B,AC$1)+SUMIFS('Doc Há Pagar | Rodopar 1015'!$J:$J,'Doc Há Pagar | Rodopar 1015'!$A:$A,$B413&amp;$E413&amp;$F413,'Doc Há Pagar | Rodopar 1015'!$B:$B,AC$1)</f>
        <v>0</v>
      </c>
      <c r="AD413" s="20">
        <f>SUMIFS('Doc''s Pagos | Rodopar 108'!$J:$J,'Doc''s Pagos | Rodopar 108'!$A:$A,$B413&amp;$E413&amp;$F413&amp;$J413,'Doc''s Pagos | Rodopar 108'!$B:$B,AD$1)+SUMIFS('Doc Há Pagar | Rodopar 1015'!$J:$J,'Doc Há Pagar | Rodopar 1015'!$A:$A,$B413&amp;$E413&amp;$F413,'Doc Há Pagar | Rodopar 1015'!$B:$B,AD$1)</f>
        <v>0</v>
      </c>
    </row>
    <row r="414" spans="1:30" x14ac:dyDescent="0.25">
      <c r="A414" s="1" t="str">
        <f>VLOOKUP($E414,Fornecedores!$A:$C,3,0)</f>
        <v>Frota</v>
      </c>
      <c r="B414" s="14">
        <v>2276</v>
      </c>
      <c r="C414" s="14" t="str">
        <f>IFERROR(VLOOKUP($E414,Fornecedores!$A:$E,4,0),"")</f>
        <v>Manutenção</v>
      </c>
      <c r="D414" s="14" t="str">
        <f>IFERROR(VLOOKUP($E414,Fornecedores!$A:$E,5,0),"")</f>
        <v>Vans</v>
      </c>
      <c r="E414" s="8" t="s">
        <v>133</v>
      </c>
      <c r="F414" s="14" t="s">
        <v>665</v>
      </c>
      <c r="G414" s="8" t="s">
        <v>493</v>
      </c>
      <c r="H414" s="9">
        <v>87</v>
      </c>
      <c r="I414" s="21">
        <v>600</v>
      </c>
      <c r="J414" s="11">
        <v>46262</v>
      </c>
      <c r="K414" s="11">
        <v>46263</v>
      </c>
      <c r="L414" s="8" t="s">
        <v>494</v>
      </c>
      <c r="M414" s="14" t="s">
        <v>234</v>
      </c>
      <c r="N414" s="16">
        <v>1556</v>
      </c>
      <c r="O414" s="14" t="s">
        <v>241</v>
      </c>
      <c r="P414" s="14"/>
      <c r="Q414" s="20">
        <f t="shared" si="6"/>
        <v>0</v>
      </c>
      <c r="S414" s="20">
        <f>SUMIFS('Doc''s Pagos | Rodopar 108'!$J:$J,'Doc''s Pagos | Rodopar 108'!$A:$A,$B414&amp;$E414&amp;$F414&amp;$J414,'Doc''s Pagos | Rodopar 108'!$B:$B,S$1)+SUMIFS('Doc Há Pagar | Rodopar 1015'!$J:$J,'Doc Há Pagar | Rodopar 1015'!$A:$A,$B414&amp;$E414&amp;$F414,'Doc Há Pagar | Rodopar 1015'!$B:$B,S$1)</f>
        <v>0</v>
      </c>
      <c r="T414" s="20">
        <f>SUMIFS('Doc''s Pagos | Rodopar 108'!$J:$J,'Doc''s Pagos | Rodopar 108'!$A:$A,$B414&amp;$E414&amp;$F414&amp;$J414,'Doc''s Pagos | Rodopar 108'!$B:$B,T$1)+SUMIFS('Doc Há Pagar | Rodopar 1015'!$J:$J,'Doc Há Pagar | Rodopar 1015'!$A:$A,$B414&amp;$E414&amp;$F414,'Doc Há Pagar | Rodopar 1015'!$B:$B,T$1)</f>
        <v>0</v>
      </c>
      <c r="U414" s="20">
        <f>SUMIFS('Doc''s Pagos | Rodopar 108'!$J:$J,'Doc''s Pagos | Rodopar 108'!$A:$A,$B414&amp;$E414&amp;$F414&amp;$J414,'Doc''s Pagos | Rodopar 108'!$B:$B,U$1)+SUMIFS('Doc Há Pagar | Rodopar 1015'!$J:$J,'Doc Há Pagar | Rodopar 1015'!$A:$A,$B414&amp;$E414&amp;$F414,'Doc Há Pagar | Rodopar 1015'!$B:$B,U$1)</f>
        <v>0</v>
      </c>
      <c r="V414" s="20">
        <f>SUMIFS('Doc''s Pagos | Rodopar 108'!$J:$J,'Doc''s Pagos | Rodopar 108'!$A:$A,$B414&amp;$E414&amp;$F414&amp;$J414,'Doc''s Pagos | Rodopar 108'!$B:$B,V$1)+SUMIFS('Doc Há Pagar | Rodopar 1015'!$J:$J,'Doc Há Pagar | Rodopar 1015'!$A:$A,$B414&amp;$E414&amp;$F414,'Doc Há Pagar | Rodopar 1015'!$B:$B,V$1)</f>
        <v>0</v>
      </c>
      <c r="W414" s="20">
        <f>SUMIFS('Doc''s Pagos | Rodopar 108'!$J:$J,'Doc''s Pagos | Rodopar 108'!$A:$A,$B414&amp;$E414&amp;$F414&amp;$J414,'Doc''s Pagos | Rodopar 108'!$B:$B,W$1)+SUMIFS('Doc Há Pagar | Rodopar 1015'!$J:$J,'Doc Há Pagar | Rodopar 1015'!$A:$A,$B414&amp;$E414&amp;$F414,'Doc Há Pagar | Rodopar 1015'!$B:$B,W$1)</f>
        <v>0</v>
      </c>
      <c r="X414" s="20">
        <f>SUMIFS('Doc''s Pagos | Rodopar 108'!$J:$J,'Doc''s Pagos | Rodopar 108'!$A:$A,$B414&amp;$E414&amp;$F414&amp;$J414,'Doc''s Pagos | Rodopar 108'!$B:$B,X$1)+SUMIFS('Doc Há Pagar | Rodopar 1015'!$J:$J,'Doc Há Pagar | Rodopar 1015'!$A:$A,$B414&amp;$E414&amp;$F414,'Doc Há Pagar | Rodopar 1015'!$B:$B,X$1)</f>
        <v>0</v>
      </c>
      <c r="Y414" s="20">
        <f>SUMIFS('Doc''s Pagos | Rodopar 108'!$J:$J,'Doc''s Pagos | Rodopar 108'!$A:$A,$B414&amp;$E414&amp;$F414&amp;$J414,'Doc''s Pagos | Rodopar 108'!$B:$B,Y$1)+SUMIFS('Doc Há Pagar | Rodopar 1015'!$J:$J,'Doc Há Pagar | Rodopar 1015'!$A:$A,$B414&amp;$E414&amp;$F414,'Doc Há Pagar | Rodopar 1015'!$B:$B,Y$1)</f>
        <v>0</v>
      </c>
      <c r="Z414" s="20">
        <f>SUMIFS('Doc''s Pagos | Rodopar 108'!$J:$J,'Doc''s Pagos | Rodopar 108'!$A:$A,$B414&amp;$E414&amp;$F414&amp;$J414,'Doc''s Pagos | Rodopar 108'!$B:$B,Z$1)+SUMIFS('Doc Há Pagar | Rodopar 1015'!$J:$J,'Doc Há Pagar | Rodopar 1015'!$A:$A,$B414&amp;$E414&amp;$F414,'Doc Há Pagar | Rodopar 1015'!$B:$B,Z$1)</f>
        <v>0</v>
      </c>
      <c r="AA414" s="20">
        <f>SUMIFS('Doc''s Pagos | Rodopar 108'!$J:$J,'Doc''s Pagos | Rodopar 108'!$A:$A,$B414&amp;$E414&amp;$F414&amp;$J414,'Doc''s Pagos | Rodopar 108'!$B:$B,AA$1)+SUMIFS('Doc Há Pagar | Rodopar 1015'!$J:$J,'Doc Há Pagar | Rodopar 1015'!$A:$A,$B414&amp;$E414&amp;$F414,'Doc Há Pagar | Rodopar 1015'!$B:$B,AA$1)</f>
        <v>600</v>
      </c>
      <c r="AB414" s="20">
        <f>SUMIFS('Doc''s Pagos | Rodopar 108'!$J:$J,'Doc''s Pagos | Rodopar 108'!$A:$A,$B414&amp;$E414&amp;$F414&amp;$J414,'Doc''s Pagos | Rodopar 108'!$B:$B,AB$1)+SUMIFS('Doc Há Pagar | Rodopar 1015'!$J:$J,'Doc Há Pagar | Rodopar 1015'!$A:$A,$B414&amp;$E414&amp;$F414,'Doc Há Pagar | Rodopar 1015'!$B:$B,AB$1)</f>
        <v>0</v>
      </c>
      <c r="AC414" s="20">
        <f>SUMIFS('Doc''s Pagos | Rodopar 108'!$J:$J,'Doc''s Pagos | Rodopar 108'!$A:$A,$B414&amp;$E414&amp;$F414&amp;$J414,'Doc''s Pagos | Rodopar 108'!$B:$B,AC$1)+SUMIFS('Doc Há Pagar | Rodopar 1015'!$J:$J,'Doc Há Pagar | Rodopar 1015'!$A:$A,$B414&amp;$E414&amp;$F414,'Doc Há Pagar | Rodopar 1015'!$B:$B,AC$1)</f>
        <v>0</v>
      </c>
      <c r="AD414" s="20">
        <f>SUMIFS('Doc''s Pagos | Rodopar 108'!$J:$J,'Doc''s Pagos | Rodopar 108'!$A:$A,$B414&amp;$E414&amp;$F414&amp;$J414,'Doc''s Pagos | Rodopar 108'!$B:$B,AD$1)+SUMIFS('Doc Há Pagar | Rodopar 1015'!$J:$J,'Doc Há Pagar | Rodopar 1015'!$A:$A,$B414&amp;$E414&amp;$F414,'Doc Há Pagar | Rodopar 1015'!$B:$B,AD$1)</f>
        <v>0</v>
      </c>
    </row>
    <row r="415" spans="1:30" x14ac:dyDescent="0.25">
      <c r="A415" s="1" t="str">
        <f>VLOOKUP($E415,Fornecedores!$A:$C,3,0)</f>
        <v>Frota</v>
      </c>
      <c r="B415" s="14">
        <v>2278</v>
      </c>
      <c r="C415" s="14" t="str">
        <f>IFERROR(VLOOKUP($E415,Fornecedores!$A:$E,4,0),"")</f>
        <v>Manutenção</v>
      </c>
      <c r="D415" s="14" t="str">
        <f>IFERROR(VLOOKUP($E415,Fornecedores!$A:$E,5,0),"")</f>
        <v>Vans</v>
      </c>
      <c r="E415" s="8" t="s">
        <v>133</v>
      </c>
      <c r="F415" s="14" t="s">
        <v>665</v>
      </c>
      <c r="G415" s="8" t="s">
        <v>493</v>
      </c>
      <c r="H415" s="9">
        <v>87</v>
      </c>
      <c r="I415" s="21">
        <v>589.20000000000005</v>
      </c>
      <c r="J415" s="11">
        <v>46262</v>
      </c>
      <c r="K415" s="11">
        <v>46263</v>
      </c>
      <c r="L415" s="8" t="s">
        <v>494</v>
      </c>
      <c r="M415" s="14" t="s">
        <v>234</v>
      </c>
      <c r="N415" s="16">
        <v>1556</v>
      </c>
      <c r="O415" s="14" t="s">
        <v>241</v>
      </c>
      <c r="P415" s="14"/>
      <c r="Q415" s="20">
        <f t="shared" si="6"/>
        <v>0</v>
      </c>
      <c r="S415" s="20">
        <f>SUMIFS('Doc''s Pagos | Rodopar 108'!$J:$J,'Doc''s Pagos | Rodopar 108'!$A:$A,$B415&amp;$E415&amp;$F415&amp;$J415,'Doc''s Pagos | Rodopar 108'!$B:$B,S$1)+SUMIFS('Doc Há Pagar | Rodopar 1015'!$J:$J,'Doc Há Pagar | Rodopar 1015'!$A:$A,$B415&amp;$E415&amp;$F415,'Doc Há Pagar | Rodopar 1015'!$B:$B,S$1)</f>
        <v>0</v>
      </c>
      <c r="T415" s="20">
        <f>SUMIFS('Doc''s Pagos | Rodopar 108'!$J:$J,'Doc''s Pagos | Rodopar 108'!$A:$A,$B415&amp;$E415&amp;$F415&amp;$J415,'Doc''s Pagos | Rodopar 108'!$B:$B,T$1)+SUMIFS('Doc Há Pagar | Rodopar 1015'!$J:$J,'Doc Há Pagar | Rodopar 1015'!$A:$A,$B415&amp;$E415&amp;$F415,'Doc Há Pagar | Rodopar 1015'!$B:$B,T$1)</f>
        <v>0</v>
      </c>
      <c r="U415" s="20">
        <f>SUMIFS('Doc''s Pagos | Rodopar 108'!$J:$J,'Doc''s Pagos | Rodopar 108'!$A:$A,$B415&amp;$E415&amp;$F415&amp;$J415,'Doc''s Pagos | Rodopar 108'!$B:$B,U$1)+SUMIFS('Doc Há Pagar | Rodopar 1015'!$J:$J,'Doc Há Pagar | Rodopar 1015'!$A:$A,$B415&amp;$E415&amp;$F415,'Doc Há Pagar | Rodopar 1015'!$B:$B,U$1)</f>
        <v>0</v>
      </c>
      <c r="V415" s="20">
        <f>SUMIFS('Doc''s Pagos | Rodopar 108'!$J:$J,'Doc''s Pagos | Rodopar 108'!$A:$A,$B415&amp;$E415&amp;$F415&amp;$J415,'Doc''s Pagos | Rodopar 108'!$B:$B,V$1)+SUMIFS('Doc Há Pagar | Rodopar 1015'!$J:$J,'Doc Há Pagar | Rodopar 1015'!$A:$A,$B415&amp;$E415&amp;$F415,'Doc Há Pagar | Rodopar 1015'!$B:$B,V$1)</f>
        <v>0</v>
      </c>
      <c r="W415" s="20">
        <f>SUMIFS('Doc''s Pagos | Rodopar 108'!$J:$J,'Doc''s Pagos | Rodopar 108'!$A:$A,$B415&amp;$E415&amp;$F415&amp;$J415,'Doc''s Pagos | Rodopar 108'!$B:$B,W$1)+SUMIFS('Doc Há Pagar | Rodopar 1015'!$J:$J,'Doc Há Pagar | Rodopar 1015'!$A:$A,$B415&amp;$E415&amp;$F415,'Doc Há Pagar | Rodopar 1015'!$B:$B,W$1)</f>
        <v>0</v>
      </c>
      <c r="X415" s="20">
        <f>SUMIFS('Doc''s Pagos | Rodopar 108'!$J:$J,'Doc''s Pagos | Rodopar 108'!$A:$A,$B415&amp;$E415&amp;$F415&amp;$J415,'Doc''s Pagos | Rodopar 108'!$B:$B,X$1)+SUMIFS('Doc Há Pagar | Rodopar 1015'!$J:$J,'Doc Há Pagar | Rodopar 1015'!$A:$A,$B415&amp;$E415&amp;$F415,'Doc Há Pagar | Rodopar 1015'!$B:$B,X$1)</f>
        <v>0</v>
      </c>
      <c r="Y415" s="20">
        <f>SUMIFS('Doc''s Pagos | Rodopar 108'!$J:$J,'Doc''s Pagos | Rodopar 108'!$A:$A,$B415&amp;$E415&amp;$F415&amp;$J415,'Doc''s Pagos | Rodopar 108'!$B:$B,Y$1)+SUMIFS('Doc Há Pagar | Rodopar 1015'!$J:$J,'Doc Há Pagar | Rodopar 1015'!$A:$A,$B415&amp;$E415&amp;$F415,'Doc Há Pagar | Rodopar 1015'!$B:$B,Y$1)</f>
        <v>0</v>
      </c>
      <c r="Z415" s="20">
        <f>SUMIFS('Doc''s Pagos | Rodopar 108'!$J:$J,'Doc''s Pagos | Rodopar 108'!$A:$A,$B415&amp;$E415&amp;$F415&amp;$J415,'Doc''s Pagos | Rodopar 108'!$B:$B,Z$1)+SUMIFS('Doc Há Pagar | Rodopar 1015'!$J:$J,'Doc Há Pagar | Rodopar 1015'!$A:$A,$B415&amp;$E415&amp;$F415,'Doc Há Pagar | Rodopar 1015'!$B:$B,Z$1)</f>
        <v>0</v>
      </c>
      <c r="AA415" s="20">
        <f>SUMIFS('Doc''s Pagos | Rodopar 108'!$J:$J,'Doc''s Pagos | Rodopar 108'!$A:$A,$B415&amp;$E415&amp;$F415&amp;$J415,'Doc''s Pagos | Rodopar 108'!$B:$B,AA$1)+SUMIFS('Doc Há Pagar | Rodopar 1015'!$J:$J,'Doc Há Pagar | Rodopar 1015'!$A:$A,$B415&amp;$E415&amp;$F415,'Doc Há Pagar | Rodopar 1015'!$B:$B,AA$1)</f>
        <v>589.20000000000005</v>
      </c>
      <c r="AB415" s="20">
        <f>SUMIFS('Doc''s Pagos | Rodopar 108'!$J:$J,'Doc''s Pagos | Rodopar 108'!$A:$A,$B415&amp;$E415&amp;$F415&amp;$J415,'Doc''s Pagos | Rodopar 108'!$B:$B,AB$1)+SUMIFS('Doc Há Pagar | Rodopar 1015'!$J:$J,'Doc Há Pagar | Rodopar 1015'!$A:$A,$B415&amp;$E415&amp;$F415,'Doc Há Pagar | Rodopar 1015'!$B:$B,AB$1)</f>
        <v>0</v>
      </c>
      <c r="AC415" s="20">
        <f>SUMIFS('Doc''s Pagos | Rodopar 108'!$J:$J,'Doc''s Pagos | Rodopar 108'!$A:$A,$B415&amp;$E415&amp;$F415&amp;$J415,'Doc''s Pagos | Rodopar 108'!$B:$B,AC$1)+SUMIFS('Doc Há Pagar | Rodopar 1015'!$J:$J,'Doc Há Pagar | Rodopar 1015'!$A:$A,$B415&amp;$E415&amp;$F415,'Doc Há Pagar | Rodopar 1015'!$B:$B,AC$1)</f>
        <v>0</v>
      </c>
      <c r="AD415" s="20">
        <f>SUMIFS('Doc''s Pagos | Rodopar 108'!$J:$J,'Doc''s Pagos | Rodopar 108'!$A:$A,$B415&amp;$E415&amp;$F415&amp;$J415,'Doc''s Pagos | Rodopar 108'!$B:$B,AD$1)+SUMIFS('Doc Há Pagar | Rodopar 1015'!$J:$J,'Doc Há Pagar | Rodopar 1015'!$A:$A,$B415&amp;$E415&amp;$F415,'Doc Há Pagar | Rodopar 1015'!$B:$B,AD$1)</f>
        <v>0</v>
      </c>
    </row>
    <row r="416" spans="1:30" x14ac:dyDescent="0.25">
      <c r="A416" s="1" t="str">
        <f>VLOOKUP($E416,Fornecedores!$A:$C,3,0)</f>
        <v>Frota</v>
      </c>
      <c r="B416" s="14">
        <v>2279</v>
      </c>
      <c r="C416" s="14" t="str">
        <f>IFERROR(VLOOKUP($E416,Fornecedores!$A:$E,4,0),"")</f>
        <v>Manutenção</v>
      </c>
      <c r="D416" s="14" t="str">
        <f>IFERROR(VLOOKUP($E416,Fornecedores!$A:$E,5,0),"")</f>
        <v>Vans</v>
      </c>
      <c r="E416" s="8" t="s">
        <v>133</v>
      </c>
      <c r="F416" s="14" t="s">
        <v>665</v>
      </c>
      <c r="G416" s="8" t="s">
        <v>493</v>
      </c>
      <c r="H416" s="9">
        <v>87</v>
      </c>
      <c r="I416" s="21">
        <v>300</v>
      </c>
      <c r="J416" s="11">
        <v>46262</v>
      </c>
      <c r="K416" s="11">
        <v>46263</v>
      </c>
      <c r="L416" s="8" t="s">
        <v>494</v>
      </c>
      <c r="M416" s="14" t="s">
        <v>234</v>
      </c>
      <c r="N416" s="16">
        <v>1556</v>
      </c>
      <c r="O416" s="14" t="s">
        <v>241</v>
      </c>
      <c r="P416" s="14"/>
      <c r="Q416" s="20">
        <f t="shared" si="6"/>
        <v>0</v>
      </c>
      <c r="S416" s="20">
        <f>SUMIFS('Doc''s Pagos | Rodopar 108'!$J:$J,'Doc''s Pagos | Rodopar 108'!$A:$A,$B416&amp;$E416&amp;$F416&amp;$J416,'Doc''s Pagos | Rodopar 108'!$B:$B,S$1)+SUMIFS('Doc Há Pagar | Rodopar 1015'!$J:$J,'Doc Há Pagar | Rodopar 1015'!$A:$A,$B416&amp;$E416&amp;$F416,'Doc Há Pagar | Rodopar 1015'!$B:$B,S$1)</f>
        <v>0</v>
      </c>
      <c r="T416" s="20">
        <f>SUMIFS('Doc''s Pagos | Rodopar 108'!$J:$J,'Doc''s Pagos | Rodopar 108'!$A:$A,$B416&amp;$E416&amp;$F416&amp;$J416,'Doc''s Pagos | Rodopar 108'!$B:$B,T$1)+SUMIFS('Doc Há Pagar | Rodopar 1015'!$J:$J,'Doc Há Pagar | Rodopar 1015'!$A:$A,$B416&amp;$E416&amp;$F416,'Doc Há Pagar | Rodopar 1015'!$B:$B,T$1)</f>
        <v>0</v>
      </c>
      <c r="U416" s="20">
        <f>SUMIFS('Doc''s Pagos | Rodopar 108'!$J:$J,'Doc''s Pagos | Rodopar 108'!$A:$A,$B416&amp;$E416&amp;$F416&amp;$J416,'Doc''s Pagos | Rodopar 108'!$B:$B,U$1)+SUMIFS('Doc Há Pagar | Rodopar 1015'!$J:$J,'Doc Há Pagar | Rodopar 1015'!$A:$A,$B416&amp;$E416&amp;$F416,'Doc Há Pagar | Rodopar 1015'!$B:$B,U$1)</f>
        <v>0</v>
      </c>
      <c r="V416" s="20">
        <f>SUMIFS('Doc''s Pagos | Rodopar 108'!$J:$J,'Doc''s Pagos | Rodopar 108'!$A:$A,$B416&amp;$E416&amp;$F416&amp;$J416,'Doc''s Pagos | Rodopar 108'!$B:$B,V$1)+SUMIFS('Doc Há Pagar | Rodopar 1015'!$J:$J,'Doc Há Pagar | Rodopar 1015'!$A:$A,$B416&amp;$E416&amp;$F416,'Doc Há Pagar | Rodopar 1015'!$B:$B,V$1)</f>
        <v>0</v>
      </c>
      <c r="W416" s="20">
        <f>SUMIFS('Doc''s Pagos | Rodopar 108'!$J:$J,'Doc''s Pagos | Rodopar 108'!$A:$A,$B416&amp;$E416&amp;$F416&amp;$J416,'Doc''s Pagos | Rodopar 108'!$B:$B,W$1)+SUMIFS('Doc Há Pagar | Rodopar 1015'!$J:$J,'Doc Há Pagar | Rodopar 1015'!$A:$A,$B416&amp;$E416&amp;$F416,'Doc Há Pagar | Rodopar 1015'!$B:$B,W$1)</f>
        <v>0</v>
      </c>
      <c r="X416" s="20">
        <f>SUMIFS('Doc''s Pagos | Rodopar 108'!$J:$J,'Doc''s Pagos | Rodopar 108'!$A:$A,$B416&amp;$E416&amp;$F416&amp;$J416,'Doc''s Pagos | Rodopar 108'!$B:$B,X$1)+SUMIFS('Doc Há Pagar | Rodopar 1015'!$J:$J,'Doc Há Pagar | Rodopar 1015'!$A:$A,$B416&amp;$E416&amp;$F416,'Doc Há Pagar | Rodopar 1015'!$B:$B,X$1)</f>
        <v>0</v>
      </c>
      <c r="Y416" s="20">
        <f>SUMIFS('Doc''s Pagos | Rodopar 108'!$J:$J,'Doc''s Pagos | Rodopar 108'!$A:$A,$B416&amp;$E416&amp;$F416&amp;$J416,'Doc''s Pagos | Rodopar 108'!$B:$B,Y$1)+SUMIFS('Doc Há Pagar | Rodopar 1015'!$J:$J,'Doc Há Pagar | Rodopar 1015'!$A:$A,$B416&amp;$E416&amp;$F416,'Doc Há Pagar | Rodopar 1015'!$B:$B,Y$1)</f>
        <v>0</v>
      </c>
      <c r="Z416" s="20">
        <f>SUMIFS('Doc''s Pagos | Rodopar 108'!$J:$J,'Doc''s Pagos | Rodopar 108'!$A:$A,$B416&amp;$E416&amp;$F416&amp;$J416,'Doc''s Pagos | Rodopar 108'!$B:$B,Z$1)+SUMIFS('Doc Há Pagar | Rodopar 1015'!$J:$J,'Doc Há Pagar | Rodopar 1015'!$A:$A,$B416&amp;$E416&amp;$F416,'Doc Há Pagar | Rodopar 1015'!$B:$B,Z$1)</f>
        <v>0</v>
      </c>
      <c r="AA416" s="20">
        <f>SUMIFS('Doc''s Pagos | Rodopar 108'!$J:$J,'Doc''s Pagos | Rodopar 108'!$A:$A,$B416&amp;$E416&amp;$F416&amp;$J416,'Doc''s Pagos | Rodopar 108'!$B:$B,AA$1)+SUMIFS('Doc Há Pagar | Rodopar 1015'!$J:$J,'Doc Há Pagar | Rodopar 1015'!$A:$A,$B416&amp;$E416&amp;$F416,'Doc Há Pagar | Rodopar 1015'!$B:$B,AA$1)</f>
        <v>300</v>
      </c>
      <c r="AB416" s="20">
        <f>SUMIFS('Doc''s Pagos | Rodopar 108'!$J:$J,'Doc''s Pagos | Rodopar 108'!$A:$A,$B416&amp;$E416&amp;$F416&amp;$J416,'Doc''s Pagos | Rodopar 108'!$B:$B,AB$1)+SUMIFS('Doc Há Pagar | Rodopar 1015'!$J:$J,'Doc Há Pagar | Rodopar 1015'!$A:$A,$B416&amp;$E416&amp;$F416,'Doc Há Pagar | Rodopar 1015'!$B:$B,AB$1)</f>
        <v>0</v>
      </c>
      <c r="AC416" s="20">
        <f>SUMIFS('Doc''s Pagos | Rodopar 108'!$J:$J,'Doc''s Pagos | Rodopar 108'!$A:$A,$B416&amp;$E416&amp;$F416&amp;$J416,'Doc''s Pagos | Rodopar 108'!$B:$B,AC$1)+SUMIFS('Doc Há Pagar | Rodopar 1015'!$J:$J,'Doc Há Pagar | Rodopar 1015'!$A:$A,$B416&amp;$E416&amp;$F416,'Doc Há Pagar | Rodopar 1015'!$B:$B,AC$1)</f>
        <v>0</v>
      </c>
      <c r="AD416" s="20">
        <f>SUMIFS('Doc''s Pagos | Rodopar 108'!$J:$J,'Doc''s Pagos | Rodopar 108'!$A:$A,$B416&amp;$E416&amp;$F416&amp;$J416,'Doc''s Pagos | Rodopar 108'!$B:$B,AD$1)+SUMIFS('Doc Há Pagar | Rodopar 1015'!$J:$J,'Doc Há Pagar | Rodopar 1015'!$A:$A,$B416&amp;$E416&amp;$F416,'Doc Há Pagar | Rodopar 1015'!$B:$B,AD$1)</f>
        <v>0</v>
      </c>
    </row>
    <row r="417" spans="1:30" x14ac:dyDescent="0.25">
      <c r="A417" s="1" t="str">
        <f>VLOOKUP($E417,Fornecedores!$A:$C,3,0)</f>
        <v>Frota</v>
      </c>
      <c r="B417" s="14">
        <v>1726</v>
      </c>
      <c r="C417" s="14" t="str">
        <f>IFERROR(VLOOKUP($E417,Fornecedores!$A:$E,4,0),"")</f>
        <v>Manutenção</v>
      </c>
      <c r="D417" s="14" t="str">
        <f>IFERROR(VLOOKUP($E417,Fornecedores!$A:$E,5,0),"")</f>
        <v>Vans</v>
      </c>
      <c r="E417" s="8" t="s">
        <v>208</v>
      </c>
      <c r="F417" s="14" t="s">
        <v>665</v>
      </c>
      <c r="G417" s="8" t="s">
        <v>749</v>
      </c>
      <c r="H417" s="9">
        <v>87</v>
      </c>
      <c r="I417" s="21">
        <v>585</v>
      </c>
      <c r="J417" s="11">
        <v>46265</v>
      </c>
      <c r="K417" s="11">
        <v>46266</v>
      </c>
      <c r="L417" s="8" t="s">
        <v>750</v>
      </c>
      <c r="M417" s="14" t="s">
        <v>234</v>
      </c>
      <c r="N417" s="16">
        <v>1556</v>
      </c>
      <c r="O417" s="14" t="s">
        <v>250</v>
      </c>
      <c r="P417" s="14"/>
      <c r="Q417" s="20">
        <f t="shared" si="6"/>
        <v>0</v>
      </c>
      <c r="S417" s="20">
        <f>SUMIFS('Doc''s Pagos | Rodopar 108'!$J:$J,'Doc''s Pagos | Rodopar 108'!$A:$A,$B417&amp;$E417&amp;$F417&amp;$J417,'Doc''s Pagos | Rodopar 108'!$B:$B,S$1)+SUMIFS('Doc Há Pagar | Rodopar 1015'!$J:$J,'Doc Há Pagar | Rodopar 1015'!$A:$A,$B417&amp;$E417&amp;$F417,'Doc Há Pagar | Rodopar 1015'!$B:$B,S$1)</f>
        <v>0</v>
      </c>
      <c r="T417" s="20">
        <f>SUMIFS('Doc''s Pagos | Rodopar 108'!$J:$J,'Doc''s Pagos | Rodopar 108'!$A:$A,$B417&amp;$E417&amp;$F417&amp;$J417,'Doc''s Pagos | Rodopar 108'!$B:$B,T$1)+SUMIFS('Doc Há Pagar | Rodopar 1015'!$J:$J,'Doc Há Pagar | Rodopar 1015'!$A:$A,$B417&amp;$E417&amp;$F417,'Doc Há Pagar | Rodopar 1015'!$B:$B,T$1)</f>
        <v>0</v>
      </c>
      <c r="U417" s="20">
        <f>SUMIFS('Doc''s Pagos | Rodopar 108'!$J:$J,'Doc''s Pagos | Rodopar 108'!$A:$A,$B417&amp;$E417&amp;$F417&amp;$J417,'Doc''s Pagos | Rodopar 108'!$B:$B,U$1)+SUMIFS('Doc Há Pagar | Rodopar 1015'!$J:$J,'Doc Há Pagar | Rodopar 1015'!$A:$A,$B417&amp;$E417&amp;$F417,'Doc Há Pagar | Rodopar 1015'!$B:$B,U$1)</f>
        <v>0</v>
      </c>
      <c r="V417" s="20">
        <f>SUMIFS('Doc''s Pagos | Rodopar 108'!$J:$J,'Doc''s Pagos | Rodopar 108'!$A:$A,$B417&amp;$E417&amp;$F417&amp;$J417,'Doc''s Pagos | Rodopar 108'!$B:$B,V$1)+SUMIFS('Doc Há Pagar | Rodopar 1015'!$J:$J,'Doc Há Pagar | Rodopar 1015'!$A:$A,$B417&amp;$E417&amp;$F417,'Doc Há Pagar | Rodopar 1015'!$B:$B,V$1)</f>
        <v>0</v>
      </c>
      <c r="W417" s="20">
        <f>SUMIFS('Doc''s Pagos | Rodopar 108'!$J:$J,'Doc''s Pagos | Rodopar 108'!$A:$A,$B417&amp;$E417&amp;$F417&amp;$J417,'Doc''s Pagos | Rodopar 108'!$B:$B,W$1)+SUMIFS('Doc Há Pagar | Rodopar 1015'!$J:$J,'Doc Há Pagar | Rodopar 1015'!$A:$A,$B417&amp;$E417&amp;$F417,'Doc Há Pagar | Rodopar 1015'!$B:$B,W$1)</f>
        <v>0</v>
      </c>
      <c r="X417" s="20">
        <f>SUMIFS('Doc''s Pagos | Rodopar 108'!$J:$J,'Doc''s Pagos | Rodopar 108'!$A:$A,$B417&amp;$E417&amp;$F417&amp;$J417,'Doc''s Pagos | Rodopar 108'!$B:$B,X$1)+SUMIFS('Doc Há Pagar | Rodopar 1015'!$J:$J,'Doc Há Pagar | Rodopar 1015'!$A:$A,$B417&amp;$E417&amp;$F417,'Doc Há Pagar | Rodopar 1015'!$B:$B,X$1)</f>
        <v>0</v>
      </c>
      <c r="Y417" s="20">
        <f>SUMIFS('Doc''s Pagos | Rodopar 108'!$J:$J,'Doc''s Pagos | Rodopar 108'!$A:$A,$B417&amp;$E417&amp;$F417&amp;$J417,'Doc''s Pagos | Rodopar 108'!$B:$B,Y$1)+SUMIFS('Doc Há Pagar | Rodopar 1015'!$J:$J,'Doc Há Pagar | Rodopar 1015'!$A:$A,$B417&amp;$E417&amp;$F417,'Doc Há Pagar | Rodopar 1015'!$B:$B,Y$1)</f>
        <v>0</v>
      </c>
      <c r="Z417" s="20">
        <f>SUMIFS('Doc''s Pagos | Rodopar 108'!$J:$J,'Doc''s Pagos | Rodopar 108'!$A:$A,$B417&amp;$E417&amp;$F417&amp;$J417,'Doc''s Pagos | Rodopar 108'!$B:$B,Z$1)+SUMIFS('Doc Há Pagar | Rodopar 1015'!$J:$J,'Doc Há Pagar | Rodopar 1015'!$A:$A,$B417&amp;$E417&amp;$F417,'Doc Há Pagar | Rodopar 1015'!$B:$B,Z$1)</f>
        <v>0</v>
      </c>
      <c r="AA417" s="20">
        <f>SUMIFS('Doc''s Pagos | Rodopar 108'!$J:$J,'Doc''s Pagos | Rodopar 108'!$A:$A,$B417&amp;$E417&amp;$F417&amp;$J417,'Doc''s Pagos | Rodopar 108'!$B:$B,AA$1)+SUMIFS('Doc Há Pagar | Rodopar 1015'!$J:$J,'Doc Há Pagar | Rodopar 1015'!$A:$A,$B417&amp;$E417&amp;$F417,'Doc Há Pagar | Rodopar 1015'!$B:$B,AA$1)</f>
        <v>585</v>
      </c>
      <c r="AB417" s="20">
        <f>SUMIFS('Doc''s Pagos | Rodopar 108'!$J:$J,'Doc''s Pagos | Rodopar 108'!$A:$A,$B417&amp;$E417&amp;$F417&amp;$J417,'Doc''s Pagos | Rodopar 108'!$B:$B,AB$1)+SUMIFS('Doc Há Pagar | Rodopar 1015'!$J:$J,'Doc Há Pagar | Rodopar 1015'!$A:$A,$B417&amp;$E417&amp;$F417,'Doc Há Pagar | Rodopar 1015'!$B:$B,AB$1)</f>
        <v>0</v>
      </c>
      <c r="AC417" s="20">
        <f>SUMIFS('Doc''s Pagos | Rodopar 108'!$J:$J,'Doc''s Pagos | Rodopar 108'!$A:$A,$B417&amp;$E417&amp;$F417&amp;$J417,'Doc''s Pagos | Rodopar 108'!$B:$B,AC$1)+SUMIFS('Doc Há Pagar | Rodopar 1015'!$J:$J,'Doc Há Pagar | Rodopar 1015'!$A:$A,$B417&amp;$E417&amp;$F417,'Doc Há Pagar | Rodopar 1015'!$B:$B,AC$1)</f>
        <v>0</v>
      </c>
      <c r="AD417" s="20">
        <f>SUMIFS('Doc''s Pagos | Rodopar 108'!$J:$J,'Doc''s Pagos | Rodopar 108'!$A:$A,$B417&amp;$E417&amp;$F417&amp;$J417,'Doc''s Pagos | Rodopar 108'!$B:$B,AD$1)+SUMIFS('Doc Há Pagar | Rodopar 1015'!$J:$J,'Doc Há Pagar | Rodopar 1015'!$A:$A,$B417&amp;$E417&amp;$F417,'Doc Há Pagar | Rodopar 1015'!$B:$B,AD$1)</f>
        <v>0</v>
      </c>
    </row>
    <row r="418" spans="1:30" x14ac:dyDescent="0.25">
      <c r="A418" s="1" t="str">
        <f>VLOOKUP($E418,Fornecedores!$A:$C,3,0)</f>
        <v>Frota</v>
      </c>
      <c r="B418" s="14">
        <v>303</v>
      </c>
      <c r="C418" s="14" t="str">
        <f>IFERROR(VLOOKUP($E418,Fornecedores!$A:$E,4,0),"")</f>
        <v>Manutenção</v>
      </c>
      <c r="D418" s="14" t="str">
        <f>IFERROR(VLOOKUP($E418,Fornecedores!$A:$E,5,0),"")</f>
        <v>Vans</v>
      </c>
      <c r="E418" s="8" t="s">
        <v>207</v>
      </c>
      <c r="F418" s="14" t="s">
        <v>665</v>
      </c>
      <c r="G418" s="8" t="s">
        <v>831</v>
      </c>
      <c r="H418" s="9">
        <v>87</v>
      </c>
      <c r="I418" s="21">
        <v>3095</v>
      </c>
      <c r="J418" s="11">
        <v>46265</v>
      </c>
      <c r="K418" s="11">
        <v>46266</v>
      </c>
      <c r="L418" s="8" t="s">
        <v>233</v>
      </c>
      <c r="M418" s="14" t="s">
        <v>234</v>
      </c>
      <c r="N418" s="16">
        <v>1556</v>
      </c>
      <c r="O418" s="14" t="s">
        <v>250</v>
      </c>
      <c r="P418" s="14"/>
      <c r="Q418" s="20">
        <f t="shared" si="6"/>
        <v>0</v>
      </c>
      <c r="S418" s="20">
        <f>SUMIFS('Doc''s Pagos | Rodopar 108'!$J:$J,'Doc''s Pagos | Rodopar 108'!$A:$A,$B418&amp;$E418&amp;$F418&amp;$J418,'Doc''s Pagos | Rodopar 108'!$B:$B,S$1)+SUMIFS('Doc Há Pagar | Rodopar 1015'!$J:$J,'Doc Há Pagar | Rodopar 1015'!$A:$A,$B418&amp;$E418&amp;$F418,'Doc Há Pagar | Rodopar 1015'!$B:$B,S$1)</f>
        <v>0</v>
      </c>
      <c r="T418" s="20">
        <f>SUMIFS('Doc''s Pagos | Rodopar 108'!$J:$J,'Doc''s Pagos | Rodopar 108'!$A:$A,$B418&amp;$E418&amp;$F418&amp;$J418,'Doc''s Pagos | Rodopar 108'!$B:$B,T$1)+SUMIFS('Doc Há Pagar | Rodopar 1015'!$J:$J,'Doc Há Pagar | Rodopar 1015'!$A:$A,$B418&amp;$E418&amp;$F418,'Doc Há Pagar | Rodopar 1015'!$B:$B,T$1)</f>
        <v>0</v>
      </c>
      <c r="U418" s="20">
        <f>SUMIFS('Doc''s Pagos | Rodopar 108'!$J:$J,'Doc''s Pagos | Rodopar 108'!$A:$A,$B418&amp;$E418&amp;$F418&amp;$J418,'Doc''s Pagos | Rodopar 108'!$B:$B,U$1)+SUMIFS('Doc Há Pagar | Rodopar 1015'!$J:$J,'Doc Há Pagar | Rodopar 1015'!$A:$A,$B418&amp;$E418&amp;$F418,'Doc Há Pagar | Rodopar 1015'!$B:$B,U$1)</f>
        <v>0</v>
      </c>
      <c r="V418" s="20">
        <f>SUMIFS('Doc''s Pagos | Rodopar 108'!$J:$J,'Doc''s Pagos | Rodopar 108'!$A:$A,$B418&amp;$E418&amp;$F418&amp;$J418,'Doc''s Pagos | Rodopar 108'!$B:$B,V$1)+SUMIFS('Doc Há Pagar | Rodopar 1015'!$J:$J,'Doc Há Pagar | Rodopar 1015'!$A:$A,$B418&amp;$E418&amp;$F418,'Doc Há Pagar | Rodopar 1015'!$B:$B,V$1)</f>
        <v>0</v>
      </c>
      <c r="W418" s="20">
        <f>SUMIFS('Doc''s Pagos | Rodopar 108'!$J:$J,'Doc''s Pagos | Rodopar 108'!$A:$A,$B418&amp;$E418&amp;$F418&amp;$J418,'Doc''s Pagos | Rodopar 108'!$B:$B,W$1)+SUMIFS('Doc Há Pagar | Rodopar 1015'!$J:$J,'Doc Há Pagar | Rodopar 1015'!$A:$A,$B418&amp;$E418&amp;$F418,'Doc Há Pagar | Rodopar 1015'!$B:$B,W$1)</f>
        <v>0</v>
      </c>
      <c r="X418" s="20">
        <f>SUMIFS('Doc''s Pagos | Rodopar 108'!$J:$J,'Doc''s Pagos | Rodopar 108'!$A:$A,$B418&amp;$E418&amp;$F418&amp;$J418,'Doc''s Pagos | Rodopar 108'!$B:$B,X$1)+SUMIFS('Doc Há Pagar | Rodopar 1015'!$J:$J,'Doc Há Pagar | Rodopar 1015'!$A:$A,$B418&amp;$E418&amp;$F418,'Doc Há Pagar | Rodopar 1015'!$B:$B,X$1)</f>
        <v>0</v>
      </c>
      <c r="Y418" s="20">
        <f>SUMIFS('Doc''s Pagos | Rodopar 108'!$J:$J,'Doc''s Pagos | Rodopar 108'!$A:$A,$B418&amp;$E418&amp;$F418&amp;$J418,'Doc''s Pagos | Rodopar 108'!$B:$B,Y$1)+SUMIFS('Doc Há Pagar | Rodopar 1015'!$J:$J,'Doc Há Pagar | Rodopar 1015'!$A:$A,$B418&amp;$E418&amp;$F418,'Doc Há Pagar | Rodopar 1015'!$B:$B,Y$1)</f>
        <v>0</v>
      </c>
      <c r="Z418" s="20">
        <f>SUMIFS('Doc''s Pagos | Rodopar 108'!$J:$J,'Doc''s Pagos | Rodopar 108'!$A:$A,$B418&amp;$E418&amp;$F418&amp;$J418,'Doc''s Pagos | Rodopar 108'!$B:$B,Z$1)+SUMIFS('Doc Há Pagar | Rodopar 1015'!$J:$J,'Doc Há Pagar | Rodopar 1015'!$A:$A,$B418&amp;$E418&amp;$F418,'Doc Há Pagar | Rodopar 1015'!$B:$B,Z$1)</f>
        <v>0</v>
      </c>
      <c r="AA418" s="20">
        <f>SUMIFS('Doc''s Pagos | Rodopar 108'!$J:$J,'Doc''s Pagos | Rodopar 108'!$A:$A,$B418&amp;$E418&amp;$F418&amp;$J418,'Doc''s Pagos | Rodopar 108'!$B:$B,AA$1)+SUMIFS('Doc Há Pagar | Rodopar 1015'!$J:$J,'Doc Há Pagar | Rodopar 1015'!$A:$A,$B418&amp;$E418&amp;$F418,'Doc Há Pagar | Rodopar 1015'!$B:$B,AA$1)</f>
        <v>3095</v>
      </c>
      <c r="AB418" s="20">
        <f>SUMIFS('Doc''s Pagos | Rodopar 108'!$J:$J,'Doc''s Pagos | Rodopar 108'!$A:$A,$B418&amp;$E418&amp;$F418&amp;$J418,'Doc''s Pagos | Rodopar 108'!$B:$B,AB$1)+SUMIFS('Doc Há Pagar | Rodopar 1015'!$J:$J,'Doc Há Pagar | Rodopar 1015'!$A:$A,$B418&amp;$E418&amp;$F418,'Doc Há Pagar | Rodopar 1015'!$B:$B,AB$1)</f>
        <v>0</v>
      </c>
      <c r="AC418" s="20">
        <f>SUMIFS('Doc''s Pagos | Rodopar 108'!$J:$J,'Doc''s Pagos | Rodopar 108'!$A:$A,$B418&amp;$E418&amp;$F418&amp;$J418,'Doc''s Pagos | Rodopar 108'!$B:$B,AC$1)+SUMIFS('Doc Há Pagar | Rodopar 1015'!$J:$J,'Doc Há Pagar | Rodopar 1015'!$A:$A,$B418&amp;$E418&amp;$F418,'Doc Há Pagar | Rodopar 1015'!$B:$B,AC$1)</f>
        <v>0</v>
      </c>
      <c r="AD418" s="20">
        <f>SUMIFS('Doc''s Pagos | Rodopar 108'!$J:$J,'Doc''s Pagos | Rodopar 108'!$A:$A,$B418&amp;$E418&amp;$F418&amp;$J418,'Doc''s Pagos | Rodopar 108'!$B:$B,AD$1)+SUMIFS('Doc Há Pagar | Rodopar 1015'!$J:$J,'Doc Há Pagar | Rodopar 1015'!$A:$A,$B418&amp;$E418&amp;$F418,'Doc Há Pagar | Rodopar 1015'!$B:$B,AD$1)</f>
        <v>0</v>
      </c>
    </row>
    <row r="419" spans="1:30" x14ac:dyDescent="0.25">
      <c r="A419" s="1" t="str">
        <f>VLOOKUP($E419,Fornecedores!$A:$C,3,0)</f>
        <v>Frota</v>
      </c>
      <c r="B419" s="14">
        <v>304</v>
      </c>
      <c r="C419" s="14" t="str">
        <f>IFERROR(VLOOKUP($E419,Fornecedores!$A:$E,4,0),"")</f>
        <v>Manutenção</v>
      </c>
      <c r="D419" s="14" t="str">
        <f>IFERROR(VLOOKUP($E419,Fornecedores!$A:$E,5,0),"")</f>
        <v>Vans</v>
      </c>
      <c r="E419" s="8" t="s">
        <v>207</v>
      </c>
      <c r="F419" s="14" t="s">
        <v>665</v>
      </c>
      <c r="G419" s="8" t="s">
        <v>831</v>
      </c>
      <c r="H419" s="9">
        <v>87</v>
      </c>
      <c r="I419" s="21">
        <v>3442</v>
      </c>
      <c r="J419" s="11">
        <v>46265</v>
      </c>
      <c r="K419" s="11">
        <v>46266</v>
      </c>
      <c r="L419" s="8" t="s">
        <v>233</v>
      </c>
      <c r="M419" s="14" t="s">
        <v>234</v>
      </c>
      <c r="N419" s="16">
        <v>1556</v>
      </c>
      <c r="O419" s="14" t="s">
        <v>250</v>
      </c>
      <c r="P419" s="14"/>
      <c r="Q419" s="20">
        <f t="shared" si="6"/>
        <v>0</v>
      </c>
      <c r="S419" s="20">
        <f>SUMIFS('Doc''s Pagos | Rodopar 108'!$J:$J,'Doc''s Pagos | Rodopar 108'!$A:$A,$B419&amp;$E419&amp;$F419&amp;$J419,'Doc''s Pagos | Rodopar 108'!$B:$B,S$1)+SUMIFS('Doc Há Pagar | Rodopar 1015'!$J:$J,'Doc Há Pagar | Rodopar 1015'!$A:$A,$B419&amp;$E419&amp;$F419,'Doc Há Pagar | Rodopar 1015'!$B:$B,S$1)</f>
        <v>0</v>
      </c>
      <c r="T419" s="20">
        <f>SUMIFS('Doc''s Pagos | Rodopar 108'!$J:$J,'Doc''s Pagos | Rodopar 108'!$A:$A,$B419&amp;$E419&amp;$F419&amp;$J419,'Doc''s Pagos | Rodopar 108'!$B:$B,T$1)+SUMIFS('Doc Há Pagar | Rodopar 1015'!$J:$J,'Doc Há Pagar | Rodopar 1015'!$A:$A,$B419&amp;$E419&amp;$F419,'Doc Há Pagar | Rodopar 1015'!$B:$B,T$1)</f>
        <v>0</v>
      </c>
      <c r="U419" s="20">
        <f>SUMIFS('Doc''s Pagos | Rodopar 108'!$J:$J,'Doc''s Pagos | Rodopar 108'!$A:$A,$B419&amp;$E419&amp;$F419&amp;$J419,'Doc''s Pagos | Rodopar 108'!$B:$B,U$1)+SUMIFS('Doc Há Pagar | Rodopar 1015'!$J:$J,'Doc Há Pagar | Rodopar 1015'!$A:$A,$B419&amp;$E419&amp;$F419,'Doc Há Pagar | Rodopar 1015'!$B:$B,U$1)</f>
        <v>0</v>
      </c>
      <c r="V419" s="20">
        <f>SUMIFS('Doc''s Pagos | Rodopar 108'!$J:$J,'Doc''s Pagos | Rodopar 108'!$A:$A,$B419&amp;$E419&amp;$F419&amp;$J419,'Doc''s Pagos | Rodopar 108'!$B:$B,V$1)+SUMIFS('Doc Há Pagar | Rodopar 1015'!$J:$J,'Doc Há Pagar | Rodopar 1015'!$A:$A,$B419&amp;$E419&amp;$F419,'Doc Há Pagar | Rodopar 1015'!$B:$B,V$1)</f>
        <v>0</v>
      </c>
      <c r="W419" s="20">
        <f>SUMIFS('Doc''s Pagos | Rodopar 108'!$J:$J,'Doc''s Pagos | Rodopar 108'!$A:$A,$B419&amp;$E419&amp;$F419&amp;$J419,'Doc''s Pagos | Rodopar 108'!$B:$B,W$1)+SUMIFS('Doc Há Pagar | Rodopar 1015'!$J:$J,'Doc Há Pagar | Rodopar 1015'!$A:$A,$B419&amp;$E419&amp;$F419,'Doc Há Pagar | Rodopar 1015'!$B:$B,W$1)</f>
        <v>0</v>
      </c>
      <c r="X419" s="20">
        <f>SUMIFS('Doc''s Pagos | Rodopar 108'!$J:$J,'Doc''s Pagos | Rodopar 108'!$A:$A,$B419&amp;$E419&amp;$F419&amp;$J419,'Doc''s Pagos | Rodopar 108'!$B:$B,X$1)+SUMIFS('Doc Há Pagar | Rodopar 1015'!$J:$J,'Doc Há Pagar | Rodopar 1015'!$A:$A,$B419&amp;$E419&amp;$F419,'Doc Há Pagar | Rodopar 1015'!$B:$B,X$1)</f>
        <v>0</v>
      </c>
      <c r="Y419" s="20">
        <f>SUMIFS('Doc''s Pagos | Rodopar 108'!$J:$J,'Doc''s Pagos | Rodopar 108'!$A:$A,$B419&amp;$E419&amp;$F419&amp;$J419,'Doc''s Pagos | Rodopar 108'!$B:$B,Y$1)+SUMIFS('Doc Há Pagar | Rodopar 1015'!$J:$J,'Doc Há Pagar | Rodopar 1015'!$A:$A,$B419&amp;$E419&amp;$F419,'Doc Há Pagar | Rodopar 1015'!$B:$B,Y$1)</f>
        <v>0</v>
      </c>
      <c r="Z419" s="20">
        <f>SUMIFS('Doc''s Pagos | Rodopar 108'!$J:$J,'Doc''s Pagos | Rodopar 108'!$A:$A,$B419&amp;$E419&amp;$F419&amp;$J419,'Doc''s Pagos | Rodopar 108'!$B:$B,Z$1)+SUMIFS('Doc Há Pagar | Rodopar 1015'!$J:$J,'Doc Há Pagar | Rodopar 1015'!$A:$A,$B419&amp;$E419&amp;$F419,'Doc Há Pagar | Rodopar 1015'!$B:$B,Z$1)</f>
        <v>0</v>
      </c>
      <c r="AA419" s="20">
        <f>SUMIFS('Doc''s Pagos | Rodopar 108'!$J:$J,'Doc''s Pagos | Rodopar 108'!$A:$A,$B419&amp;$E419&amp;$F419&amp;$J419,'Doc''s Pagos | Rodopar 108'!$B:$B,AA$1)+SUMIFS('Doc Há Pagar | Rodopar 1015'!$J:$J,'Doc Há Pagar | Rodopar 1015'!$A:$A,$B419&amp;$E419&amp;$F419,'Doc Há Pagar | Rodopar 1015'!$B:$B,AA$1)</f>
        <v>3442</v>
      </c>
      <c r="AB419" s="20">
        <f>SUMIFS('Doc''s Pagos | Rodopar 108'!$J:$J,'Doc''s Pagos | Rodopar 108'!$A:$A,$B419&amp;$E419&amp;$F419&amp;$J419,'Doc''s Pagos | Rodopar 108'!$B:$B,AB$1)+SUMIFS('Doc Há Pagar | Rodopar 1015'!$J:$J,'Doc Há Pagar | Rodopar 1015'!$A:$A,$B419&amp;$E419&amp;$F419,'Doc Há Pagar | Rodopar 1015'!$B:$B,AB$1)</f>
        <v>0</v>
      </c>
      <c r="AC419" s="20">
        <f>SUMIFS('Doc''s Pagos | Rodopar 108'!$J:$J,'Doc''s Pagos | Rodopar 108'!$A:$A,$B419&amp;$E419&amp;$F419&amp;$J419,'Doc''s Pagos | Rodopar 108'!$B:$B,AC$1)+SUMIFS('Doc Há Pagar | Rodopar 1015'!$J:$J,'Doc Há Pagar | Rodopar 1015'!$A:$A,$B419&amp;$E419&amp;$F419,'Doc Há Pagar | Rodopar 1015'!$B:$B,AC$1)</f>
        <v>0</v>
      </c>
      <c r="AD419" s="20">
        <f>SUMIFS('Doc''s Pagos | Rodopar 108'!$J:$J,'Doc''s Pagos | Rodopar 108'!$A:$A,$B419&amp;$E419&amp;$F419&amp;$J419,'Doc''s Pagos | Rodopar 108'!$B:$B,AD$1)+SUMIFS('Doc Há Pagar | Rodopar 1015'!$J:$J,'Doc Há Pagar | Rodopar 1015'!$A:$A,$B419&amp;$E419&amp;$F419,'Doc Há Pagar | Rodopar 1015'!$B:$B,AD$1)</f>
        <v>0</v>
      </c>
    </row>
    <row r="420" spans="1:30" x14ac:dyDescent="0.25">
      <c r="A420" s="1" t="str">
        <f>VLOOKUP($E420,Fornecedores!$A:$C,3,0)</f>
        <v>Frota</v>
      </c>
      <c r="B420" s="14">
        <v>14897</v>
      </c>
      <c r="C420" s="14" t="str">
        <f>IFERROR(VLOOKUP($E420,Fornecedores!$A:$E,4,0),"")</f>
        <v>Manutenção</v>
      </c>
      <c r="D420" s="14" t="str">
        <f>IFERROR(VLOOKUP($E420,Fornecedores!$A:$E,5,0),"")</f>
        <v>Peças E Serviços</v>
      </c>
      <c r="E420" s="8" t="s">
        <v>195</v>
      </c>
      <c r="F420" s="14" t="s">
        <v>380</v>
      </c>
      <c r="G420" s="8" t="s">
        <v>418</v>
      </c>
      <c r="H420" s="9">
        <v>87</v>
      </c>
      <c r="I420" s="21">
        <v>46</v>
      </c>
      <c r="J420" s="11">
        <v>46266</v>
      </c>
      <c r="K420" s="11">
        <v>46273</v>
      </c>
      <c r="L420" s="8" t="s">
        <v>282</v>
      </c>
      <c r="M420" s="14" t="s">
        <v>234</v>
      </c>
      <c r="N420" s="16">
        <v>1556</v>
      </c>
      <c r="O420" s="14" t="s">
        <v>241</v>
      </c>
      <c r="P420" s="14"/>
      <c r="Q420" s="20">
        <f t="shared" si="6"/>
        <v>0</v>
      </c>
      <c r="S420" s="20">
        <f>SUMIFS('Doc''s Pagos | Rodopar 108'!$J:$J,'Doc''s Pagos | Rodopar 108'!$A:$A,$B420&amp;$E420&amp;$F420&amp;$J420,'Doc''s Pagos | Rodopar 108'!$B:$B,S$1)+SUMIFS('Doc Há Pagar | Rodopar 1015'!$J:$J,'Doc Há Pagar | Rodopar 1015'!$A:$A,$B420&amp;$E420&amp;$F420,'Doc Há Pagar | Rodopar 1015'!$B:$B,S$1)</f>
        <v>0</v>
      </c>
      <c r="T420" s="20">
        <f>SUMIFS('Doc''s Pagos | Rodopar 108'!$J:$J,'Doc''s Pagos | Rodopar 108'!$A:$A,$B420&amp;$E420&amp;$F420&amp;$J420,'Doc''s Pagos | Rodopar 108'!$B:$B,T$1)+SUMIFS('Doc Há Pagar | Rodopar 1015'!$J:$J,'Doc Há Pagar | Rodopar 1015'!$A:$A,$B420&amp;$E420&amp;$F420,'Doc Há Pagar | Rodopar 1015'!$B:$B,T$1)</f>
        <v>0</v>
      </c>
      <c r="U420" s="20">
        <f>SUMIFS('Doc''s Pagos | Rodopar 108'!$J:$J,'Doc''s Pagos | Rodopar 108'!$A:$A,$B420&amp;$E420&amp;$F420&amp;$J420,'Doc''s Pagos | Rodopar 108'!$B:$B,U$1)+SUMIFS('Doc Há Pagar | Rodopar 1015'!$J:$J,'Doc Há Pagar | Rodopar 1015'!$A:$A,$B420&amp;$E420&amp;$F420,'Doc Há Pagar | Rodopar 1015'!$B:$B,U$1)</f>
        <v>0</v>
      </c>
      <c r="V420" s="20">
        <f>SUMIFS('Doc''s Pagos | Rodopar 108'!$J:$J,'Doc''s Pagos | Rodopar 108'!$A:$A,$B420&amp;$E420&amp;$F420&amp;$J420,'Doc''s Pagos | Rodopar 108'!$B:$B,V$1)+SUMIFS('Doc Há Pagar | Rodopar 1015'!$J:$J,'Doc Há Pagar | Rodopar 1015'!$A:$A,$B420&amp;$E420&amp;$F420,'Doc Há Pagar | Rodopar 1015'!$B:$B,V$1)</f>
        <v>0</v>
      </c>
      <c r="W420" s="20">
        <f>SUMIFS('Doc''s Pagos | Rodopar 108'!$J:$J,'Doc''s Pagos | Rodopar 108'!$A:$A,$B420&amp;$E420&amp;$F420&amp;$J420,'Doc''s Pagos | Rodopar 108'!$B:$B,W$1)+SUMIFS('Doc Há Pagar | Rodopar 1015'!$J:$J,'Doc Há Pagar | Rodopar 1015'!$A:$A,$B420&amp;$E420&amp;$F420,'Doc Há Pagar | Rodopar 1015'!$B:$B,W$1)</f>
        <v>0</v>
      </c>
      <c r="X420" s="20">
        <f>SUMIFS('Doc''s Pagos | Rodopar 108'!$J:$J,'Doc''s Pagos | Rodopar 108'!$A:$A,$B420&amp;$E420&amp;$F420&amp;$J420,'Doc''s Pagos | Rodopar 108'!$B:$B,X$1)+SUMIFS('Doc Há Pagar | Rodopar 1015'!$J:$J,'Doc Há Pagar | Rodopar 1015'!$A:$A,$B420&amp;$E420&amp;$F420,'Doc Há Pagar | Rodopar 1015'!$B:$B,X$1)</f>
        <v>0</v>
      </c>
      <c r="Y420" s="20">
        <f>SUMIFS('Doc''s Pagos | Rodopar 108'!$J:$J,'Doc''s Pagos | Rodopar 108'!$A:$A,$B420&amp;$E420&amp;$F420&amp;$J420,'Doc''s Pagos | Rodopar 108'!$B:$B,Y$1)+SUMIFS('Doc Há Pagar | Rodopar 1015'!$J:$J,'Doc Há Pagar | Rodopar 1015'!$A:$A,$B420&amp;$E420&amp;$F420,'Doc Há Pagar | Rodopar 1015'!$B:$B,Y$1)</f>
        <v>0</v>
      </c>
      <c r="Z420" s="20">
        <f>SUMIFS('Doc''s Pagos | Rodopar 108'!$J:$J,'Doc''s Pagos | Rodopar 108'!$A:$A,$B420&amp;$E420&amp;$F420&amp;$J420,'Doc''s Pagos | Rodopar 108'!$B:$B,Z$1)+SUMIFS('Doc Há Pagar | Rodopar 1015'!$J:$J,'Doc Há Pagar | Rodopar 1015'!$A:$A,$B420&amp;$E420&amp;$F420,'Doc Há Pagar | Rodopar 1015'!$B:$B,Z$1)</f>
        <v>0</v>
      </c>
      <c r="AA420" s="20">
        <f>SUMIFS('Doc''s Pagos | Rodopar 108'!$J:$J,'Doc''s Pagos | Rodopar 108'!$A:$A,$B420&amp;$E420&amp;$F420&amp;$J420,'Doc''s Pagos | Rodopar 108'!$B:$B,AA$1)+SUMIFS('Doc Há Pagar | Rodopar 1015'!$J:$J,'Doc Há Pagar | Rodopar 1015'!$A:$A,$B420&amp;$E420&amp;$F420,'Doc Há Pagar | Rodopar 1015'!$B:$B,AA$1)</f>
        <v>0</v>
      </c>
      <c r="AB420" s="20">
        <f>SUMIFS('Doc''s Pagos | Rodopar 108'!$J:$J,'Doc''s Pagos | Rodopar 108'!$A:$A,$B420&amp;$E420&amp;$F420&amp;$J420,'Doc''s Pagos | Rodopar 108'!$B:$B,AB$1)+SUMIFS('Doc Há Pagar | Rodopar 1015'!$J:$J,'Doc Há Pagar | Rodopar 1015'!$A:$A,$B420&amp;$E420&amp;$F420,'Doc Há Pagar | Rodopar 1015'!$B:$B,AB$1)</f>
        <v>46</v>
      </c>
      <c r="AC420" s="20">
        <f>SUMIFS('Doc''s Pagos | Rodopar 108'!$J:$J,'Doc''s Pagos | Rodopar 108'!$A:$A,$B420&amp;$E420&amp;$F420&amp;$J420,'Doc''s Pagos | Rodopar 108'!$B:$B,AC$1)+SUMIFS('Doc Há Pagar | Rodopar 1015'!$J:$J,'Doc Há Pagar | Rodopar 1015'!$A:$A,$B420&amp;$E420&amp;$F420,'Doc Há Pagar | Rodopar 1015'!$B:$B,AC$1)</f>
        <v>0</v>
      </c>
      <c r="AD420" s="20">
        <f>SUMIFS('Doc''s Pagos | Rodopar 108'!$J:$J,'Doc''s Pagos | Rodopar 108'!$A:$A,$B420&amp;$E420&amp;$F420&amp;$J420,'Doc''s Pagos | Rodopar 108'!$B:$B,AD$1)+SUMIFS('Doc Há Pagar | Rodopar 1015'!$J:$J,'Doc Há Pagar | Rodopar 1015'!$A:$A,$B420&amp;$E420&amp;$F420,'Doc Há Pagar | Rodopar 1015'!$B:$B,AD$1)</f>
        <v>0</v>
      </c>
    </row>
    <row r="421" spans="1:30" x14ac:dyDescent="0.25">
      <c r="A421" s="1" t="str">
        <f>VLOOKUP($E421,Fornecedores!$A:$C,3,0)</f>
        <v>Frota</v>
      </c>
      <c r="B421" s="14">
        <v>14898</v>
      </c>
      <c r="C421" s="14" t="str">
        <f>IFERROR(VLOOKUP($E421,Fornecedores!$A:$E,4,0),"")</f>
        <v>Manutenção</v>
      </c>
      <c r="D421" s="14" t="str">
        <f>IFERROR(VLOOKUP($E421,Fornecedores!$A:$E,5,0),"")</f>
        <v>Peças E Serviços</v>
      </c>
      <c r="E421" s="8" t="s">
        <v>195</v>
      </c>
      <c r="F421" s="14" t="s">
        <v>380</v>
      </c>
      <c r="G421" s="8" t="s">
        <v>418</v>
      </c>
      <c r="H421" s="9">
        <v>87</v>
      </c>
      <c r="I421" s="21">
        <v>449.4</v>
      </c>
      <c r="J421" s="11">
        <v>46266</v>
      </c>
      <c r="K421" s="11">
        <v>46273</v>
      </c>
      <c r="L421" s="8" t="s">
        <v>282</v>
      </c>
      <c r="M421" s="14" t="s">
        <v>234</v>
      </c>
      <c r="N421" s="16">
        <v>1556</v>
      </c>
      <c r="O421" s="14" t="s">
        <v>241</v>
      </c>
      <c r="P421" s="14"/>
      <c r="Q421" s="20">
        <f t="shared" si="6"/>
        <v>0</v>
      </c>
      <c r="S421" s="20">
        <f>SUMIFS('Doc''s Pagos | Rodopar 108'!$J:$J,'Doc''s Pagos | Rodopar 108'!$A:$A,$B421&amp;$E421&amp;$F421&amp;$J421,'Doc''s Pagos | Rodopar 108'!$B:$B,S$1)+SUMIFS('Doc Há Pagar | Rodopar 1015'!$J:$J,'Doc Há Pagar | Rodopar 1015'!$A:$A,$B421&amp;$E421&amp;$F421,'Doc Há Pagar | Rodopar 1015'!$B:$B,S$1)</f>
        <v>0</v>
      </c>
      <c r="T421" s="20">
        <f>SUMIFS('Doc''s Pagos | Rodopar 108'!$J:$J,'Doc''s Pagos | Rodopar 108'!$A:$A,$B421&amp;$E421&amp;$F421&amp;$J421,'Doc''s Pagos | Rodopar 108'!$B:$B,T$1)+SUMIFS('Doc Há Pagar | Rodopar 1015'!$J:$J,'Doc Há Pagar | Rodopar 1015'!$A:$A,$B421&amp;$E421&amp;$F421,'Doc Há Pagar | Rodopar 1015'!$B:$B,T$1)</f>
        <v>0</v>
      </c>
      <c r="U421" s="20">
        <f>SUMIFS('Doc''s Pagos | Rodopar 108'!$J:$J,'Doc''s Pagos | Rodopar 108'!$A:$A,$B421&amp;$E421&amp;$F421&amp;$J421,'Doc''s Pagos | Rodopar 108'!$B:$B,U$1)+SUMIFS('Doc Há Pagar | Rodopar 1015'!$J:$J,'Doc Há Pagar | Rodopar 1015'!$A:$A,$B421&amp;$E421&amp;$F421,'Doc Há Pagar | Rodopar 1015'!$B:$B,U$1)</f>
        <v>0</v>
      </c>
      <c r="V421" s="20">
        <f>SUMIFS('Doc''s Pagos | Rodopar 108'!$J:$J,'Doc''s Pagos | Rodopar 108'!$A:$A,$B421&amp;$E421&amp;$F421&amp;$J421,'Doc''s Pagos | Rodopar 108'!$B:$B,V$1)+SUMIFS('Doc Há Pagar | Rodopar 1015'!$J:$J,'Doc Há Pagar | Rodopar 1015'!$A:$A,$B421&amp;$E421&amp;$F421,'Doc Há Pagar | Rodopar 1015'!$B:$B,V$1)</f>
        <v>0</v>
      </c>
      <c r="W421" s="20">
        <f>SUMIFS('Doc''s Pagos | Rodopar 108'!$J:$J,'Doc''s Pagos | Rodopar 108'!$A:$A,$B421&amp;$E421&amp;$F421&amp;$J421,'Doc''s Pagos | Rodopar 108'!$B:$B,W$1)+SUMIFS('Doc Há Pagar | Rodopar 1015'!$J:$J,'Doc Há Pagar | Rodopar 1015'!$A:$A,$B421&amp;$E421&amp;$F421,'Doc Há Pagar | Rodopar 1015'!$B:$B,W$1)</f>
        <v>0</v>
      </c>
      <c r="X421" s="20">
        <f>SUMIFS('Doc''s Pagos | Rodopar 108'!$J:$J,'Doc''s Pagos | Rodopar 108'!$A:$A,$B421&amp;$E421&amp;$F421&amp;$J421,'Doc''s Pagos | Rodopar 108'!$B:$B,X$1)+SUMIFS('Doc Há Pagar | Rodopar 1015'!$J:$J,'Doc Há Pagar | Rodopar 1015'!$A:$A,$B421&amp;$E421&amp;$F421,'Doc Há Pagar | Rodopar 1015'!$B:$B,X$1)</f>
        <v>0</v>
      </c>
      <c r="Y421" s="20">
        <f>SUMIFS('Doc''s Pagos | Rodopar 108'!$J:$J,'Doc''s Pagos | Rodopar 108'!$A:$A,$B421&amp;$E421&amp;$F421&amp;$J421,'Doc''s Pagos | Rodopar 108'!$B:$B,Y$1)+SUMIFS('Doc Há Pagar | Rodopar 1015'!$J:$J,'Doc Há Pagar | Rodopar 1015'!$A:$A,$B421&amp;$E421&amp;$F421,'Doc Há Pagar | Rodopar 1015'!$B:$B,Y$1)</f>
        <v>0</v>
      </c>
      <c r="Z421" s="20">
        <f>SUMIFS('Doc''s Pagos | Rodopar 108'!$J:$J,'Doc''s Pagos | Rodopar 108'!$A:$A,$B421&amp;$E421&amp;$F421&amp;$J421,'Doc''s Pagos | Rodopar 108'!$B:$B,Z$1)+SUMIFS('Doc Há Pagar | Rodopar 1015'!$J:$J,'Doc Há Pagar | Rodopar 1015'!$A:$A,$B421&amp;$E421&amp;$F421,'Doc Há Pagar | Rodopar 1015'!$B:$B,Z$1)</f>
        <v>0</v>
      </c>
      <c r="AA421" s="20">
        <f>SUMIFS('Doc''s Pagos | Rodopar 108'!$J:$J,'Doc''s Pagos | Rodopar 108'!$A:$A,$B421&amp;$E421&amp;$F421&amp;$J421,'Doc''s Pagos | Rodopar 108'!$B:$B,AA$1)+SUMIFS('Doc Há Pagar | Rodopar 1015'!$J:$J,'Doc Há Pagar | Rodopar 1015'!$A:$A,$B421&amp;$E421&amp;$F421,'Doc Há Pagar | Rodopar 1015'!$B:$B,AA$1)</f>
        <v>0</v>
      </c>
      <c r="AB421" s="20">
        <f>SUMIFS('Doc''s Pagos | Rodopar 108'!$J:$J,'Doc''s Pagos | Rodopar 108'!$A:$A,$B421&amp;$E421&amp;$F421&amp;$J421,'Doc''s Pagos | Rodopar 108'!$B:$B,AB$1)+SUMIFS('Doc Há Pagar | Rodopar 1015'!$J:$J,'Doc Há Pagar | Rodopar 1015'!$A:$A,$B421&amp;$E421&amp;$F421,'Doc Há Pagar | Rodopar 1015'!$B:$B,AB$1)</f>
        <v>449.4</v>
      </c>
      <c r="AC421" s="20">
        <f>SUMIFS('Doc''s Pagos | Rodopar 108'!$J:$J,'Doc''s Pagos | Rodopar 108'!$A:$A,$B421&amp;$E421&amp;$F421&amp;$J421,'Doc''s Pagos | Rodopar 108'!$B:$B,AC$1)+SUMIFS('Doc Há Pagar | Rodopar 1015'!$J:$J,'Doc Há Pagar | Rodopar 1015'!$A:$A,$B421&amp;$E421&amp;$F421,'Doc Há Pagar | Rodopar 1015'!$B:$B,AC$1)</f>
        <v>0</v>
      </c>
      <c r="AD421" s="20">
        <f>SUMIFS('Doc''s Pagos | Rodopar 108'!$J:$J,'Doc''s Pagos | Rodopar 108'!$A:$A,$B421&amp;$E421&amp;$F421&amp;$J421,'Doc''s Pagos | Rodopar 108'!$B:$B,AD$1)+SUMIFS('Doc Há Pagar | Rodopar 1015'!$J:$J,'Doc Há Pagar | Rodopar 1015'!$A:$A,$B421&amp;$E421&amp;$F421,'Doc Há Pagar | Rodopar 1015'!$B:$B,AD$1)</f>
        <v>0</v>
      </c>
    </row>
    <row r="422" spans="1:30" x14ac:dyDescent="0.25">
      <c r="A422" s="1" t="str">
        <f>VLOOKUP($E422,Fornecedores!$A:$C,3,0)</f>
        <v>Frota</v>
      </c>
      <c r="B422" s="14">
        <v>754</v>
      </c>
      <c r="C422" s="14" t="str">
        <f>IFERROR(VLOOKUP($E422,Fornecedores!$A:$E,4,0),"")</f>
        <v>Manutenção</v>
      </c>
      <c r="D422" s="14" t="str">
        <f>IFERROR(VLOOKUP($E422,Fornecedores!$A:$E,5,0),"")</f>
        <v>Peças E Serviços</v>
      </c>
      <c r="E422" s="8" t="s">
        <v>195</v>
      </c>
      <c r="F422" s="14" t="s">
        <v>665</v>
      </c>
      <c r="G422" s="8" t="s">
        <v>418</v>
      </c>
      <c r="H422" s="9">
        <v>87</v>
      </c>
      <c r="I422" s="21">
        <v>580</v>
      </c>
      <c r="J422" s="11">
        <v>46266</v>
      </c>
      <c r="K422" s="11">
        <v>46273</v>
      </c>
      <c r="L422" s="8" t="s">
        <v>282</v>
      </c>
      <c r="M422" s="14" t="s">
        <v>234</v>
      </c>
      <c r="N422" s="16">
        <v>1556</v>
      </c>
      <c r="O422" s="14" t="s">
        <v>241</v>
      </c>
      <c r="P422" s="14"/>
      <c r="Q422" s="20">
        <f t="shared" si="6"/>
        <v>0</v>
      </c>
      <c r="S422" s="20">
        <f>SUMIFS('Doc''s Pagos | Rodopar 108'!$J:$J,'Doc''s Pagos | Rodopar 108'!$A:$A,$B422&amp;$E422&amp;$F422&amp;$J422,'Doc''s Pagos | Rodopar 108'!$B:$B,S$1)+SUMIFS('Doc Há Pagar | Rodopar 1015'!$J:$J,'Doc Há Pagar | Rodopar 1015'!$A:$A,$B422&amp;$E422&amp;$F422,'Doc Há Pagar | Rodopar 1015'!$B:$B,S$1)</f>
        <v>0</v>
      </c>
      <c r="T422" s="20">
        <f>SUMIFS('Doc''s Pagos | Rodopar 108'!$J:$J,'Doc''s Pagos | Rodopar 108'!$A:$A,$B422&amp;$E422&amp;$F422&amp;$J422,'Doc''s Pagos | Rodopar 108'!$B:$B,T$1)+SUMIFS('Doc Há Pagar | Rodopar 1015'!$J:$J,'Doc Há Pagar | Rodopar 1015'!$A:$A,$B422&amp;$E422&amp;$F422,'Doc Há Pagar | Rodopar 1015'!$B:$B,T$1)</f>
        <v>0</v>
      </c>
      <c r="U422" s="20">
        <f>SUMIFS('Doc''s Pagos | Rodopar 108'!$J:$J,'Doc''s Pagos | Rodopar 108'!$A:$A,$B422&amp;$E422&amp;$F422&amp;$J422,'Doc''s Pagos | Rodopar 108'!$B:$B,U$1)+SUMIFS('Doc Há Pagar | Rodopar 1015'!$J:$J,'Doc Há Pagar | Rodopar 1015'!$A:$A,$B422&amp;$E422&amp;$F422,'Doc Há Pagar | Rodopar 1015'!$B:$B,U$1)</f>
        <v>0</v>
      </c>
      <c r="V422" s="20">
        <f>SUMIFS('Doc''s Pagos | Rodopar 108'!$J:$J,'Doc''s Pagos | Rodopar 108'!$A:$A,$B422&amp;$E422&amp;$F422&amp;$J422,'Doc''s Pagos | Rodopar 108'!$B:$B,V$1)+SUMIFS('Doc Há Pagar | Rodopar 1015'!$J:$J,'Doc Há Pagar | Rodopar 1015'!$A:$A,$B422&amp;$E422&amp;$F422,'Doc Há Pagar | Rodopar 1015'!$B:$B,V$1)</f>
        <v>0</v>
      </c>
      <c r="W422" s="20">
        <f>SUMIFS('Doc''s Pagos | Rodopar 108'!$J:$J,'Doc''s Pagos | Rodopar 108'!$A:$A,$B422&amp;$E422&amp;$F422&amp;$J422,'Doc''s Pagos | Rodopar 108'!$B:$B,W$1)+SUMIFS('Doc Há Pagar | Rodopar 1015'!$J:$J,'Doc Há Pagar | Rodopar 1015'!$A:$A,$B422&amp;$E422&amp;$F422,'Doc Há Pagar | Rodopar 1015'!$B:$B,W$1)</f>
        <v>0</v>
      </c>
      <c r="X422" s="20">
        <f>SUMIFS('Doc''s Pagos | Rodopar 108'!$J:$J,'Doc''s Pagos | Rodopar 108'!$A:$A,$B422&amp;$E422&amp;$F422&amp;$J422,'Doc''s Pagos | Rodopar 108'!$B:$B,X$1)+SUMIFS('Doc Há Pagar | Rodopar 1015'!$J:$J,'Doc Há Pagar | Rodopar 1015'!$A:$A,$B422&amp;$E422&amp;$F422,'Doc Há Pagar | Rodopar 1015'!$B:$B,X$1)</f>
        <v>0</v>
      </c>
      <c r="Y422" s="20">
        <f>SUMIFS('Doc''s Pagos | Rodopar 108'!$J:$J,'Doc''s Pagos | Rodopar 108'!$A:$A,$B422&amp;$E422&amp;$F422&amp;$J422,'Doc''s Pagos | Rodopar 108'!$B:$B,Y$1)+SUMIFS('Doc Há Pagar | Rodopar 1015'!$J:$J,'Doc Há Pagar | Rodopar 1015'!$A:$A,$B422&amp;$E422&amp;$F422,'Doc Há Pagar | Rodopar 1015'!$B:$B,Y$1)</f>
        <v>0</v>
      </c>
      <c r="Z422" s="20">
        <f>SUMIFS('Doc''s Pagos | Rodopar 108'!$J:$J,'Doc''s Pagos | Rodopar 108'!$A:$A,$B422&amp;$E422&amp;$F422&amp;$J422,'Doc''s Pagos | Rodopar 108'!$B:$B,Z$1)+SUMIFS('Doc Há Pagar | Rodopar 1015'!$J:$J,'Doc Há Pagar | Rodopar 1015'!$A:$A,$B422&amp;$E422&amp;$F422,'Doc Há Pagar | Rodopar 1015'!$B:$B,Z$1)</f>
        <v>0</v>
      </c>
      <c r="AA422" s="20">
        <f>SUMIFS('Doc''s Pagos | Rodopar 108'!$J:$J,'Doc''s Pagos | Rodopar 108'!$A:$A,$B422&amp;$E422&amp;$F422&amp;$J422,'Doc''s Pagos | Rodopar 108'!$B:$B,AA$1)+SUMIFS('Doc Há Pagar | Rodopar 1015'!$J:$J,'Doc Há Pagar | Rodopar 1015'!$A:$A,$B422&amp;$E422&amp;$F422,'Doc Há Pagar | Rodopar 1015'!$B:$B,AA$1)</f>
        <v>0</v>
      </c>
      <c r="AB422" s="20">
        <f>SUMIFS('Doc''s Pagos | Rodopar 108'!$J:$J,'Doc''s Pagos | Rodopar 108'!$A:$A,$B422&amp;$E422&amp;$F422&amp;$J422,'Doc''s Pagos | Rodopar 108'!$B:$B,AB$1)+SUMIFS('Doc Há Pagar | Rodopar 1015'!$J:$J,'Doc Há Pagar | Rodopar 1015'!$A:$A,$B422&amp;$E422&amp;$F422,'Doc Há Pagar | Rodopar 1015'!$B:$B,AB$1)</f>
        <v>580</v>
      </c>
      <c r="AC422" s="20">
        <f>SUMIFS('Doc''s Pagos | Rodopar 108'!$J:$J,'Doc''s Pagos | Rodopar 108'!$A:$A,$B422&amp;$E422&amp;$F422&amp;$J422,'Doc''s Pagos | Rodopar 108'!$B:$B,AC$1)+SUMIFS('Doc Há Pagar | Rodopar 1015'!$J:$J,'Doc Há Pagar | Rodopar 1015'!$A:$A,$B422&amp;$E422&amp;$F422,'Doc Há Pagar | Rodopar 1015'!$B:$B,AC$1)</f>
        <v>0</v>
      </c>
      <c r="AD422" s="20">
        <f>SUMIFS('Doc''s Pagos | Rodopar 108'!$J:$J,'Doc''s Pagos | Rodopar 108'!$A:$A,$B422&amp;$E422&amp;$F422&amp;$J422,'Doc''s Pagos | Rodopar 108'!$B:$B,AD$1)+SUMIFS('Doc Há Pagar | Rodopar 1015'!$J:$J,'Doc Há Pagar | Rodopar 1015'!$A:$A,$B422&amp;$E422&amp;$F422,'Doc Há Pagar | Rodopar 1015'!$B:$B,AD$1)</f>
        <v>0</v>
      </c>
    </row>
    <row r="423" spans="1:30" x14ac:dyDescent="0.25">
      <c r="A423" s="1" t="str">
        <f>VLOOKUP($E423,Fornecedores!$A:$C,3,0)</f>
        <v>Frota</v>
      </c>
      <c r="B423" s="14">
        <v>755</v>
      </c>
      <c r="C423" s="14" t="str">
        <f>IFERROR(VLOOKUP($E423,Fornecedores!$A:$E,4,0),"")</f>
        <v>Manutenção</v>
      </c>
      <c r="D423" s="14" t="str">
        <f>IFERROR(VLOOKUP($E423,Fornecedores!$A:$E,5,0),"")</f>
        <v>Peças E Serviços</v>
      </c>
      <c r="E423" s="8" t="s">
        <v>195</v>
      </c>
      <c r="F423" s="14" t="s">
        <v>665</v>
      </c>
      <c r="G423" s="8" t="s">
        <v>418</v>
      </c>
      <c r="H423" s="9">
        <v>87</v>
      </c>
      <c r="I423" s="21">
        <v>540</v>
      </c>
      <c r="J423" s="11">
        <v>46266</v>
      </c>
      <c r="K423" s="11">
        <v>46273</v>
      </c>
      <c r="L423" s="8" t="s">
        <v>282</v>
      </c>
      <c r="M423" s="14" t="s">
        <v>234</v>
      </c>
      <c r="N423" s="16">
        <v>1556</v>
      </c>
      <c r="O423" s="14" t="s">
        <v>241</v>
      </c>
      <c r="P423" s="14"/>
      <c r="Q423" s="20">
        <f t="shared" si="6"/>
        <v>0</v>
      </c>
      <c r="S423" s="20">
        <f>SUMIFS('Doc''s Pagos | Rodopar 108'!$J:$J,'Doc''s Pagos | Rodopar 108'!$A:$A,$B423&amp;$E423&amp;$F423&amp;$J423,'Doc''s Pagos | Rodopar 108'!$B:$B,S$1)+SUMIFS('Doc Há Pagar | Rodopar 1015'!$J:$J,'Doc Há Pagar | Rodopar 1015'!$A:$A,$B423&amp;$E423&amp;$F423,'Doc Há Pagar | Rodopar 1015'!$B:$B,S$1)</f>
        <v>0</v>
      </c>
      <c r="T423" s="20">
        <f>SUMIFS('Doc''s Pagos | Rodopar 108'!$J:$J,'Doc''s Pagos | Rodopar 108'!$A:$A,$B423&amp;$E423&amp;$F423&amp;$J423,'Doc''s Pagos | Rodopar 108'!$B:$B,T$1)+SUMIFS('Doc Há Pagar | Rodopar 1015'!$J:$J,'Doc Há Pagar | Rodopar 1015'!$A:$A,$B423&amp;$E423&amp;$F423,'Doc Há Pagar | Rodopar 1015'!$B:$B,T$1)</f>
        <v>0</v>
      </c>
      <c r="U423" s="20">
        <f>SUMIFS('Doc''s Pagos | Rodopar 108'!$J:$J,'Doc''s Pagos | Rodopar 108'!$A:$A,$B423&amp;$E423&amp;$F423&amp;$J423,'Doc''s Pagos | Rodopar 108'!$B:$B,U$1)+SUMIFS('Doc Há Pagar | Rodopar 1015'!$J:$J,'Doc Há Pagar | Rodopar 1015'!$A:$A,$B423&amp;$E423&amp;$F423,'Doc Há Pagar | Rodopar 1015'!$B:$B,U$1)</f>
        <v>0</v>
      </c>
      <c r="V423" s="20">
        <f>SUMIFS('Doc''s Pagos | Rodopar 108'!$J:$J,'Doc''s Pagos | Rodopar 108'!$A:$A,$B423&amp;$E423&amp;$F423&amp;$J423,'Doc''s Pagos | Rodopar 108'!$B:$B,V$1)+SUMIFS('Doc Há Pagar | Rodopar 1015'!$J:$J,'Doc Há Pagar | Rodopar 1015'!$A:$A,$B423&amp;$E423&amp;$F423,'Doc Há Pagar | Rodopar 1015'!$B:$B,V$1)</f>
        <v>0</v>
      </c>
      <c r="W423" s="20">
        <f>SUMIFS('Doc''s Pagos | Rodopar 108'!$J:$J,'Doc''s Pagos | Rodopar 108'!$A:$A,$B423&amp;$E423&amp;$F423&amp;$J423,'Doc''s Pagos | Rodopar 108'!$B:$B,W$1)+SUMIFS('Doc Há Pagar | Rodopar 1015'!$J:$J,'Doc Há Pagar | Rodopar 1015'!$A:$A,$B423&amp;$E423&amp;$F423,'Doc Há Pagar | Rodopar 1015'!$B:$B,W$1)</f>
        <v>0</v>
      </c>
      <c r="X423" s="20">
        <f>SUMIFS('Doc''s Pagos | Rodopar 108'!$J:$J,'Doc''s Pagos | Rodopar 108'!$A:$A,$B423&amp;$E423&amp;$F423&amp;$J423,'Doc''s Pagos | Rodopar 108'!$B:$B,X$1)+SUMIFS('Doc Há Pagar | Rodopar 1015'!$J:$J,'Doc Há Pagar | Rodopar 1015'!$A:$A,$B423&amp;$E423&amp;$F423,'Doc Há Pagar | Rodopar 1015'!$B:$B,X$1)</f>
        <v>0</v>
      </c>
      <c r="Y423" s="20">
        <f>SUMIFS('Doc''s Pagos | Rodopar 108'!$J:$J,'Doc''s Pagos | Rodopar 108'!$A:$A,$B423&amp;$E423&amp;$F423&amp;$J423,'Doc''s Pagos | Rodopar 108'!$B:$B,Y$1)+SUMIFS('Doc Há Pagar | Rodopar 1015'!$J:$J,'Doc Há Pagar | Rodopar 1015'!$A:$A,$B423&amp;$E423&amp;$F423,'Doc Há Pagar | Rodopar 1015'!$B:$B,Y$1)</f>
        <v>0</v>
      </c>
      <c r="Z423" s="20">
        <f>SUMIFS('Doc''s Pagos | Rodopar 108'!$J:$J,'Doc''s Pagos | Rodopar 108'!$A:$A,$B423&amp;$E423&amp;$F423&amp;$J423,'Doc''s Pagos | Rodopar 108'!$B:$B,Z$1)+SUMIFS('Doc Há Pagar | Rodopar 1015'!$J:$J,'Doc Há Pagar | Rodopar 1015'!$A:$A,$B423&amp;$E423&amp;$F423,'Doc Há Pagar | Rodopar 1015'!$B:$B,Z$1)</f>
        <v>0</v>
      </c>
      <c r="AA423" s="20">
        <f>SUMIFS('Doc''s Pagos | Rodopar 108'!$J:$J,'Doc''s Pagos | Rodopar 108'!$A:$A,$B423&amp;$E423&amp;$F423&amp;$J423,'Doc''s Pagos | Rodopar 108'!$B:$B,AA$1)+SUMIFS('Doc Há Pagar | Rodopar 1015'!$J:$J,'Doc Há Pagar | Rodopar 1015'!$A:$A,$B423&amp;$E423&amp;$F423,'Doc Há Pagar | Rodopar 1015'!$B:$B,AA$1)</f>
        <v>0</v>
      </c>
      <c r="AB423" s="20">
        <f>SUMIFS('Doc''s Pagos | Rodopar 108'!$J:$J,'Doc''s Pagos | Rodopar 108'!$A:$A,$B423&amp;$E423&amp;$F423&amp;$J423,'Doc''s Pagos | Rodopar 108'!$B:$B,AB$1)+SUMIFS('Doc Há Pagar | Rodopar 1015'!$J:$J,'Doc Há Pagar | Rodopar 1015'!$A:$A,$B423&amp;$E423&amp;$F423,'Doc Há Pagar | Rodopar 1015'!$B:$B,AB$1)</f>
        <v>540</v>
      </c>
      <c r="AC423" s="20">
        <f>SUMIFS('Doc''s Pagos | Rodopar 108'!$J:$J,'Doc''s Pagos | Rodopar 108'!$A:$A,$B423&amp;$E423&amp;$F423&amp;$J423,'Doc''s Pagos | Rodopar 108'!$B:$B,AC$1)+SUMIFS('Doc Há Pagar | Rodopar 1015'!$J:$J,'Doc Há Pagar | Rodopar 1015'!$A:$A,$B423&amp;$E423&amp;$F423,'Doc Há Pagar | Rodopar 1015'!$B:$B,AC$1)</f>
        <v>0</v>
      </c>
      <c r="AD423" s="20">
        <f>SUMIFS('Doc''s Pagos | Rodopar 108'!$J:$J,'Doc''s Pagos | Rodopar 108'!$A:$A,$B423&amp;$E423&amp;$F423&amp;$J423,'Doc''s Pagos | Rodopar 108'!$B:$B,AD$1)+SUMIFS('Doc Há Pagar | Rodopar 1015'!$J:$J,'Doc Há Pagar | Rodopar 1015'!$A:$A,$B423&amp;$E423&amp;$F423,'Doc Há Pagar | Rodopar 1015'!$B:$B,AD$1)</f>
        <v>0</v>
      </c>
    </row>
    <row r="424" spans="1:30" x14ac:dyDescent="0.25">
      <c r="A424" s="1" t="str">
        <f>VLOOKUP($E424,Fornecedores!$A:$C,3,0)</f>
        <v>Frota</v>
      </c>
      <c r="B424" s="14">
        <v>756</v>
      </c>
      <c r="C424" s="14" t="str">
        <f>IFERROR(VLOOKUP($E424,Fornecedores!$A:$E,4,0),"")</f>
        <v>Manutenção</v>
      </c>
      <c r="D424" s="14" t="str">
        <f>IFERROR(VLOOKUP($E424,Fornecedores!$A:$E,5,0),"")</f>
        <v>Peças E Serviços</v>
      </c>
      <c r="E424" s="8" t="s">
        <v>195</v>
      </c>
      <c r="F424" s="14" t="s">
        <v>665</v>
      </c>
      <c r="G424" s="8" t="s">
        <v>418</v>
      </c>
      <c r="H424" s="9">
        <v>87</v>
      </c>
      <c r="I424" s="21">
        <v>440</v>
      </c>
      <c r="J424" s="11">
        <v>46266</v>
      </c>
      <c r="K424" s="11">
        <v>46273</v>
      </c>
      <c r="L424" s="8" t="s">
        <v>282</v>
      </c>
      <c r="M424" s="14" t="s">
        <v>234</v>
      </c>
      <c r="N424" s="16">
        <v>1556</v>
      </c>
      <c r="O424" s="14" t="s">
        <v>241</v>
      </c>
      <c r="P424" s="14"/>
      <c r="Q424" s="20">
        <f t="shared" si="6"/>
        <v>0</v>
      </c>
      <c r="S424" s="20">
        <f>SUMIFS('Doc''s Pagos | Rodopar 108'!$J:$J,'Doc''s Pagos | Rodopar 108'!$A:$A,$B424&amp;$E424&amp;$F424&amp;$J424,'Doc''s Pagos | Rodopar 108'!$B:$B,S$1)+SUMIFS('Doc Há Pagar | Rodopar 1015'!$J:$J,'Doc Há Pagar | Rodopar 1015'!$A:$A,$B424&amp;$E424&amp;$F424,'Doc Há Pagar | Rodopar 1015'!$B:$B,S$1)</f>
        <v>0</v>
      </c>
      <c r="T424" s="20">
        <f>SUMIFS('Doc''s Pagos | Rodopar 108'!$J:$J,'Doc''s Pagos | Rodopar 108'!$A:$A,$B424&amp;$E424&amp;$F424&amp;$J424,'Doc''s Pagos | Rodopar 108'!$B:$B,T$1)+SUMIFS('Doc Há Pagar | Rodopar 1015'!$J:$J,'Doc Há Pagar | Rodopar 1015'!$A:$A,$B424&amp;$E424&amp;$F424,'Doc Há Pagar | Rodopar 1015'!$B:$B,T$1)</f>
        <v>0</v>
      </c>
      <c r="U424" s="20">
        <f>SUMIFS('Doc''s Pagos | Rodopar 108'!$J:$J,'Doc''s Pagos | Rodopar 108'!$A:$A,$B424&amp;$E424&amp;$F424&amp;$J424,'Doc''s Pagos | Rodopar 108'!$B:$B,U$1)+SUMIFS('Doc Há Pagar | Rodopar 1015'!$J:$J,'Doc Há Pagar | Rodopar 1015'!$A:$A,$B424&amp;$E424&amp;$F424,'Doc Há Pagar | Rodopar 1015'!$B:$B,U$1)</f>
        <v>0</v>
      </c>
      <c r="V424" s="20">
        <f>SUMIFS('Doc''s Pagos | Rodopar 108'!$J:$J,'Doc''s Pagos | Rodopar 108'!$A:$A,$B424&amp;$E424&amp;$F424&amp;$J424,'Doc''s Pagos | Rodopar 108'!$B:$B,V$1)+SUMIFS('Doc Há Pagar | Rodopar 1015'!$J:$J,'Doc Há Pagar | Rodopar 1015'!$A:$A,$B424&amp;$E424&amp;$F424,'Doc Há Pagar | Rodopar 1015'!$B:$B,V$1)</f>
        <v>0</v>
      </c>
      <c r="W424" s="20">
        <f>SUMIFS('Doc''s Pagos | Rodopar 108'!$J:$J,'Doc''s Pagos | Rodopar 108'!$A:$A,$B424&amp;$E424&amp;$F424&amp;$J424,'Doc''s Pagos | Rodopar 108'!$B:$B,W$1)+SUMIFS('Doc Há Pagar | Rodopar 1015'!$J:$J,'Doc Há Pagar | Rodopar 1015'!$A:$A,$B424&amp;$E424&amp;$F424,'Doc Há Pagar | Rodopar 1015'!$B:$B,W$1)</f>
        <v>0</v>
      </c>
      <c r="X424" s="20">
        <f>SUMIFS('Doc''s Pagos | Rodopar 108'!$J:$J,'Doc''s Pagos | Rodopar 108'!$A:$A,$B424&amp;$E424&amp;$F424&amp;$J424,'Doc''s Pagos | Rodopar 108'!$B:$B,X$1)+SUMIFS('Doc Há Pagar | Rodopar 1015'!$J:$J,'Doc Há Pagar | Rodopar 1015'!$A:$A,$B424&amp;$E424&amp;$F424,'Doc Há Pagar | Rodopar 1015'!$B:$B,X$1)</f>
        <v>0</v>
      </c>
      <c r="Y424" s="20">
        <f>SUMIFS('Doc''s Pagos | Rodopar 108'!$J:$J,'Doc''s Pagos | Rodopar 108'!$A:$A,$B424&amp;$E424&amp;$F424&amp;$J424,'Doc''s Pagos | Rodopar 108'!$B:$B,Y$1)+SUMIFS('Doc Há Pagar | Rodopar 1015'!$J:$J,'Doc Há Pagar | Rodopar 1015'!$A:$A,$B424&amp;$E424&amp;$F424,'Doc Há Pagar | Rodopar 1015'!$B:$B,Y$1)</f>
        <v>0</v>
      </c>
      <c r="Z424" s="20">
        <f>SUMIFS('Doc''s Pagos | Rodopar 108'!$J:$J,'Doc''s Pagos | Rodopar 108'!$A:$A,$B424&amp;$E424&amp;$F424&amp;$J424,'Doc''s Pagos | Rodopar 108'!$B:$B,Z$1)+SUMIFS('Doc Há Pagar | Rodopar 1015'!$J:$J,'Doc Há Pagar | Rodopar 1015'!$A:$A,$B424&amp;$E424&amp;$F424,'Doc Há Pagar | Rodopar 1015'!$B:$B,Z$1)</f>
        <v>0</v>
      </c>
      <c r="AA424" s="20">
        <f>SUMIFS('Doc''s Pagos | Rodopar 108'!$J:$J,'Doc''s Pagos | Rodopar 108'!$A:$A,$B424&amp;$E424&amp;$F424&amp;$J424,'Doc''s Pagos | Rodopar 108'!$B:$B,AA$1)+SUMIFS('Doc Há Pagar | Rodopar 1015'!$J:$J,'Doc Há Pagar | Rodopar 1015'!$A:$A,$B424&amp;$E424&amp;$F424,'Doc Há Pagar | Rodopar 1015'!$B:$B,AA$1)</f>
        <v>0</v>
      </c>
      <c r="AB424" s="20">
        <f>SUMIFS('Doc''s Pagos | Rodopar 108'!$J:$J,'Doc''s Pagos | Rodopar 108'!$A:$A,$B424&amp;$E424&amp;$F424&amp;$J424,'Doc''s Pagos | Rodopar 108'!$B:$B,AB$1)+SUMIFS('Doc Há Pagar | Rodopar 1015'!$J:$J,'Doc Há Pagar | Rodopar 1015'!$A:$A,$B424&amp;$E424&amp;$F424,'Doc Há Pagar | Rodopar 1015'!$B:$B,AB$1)</f>
        <v>440</v>
      </c>
      <c r="AC424" s="20">
        <f>SUMIFS('Doc''s Pagos | Rodopar 108'!$J:$J,'Doc''s Pagos | Rodopar 108'!$A:$A,$B424&amp;$E424&amp;$F424&amp;$J424,'Doc''s Pagos | Rodopar 108'!$B:$B,AC$1)+SUMIFS('Doc Há Pagar | Rodopar 1015'!$J:$J,'Doc Há Pagar | Rodopar 1015'!$A:$A,$B424&amp;$E424&amp;$F424,'Doc Há Pagar | Rodopar 1015'!$B:$B,AC$1)</f>
        <v>0</v>
      </c>
      <c r="AD424" s="20">
        <f>SUMIFS('Doc''s Pagos | Rodopar 108'!$J:$J,'Doc''s Pagos | Rodopar 108'!$A:$A,$B424&amp;$E424&amp;$F424&amp;$J424,'Doc''s Pagos | Rodopar 108'!$B:$B,AD$1)+SUMIFS('Doc Há Pagar | Rodopar 1015'!$J:$J,'Doc Há Pagar | Rodopar 1015'!$A:$A,$B424&amp;$E424&amp;$F424,'Doc Há Pagar | Rodopar 1015'!$B:$B,AD$1)</f>
        <v>0</v>
      </c>
    </row>
    <row r="425" spans="1:30" x14ac:dyDescent="0.25">
      <c r="A425" s="1" t="str">
        <f>VLOOKUP($E425,Fornecedores!$A:$C,3,0)</f>
        <v>Frota</v>
      </c>
      <c r="B425" s="14">
        <v>215</v>
      </c>
      <c r="C425" s="14" t="str">
        <f>IFERROR(VLOOKUP($E425,Fornecedores!$A:$E,4,0),"")</f>
        <v>Manutenção</v>
      </c>
      <c r="D425" s="14" t="str">
        <f>IFERROR(VLOOKUP($E425,Fornecedores!$A:$E,5,0),"")</f>
        <v>Peças E Serviços</v>
      </c>
      <c r="E425" s="8" t="s">
        <v>27</v>
      </c>
      <c r="F425" s="14" t="s">
        <v>665</v>
      </c>
      <c r="G425" s="8" t="s">
        <v>525</v>
      </c>
      <c r="H425" s="9">
        <v>87</v>
      </c>
      <c r="I425" s="21">
        <v>150</v>
      </c>
      <c r="J425" s="11">
        <v>46267</v>
      </c>
      <c r="K425" s="11">
        <v>46268</v>
      </c>
      <c r="L425" s="8" t="s">
        <v>282</v>
      </c>
      <c r="M425" s="14" t="s">
        <v>234</v>
      </c>
      <c r="N425" s="16">
        <v>1556</v>
      </c>
      <c r="O425" s="14" t="s">
        <v>250</v>
      </c>
      <c r="P425" s="14"/>
      <c r="Q425" s="20">
        <f t="shared" si="6"/>
        <v>0</v>
      </c>
      <c r="S425" s="20">
        <f>SUMIFS('Doc''s Pagos | Rodopar 108'!$J:$J,'Doc''s Pagos | Rodopar 108'!$A:$A,$B425&amp;$E425&amp;$F425&amp;$J425,'Doc''s Pagos | Rodopar 108'!$B:$B,S$1)+SUMIFS('Doc Há Pagar | Rodopar 1015'!$J:$J,'Doc Há Pagar | Rodopar 1015'!$A:$A,$B425&amp;$E425&amp;$F425,'Doc Há Pagar | Rodopar 1015'!$B:$B,S$1)</f>
        <v>0</v>
      </c>
      <c r="T425" s="20">
        <f>SUMIFS('Doc''s Pagos | Rodopar 108'!$J:$J,'Doc''s Pagos | Rodopar 108'!$A:$A,$B425&amp;$E425&amp;$F425&amp;$J425,'Doc''s Pagos | Rodopar 108'!$B:$B,T$1)+SUMIFS('Doc Há Pagar | Rodopar 1015'!$J:$J,'Doc Há Pagar | Rodopar 1015'!$A:$A,$B425&amp;$E425&amp;$F425,'Doc Há Pagar | Rodopar 1015'!$B:$B,T$1)</f>
        <v>0</v>
      </c>
      <c r="U425" s="20">
        <f>SUMIFS('Doc''s Pagos | Rodopar 108'!$J:$J,'Doc''s Pagos | Rodopar 108'!$A:$A,$B425&amp;$E425&amp;$F425&amp;$J425,'Doc''s Pagos | Rodopar 108'!$B:$B,U$1)+SUMIFS('Doc Há Pagar | Rodopar 1015'!$J:$J,'Doc Há Pagar | Rodopar 1015'!$A:$A,$B425&amp;$E425&amp;$F425,'Doc Há Pagar | Rodopar 1015'!$B:$B,U$1)</f>
        <v>0</v>
      </c>
      <c r="V425" s="20">
        <f>SUMIFS('Doc''s Pagos | Rodopar 108'!$J:$J,'Doc''s Pagos | Rodopar 108'!$A:$A,$B425&amp;$E425&amp;$F425&amp;$J425,'Doc''s Pagos | Rodopar 108'!$B:$B,V$1)+SUMIFS('Doc Há Pagar | Rodopar 1015'!$J:$J,'Doc Há Pagar | Rodopar 1015'!$A:$A,$B425&amp;$E425&amp;$F425,'Doc Há Pagar | Rodopar 1015'!$B:$B,V$1)</f>
        <v>0</v>
      </c>
      <c r="W425" s="20">
        <f>SUMIFS('Doc''s Pagos | Rodopar 108'!$J:$J,'Doc''s Pagos | Rodopar 108'!$A:$A,$B425&amp;$E425&amp;$F425&amp;$J425,'Doc''s Pagos | Rodopar 108'!$B:$B,W$1)+SUMIFS('Doc Há Pagar | Rodopar 1015'!$J:$J,'Doc Há Pagar | Rodopar 1015'!$A:$A,$B425&amp;$E425&amp;$F425,'Doc Há Pagar | Rodopar 1015'!$B:$B,W$1)</f>
        <v>0</v>
      </c>
      <c r="X425" s="20">
        <f>SUMIFS('Doc''s Pagos | Rodopar 108'!$J:$J,'Doc''s Pagos | Rodopar 108'!$A:$A,$B425&amp;$E425&amp;$F425&amp;$J425,'Doc''s Pagos | Rodopar 108'!$B:$B,X$1)+SUMIFS('Doc Há Pagar | Rodopar 1015'!$J:$J,'Doc Há Pagar | Rodopar 1015'!$A:$A,$B425&amp;$E425&amp;$F425,'Doc Há Pagar | Rodopar 1015'!$B:$B,X$1)</f>
        <v>0</v>
      </c>
      <c r="Y425" s="20">
        <f>SUMIFS('Doc''s Pagos | Rodopar 108'!$J:$J,'Doc''s Pagos | Rodopar 108'!$A:$A,$B425&amp;$E425&amp;$F425&amp;$J425,'Doc''s Pagos | Rodopar 108'!$B:$B,Y$1)+SUMIFS('Doc Há Pagar | Rodopar 1015'!$J:$J,'Doc Há Pagar | Rodopar 1015'!$A:$A,$B425&amp;$E425&amp;$F425,'Doc Há Pagar | Rodopar 1015'!$B:$B,Y$1)</f>
        <v>0</v>
      </c>
      <c r="Z425" s="20">
        <f>SUMIFS('Doc''s Pagos | Rodopar 108'!$J:$J,'Doc''s Pagos | Rodopar 108'!$A:$A,$B425&amp;$E425&amp;$F425&amp;$J425,'Doc''s Pagos | Rodopar 108'!$B:$B,Z$1)+SUMIFS('Doc Há Pagar | Rodopar 1015'!$J:$J,'Doc Há Pagar | Rodopar 1015'!$A:$A,$B425&amp;$E425&amp;$F425,'Doc Há Pagar | Rodopar 1015'!$B:$B,Z$1)</f>
        <v>0</v>
      </c>
      <c r="AA425" s="20">
        <f>SUMIFS('Doc''s Pagos | Rodopar 108'!$J:$J,'Doc''s Pagos | Rodopar 108'!$A:$A,$B425&amp;$E425&amp;$F425&amp;$J425,'Doc''s Pagos | Rodopar 108'!$B:$B,AA$1)+SUMIFS('Doc Há Pagar | Rodopar 1015'!$J:$J,'Doc Há Pagar | Rodopar 1015'!$A:$A,$B425&amp;$E425&amp;$F425,'Doc Há Pagar | Rodopar 1015'!$B:$B,AA$1)</f>
        <v>150</v>
      </c>
      <c r="AB425" s="20">
        <f>SUMIFS('Doc''s Pagos | Rodopar 108'!$J:$J,'Doc''s Pagos | Rodopar 108'!$A:$A,$B425&amp;$E425&amp;$F425&amp;$J425,'Doc''s Pagos | Rodopar 108'!$B:$B,AB$1)+SUMIFS('Doc Há Pagar | Rodopar 1015'!$J:$J,'Doc Há Pagar | Rodopar 1015'!$A:$A,$B425&amp;$E425&amp;$F425,'Doc Há Pagar | Rodopar 1015'!$B:$B,AB$1)</f>
        <v>0</v>
      </c>
      <c r="AC425" s="20">
        <f>SUMIFS('Doc''s Pagos | Rodopar 108'!$J:$J,'Doc''s Pagos | Rodopar 108'!$A:$A,$B425&amp;$E425&amp;$F425&amp;$J425,'Doc''s Pagos | Rodopar 108'!$B:$B,AC$1)+SUMIFS('Doc Há Pagar | Rodopar 1015'!$J:$J,'Doc Há Pagar | Rodopar 1015'!$A:$A,$B425&amp;$E425&amp;$F425,'Doc Há Pagar | Rodopar 1015'!$B:$B,AC$1)</f>
        <v>0</v>
      </c>
      <c r="AD425" s="20">
        <f>SUMIFS('Doc''s Pagos | Rodopar 108'!$J:$J,'Doc''s Pagos | Rodopar 108'!$A:$A,$B425&amp;$E425&amp;$F425&amp;$J425,'Doc''s Pagos | Rodopar 108'!$B:$B,AD$1)+SUMIFS('Doc Há Pagar | Rodopar 1015'!$J:$J,'Doc Há Pagar | Rodopar 1015'!$A:$A,$B425&amp;$E425&amp;$F425,'Doc Há Pagar | Rodopar 1015'!$B:$B,AD$1)</f>
        <v>0</v>
      </c>
    </row>
    <row r="426" spans="1:30" x14ac:dyDescent="0.25">
      <c r="A426" s="1" t="str">
        <f>VLOOKUP($E426,Fornecedores!$A:$C,3,0)</f>
        <v>Frota</v>
      </c>
      <c r="B426" s="14">
        <v>237</v>
      </c>
      <c r="C426" s="14" t="str">
        <f>IFERROR(VLOOKUP($E426,Fornecedores!$A:$E,4,0),"")</f>
        <v>Pneus</v>
      </c>
      <c r="D426" s="14" t="str">
        <f>IFERROR(VLOOKUP($E426,Fornecedores!$A:$E,5,0),"")</f>
        <v>Serviços Gerais</v>
      </c>
      <c r="E426" s="8" t="s">
        <v>209</v>
      </c>
      <c r="F426" s="14" t="s">
        <v>665</v>
      </c>
      <c r="G426" s="8" t="s">
        <v>797</v>
      </c>
      <c r="H426" s="9">
        <v>87</v>
      </c>
      <c r="I426" s="21">
        <v>815</v>
      </c>
      <c r="J426" s="11">
        <v>46267</v>
      </c>
      <c r="K426" s="11">
        <v>46268</v>
      </c>
      <c r="L426" s="8" t="s">
        <v>382</v>
      </c>
      <c r="M426" s="14" t="s">
        <v>234</v>
      </c>
      <c r="N426" s="16">
        <v>1556</v>
      </c>
      <c r="O426" s="14" t="s">
        <v>241</v>
      </c>
      <c r="P426" s="14"/>
      <c r="Q426" s="20">
        <f t="shared" si="6"/>
        <v>0</v>
      </c>
      <c r="S426" s="20">
        <f>SUMIFS('Doc''s Pagos | Rodopar 108'!$J:$J,'Doc''s Pagos | Rodopar 108'!$A:$A,$B426&amp;$E426&amp;$F426&amp;$J426,'Doc''s Pagos | Rodopar 108'!$B:$B,S$1)+SUMIFS('Doc Há Pagar | Rodopar 1015'!$J:$J,'Doc Há Pagar | Rodopar 1015'!$A:$A,$B426&amp;$E426&amp;$F426,'Doc Há Pagar | Rodopar 1015'!$B:$B,S$1)</f>
        <v>0</v>
      </c>
      <c r="T426" s="20">
        <f>SUMIFS('Doc''s Pagos | Rodopar 108'!$J:$J,'Doc''s Pagos | Rodopar 108'!$A:$A,$B426&amp;$E426&amp;$F426&amp;$J426,'Doc''s Pagos | Rodopar 108'!$B:$B,T$1)+SUMIFS('Doc Há Pagar | Rodopar 1015'!$J:$J,'Doc Há Pagar | Rodopar 1015'!$A:$A,$B426&amp;$E426&amp;$F426,'Doc Há Pagar | Rodopar 1015'!$B:$B,T$1)</f>
        <v>0</v>
      </c>
      <c r="U426" s="20">
        <f>SUMIFS('Doc''s Pagos | Rodopar 108'!$J:$J,'Doc''s Pagos | Rodopar 108'!$A:$A,$B426&amp;$E426&amp;$F426&amp;$J426,'Doc''s Pagos | Rodopar 108'!$B:$B,U$1)+SUMIFS('Doc Há Pagar | Rodopar 1015'!$J:$J,'Doc Há Pagar | Rodopar 1015'!$A:$A,$B426&amp;$E426&amp;$F426,'Doc Há Pagar | Rodopar 1015'!$B:$B,U$1)</f>
        <v>0</v>
      </c>
      <c r="V426" s="20">
        <f>SUMIFS('Doc''s Pagos | Rodopar 108'!$J:$J,'Doc''s Pagos | Rodopar 108'!$A:$A,$B426&amp;$E426&amp;$F426&amp;$J426,'Doc''s Pagos | Rodopar 108'!$B:$B,V$1)+SUMIFS('Doc Há Pagar | Rodopar 1015'!$J:$J,'Doc Há Pagar | Rodopar 1015'!$A:$A,$B426&amp;$E426&amp;$F426,'Doc Há Pagar | Rodopar 1015'!$B:$B,V$1)</f>
        <v>0</v>
      </c>
      <c r="W426" s="20">
        <f>SUMIFS('Doc''s Pagos | Rodopar 108'!$J:$J,'Doc''s Pagos | Rodopar 108'!$A:$A,$B426&amp;$E426&amp;$F426&amp;$J426,'Doc''s Pagos | Rodopar 108'!$B:$B,W$1)+SUMIFS('Doc Há Pagar | Rodopar 1015'!$J:$J,'Doc Há Pagar | Rodopar 1015'!$A:$A,$B426&amp;$E426&amp;$F426,'Doc Há Pagar | Rodopar 1015'!$B:$B,W$1)</f>
        <v>0</v>
      </c>
      <c r="X426" s="20">
        <f>SUMIFS('Doc''s Pagos | Rodopar 108'!$J:$J,'Doc''s Pagos | Rodopar 108'!$A:$A,$B426&amp;$E426&amp;$F426&amp;$J426,'Doc''s Pagos | Rodopar 108'!$B:$B,X$1)+SUMIFS('Doc Há Pagar | Rodopar 1015'!$J:$J,'Doc Há Pagar | Rodopar 1015'!$A:$A,$B426&amp;$E426&amp;$F426,'Doc Há Pagar | Rodopar 1015'!$B:$B,X$1)</f>
        <v>0</v>
      </c>
      <c r="Y426" s="20">
        <f>SUMIFS('Doc''s Pagos | Rodopar 108'!$J:$J,'Doc''s Pagos | Rodopar 108'!$A:$A,$B426&amp;$E426&amp;$F426&amp;$J426,'Doc''s Pagos | Rodopar 108'!$B:$B,Y$1)+SUMIFS('Doc Há Pagar | Rodopar 1015'!$J:$J,'Doc Há Pagar | Rodopar 1015'!$A:$A,$B426&amp;$E426&amp;$F426,'Doc Há Pagar | Rodopar 1015'!$B:$B,Y$1)</f>
        <v>0</v>
      </c>
      <c r="Z426" s="20">
        <f>SUMIFS('Doc''s Pagos | Rodopar 108'!$J:$J,'Doc''s Pagos | Rodopar 108'!$A:$A,$B426&amp;$E426&amp;$F426&amp;$J426,'Doc''s Pagos | Rodopar 108'!$B:$B,Z$1)+SUMIFS('Doc Há Pagar | Rodopar 1015'!$J:$J,'Doc Há Pagar | Rodopar 1015'!$A:$A,$B426&amp;$E426&amp;$F426,'Doc Há Pagar | Rodopar 1015'!$B:$B,Z$1)</f>
        <v>0</v>
      </c>
      <c r="AA426" s="20">
        <f>SUMIFS('Doc''s Pagos | Rodopar 108'!$J:$J,'Doc''s Pagos | Rodopar 108'!$A:$A,$B426&amp;$E426&amp;$F426&amp;$J426,'Doc''s Pagos | Rodopar 108'!$B:$B,AA$1)+SUMIFS('Doc Há Pagar | Rodopar 1015'!$J:$J,'Doc Há Pagar | Rodopar 1015'!$A:$A,$B426&amp;$E426&amp;$F426,'Doc Há Pagar | Rodopar 1015'!$B:$B,AA$1)</f>
        <v>0</v>
      </c>
      <c r="AB426" s="20">
        <f>SUMIFS('Doc''s Pagos | Rodopar 108'!$J:$J,'Doc''s Pagos | Rodopar 108'!$A:$A,$B426&amp;$E426&amp;$F426&amp;$J426,'Doc''s Pagos | Rodopar 108'!$B:$B,AB$1)+SUMIFS('Doc Há Pagar | Rodopar 1015'!$J:$J,'Doc Há Pagar | Rodopar 1015'!$A:$A,$B426&amp;$E426&amp;$F426,'Doc Há Pagar | Rodopar 1015'!$B:$B,AB$1)</f>
        <v>815</v>
      </c>
      <c r="AC426" s="20">
        <f>SUMIFS('Doc''s Pagos | Rodopar 108'!$J:$J,'Doc''s Pagos | Rodopar 108'!$A:$A,$B426&amp;$E426&amp;$F426&amp;$J426,'Doc''s Pagos | Rodopar 108'!$B:$B,AC$1)+SUMIFS('Doc Há Pagar | Rodopar 1015'!$J:$J,'Doc Há Pagar | Rodopar 1015'!$A:$A,$B426&amp;$E426&amp;$F426,'Doc Há Pagar | Rodopar 1015'!$B:$B,AC$1)</f>
        <v>0</v>
      </c>
      <c r="AD426" s="20">
        <f>SUMIFS('Doc''s Pagos | Rodopar 108'!$J:$J,'Doc''s Pagos | Rodopar 108'!$A:$A,$B426&amp;$E426&amp;$F426&amp;$J426,'Doc''s Pagos | Rodopar 108'!$B:$B,AD$1)+SUMIFS('Doc Há Pagar | Rodopar 1015'!$J:$J,'Doc Há Pagar | Rodopar 1015'!$A:$A,$B426&amp;$E426&amp;$F426,'Doc Há Pagar | Rodopar 1015'!$B:$B,AD$1)</f>
        <v>0</v>
      </c>
    </row>
    <row r="427" spans="1:30" x14ac:dyDescent="0.25">
      <c r="A427" s="1" t="str">
        <f>VLOOKUP($E427,Fornecedores!$A:$C,3,0)</f>
        <v>Frota</v>
      </c>
      <c r="B427" s="14">
        <v>3295</v>
      </c>
      <c r="C427" s="14" t="str">
        <f>IFERROR(VLOOKUP($E427,Fornecedores!$A:$E,4,0),"")</f>
        <v>Pneus</v>
      </c>
      <c r="D427" s="14" t="str">
        <f>IFERROR(VLOOKUP($E427,Fornecedores!$A:$E,5,0),"")</f>
        <v>Ressolagem</v>
      </c>
      <c r="E427" s="8" t="s">
        <v>81</v>
      </c>
      <c r="F427" s="14" t="s">
        <v>665</v>
      </c>
      <c r="G427" s="8" t="s">
        <v>612</v>
      </c>
      <c r="H427" s="9">
        <v>87</v>
      </c>
      <c r="I427" s="21">
        <v>6175</v>
      </c>
      <c r="J427" s="11">
        <v>46267</v>
      </c>
      <c r="K427" s="11">
        <v>46273</v>
      </c>
      <c r="L427" s="8" t="s">
        <v>382</v>
      </c>
      <c r="M427" s="14" t="s">
        <v>234</v>
      </c>
      <c r="N427" s="16">
        <v>1556</v>
      </c>
      <c r="O427" s="14" t="s">
        <v>241</v>
      </c>
      <c r="P427" s="14"/>
      <c r="Q427" s="20">
        <f t="shared" si="6"/>
        <v>0</v>
      </c>
      <c r="S427" s="20">
        <f>SUMIFS('Doc''s Pagos | Rodopar 108'!$J:$J,'Doc''s Pagos | Rodopar 108'!$A:$A,$B427&amp;$E427&amp;$F427&amp;$J427,'Doc''s Pagos | Rodopar 108'!$B:$B,S$1)+SUMIFS('Doc Há Pagar | Rodopar 1015'!$J:$J,'Doc Há Pagar | Rodopar 1015'!$A:$A,$B427&amp;$E427&amp;$F427,'Doc Há Pagar | Rodopar 1015'!$B:$B,S$1)</f>
        <v>0</v>
      </c>
      <c r="T427" s="20">
        <f>SUMIFS('Doc''s Pagos | Rodopar 108'!$J:$J,'Doc''s Pagos | Rodopar 108'!$A:$A,$B427&amp;$E427&amp;$F427&amp;$J427,'Doc''s Pagos | Rodopar 108'!$B:$B,T$1)+SUMIFS('Doc Há Pagar | Rodopar 1015'!$J:$J,'Doc Há Pagar | Rodopar 1015'!$A:$A,$B427&amp;$E427&amp;$F427,'Doc Há Pagar | Rodopar 1015'!$B:$B,T$1)</f>
        <v>0</v>
      </c>
      <c r="U427" s="20">
        <f>SUMIFS('Doc''s Pagos | Rodopar 108'!$J:$J,'Doc''s Pagos | Rodopar 108'!$A:$A,$B427&amp;$E427&amp;$F427&amp;$J427,'Doc''s Pagos | Rodopar 108'!$B:$B,U$1)+SUMIFS('Doc Há Pagar | Rodopar 1015'!$J:$J,'Doc Há Pagar | Rodopar 1015'!$A:$A,$B427&amp;$E427&amp;$F427,'Doc Há Pagar | Rodopar 1015'!$B:$B,U$1)</f>
        <v>0</v>
      </c>
      <c r="V427" s="20">
        <f>SUMIFS('Doc''s Pagos | Rodopar 108'!$J:$J,'Doc''s Pagos | Rodopar 108'!$A:$A,$B427&amp;$E427&amp;$F427&amp;$J427,'Doc''s Pagos | Rodopar 108'!$B:$B,V$1)+SUMIFS('Doc Há Pagar | Rodopar 1015'!$J:$J,'Doc Há Pagar | Rodopar 1015'!$A:$A,$B427&amp;$E427&amp;$F427,'Doc Há Pagar | Rodopar 1015'!$B:$B,V$1)</f>
        <v>0</v>
      </c>
      <c r="W427" s="20">
        <f>SUMIFS('Doc''s Pagos | Rodopar 108'!$J:$J,'Doc''s Pagos | Rodopar 108'!$A:$A,$B427&amp;$E427&amp;$F427&amp;$J427,'Doc''s Pagos | Rodopar 108'!$B:$B,W$1)+SUMIFS('Doc Há Pagar | Rodopar 1015'!$J:$J,'Doc Há Pagar | Rodopar 1015'!$A:$A,$B427&amp;$E427&amp;$F427,'Doc Há Pagar | Rodopar 1015'!$B:$B,W$1)</f>
        <v>0</v>
      </c>
      <c r="X427" s="20">
        <f>SUMIFS('Doc''s Pagos | Rodopar 108'!$J:$J,'Doc''s Pagos | Rodopar 108'!$A:$A,$B427&amp;$E427&amp;$F427&amp;$J427,'Doc''s Pagos | Rodopar 108'!$B:$B,X$1)+SUMIFS('Doc Há Pagar | Rodopar 1015'!$J:$J,'Doc Há Pagar | Rodopar 1015'!$A:$A,$B427&amp;$E427&amp;$F427,'Doc Há Pagar | Rodopar 1015'!$B:$B,X$1)</f>
        <v>0</v>
      </c>
      <c r="Y427" s="20">
        <f>SUMIFS('Doc''s Pagos | Rodopar 108'!$J:$J,'Doc''s Pagos | Rodopar 108'!$A:$A,$B427&amp;$E427&amp;$F427&amp;$J427,'Doc''s Pagos | Rodopar 108'!$B:$B,Y$1)+SUMIFS('Doc Há Pagar | Rodopar 1015'!$J:$J,'Doc Há Pagar | Rodopar 1015'!$A:$A,$B427&amp;$E427&amp;$F427,'Doc Há Pagar | Rodopar 1015'!$B:$B,Y$1)</f>
        <v>0</v>
      </c>
      <c r="Z427" s="20">
        <f>SUMIFS('Doc''s Pagos | Rodopar 108'!$J:$J,'Doc''s Pagos | Rodopar 108'!$A:$A,$B427&amp;$E427&amp;$F427&amp;$J427,'Doc''s Pagos | Rodopar 108'!$B:$B,Z$1)+SUMIFS('Doc Há Pagar | Rodopar 1015'!$J:$J,'Doc Há Pagar | Rodopar 1015'!$A:$A,$B427&amp;$E427&amp;$F427,'Doc Há Pagar | Rodopar 1015'!$B:$B,Z$1)</f>
        <v>0</v>
      </c>
      <c r="AA427" s="20">
        <f>SUMIFS('Doc''s Pagos | Rodopar 108'!$J:$J,'Doc''s Pagos | Rodopar 108'!$A:$A,$B427&amp;$E427&amp;$F427&amp;$J427,'Doc''s Pagos | Rodopar 108'!$B:$B,AA$1)+SUMIFS('Doc Há Pagar | Rodopar 1015'!$J:$J,'Doc Há Pagar | Rodopar 1015'!$A:$A,$B427&amp;$E427&amp;$F427,'Doc Há Pagar | Rodopar 1015'!$B:$B,AA$1)</f>
        <v>0</v>
      </c>
      <c r="AB427" s="20">
        <f>SUMIFS('Doc''s Pagos | Rodopar 108'!$J:$J,'Doc''s Pagos | Rodopar 108'!$A:$A,$B427&amp;$E427&amp;$F427&amp;$J427,'Doc''s Pagos | Rodopar 108'!$B:$B,AB$1)+SUMIFS('Doc Há Pagar | Rodopar 1015'!$J:$J,'Doc Há Pagar | Rodopar 1015'!$A:$A,$B427&amp;$E427&amp;$F427,'Doc Há Pagar | Rodopar 1015'!$B:$B,AB$1)</f>
        <v>2058.34</v>
      </c>
      <c r="AC427" s="20">
        <f>SUMIFS('Doc''s Pagos | Rodopar 108'!$J:$J,'Doc''s Pagos | Rodopar 108'!$A:$A,$B427&amp;$E427&amp;$F427&amp;$J427,'Doc''s Pagos | Rodopar 108'!$B:$B,AC$1)+SUMIFS('Doc Há Pagar | Rodopar 1015'!$J:$J,'Doc Há Pagar | Rodopar 1015'!$A:$A,$B427&amp;$E427&amp;$F427,'Doc Há Pagar | Rodopar 1015'!$B:$B,AC$1)</f>
        <v>2058.33</v>
      </c>
      <c r="AD427" s="20">
        <f>SUMIFS('Doc''s Pagos | Rodopar 108'!$J:$J,'Doc''s Pagos | Rodopar 108'!$A:$A,$B427&amp;$E427&amp;$F427&amp;$J427,'Doc''s Pagos | Rodopar 108'!$B:$B,AD$1)+SUMIFS('Doc Há Pagar | Rodopar 1015'!$J:$J,'Doc Há Pagar | Rodopar 1015'!$A:$A,$B427&amp;$E427&amp;$F427,'Doc Há Pagar | Rodopar 1015'!$B:$B,AD$1)</f>
        <v>2058.33</v>
      </c>
    </row>
    <row r="428" spans="1:30" x14ac:dyDescent="0.25">
      <c r="A428" s="1" t="str">
        <f>VLOOKUP($E428,Fornecedores!$A:$C,3,0)</f>
        <v>Frota</v>
      </c>
      <c r="B428" s="14">
        <v>71728</v>
      </c>
      <c r="C428" s="14" t="str">
        <f>IFERROR(VLOOKUP($E428,Fornecedores!$A:$E,4,0),"")</f>
        <v>Sinistro</v>
      </c>
      <c r="D428" s="14" t="str">
        <f>IFERROR(VLOOKUP($E428,Fornecedores!$A:$E,5,0),"")</f>
        <v>Parabrisa</v>
      </c>
      <c r="E428" s="8" t="s">
        <v>165</v>
      </c>
      <c r="F428" s="14" t="s">
        <v>380</v>
      </c>
      <c r="G428" s="8" t="s">
        <v>573</v>
      </c>
      <c r="H428" s="9">
        <v>87</v>
      </c>
      <c r="I428" s="21">
        <v>390</v>
      </c>
      <c r="J428" s="11">
        <v>46268</v>
      </c>
      <c r="K428" s="11">
        <v>46273</v>
      </c>
      <c r="L428" s="8" t="s">
        <v>233</v>
      </c>
      <c r="M428" s="14" t="s">
        <v>234</v>
      </c>
      <c r="N428" s="16">
        <v>1556</v>
      </c>
      <c r="O428" s="14" t="s">
        <v>250</v>
      </c>
      <c r="P428" s="14"/>
      <c r="Q428" s="20">
        <f t="shared" si="6"/>
        <v>0</v>
      </c>
      <c r="S428" s="20">
        <f>SUMIFS('Doc''s Pagos | Rodopar 108'!$J:$J,'Doc''s Pagos | Rodopar 108'!$A:$A,$B428&amp;$E428&amp;$F428&amp;$J428,'Doc''s Pagos | Rodopar 108'!$B:$B,S$1)+SUMIFS('Doc Há Pagar | Rodopar 1015'!$J:$J,'Doc Há Pagar | Rodopar 1015'!$A:$A,$B428&amp;$E428&amp;$F428,'Doc Há Pagar | Rodopar 1015'!$B:$B,S$1)</f>
        <v>0</v>
      </c>
      <c r="T428" s="20">
        <f>SUMIFS('Doc''s Pagos | Rodopar 108'!$J:$J,'Doc''s Pagos | Rodopar 108'!$A:$A,$B428&amp;$E428&amp;$F428&amp;$J428,'Doc''s Pagos | Rodopar 108'!$B:$B,T$1)+SUMIFS('Doc Há Pagar | Rodopar 1015'!$J:$J,'Doc Há Pagar | Rodopar 1015'!$A:$A,$B428&amp;$E428&amp;$F428,'Doc Há Pagar | Rodopar 1015'!$B:$B,T$1)</f>
        <v>0</v>
      </c>
      <c r="U428" s="20">
        <f>SUMIFS('Doc''s Pagos | Rodopar 108'!$J:$J,'Doc''s Pagos | Rodopar 108'!$A:$A,$B428&amp;$E428&amp;$F428&amp;$J428,'Doc''s Pagos | Rodopar 108'!$B:$B,U$1)+SUMIFS('Doc Há Pagar | Rodopar 1015'!$J:$J,'Doc Há Pagar | Rodopar 1015'!$A:$A,$B428&amp;$E428&amp;$F428,'Doc Há Pagar | Rodopar 1015'!$B:$B,U$1)</f>
        <v>0</v>
      </c>
      <c r="V428" s="20">
        <f>SUMIFS('Doc''s Pagos | Rodopar 108'!$J:$J,'Doc''s Pagos | Rodopar 108'!$A:$A,$B428&amp;$E428&amp;$F428&amp;$J428,'Doc''s Pagos | Rodopar 108'!$B:$B,V$1)+SUMIFS('Doc Há Pagar | Rodopar 1015'!$J:$J,'Doc Há Pagar | Rodopar 1015'!$A:$A,$B428&amp;$E428&amp;$F428,'Doc Há Pagar | Rodopar 1015'!$B:$B,V$1)</f>
        <v>0</v>
      </c>
      <c r="W428" s="20">
        <f>SUMIFS('Doc''s Pagos | Rodopar 108'!$J:$J,'Doc''s Pagos | Rodopar 108'!$A:$A,$B428&amp;$E428&amp;$F428&amp;$J428,'Doc''s Pagos | Rodopar 108'!$B:$B,W$1)+SUMIFS('Doc Há Pagar | Rodopar 1015'!$J:$J,'Doc Há Pagar | Rodopar 1015'!$A:$A,$B428&amp;$E428&amp;$F428,'Doc Há Pagar | Rodopar 1015'!$B:$B,W$1)</f>
        <v>0</v>
      </c>
      <c r="X428" s="20">
        <f>SUMIFS('Doc''s Pagos | Rodopar 108'!$J:$J,'Doc''s Pagos | Rodopar 108'!$A:$A,$B428&amp;$E428&amp;$F428&amp;$J428,'Doc''s Pagos | Rodopar 108'!$B:$B,X$1)+SUMIFS('Doc Há Pagar | Rodopar 1015'!$J:$J,'Doc Há Pagar | Rodopar 1015'!$A:$A,$B428&amp;$E428&amp;$F428,'Doc Há Pagar | Rodopar 1015'!$B:$B,X$1)</f>
        <v>0</v>
      </c>
      <c r="Y428" s="20">
        <f>SUMIFS('Doc''s Pagos | Rodopar 108'!$J:$J,'Doc''s Pagos | Rodopar 108'!$A:$A,$B428&amp;$E428&amp;$F428&amp;$J428,'Doc''s Pagos | Rodopar 108'!$B:$B,Y$1)+SUMIFS('Doc Há Pagar | Rodopar 1015'!$J:$J,'Doc Há Pagar | Rodopar 1015'!$A:$A,$B428&amp;$E428&amp;$F428,'Doc Há Pagar | Rodopar 1015'!$B:$B,Y$1)</f>
        <v>0</v>
      </c>
      <c r="Z428" s="20">
        <f>SUMIFS('Doc''s Pagos | Rodopar 108'!$J:$J,'Doc''s Pagos | Rodopar 108'!$A:$A,$B428&amp;$E428&amp;$F428&amp;$J428,'Doc''s Pagos | Rodopar 108'!$B:$B,Z$1)+SUMIFS('Doc Há Pagar | Rodopar 1015'!$J:$J,'Doc Há Pagar | Rodopar 1015'!$A:$A,$B428&amp;$E428&amp;$F428,'Doc Há Pagar | Rodopar 1015'!$B:$B,Z$1)</f>
        <v>0</v>
      </c>
      <c r="AA428" s="20">
        <f>SUMIFS('Doc''s Pagos | Rodopar 108'!$J:$J,'Doc''s Pagos | Rodopar 108'!$A:$A,$B428&amp;$E428&amp;$F428&amp;$J428,'Doc''s Pagos | Rodopar 108'!$B:$B,AA$1)+SUMIFS('Doc Há Pagar | Rodopar 1015'!$J:$J,'Doc Há Pagar | Rodopar 1015'!$A:$A,$B428&amp;$E428&amp;$F428,'Doc Há Pagar | Rodopar 1015'!$B:$B,AA$1)</f>
        <v>0</v>
      </c>
      <c r="AB428" s="20">
        <f>SUMIFS('Doc''s Pagos | Rodopar 108'!$J:$J,'Doc''s Pagos | Rodopar 108'!$A:$A,$B428&amp;$E428&amp;$F428&amp;$J428,'Doc''s Pagos | Rodopar 108'!$B:$B,AB$1)+SUMIFS('Doc Há Pagar | Rodopar 1015'!$J:$J,'Doc Há Pagar | Rodopar 1015'!$A:$A,$B428&amp;$E428&amp;$F428,'Doc Há Pagar | Rodopar 1015'!$B:$B,AB$1)</f>
        <v>390</v>
      </c>
      <c r="AC428" s="20">
        <f>SUMIFS('Doc''s Pagos | Rodopar 108'!$J:$J,'Doc''s Pagos | Rodopar 108'!$A:$A,$B428&amp;$E428&amp;$F428&amp;$J428,'Doc''s Pagos | Rodopar 108'!$B:$B,AC$1)+SUMIFS('Doc Há Pagar | Rodopar 1015'!$J:$J,'Doc Há Pagar | Rodopar 1015'!$A:$A,$B428&amp;$E428&amp;$F428,'Doc Há Pagar | Rodopar 1015'!$B:$B,AC$1)</f>
        <v>0</v>
      </c>
      <c r="AD428" s="20">
        <f>SUMIFS('Doc''s Pagos | Rodopar 108'!$J:$J,'Doc''s Pagos | Rodopar 108'!$A:$A,$B428&amp;$E428&amp;$F428&amp;$J428,'Doc''s Pagos | Rodopar 108'!$B:$B,AD$1)+SUMIFS('Doc Há Pagar | Rodopar 1015'!$J:$J,'Doc Há Pagar | Rodopar 1015'!$A:$A,$B428&amp;$E428&amp;$F428,'Doc Há Pagar | Rodopar 1015'!$B:$B,AD$1)</f>
        <v>0</v>
      </c>
    </row>
    <row r="429" spans="1:30" x14ac:dyDescent="0.25">
      <c r="A429" s="1" t="str">
        <f>VLOOKUP($E429,Fornecedores!$A:$C,3,0)</f>
        <v>Frota</v>
      </c>
      <c r="B429" s="14">
        <v>363</v>
      </c>
      <c r="C429" s="14" t="str">
        <f>IFERROR(VLOOKUP($E429,Fornecedores!$A:$E,4,0),"")</f>
        <v>Sinistro</v>
      </c>
      <c r="D429" s="14" t="str">
        <f>IFERROR(VLOOKUP($E429,Fornecedores!$A:$E,5,0),"")</f>
        <v>Guincho</v>
      </c>
      <c r="E429" s="8" t="s">
        <v>206</v>
      </c>
      <c r="F429" s="14" t="s">
        <v>665</v>
      </c>
      <c r="G429" s="8" t="s">
        <v>646</v>
      </c>
      <c r="H429" s="9">
        <v>87</v>
      </c>
      <c r="I429" s="21">
        <v>350</v>
      </c>
      <c r="J429" s="11">
        <v>46268</v>
      </c>
      <c r="K429" s="11">
        <v>46273</v>
      </c>
      <c r="L429" s="8" t="s">
        <v>282</v>
      </c>
      <c r="M429" s="14" t="s">
        <v>234</v>
      </c>
      <c r="N429" s="16">
        <v>1556</v>
      </c>
      <c r="O429" s="14" t="s">
        <v>250</v>
      </c>
      <c r="P429" s="14"/>
      <c r="Q429" s="20">
        <f t="shared" si="6"/>
        <v>0</v>
      </c>
      <c r="S429" s="20">
        <f>SUMIFS('Doc''s Pagos | Rodopar 108'!$J:$J,'Doc''s Pagos | Rodopar 108'!$A:$A,$B429&amp;$E429&amp;$F429&amp;$J429,'Doc''s Pagos | Rodopar 108'!$B:$B,S$1)+SUMIFS('Doc Há Pagar | Rodopar 1015'!$J:$J,'Doc Há Pagar | Rodopar 1015'!$A:$A,$B429&amp;$E429&amp;$F429,'Doc Há Pagar | Rodopar 1015'!$B:$B,S$1)</f>
        <v>0</v>
      </c>
      <c r="T429" s="20">
        <f>SUMIFS('Doc''s Pagos | Rodopar 108'!$J:$J,'Doc''s Pagos | Rodopar 108'!$A:$A,$B429&amp;$E429&amp;$F429&amp;$J429,'Doc''s Pagos | Rodopar 108'!$B:$B,T$1)+SUMIFS('Doc Há Pagar | Rodopar 1015'!$J:$J,'Doc Há Pagar | Rodopar 1015'!$A:$A,$B429&amp;$E429&amp;$F429,'Doc Há Pagar | Rodopar 1015'!$B:$B,T$1)</f>
        <v>0</v>
      </c>
      <c r="U429" s="20">
        <f>SUMIFS('Doc''s Pagos | Rodopar 108'!$J:$J,'Doc''s Pagos | Rodopar 108'!$A:$A,$B429&amp;$E429&amp;$F429&amp;$J429,'Doc''s Pagos | Rodopar 108'!$B:$B,U$1)+SUMIFS('Doc Há Pagar | Rodopar 1015'!$J:$J,'Doc Há Pagar | Rodopar 1015'!$A:$A,$B429&amp;$E429&amp;$F429,'Doc Há Pagar | Rodopar 1015'!$B:$B,U$1)</f>
        <v>0</v>
      </c>
      <c r="V429" s="20">
        <f>SUMIFS('Doc''s Pagos | Rodopar 108'!$J:$J,'Doc''s Pagos | Rodopar 108'!$A:$A,$B429&amp;$E429&amp;$F429&amp;$J429,'Doc''s Pagos | Rodopar 108'!$B:$B,V$1)+SUMIFS('Doc Há Pagar | Rodopar 1015'!$J:$J,'Doc Há Pagar | Rodopar 1015'!$A:$A,$B429&amp;$E429&amp;$F429,'Doc Há Pagar | Rodopar 1015'!$B:$B,V$1)</f>
        <v>0</v>
      </c>
      <c r="W429" s="20">
        <f>SUMIFS('Doc''s Pagos | Rodopar 108'!$J:$J,'Doc''s Pagos | Rodopar 108'!$A:$A,$B429&amp;$E429&amp;$F429&amp;$J429,'Doc''s Pagos | Rodopar 108'!$B:$B,W$1)+SUMIFS('Doc Há Pagar | Rodopar 1015'!$J:$J,'Doc Há Pagar | Rodopar 1015'!$A:$A,$B429&amp;$E429&amp;$F429,'Doc Há Pagar | Rodopar 1015'!$B:$B,W$1)</f>
        <v>0</v>
      </c>
      <c r="X429" s="20">
        <f>SUMIFS('Doc''s Pagos | Rodopar 108'!$J:$J,'Doc''s Pagos | Rodopar 108'!$A:$A,$B429&amp;$E429&amp;$F429&amp;$J429,'Doc''s Pagos | Rodopar 108'!$B:$B,X$1)+SUMIFS('Doc Há Pagar | Rodopar 1015'!$J:$J,'Doc Há Pagar | Rodopar 1015'!$A:$A,$B429&amp;$E429&amp;$F429,'Doc Há Pagar | Rodopar 1015'!$B:$B,X$1)</f>
        <v>0</v>
      </c>
      <c r="Y429" s="20">
        <f>SUMIFS('Doc''s Pagos | Rodopar 108'!$J:$J,'Doc''s Pagos | Rodopar 108'!$A:$A,$B429&amp;$E429&amp;$F429&amp;$J429,'Doc''s Pagos | Rodopar 108'!$B:$B,Y$1)+SUMIFS('Doc Há Pagar | Rodopar 1015'!$J:$J,'Doc Há Pagar | Rodopar 1015'!$A:$A,$B429&amp;$E429&amp;$F429,'Doc Há Pagar | Rodopar 1015'!$B:$B,Y$1)</f>
        <v>0</v>
      </c>
      <c r="Z429" s="20">
        <f>SUMIFS('Doc''s Pagos | Rodopar 108'!$J:$J,'Doc''s Pagos | Rodopar 108'!$A:$A,$B429&amp;$E429&amp;$F429&amp;$J429,'Doc''s Pagos | Rodopar 108'!$B:$B,Z$1)+SUMIFS('Doc Há Pagar | Rodopar 1015'!$J:$J,'Doc Há Pagar | Rodopar 1015'!$A:$A,$B429&amp;$E429&amp;$F429,'Doc Há Pagar | Rodopar 1015'!$B:$B,Z$1)</f>
        <v>0</v>
      </c>
      <c r="AA429" s="20">
        <f>SUMIFS('Doc''s Pagos | Rodopar 108'!$J:$J,'Doc''s Pagos | Rodopar 108'!$A:$A,$B429&amp;$E429&amp;$F429&amp;$J429,'Doc''s Pagos | Rodopar 108'!$B:$B,AA$1)+SUMIFS('Doc Há Pagar | Rodopar 1015'!$J:$J,'Doc Há Pagar | Rodopar 1015'!$A:$A,$B429&amp;$E429&amp;$F429,'Doc Há Pagar | Rodopar 1015'!$B:$B,AA$1)</f>
        <v>350</v>
      </c>
      <c r="AB429" s="20">
        <f>SUMIFS('Doc''s Pagos | Rodopar 108'!$J:$J,'Doc''s Pagos | Rodopar 108'!$A:$A,$B429&amp;$E429&amp;$F429&amp;$J429,'Doc''s Pagos | Rodopar 108'!$B:$B,AB$1)+SUMIFS('Doc Há Pagar | Rodopar 1015'!$J:$J,'Doc Há Pagar | Rodopar 1015'!$A:$A,$B429&amp;$E429&amp;$F429,'Doc Há Pagar | Rodopar 1015'!$B:$B,AB$1)</f>
        <v>0</v>
      </c>
      <c r="AC429" s="20">
        <f>SUMIFS('Doc''s Pagos | Rodopar 108'!$J:$J,'Doc''s Pagos | Rodopar 108'!$A:$A,$B429&amp;$E429&amp;$F429&amp;$J429,'Doc''s Pagos | Rodopar 108'!$B:$B,AC$1)+SUMIFS('Doc Há Pagar | Rodopar 1015'!$J:$J,'Doc Há Pagar | Rodopar 1015'!$A:$A,$B429&amp;$E429&amp;$F429,'Doc Há Pagar | Rodopar 1015'!$B:$B,AC$1)</f>
        <v>0</v>
      </c>
      <c r="AD429" s="20">
        <f>SUMIFS('Doc''s Pagos | Rodopar 108'!$J:$J,'Doc''s Pagos | Rodopar 108'!$A:$A,$B429&amp;$E429&amp;$F429&amp;$J429,'Doc''s Pagos | Rodopar 108'!$B:$B,AD$1)+SUMIFS('Doc Há Pagar | Rodopar 1015'!$J:$J,'Doc Há Pagar | Rodopar 1015'!$A:$A,$B429&amp;$E429&amp;$F429,'Doc Há Pagar | Rodopar 1015'!$B:$B,AD$1)</f>
        <v>0</v>
      </c>
    </row>
    <row r="430" spans="1:30" x14ac:dyDescent="0.25">
      <c r="A430" s="1" t="str">
        <f>VLOOKUP($E430,Fornecedores!$A:$C,3,0)</f>
        <v>Frota</v>
      </c>
      <c r="B430" s="14">
        <v>712</v>
      </c>
      <c r="C430" s="14" t="str">
        <f>IFERROR(VLOOKUP($E430,Fornecedores!$A:$E,4,0),"")</f>
        <v>Manutenção</v>
      </c>
      <c r="D430" s="14" t="str">
        <f>IFERROR(VLOOKUP($E430,Fornecedores!$A:$E,5,0),"")</f>
        <v>Peças E Serviços</v>
      </c>
      <c r="E430" s="8" t="s">
        <v>211</v>
      </c>
      <c r="F430" s="14" t="s">
        <v>665</v>
      </c>
      <c r="G430" s="8" t="s">
        <v>943</v>
      </c>
      <c r="H430" s="9">
        <v>87</v>
      </c>
      <c r="I430" s="21">
        <v>250</v>
      </c>
      <c r="J430" s="11">
        <v>46268</v>
      </c>
      <c r="K430" s="11">
        <v>46273</v>
      </c>
      <c r="L430" s="8" t="s">
        <v>282</v>
      </c>
      <c r="M430" s="14" t="s">
        <v>234</v>
      </c>
      <c r="N430" s="16">
        <v>1556</v>
      </c>
      <c r="O430" s="14" t="s">
        <v>241</v>
      </c>
      <c r="P430" s="14"/>
      <c r="Q430" s="20">
        <f t="shared" si="6"/>
        <v>0</v>
      </c>
      <c r="S430" s="20">
        <f>SUMIFS('Doc''s Pagos | Rodopar 108'!$J:$J,'Doc''s Pagos | Rodopar 108'!$A:$A,$B430&amp;$E430&amp;$F430&amp;$J430,'Doc''s Pagos | Rodopar 108'!$B:$B,S$1)+SUMIFS('Doc Há Pagar | Rodopar 1015'!$J:$J,'Doc Há Pagar | Rodopar 1015'!$A:$A,$B430&amp;$E430&amp;$F430,'Doc Há Pagar | Rodopar 1015'!$B:$B,S$1)</f>
        <v>0</v>
      </c>
      <c r="T430" s="20">
        <f>SUMIFS('Doc''s Pagos | Rodopar 108'!$J:$J,'Doc''s Pagos | Rodopar 108'!$A:$A,$B430&amp;$E430&amp;$F430&amp;$J430,'Doc''s Pagos | Rodopar 108'!$B:$B,T$1)+SUMIFS('Doc Há Pagar | Rodopar 1015'!$J:$J,'Doc Há Pagar | Rodopar 1015'!$A:$A,$B430&amp;$E430&amp;$F430,'Doc Há Pagar | Rodopar 1015'!$B:$B,T$1)</f>
        <v>0</v>
      </c>
      <c r="U430" s="20">
        <f>SUMIFS('Doc''s Pagos | Rodopar 108'!$J:$J,'Doc''s Pagos | Rodopar 108'!$A:$A,$B430&amp;$E430&amp;$F430&amp;$J430,'Doc''s Pagos | Rodopar 108'!$B:$B,U$1)+SUMIFS('Doc Há Pagar | Rodopar 1015'!$J:$J,'Doc Há Pagar | Rodopar 1015'!$A:$A,$B430&amp;$E430&amp;$F430,'Doc Há Pagar | Rodopar 1015'!$B:$B,U$1)</f>
        <v>0</v>
      </c>
      <c r="V430" s="20">
        <f>SUMIFS('Doc''s Pagos | Rodopar 108'!$J:$J,'Doc''s Pagos | Rodopar 108'!$A:$A,$B430&amp;$E430&amp;$F430&amp;$J430,'Doc''s Pagos | Rodopar 108'!$B:$B,V$1)+SUMIFS('Doc Há Pagar | Rodopar 1015'!$J:$J,'Doc Há Pagar | Rodopar 1015'!$A:$A,$B430&amp;$E430&amp;$F430,'Doc Há Pagar | Rodopar 1015'!$B:$B,V$1)</f>
        <v>0</v>
      </c>
      <c r="W430" s="20">
        <f>SUMIFS('Doc''s Pagos | Rodopar 108'!$J:$J,'Doc''s Pagos | Rodopar 108'!$A:$A,$B430&amp;$E430&amp;$F430&amp;$J430,'Doc''s Pagos | Rodopar 108'!$B:$B,W$1)+SUMIFS('Doc Há Pagar | Rodopar 1015'!$J:$J,'Doc Há Pagar | Rodopar 1015'!$A:$A,$B430&amp;$E430&amp;$F430,'Doc Há Pagar | Rodopar 1015'!$B:$B,W$1)</f>
        <v>0</v>
      </c>
      <c r="X430" s="20">
        <f>SUMIFS('Doc''s Pagos | Rodopar 108'!$J:$J,'Doc''s Pagos | Rodopar 108'!$A:$A,$B430&amp;$E430&amp;$F430&amp;$J430,'Doc''s Pagos | Rodopar 108'!$B:$B,X$1)+SUMIFS('Doc Há Pagar | Rodopar 1015'!$J:$J,'Doc Há Pagar | Rodopar 1015'!$A:$A,$B430&amp;$E430&amp;$F430,'Doc Há Pagar | Rodopar 1015'!$B:$B,X$1)</f>
        <v>0</v>
      </c>
      <c r="Y430" s="20">
        <f>SUMIFS('Doc''s Pagos | Rodopar 108'!$J:$J,'Doc''s Pagos | Rodopar 108'!$A:$A,$B430&amp;$E430&amp;$F430&amp;$J430,'Doc''s Pagos | Rodopar 108'!$B:$B,Y$1)+SUMIFS('Doc Há Pagar | Rodopar 1015'!$J:$J,'Doc Há Pagar | Rodopar 1015'!$A:$A,$B430&amp;$E430&amp;$F430,'Doc Há Pagar | Rodopar 1015'!$B:$B,Y$1)</f>
        <v>0</v>
      </c>
      <c r="Z430" s="20">
        <f>SUMIFS('Doc''s Pagos | Rodopar 108'!$J:$J,'Doc''s Pagos | Rodopar 108'!$A:$A,$B430&amp;$E430&amp;$F430&amp;$J430,'Doc''s Pagos | Rodopar 108'!$B:$B,Z$1)+SUMIFS('Doc Há Pagar | Rodopar 1015'!$J:$J,'Doc Há Pagar | Rodopar 1015'!$A:$A,$B430&amp;$E430&amp;$F430,'Doc Há Pagar | Rodopar 1015'!$B:$B,Z$1)</f>
        <v>0</v>
      </c>
      <c r="AA430" s="20">
        <f>SUMIFS('Doc''s Pagos | Rodopar 108'!$J:$J,'Doc''s Pagos | Rodopar 108'!$A:$A,$B430&amp;$E430&amp;$F430&amp;$J430,'Doc''s Pagos | Rodopar 108'!$B:$B,AA$1)+SUMIFS('Doc Há Pagar | Rodopar 1015'!$J:$J,'Doc Há Pagar | Rodopar 1015'!$A:$A,$B430&amp;$E430&amp;$F430,'Doc Há Pagar | Rodopar 1015'!$B:$B,AA$1)</f>
        <v>250</v>
      </c>
      <c r="AB430" s="20">
        <f>SUMIFS('Doc''s Pagos | Rodopar 108'!$J:$J,'Doc''s Pagos | Rodopar 108'!$A:$A,$B430&amp;$E430&amp;$F430&amp;$J430,'Doc''s Pagos | Rodopar 108'!$B:$B,AB$1)+SUMIFS('Doc Há Pagar | Rodopar 1015'!$J:$J,'Doc Há Pagar | Rodopar 1015'!$A:$A,$B430&amp;$E430&amp;$F430,'Doc Há Pagar | Rodopar 1015'!$B:$B,AB$1)</f>
        <v>0</v>
      </c>
      <c r="AC430" s="20">
        <f>SUMIFS('Doc''s Pagos | Rodopar 108'!$J:$J,'Doc''s Pagos | Rodopar 108'!$A:$A,$B430&amp;$E430&amp;$F430&amp;$J430,'Doc''s Pagos | Rodopar 108'!$B:$B,AC$1)+SUMIFS('Doc Há Pagar | Rodopar 1015'!$J:$J,'Doc Há Pagar | Rodopar 1015'!$A:$A,$B430&amp;$E430&amp;$F430,'Doc Há Pagar | Rodopar 1015'!$B:$B,AC$1)</f>
        <v>0</v>
      </c>
      <c r="AD430" s="20">
        <f>SUMIFS('Doc''s Pagos | Rodopar 108'!$J:$J,'Doc''s Pagos | Rodopar 108'!$A:$A,$B430&amp;$E430&amp;$F430&amp;$J430,'Doc''s Pagos | Rodopar 108'!$B:$B,AD$1)+SUMIFS('Doc Há Pagar | Rodopar 1015'!$J:$J,'Doc Há Pagar | Rodopar 1015'!$A:$A,$B430&amp;$E430&amp;$F430,'Doc Há Pagar | Rodopar 1015'!$B:$B,AD$1)</f>
        <v>0</v>
      </c>
    </row>
    <row r="431" spans="1:30" x14ac:dyDescent="0.25">
      <c r="A431" s="1" t="str">
        <f>VLOOKUP($E431,Fornecedores!$A:$C,3,0)</f>
        <v>Frota</v>
      </c>
      <c r="B431" s="14">
        <v>1596</v>
      </c>
      <c r="C431" s="14" t="str">
        <f>IFERROR(VLOOKUP($E431,Fornecedores!$A:$E,4,0),"")</f>
        <v>MTSR</v>
      </c>
      <c r="D431" s="14" t="str">
        <f>IFERROR(VLOOKUP($E431,Fornecedores!$A:$E,5,0),"")</f>
        <v>Tecnologia</v>
      </c>
      <c r="E431" s="8" t="s">
        <v>24</v>
      </c>
      <c r="F431" s="14" t="s">
        <v>232</v>
      </c>
      <c r="G431" s="8" t="s">
        <v>238</v>
      </c>
      <c r="H431" s="9">
        <v>87</v>
      </c>
      <c r="I431" s="21">
        <v>59176.89</v>
      </c>
      <c r="J431" s="11">
        <v>46269</v>
      </c>
      <c r="K431" s="11">
        <v>46273</v>
      </c>
      <c r="L431" s="8" t="s">
        <v>239</v>
      </c>
      <c r="M431" s="14" t="s">
        <v>240</v>
      </c>
      <c r="N431" s="16">
        <v>2556</v>
      </c>
      <c r="O431" s="14" t="s">
        <v>241</v>
      </c>
      <c r="P431" s="14"/>
      <c r="Q431" s="20">
        <f t="shared" si="6"/>
        <v>0</v>
      </c>
      <c r="S431" s="20">
        <f>SUMIFS('Doc''s Pagos | Rodopar 108'!$J:$J,'Doc''s Pagos | Rodopar 108'!$A:$A,$B431&amp;$E431&amp;$F431&amp;$J431,'Doc''s Pagos | Rodopar 108'!$B:$B,S$1)+SUMIFS('Doc Há Pagar | Rodopar 1015'!$J:$J,'Doc Há Pagar | Rodopar 1015'!$A:$A,$B431&amp;$E431&amp;$F431,'Doc Há Pagar | Rodopar 1015'!$B:$B,S$1)</f>
        <v>0</v>
      </c>
      <c r="T431" s="20">
        <f>SUMIFS('Doc''s Pagos | Rodopar 108'!$J:$J,'Doc''s Pagos | Rodopar 108'!$A:$A,$B431&amp;$E431&amp;$F431&amp;$J431,'Doc''s Pagos | Rodopar 108'!$B:$B,T$1)+SUMIFS('Doc Há Pagar | Rodopar 1015'!$J:$J,'Doc Há Pagar | Rodopar 1015'!$A:$A,$B431&amp;$E431&amp;$F431,'Doc Há Pagar | Rodopar 1015'!$B:$B,T$1)</f>
        <v>0</v>
      </c>
      <c r="U431" s="20">
        <f>SUMIFS('Doc''s Pagos | Rodopar 108'!$J:$J,'Doc''s Pagos | Rodopar 108'!$A:$A,$B431&amp;$E431&amp;$F431&amp;$J431,'Doc''s Pagos | Rodopar 108'!$B:$B,U$1)+SUMIFS('Doc Há Pagar | Rodopar 1015'!$J:$J,'Doc Há Pagar | Rodopar 1015'!$A:$A,$B431&amp;$E431&amp;$F431,'Doc Há Pagar | Rodopar 1015'!$B:$B,U$1)</f>
        <v>0</v>
      </c>
      <c r="V431" s="20">
        <f>SUMIFS('Doc''s Pagos | Rodopar 108'!$J:$J,'Doc''s Pagos | Rodopar 108'!$A:$A,$B431&amp;$E431&amp;$F431&amp;$J431,'Doc''s Pagos | Rodopar 108'!$B:$B,V$1)+SUMIFS('Doc Há Pagar | Rodopar 1015'!$J:$J,'Doc Há Pagar | Rodopar 1015'!$A:$A,$B431&amp;$E431&amp;$F431,'Doc Há Pagar | Rodopar 1015'!$B:$B,V$1)</f>
        <v>0</v>
      </c>
      <c r="W431" s="20">
        <f>SUMIFS('Doc''s Pagos | Rodopar 108'!$J:$J,'Doc''s Pagos | Rodopar 108'!$A:$A,$B431&amp;$E431&amp;$F431&amp;$J431,'Doc''s Pagos | Rodopar 108'!$B:$B,W$1)+SUMIFS('Doc Há Pagar | Rodopar 1015'!$J:$J,'Doc Há Pagar | Rodopar 1015'!$A:$A,$B431&amp;$E431&amp;$F431,'Doc Há Pagar | Rodopar 1015'!$B:$B,W$1)</f>
        <v>0</v>
      </c>
      <c r="X431" s="20">
        <f>SUMIFS('Doc''s Pagos | Rodopar 108'!$J:$J,'Doc''s Pagos | Rodopar 108'!$A:$A,$B431&amp;$E431&amp;$F431&amp;$J431,'Doc''s Pagos | Rodopar 108'!$B:$B,X$1)+SUMIFS('Doc Há Pagar | Rodopar 1015'!$J:$J,'Doc Há Pagar | Rodopar 1015'!$A:$A,$B431&amp;$E431&amp;$F431,'Doc Há Pagar | Rodopar 1015'!$B:$B,X$1)</f>
        <v>0</v>
      </c>
      <c r="Y431" s="20">
        <f>SUMIFS('Doc''s Pagos | Rodopar 108'!$J:$J,'Doc''s Pagos | Rodopar 108'!$A:$A,$B431&amp;$E431&amp;$F431&amp;$J431,'Doc''s Pagos | Rodopar 108'!$B:$B,Y$1)+SUMIFS('Doc Há Pagar | Rodopar 1015'!$J:$J,'Doc Há Pagar | Rodopar 1015'!$A:$A,$B431&amp;$E431&amp;$F431,'Doc Há Pagar | Rodopar 1015'!$B:$B,Y$1)</f>
        <v>0</v>
      </c>
      <c r="Z431" s="20">
        <f>SUMIFS('Doc''s Pagos | Rodopar 108'!$J:$J,'Doc''s Pagos | Rodopar 108'!$A:$A,$B431&amp;$E431&amp;$F431&amp;$J431,'Doc''s Pagos | Rodopar 108'!$B:$B,Z$1)+SUMIFS('Doc Há Pagar | Rodopar 1015'!$J:$J,'Doc Há Pagar | Rodopar 1015'!$A:$A,$B431&amp;$E431&amp;$F431,'Doc Há Pagar | Rodopar 1015'!$B:$B,Z$1)</f>
        <v>0</v>
      </c>
      <c r="AA431" s="20">
        <f>SUMIFS('Doc''s Pagos | Rodopar 108'!$J:$J,'Doc''s Pagos | Rodopar 108'!$A:$A,$B431&amp;$E431&amp;$F431&amp;$J431,'Doc''s Pagos | Rodopar 108'!$B:$B,AA$1)+SUMIFS('Doc Há Pagar | Rodopar 1015'!$J:$J,'Doc Há Pagar | Rodopar 1015'!$A:$A,$B431&amp;$E431&amp;$F431,'Doc Há Pagar | Rodopar 1015'!$B:$B,AA$1)</f>
        <v>0</v>
      </c>
      <c r="AB431" s="20">
        <f>SUMIFS('Doc''s Pagos | Rodopar 108'!$J:$J,'Doc''s Pagos | Rodopar 108'!$A:$A,$B431&amp;$E431&amp;$F431&amp;$J431,'Doc''s Pagos | Rodopar 108'!$B:$B,AB$1)+SUMIFS('Doc Há Pagar | Rodopar 1015'!$J:$J,'Doc Há Pagar | Rodopar 1015'!$A:$A,$B431&amp;$E431&amp;$F431,'Doc Há Pagar | Rodopar 1015'!$B:$B,AB$1)</f>
        <v>59176.89</v>
      </c>
      <c r="AC431" s="20">
        <f>SUMIFS('Doc''s Pagos | Rodopar 108'!$J:$J,'Doc''s Pagos | Rodopar 108'!$A:$A,$B431&amp;$E431&amp;$F431&amp;$J431,'Doc''s Pagos | Rodopar 108'!$B:$B,AC$1)+SUMIFS('Doc Há Pagar | Rodopar 1015'!$J:$J,'Doc Há Pagar | Rodopar 1015'!$A:$A,$B431&amp;$E431&amp;$F431,'Doc Há Pagar | Rodopar 1015'!$B:$B,AC$1)</f>
        <v>0</v>
      </c>
      <c r="AD431" s="20">
        <f>SUMIFS('Doc''s Pagos | Rodopar 108'!$J:$J,'Doc''s Pagos | Rodopar 108'!$A:$A,$B431&amp;$E431&amp;$F431&amp;$J431,'Doc''s Pagos | Rodopar 108'!$B:$B,AD$1)+SUMIFS('Doc Há Pagar | Rodopar 1015'!$J:$J,'Doc Há Pagar | Rodopar 1015'!$A:$A,$B431&amp;$E431&amp;$F431,'Doc Há Pagar | Rodopar 1015'!$B:$B,AD$1)</f>
        <v>0</v>
      </c>
    </row>
    <row r="432" spans="1:30" x14ac:dyDescent="0.25">
      <c r="A432" s="1" t="str">
        <f>VLOOKUP($E432,Fornecedores!$A:$C,3,0)</f>
        <v>Frota</v>
      </c>
      <c r="B432" s="14">
        <v>26197748748</v>
      </c>
      <c r="C432" s="14" t="str">
        <f>IFERROR(VLOOKUP($E432,Fornecedores!$A:$E,4,0),"")</f>
        <v>Pedagios</v>
      </c>
      <c r="D432" s="14" t="str">
        <f>IFERROR(VLOOKUP($E432,Fornecedores!$A:$E,5,0),"")</f>
        <v>Pedagios</v>
      </c>
      <c r="E432" s="8" t="s">
        <v>38</v>
      </c>
      <c r="F432" s="14" t="s">
        <v>232</v>
      </c>
      <c r="G432" s="8" t="s">
        <v>261</v>
      </c>
      <c r="H432" s="9">
        <v>87</v>
      </c>
      <c r="I432" s="21">
        <v>21735.11</v>
      </c>
      <c r="J432" s="11">
        <v>46269</v>
      </c>
      <c r="K432" s="11">
        <v>46273</v>
      </c>
      <c r="L432" s="8" t="s">
        <v>262</v>
      </c>
      <c r="M432" s="14" t="s">
        <v>263</v>
      </c>
      <c r="N432" s="16">
        <v>2556</v>
      </c>
      <c r="O432" s="14" t="s">
        <v>241</v>
      </c>
      <c r="P432" s="14"/>
      <c r="Q432" s="20">
        <f t="shared" si="6"/>
        <v>0</v>
      </c>
      <c r="S432" s="20">
        <f>SUMIFS('Doc''s Pagos | Rodopar 108'!$J:$J,'Doc''s Pagos | Rodopar 108'!$A:$A,$B432&amp;$E432&amp;$F432&amp;$J432,'Doc''s Pagos | Rodopar 108'!$B:$B,S$1)+SUMIFS('Doc Há Pagar | Rodopar 1015'!$J:$J,'Doc Há Pagar | Rodopar 1015'!$A:$A,$B432&amp;$E432&amp;$F432,'Doc Há Pagar | Rodopar 1015'!$B:$B,S$1)</f>
        <v>0</v>
      </c>
      <c r="T432" s="20">
        <f>SUMIFS('Doc''s Pagos | Rodopar 108'!$J:$J,'Doc''s Pagos | Rodopar 108'!$A:$A,$B432&amp;$E432&amp;$F432&amp;$J432,'Doc''s Pagos | Rodopar 108'!$B:$B,T$1)+SUMIFS('Doc Há Pagar | Rodopar 1015'!$J:$J,'Doc Há Pagar | Rodopar 1015'!$A:$A,$B432&amp;$E432&amp;$F432,'Doc Há Pagar | Rodopar 1015'!$B:$B,T$1)</f>
        <v>0</v>
      </c>
      <c r="U432" s="20">
        <f>SUMIFS('Doc''s Pagos | Rodopar 108'!$J:$J,'Doc''s Pagos | Rodopar 108'!$A:$A,$B432&amp;$E432&amp;$F432&amp;$J432,'Doc''s Pagos | Rodopar 108'!$B:$B,U$1)+SUMIFS('Doc Há Pagar | Rodopar 1015'!$J:$J,'Doc Há Pagar | Rodopar 1015'!$A:$A,$B432&amp;$E432&amp;$F432,'Doc Há Pagar | Rodopar 1015'!$B:$B,U$1)</f>
        <v>0</v>
      </c>
      <c r="V432" s="20">
        <f>SUMIFS('Doc''s Pagos | Rodopar 108'!$J:$J,'Doc''s Pagos | Rodopar 108'!$A:$A,$B432&amp;$E432&amp;$F432&amp;$J432,'Doc''s Pagos | Rodopar 108'!$B:$B,V$1)+SUMIFS('Doc Há Pagar | Rodopar 1015'!$J:$J,'Doc Há Pagar | Rodopar 1015'!$A:$A,$B432&amp;$E432&amp;$F432,'Doc Há Pagar | Rodopar 1015'!$B:$B,V$1)</f>
        <v>0</v>
      </c>
      <c r="W432" s="20">
        <f>SUMIFS('Doc''s Pagos | Rodopar 108'!$J:$J,'Doc''s Pagos | Rodopar 108'!$A:$A,$B432&amp;$E432&amp;$F432&amp;$J432,'Doc''s Pagos | Rodopar 108'!$B:$B,W$1)+SUMIFS('Doc Há Pagar | Rodopar 1015'!$J:$J,'Doc Há Pagar | Rodopar 1015'!$A:$A,$B432&amp;$E432&amp;$F432,'Doc Há Pagar | Rodopar 1015'!$B:$B,W$1)</f>
        <v>0</v>
      </c>
      <c r="X432" s="20">
        <f>SUMIFS('Doc''s Pagos | Rodopar 108'!$J:$J,'Doc''s Pagos | Rodopar 108'!$A:$A,$B432&amp;$E432&amp;$F432&amp;$J432,'Doc''s Pagos | Rodopar 108'!$B:$B,X$1)+SUMIFS('Doc Há Pagar | Rodopar 1015'!$J:$J,'Doc Há Pagar | Rodopar 1015'!$A:$A,$B432&amp;$E432&amp;$F432,'Doc Há Pagar | Rodopar 1015'!$B:$B,X$1)</f>
        <v>0</v>
      </c>
      <c r="Y432" s="20">
        <f>SUMIFS('Doc''s Pagos | Rodopar 108'!$J:$J,'Doc''s Pagos | Rodopar 108'!$A:$A,$B432&amp;$E432&amp;$F432&amp;$J432,'Doc''s Pagos | Rodopar 108'!$B:$B,Y$1)+SUMIFS('Doc Há Pagar | Rodopar 1015'!$J:$J,'Doc Há Pagar | Rodopar 1015'!$A:$A,$B432&amp;$E432&amp;$F432,'Doc Há Pagar | Rodopar 1015'!$B:$B,Y$1)</f>
        <v>0</v>
      </c>
      <c r="Z432" s="20">
        <f>SUMIFS('Doc''s Pagos | Rodopar 108'!$J:$J,'Doc''s Pagos | Rodopar 108'!$A:$A,$B432&amp;$E432&amp;$F432&amp;$J432,'Doc''s Pagos | Rodopar 108'!$B:$B,Z$1)+SUMIFS('Doc Há Pagar | Rodopar 1015'!$J:$J,'Doc Há Pagar | Rodopar 1015'!$A:$A,$B432&amp;$E432&amp;$F432,'Doc Há Pagar | Rodopar 1015'!$B:$B,Z$1)</f>
        <v>0</v>
      </c>
      <c r="AA432" s="20">
        <f>SUMIFS('Doc''s Pagos | Rodopar 108'!$J:$J,'Doc''s Pagos | Rodopar 108'!$A:$A,$B432&amp;$E432&amp;$F432&amp;$J432,'Doc''s Pagos | Rodopar 108'!$B:$B,AA$1)+SUMIFS('Doc Há Pagar | Rodopar 1015'!$J:$J,'Doc Há Pagar | Rodopar 1015'!$A:$A,$B432&amp;$E432&amp;$F432,'Doc Há Pagar | Rodopar 1015'!$B:$B,AA$1)</f>
        <v>21735.11</v>
      </c>
      <c r="AB432" s="20">
        <f>SUMIFS('Doc''s Pagos | Rodopar 108'!$J:$J,'Doc''s Pagos | Rodopar 108'!$A:$A,$B432&amp;$E432&amp;$F432&amp;$J432,'Doc''s Pagos | Rodopar 108'!$B:$B,AB$1)+SUMIFS('Doc Há Pagar | Rodopar 1015'!$J:$J,'Doc Há Pagar | Rodopar 1015'!$A:$A,$B432&amp;$E432&amp;$F432,'Doc Há Pagar | Rodopar 1015'!$B:$B,AB$1)</f>
        <v>0</v>
      </c>
      <c r="AC432" s="20">
        <f>SUMIFS('Doc''s Pagos | Rodopar 108'!$J:$J,'Doc''s Pagos | Rodopar 108'!$A:$A,$B432&amp;$E432&amp;$F432&amp;$J432,'Doc''s Pagos | Rodopar 108'!$B:$B,AC$1)+SUMIFS('Doc Há Pagar | Rodopar 1015'!$J:$J,'Doc Há Pagar | Rodopar 1015'!$A:$A,$B432&amp;$E432&amp;$F432,'Doc Há Pagar | Rodopar 1015'!$B:$B,AC$1)</f>
        <v>0</v>
      </c>
      <c r="AD432" s="20">
        <f>SUMIFS('Doc''s Pagos | Rodopar 108'!$J:$J,'Doc''s Pagos | Rodopar 108'!$A:$A,$B432&amp;$E432&amp;$F432&amp;$J432,'Doc''s Pagos | Rodopar 108'!$B:$B,AD$1)+SUMIFS('Doc Há Pagar | Rodopar 1015'!$J:$J,'Doc Há Pagar | Rodopar 1015'!$A:$A,$B432&amp;$E432&amp;$F432,'Doc Há Pagar | Rodopar 1015'!$B:$B,AD$1)</f>
        <v>0</v>
      </c>
    </row>
    <row r="433" spans="1:30" x14ac:dyDescent="0.25">
      <c r="A433" s="1" t="str">
        <f>VLOOKUP($E433,Fornecedores!$A:$C,3,0)</f>
        <v>Frota</v>
      </c>
      <c r="B433" s="14">
        <v>24757</v>
      </c>
      <c r="C433" s="14" t="str">
        <f>IFERROR(VLOOKUP($E433,Fornecedores!$A:$E,4,0),"")</f>
        <v>Pneus</v>
      </c>
      <c r="D433" s="14" t="str">
        <f>IFERROR(VLOOKUP($E433,Fornecedores!$A:$E,5,0),"")</f>
        <v>Serviços Gerais</v>
      </c>
      <c r="E433" s="8" t="s">
        <v>164</v>
      </c>
      <c r="F433" s="14" t="s">
        <v>380</v>
      </c>
      <c r="G433" s="8" t="s">
        <v>465</v>
      </c>
      <c r="H433" s="9">
        <v>87</v>
      </c>
      <c r="I433" s="21">
        <v>780</v>
      </c>
      <c r="J433" s="11">
        <v>46269</v>
      </c>
      <c r="K433" s="11">
        <v>46273</v>
      </c>
      <c r="L433" s="8" t="s">
        <v>282</v>
      </c>
      <c r="M433" s="14" t="s">
        <v>234</v>
      </c>
      <c r="N433" s="16">
        <v>1556</v>
      </c>
      <c r="O433" s="14" t="s">
        <v>250</v>
      </c>
      <c r="P433" s="14"/>
      <c r="Q433" s="20">
        <f t="shared" si="6"/>
        <v>0</v>
      </c>
      <c r="S433" s="20">
        <f>SUMIFS('Doc''s Pagos | Rodopar 108'!$J:$J,'Doc''s Pagos | Rodopar 108'!$A:$A,$B433&amp;$E433&amp;$F433&amp;$J433,'Doc''s Pagos | Rodopar 108'!$B:$B,S$1)+SUMIFS('Doc Há Pagar | Rodopar 1015'!$J:$J,'Doc Há Pagar | Rodopar 1015'!$A:$A,$B433&amp;$E433&amp;$F433,'Doc Há Pagar | Rodopar 1015'!$B:$B,S$1)</f>
        <v>0</v>
      </c>
      <c r="T433" s="20">
        <f>SUMIFS('Doc''s Pagos | Rodopar 108'!$J:$J,'Doc''s Pagos | Rodopar 108'!$A:$A,$B433&amp;$E433&amp;$F433&amp;$J433,'Doc''s Pagos | Rodopar 108'!$B:$B,T$1)+SUMIFS('Doc Há Pagar | Rodopar 1015'!$J:$J,'Doc Há Pagar | Rodopar 1015'!$A:$A,$B433&amp;$E433&amp;$F433,'Doc Há Pagar | Rodopar 1015'!$B:$B,T$1)</f>
        <v>0</v>
      </c>
      <c r="U433" s="20">
        <f>SUMIFS('Doc''s Pagos | Rodopar 108'!$J:$J,'Doc''s Pagos | Rodopar 108'!$A:$A,$B433&amp;$E433&amp;$F433&amp;$J433,'Doc''s Pagos | Rodopar 108'!$B:$B,U$1)+SUMIFS('Doc Há Pagar | Rodopar 1015'!$J:$J,'Doc Há Pagar | Rodopar 1015'!$A:$A,$B433&amp;$E433&amp;$F433,'Doc Há Pagar | Rodopar 1015'!$B:$B,U$1)</f>
        <v>0</v>
      </c>
      <c r="V433" s="20">
        <f>SUMIFS('Doc''s Pagos | Rodopar 108'!$J:$J,'Doc''s Pagos | Rodopar 108'!$A:$A,$B433&amp;$E433&amp;$F433&amp;$J433,'Doc''s Pagos | Rodopar 108'!$B:$B,V$1)+SUMIFS('Doc Há Pagar | Rodopar 1015'!$J:$J,'Doc Há Pagar | Rodopar 1015'!$A:$A,$B433&amp;$E433&amp;$F433,'Doc Há Pagar | Rodopar 1015'!$B:$B,V$1)</f>
        <v>0</v>
      </c>
      <c r="W433" s="20">
        <f>SUMIFS('Doc''s Pagos | Rodopar 108'!$J:$J,'Doc''s Pagos | Rodopar 108'!$A:$A,$B433&amp;$E433&amp;$F433&amp;$J433,'Doc''s Pagos | Rodopar 108'!$B:$B,W$1)+SUMIFS('Doc Há Pagar | Rodopar 1015'!$J:$J,'Doc Há Pagar | Rodopar 1015'!$A:$A,$B433&amp;$E433&amp;$F433,'Doc Há Pagar | Rodopar 1015'!$B:$B,W$1)</f>
        <v>0</v>
      </c>
      <c r="X433" s="20">
        <f>SUMIFS('Doc''s Pagos | Rodopar 108'!$J:$J,'Doc''s Pagos | Rodopar 108'!$A:$A,$B433&amp;$E433&amp;$F433&amp;$J433,'Doc''s Pagos | Rodopar 108'!$B:$B,X$1)+SUMIFS('Doc Há Pagar | Rodopar 1015'!$J:$J,'Doc Há Pagar | Rodopar 1015'!$A:$A,$B433&amp;$E433&amp;$F433,'Doc Há Pagar | Rodopar 1015'!$B:$B,X$1)</f>
        <v>0</v>
      </c>
      <c r="Y433" s="20">
        <f>SUMIFS('Doc''s Pagos | Rodopar 108'!$J:$J,'Doc''s Pagos | Rodopar 108'!$A:$A,$B433&amp;$E433&amp;$F433&amp;$J433,'Doc''s Pagos | Rodopar 108'!$B:$B,Y$1)+SUMIFS('Doc Há Pagar | Rodopar 1015'!$J:$J,'Doc Há Pagar | Rodopar 1015'!$A:$A,$B433&amp;$E433&amp;$F433,'Doc Há Pagar | Rodopar 1015'!$B:$B,Y$1)</f>
        <v>0</v>
      </c>
      <c r="Z433" s="20">
        <f>SUMIFS('Doc''s Pagos | Rodopar 108'!$J:$J,'Doc''s Pagos | Rodopar 108'!$A:$A,$B433&amp;$E433&amp;$F433&amp;$J433,'Doc''s Pagos | Rodopar 108'!$B:$B,Z$1)+SUMIFS('Doc Há Pagar | Rodopar 1015'!$J:$J,'Doc Há Pagar | Rodopar 1015'!$A:$A,$B433&amp;$E433&amp;$F433,'Doc Há Pagar | Rodopar 1015'!$B:$B,Z$1)</f>
        <v>0</v>
      </c>
      <c r="AA433" s="20">
        <f>SUMIFS('Doc''s Pagos | Rodopar 108'!$J:$J,'Doc''s Pagos | Rodopar 108'!$A:$A,$B433&amp;$E433&amp;$F433&amp;$J433,'Doc''s Pagos | Rodopar 108'!$B:$B,AA$1)+SUMIFS('Doc Há Pagar | Rodopar 1015'!$J:$J,'Doc Há Pagar | Rodopar 1015'!$A:$A,$B433&amp;$E433&amp;$F433,'Doc Há Pagar | Rodopar 1015'!$B:$B,AA$1)</f>
        <v>0</v>
      </c>
      <c r="AB433" s="20">
        <f>SUMIFS('Doc''s Pagos | Rodopar 108'!$J:$J,'Doc''s Pagos | Rodopar 108'!$A:$A,$B433&amp;$E433&amp;$F433&amp;$J433,'Doc''s Pagos | Rodopar 108'!$B:$B,AB$1)+SUMIFS('Doc Há Pagar | Rodopar 1015'!$J:$J,'Doc Há Pagar | Rodopar 1015'!$A:$A,$B433&amp;$E433&amp;$F433,'Doc Há Pagar | Rodopar 1015'!$B:$B,AB$1)</f>
        <v>780</v>
      </c>
      <c r="AC433" s="20">
        <f>SUMIFS('Doc''s Pagos | Rodopar 108'!$J:$J,'Doc''s Pagos | Rodopar 108'!$A:$A,$B433&amp;$E433&amp;$F433&amp;$J433,'Doc''s Pagos | Rodopar 108'!$B:$B,AC$1)+SUMIFS('Doc Há Pagar | Rodopar 1015'!$J:$J,'Doc Há Pagar | Rodopar 1015'!$A:$A,$B433&amp;$E433&amp;$F433,'Doc Há Pagar | Rodopar 1015'!$B:$B,AC$1)</f>
        <v>0</v>
      </c>
      <c r="AD433" s="20">
        <f>SUMIFS('Doc''s Pagos | Rodopar 108'!$J:$J,'Doc''s Pagos | Rodopar 108'!$A:$A,$B433&amp;$E433&amp;$F433&amp;$J433,'Doc''s Pagos | Rodopar 108'!$B:$B,AD$1)+SUMIFS('Doc Há Pagar | Rodopar 1015'!$J:$J,'Doc Há Pagar | Rodopar 1015'!$A:$A,$B433&amp;$E433&amp;$F433,'Doc Há Pagar | Rodopar 1015'!$B:$B,AD$1)</f>
        <v>0</v>
      </c>
    </row>
    <row r="434" spans="1:30" x14ac:dyDescent="0.25">
      <c r="A434" s="1" t="str">
        <f>VLOOKUP($E434,Fornecedores!$A:$C,3,0)</f>
        <v>Frota</v>
      </c>
      <c r="B434" s="14">
        <v>32</v>
      </c>
      <c r="C434" s="14" t="str">
        <f>IFERROR(VLOOKUP($E434,Fornecedores!$A:$E,4,0),"")</f>
        <v>Manutenção</v>
      </c>
      <c r="D434" s="14" t="str">
        <f>IFERROR(VLOOKUP($E434,Fornecedores!$A:$E,5,0),"")</f>
        <v>Vans</v>
      </c>
      <c r="E434" s="8" t="s">
        <v>205</v>
      </c>
      <c r="F434" s="14" t="s">
        <v>380</v>
      </c>
      <c r="G434" s="8" t="s">
        <v>485</v>
      </c>
      <c r="H434" s="9">
        <v>87</v>
      </c>
      <c r="I434" s="21">
        <v>1891</v>
      </c>
      <c r="J434" s="11">
        <v>46269</v>
      </c>
      <c r="K434" s="11">
        <v>46273</v>
      </c>
      <c r="L434" s="8" t="s">
        <v>282</v>
      </c>
      <c r="M434" s="14" t="s">
        <v>234</v>
      </c>
      <c r="N434" s="16">
        <v>1556</v>
      </c>
      <c r="O434" s="14" t="s">
        <v>250</v>
      </c>
      <c r="P434" s="14"/>
      <c r="Q434" s="20">
        <f t="shared" si="6"/>
        <v>0</v>
      </c>
      <c r="S434" s="20">
        <f>SUMIFS('Doc''s Pagos | Rodopar 108'!$J:$J,'Doc''s Pagos | Rodopar 108'!$A:$A,$B434&amp;$E434&amp;$F434&amp;$J434,'Doc''s Pagos | Rodopar 108'!$B:$B,S$1)+SUMIFS('Doc Há Pagar | Rodopar 1015'!$J:$J,'Doc Há Pagar | Rodopar 1015'!$A:$A,$B434&amp;$E434&amp;$F434,'Doc Há Pagar | Rodopar 1015'!$B:$B,S$1)</f>
        <v>0</v>
      </c>
      <c r="T434" s="20">
        <f>SUMIFS('Doc''s Pagos | Rodopar 108'!$J:$J,'Doc''s Pagos | Rodopar 108'!$A:$A,$B434&amp;$E434&amp;$F434&amp;$J434,'Doc''s Pagos | Rodopar 108'!$B:$B,T$1)+SUMIFS('Doc Há Pagar | Rodopar 1015'!$J:$J,'Doc Há Pagar | Rodopar 1015'!$A:$A,$B434&amp;$E434&amp;$F434,'Doc Há Pagar | Rodopar 1015'!$B:$B,T$1)</f>
        <v>0</v>
      </c>
      <c r="U434" s="20">
        <f>SUMIFS('Doc''s Pagos | Rodopar 108'!$J:$J,'Doc''s Pagos | Rodopar 108'!$A:$A,$B434&amp;$E434&amp;$F434&amp;$J434,'Doc''s Pagos | Rodopar 108'!$B:$B,U$1)+SUMIFS('Doc Há Pagar | Rodopar 1015'!$J:$J,'Doc Há Pagar | Rodopar 1015'!$A:$A,$B434&amp;$E434&amp;$F434,'Doc Há Pagar | Rodopar 1015'!$B:$B,U$1)</f>
        <v>0</v>
      </c>
      <c r="V434" s="20">
        <f>SUMIFS('Doc''s Pagos | Rodopar 108'!$J:$J,'Doc''s Pagos | Rodopar 108'!$A:$A,$B434&amp;$E434&amp;$F434&amp;$J434,'Doc''s Pagos | Rodopar 108'!$B:$B,V$1)+SUMIFS('Doc Há Pagar | Rodopar 1015'!$J:$J,'Doc Há Pagar | Rodopar 1015'!$A:$A,$B434&amp;$E434&amp;$F434,'Doc Há Pagar | Rodopar 1015'!$B:$B,V$1)</f>
        <v>0</v>
      </c>
      <c r="W434" s="20">
        <f>SUMIFS('Doc''s Pagos | Rodopar 108'!$J:$J,'Doc''s Pagos | Rodopar 108'!$A:$A,$B434&amp;$E434&amp;$F434&amp;$J434,'Doc''s Pagos | Rodopar 108'!$B:$B,W$1)+SUMIFS('Doc Há Pagar | Rodopar 1015'!$J:$J,'Doc Há Pagar | Rodopar 1015'!$A:$A,$B434&amp;$E434&amp;$F434,'Doc Há Pagar | Rodopar 1015'!$B:$B,W$1)</f>
        <v>0</v>
      </c>
      <c r="X434" s="20">
        <f>SUMIFS('Doc''s Pagos | Rodopar 108'!$J:$J,'Doc''s Pagos | Rodopar 108'!$A:$A,$B434&amp;$E434&amp;$F434&amp;$J434,'Doc''s Pagos | Rodopar 108'!$B:$B,X$1)+SUMIFS('Doc Há Pagar | Rodopar 1015'!$J:$J,'Doc Há Pagar | Rodopar 1015'!$A:$A,$B434&amp;$E434&amp;$F434,'Doc Há Pagar | Rodopar 1015'!$B:$B,X$1)</f>
        <v>0</v>
      </c>
      <c r="Y434" s="20">
        <f>SUMIFS('Doc''s Pagos | Rodopar 108'!$J:$J,'Doc''s Pagos | Rodopar 108'!$A:$A,$B434&amp;$E434&amp;$F434&amp;$J434,'Doc''s Pagos | Rodopar 108'!$B:$B,Y$1)+SUMIFS('Doc Há Pagar | Rodopar 1015'!$J:$J,'Doc Há Pagar | Rodopar 1015'!$A:$A,$B434&amp;$E434&amp;$F434,'Doc Há Pagar | Rodopar 1015'!$B:$B,Y$1)</f>
        <v>0</v>
      </c>
      <c r="Z434" s="20">
        <f>SUMIFS('Doc''s Pagos | Rodopar 108'!$J:$J,'Doc''s Pagos | Rodopar 108'!$A:$A,$B434&amp;$E434&amp;$F434&amp;$J434,'Doc''s Pagos | Rodopar 108'!$B:$B,Z$1)+SUMIFS('Doc Há Pagar | Rodopar 1015'!$J:$J,'Doc Há Pagar | Rodopar 1015'!$A:$A,$B434&amp;$E434&amp;$F434,'Doc Há Pagar | Rodopar 1015'!$B:$B,Z$1)</f>
        <v>0</v>
      </c>
      <c r="AA434" s="20">
        <f>SUMIFS('Doc''s Pagos | Rodopar 108'!$J:$J,'Doc''s Pagos | Rodopar 108'!$A:$A,$B434&amp;$E434&amp;$F434&amp;$J434,'Doc''s Pagos | Rodopar 108'!$B:$B,AA$1)+SUMIFS('Doc Há Pagar | Rodopar 1015'!$J:$J,'Doc Há Pagar | Rodopar 1015'!$A:$A,$B434&amp;$E434&amp;$F434,'Doc Há Pagar | Rodopar 1015'!$B:$B,AA$1)</f>
        <v>0</v>
      </c>
      <c r="AB434" s="20">
        <f>SUMIFS('Doc''s Pagos | Rodopar 108'!$J:$J,'Doc''s Pagos | Rodopar 108'!$A:$A,$B434&amp;$E434&amp;$F434&amp;$J434,'Doc''s Pagos | Rodopar 108'!$B:$B,AB$1)+SUMIFS('Doc Há Pagar | Rodopar 1015'!$J:$J,'Doc Há Pagar | Rodopar 1015'!$A:$A,$B434&amp;$E434&amp;$F434,'Doc Há Pagar | Rodopar 1015'!$B:$B,AB$1)</f>
        <v>1891</v>
      </c>
      <c r="AC434" s="20">
        <f>SUMIFS('Doc''s Pagos | Rodopar 108'!$J:$J,'Doc''s Pagos | Rodopar 108'!$A:$A,$B434&amp;$E434&amp;$F434&amp;$J434,'Doc''s Pagos | Rodopar 108'!$B:$B,AC$1)+SUMIFS('Doc Há Pagar | Rodopar 1015'!$J:$J,'Doc Há Pagar | Rodopar 1015'!$A:$A,$B434&amp;$E434&amp;$F434,'Doc Há Pagar | Rodopar 1015'!$B:$B,AC$1)</f>
        <v>0</v>
      </c>
      <c r="AD434" s="20">
        <f>SUMIFS('Doc''s Pagos | Rodopar 108'!$J:$J,'Doc''s Pagos | Rodopar 108'!$A:$A,$B434&amp;$E434&amp;$F434&amp;$J434,'Doc''s Pagos | Rodopar 108'!$B:$B,AD$1)+SUMIFS('Doc Há Pagar | Rodopar 1015'!$J:$J,'Doc Há Pagar | Rodopar 1015'!$A:$A,$B434&amp;$E434&amp;$F434,'Doc Há Pagar | Rodopar 1015'!$B:$B,AD$1)</f>
        <v>0</v>
      </c>
    </row>
    <row r="435" spans="1:30" x14ac:dyDescent="0.25">
      <c r="A435" s="1" t="str">
        <f>VLOOKUP($E435,Fornecedores!$A:$C,3,0)</f>
        <v>Frota</v>
      </c>
      <c r="B435" s="14">
        <v>33</v>
      </c>
      <c r="C435" s="14" t="str">
        <f>IFERROR(VLOOKUP($E435,Fornecedores!$A:$E,4,0),"")</f>
        <v>Manutenção</v>
      </c>
      <c r="D435" s="14" t="str">
        <f>IFERROR(VLOOKUP($E435,Fornecedores!$A:$E,5,0),"")</f>
        <v>Vans</v>
      </c>
      <c r="E435" s="8" t="s">
        <v>205</v>
      </c>
      <c r="F435" s="14" t="s">
        <v>380</v>
      </c>
      <c r="G435" s="8" t="s">
        <v>485</v>
      </c>
      <c r="H435" s="9">
        <v>87</v>
      </c>
      <c r="I435" s="21">
        <v>1599</v>
      </c>
      <c r="J435" s="11">
        <v>46269</v>
      </c>
      <c r="K435" s="11">
        <v>46273</v>
      </c>
      <c r="L435" s="8" t="s">
        <v>282</v>
      </c>
      <c r="M435" s="14" t="s">
        <v>234</v>
      </c>
      <c r="N435" s="16">
        <v>1556</v>
      </c>
      <c r="O435" s="14" t="s">
        <v>250</v>
      </c>
      <c r="P435" s="14"/>
      <c r="Q435" s="20">
        <f t="shared" si="6"/>
        <v>0</v>
      </c>
      <c r="S435" s="20">
        <f>SUMIFS('Doc''s Pagos | Rodopar 108'!$J:$J,'Doc''s Pagos | Rodopar 108'!$A:$A,$B435&amp;$E435&amp;$F435&amp;$J435,'Doc''s Pagos | Rodopar 108'!$B:$B,S$1)+SUMIFS('Doc Há Pagar | Rodopar 1015'!$J:$J,'Doc Há Pagar | Rodopar 1015'!$A:$A,$B435&amp;$E435&amp;$F435,'Doc Há Pagar | Rodopar 1015'!$B:$B,S$1)</f>
        <v>0</v>
      </c>
      <c r="T435" s="20">
        <f>SUMIFS('Doc''s Pagos | Rodopar 108'!$J:$J,'Doc''s Pagos | Rodopar 108'!$A:$A,$B435&amp;$E435&amp;$F435&amp;$J435,'Doc''s Pagos | Rodopar 108'!$B:$B,T$1)+SUMIFS('Doc Há Pagar | Rodopar 1015'!$J:$J,'Doc Há Pagar | Rodopar 1015'!$A:$A,$B435&amp;$E435&amp;$F435,'Doc Há Pagar | Rodopar 1015'!$B:$B,T$1)</f>
        <v>0</v>
      </c>
      <c r="U435" s="20">
        <f>SUMIFS('Doc''s Pagos | Rodopar 108'!$J:$J,'Doc''s Pagos | Rodopar 108'!$A:$A,$B435&amp;$E435&amp;$F435&amp;$J435,'Doc''s Pagos | Rodopar 108'!$B:$B,U$1)+SUMIFS('Doc Há Pagar | Rodopar 1015'!$J:$J,'Doc Há Pagar | Rodopar 1015'!$A:$A,$B435&amp;$E435&amp;$F435,'Doc Há Pagar | Rodopar 1015'!$B:$B,U$1)</f>
        <v>0</v>
      </c>
      <c r="V435" s="20">
        <f>SUMIFS('Doc''s Pagos | Rodopar 108'!$J:$J,'Doc''s Pagos | Rodopar 108'!$A:$A,$B435&amp;$E435&amp;$F435&amp;$J435,'Doc''s Pagos | Rodopar 108'!$B:$B,V$1)+SUMIFS('Doc Há Pagar | Rodopar 1015'!$J:$J,'Doc Há Pagar | Rodopar 1015'!$A:$A,$B435&amp;$E435&amp;$F435,'Doc Há Pagar | Rodopar 1015'!$B:$B,V$1)</f>
        <v>0</v>
      </c>
      <c r="W435" s="20">
        <f>SUMIFS('Doc''s Pagos | Rodopar 108'!$J:$J,'Doc''s Pagos | Rodopar 108'!$A:$A,$B435&amp;$E435&amp;$F435&amp;$J435,'Doc''s Pagos | Rodopar 108'!$B:$B,W$1)+SUMIFS('Doc Há Pagar | Rodopar 1015'!$J:$J,'Doc Há Pagar | Rodopar 1015'!$A:$A,$B435&amp;$E435&amp;$F435,'Doc Há Pagar | Rodopar 1015'!$B:$B,W$1)</f>
        <v>0</v>
      </c>
      <c r="X435" s="20">
        <f>SUMIFS('Doc''s Pagos | Rodopar 108'!$J:$J,'Doc''s Pagos | Rodopar 108'!$A:$A,$B435&amp;$E435&amp;$F435&amp;$J435,'Doc''s Pagos | Rodopar 108'!$B:$B,X$1)+SUMIFS('Doc Há Pagar | Rodopar 1015'!$J:$J,'Doc Há Pagar | Rodopar 1015'!$A:$A,$B435&amp;$E435&amp;$F435,'Doc Há Pagar | Rodopar 1015'!$B:$B,X$1)</f>
        <v>0</v>
      </c>
      <c r="Y435" s="20">
        <f>SUMIFS('Doc''s Pagos | Rodopar 108'!$J:$J,'Doc''s Pagos | Rodopar 108'!$A:$A,$B435&amp;$E435&amp;$F435&amp;$J435,'Doc''s Pagos | Rodopar 108'!$B:$B,Y$1)+SUMIFS('Doc Há Pagar | Rodopar 1015'!$J:$J,'Doc Há Pagar | Rodopar 1015'!$A:$A,$B435&amp;$E435&amp;$F435,'Doc Há Pagar | Rodopar 1015'!$B:$B,Y$1)</f>
        <v>0</v>
      </c>
      <c r="Z435" s="20">
        <f>SUMIFS('Doc''s Pagos | Rodopar 108'!$J:$J,'Doc''s Pagos | Rodopar 108'!$A:$A,$B435&amp;$E435&amp;$F435&amp;$J435,'Doc''s Pagos | Rodopar 108'!$B:$B,Z$1)+SUMIFS('Doc Há Pagar | Rodopar 1015'!$J:$J,'Doc Há Pagar | Rodopar 1015'!$A:$A,$B435&amp;$E435&amp;$F435,'Doc Há Pagar | Rodopar 1015'!$B:$B,Z$1)</f>
        <v>0</v>
      </c>
      <c r="AA435" s="20">
        <f>SUMIFS('Doc''s Pagos | Rodopar 108'!$J:$J,'Doc''s Pagos | Rodopar 108'!$A:$A,$B435&amp;$E435&amp;$F435&amp;$J435,'Doc''s Pagos | Rodopar 108'!$B:$B,AA$1)+SUMIFS('Doc Há Pagar | Rodopar 1015'!$J:$J,'Doc Há Pagar | Rodopar 1015'!$A:$A,$B435&amp;$E435&amp;$F435,'Doc Há Pagar | Rodopar 1015'!$B:$B,AA$1)</f>
        <v>0</v>
      </c>
      <c r="AB435" s="20">
        <f>SUMIFS('Doc''s Pagos | Rodopar 108'!$J:$J,'Doc''s Pagos | Rodopar 108'!$A:$A,$B435&amp;$E435&amp;$F435&amp;$J435,'Doc''s Pagos | Rodopar 108'!$B:$B,AB$1)+SUMIFS('Doc Há Pagar | Rodopar 1015'!$J:$J,'Doc Há Pagar | Rodopar 1015'!$A:$A,$B435&amp;$E435&amp;$F435,'Doc Há Pagar | Rodopar 1015'!$B:$B,AB$1)</f>
        <v>1599</v>
      </c>
      <c r="AC435" s="20">
        <f>SUMIFS('Doc''s Pagos | Rodopar 108'!$J:$J,'Doc''s Pagos | Rodopar 108'!$A:$A,$B435&amp;$E435&amp;$F435&amp;$J435,'Doc''s Pagos | Rodopar 108'!$B:$B,AC$1)+SUMIFS('Doc Há Pagar | Rodopar 1015'!$J:$J,'Doc Há Pagar | Rodopar 1015'!$A:$A,$B435&amp;$E435&amp;$F435,'Doc Há Pagar | Rodopar 1015'!$B:$B,AC$1)</f>
        <v>0</v>
      </c>
      <c r="AD435" s="20">
        <f>SUMIFS('Doc''s Pagos | Rodopar 108'!$J:$J,'Doc''s Pagos | Rodopar 108'!$A:$A,$B435&amp;$E435&amp;$F435&amp;$J435,'Doc''s Pagos | Rodopar 108'!$B:$B,AD$1)+SUMIFS('Doc Há Pagar | Rodopar 1015'!$J:$J,'Doc Há Pagar | Rodopar 1015'!$A:$A,$B435&amp;$E435&amp;$F435,'Doc Há Pagar | Rodopar 1015'!$B:$B,AD$1)</f>
        <v>0</v>
      </c>
    </row>
    <row r="436" spans="1:30" x14ac:dyDescent="0.25">
      <c r="A436" s="1" t="str">
        <f>VLOOKUP($E436,Fornecedores!$A:$C,3,0)</f>
        <v>Frota</v>
      </c>
      <c r="B436" s="14">
        <v>34</v>
      </c>
      <c r="C436" s="14" t="str">
        <f>IFERROR(VLOOKUP($E436,Fornecedores!$A:$E,4,0),"")</f>
        <v>Manutenção</v>
      </c>
      <c r="D436" s="14" t="str">
        <f>IFERROR(VLOOKUP($E436,Fornecedores!$A:$E,5,0),"")</f>
        <v>Vans</v>
      </c>
      <c r="E436" s="8" t="s">
        <v>205</v>
      </c>
      <c r="F436" s="14" t="s">
        <v>380</v>
      </c>
      <c r="G436" s="8" t="s">
        <v>485</v>
      </c>
      <c r="H436" s="9">
        <v>87</v>
      </c>
      <c r="I436" s="21">
        <v>169</v>
      </c>
      <c r="J436" s="11">
        <v>46269</v>
      </c>
      <c r="K436" s="11">
        <v>46273</v>
      </c>
      <c r="L436" s="8" t="s">
        <v>282</v>
      </c>
      <c r="M436" s="14" t="s">
        <v>234</v>
      </c>
      <c r="N436" s="16">
        <v>1556</v>
      </c>
      <c r="O436" s="14" t="s">
        <v>250</v>
      </c>
      <c r="P436" s="14"/>
      <c r="Q436" s="20">
        <f t="shared" si="6"/>
        <v>0</v>
      </c>
      <c r="S436" s="20">
        <f>SUMIFS('Doc''s Pagos | Rodopar 108'!$J:$J,'Doc''s Pagos | Rodopar 108'!$A:$A,$B436&amp;$E436&amp;$F436&amp;$J436,'Doc''s Pagos | Rodopar 108'!$B:$B,S$1)+SUMIFS('Doc Há Pagar | Rodopar 1015'!$J:$J,'Doc Há Pagar | Rodopar 1015'!$A:$A,$B436&amp;$E436&amp;$F436,'Doc Há Pagar | Rodopar 1015'!$B:$B,S$1)</f>
        <v>0</v>
      </c>
      <c r="T436" s="20">
        <f>SUMIFS('Doc''s Pagos | Rodopar 108'!$J:$J,'Doc''s Pagos | Rodopar 108'!$A:$A,$B436&amp;$E436&amp;$F436&amp;$J436,'Doc''s Pagos | Rodopar 108'!$B:$B,T$1)+SUMIFS('Doc Há Pagar | Rodopar 1015'!$J:$J,'Doc Há Pagar | Rodopar 1015'!$A:$A,$B436&amp;$E436&amp;$F436,'Doc Há Pagar | Rodopar 1015'!$B:$B,T$1)</f>
        <v>0</v>
      </c>
      <c r="U436" s="20">
        <f>SUMIFS('Doc''s Pagos | Rodopar 108'!$J:$J,'Doc''s Pagos | Rodopar 108'!$A:$A,$B436&amp;$E436&amp;$F436&amp;$J436,'Doc''s Pagos | Rodopar 108'!$B:$B,U$1)+SUMIFS('Doc Há Pagar | Rodopar 1015'!$J:$J,'Doc Há Pagar | Rodopar 1015'!$A:$A,$B436&amp;$E436&amp;$F436,'Doc Há Pagar | Rodopar 1015'!$B:$B,U$1)</f>
        <v>0</v>
      </c>
      <c r="V436" s="20">
        <f>SUMIFS('Doc''s Pagos | Rodopar 108'!$J:$J,'Doc''s Pagos | Rodopar 108'!$A:$A,$B436&amp;$E436&amp;$F436&amp;$J436,'Doc''s Pagos | Rodopar 108'!$B:$B,V$1)+SUMIFS('Doc Há Pagar | Rodopar 1015'!$J:$J,'Doc Há Pagar | Rodopar 1015'!$A:$A,$B436&amp;$E436&amp;$F436,'Doc Há Pagar | Rodopar 1015'!$B:$B,V$1)</f>
        <v>0</v>
      </c>
      <c r="W436" s="20">
        <f>SUMIFS('Doc''s Pagos | Rodopar 108'!$J:$J,'Doc''s Pagos | Rodopar 108'!$A:$A,$B436&amp;$E436&amp;$F436&amp;$J436,'Doc''s Pagos | Rodopar 108'!$B:$B,W$1)+SUMIFS('Doc Há Pagar | Rodopar 1015'!$J:$J,'Doc Há Pagar | Rodopar 1015'!$A:$A,$B436&amp;$E436&amp;$F436,'Doc Há Pagar | Rodopar 1015'!$B:$B,W$1)</f>
        <v>0</v>
      </c>
      <c r="X436" s="20">
        <f>SUMIFS('Doc''s Pagos | Rodopar 108'!$J:$J,'Doc''s Pagos | Rodopar 108'!$A:$A,$B436&amp;$E436&amp;$F436&amp;$J436,'Doc''s Pagos | Rodopar 108'!$B:$B,X$1)+SUMIFS('Doc Há Pagar | Rodopar 1015'!$J:$J,'Doc Há Pagar | Rodopar 1015'!$A:$A,$B436&amp;$E436&amp;$F436,'Doc Há Pagar | Rodopar 1015'!$B:$B,X$1)</f>
        <v>0</v>
      </c>
      <c r="Y436" s="20">
        <f>SUMIFS('Doc''s Pagos | Rodopar 108'!$J:$J,'Doc''s Pagos | Rodopar 108'!$A:$A,$B436&amp;$E436&amp;$F436&amp;$J436,'Doc''s Pagos | Rodopar 108'!$B:$B,Y$1)+SUMIFS('Doc Há Pagar | Rodopar 1015'!$J:$J,'Doc Há Pagar | Rodopar 1015'!$A:$A,$B436&amp;$E436&amp;$F436,'Doc Há Pagar | Rodopar 1015'!$B:$B,Y$1)</f>
        <v>0</v>
      </c>
      <c r="Z436" s="20">
        <f>SUMIFS('Doc''s Pagos | Rodopar 108'!$J:$J,'Doc''s Pagos | Rodopar 108'!$A:$A,$B436&amp;$E436&amp;$F436&amp;$J436,'Doc''s Pagos | Rodopar 108'!$B:$B,Z$1)+SUMIFS('Doc Há Pagar | Rodopar 1015'!$J:$J,'Doc Há Pagar | Rodopar 1015'!$A:$A,$B436&amp;$E436&amp;$F436,'Doc Há Pagar | Rodopar 1015'!$B:$B,Z$1)</f>
        <v>0</v>
      </c>
      <c r="AA436" s="20">
        <f>SUMIFS('Doc''s Pagos | Rodopar 108'!$J:$J,'Doc''s Pagos | Rodopar 108'!$A:$A,$B436&amp;$E436&amp;$F436&amp;$J436,'Doc''s Pagos | Rodopar 108'!$B:$B,AA$1)+SUMIFS('Doc Há Pagar | Rodopar 1015'!$J:$J,'Doc Há Pagar | Rodopar 1015'!$A:$A,$B436&amp;$E436&amp;$F436,'Doc Há Pagar | Rodopar 1015'!$B:$B,AA$1)</f>
        <v>0</v>
      </c>
      <c r="AB436" s="20">
        <f>SUMIFS('Doc''s Pagos | Rodopar 108'!$J:$J,'Doc''s Pagos | Rodopar 108'!$A:$A,$B436&amp;$E436&amp;$F436&amp;$J436,'Doc''s Pagos | Rodopar 108'!$B:$B,AB$1)+SUMIFS('Doc Há Pagar | Rodopar 1015'!$J:$J,'Doc Há Pagar | Rodopar 1015'!$A:$A,$B436&amp;$E436&amp;$F436,'Doc Há Pagar | Rodopar 1015'!$B:$B,AB$1)</f>
        <v>169</v>
      </c>
      <c r="AC436" s="20">
        <f>SUMIFS('Doc''s Pagos | Rodopar 108'!$J:$J,'Doc''s Pagos | Rodopar 108'!$A:$A,$B436&amp;$E436&amp;$F436&amp;$J436,'Doc''s Pagos | Rodopar 108'!$B:$B,AC$1)+SUMIFS('Doc Há Pagar | Rodopar 1015'!$J:$J,'Doc Há Pagar | Rodopar 1015'!$A:$A,$B436&amp;$E436&amp;$F436,'Doc Há Pagar | Rodopar 1015'!$B:$B,AC$1)</f>
        <v>0</v>
      </c>
      <c r="AD436" s="20">
        <f>SUMIFS('Doc''s Pagos | Rodopar 108'!$J:$J,'Doc''s Pagos | Rodopar 108'!$A:$A,$B436&amp;$E436&amp;$F436&amp;$J436,'Doc''s Pagos | Rodopar 108'!$B:$B,AD$1)+SUMIFS('Doc Há Pagar | Rodopar 1015'!$J:$J,'Doc Há Pagar | Rodopar 1015'!$A:$A,$B436&amp;$E436&amp;$F436,'Doc Há Pagar | Rodopar 1015'!$B:$B,AD$1)</f>
        <v>0</v>
      </c>
    </row>
    <row r="437" spans="1:30" x14ac:dyDescent="0.25">
      <c r="A437" s="1" t="str">
        <f>VLOOKUP($E437,Fornecedores!$A:$C,3,0)</f>
        <v>Frota</v>
      </c>
      <c r="B437" s="14">
        <v>35</v>
      </c>
      <c r="C437" s="14" t="str">
        <f>IFERROR(VLOOKUP($E437,Fornecedores!$A:$E,4,0),"")</f>
        <v>Manutenção</v>
      </c>
      <c r="D437" s="14" t="str">
        <f>IFERROR(VLOOKUP($E437,Fornecedores!$A:$E,5,0),"")</f>
        <v>Vans</v>
      </c>
      <c r="E437" s="8" t="s">
        <v>205</v>
      </c>
      <c r="F437" s="14" t="s">
        <v>380</v>
      </c>
      <c r="G437" s="8" t="s">
        <v>485</v>
      </c>
      <c r="H437" s="9">
        <v>87</v>
      </c>
      <c r="I437" s="21">
        <v>2690</v>
      </c>
      <c r="J437" s="11">
        <v>46269</v>
      </c>
      <c r="K437" s="11">
        <v>46273</v>
      </c>
      <c r="L437" s="8" t="s">
        <v>282</v>
      </c>
      <c r="M437" s="14" t="s">
        <v>234</v>
      </c>
      <c r="N437" s="16">
        <v>1556</v>
      </c>
      <c r="O437" s="14" t="s">
        <v>250</v>
      </c>
      <c r="P437" s="14"/>
      <c r="Q437" s="20">
        <f t="shared" si="6"/>
        <v>0</v>
      </c>
      <c r="S437" s="20">
        <f>SUMIFS('Doc''s Pagos | Rodopar 108'!$J:$J,'Doc''s Pagos | Rodopar 108'!$A:$A,$B437&amp;$E437&amp;$F437&amp;$J437,'Doc''s Pagos | Rodopar 108'!$B:$B,S$1)+SUMIFS('Doc Há Pagar | Rodopar 1015'!$J:$J,'Doc Há Pagar | Rodopar 1015'!$A:$A,$B437&amp;$E437&amp;$F437,'Doc Há Pagar | Rodopar 1015'!$B:$B,S$1)</f>
        <v>0</v>
      </c>
      <c r="T437" s="20">
        <f>SUMIFS('Doc''s Pagos | Rodopar 108'!$J:$J,'Doc''s Pagos | Rodopar 108'!$A:$A,$B437&amp;$E437&amp;$F437&amp;$J437,'Doc''s Pagos | Rodopar 108'!$B:$B,T$1)+SUMIFS('Doc Há Pagar | Rodopar 1015'!$J:$J,'Doc Há Pagar | Rodopar 1015'!$A:$A,$B437&amp;$E437&amp;$F437,'Doc Há Pagar | Rodopar 1015'!$B:$B,T$1)</f>
        <v>0</v>
      </c>
      <c r="U437" s="20">
        <f>SUMIFS('Doc''s Pagos | Rodopar 108'!$J:$J,'Doc''s Pagos | Rodopar 108'!$A:$A,$B437&amp;$E437&amp;$F437&amp;$J437,'Doc''s Pagos | Rodopar 108'!$B:$B,U$1)+SUMIFS('Doc Há Pagar | Rodopar 1015'!$J:$J,'Doc Há Pagar | Rodopar 1015'!$A:$A,$B437&amp;$E437&amp;$F437,'Doc Há Pagar | Rodopar 1015'!$B:$B,U$1)</f>
        <v>0</v>
      </c>
      <c r="V437" s="20">
        <f>SUMIFS('Doc''s Pagos | Rodopar 108'!$J:$J,'Doc''s Pagos | Rodopar 108'!$A:$A,$B437&amp;$E437&amp;$F437&amp;$J437,'Doc''s Pagos | Rodopar 108'!$B:$B,V$1)+SUMIFS('Doc Há Pagar | Rodopar 1015'!$J:$J,'Doc Há Pagar | Rodopar 1015'!$A:$A,$B437&amp;$E437&amp;$F437,'Doc Há Pagar | Rodopar 1015'!$B:$B,V$1)</f>
        <v>0</v>
      </c>
      <c r="W437" s="20">
        <f>SUMIFS('Doc''s Pagos | Rodopar 108'!$J:$J,'Doc''s Pagos | Rodopar 108'!$A:$A,$B437&amp;$E437&amp;$F437&amp;$J437,'Doc''s Pagos | Rodopar 108'!$B:$B,W$1)+SUMIFS('Doc Há Pagar | Rodopar 1015'!$J:$J,'Doc Há Pagar | Rodopar 1015'!$A:$A,$B437&amp;$E437&amp;$F437,'Doc Há Pagar | Rodopar 1015'!$B:$B,W$1)</f>
        <v>0</v>
      </c>
      <c r="X437" s="20">
        <f>SUMIFS('Doc''s Pagos | Rodopar 108'!$J:$J,'Doc''s Pagos | Rodopar 108'!$A:$A,$B437&amp;$E437&amp;$F437&amp;$J437,'Doc''s Pagos | Rodopar 108'!$B:$B,X$1)+SUMIFS('Doc Há Pagar | Rodopar 1015'!$J:$J,'Doc Há Pagar | Rodopar 1015'!$A:$A,$B437&amp;$E437&amp;$F437,'Doc Há Pagar | Rodopar 1015'!$B:$B,X$1)</f>
        <v>0</v>
      </c>
      <c r="Y437" s="20">
        <f>SUMIFS('Doc''s Pagos | Rodopar 108'!$J:$J,'Doc''s Pagos | Rodopar 108'!$A:$A,$B437&amp;$E437&amp;$F437&amp;$J437,'Doc''s Pagos | Rodopar 108'!$B:$B,Y$1)+SUMIFS('Doc Há Pagar | Rodopar 1015'!$J:$J,'Doc Há Pagar | Rodopar 1015'!$A:$A,$B437&amp;$E437&amp;$F437,'Doc Há Pagar | Rodopar 1015'!$B:$B,Y$1)</f>
        <v>0</v>
      </c>
      <c r="Z437" s="20">
        <f>SUMIFS('Doc''s Pagos | Rodopar 108'!$J:$J,'Doc''s Pagos | Rodopar 108'!$A:$A,$B437&amp;$E437&amp;$F437&amp;$J437,'Doc''s Pagos | Rodopar 108'!$B:$B,Z$1)+SUMIFS('Doc Há Pagar | Rodopar 1015'!$J:$J,'Doc Há Pagar | Rodopar 1015'!$A:$A,$B437&amp;$E437&amp;$F437,'Doc Há Pagar | Rodopar 1015'!$B:$B,Z$1)</f>
        <v>0</v>
      </c>
      <c r="AA437" s="20">
        <f>SUMIFS('Doc''s Pagos | Rodopar 108'!$J:$J,'Doc''s Pagos | Rodopar 108'!$A:$A,$B437&amp;$E437&amp;$F437&amp;$J437,'Doc''s Pagos | Rodopar 108'!$B:$B,AA$1)+SUMIFS('Doc Há Pagar | Rodopar 1015'!$J:$J,'Doc Há Pagar | Rodopar 1015'!$A:$A,$B437&amp;$E437&amp;$F437,'Doc Há Pagar | Rodopar 1015'!$B:$B,AA$1)</f>
        <v>0</v>
      </c>
      <c r="AB437" s="20">
        <f>SUMIFS('Doc''s Pagos | Rodopar 108'!$J:$J,'Doc''s Pagos | Rodopar 108'!$A:$A,$B437&amp;$E437&amp;$F437&amp;$J437,'Doc''s Pagos | Rodopar 108'!$B:$B,AB$1)+SUMIFS('Doc Há Pagar | Rodopar 1015'!$J:$J,'Doc Há Pagar | Rodopar 1015'!$A:$A,$B437&amp;$E437&amp;$F437,'Doc Há Pagar | Rodopar 1015'!$B:$B,AB$1)</f>
        <v>2690</v>
      </c>
      <c r="AC437" s="20">
        <f>SUMIFS('Doc''s Pagos | Rodopar 108'!$J:$J,'Doc''s Pagos | Rodopar 108'!$A:$A,$B437&amp;$E437&amp;$F437&amp;$J437,'Doc''s Pagos | Rodopar 108'!$B:$B,AC$1)+SUMIFS('Doc Há Pagar | Rodopar 1015'!$J:$J,'Doc Há Pagar | Rodopar 1015'!$A:$A,$B437&amp;$E437&amp;$F437,'Doc Há Pagar | Rodopar 1015'!$B:$B,AC$1)</f>
        <v>0</v>
      </c>
      <c r="AD437" s="20">
        <f>SUMIFS('Doc''s Pagos | Rodopar 108'!$J:$J,'Doc''s Pagos | Rodopar 108'!$A:$A,$B437&amp;$E437&amp;$F437&amp;$J437,'Doc''s Pagos | Rodopar 108'!$B:$B,AD$1)+SUMIFS('Doc Há Pagar | Rodopar 1015'!$J:$J,'Doc Há Pagar | Rodopar 1015'!$A:$A,$B437&amp;$E437&amp;$F437,'Doc Há Pagar | Rodopar 1015'!$B:$B,AD$1)</f>
        <v>0</v>
      </c>
    </row>
    <row r="438" spans="1:30" x14ac:dyDescent="0.25">
      <c r="A438" s="1" t="str">
        <f>VLOOKUP($E438,Fornecedores!$A:$C,3,0)</f>
        <v>Frota</v>
      </c>
      <c r="B438" s="14">
        <v>1020084</v>
      </c>
      <c r="C438" s="14" t="str">
        <f>IFERROR(VLOOKUP($E438,Fornecedores!$A:$E,4,0),"")</f>
        <v>Telemetria</v>
      </c>
      <c r="D438" s="14" t="str">
        <f>IFERROR(VLOOKUP($E438,Fornecedores!$A:$E,5,0),"")</f>
        <v>Telemetria</v>
      </c>
      <c r="E438" s="8" t="s">
        <v>179</v>
      </c>
      <c r="F438" s="14" t="s">
        <v>665</v>
      </c>
      <c r="G438" s="8" t="s">
        <v>673</v>
      </c>
      <c r="H438" s="9">
        <v>87</v>
      </c>
      <c r="I438" s="21">
        <v>373.3</v>
      </c>
      <c r="J438" s="11">
        <v>46269</v>
      </c>
      <c r="K438" s="11">
        <v>46273</v>
      </c>
      <c r="L438" s="8" t="s">
        <v>674</v>
      </c>
      <c r="M438" s="14" t="s">
        <v>263</v>
      </c>
      <c r="N438" s="16">
        <v>2556</v>
      </c>
      <c r="O438" s="14" t="s">
        <v>241</v>
      </c>
      <c r="P438" s="14"/>
      <c r="Q438" s="20">
        <f t="shared" si="6"/>
        <v>0</v>
      </c>
      <c r="S438" s="20">
        <f>SUMIFS('Doc''s Pagos | Rodopar 108'!$J:$J,'Doc''s Pagos | Rodopar 108'!$A:$A,$B438&amp;$E438&amp;$F438&amp;$J438,'Doc''s Pagos | Rodopar 108'!$B:$B,S$1)+SUMIFS('Doc Há Pagar | Rodopar 1015'!$J:$J,'Doc Há Pagar | Rodopar 1015'!$A:$A,$B438&amp;$E438&amp;$F438,'Doc Há Pagar | Rodopar 1015'!$B:$B,S$1)</f>
        <v>0</v>
      </c>
      <c r="T438" s="20">
        <f>SUMIFS('Doc''s Pagos | Rodopar 108'!$J:$J,'Doc''s Pagos | Rodopar 108'!$A:$A,$B438&amp;$E438&amp;$F438&amp;$J438,'Doc''s Pagos | Rodopar 108'!$B:$B,T$1)+SUMIFS('Doc Há Pagar | Rodopar 1015'!$J:$J,'Doc Há Pagar | Rodopar 1015'!$A:$A,$B438&amp;$E438&amp;$F438,'Doc Há Pagar | Rodopar 1015'!$B:$B,T$1)</f>
        <v>0</v>
      </c>
      <c r="U438" s="20">
        <f>SUMIFS('Doc''s Pagos | Rodopar 108'!$J:$J,'Doc''s Pagos | Rodopar 108'!$A:$A,$B438&amp;$E438&amp;$F438&amp;$J438,'Doc''s Pagos | Rodopar 108'!$B:$B,U$1)+SUMIFS('Doc Há Pagar | Rodopar 1015'!$J:$J,'Doc Há Pagar | Rodopar 1015'!$A:$A,$B438&amp;$E438&amp;$F438,'Doc Há Pagar | Rodopar 1015'!$B:$B,U$1)</f>
        <v>0</v>
      </c>
      <c r="V438" s="20">
        <f>SUMIFS('Doc''s Pagos | Rodopar 108'!$J:$J,'Doc''s Pagos | Rodopar 108'!$A:$A,$B438&amp;$E438&amp;$F438&amp;$J438,'Doc''s Pagos | Rodopar 108'!$B:$B,V$1)+SUMIFS('Doc Há Pagar | Rodopar 1015'!$J:$J,'Doc Há Pagar | Rodopar 1015'!$A:$A,$B438&amp;$E438&amp;$F438,'Doc Há Pagar | Rodopar 1015'!$B:$B,V$1)</f>
        <v>0</v>
      </c>
      <c r="W438" s="20">
        <f>SUMIFS('Doc''s Pagos | Rodopar 108'!$J:$J,'Doc''s Pagos | Rodopar 108'!$A:$A,$B438&amp;$E438&amp;$F438&amp;$J438,'Doc''s Pagos | Rodopar 108'!$B:$B,W$1)+SUMIFS('Doc Há Pagar | Rodopar 1015'!$J:$J,'Doc Há Pagar | Rodopar 1015'!$A:$A,$B438&amp;$E438&amp;$F438,'Doc Há Pagar | Rodopar 1015'!$B:$B,W$1)</f>
        <v>0</v>
      </c>
      <c r="X438" s="20">
        <f>SUMIFS('Doc''s Pagos | Rodopar 108'!$J:$J,'Doc''s Pagos | Rodopar 108'!$A:$A,$B438&amp;$E438&amp;$F438&amp;$J438,'Doc''s Pagos | Rodopar 108'!$B:$B,X$1)+SUMIFS('Doc Há Pagar | Rodopar 1015'!$J:$J,'Doc Há Pagar | Rodopar 1015'!$A:$A,$B438&amp;$E438&amp;$F438,'Doc Há Pagar | Rodopar 1015'!$B:$B,X$1)</f>
        <v>0</v>
      </c>
      <c r="Y438" s="20">
        <f>SUMIFS('Doc''s Pagos | Rodopar 108'!$J:$J,'Doc''s Pagos | Rodopar 108'!$A:$A,$B438&amp;$E438&amp;$F438&amp;$J438,'Doc''s Pagos | Rodopar 108'!$B:$B,Y$1)+SUMIFS('Doc Há Pagar | Rodopar 1015'!$J:$J,'Doc Há Pagar | Rodopar 1015'!$A:$A,$B438&amp;$E438&amp;$F438,'Doc Há Pagar | Rodopar 1015'!$B:$B,Y$1)</f>
        <v>0</v>
      </c>
      <c r="Z438" s="20">
        <f>SUMIFS('Doc''s Pagos | Rodopar 108'!$J:$J,'Doc''s Pagos | Rodopar 108'!$A:$A,$B438&amp;$E438&amp;$F438&amp;$J438,'Doc''s Pagos | Rodopar 108'!$B:$B,Z$1)+SUMIFS('Doc Há Pagar | Rodopar 1015'!$J:$J,'Doc Há Pagar | Rodopar 1015'!$A:$A,$B438&amp;$E438&amp;$F438,'Doc Há Pagar | Rodopar 1015'!$B:$B,Z$1)</f>
        <v>0</v>
      </c>
      <c r="AA438" s="20">
        <f>SUMIFS('Doc''s Pagos | Rodopar 108'!$J:$J,'Doc''s Pagos | Rodopar 108'!$A:$A,$B438&amp;$E438&amp;$F438&amp;$J438,'Doc''s Pagos | Rodopar 108'!$B:$B,AA$1)+SUMIFS('Doc Há Pagar | Rodopar 1015'!$J:$J,'Doc Há Pagar | Rodopar 1015'!$A:$A,$B438&amp;$E438&amp;$F438,'Doc Há Pagar | Rodopar 1015'!$B:$B,AA$1)</f>
        <v>0</v>
      </c>
      <c r="AB438" s="20">
        <f>SUMIFS('Doc''s Pagos | Rodopar 108'!$J:$J,'Doc''s Pagos | Rodopar 108'!$A:$A,$B438&amp;$E438&amp;$F438&amp;$J438,'Doc''s Pagos | Rodopar 108'!$B:$B,AB$1)+SUMIFS('Doc Há Pagar | Rodopar 1015'!$J:$J,'Doc Há Pagar | Rodopar 1015'!$A:$A,$B438&amp;$E438&amp;$F438,'Doc Há Pagar | Rodopar 1015'!$B:$B,AB$1)</f>
        <v>373.3</v>
      </c>
      <c r="AC438" s="20">
        <f>SUMIFS('Doc''s Pagos | Rodopar 108'!$J:$J,'Doc''s Pagos | Rodopar 108'!$A:$A,$B438&amp;$E438&amp;$F438&amp;$J438,'Doc''s Pagos | Rodopar 108'!$B:$B,AC$1)+SUMIFS('Doc Há Pagar | Rodopar 1015'!$J:$J,'Doc Há Pagar | Rodopar 1015'!$A:$A,$B438&amp;$E438&amp;$F438,'Doc Há Pagar | Rodopar 1015'!$B:$B,AC$1)</f>
        <v>0</v>
      </c>
      <c r="AD438" s="20">
        <f>SUMIFS('Doc''s Pagos | Rodopar 108'!$J:$J,'Doc''s Pagos | Rodopar 108'!$A:$A,$B438&amp;$E438&amp;$F438&amp;$J438,'Doc''s Pagos | Rodopar 108'!$B:$B,AD$1)+SUMIFS('Doc Há Pagar | Rodopar 1015'!$J:$J,'Doc Há Pagar | Rodopar 1015'!$A:$A,$B438&amp;$E438&amp;$F438,'Doc Há Pagar | Rodopar 1015'!$B:$B,AD$1)</f>
        <v>0</v>
      </c>
    </row>
    <row r="439" spans="1:30" x14ac:dyDescent="0.25">
      <c r="A439" s="1" t="str">
        <f>VLOOKUP($E439,Fornecedores!$A:$C,3,0)</f>
        <v>Frota</v>
      </c>
      <c r="B439" s="14">
        <v>1318</v>
      </c>
      <c r="C439" s="14" t="str">
        <f>IFERROR(VLOOKUP($E439,Fornecedores!$A:$E,4,0),"")</f>
        <v>MTSR</v>
      </c>
      <c r="D439" s="14" t="str">
        <f>IFERROR(VLOOKUP($E439,Fornecedores!$A:$E,5,0),"")</f>
        <v>Tecnologia</v>
      </c>
      <c r="E439" s="8" t="s">
        <v>24</v>
      </c>
      <c r="F439" s="14" t="s">
        <v>665</v>
      </c>
      <c r="G439" s="8" t="s">
        <v>238</v>
      </c>
      <c r="H439" s="9">
        <v>87</v>
      </c>
      <c r="I439" s="21">
        <v>11929.32</v>
      </c>
      <c r="J439" s="11">
        <v>46269</v>
      </c>
      <c r="K439" s="11">
        <v>46273</v>
      </c>
      <c r="L439" s="8" t="s">
        <v>239</v>
      </c>
      <c r="M439" s="14" t="s">
        <v>240</v>
      </c>
      <c r="N439" s="16">
        <v>2556</v>
      </c>
      <c r="O439" s="14" t="s">
        <v>241</v>
      </c>
      <c r="P439" s="14"/>
      <c r="Q439" s="20">
        <f t="shared" si="6"/>
        <v>0</v>
      </c>
      <c r="S439" s="20">
        <f>SUMIFS('Doc''s Pagos | Rodopar 108'!$J:$J,'Doc''s Pagos | Rodopar 108'!$A:$A,$B439&amp;$E439&amp;$F439&amp;$J439,'Doc''s Pagos | Rodopar 108'!$B:$B,S$1)+SUMIFS('Doc Há Pagar | Rodopar 1015'!$J:$J,'Doc Há Pagar | Rodopar 1015'!$A:$A,$B439&amp;$E439&amp;$F439,'Doc Há Pagar | Rodopar 1015'!$B:$B,S$1)</f>
        <v>0</v>
      </c>
      <c r="T439" s="20">
        <f>SUMIFS('Doc''s Pagos | Rodopar 108'!$J:$J,'Doc''s Pagos | Rodopar 108'!$A:$A,$B439&amp;$E439&amp;$F439&amp;$J439,'Doc''s Pagos | Rodopar 108'!$B:$B,T$1)+SUMIFS('Doc Há Pagar | Rodopar 1015'!$J:$J,'Doc Há Pagar | Rodopar 1015'!$A:$A,$B439&amp;$E439&amp;$F439,'Doc Há Pagar | Rodopar 1015'!$B:$B,T$1)</f>
        <v>0</v>
      </c>
      <c r="U439" s="20">
        <f>SUMIFS('Doc''s Pagos | Rodopar 108'!$J:$J,'Doc''s Pagos | Rodopar 108'!$A:$A,$B439&amp;$E439&amp;$F439&amp;$J439,'Doc''s Pagos | Rodopar 108'!$B:$B,U$1)+SUMIFS('Doc Há Pagar | Rodopar 1015'!$J:$J,'Doc Há Pagar | Rodopar 1015'!$A:$A,$B439&amp;$E439&amp;$F439,'Doc Há Pagar | Rodopar 1015'!$B:$B,U$1)</f>
        <v>0</v>
      </c>
      <c r="V439" s="20">
        <f>SUMIFS('Doc''s Pagos | Rodopar 108'!$J:$J,'Doc''s Pagos | Rodopar 108'!$A:$A,$B439&amp;$E439&amp;$F439&amp;$J439,'Doc''s Pagos | Rodopar 108'!$B:$B,V$1)+SUMIFS('Doc Há Pagar | Rodopar 1015'!$J:$J,'Doc Há Pagar | Rodopar 1015'!$A:$A,$B439&amp;$E439&amp;$F439,'Doc Há Pagar | Rodopar 1015'!$B:$B,V$1)</f>
        <v>0</v>
      </c>
      <c r="W439" s="20">
        <f>SUMIFS('Doc''s Pagos | Rodopar 108'!$J:$J,'Doc''s Pagos | Rodopar 108'!$A:$A,$B439&amp;$E439&amp;$F439&amp;$J439,'Doc''s Pagos | Rodopar 108'!$B:$B,W$1)+SUMIFS('Doc Há Pagar | Rodopar 1015'!$J:$J,'Doc Há Pagar | Rodopar 1015'!$A:$A,$B439&amp;$E439&amp;$F439,'Doc Há Pagar | Rodopar 1015'!$B:$B,W$1)</f>
        <v>0</v>
      </c>
      <c r="X439" s="20">
        <f>SUMIFS('Doc''s Pagos | Rodopar 108'!$J:$J,'Doc''s Pagos | Rodopar 108'!$A:$A,$B439&amp;$E439&amp;$F439&amp;$J439,'Doc''s Pagos | Rodopar 108'!$B:$B,X$1)+SUMIFS('Doc Há Pagar | Rodopar 1015'!$J:$J,'Doc Há Pagar | Rodopar 1015'!$A:$A,$B439&amp;$E439&amp;$F439,'Doc Há Pagar | Rodopar 1015'!$B:$B,X$1)</f>
        <v>0</v>
      </c>
      <c r="Y439" s="20">
        <f>SUMIFS('Doc''s Pagos | Rodopar 108'!$J:$J,'Doc''s Pagos | Rodopar 108'!$A:$A,$B439&amp;$E439&amp;$F439&amp;$J439,'Doc''s Pagos | Rodopar 108'!$B:$B,Y$1)+SUMIFS('Doc Há Pagar | Rodopar 1015'!$J:$J,'Doc Há Pagar | Rodopar 1015'!$A:$A,$B439&amp;$E439&amp;$F439,'Doc Há Pagar | Rodopar 1015'!$B:$B,Y$1)</f>
        <v>0</v>
      </c>
      <c r="Z439" s="20">
        <f>SUMIFS('Doc''s Pagos | Rodopar 108'!$J:$J,'Doc''s Pagos | Rodopar 108'!$A:$A,$B439&amp;$E439&amp;$F439&amp;$J439,'Doc''s Pagos | Rodopar 108'!$B:$B,Z$1)+SUMIFS('Doc Há Pagar | Rodopar 1015'!$J:$J,'Doc Há Pagar | Rodopar 1015'!$A:$A,$B439&amp;$E439&amp;$F439,'Doc Há Pagar | Rodopar 1015'!$B:$B,Z$1)</f>
        <v>0</v>
      </c>
      <c r="AA439" s="20">
        <f>SUMIFS('Doc''s Pagos | Rodopar 108'!$J:$J,'Doc''s Pagos | Rodopar 108'!$A:$A,$B439&amp;$E439&amp;$F439&amp;$J439,'Doc''s Pagos | Rodopar 108'!$B:$B,AA$1)+SUMIFS('Doc Há Pagar | Rodopar 1015'!$J:$J,'Doc Há Pagar | Rodopar 1015'!$A:$A,$B439&amp;$E439&amp;$F439,'Doc Há Pagar | Rodopar 1015'!$B:$B,AA$1)</f>
        <v>0</v>
      </c>
      <c r="AB439" s="20">
        <f>SUMIFS('Doc''s Pagos | Rodopar 108'!$J:$J,'Doc''s Pagos | Rodopar 108'!$A:$A,$B439&amp;$E439&amp;$F439&amp;$J439,'Doc''s Pagos | Rodopar 108'!$B:$B,AB$1)+SUMIFS('Doc Há Pagar | Rodopar 1015'!$J:$J,'Doc Há Pagar | Rodopar 1015'!$A:$A,$B439&amp;$E439&amp;$F439,'Doc Há Pagar | Rodopar 1015'!$B:$B,AB$1)</f>
        <v>11929.32</v>
      </c>
      <c r="AC439" s="20">
        <f>SUMIFS('Doc''s Pagos | Rodopar 108'!$J:$J,'Doc''s Pagos | Rodopar 108'!$A:$A,$B439&amp;$E439&amp;$F439&amp;$J439,'Doc''s Pagos | Rodopar 108'!$B:$B,AC$1)+SUMIFS('Doc Há Pagar | Rodopar 1015'!$J:$J,'Doc Há Pagar | Rodopar 1015'!$A:$A,$B439&amp;$E439&amp;$F439,'Doc Há Pagar | Rodopar 1015'!$B:$B,AC$1)</f>
        <v>0</v>
      </c>
      <c r="AD439" s="20">
        <f>SUMIFS('Doc''s Pagos | Rodopar 108'!$J:$J,'Doc''s Pagos | Rodopar 108'!$A:$A,$B439&amp;$E439&amp;$F439&amp;$J439,'Doc''s Pagos | Rodopar 108'!$B:$B,AD$1)+SUMIFS('Doc Há Pagar | Rodopar 1015'!$J:$J,'Doc Há Pagar | Rodopar 1015'!$A:$A,$B439&amp;$E439&amp;$F439,'Doc Há Pagar | Rodopar 1015'!$B:$B,AD$1)</f>
        <v>0</v>
      </c>
    </row>
    <row r="440" spans="1:30" x14ac:dyDescent="0.25">
      <c r="A440" s="1" t="str">
        <f>VLOOKUP($E440,Fornecedores!$A:$C,3,0)</f>
        <v>Frota</v>
      </c>
      <c r="B440" s="14">
        <v>1320</v>
      </c>
      <c r="C440" s="14" t="str">
        <f>IFERROR(VLOOKUP($E440,Fornecedores!$A:$E,4,0),"")</f>
        <v>MTSR</v>
      </c>
      <c r="D440" s="14" t="str">
        <f>IFERROR(VLOOKUP($E440,Fornecedores!$A:$E,5,0),"")</f>
        <v>Tecnologia</v>
      </c>
      <c r="E440" s="8" t="s">
        <v>24</v>
      </c>
      <c r="F440" s="14" t="s">
        <v>665</v>
      </c>
      <c r="G440" s="8" t="s">
        <v>238</v>
      </c>
      <c r="H440" s="9">
        <v>87</v>
      </c>
      <c r="I440" s="21">
        <v>15679.65</v>
      </c>
      <c r="J440" s="11">
        <v>46269</v>
      </c>
      <c r="K440" s="11">
        <v>46273</v>
      </c>
      <c r="L440" s="8" t="s">
        <v>239</v>
      </c>
      <c r="M440" s="14" t="s">
        <v>240</v>
      </c>
      <c r="N440" s="16">
        <v>2556</v>
      </c>
      <c r="O440" s="14" t="s">
        <v>241</v>
      </c>
      <c r="P440" s="14"/>
      <c r="Q440" s="20">
        <f t="shared" si="6"/>
        <v>0</v>
      </c>
      <c r="S440" s="20">
        <f>SUMIFS('Doc''s Pagos | Rodopar 108'!$J:$J,'Doc''s Pagos | Rodopar 108'!$A:$A,$B440&amp;$E440&amp;$F440&amp;$J440,'Doc''s Pagos | Rodopar 108'!$B:$B,S$1)+SUMIFS('Doc Há Pagar | Rodopar 1015'!$J:$J,'Doc Há Pagar | Rodopar 1015'!$A:$A,$B440&amp;$E440&amp;$F440,'Doc Há Pagar | Rodopar 1015'!$B:$B,S$1)</f>
        <v>0</v>
      </c>
      <c r="T440" s="20">
        <f>SUMIFS('Doc''s Pagos | Rodopar 108'!$J:$J,'Doc''s Pagos | Rodopar 108'!$A:$A,$B440&amp;$E440&amp;$F440&amp;$J440,'Doc''s Pagos | Rodopar 108'!$B:$B,T$1)+SUMIFS('Doc Há Pagar | Rodopar 1015'!$J:$J,'Doc Há Pagar | Rodopar 1015'!$A:$A,$B440&amp;$E440&amp;$F440,'Doc Há Pagar | Rodopar 1015'!$B:$B,T$1)</f>
        <v>0</v>
      </c>
      <c r="U440" s="20">
        <f>SUMIFS('Doc''s Pagos | Rodopar 108'!$J:$J,'Doc''s Pagos | Rodopar 108'!$A:$A,$B440&amp;$E440&amp;$F440&amp;$J440,'Doc''s Pagos | Rodopar 108'!$B:$B,U$1)+SUMIFS('Doc Há Pagar | Rodopar 1015'!$J:$J,'Doc Há Pagar | Rodopar 1015'!$A:$A,$B440&amp;$E440&amp;$F440,'Doc Há Pagar | Rodopar 1015'!$B:$B,U$1)</f>
        <v>0</v>
      </c>
      <c r="V440" s="20">
        <f>SUMIFS('Doc''s Pagos | Rodopar 108'!$J:$J,'Doc''s Pagos | Rodopar 108'!$A:$A,$B440&amp;$E440&amp;$F440&amp;$J440,'Doc''s Pagos | Rodopar 108'!$B:$B,V$1)+SUMIFS('Doc Há Pagar | Rodopar 1015'!$J:$J,'Doc Há Pagar | Rodopar 1015'!$A:$A,$B440&amp;$E440&amp;$F440,'Doc Há Pagar | Rodopar 1015'!$B:$B,V$1)</f>
        <v>0</v>
      </c>
      <c r="W440" s="20">
        <f>SUMIFS('Doc''s Pagos | Rodopar 108'!$J:$J,'Doc''s Pagos | Rodopar 108'!$A:$A,$B440&amp;$E440&amp;$F440&amp;$J440,'Doc''s Pagos | Rodopar 108'!$B:$B,W$1)+SUMIFS('Doc Há Pagar | Rodopar 1015'!$J:$J,'Doc Há Pagar | Rodopar 1015'!$A:$A,$B440&amp;$E440&amp;$F440,'Doc Há Pagar | Rodopar 1015'!$B:$B,W$1)</f>
        <v>0</v>
      </c>
      <c r="X440" s="20">
        <f>SUMIFS('Doc''s Pagos | Rodopar 108'!$J:$J,'Doc''s Pagos | Rodopar 108'!$A:$A,$B440&amp;$E440&amp;$F440&amp;$J440,'Doc''s Pagos | Rodopar 108'!$B:$B,X$1)+SUMIFS('Doc Há Pagar | Rodopar 1015'!$J:$J,'Doc Há Pagar | Rodopar 1015'!$A:$A,$B440&amp;$E440&amp;$F440,'Doc Há Pagar | Rodopar 1015'!$B:$B,X$1)</f>
        <v>0</v>
      </c>
      <c r="Y440" s="20">
        <f>SUMIFS('Doc''s Pagos | Rodopar 108'!$J:$J,'Doc''s Pagos | Rodopar 108'!$A:$A,$B440&amp;$E440&amp;$F440&amp;$J440,'Doc''s Pagos | Rodopar 108'!$B:$B,Y$1)+SUMIFS('Doc Há Pagar | Rodopar 1015'!$J:$J,'Doc Há Pagar | Rodopar 1015'!$A:$A,$B440&amp;$E440&amp;$F440,'Doc Há Pagar | Rodopar 1015'!$B:$B,Y$1)</f>
        <v>0</v>
      </c>
      <c r="Z440" s="20">
        <f>SUMIFS('Doc''s Pagos | Rodopar 108'!$J:$J,'Doc''s Pagos | Rodopar 108'!$A:$A,$B440&amp;$E440&amp;$F440&amp;$J440,'Doc''s Pagos | Rodopar 108'!$B:$B,Z$1)+SUMIFS('Doc Há Pagar | Rodopar 1015'!$J:$J,'Doc Há Pagar | Rodopar 1015'!$A:$A,$B440&amp;$E440&amp;$F440,'Doc Há Pagar | Rodopar 1015'!$B:$B,Z$1)</f>
        <v>0</v>
      </c>
      <c r="AA440" s="20">
        <f>SUMIFS('Doc''s Pagos | Rodopar 108'!$J:$J,'Doc''s Pagos | Rodopar 108'!$A:$A,$B440&amp;$E440&amp;$F440&amp;$J440,'Doc''s Pagos | Rodopar 108'!$B:$B,AA$1)+SUMIFS('Doc Há Pagar | Rodopar 1015'!$J:$J,'Doc Há Pagar | Rodopar 1015'!$A:$A,$B440&amp;$E440&amp;$F440,'Doc Há Pagar | Rodopar 1015'!$B:$B,AA$1)</f>
        <v>0</v>
      </c>
      <c r="AB440" s="20">
        <f>SUMIFS('Doc''s Pagos | Rodopar 108'!$J:$J,'Doc''s Pagos | Rodopar 108'!$A:$A,$B440&amp;$E440&amp;$F440&amp;$J440,'Doc''s Pagos | Rodopar 108'!$B:$B,AB$1)+SUMIFS('Doc Há Pagar | Rodopar 1015'!$J:$J,'Doc Há Pagar | Rodopar 1015'!$A:$A,$B440&amp;$E440&amp;$F440,'Doc Há Pagar | Rodopar 1015'!$B:$B,AB$1)</f>
        <v>15679.65</v>
      </c>
      <c r="AC440" s="20">
        <f>SUMIFS('Doc''s Pagos | Rodopar 108'!$J:$J,'Doc''s Pagos | Rodopar 108'!$A:$A,$B440&amp;$E440&amp;$F440&amp;$J440,'Doc''s Pagos | Rodopar 108'!$B:$B,AC$1)+SUMIFS('Doc Há Pagar | Rodopar 1015'!$J:$J,'Doc Há Pagar | Rodopar 1015'!$A:$A,$B440&amp;$E440&amp;$F440,'Doc Há Pagar | Rodopar 1015'!$B:$B,AC$1)</f>
        <v>0</v>
      </c>
      <c r="AD440" s="20">
        <f>SUMIFS('Doc''s Pagos | Rodopar 108'!$J:$J,'Doc''s Pagos | Rodopar 108'!$A:$A,$B440&amp;$E440&amp;$F440&amp;$J440,'Doc''s Pagos | Rodopar 108'!$B:$B,AD$1)+SUMIFS('Doc Há Pagar | Rodopar 1015'!$J:$J,'Doc Há Pagar | Rodopar 1015'!$A:$A,$B440&amp;$E440&amp;$F440,'Doc Há Pagar | Rodopar 1015'!$B:$B,AD$1)</f>
        <v>0</v>
      </c>
    </row>
    <row r="441" spans="1:30" x14ac:dyDescent="0.25">
      <c r="A441" s="1" t="str">
        <f>VLOOKUP($E441,Fornecedores!$A:$C,3,0)</f>
        <v>Frota</v>
      </c>
      <c r="B441" s="14">
        <v>3</v>
      </c>
      <c r="C441" s="14" t="str">
        <f>IFERROR(VLOOKUP($E441,Fornecedores!$A:$E,4,0),"")</f>
        <v>Pneus</v>
      </c>
      <c r="D441" s="14" t="str">
        <f>IFERROR(VLOOKUP($E441,Fornecedores!$A:$E,5,0),"")</f>
        <v>Serviços Gerais</v>
      </c>
      <c r="E441" s="8" t="s">
        <v>53</v>
      </c>
      <c r="F441" s="14" t="s">
        <v>665</v>
      </c>
      <c r="G441" s="8" t="s">
        <v>666</v>
      </c>
      <c r="H441" s="9">
        <v>87</v>
      </c>
      <c r="I441" s="21">
        <v>735</v>
      </c>
      <c r="J441" s="11">
        <v>46269</v>
      </c>
      <c r="K441" s="11">
        <v>46273</v>
      </c>
      <c r="L441" s="8" t="s">
        <v>282</v>
      </c>
      <c r="M441" s="14" t="s">
        <v>234</v>
      </c>
      <c r="N441" s="16">
        <v>1556</v>
      </c>
      <c r="O441" s="14" t="s">
        <v>250</v>
      </c>
      <c r="P441" s="14"/>
      <c r="Q441" s="20">
        <f t="shared" si="6"/>
        <v>0</v>
      </c>
      <c r="S441" s="20">
        <f>SUMIFS('Doc''s Pagos | Rodopar 108'!$J:$J,'Doc''s Pagos | Rodopar 108'!$A:$A,$B441&amp;$E441&amp;$F441&amp;$J441,'Doc''s Pagos | Rodopar 108'!$B:$B,S$1)+SUMIFS('Doc Há Pagar | Rodopar 1015'!$J:$J,'Doc Há Pagar | Rodopar 1015'!$A:$A,$B441&amp;$E441&amp;$F441,'Doc Há Pagar | Rodopar 1015'!$B:$B,S$1)</f>
        <v>0</v>
      </c>
      <c r="T441" s="20">
        <f>SUMIFS('Doc''s Pagos | Rodopar 108'!$J:$J,'Doc''s Pagos | Rodopar 108'!$A:$A,$B441&amp;$E441&amp;$F441&amp;$J441,'Doc''s Pagos | Rodopar 108'!$B:$B,T$1)+SUMIFS('Doc Há Pagar | Rodopar 1015'!$J:$J,'Doc Há Pagar | Rodopar 1015'!$A:$A,$B441&amp;$E441&amp;$F441,'Doc Há Pagar | Rodopar 1015'!$B:$B,T$1)</f>
        <v>0</v>
      </c>
      <c r="U441" s="20">
        <f>SUMIFS('Doc''s Pagos | Rodopar 108'!$J:$J,'Doc''s Pagos | Rodopar 108'!$A:$A,$B441&amp;$E441&amp;$F441&amp;$J441,'Doc''s Pagos | Rodopar 108'!$B:$B,U$1)+SUMIFS('Doc Há Pagar | Rodopar 1015'!$J:$J,'Doc Há Pagar | Rodopar 1015'!$A:$A,$B441&amp;$E441&amp;$F441,'Doc Há Pagar | Rodopar 1015'!$B:$B,U$1)</f>
        <v>0</v>
      </c>
      <c r="V441" s="20">
        <f>SUMIFS('Doc''s Pagos | Rodopar 108'!$J:$J,'Doc''s Pagos | Rodopar 108'!$A:$A,$B441&amp;$E441&amp;$F441&amp;$J441,'Doc''s Pagos | Rodopar 108'!$B:$B,V$1)+SUMIFS('Doc Há Pagar | Rodopar 1015'!$J:$J,'Doc Há Pagar | Rodopar 1015'!$A:$A,$B441&amp;$E441&amp;$F441,'Doc Há Pagar | Rodopar 1015'!$B:$B,V$1)</f>
        <v>0</v>
      </c>
      <c r="W441" s="20">
        <f>SUMIFS('Doc''s Pagos | Rodopar 108'!$J:$J,'Doc''s Pagos | Rodopar 108'!$A:$A,$B441&amp;$E441&amp;$F441&amp;$J441,'Doc''s Pagos | Rodopar 108'!$B:$B,W$1)+SUMIFS('Doc Há Pagar | Rodopar 1015'!$J:$J,'Doc Há Pagar | Rodopar 1015'!$A:$A,$B441&amp;$E441&amp;$F441,'Doc Há Pagar | Rodopar 1015'!$B:$B,W$1)</f>
        <v>0</v>
      </c>
      <c r="X441" s="20">
        <f>SUMIFS('Doc''s Pagos | Rodopar 108'!$J:$J,'Doc''s Pagos | Rodopar 108'!$A:$A,$B441&amp;$E441&amp;$F441&amp;$J441,'Doc''s Pagos | Rodopar 108'!$B:$B,X$1)+SUMIFS('Doc Há Pagar | Rodopar 1015'!$J:$J,'Doc Há Pagar | Rodopar 1015'!$A:$A,$B441&amp;$E441&amp;$F441,'Doc Há Pagar | Rodopar 1015'!$B:$B,X$1)</f>
        <v>0</v>
      </c>
      <c r="Y441" s="20">
        <f>SUMIFS('Doc''s Pagos | Rodopar 108'!$J:$J,'Doc''s Pagos | Rodopar 108'!$A:$A,$B441&amp;$E441&amp;$F441&amp;$J441,'Doc''s Pagos | Rodopar 108'!$B:$B,Y$1)+SUMIFS('Doc Há Pagar | Rodopar 1015'!$J:$J,'Doc Há Pagar | Rodopar 1015'!$A:$A,$B441&amp;$E441&amp;$F441,'Doc Há Pagar | Rodopar 1015'!$B:$B,Y$1)</f>
        <v>0</v>
      </c>
      <c r="Z441" s="20">
        <f>SUMIFS('Doc''s Pagos | Rodopar 108'!$J:$J,'Doc''s Pagos | Rodopar 108'!$A:$A,$B441&amp;$E441&amp;$F441&amp;$J441,'Doc''s Pagos | Rodopar 108'!$B:$B,Z$1)+SUMIFS('Doc Há Pagar | Rodopar 1015'!$J:$J,'Doc Há Pagar | Rodopar 1015'!$A:$A,$B441&amp;$E441&amp;$F441,'Doc Há Pagar | Rodopar 1015'!$B:$B,Z$1)</f>
        <v>0</v>
      </c>
      <c r="AA441" s="20">
        <f>SUMIFS('Doc''s Pagos | Rodopar 108'!$J:$J,'Doc''s Pagos | Rodopar 108'!$A:$A,$B441&amp;$E441&amp;$F441&amp;$J441,'Doc''s Pagos | Rodopar 108'!$B:$B,AA$1)+SUMIFS('Doc Há Pagar | Rodopar 1015'!$J:$J,'Doc Há Pagar | Rodopar 1015'!$A:$A,$B441&amp;$E441&amp;$F441,'Doc Há Pagar | Rodopar 1015'!$B:$B,AA$1)</f>
        <v>0</v>
      </c>
      <c r="AB441" s="20">
        <f>SUMIFS('Doc''s Pagos | Rodopar 108'!$J:$J,'Doc''s Pagos | Rodopar 108'!$A:$A,$B441&amp;$E441&amp;$F441&amp;$J441,'Doc''s Pagos | Rodopar 108'!$B:$B,AB$1)+SUMIFS('Doc Há Pagar | Rodopar 1015'!$J:$J,'Doc Há Pagar | Rodopar 1015'!$A:$A,$B441&amp;$E441&amp;$F441,'Doc Há Pagar | Rodopar 1015'!$B:$B,AB$1)</f>
        <v>735</v>
      </c>
      <c r="AC441" s="20">
        <f>SUMIFS('Doc''s Pagos | Rodopar 108'!$J:$J,'Doc''s Pagos | Rodopar 108'!$A:$A,$B441&amp;$E441&amp;$F441&amp;$J441,'Doc''s Pagos | Rodopar 108'!$B:$B,AC$1)+SUMIFS('Doc Há Pagar | Rodopar 1015'!$J:$J,'Doc Há Pagar | Rodopar 1015'!$A:$A,$B441&amp;$E441&amp;$F441,'Doc Há Pagar | Rodopar 1015'!$B:$B,AC$1)</f>
        <v>0</v>
      </c>
      <c r="AD441" s="20">
        <f>SUMIFS('Doc''s Pagos | Rodopar 108'!$J:$J,'Doc''s Pagos | Rodopar 108'!$A:$A,$B441&amp;$E441&amp;$F441&amp;$J441,'Doc''s Pagos | Rodopar 108'!$B:$B,AD$1)+SUMIFS('Doc Há Pagar | Rodopar 1015'!$J:$J,'Doc Há Pagar | Rodopar 1015'!$A:$A,$B441&amp;$E441&amp;$F441,'Doc Há Pagar | Rodopar 1015'!$B:$B,AD$1)</f>
        <v>0</v>
      </c>
    </row>
    <row r="442" spans="1:30" x14ac:dyDescent="0.25">
      <c r="A442" s="1" t="str">
        <f>VLOOKUP($E442,Fornecedores!$A:$C,3,0)</f>
        <v>Frota</v>
      </c>
      <c r="B442" s="14">
        <v>59</v>
      </c>
      <c r="C442" s="14" t="str">
        <f>IFERROR(VLOOKUP($E442,Fornecedores!$A:$E,4,0),"")</f>
        <v>Lavagem</v>
      </c>
      <c r="D442" s="14" t="str">
        <f>IFERROR(VLOOKUP($E442,Fornecedores!$A:$E,5,0),"")</f>
        <v>Lavagem</v>
      </c>
      <c r="E442" s="8" t="s">
        <v>44</v>
      </c>
      <c r="F442" s="14" t="s">
        <v>665</v>
      </c>
      <c r="G442" s="8" t="s">
        <v>899</v>
      </c>
      <c r="H442" s="9">
        <v>87</v>
      </c>
      <c r="I442" s="21">
        <v>840</v>
      </c>
      <c r="J442" s="11">
        <v>46269</v>
      </c>
      <c r="K442" s="11">
        <v>46273</v>
      </c>
      <c r="L442" s="8" t="s">
        <v>435</v>
      </c>
      <c r="M442" s="14" t="s">
        <v>234</v>
      </c>
      <c r="N442" s="16">
        <v>1556</v>
      </c>
      <c r="O442" s="14" t="s">
        <v>250</v>
      </c>
      <c r="P442" s="14"/>
      <c r="Q442" s="20">
        <f t="shared" si="6"/>
        <v>0</v>
      </c>
      <c r="S442" s="20">
        <f>SUMIFS('Doc''s Pagos | Rodopar 108'!$J:$J,'Doc''s Pagos | Rodopar 108'!$A:$A,$B442&amp;$E442&amp;$F442&amp;$J442,'Doc''s Pagos | Rodopar 108'!$B:$B,S$1)+SUMIFS('Doc Há Pagar | Rodopar 1015'!$J:$J,'Doc Há Pagar | Rodopar 1015'!$A:$A,$B442&amp;$E442&amp;$F442,'Doc Há Pagar | Rodopar 1015'!$B:$B,S$1)</f>
        <v>0</v>
      </c>
      <c r="T442" s="20">
        <f>SUMIFS('Doc''s Pagos | Rodopar 108'!$J:$J,'Doc''s Pagos | Rodopar 108'!$A:$A,$B442&amp;$E442&amp;$F442&amp;$J442,'Doc''s Pagos | Rodopar 108'!$B:$B,T$1)+SUMIFS('Doc Há Pagar | Rodopar 1015'!$J:$J,'Doc Há Pagar | Rodopar 1015'!$A:$A,$B442&amp;$E442&amp;$F442,'Doc Há Pagar | Rodopar 1015'!$B:$B,T$1)</f>
        <v>0</v>
      </c>
      <c r="U442" s="20">
        <f>SUMIFS('Doc''s Pagos | Rodopar 108'!$J:$J,'Doc''s Pagos | Rodopar 108'!$A:$A,$B442&amp;$E442&amp;$F442&amp;$J442,'Doc''s Pagos | Rodopar 108'!$B:$B,U$1)+SUMIFS('Doc Há Pagar | Rodopar 1015'!$J:$J,'Doc Há Pagar | Rodopar 1015'!$A:$A,$B442&amp;$E442&amp;$F442,'Doc Há Pagar | Rodopar 1015'!$B:$B,U$1)</f>
        <v>0</v>
      </c>
      <c r="V442" s="20">
        <f>SUMIFS('Doc''s Pagos | Rodopar 108'!$J:$J,'Doc''s Pagos | Rodopar 108'!$A:$A,$B442&amp;$E442&amp;$F442&amp;$J442,'Doc''s Pagos | Rodopar 108'!$B:$B,V$1)+SUMIFS('Doc Há Pagar | Rodopar 1015'!$J:$J,'Doc Há Pagar | Rodopar 1015'!$A:$A,$B442&amp;$E442&amp;$F442,'Doc Há Pagar | Rodopar 1015'!$B:$B,V$1)</f>
        <v>0</v>
      </c>
      <c r="W442" s="20">
        <f>SUMIFS('Doc''s Pagos | Rodopar 108'!$J:$J,'Doc''s Pagos | Rodopar 108'!$A:$A,$B442&amp;$E442&amp;$F442&amp;$J442,'Doc''s Pagos | Rodopar 108'!$B:$B,W$1)+SUMIFS('Doc Há Pagar | Rodopar 1015'!$J:$J,'Doc Há Pagar | Rodopar 1015'!$A:$A,$B442&amp;$E442&amp;$F442,'Doc Há Pagar | Rodopar 1015'!$B:$B,W$1)</f>
        <v>0</v>
      </c>
      <c r="X442" s="20">
        <f>SUMIFS('Doc''s Pagos | Rodopar 108'!$J:$J,'Doc''s Pagos | Rodopar 108'!$A:$A,$B442&amp;$E442&amp;$F442&amp;$J442,'Doc''s Pagos | Rodopar 108'!$B:$B,X$1)+SUMIFS('Doc Há Pagar | Rodopar 1015'!$J:$J,'Doc Há Pagar | Rodopar 1015'!$A:$A,$B442&amp;$E442&amp;$F442,'Doc Há Pagar | Rodopar 1015'!$B:$B,X$1)</f>
        <v>0</v>
      </c>
      <c r="Y442" s="20">
        <f>SUMIFS('Doc''s Pagos | Rodopar 108'!$J:$J,'Doc''s Pagos | Rodopar 108'!$A:$A,$B442&amp;$E442&amp;$F442&amp;$J442,'Doc''s Pagos | Rodopar 108'!$B:$B,Y$1)+SUMIFS('Doc Há Pagar | Rodopar 1015'!$J:$J,'Doc Há Pagar | Rodopar 1015'!$A:$A,$B442&amp;$E442&amp;$F442,'Doc Há Pagar | Rodopar 1015'!$B:$B,Y$1)</f>
        <v>0</v>
      </c>
      <c r="Z442" s="20">
        <f>SUMIFS('Doc''s Pagos | Rodopar 108'!$J:$J,'Doc''s Pagos | Rodopar 108'!$A:$A,$B442&amp;$E442&amp;$F442&amp;$J442,'Doc''s Pagos | Rodopar 108'!$B:$B,Z$1)+SUMIFS('Doc Há Pagar | Rodopar 1015'!$J:$J,'Doc Há Pagar | Rodopar 1015'!$A:$A,$B442&amp;$E442&amp;$F442,'Doc Há Pagar | Rodopar 1015'!$B:$B,Z$1)</f>
        <v>0</v>
      </c>
      <c r="AA442" s="20">
        <f>SUMIFS('Doc''s Pagos | Rodopar 108'!$J:$J,'Doc''s Pagos | Rodopar 108'!$A:$A,$B442&amp;$E442&amp;$F442&amp;$J442,'Doc''s Pagos | Rodopar 108'!$B:$B,AA$1)+SUMIFS('Doc Há Pagar | Rodopar 1015'!$J:$J,'Doc Há Pagar | Rodopar 1015'!$A:$A,$B442&amp;$E442&amp;$F442,'Doc Há Pagar | Rodopar 1015'!$B:$B,AA$1)</f>
        <v>0</v>
      </c>
      <c r="AB442" s="20">
        <f>SUMIFS('Doc''s Pagos | Rodopar 108'!$J:$J,'Doc''s Pagos | Rodopar 108'!$A:$A,$B442&amp;$E442&amp;$F442&amp;$J442,'Doc''s Pagos | Rodopar 108'!$B:$B,AB$1)+SUMIFS('Doc Há Pagar | Rodopar 1015'!$J:$J,'Doc Há Pagar | Rodopar 1015'!$A:$A,$B442&amp;$E442&amp;$F442,'Doc Há Pagar | Rodopar 1015'!$B:$B,AB$1)</f>
        <v>840</v>
      </c>
      <c r="AC442" s="20">
        <f>SUMIFS('Doc''s Pagos | Rodopar 108'!$J:$J,'Doc''s Pagos | Rodopar 108'!$A:$A,$B442&amp;$E442&amp;$F442&amp;$J442,'Doc''s Pagos | Rodopar 108'!$B:$B,AC$1)+SUMIFS('Doc Há Pagar | Rodopar 1015'!$J:$J,'Doc Há Pagar | Rodopar 1015'!$A:$A,$B442&amp;$E442&amp;$F442,'Doc Há Pagar | Rodopar 1015'!$B:$B,AC$1)</f>
        <v>0</v>
      </c>
      <c r="AD442" s="20">
        <f>SUMIFS('Doc''s Pagos | Rodopar 108'!$J:$J,'Doc''s Pagos | Rodopar 108'!$A:$A,$B442&amp;$E442&amp;$F442&amp;$J442,'Doc''s Pagos | Rodopar 108'!$B:$B,AD$1)+SUMIFS('Doc Há Pagar | Rodopar 1015'!$J:$J,'Doc Há Pagar | Rodopar 1015'!$A:$A,$B442&amp;$E442&amp;$F442,'Doc Há Pagar | Rodopar 1015'!$B:$B,AD$1)</f>
        <v>0</v>
      </c>
    </row>
    <row r="443" spans="1:30" x14ac:dyDescent="0.25">
      <c r="A443" s="1" t="str">
        <f>VLOOKUP($E443,Fornecedores!$A:$C,3,0)</f>
        <v>Frota</v>
      </c>
      <c r="B443" s="14">
        <v>88</v>
      </c>
      <c r="C443" s="14" t="str">
        <f>IFERROR(VLOOKUP($E443,Fornecedores!$A:$E,4,0),"")</f>
        <v>Manutenção</v>
      </c>
      <c r="D443" s="14" t="str">
        <f>IFERROR(VLOOKUP($E443,Fornecedores!$A:$E,5,0),"")</f>
        <v>Vans</v>
      </c>
      <c r="E443" s="8" t="s">
        <v>205</v>
      </c>
      <c r="F443" s="14" t="s">
        <v>665</v>
      </c>
      <c r="G443" s="8" t="s">
        <v>485</v>
      </c>
      <c r="H443" s="9">
        <v>87</v>
      </c>
      <c r="I443" s="21">
        <v>489</v>
      </c>
      <c r="J443" s="11">
        <v>46269</v>
      </c>
      <c r="K443" s="11">
        <v>46273</v>
      </c>
      <c r="L443" s="8" t="s">
        <v>282</v>
      </c>
      <c r="M443" s="14" t="s">
        <v>234</v>
      </c>
      <c r="N443" s="16">
        <v>1556</v>
      </c>
      <c r="O443" s="14" t="s">
        <v>250</v>
      </c>
      <c r="P443" s="14"/>
      <c r="Q443" s="20">
        <f t="shared" si="6"/>
        <v>-15.20999999999998</v>
      </c>
      <c r="S443" s="20">
        <f>SUMIFS('Doc''s Pagos | Rodopar 108'!$J:$J,'Doc''s Pagos | Rodopar 108'!$A:$A,$B443&amp;$E443&amp;$F443&amp;$J443,'Doc''s Pagos | Rodopar 108'!$B:$B,S$1)+SUMIFS('Doc Há Pagar | Rodopar 1015'!$J:$J,'Doc Há Pagar | Rodopar 1015'!$A:$A,$B443&amp;$E443&amp;$F443,'Doc Há Pagar | Rodopar 1015'!$B:$B,S$1)</f>
        <v>0</v>
      </c>
      <c r="T443" s="20">
        <f>SUMIFS('Doc''s Pagos | Rodopar 108'!$J:$J,'Doc''s Pagos | Rodopar 108'!$A:$A,$B443&amp;$E443&amp;$F443&amp;$J443,'Doc''s Pagos | Rodopar 108'!$B:$B,T$1)+SUMIFS('Doc Há Pagar | Rodopar 1015'!$J:$J,'Doc Há Pagar | Rodopar 1015'!$A:$A,$B443&amp;$E443&amp;$F443,'Doc Há Pagar | Rodopar 1015'!$B:$B,T$1)</f>
        <v>0</v>
      </c>
      <c r="U443" s="20">
        <f>SUMIFS('Doc''s Pagos | Rodopar 108'!$J:$J,'Doc''s Pagos | Rodopar 108'!$A:$A,$B443&amp;$E443&amp;$F443&amp;$J443,'Doc''s Pagos | Rodopar 108'!$B:$B,U$1)+SUMIFS('Doc Há Pagar | Rodopar 1015'!$J:$J,'Doc Há Pagar | Rodopar 1015'!$A:$A,$B443&amp;$E443&amp;$F443,'Doc Há Pagar | Rodopar 1015'!$B:$B,U$1)</f>
        <v>0</v>
      </c>
      <c r="V443" s="20">
        <f>SUMIFS('Doc''s Pagos | Rodopar 108'!$J:$J,'Doc''s Pagos | Rodopar 108'!$A:$A,$B443&amp;$E443&amp;$F443&amp;$J443,'Doc''s Pagos | Rodopar 108'!$B:$B,V$1)+SUMIFS('Doc Há Pagar | Rodopar 1015'!$J:$J,'Doc Há Pagar | Rodopar 1015'!$A:$A,$B443&amp;$E443&amp;$F443,'Doc Há Pagar | Rodopar 1015'!$B:$B,V$1)</f>
        <v>0</v>
      </c>
      <c r="W443" s="20">
        <f>SUMIFS('Doc''s Pagos | Rodopar 108'!$J:$J,'Doc''s Pagos | Rodopar 108'!$A:$A,$B443&amp;$E443&amp;$F443&amp;$J443,'Doc''s Pagos | Rodopar 108'!$B:$B,W$1)+SUMIFS('Doc Há Pagar | Rodopar 1015'!$J:$J,'Doc Há Pagar | Rodopar 1015'!$A:$A,$B443&amp;$E443&amp;$F443,'Doc Há Pagar | Rodopar 1015'!$B:$B,W$1)</f>
        <v>0</v>
      </c>
      <c r="X443" s="20">
        <f>SUMIFS('Doc''s Pagos | Rodopar 108'!$J:$J,'Doc''s Pagos | Rodopar 108'!$A:$A,$B443&amp;$E443&amp;$F443&amp;$J443,'Doc''s Pagos | Rodopar 108'!$B:$B,X$1)+SUMIFS('Doc Há Pagar | Rodopar 1015'!$J:$J,'Doc Há Pagar | Rodopar 1015'!$A:$A,$B443&amp;$E443&amp;$F443,'Doc Há Pagar | Rodopar 1015'!$B:$B,X$1)</f>
        <v>0</v>
      </c>
      <c r="Y443" s="20">
        <f>SUMIFS('Doc''s Pagos | Rodopar 108'!$J:$J,'Doc''s Pagos | Rodopar 108'!$A:$A,$B443&amp;$E443&amp;$F443&amp;$J443,'Doc''s Pagos | Rodopar 108'!$B:$B,Y$1)+SUMIFS('Doc Há Pagar | Rodopar 1015'!$J:$J,'Doc Há Pagar | Rodopar 1015'!$A:$A,$B443&amp;$E443&amp;$F443,'Doc Há Pagar | Rodopar 1015'!$B:$B,Y$1)</f>
        <v>0</v>
      </c>
      <c r="Z443" s="20">
        <f>SUMIFS('Doc''s Pagos | Rodopar 108'!$J:$J,'Doc''s Pagos | Rodopar 108'!$A:$A,$B443&amp;$E443&amp;$F443&amp;$J443,'Doc''s Pagos | Rodopar 108'!$B:$B,Z$1)+SUMIFS('Doc Há Pagar | Rodopar 1015'!$J:$J,'Doc Há Pagar | Rodopar 1015'!$A:$A,$B443&amp;$E443&amp;$F443,'Doc Há Pagar | Rodopar 1015'!$B:$B,Z$1)</f>
        <v>0</v>
      </c>
      <c r="AA443" s="20">
        <f>SUMIFS('Doc''s Pagos | Rodopar 108'!$J:$J,'Doc''s Pagos | Rodopar 108'!$A:$A,$B443&amp;$E443&amp;$F443&amp;$J443,'Doc''s Pagos | Rodopar 108'!$B:$B,AA$1)+SUMIFS('Doc Há Pagar | Rodopar 1015'!$J:$J,'Doc Há Pagar | Rodopar 1015'!$A:$A,$B443&amp;$E443&amp;$F443,'Doc Há Pagar | Rodopar 1015'!$B:$B,AA$1)</f>
        <v>0</v>
      </c>
      <c r="AB443" s="20">
        <f>SUMIFS('Doc''s Pagos | Rodopar 108'!$J:$J,'Doc''s Pagos | Rodopar 108'!$A:$A,$B443&amp;$E443&amp;$F443&amp;$J443,'Doc''s Pagos | Rodopar 108'!$B:$B,AB$1)+SUMIFS('Doc Há Pagar | Rodopar 1015'!$J:$J,'Doc Há Pagar | Rodopar 1015'!$A:$A,$B443&amp;$E443&amp;$F443,'Doc Há Pagar | Rodopar 1015'!$B:$B,AB$1)</f>
        <v>473.79</v>
      </c>
      <c r="AC443" s="20">
        <f>SUMIFS('Doc''s Pagos | Rodopar 108'!$J:$J,'Doc''s Pagos | Rodopar 108'!$A:$A,$B443&amp;$E443&amp;$F443&amp;$J443,'Doc''s Pagos | Rodopar 108'!$B:$B,AC$1)+SUMIFS('Doc Há Pagar | Rodopar 1015'!$J:$J,'Doc Há Pagar | Rodopar 1015'!$A:$A,$B443&amp;$E443&amp;$F443,'Doc Há Pagar | Rodopar 1015'!$B:$B,AC$1)</f>
        <v>0</v>
      </c>
      <c r="AD443" s="20">
        <f>SUMIFS('Doc''s Pagos | Rodopar 108'!$J:$J,'Doc''s Pagos | Rodopar 108'!$A:$A,$B443&amp;$E443&amp;$F443&amp;$J443,'Doc''s Pagos | Rodopar 108'!$B:$B,AD$1)+SUMIFS('Doc Há Pagar | Rodopar 1015'!$J:$J,'Doc Há Pagar | Rodopar 1015'!$A:$A,$B443&amp;$E443&amp;$F443,'Doc Há Pagar | Rodopar 1015'!$B:$B,AD$1)</f>
        <v>0</v>
      </c>
    </row>
    <row r="444" spans="1:30" x14ac:dyDescent="0.25">
      <c r="A444" s="1" t="str">
        <f>VLOOKUP($E444,Fornecedores!$A:$C,3,0)</f>
        <v>Frota</v>
      </c>
      <c r="B444" s="14">
        <v>90</v>
      </c>
      <c r="C444" s="14" t="str">
        <f>IFERROR(VLOOKUP($E444,Fornecedores!$A:$E,4,0),"")</f>
        <v>Manutenção</v>
      </c>
      <c r="D444" s="14" t="str">
        <f>IFERROR(VLOOKUP($E444,Fornecedores!$A:$E,5,0),"")</f>
        <v>Vans</v>
      </c>
      <c r="E444" s="8" t="s">
        <v>205</v>
      </c>
      <c r="F444" s="14" t="s">
        <v>665</v>
      </c>
      <c r="G444" s="8" t="s">
        <v>485</v>
      </c>
      <c r="H444" s="9">
        <v>87</v>
      </c>
      <c r="I444" s="21">
        <v>899</v>
      </c>
      <c r="J444" s="11">
        <v>46269</v>
      </c>
      <c r="K444" s="11">
        <v>46273</v>
      </c>
      <c r="L444" s="8" t="s">
        <v>282</v>
      </c>
      <c r="M444" s="14" t="s">
        <v>234</v>
      </c>
      <c r="N444" s="16">
        <v>1556</v>
      </c>
      <c r="O444" s="14" t="s">
        <v>250</v>
      </c>
      <c r="P444" s="14"/>
      <c r="Q444" s="20">
        <f t="shared" si="6"/>
        <v>-27.960000000000036</v>
      </c>
      <c r="S444" s="20">
        <f>SUMIFS('Doc''s Pagos | Rodopar 108'!$J:$J,'Doc''s Pagos | Rodopar 108'!$A:$A,$B444&amp;$E444&amp;$F444&amp;$J444,'Doc''s Pagos | Rodopar 108'!$B:$B,S$1)+SUMIFS('Doc Há Pagar | Rodopar 1015'!$J:$J,'Doc Há Pagar | Rodopar 1015'!$A:$A,$B444&amp;$E444&amp;$F444,'Doc Há Pagar | Rodopar 1015'!$B:$B,S$1)</f>
        <v>0</v>
      </c>
      <c r="T444" s="20">
        <f>SUMIFS('Doc''s Pagos | Rodopar 108'!$J:$J,'Doc''s Pagos | Rodopar 108'!$A:$A,$B444&amp;$E444&amp;$F444&amp;$J444,'Doc''s Pagos | Rodopar 108'!$B:$B,T$1)+SUMIFS('Doc Há Pagar | Rodopar 1015'!$J:$J,'Doc Há Pagar | Rodopar 1015'!$A:$A,$B444&amp;$E444&amp;$F444,'Doc Há Pagar | Rodopar 1015'!$B:$B,T$1)</f>
        <v>0</v>
      </c>
      <c r="U444" s="20">
        <f>SUMIFS('Doc''s Pagos | Rodopar 108'!$J:$J,'Doc''s Pagos | Rodopar 108'!$A:$A,$B444&amp;$E444&amp;$F444&amp;$J444,'Doc''s Pagos | Rodopar 108'!$B:$B,U$1)+SUMIFS('Doc Há Pagar | Rodopar 1015'!$J:$J,'Doc Há Pagar | Rodopar 1015'!$A:$A,$B444&amp;$E444&amp;$F444,'Doc Há Pagar | Rodopar 1015'!$B:$B,U$1)</f>
        <v>0</v>
      </c>
      <c r="V444" s="20">
        <f>SUMIFS('Doc''s Pagos | Rodopar 108'!$J:$J,'Doc''s Pagos | Rodopar 108'!$A:$A,$B444&amp;$E444&amp;$F444&amp;$J444,'Doc''s Pagos | Rodopar 108'!$B:$B,V$1)+SUMIFS('Doc Há Pagar | Rodopar 1015'!$J:$J,'Doc Há Pagar | Rodopar 1015'!$A:$A,$B444&amp;$E444&amp;$F444,'Doc Há Pagar | Rodopar 1015'!$B:$B,V$1)</f>
        <v>0</v>
      </c>
      <c r="W444" s="20">
        <f>SUMIFS('Doc''s Pagos | Rodopar 108'!$J:$J,'Doc''s Pagos | Rodopar 108'!$A:$A,$B444&amp;$E444&amp;$F444&amp;$J444,'Doc''s Pagos | Rodopar 108'!$B:$B,W$1)+SUMIFS('Doc Há Pagar | Rodopar 1015'!$J:$J,'Doc Há Pagar | Rodopar 1015'!$A:$A,$B444&amp;$E444&amp;$F444,'Doc Há Pagar | Rodopar 1015'!$B:$B,W$1)</f>
        <v>0</v>
      </c>
      <c r="X444" s="20">
        <f>SUMIFS('Doc''s Pagos | Rodopar 108'!$J:$J,'Doc''s Pagos | Rodopar 108'!$A:$A,$B444&amp;$E444&amp;$F444&amp;$J444,'Doc''s Pagos | Rodopar 108'!$B:$B,X$1)+SUMIFS('Doc Há Pagar | Rodopar 1015'!$J:$J,'Doc Há Pagar | Rodopar 1015'!$A:$A,$B444&amp;$E444&amp;$F444,'Doc Há Pagar | Rodopar 1015'!$B:$B,X$1)</f>
        <v>0</v>
      </c>
      <c r="Y444" s="20">
        <f>SUMIFS('Doc''s Pagos | Rodopar 108'!$J:$J,'Doc''s Pagos | Rodopar 108'!$A:$A,$B444&amp;$E444&amp;$F444&amp;$J444,'Doc''s Pagos | Rodopar 108'!$B:$B,Y$1)+SUMIFS('Doc Há Pagar | Rodopar 1015'!$J:$J,'Doc Há Pagar | Rodopar 1015'!$A:$A,$B444&amp;$E444&amp;$F444,'Doc Há Pagar | Rodopar 1015'!$B:$B,Y$1)</f>
        <v>0</v>
      </c>
      <c r="Z444" s="20">
        <f>SUMIFS('Doc''s Pagos | Rodopar 108'!$J:$J,'Doc''s Pagos | Rodopar 108'!$A:$A,$B444&amp;$E444&amp;$F444&amp;$J444,'Doc''s Pagos | Rodopar 108'!$B:$B,Z$1)+SUMIFS('Doc Há Pagar | Rodopar 1015'!$J:$J,'Doc Há Pagar | Rodopar 1015'!$A:$A,$B444&amp;$E444&amp;$F444,'Doc Há Pagar | Rodopar 1015'!$B:$B,Z$1)</f>
        <v>0</v>
      </c>
      <c r="AA444" s="20">
        <f>SUMIFS('Doc''s Pagos | Rodopar 108'!$J:$J,'Doc''s Pagos | Rodopar 108'!$A:$A,$B444&amp;$E444&amp;$F444&amp;$J444,'Doc''s Pagos | Rodopar 108'!$B:$B,AA$1)+SUMIFS('Doc Há Pagar | Rodopar 1015'!$J:$J,'Doc Há Pagar | Rodopar 1015'!$A:$A,$B444&amp;$E444&amp;$F444,'Doc Há Pagar | Rodopar 1015'!$B:$B,AA$1)</f>
        <v>0</v>
      </c>
      <c r="AB444" s="20">
        <f>SUMIFS('Doc''s Pagos | Rodopar 108'!$J:$J,'Doc''s Pagos | Rodopar 108'!$A:$A,$B444&amp;$E444&amp;$F444&amp;$J444,'Doc''s Pagos | Rodopar 108'!$B:$B,AB$1)+SUMIFS('Doc Há Pagar | Rodopar 1015'!$J:$J,'Doc Há Pagar | Rodopar 1015'!$A:$A,$B444&amp;$E444&amp;$F444,'Doc Há Pagar | Rodopar 1015'!$B:$B,AB$1)</f>
        <v>871.04</v>
      </c>
      <c r="AC444" s="20">
        <f>SUMIFS('Doc''s Pagos | Rodopar 108'!$J:$J,'Doc''s Pagos | Rodopar 108'!$A:$A,$B444&amp;$E444&amp;$F444&amp;$J444,'Doc''s Pagos | Rodopar 108'!$B:$B,AC$1)+SUMIFS('Doc Há Pagar | Rodopar 1015'!$J:$J,'Doc Há Pagar | Rodopar 1015'!$A:$A,$B444&amp;$E444&amp;$F444,'Doc Há Pagar | Rodopar 1015'!$B:$B,AC$1)</f>
        <v>0</v>
      </c>
      <c r="AD444" s="20">
        <f>SUMIFS('Doc''s Pagos | Rodopar 108'!$J:$J,'Doc''s Pagos | Rodopar 108'!$A:$A,$B444&amp;$E444&amp;$F444&amp;$J444,'Doc''s Pagos | Rodopar 108'!$B:$B,AD$1)+SUMIFS('Doc Há Pagar | Rodopar 1015'!$J:$J,'Doc Há Pagar | Rodopar 1015'!$A:$A,$B444&amp;$E444&amp;$F444,'Doc Há Pagar | Rodopar 1015'!$B:$B,AD$1)</f>
        <v>0</v>
      </c>
    </row>
    <row r="445" spans="1:30" x14ac:dyDescent="0.25">
      <c r="A445" s="1" t="str">
        <f>VLOOKUP($E445,Fornecedores!$A:$C,3,0)</f>
        <v>Frota</v>
      </c>
      <c r="B445" s="14">
        <v>96</v>
      </c>
      <c r="C445" s="14" t="str">
        <f>IFERROR(VLOOKUP($E445,Fornecedores!$A:$E,4,0),"")</f>
        <v>Manutenção</v>
      </c>
      <c r="D445" s="14" t="str">
        <f>IFERROR(VLOOKUP($E445,Fornecedores!$A:$E,5,0),"")</f>
        <v>Peças E Serviços</v>
      </c>
      <c r="E445" s="8" t="s">
        <v>67</v>
      </c>
      <c r="F445" s="14" t="s">
        <v>665</v>
      </c>
      <c r="G445" s="8" t="s">
        <v>931</v>
      </c>
      <c r="H445" s="9">
        <v>87</v>
      </c>
      <c r="I445" s="21">
        <v>3700</v>
      </c>
      <c r="J445" s="11">
        <v>46270</v>
      </c>
      <c r="K445" s="11">
        <v>46273</v>
      </c>
      <c r="L445" s="8" t="s">
        <v>932</v>
      </c>
      <c r="M445" s="14" t="s">
        <v>234</v>
      </c>
      <c r="N445" s="16">
        <v>1556</v>
      </c>
      <c r="O445" s="14" t="s">
        <v>250</v>
      </c>
      <c r="P445" s="14"/>
      <c r="Q445" s="20">
        <f t="shared" si="6"/>
        <v>0</v>
      </c>
      <c r="S445" s="20">
        <f>SUMIFS('Doc''s Pagos | Rodopar 108'!$J:$J,'Doc''s Pagos | Rodopar 108'!$A:$A,$B445&amp;$E445&amp;$F445&amp;$J445,'Doc''s Pagos | Rodopar 108'!$B:$B,S$1)+SUMIFS('Doc Há Pagar | Rodopar 1015'!$J:$J,'Doc Há Pagar | Rodopar 1015'!$A:$A,$B445&amp;$E445&amp;$F445,'Doc Há Pagar | Rodopar 1015'!$B:$B,S$1)</f>
        <v>0</v>
      </c>
      <c r="T445" s="20">
        <f>SUMIFS('Doc''s Pagos | Rodopar 108'!$J:$J,'Doc''s Pagos | Rodopar 108'!$A:$A,$B445&amp;$E445&amp;$F445&amp;$J445,'Doc''s Pagos | Rodopar 108'!$B:$B,T$1)+SUMIFS('Doc Há Pagar | Rodopar 1015'!$J:$J,'Doc Há Pagar | Rodopar 1015'!$A:$A,$B445&amp;$E445&amp;$F445,'Doc Há Pagar | Rodopar 1015'!$B:$B,T$1)</f>
        <v>0</v>
      </c>
      <c r="U445" s="20">
        <f>SUMIFS('Doc''s Pagos | Rodopar 108'!$J:$J,'Doc''s Pagos | Rodopar 108'!$A:$A,$B445&amp;$E445&amp;$F445&amp;$J445,'Doc''s Pagos | Rodopar 108'!$B:$B,U$1)+SUMIFS('Doc Há Pagar | Rodopar 1015'!$J:$J,'Doc Há Pagar | Rodopar 1015'!$A:$A,$B445&amp;$E445&amp;$F445,'Doc Há Pagar | Rodopar 1015'!$B:$B,U$1)</f>
        <v>0</v>
      </c>
      <c r="V445" s="20">
        <f>SUMIFS('Doc''s Pagos | Rodopar 108'!$J:$J,'Doc''s Pagos | Rodopar 108'!$A:$A,$B445&amp;$E445&amp;$F445&amp;$J445,'Doc''s Pagos | Rodopar 108'!$B:$B,V$1)+SUMIFS('Doc Há Pagar | Rodopar 1015'!$J:$J,'Doc Há Pagar | Rodopar 1015'!$A:$A,$B445&amp;$E445&amp;$F445,'Doc Há Pagar | Rodopar 1015'!$B:$B,V$1)</f>
        <v>0</v>
      </c>
      <c r="W445" s="20">
        <f>SUMIFS('Doc''s Pagos | Rodopar 108'!$J:$J,'Doc''s Pagos | Rodopar 108'!$A:$A,$B445&amp;$E445&amp;$F445&amp;$J445,'Doc''s Pagos | Rodopar 108'!$B:$B,W$1)+SUMIFS('Doc Há Pagar | Rodopar 1015'!$J:$J,'Doc Há Pagar | Rodopar 1015'!$A:$A,$B445&amp;$E445&amp;$F445,'Doc Há Pagar | Rodopar 1015'!$B:$B,W$1)</f>
        <v>0</v>
      </c>
      <c r="X445" s="20">
        <f>SUMIFS('Doc''s Pagos | Rodopar 108'!$J:$J,'Doc''s Pagos | Rodopar 108'!$A:$A,$B445&amp;$E445&amp;$F445&amp;$J445,'Doc''s Pagos | Rodopar 108'!$B:$B,X$1)+SUMIFS('Doc Há Pagar | Rodopar 1015'!$J:$J,'Doc Há Pagar | Rodopar 1015'!$A:$A,$B445&amp;$E445&amp;$F445,'Doc Há Pagar | Rodopar 1015'!$B:$B,X$1)</f>
        <v>0</v>
      </c>
      <c r="Y445" s="20">
        <f>SUMIFS('Doc''s Pagos | Rodopar 108'!$J:$J,'Doc''s Pagos | Rodopar 108'!$A:$A,$B445&amp;$E445&amp;$F445&amp;$J445,'Doc''s Pagos | Rodopar 108'!$B:$B,Y$1)+SUMIFS('Doc Há Pagar | Rodopar 1015'!$J:$J,'Doc Há Pagar | Rodopar 1015'!$A:$A,$B445&amp;$E445&amp;$F445,'Doc Há Pagar | Rodopar 1015'!$B:$B,Y$1)</f>
        <v>0</v>
      </c>
      <c r="Z445" s="20">
        <f>SUMIFS('Doc''s Pagos | Rodopar 108'!$J:$J,'Doc''s Pagos | Rodopar 108'!$A:$A,$B445&amp;$E445&amp;$F445&amp;$J445,'Doc''s Pagos | Rodopar 108'!$B:$B,Z$1)+SUMIFS('Doc Há Pagar | Rodopar 1015'!$J:$J,'Doc Há Pagar | Rodopar 1015'!$A:$A,$B445&amp;$E445&amp;$F445,'Doc Há Pagar | Rodopar 1015'!$B:$B,Z$1)</f>
        <v>0</v>
      </c>
      <c r="AA445" s="20">
        <f>SUMIFS('Doc''s Pagos | Rodopar 108'!$J:$J,'Doc''s Pagos | Rodopar 108'!$A:$A,$B445&amp;$E445&amp;$F445&amp;$J445,'Doc''s Pagos | Rodopar 108'!$B:$B,AA$1)+SUMIFS('Doc Há Pagar | Rodopar 1015'!$J:$J,'Doc Há Pagar | Rodopar 1015'!$A:$A,$B445&amp;$E445&amp;$F445,'Doc Há Pagar | Rodopar 1015'!$B:$B,AA$1)</f>
        <v>0</v>
      </c>
      <c r="AB445" s="20">
        <f>SUMIFS('Doc''s Pagos | Rodopar 108'!$J:$J,'Doc''s Pagos | Rodopar 108'!$A:$A,$B445&amp;$E445&amp;$F445&amp;$J445,'Doc''s Pagos | Rodopar 108'!$B:$B,AB$1)+SUMIFS('Doc Há Pagar | Rodopar 1015'!$J:$J,'Doc Há Pagar | Rodopar 1015'!$A:$A,$B445&amp;$E445&amp;$F445,'Doc Há Pagar | Rodopar 1015'!$B:$B,AB$1)</f>
        <v>3700</v>
      </c>
      <c r="AC445" s="20">
        <f>SUMIFS('Doc''s Pagos | Rodopar 108'!$J:$J,'Doc''s Pagos | Rodopar 108'!$A:$A,$B445&amp;$E445&amp;$F445&amp;$J445,'Doc''s Pagos | Rodopar 108'!$B:$B,AC$1)+SUMIFS('Doc Há Pagar | Rodopar 1015'!$J:$J,'Doc Há Pagar | Rodopar 1015'!$A:$A,$B445&amp;$E445&amp;$F445,'Doc Há Pagar | Rodopar 1015'!$B:$B,AC$1)</f>
        <v>0</v>
      </c>
      <c r="AD445" s="20">
        <f>SUMIFS('Doc''s Pagos | Rodopar 108'!$J:$J,'Doc''s Pagos | Rodopar 108'!$A:$A,$B445&amp;$E445&amp;$F445&amp;$J445,'Doc''s Pagos | Rodopar 108'!$B:$B,AD$1)+SUMIFS('Doc Há Pagar | Rodopar 1015'!$J:$J,'Doc Há Pagar | Rodopar 1015'!$A:$A,$B445&amp;$E445&amp;$F445,'Doc Há Pagar | Rodopar 1015'!$B:$B,AD$1)</f>
        <v>0</v>
      </c>
    </row>
    <row r="446" spans="1:30" x14ac:dyDescent="0.25">
      <c r="A446" s="1" t="str">
        <f>VLOOKUP($E446,Fornecedores!$A:$C,3,0)</f>
        <v>Frota</v>
      </c>
      <c r="B446" s="14">
        <v>1034598</v>
      </c>
      <c r="C446" s="14" t="str">
        <f>IFERROR(VLOOKUP($E446,Fornecedores!$A:$E,4,0),"")</f>
        <v>Manutenção</v>
      </c>
      <c r="D446" s="14" t="str">
        <f>IFERROR(VLOOKUP($E446,Fornecedores!$A:$E,5,0),"")</f>
        <v>Caminhão</v>
      </c>
      <c r="E446" s="8" t="s">
        <v>190</v>
      </c>
      <c r="F446" s="14" t="s">
        <v>380</v>
      </c>
      <c r="G446" s="8" t="s">
        <v>381</v>
      </c>
      <c r="H446" s="9">
        <v>87</v>
      </c>
      <c r="I446" s="21">
        <v>5182.43</v>
      </c>
      <c r="J446" s="11">
        <v>46273</v>
      </c>
      <c r="K446" s="11">
        <v>46280</v>
      </c>
      <c r="L446" s="8" t="s">
        <v>382</v>
      </c>
      <c r="M446" s="14" t="s">
        <v>234</v>
      </c>
      <c r="N446" s="16">
        <v>1556</v>
      </c>
      <c r="O446" s="14" t="s">
        <v>241</v>
      </c>
      <c r="P446" s="14"/>
      <c r="Q446" s="20">
        <f t="shared" si="6"/>
        <v>0</v>
      </c>
      <c r="S446" s="20">
        <f>SUMIFS('Doc''s Pagos | Rodopar 108'!$J:$J,'Doc''s Pagos | Rodopar 108'!$A:$A,$B446&amp;$E446&amp;$F446&amp;$J446,'Doc''s Pagos | Rodopar 108'!$B:$B,S$1)+SUMIFS('Doc Há Pagar | Rodopar 1015'!$J:$J,'Doc Há Pagar | Rodopar 1015'!$A:$A,$B446&amp;$E446&amp;$F446,'Doc Há Pagar | Rodopar 1015'!$B:$B,S$1)</f>
        <v>0</v>
      </c>
      <c r="T446" s="20">
        <f>SUMIFS('Doc''s Pagos | Rodopar 108'!$J:$J,'Doc''s Pagos | Rodopar 108'!$A:$A,$B446&amp;$E446&amp;$F446&amp;$J446,'Doc''s Pagos | Rodopar 108'!$B:$B,T$1)+SUMIFS('Doc Há Pagar | Rodopar 1015'!$J:$J,'Doc Há Pagar | Rodopar 1015'!$A:$A,$B446&amp;$E446&amp;$F446,'Doc Há Pagar | Rodopar 1015'!$B:$B,T$1)</f>
        <v>0</v>
      </c>
      <c r="U446" s="20">
        <f>SUMIFS('Doc''s Pagos | Rodopar 108'!$J:$J,'Doc''s Pagos | Rodopar 108'!$A:$A,$B446&amp;$E446&amp;$F446&amp;$J446,'Doc''s Pagos | Rodopar 108'!$B:$B,U$1)+SUMIFS('Doc Há Pagar | Rodopar 1015'!$J:$J,'Doc Há Pagar | Rodopar 1015'!$A:$A,$B446&amp;$E446&amp;$F446,'Doc Há Pagar | Rodopar 1015'!$B:$B,U$1)</f>
        <v>0</v>
      </c>
      <c r="V446" s="20">
        <f>SUMIFS('Doc''s Pagos | Rodopar 108'!$J:$J,'Doc''s Pagos | Rodopar 108'!$A:$A,$B446&amp;$E446&amp;$F446&amp;$J446,'Doc''s Pagos | Rodopar 108'!$B:$B,V$1)+SUMIFS('Doc Há Pagar | Rodopar 1015'!$J:$J,'Doc Há Pagar | Rodopar 1015'!$A:$A,$B446&amp;$E446&amp;$F446,'Doc Há Pagar | Rodopar 1015'!$B:$B,V$1)</f>
        <v>0</v>
      </c>
      <c r="W446" s="20">
        <f>SUMIFS('Doc''s Pagos | Rodopar 108'!$J:$J,'Doc''s Pagos | Rodopar 108'!$A:$A,$B446&amp;$E446&amp;$F446&amp;$J446,'Doc''s Pagos | Rodopar 108'!$B:$B,W$1)+SUMIFS('Doc Há Pagar | Rodopar 1015'!$J:$J,'Doc Há Pagar | Rodopar 1015'!$A:$A,$B446&amp;$E446&amp;$F446,'Doc Há Pagar | Rodopar 1015'!$B:$B,W$1)</f>
        <v>0</v>
      </c>
      <c r="X446" s="20">
        <f>SUMIFS('Doc''s Pagos | Rodopar 108'!$J:$J,'Doc''s Pagos | Rodopar 108'!$A:$A,$B446&amp;$E446&amp;$F446&amp;$J446,'Doc''s Pagos | Rodopar 108'!$B:$B,X$1)+SUMIFS('Doc Há Pagar | Rodopar 1015'!$J:$J,'Doc Há Pagar | Rodopar 1015'!$A:$A,$B446&amp;$E446&amp;$F446,'Doc Há Pagar | Rodopar 1015'!$B:$B,X$1)</f>
        <v>0</v>
      </c>
      <c r="Y446" s="20">
        <f>SUMIFS('Doc''s Pagos | Rodopar 108'!$J:$J,'Doc''s Pagos | Rodopar 108'!$A:$A,$B446&amp;$E446&amp;$F446&amp;$J446,'Doc''s Pagos | Rodopar 108'!$B:$B,Y$1)+SUMIFS('Doc Há Pagar | Rodopar 1015'!$J:$J,'Doc Há Pagar | Rodopar 1015'!$A:$A,$B446&amp;$E446&amp;$F446,'Doc Há Pagar | Rodopar 1015'!$B:$B,Y$1)</f>
        <v>0</v>
      </c>
      <c r="Z446" s="20">
        <f>SUMIFS('Doc''s Pagos | Rodopar 108'!$J:$J,'Doc''s Pagos | Rodopar 108'!$A:$A,$B446&amp;$E446&amp;$F446&amp;$J446,'Doc''s Pagos | Rodopar 108'!$B:$B,Z$1)+SUMIFS('Doc Há Pagar | Rodopar 1015'!$J:$J,'Doc Há Pagar | Rodopar 1015'!$A:$A,$B446&amp;$E446&amp;$F446,'Doc Há Pagar | Rodopar 1015'!$B:$B,Z$1)</f>
        <v>0</v>
      </c>
      <c r="AA446" s="20">
        <f>SUMIFS('Doc''s Pagos | Rodopar 108'!$J:$J,'Doc''s Pagos | Rodopar 108'!$A:$A,$B446&amp;$E446&amp;$F446&amp;$J446,'Doc''s Pagos | Rodopar 108'!$B:$B,AA$1)+SUMIFS('Doc Há Pagar | Rodopar 1015'!$J:$J,'Doc Há Pagar | Rodopar 1015'!$A:$A,$B446&amp;$E446&amp;$F446,'Doc Há Pagar | Rodopar 1015'!$B:$B,AA$1)</f>
        <v>0</v>
      </c>
      <c r="AB446" s="20">
        <f>SUMIFS('Doc''s Pagos | Rodopar 108'!$J:$J,'Doc''s Pagos | Rodopar 108'!$A:$A,$B446&amp;$E446&amp;$F446&amp;$J446,'Doc''s Pagos | Rodopar 108'!$B:$B,AB$1)+SUMIFS('Doc Há Pagar | Rodopar 1015'!$J:$J,'Doc Há Pagar | Rodopar 1015'!$A:$A,$B446&amp;$E446&amp;$F446,'Doc Há Pagar | Rodopar 1015'!$B:$B,AB$1)</f>
        <v>5182.43</v>
      </c>
      <c r="AC446" s="20">
        <f>SUMIFS('Doc''s Pagos | Rodopar 108'!$J:$J,'Doc''s Pagos | Rodopar 108'!$A:$A,$B446&amp;$E446&amp;$F446&amp;$J446,'Doc''s Pagos | Rodopar 108'!$B:$B,AC$1)+SUMIFS('Doc Há Pagar | Rodopar 1015'!$J:$J,'Doc Há Pagar | Rodopar 1015'!$A:$A,$B446&amp;$E446&amp;$F446,'Doc Há Pagar | Rodopar 1015'!$B:$B,AC$1)</f>
        <v>0</v>
      </c>
      <c r="AD446" s="20">
        <f>SUMIFS('Doc''s Pagos | Rodopar 108'!$J:$J,'Doc''s Pagos | Rodopar 108'!$A:$A,$B446&amp;$E446&amp;$F446&amp;$J446,'Doc''s Pagos | Rodopar 108'!$B:$B,AD$1)+SUMIFS('Doc Há Pagar | Rodopar 1015'!$J:$J,'Doc Há Pagar | Rodopar 1015'!$A:$A,$B446&amp;$E446&amp;$F446,'Doc Há Pagar | Rodopar 1015'!$B:$B,AD$1)</f>
        <v>0</v>
      </c>
    </row>
    <row r="447" spans="1:30" x14ac:dyDescent="0.25">
      <c r="A447" s="1" t="str">
        <f>VLOOKUP($E447,Fornecedores!$A:$C,3,0)</f>
        <v>Frota</v>
      </c>
      <c r="B447" s="14">
        <v>8580</v>
      </c>
      <c r="C447" s="14" t="str">
        <f>IFERROR(VLOOKUP($E447,Fornecedores!$A:$E,4,0),"")</f>
        <v>Manutenção</v>
      </c>
      <c r="D447" s="14" t="str">
        <f>IFERROR(VLOOKUP($E447,Fornecedores!$A:$E,5,0),"")</f>
        <v>Vans</v>
      </c>
      <c r="E447" s="8" t="s">
        <v>159</v>
      </c>
      <c r="F447" s="14" t="s">
        <v>380</v>
      </c>
      <c r="G447" s="8" t="s">
        <v>588</v>
      </c>
      <c r="H447" s="9">
        <v>87</v>
      </c>
      <c r="I447" s="21">
        <v>890</v>
      </c>
      <c r="J447" s="11">
        <v>46273</v>
      </c>
      <c r="K447" s="11">
        <v>46273</v>
      </c>
      <c r="L447" s="8" t="s">
        <v>501</v>
      </c>
      <c r="M447" s="14" t="s">
        <v>234</v>
      </c>
      <c r="N447" s="16">
        <v>1556</v>
      </c>
      <c r="O447" s="14" t="s">
        <v>241</v>
      </c>
      <c r="P447" s="14"/>
      <c r="Q447" s="20">
        <f t="shared" si="6"/>
        <v>0</v>
      </c>
      <c r="S447" s="20">
        <f>SUMIFS('Doc''s Pagos | Rodopar 108'!$J:$J,'Doc''s Pagos | Rodopar 108'!$A:$A,$B447&amp;$E447&amp;$F447&amp;$J447,'Doc''s Pagos | Rodopar 108'!$B:$B,S$1)+SUMIFS('Doc Há Pagar | Rodopar 1015'!$J:$J,'Doc Há Pagar | Rodopar 1015'!$A:$A,$B447&amp;$E447&amp;$F447,'Doc Há Pagar | Rodopar 1015'!$B:$B,S$1)</f>
        <v>0</v>
      </c>
      <c r="T447" s="20">
        <f>SUMIFS('Doc''s Pagos | Rodopar 108'!$J:$J,'Doc''s Pagos | Rodopar 108'!$A:$A,$B447&amp;$E447&amp;$F447&amp;$J447,'Doc''s Pagos | Rodopar 108'!$B:$B,T$1)+SUMIFS('Doc Há Pagar | Rodopar 1015'!$J:$J,'Doc Há Pagar | Rodopar 1015'!$A:$A,$B447&amp;$E447&amp;$F447,'Doc Há Pagar | Rodopar 1015'!$B:$B,T$1)</f>
        <v>0</v>
      </c>
      <c r="U447" s="20">
        <f>SUMIFS('Doc''s Pagos | Rodopar 108'!$J:$J,'Doc''s Pagos | Rodopar 108'!$A:$A,$B447&amp;$E447&amp;$F447&amp;$J447,'Doc''s Pagos | Rodopar 108'!$B:$B,U$1)+SUMIFS('Doc Há Pagar | Rodopar 1015'!$J:$J,'Doc Há Pagar | Rodopar 1015'!$A:$A,$B447&amp;$E447&amp;$F447,'Doc Há Pagar | Rodopar 1015'!$B:$B,U$1)</f>
        <v>0</v>
      </c>
      <c r="V447" s="20">
        <f>SUMIFS('Doc''s Pagos | Rodopar 108'!$J:$J,'Doc''s Pagos | Rodopar 108'!$A:$A,$B447&amp;$E447&amp;$F447&amp;$J447,'Doc''s Pagos | Rodopar 108'!$B:$B,V$1)+SUMIFS('Doc Há Pagar | Rodopar 1015'!$J:$J,'Doc Há Pagar | Rodopar 1015'!$A:$A,$B447&amp;$E447&amp;$F447,'Doc Há Pagar | Rodopar 1015'!$B:$B,V$1)</f>
        <v>0</v>
      </c>
      <c r="W447" s="20">
        <f>SUMIFS('Doc''s Pagos | Rodopar 108'!$J:$J,'Doc''s Pagos | Rodopar 108'!$A:$A,$B447&amp;$E447&amp;$F447&amp;$J447,'Doc''s Pagos | Rodopar 108'!$B:$B,W$1)+SUMIFS('Doc Há Pagar | Rodopar 1015'!$J:$J,'Doc Há Pagar | Rodopar 1015'!$A:$A,$B447&amp;$E447&amp;$F447,'Doc Há Pagar | Rodopar 1015'!$B:$B,W$1)</f>
        <v>0</v>
      </c>
      <c r="X447" s="20">
        <f>SUMIFS('Doc''s Pagos | Rodopar 108'!$J:$J,'Doc''s Pagos | Rodopar 108'!$A:$A,$B447&amp;$E447&amp;$F447&amp;$J447,'Doc''s Pagos | Rodopar 108'!$B:$B,X$1)+SUMIFS('Doc Há Pagar | Rodopar 1015'!$J:$J,'Doc Há Pagar | Rodopar 1015'!$A:$A,$B447&amp;$E447&amp;$F447,'Doc Há Pagar | Rodopar 1015'!$B:$B,X$1)</f>
        <v>0</v>
      </c>
      <c r="Y447" s="20">
        <f>SUMIFS('Doc''s Pagos | Rodopar 108'!$J:$J,'Doc''s Pagos | Rodopar 108'!$A:$A,$B447&amp;$E447&amp;$F447&amp;$J447,'Doc''s Pagos | Rodopar 108'!$B:$B,Y$1)+SUMIFS('Doc Há Pagar | Rodopar 1015'!$J:$J,'Doc Há Pagar | Rodopar 1015'!$A:$A,$B447&amp;$E447&amp;$F447,'Doc Há Pagar | Rodopar 1015'!$B:$B,Y$1)</f>
        <v>0</v>
      </c>
      <c r="Z447" s="20">
        <f>SUMIFS('Doc''s Pagos | Rodopar 108'!$J:$J,'Doc''s Pagos | Rodopar 108'!$A:$A,$B447&amp;$E447&amp;$F447&amp;$J447,'Doc''s Pagos | Rodopar 108'!$B:$B,Z$1)+SUMIFS('Doc Há Pagar | Rodopar 1015'!$J:$J,'Doc Há Pagar | Rodopar 1015'!$A:$A,$B447&amp;$E447&amp;$F447,'Doc Há Pagar | Rodopar 1015'!$B:$B,Z$1)</f>
        <v>0</v>
      </c>
      <c r="AA447" s="20">
        <f>SUMIFS('Doc''s Pagos | Rodopar 108'!$J:$J,'Doc''s Pagos | Rodopar 108'!$A:$A,$B447&amp;$E447&amp;$F447&amp;$J447,'Doc''s Pagos | Rodopar 108'!$B:$B,AA$1)+SUMIFS('Doc Há Pagar | Rodopar 1015'!$J:$J,'Doc Há Pagar | Rodopar 1015'!$A:$A,$B447&amp;$E447&amp;$F447,'Doc Há Pagar | Rodopar 1015'!$B:$B,AA$1)</f>
        <v>0</v>
      </c>
      <c r="AB447" s="20">
        <f>SUMIFS('Doc''s Pagos | Rodopar 108'!$J:$J,'Doc''s Pagos | Rodopar 108'!$A:$A,$B447&amp;$E447&amp;$F447&amp;$J447,'Doc''s Pagos | Rodopar 108'!$B:$B,AB$1)+SUMIFS('Doc Há Pagar | Rodopar 1015'!$J:$J,'Doc Há Pagar | Rodopar 1015'!$A:$A,$B447&amp;$E447&amp;$F447,'Doc Há Pagar | Rodopar 1015'!$B:$B,AB$1)</f>
        <v>890</v>
      </c>
      <c r="AC447" s="20">
        <f>SUMIFS('Doc''s Pagos | Rodopar 108'!$J:$J,'Doc''s Pagos | Rodopar 108'!$A:$A,$B447&amp;$E447&amp;$F447&amp;$J447,'Doc''s Pagos | Rodopar 108'!$B:$B,AC$1)+SUMIFS('Doc Há Pagar | Rodopar 1015'!$J:$J,'Doc Há Pagar | Rodopar 1015'!$A:$A,$B447&amp;$E447&amp;$F447,'Doc Há Pagar | Rodopar 1015'!$B:$B,AC$1)</f>
        <v>0</v>
      </c>
      <c r="AD447" s="20">
        <f>SUMIFS('Doc''s Pagos | Rodopar 108'!$J:$J,'Doc''s Pagos | Rodopar 108'!$A:$A,$B447&amp;$E447&amp;$F447&amp;$J447,'Doc''s Pagos | Rodopar 108'!$B:$B,AD$1)+SUMIFS('Doc Há Pagar | Rodopar 1015'!$J:$J,'Doc Há Pagar | Rodopar 1015'!$A:$A,$B447&amp;$E447&amp;$F447,'Doc Há Pagar | Rodopar 1015'!$B:$B,AD$1)</f>
        <v>0</v>
      </c>
    </row>
    <row r="448" spans="1:30" x14ac:dyDescent="0.25">
      <c r="A448" s="1" t="str">
        <f>VLOOKUP($E448,Fornecedores!$A:$C,3,0)</f>
        <v>Frota</v>
      </c>
      <c r="B448" s="14">
        <v>17967</v>
      </c>
      <c r="C448" s="14" t="str">
        <f>IFERROR(VLOOKUP($E448,Fornecedores!$A:$E,4,0),"")</f>
        <v>Manutenção</v>
      </c>
      <c r="D448" s="14" t="str">
        <f>IFERROR(VLOOKUP($E448,Fornecedores!$A:$E,5,0),"")</f>
        <v>Caminhão</v>
      </c>
      <c r="E448" s="8" t="s">
        <v>190</v>
      </c>
      <c r="F448" s="14" t="s">
        <v>665</v>
      </c>
      <c r="G448" s="8" t="s">
        <v>381</v>
      </c>
      <c r="H448" s="9">
        <v>87</v>
      </c>
      <c r="I448" s="21">
        <v>1293.58</v>
      </c>
      <c r="J448" s="11">
        <v>46273</v>
      </c>
      <c r="K448" s="11">
        <v>46280</v>
      </c>
      <c r="L448" s="8" t="s">
        <v>382</v>
      </c>
      <c r="M448" s="14" t="s">
        <v>234</v>
      </c>
      <c r="N448" s="16">
        <v>1556</v>
      </c>
      <c r="O448" s="14" t="s">
        <v>241</v>
      </c>
      <c r="P448" s="14"/>
      <c r="Q448" s="20">
        <f t="shared" si="6"/>
        <v>0</v>
      </c>
      <c r="S448" s="20">
        <f>SUMIFS('Doc''s Pagos | Rodopar 108'!$J:$J,'Doc''s Pagos | Rodopar 108'!$A:$A,$B448&amp;$E448&amp;$F448&amp;$J448,'Doc''s Pagos | Rodopar 108'!$B:$B,S$1)+SUMIFS('Doc Há Pagar | Rodopar 1015'!$J:$J,'Doc Há Pagar | Rodopar 1015'!$A:$A,$B448&amp;$E448&amp;$F448,'Doc Há Pagar | Rodopar 1015'!$B:$B,S$1)</f>
        <v>0</v>
      </c>
      <c r="T448" s="20">
        <f>SUMIFS('Doc''s Pagos | Rodopar 108'!$J:$J,'Doc''s Pagos | Rodopar 108'!$A:$A,$B448&amp;$E448&amp;$F448&amp;$J448,'Doc''s Pagos | Rodopar 108'!$B:$B,T$1)+SUMIFS('Doc Há Pagar | Rodopar 1015'!$J:$J,'Doc Há Pagar | Rodopar 1015'!$A:$A,$B448&amp;$E448&amp;$F448,'Doc Há Pagar | Rodopar 1015'!$B:$B,T$1)</f>
        <v>0</v>
      </c>
      <c r="U448" s="20">
        <f>SUMIFS('Doc''s Pagos | Rodopar 108'!$J:$J,'Doc''s Pagos | Rodopar 108'!$A:$A,$B448&amp;$E448&amp;$F448&amp;$J448,'Doc''s Pagos | Rodopar 108'!$B:$B,U$1)+SUMIFS('Doc Há Pagar | Rodopar 1015'!$J:$J,'Doc Há Pagar | Rodopar 1015'!$A:$A,$B448&amp;$E448&amp;$F448,'Doc Há Pagar | Rodopar 1015'!$B:$B,U$1)</f>
        <v>0</v>
      </c>
      <c r="V448" s="20">
        <f>SUMIFS('Doc''s Pagos | Rodopar 108'!$J:$J,'Doc''s Pagos | Rodopar 108'!$A:$A,$B448&amp;$E448&amp;$F448&amp;$J448,'Doc''s Pagos | Rodopar 108'!$B:$B,V$1)+SUMIFS('Doc Há Pagar | Rodopar 1015'!$J:$J,'Doc Há Pagar | Rodopar 1015'!$A:$A,$B448&amp;$E448&amp;$F448,'Doc Há Pagar | Rodopar 1015'!$B:$B,V$1)</f>
        <v>0</v>
      </c>
      <c r="W448" s="20">
        <f>SUMIFS('Doc''s Pagos | Rodopar 108'!$J:$J,'Doc''s Pagos | Rodopar 108'!$A:$A,$B448&amp;$E448&amp;$F448&amp;$J448,'Doc''s Pagos | Rodopar 108'!$B:$B,W$1)+SUMIFS('Doc Há Pagar | Rodopar 1015'!$J:$J,'Doc Há Pagar | Rodopar 1015'!$A:$A,$B448&amp;$E448&amp;$F448,'Doc Há Pagar | Rodopar 1015'!$B:$B,W$1)</f>
        <v>0</v>
      </c>
      <c r="X448" s="20">
        <f>SUMIFS('Doc''s Pagos | Rodopar 108'!$J:$J,'Doc''s Pagos | Rodopar 108'!$A:$A,$B448&amp;$E448&amp;$F448&amp;$J448,'Doc''s Pagos | Rodopar 108'!$B:$B,X$1)+SUMIFS('Doc Há Pagar | Rodopar 1015'!$J:$J,'Doc Há Pagar | Rodopar 1015'!$A:$A,$B448&amp;$E448&amp;$F448,'Doc Há Pagar | Rodopar 1015'!$B:$B,X$1)</f>
        <v>0</v>
      </c>
      <c r="Y448" s="20">
        <f>SUMIFS('Doc''s Pagos | Rodopar 108'!$J:$J,'Doc''s Pagos | Rodopar 108'!$A:$A,$B448&amp;$E448&amp;$F448&amp;$J448,'Doc''s Pagos | Rodopar 108'!$B:$B,Y$1)+SUMIFS('Doc Há Pagar | Rodopar 1015'!$J:$J,'Doc Há Pagar | Rodopar 1015'!$A:$A,$B448&amp;$E448&amp;$F448,'Doc Há Pagar | Rodopar 1015'!$B:$B,Y$1)</f>
        <v>0</v>
      </c>
      <c r="Z448" s="20">
        <f>SUMIFS('Doc''s Pagos | Rodopar 108'!$J:$J,'Doc''s Pagos | Rodopar 108'!$A:$A,$B448&amp;$E448&amp;$F448&amp;$J448,'Doc''s Pagos | Rodopar 108'!$B:$B,Z$1)+SUMIFS('Doc Há Pagar | Rodopar 1015'!$J:$J,'Doc Há Pagar | Rodopar 1015'!$A:$A,$B448&amp;$E448&amp;$F448,'Doc Há Pagar | Rodopar 1015'!$B:$B,Z$1)</f>
        <v>0</v>
      </c>
      <c r="AA448" s="20">
        <f>SUMIFS('Doc''s Pagos | Rodopar 108'!$J:$J,'Doc''s Pagos | Rodopar 108'!$A:$A,$B448&amp;$E448&amp;$F448&amp;$J448,'Doc''s Pagos | Rodopar 108'!$B:$B,AA$1)+SUMIFS('Doc Há Pagar | Rodopar 1015'!$J:$J,'Doc Há Pagar | Rodopar 1015'!$A:$A,$B448&amp;$E448&amp;$F448,'Doc Há Pagar | Rodopar 1015'!$B:$B,AA$1)</f>
        <v>0</v>
      </c>
      <c r="AB448" s="20">
        <f>SUMIFS('Doc''s Pagos | Rodopar 108'!$J:$J,'Doc''s Pagos | Rodopar 108'!$A:$A,$B448&amp;$E448&amp;$F448&amp;$J448,'Doc''s Pagos | Rodopar 108'!$B:$B,AB$1)+SUMIFS('Doc Há Pagar | Rodopar 1015'!$J:$J,'Doc Há Pagar | Rodopar 1015'!$A:$A,$B448&amp;$E448&amp;$F448,'Doc Há Pagar | Rodopar 1015'!$B:$B,AB$1)</f>
        <v>1293.58</v>
      </c>
      <c r="AC448" s="20">
        <f>SUMIFS('Doc''s Pagos | Rodopar 108'!$J:$J,'Doc''s Pagos | Rodopar 108'!$A:$A,$B448&amp;$E448&amp;$F448&amp;$J448,'Doc''s Pagos | Rodopar 108'!$B:$B,AC$1)+SUMIFS('Doc Há Pagar | Rodopar 1015'!$J:$J,'Doc Há Pagar | Rodopar 1015'!$A:$A,$B448&amp;$E448&amp;$F448,'Doc Há Pagar | Rodopar 1015'!$B:$B,AC$1)</f>
        <v>0</v>
      </c>
      <c r="AD448" s="20">
        <f>SUMIFS('Doc''s Pagos | Rodopar 108'!$J:$J,'Doc''s Pagos | Rodopar 108'!$A:$A,$B448&amp;$E448&amp;$F448&amp;$J448,'Doc''s Pagos | Rodopar 108'!$B:$B,AD$1)+SUMIFS('Doc Há Pagar | Rodopar 1015'!$J:$J,'Doc Há Pagar | Rodopar 1015'!$A:$A,$B448&amp;$E448&amp;$F448,'Doc Há Pagar | Rodopar 1015'!$B:$B,AD$1)</f>
        <v>0</v>
      </c>
    </row>
    <row r="449" spans="1:30" x14ac:dyDescent="0.25">
      <c r="A449" s="1" t="str">
        <f>VLOOKUP($E449,Fornecedores!$A:$C,3,0)</f>
        <v>Frota</v>
      </c>
      <c r="B449" s="14">
        <v>21</v>
      </c>
      <c r="C449" s="14" t="str">
        <f>IFERROR(VLOOKUP($E449,Fornecedores!$A:$E,4,0),"")</f>
        <v>Lavagem</v>
      </c>
      <c r="D449" s="14" t="str">
        <f>IFERROR(VLOOKUP($E449,Fornecedores!$A:$E,5,0),"")</f>
        <v>Lavagem</v>
      </c>
      <c r="E449" s="8" t="s">
        <v>85</v>
      </c>
      <c r="F449" s="14" t="s">
        <v>665</v>
      </c>
      <c r="G449" s="8" t="s">
        <v>633</v>
      </c>
      <c r="H449" s="9">
        <v>87</v>
      </c>
      <c r="I449" s="21">
        <v>11200</v>
      </c>
      <c r="J449" s="11">
        <v>46273</v>
      </c>
      <c r="K449" s="11">
        <v>46273</v>
      </c>
      <c r="L449" s="8" t="s">
        <v>282</v>
      </c>
      <c r="M449" s="14" t="s">
        <v>234</v>
      </c>
      <c r="N449" s="16">
        <v>1556</v>
      </c>
      <c r="O449" s="14" t="s">
        <v>241</v>
      </c>
      <c r="P449" s="14"/>
      <c r="Q449" s="20">
        <f t="shared" si="6"/>
        <v>0</v>
      </c>
      <c r="S449" s="20">
        <f>SUMIFS('Doc''s Pagos | Rodopar 108'!$J:$J,'Doc''s Pagos | Rodopar 108'!$A:$A,$B449&amp;$E449&amp;$F449&amp;$J449,'Doc''s Pagos | Rodopar 108'!$B:$B,S$1)+SUMIFS('Doc Há Pagar | Rodopar 1015'!$J:$J,'Doc Há Pagar | Rodopar 1015'!$A:$A,$B449&amp;$E449&amp;$F449,'Doc Há Pagar | Rodopar 1015'!$B:$B,S$1)</f>
        <v>0</v>
      </c>
      <c r="T449" s="20">
        <f>SUMIFS('Doc''s Pagos | Rodopar 108'!$J:$J,'Doc''s Pagos | Rodopar 108'!$A:$A,$B449&amp;$E449&amp;$F449&amp;$J449,'Doc''s Pagos | Rodopar 108'!$B:$B,T$1)+SUMIFS('Doc Há Pagar | Rodopar 1015'!$J:$J,'Doc Há Pagar | Rodopar 1015'!$A:$A,$B449&amp;$E449&amp;$F449,'Doc Há Pagar | Rodopar 1015'!$B:$B,T$1)</f>
        <v>0</v>
      </c>
      <c r="U449" s="20">
        <f>SUMIFS('Doc''s Pagos | Rodopar 108'!$J:$J,'Doc''s Pagos | Rodopar 108'!$A:$A,$B449&amp;$E449&amp;$F449&amp;$J449,'Doc''s Pagos | Rodopar 108'!$B:$B,U$1)+SUMIFS('Doc Há Pagar | Rodopar 1015'!$J:$J,'Doc Há Pagar | Rodopar 1015'!$A:$A,$B449&amp;$E449&amp;$F449,'Doc Há Pagar | Rodopar 1015'!$B:$B,U$1)</f>
        <v>0</v>
      </c>
      <c r="V449" s="20">
        <f>SUMIFS('Doc''s Pagos | Rodopar 108'!$J:$J,'Doc''s Pagos | Rodopar 108'!$A:$A,$B449&amp;$E449&amp;$F449&amp;$J449,'Doc''s Pagos | Rodopar 108'!$B:$B,V$1)+SUMIFS('Doc Há Pagar | Rodopar 1015'!$J:$J,'Doc Há Pagar | Rodopar 1015'!$A:$A,$B449&amp;$E449&amp;$F449,'Doc Há Pagar | Rodopar 1015'!$B:$B,V$1)</f>
        <v>0</v>
      </c>
      <c r="W449" s="20">
        <f>SUMIFS('Doc''s Pagos | Rodopar 108'!$J:$J,'Doc''s Pagos | Rodopar 108'!$A:$A,$B449&amp;$E449&amp;$F449&amp;$J449,'Doc''s Pagos | Rodopar 108'!$B:$B,W$1)+SUMIFS('Doc Há Pagar | Rodopar 1015'!$J:$J,'Doc Há Pagar | Rodopar 1015'!$A:$A,$B449&amp;$E449&amp;$F449,'Doc Há Pagar | Rodopar 1015'!$B:$B,W$1)</f>
        <v>0</v>
      </c>
      <c r="X449" s="20">
        <f>SUMIFS('Doc''s Pagos | Rodopar 108'!$J:$J,'Doc''s Pagos | Rodopar 108'!$A:$A,$B449&amp;$E449&amp;$F449&amp;$J449,'Doc''s Pagos | Rodopar 108'!$B:$B,X$1)+SUMIFS('Doc Há Pagar | Rodopar 1015'!$J:$J,'Doc Há Pagar | Rodopar 1015'!$A:$A,$B449&amp;$E449&amp;$F449,'Doc Há Pagar | Rodopar 1015'!$B:$B,X$1)</f>
        <v>0</v>
      </c>
      <c r="Y449" s="20">
        <f>SUMIFS('Doc''s Pagos | Rodopar 108'!$J:$J,'Doc''s Pagos | Rodopar 108'!$A:$A,$B449&amp;$E449&amp;$F449&amp;$J449,'Doc''s Pagos | Rodopar 108'!$B:$B,Y$1)+SUMIFS('Doc Há Pagar | Rodopar 1015'!$J:$J,'Doc Há Pagar | Rodopar 1015'!$A:$A,$B449&amp;$E449&amp;$F449,'Doc Há Pagar | Rodopar 1015'!$B:$B,Y$1)</f>
        <v>0</v>
      </c>
      <c r="Z449" s="20">
        <f>SUMIFS('Doc''s Pagos | Rodopar 108'!$J:$J,'Doc''s Pagos | Rodopar 108'!$A:$A,$B449&amp;$E449&amp;$F449&amp;$J449,'Doc''s Pagos | Rodopar 108'!$B:$B,Z$1)+SUMIFS('Doc Há Pagar | Rodopar 1015'!$J:$J,'Doc Há Pagar | Rodopar 1015'!$A:$A,$B449&amp;$E449&amp;$F449,'Doc Há Pagar | Rodopar 1015'!$B:$B,Z$1)</f>
        <v>0</v>
      </c>
      <c r="AA449" s="20">
        <f>SUMIFS('Doc''s Pagos | Rodopar 108'!$J:$J,'Doc''s Pagos | Rodopar 108'!$A:$A,$B449&amp;$E449&amp;$F449&amp;$J449,'Doc''s Pagos | Rodopar 108'!$B:$B,AA$1)+SUMIFS('Doc Há Pagar | Rodopar 1015'!$J:$J,'Doc Há Pagar | Rodopar 1015'!$A:$A,$B449&amp;$E449&amp;$F449,'Doc Há Pagar | Rodopar 1015'!$B:$B,AA$1)</f>
        <v>0</v>
      </c>
      <c r="AB449" s="20">
        <f>SUMIFS('Doc''s Pagos | Rodopar 108'!$J:$J,'Doc''s Pagos | Rodopar 108'!$A:$A,$B449&amp;$E449&amp;$F449&amp;$J449,'Doc''s Pagos | Rodopar 108'!$B:$B,AB$1)+SUMIFS('Doc Há Pagar | Rodopar 1015'!$J:$J,'Doc Há Pagar | Rodopar 1015'!$A:$A,$B449&amp;$E449&amp;$F449,'Doc Há Pagar | Rodopar 1015'!$B:$B,AB$1)</f>
        <v>11200</v>
      </c>
      <c r="AC449" s="20">
        <f>SUMIFS('Doc''s Pagos | Rodopar 108'!$J:$J,'Doc''s Pagos | Rodopar 108'!$A:$A,$B449&amp;$E449&amp;$F449&amp;$J449,'Doc''s Pagos | Rodopar 108'!$B:$B,AC$1)+SUMIFS('Doc Há Pagar | Rodopar 1015'!$J:$J,'Doc Há Pagar | Rodopar 1015'!$A:$A,$B449&amp;$E449&amp;$F449,'Doc Há Pagar | Rodopar 1015'!$B:$B,AC$1)</f>
        <v>0</v>
      </c>
      <c r="AD449" s="20">
        <f>SUMIFS('Doc''s Pagos | Rodopar 108'!$J:$J,'Doc''s Pagos | Rodopar 108'!$A:$A,$B449&amp;$E449&amp;$F449&amp;$J449,'Doc''s Pagos | Rodopar 108'!$B:$B,AD$1)+SUMIFS('Doc Há Pagar | Rodopar 1015'!$J:$J,'Doc Há Pagar | Rodopar 1015'!$A:$A,$B449&amp;$E449&amp;$F449,'Doc Há Pagar | Rodopar 1015'!$B:$B,AD$1)</f>
        <v>0</v>
      </c>
    </row>
    <row r="450" spans="1:30" x14ac:dyDescent="0.25">
      <c r="A450" s="1" t="str">
        <f>VLOOKUP($E450,Fornecedores!$A:$C,3,0)</f>
        <v>Frota</v>
      </c>
      <c r="B450" s="14">
        <v>3706</v>
      </c>
      <c r="C450" s="14" t="str">
        <f>IFERROR(VLOOKUP($E450,Fornecedores!$A:$E,4,0),"")</f>
        <v>Pneus</v>
      </c>
      <c r="D450" s="14" t="str">
        <f>IFERROR(VLOOKUP($E450,Fornecedores!$A:$E,5,0),"")</f>
        <v>Tecnologia</v>
      </c>
      <c r="E450" s="8" t="s">
        <v>145</v>
      </c>
      <c r="F450" s="14" t="s">
        <v>665</v>
      </c>
      <c r="G450" s="8" t="s">
        <v>644</v>
      </c>
      <c r="H450" s="9">
        <v>87</v>
      </c>
      <c r="I450" s="21">
        <v>936.1</v>
      </c>
      <c r="J450" s="11">
        <v>46273</v>
      </c>
      <c r="K450" s="11">
        <v>46273</v>
      </c>
      <c r="L450" s="8" t="s">
        <v>339</v>
      </c>
      <c r="M450" s="14" t="s">
        <v>263</v>
      </c>
      <c r="N450" s="16">
        <v>2949</v>
      </c>
      <c r="O450" s="14" t="s">
        <v>512</v>
      </c>
      <c r="P450" s="14"/>
      <c r="Q450" s="20">
        <f t="shared" ref="Q450:Q493" si="7">SUM(R450:AD450)-I450</f>
        <v>0</v>
      </c>
      <c r="S450" s="20">
        <f>SUMIFS('Doc''s Pagos | Rodopar 108'!$J:$J,'Doc''s Pagos | Rodopar 108'!$A:$A,$B450&amp;$E450&amp;$F450&amp;$J450,'Doc''s Pagos | Rodopar 108'!$B:$B,S$1)+SUMIFS('Doc Há Pagar | Rodopar 1015'!$J:$J,'Doc Há Pagar | Rodopar 1015'!$A:$A,$B450&amp;$E450&amp;$F450,'Doc Há Pagar | Rodopar 1015'!$B:$B,S$1)</f>
        <v>0</v>
      </c>
      <c r="T450" s="20">
        <f>SUMIFS('Doc''s Pagos | Rodopar 108'!$J:$J,'Doc''s Pagos | Rodopar 108'!$A:$A,$B450&amp;$E450&amp;$F450&amp;$J450,'Doc''s Pagos | Rodopar 108'!$B:$B,T$1)+SUMIFS('Doc Há Pagar | Rodopar 1015'!$J:$J,'Doc Há Pagar | Rodopar 1015'!$A:$A,$B450&amp;$E450&amp;$F450,'Doc Há Pagar | Rodopar 1015'!$B:$B,T$1)</f>
        <v>0</v>
      </c>
      <c r="U450" s="20">
        <f>SUMIFS('Doc''s Pagos | Rodopar 108'!$J:$J,'Doc''s Pagos | Rodopar 108'!$A:$A,$B450&amp;$E450&amp;$F450&amp;$J450,'Doc''s Pagos | Rodopar 108'!$B:$B,U$1)+SUMIFS('Doc Há Pagar | Rodopar 1015'!$J:$J,'Doc Há Pagar | Rodopar 1015'!$A:$A,$B450&amp;$E450&amp;$F450,'Doc Há Pagar | Rodopar 1015'!$B:$B,U$1)</f>
        <v>0</v>
      </c>
      <c r="V450" s="20">
        <f>SUMIFS('Doc''s Pagos | Rodopar 108'!$J:$J,'Doc''s Pagos | Rodopar 108'!$A:$A,$B450&amp;$E450&amp;$F450&amp;$J450,'Doc''s Pagos | Rodopar 108'!$B:$B,V$1)+SUMIFS('Doc Há Pagar | Rodopar 1015'!$J:$J,'Doc Há Pagar | Rodopar 1015'!$A:$A,$B450&amp;$E450&amp;$F450,'Doc Há Pagar | Rodopar 1015'!$B:$B,V$1)</f>
        <v>0</v>
      </c>
      <c r="W450" s="20">
        <f>SUMIFS('Doc''s Pagos | Rodopar 108'!$J:$J,'Doc''s Pagos | Rodopar 108'!$A:$A,$B450&amp;$E450&amp;$F450&amp;$J450,'Doc''s Pagos | Rodopar 108'!$B:$B,W$1)+SUMIFS('Doc Há Pagar | Rodopar 1015'!$J:$J,'Doc Há Pagar | Rodopar 1015'!$A:$A,$B450&amp;$E450&amp;$F450,'Doc Há Pagar | Rodopar 1015'!$B:$B,W$1)</f>
        <v>0</v>
      </c>
      <c r="X450" s="20">
        <f>SUMIFS('Doc''s Pagos | Rodopar 108'!$J:$J,'Doc''s Pagos | Rodopar 108'!$A:$A,$B450&amp;$E450&amp;$F450&amp;$J450,'Doc''s Pagos | Rodopar 108'!$B:$B,X$1)+SUMIFS('Doc Há Pagar | Rodopar 1015'!$J:$J,'Doc Há Pagar | Rodopar 1015'!$A:$A,$B450&amp;$E450&amp;$F450,'Doc Há Pagar | Rodopar 1015'!$B:$B,X$1)</f>
        <v>0</v>
      </c>
      <c r="Y450" s="20">
        <f>SUMIFS('Doc''s Pagos | Rodopar 108'!$J:$J,'Doc''s Pagos | Rodopar 108'!$A:$A,$B450&amp;$E450&amp;$F450&amp;$J450,'Doc''s Pagos | Rodopar 108'!$B:$B,Y$1)+SUMIFS('Doc Há Pagar | Rodopar 1015'!$J:$J,'Doc Há Pagar | Rodopar 1015'!$A:$A,$B450&amp;$E450&amp;$F450,'Doc Há Pagar | Rodopar 1015'!$B:$B,Y$1)</f>
        <v>0</v>
      </c>
      <c r="Z450" s="20">
        <f>SUMIFS('Doc''s Pagos | Rodopar 108'!$J:$J,'Doc''s Pagos | Rodopar 108'!$A:$A,$B450&amp;$E450&amp;$F450&amp;$J450,'Doc''s Pagos | Rodopar 108'!$B:$B,Z$1)+SUMIFS('Doc Há Pagar | Rodopar 1015'!$J:$J,'Doc Há Pagar | Rodopar 1015'!$A:$A,$B450&amp;$E450&amp;$F450,'Doc Há Pagar | Rodopar 1015'!$B:$B,Z$1)</f>
        <v>0</v>
      </c>
      <c r="AA450" s="20">
        <f>SUMIFS('Doc''s Pagos | Rodopar 108'!$J:$J,'Doc''s Pagos | Rodopar 108'!$A:$A,$B450&amp;$E450&amp;$F450&amp;$J450,'Doc''s Pagos | Rodopar 108'!$B:$B,AA$1)+SUMIFS('Doc Há Pagar | Rodopar 1015'!$J:$J,'Doc Há Pagar | Rodopar 1015'!$A:$A,$B450&amp;$E450&amp;$F450,'Doc Há Pagar | Rodopar 1015'!$B:$B,AA$1)</f>
        <v>0</v>
      </c>
      <c r="AB450" s="20">
        <f>SUMIFS('Doc''s Pagos | Rodopar 108'!$J:$J,'Doc''s Pagos | Rodopar 108'!$A:$A,$B450&amp;$E450&amp;$F450&amp;$J450,'Doc''s Pagos | Rodopar 108'!$B:$B,AB$1)+SUMIFS('Doc Há Pagar | Rodopar 1015'!$J:$J,'Doc Há Pagar | Rodopar 1015'!$A:$A,$B450&amp;$E450&amp;$F450,'Doc Há Pagar | Rodopar 1015'!$B:$B,AB$1)</f>
        <v>936.1</v>
      </c>
      <c r="AC450" s="20">
        <f>SUMIFS('Doc''s Pagos | Rodopar 108'!$J:$J,'Doc''s Pagos | Rodopar 108'!$A:$A,$B450&amp;$E450&amp;$F450&amp;$J450,'Doc''s Pagos | Rodopar 108'!$B:$B,AC$1)+SUMIFS('Doc Há Pagar | Rodopar 1015'!$J:$J,'Doc Há Pagar | Rodopar 1015'!$A:$A,$B450&amp;$E450&amp;$F450,'Doc Há Pagar | Rodopar 1015'!$B:$B,AC$1)</f>
        <v>0</v>
      </c>
      <c r="AD450" s="20">
        <f>SUMIFS('Doc''s Pagos | Rodopar 108'!$J:$J,'Doc''s Pagos | Rodopar 108'!$A:$A,$B450&amp;$E450&amp;$F450&amp;$J450,'Doc''s Pagos | Rodopar 108'!$B:$B,AD$1)+SUMIFS('Doc Há Pagar | Rodopar 1015'!$J:$J,'Doc Há Pagar | Rodopar 1015'!$A:$A,$B450&amp;$E450&amp;$F450,'Doc Há Pagar | Rodopar 1015'!$B:$B,AD$1)</f>
        <v>0</v>
      </c>
    </row>
    <row r="451" spans="1:30" x14ac:dyDescent="0.25">
      <c r="A451" s="1" t="str">
        <f>VLOOKUP($E451,Fornecedores!$A:$C,3,0)</f>
        <v>Frota</v>
      </c>
      <c r="B451" s="14">
        <v>40</v>
      </c>
      <c r="C451" s="14" t="str">
        <f>IFERROR(VLOOKUP($E451,Fornecedores!$A:$E,4,0),"")</f>
        <v>Sinistro</v>
      </c>
      <c r="D451" s="14" t="str">
        <f>IFERROR(VLOOKUP($E451,Fornecedores!$A:$E,5,0),"")</f>
        <v>Lanternagem</v>
      </c>
      <c r="E451" s="8" t="s">
        <v>174</v>
      </c>
      <c r="F451" s="14" t="s">
        <v>380</v>
      </c>
      <c r="G451" s="8" t="s">
        <v>528</v>
      </c>
      <c r="H451" s="9">
        <v>87</v>
      </c>
      <c r="I451" s="21">
        <v>225</v>
      </c>
      <c r="J451" s="11">
        <v>46274</v>
      </c>
      <c r="K451" s="11">
        <v>46275</v>
      </c>
      <c r="L451" s="8" t="s">
        <v>435</v>
      </c>
      <c r="M451" s="14" t="s">
        <v>234</v>
      </c>
      <c r="N451" s="16">
        <v>1556</v>
      </c>
      <c r="O451" s="14" t="s">
        <v>250</v>
      </c>
      <c r="P451" s="14"/>
      <c r="Q451" s="20">
        <f t="shared" si="7"/>
        <v>0</v>
      </c>
      <c r="S451" s="20">
        <f>SUMIFS('Doc''s Pagos | Rodopar 108'!$J:$J,'Doc''s Pagos | Rodopar 108'!$A:$A,$B451&amp;$E451&amp;$F451&amp;$J451,'Doc''s Pagos | Rodopar 108'!$B:$B,S$1)+SUMIFS('Doc Há Pagar | Rodopar 1015'!$J:$J,'Doc Há Pagar | Rodopar 1015'!$A:$A,$B451&amp;$E451&amp;$F451,'Doc Há Pagar | Rodopar 1015'!$B:$B,S$1)</f>
        <v>0</v>
      </c>
      <c r="T451" s="20">
        <f>SUMIFS('Doc''s Pagos | Rodopar 108'!$J:$J,'Doc''s Pagos | Rodopar 108'!$A:$A,$B451&amp;$E451&amp;$F451&amp;$J451,'Doc''s Pagos | Rodopar 108'!$B:$B,T$1)+SUMIFS('Doc Há Pagar | Rodopar 1015'!$J:$J,'Doc Há Pagar | Rodopar 1015'!$A:$A,$B451&amp;$E451&amp;$F451,'Doc Há Pagar | Rodopar 1015'!$B:$B,T$1)</f>
        <v>0</v>
      </c>
      <c r="U451" s="20">
        <f>SUMIFS('Doc''s Pagos | Rodopar 108'!$J:$J,'Doc''s Pagos | Rodopar 108'!$A:$A,$B451&amp;$E451&amp;$F451&amp;$J451,'Doc''s Pagos | Rodopar 108'!$B:$B,U$1)+SUMIFS('Doc Há Pagar | Rodopar 1015'!$J:$J,'Doc Há Pagar | Rodopar 1015'!$A:$A,$B451&amp;$E451&amp;$F451,'Doc Há Pagar | Rodopar 1015'!$B:$B,U$1)</f>
        <v>0</v>
      </c>
      <c r="V451" s="20">
        <f>SUMIFS('Doc''s Pagos | Rodopar 108'!$J:$J,'Doc''s Pagos | Rodopar 108'!$A:$A,$B451&amp;$E451&amp;$F451&amp;$J451,'Doc''s Pagos | Rodopar 108'!$B:$B,V$1)+SUMIFS('Doc Há Pagar | Rodopar 1015'!$J:$J,'Doc Há Pagar | Rodopar 1015'!$A:$A,$B451&amp;$E451&amp;$F451,'Doc Há Pagar | Rodopar 1015'!$B:$B,V$1)</f>
        <v>0</v>
      </c>
      <c r="W451" s="20">
        <f>SUMIFS('Doc''s Pagos | Rodopar 108'!$J:$J,'Doc''s Pagos | Rodopar 108'!$A:$A,$B451&amp;$E451&amp;$F451&amp;$J451,'Doc''s Pagos | Rodopar 108'!$B:$B,W$1)+SUMIFS('Doc Há Pagar | Rodopar 1015'!$J:$J,'Doc Há Pagar | Rodopar 1015'!$A:$A,$B451&amp;$E451&amp;$F451,'Doc Há Pagar | Rodopar 1015'!$B:$B,W$1)</f>
        <v>0</v>
      </c>
      <c r="X451" s="20">
        <f>SUMIFS('Doc''s Pagos | Rodopar 108'!$J:$J,'Doc''s Pagos | Rodopar 108'!$A:$A,$B451&amp;$E451&amp;$F451&amp;$J451,'Doc''s Pagos | Rodopar 108'!$B:$B,X$1)+SUMIFS('Doc Há Pagar | Rodopar 1015'!$J:$J,'Doc Há Pagar | Rodopar 1015'!$A:$A,$B451&amp;$E451&amp;$F451,'Doc Há Pagar | Rodopar 1015'!$B:$B,X$1)</f>
        <v>0</v>
      </c>
      <c r="Y451" s="20">
        <f>SUMIFS('Doc''s Pagos | Rodopar 108'!$J:$J,'Doc''s Pagos | Rodopar 108'!$A:$A,$B451&amp;$E451&amp;$F451&amp;$J451,'Doc''s Pagos | Rodopar 108'!$B:$B,Y$1)+SUMIFS('Doc Há Pagar | Rodopar 1015'!$J:$J,'Doc Há Pagar | Rodopar 1015'!$A:$A,$B451&amp;$E451&amp;$F451,'Doc Há Pagar | Rodopar 1015'!$B:$B,Y$1)</f>
        <v>0</v>
      </c>
      <c r="Z451" s="20">
        <f>SUMIFS('Doc''s Pagos | Rodopar 108'!$J:$J,'Doc''s Pagos | Rodopar 108'!$A:$A,$B451&amp;$E451&amp;$F451&amp;$J451,'Doc''s Pagos | Rodopar 108'!$B:$B,Z$1)+SUMIFS('Doc Há Pagar | Rodopar 1015'!$J:$J,'Doc Há Pagar | Rodopar 1015'!$A:$A,$B451&amp;$E451&amp;$F451,'Doc Há Pagar | Rodopar 1015'!$B:$B,Z$1)</f>
        <v>0</v>
      </c>
      <c r="AA451" s="20">
        <f>SUMIFS('Doc''s Pagos | Rodopar 108'!$J:$J,'Doc''s Pagos | Rodopar 108'!$A:$A,$B451&amp;$E451&amp;$F451&amp;$J451,'Doc''s Pagos | Rodopar 108'!$B:$B,AA$1)+SUMIFS('Doc Há Pagar | Rodopar 1015'!$J:$J,'Doc Há Pagar | Rodopar 1015'!$A:$A,$B451&amp;$E451&amp;$F451,'Doc Há Pagar | Rodopar 1015'!$B:$B,AA$1)</f>
        <v>0</v>
      </c>
      <c r="AB451" s="20">
        <f>SUMIFS('Doc''s Pagos | Rodopar 108'!$J:$J,'Doc''s Pagos | Rodopar 108'!$A:$A,$B451&amp;$E451&amp;$F451&amp;$J451,'Doc''s Pagos | Rodopar 108'!$B:$B,AB$1)+SUMIFS('Doc Há Pagar | Rodopar 1015'!$J:$J,'Doc Há Pagar | Rodopar 1015'!$A:$A,$B451&amp;$E451&amp;$F451,'Doc Há Pagar | Rodopar 1015'!$B:$B,AB$1)</f>
        <v>225</v>
      </c>
      <c r="AC451" s="20">
        <f>SUMIFS('Doc''s Pagos | Rodopar 108'!$J:$J,'Doc''s Pagos | Rodopar 108'!$A:$A,$B451&amp;$E451&amp;$F451&amp;$J451,'Doc''s Pagos | Rodopar 108'!$B:$B,AC$1)+SUMIFS('Doc Há Pagar | Rodopar 1015'!$J:$J,'Doc Há Pagar | Rodopar 1015'!$A:$A,$B451&amp;$E451&amp;$F451,'Doc Há Pagar | Rodopar 1015'!$B:$B,AC$1)</f>
        <v>0</v>
      </c>
      <c r="AD451" s="20">
        <f>SUMIFS('Doc''s Pagos | Rodopar 108'!$J:$J,'Doc''s Pagos | Rodopar 108'!$A:$A,$B451&amp;$E451&amp;$F451&amp;$J451,'Doc''s Pagos | Rodopar 108'!$B:$B,AD$1)+SUMIFS('Doc Há Pagar | Rodopar 1015'!$J:$J,'Doc Há Pagar | Rodopar 1015'!$A:$A,$B451&amp;$E451&amp;$F451,'Doc Há Pagar | Rodopar 1015'!$B:$B,AD$1)</f>
        <v>0</v>
      </c>
    </row>
    <row r="452" spans="1:30" x14ac:dyDescent="0.25">
      <c r="A452" s="1" t="str">
        <f>VLOOKUP($E452,Fornecedores!$A:$C,3,0)</f>
        <v>Frota</v>
      </c>
      <c r="B452" s="14">
        <v>19124</v>
      </c>
      <c r="C452" s="14" t="str">
        <f>IFERROR(VLOOKUP($E452,Fornecedores!$A:$E,4,0),"")</f>
        <v>Manutenção</v>
      </c>
      <c r="D452" s="14" t="str">
        <f>IFERROR(VLOOKUP($E452,Fornecedores!$A:$E,5,0),"")</f>
        <v>Peças E Serviços</v>
      </c>
      <c r="E452" s="8" t="s">
        <v>25</v>
      </c>
      <c r="F452" s="14" t="s">
        <v>380</v>
      </c>
      <c r="G452" s="8" t="s">
        <v>390</v>
      </c>
      <c r="H452" s="9">
        <v>87</v>
      </c>
      <c r="I452" s="21">
        <v>1236</v>
      </c>
      <c r="J452" s="11">
        <v>46275</v>
      </c>
      <c r="K452" s="11">
        <v>46287</v>
      </c>
      <c r="L452" s="8" t="s">
        <v>282</v>
      </c>
      <c r="M452" s="14" t="s">
        <v>234</v>
      </c>
      <c r="N452" s="16">
        <v>1556</v>
      </c>
      <c r="O452" s="14" t="s">
        <v>241</v>
      </c>
      <c r="P452" s="14"/>
      <c r="Q452" s="20">
        <f t="shared" si="7"/>
        <v>0</v>
      </c>
      <c r="S452" s="20">
        <f>SUMIFS('Doc''s Pagos | Rodopar 108'!$J:$J,'Doc''s Pagos | Rodopar 108'!$A:$A,$B452&amp;$E452&amp;$F452&amp;$J452,'Doc''s Pagos | Rodopar 108'!$B:$B,S$1)+SUMIFS('Doc Há Pagar | Rodopar 1015'!$J:$J,'Doc Há Pagar | Rodopar 1015'!$A:$A,$B452&amp;$E452&amp;$F452,'Doc Há Pagar | Rodopar 1015'!$B:$B,S$1)</f>
        <v>0</v>
      </c>
      <c r="T452" s="20">
        <f>SUMIFS('Doc''s Pagos | Rodopar 108'!$J:$J,'Doc''s Pagos | Rodopar 108'!$A:$A,$B452&amp;$E452&amp;$F452&amp;$J452,'Doc''s Pagos | Rodopar 108'!$B:$B,T$1)+SUMIFS('Doc Há Pagar | Rodopar 1015'!$J:$J,'Doc Há Pagar | Rodopar 1015'!$A:$A,$B452&amp;$E452&amp;$F452,'Doc Há Pagar | Rodopar 1015'!$B:$B,T$1)</f>
        <v>0</v>
      </c>
      <c r="U452" s="20">
        <f>SUMIFS('Doc''s Pagos | Rodopar 108'!$J:$J,'Doc''s Pagos | Rodopar 108'!$A:$A,$B452&amp;$E452&amp;$F452&amp;$J452,'Doc''s Pagos | Rodopar 108'!$B:$B,U$1)+SUMIFS('Doc Há Pagar | Rodopar 1015'!$J:$J,'Doc Há Pagar | Rodopar 1015'!$A:$A,$B452&amp;$E452&amp;$F452,'Doc Há Pagar | Rodopar 1015'!$B:$B,U$1)</f>
        <v>0</v>
      </c>
      <c r="V452" s="20">
        <f>SUMIFS('Doc''s Pagos | Rodopar 108'!$J:$J,'Doc''s Pagos | Rodopar 108'!$A:$A,$B452&amp;$E452&amp;$F452&amp;$J452,'Doc''s Pagos | Rodopar 108'!$B:$B,V$1)+SUMIFS('Doc Há Pagar | Rodopar 1015'!$J:$J,'Doc Há Pagar | Rodopar 1015'!$A:$A,$B452&amp;$E452&amp;$F452,'Doc Há Pagar | Rodopar 1015'!$B:$B,V$1)</f>
        <v>0</v>
      </c>
      <c r="W452" s="20">
        <f>SUMIFS('Doc''s Pagos | Rodopar 108'!$J:$J,'Doc''s Pagos | Rodopar 108'!$A:$A,$B452&amp;$E452&amp;$F452&amp;$J452,'Doc''s Pagos | Rodopar 108'!$B:$B,W$1)+SUMIFS('Doc Há Pagar | Rodopar 1015'!$J:$J,'Doc Há Pagar | Rodopar 1015'!$A:$A,$B452&amp;$E452&amp;$F452,'Doc Há Pagar | Rodopar 1015'!$B:$B,W$1)</f>
        <v>0</v>
      </c>
      <c r="X452" s="20">
        <f>SUMIFS('Doc''s Pagos | Rodopar 108'!$J:$J,'Doc''s Pagos | Rodopar 108'!$A:$A,$B452&amp;$E452&amp;$F452&amp;$J452,'Doc''s Pagos | Rodopar 108'!$B:$B,X$1)+SUMIFS('Doc Há Pagar | Rodopar 1015'!$J:$J,'Doc Há Pagar | Rodopar 1015'!$A:$A,$B452&amp;$E452&amp;$F452,'Doc Há Pagar | Rodopar 1015'!$B:$B,X$1)</f>
        <v>0</v>
      </c>
      <c r="Y452" s="20">
        <f>SUMIFS('Doc''s Pagos | Rodopar 108'!$J:$J,'Doc''s Pagos | Rodopar 108'!$A:$A,$B452&amp;$E452&amp;$F452&amp;$J452,'Doc''s Pagos | Rodopar 108'!$B:$B,Y$1)+SUMIFS('Doc Há Pagar | Rodopar 1015'!$J:$J,'Doc Há Pagar | Rodopar 1015'!$A:$A,$B452&amp;$E452&amp;$F452,'Doc Há Pagar | Rodopar 1015'!$B:$B,Y$1)</f>
        <v>0</v>
      </c>
      <c r="Z452" s="20">
        <f>SUMIFS('Doc''s Pagos | Rodopar 108'!$J:$J,'Doc''s Pagos | Rodopar 108'!$A:$A,$B452&amp;$E452&amp;$F452&amp;$J452,'Doc''s Pagos | Rodopar 108'!$B:$B,Z$1)+SUMIFS('Doc Há Pagar | Rodopar 1015'!$J:$J,'Doc Há Pagar | Rodopar 1015'!$A:$A,$B452&amp;$E452&amp;$F452,'Doc Há Pagar | Rodopar 1015'!$B:$B,Z$1)</f>
        <v>0</v>
      </c>
      <c r="AA452" s="20">
        <f>SUMIFS('Doc''s Pagos | Rodopar 108'!$J:$J,'Doc''s Pagos | Rodopar 108'!$A:$A,$B452&amp;$E452&amp;$F452&amp;$J452,'Doc''s Pagos | Rodopar 108'!$B:$B,AA$1)+SUMIFS('Doc Há Pagar | Rodopar 1015'!$J:$J,'Doc Há Pagar | Rodopar 1015'!$A:$A,$B452&amp;$E452&amp;$F452,'Doc Há Pagar | Rodopar 1015'!$B:$B,AA$1)</f>
        <v>0</v>
      </c>
      <c r="AB452" s="20">
        <f>SUMIFS('Doc''s Pagos | Rodopar 108'!$J:$J,'Doc''s Pagos | Rodopar 108'!$A:$A,$B452&amp;$E452&amp;$F452&amp;$J452,'Doc''s Pagos | Rodopar 108'!$B:$B,AB$1)+SUMIFS('Doc Há Pagar | Rodopar 1015'!$J:$J,'Doc Há Pagar | Rodopar 1015'!$A:$A,$B452&amp;$E452&amp;$F452,'Doc Há Pagar | Rodopar 1015'!$B:$B,AB$1)</f>
        <v>1236</v>
      </c>
      <c r="AC452" s="20">
        <f>SUMIFS('Doc''s Pagos | Rodopar 108'!$J:$J,'Doc''s Pagos | Rodopar 108'!$A:$A,$B452&amp;$E452&amp;$F452&amp;$J452,'Doc''s Pagos | Rodopar 108'!$B:$B,AC$1)+SUMIFS('Doc Há Pagar | Rodopar 1015'!$J:$J,'Doc Há Pagar | Rodopar 1015'!$A:$A,$B452&amp;$E452&amp;$F452,'Doc Há Pagar | Rodopar 1015'!$B:$B,AC$1)</f>
        <v>0</v>
      </c>
      <c r="AD452" s="20">
        <f>SUMIFS('Doc''s Pagos | Rodopar 108'!$J:$J,'Doc''s Pagos | Rodopar 108'!$A:$A,$B452&amp;$E452&amp;$F452&amp;$J452,'Doc''s Pagos | Rodopar 108'!$B:$B,AD$1)+SUMIFS('Doc Há Pagar | Rodopar 1015'!$J:$J,'Doc Há Pagar | Rodopar 1015'!$A:$A,$B452&amp;$E452&amp;$F452,'Doc Há Pagar | Rodopar 1015'!$B:$B,AD$1)</f>
        <v>0</v>
      </c>
    </row>
    <row r="453" spans="1:30" x14ac:dyDescent="0.25">
      <c r="A453" s="1" t="str">
        <f>VLOOKUP($E453,Fornecedores!$A:$C,3,0)</f>
        <v>Frota</v>
      </c>
      <c r="B453" s="14">
        <v>1371</v>
      </c>
      <c r="C453" s="14" t="str">
        <f>IFERROR(VLOOKUP($E453,Fornecedores!$A:$E,4,0),"")</f>
        <v>Pneus</v>
      </c>
      <c r="D453" s="14" t="str">
        <f>IFERROR(VLOOKUP($E453,Fornecedores!$A:$E,5,0),"")</f>
        <v>Serviços Gerais</v>
      </c>
      <c r="E453" s="8" t="s">
        <v>164</v>
      </c>
      <c r="F453" s="14" t="s">
        <v>665</v>
      </c>
      <c r="G453" s="8" t="s">
        <v>465</v>
      </c>
      <c r="H453" s="9">
        <v>87</v>
      </c>
      <c r="I453" s="21">
        <v>1884</v>
      </c>
      <c r="J453" s="11">
        <v>46275</v>
      </c>
      <c r="K453" s="11">
        <v>46280</v>
      </c>
      <c r="L453" s="8" t="s">
        <v>282</v>
      </c>
      <c r="M453" s="14" t="s">
        <v>234</v>
      </c>
      <c r="N453" s="16">
        <v>1556</v>
      </c>
      <c r="O453" s="14" t="s">
        <v>241</v>
      </c>
      <c r="P453" s="14"/>
      <c r="Q453" s="20">
        <f t="shared" si="7"/>
        <v>-75.3599999999999</v>
      </c>
      <c r="S453" s="20">
        <f>SUMIFS('Doc''s Pagos | Rodopar 108'!$J:$J,'Doc''s Pagos | Rodopar 108'!$A:$A,$B453&amp;$E453&amp;$F453&amp;$J453,'Doc''s Pagos | Rodopar 108'!$B:$B,S$1)+SUMIFS('Doc Há Pagar | Rodopar 1015'!$J:$J,'Doc Há Pagar | Rodopar 1015'!$A:$A,$B453&amp;$E453&amp;$F453,'Doc Há Pagar | Rodopar 1015'!$B:$B,S$1)</f>
        <v>0</v>
      </c>
      <c r="T453" s="20">
        <f>SUMIFS('Doc''s Pagos | Rodopar 108'!$J:$J,'Doc''s Pagos | Rodopar 108'!$A:$A,$B453&amp;$E453&amp;$F453&amp;$J453,'Doc''s Pagos | Rodopar 108'!$B:$B,T$1)+SUMIFS('Doc Há Pagar | Rodopar 1015'!$J:$J,'Doc Há Pagar | Rodopar 1015'!$A:$A,$B453&amp;$E453&amp;$F453,'Doc Há Pagar | Rodopar 1015'!$B:$B,T$1)</f>
        <v>0</v>
      </c>
      <c r="U453" s="20">
        <f>SUMIFS('Doc''s Pagos | Rodopar 108'!$J:$J,'Doc''s Pagos | Rodopar 108'!$A:$A,$B453&amp;$E453&amp;$F453&amp;$J453,'Doc''s Pagos | Rodopar 108'!$B:$B,U$1)+SUMIFS('Doc Há Pagar | Rodopar 1015'!$J:$J,'Doc Há Pagar | Rodopar 1015'!$A:$A,$B453&amp;$E453&amp;$F453,'Doc Há Pagar | Rodopar 1015'!$B:$B,U$1)</f>
        <v>0</v>
      </c>
      <c r="V453" s="20">
        <f>SUMIFS('Doc''s Pagos | Rodopar 108'!$J:$J,'Doc''s Pagos | Rodopar 108'!$A:$A,$B453&amp;$E453&amp;$F453&amp;$J453,'Doc''s Pagos | Rodopar 108'!$B:$B,V$1)+SUMIFS('Doc Há Pagar | Rodopar 1015'!$J:$J,'Doc Há Pagar | Rodopar 1015'!$A:$A,$B453&amp;$E453&amp;$F453,'Doc Há Pagar | Rodopar 1015'!$B:$B,V$1)</f>
        <v>0</v>
      </c>
      <c r="W453" s="20">
        <f>SUMIFS('Doc''s Pagos | Rodopar 108'!$J:$J,'Doc''s Pagos | Rodopar 108'!$A:$A,$B453&amp;$E453&amp;$F453&amp;$J453,'Doc''s Pagos | Rodopar 108'!$B:$B,W$1)+SUMIFS('Doc Há Pagar | Rodopar 1015'!$J:$J,'Doc Há Pagar | Rodopar 1015'!$A:$A,$B453&amp;$E453&amp;$F453,'Doc Há Pagar | Rodopar 1015'!$B:$B,W$1)</f>
        <v>0</v>
      </c>
      <c r="X453" s="20">
        <f>SUMIFS('Doc''s Pagos | Rodopar 108'!$J:$J,'Doc''s Pagos | Rodopar 108'!$A:$A,$B453&amp;$E453&amp;$F453&amp;$J453,'Doc''s Pagos | Rodopar 108'!$B:$B,X$1)+SUMIFS('Doc Há Pagar | Rodopar 1015'!$J:$J,'Doc Há Pagar | Rodopar 1015'!$A:$A,$B453&amp;$E453&amp;$F453,'Doc Há Pagar | Rodopar 1015'!$B:$B,X$1)</f>
        <v>0</v>
      </c>
      <c r="Y453" s="20">
        <f>SUMIFS('Doc''s Pagos | Rodopar 108'!$J:$J,'Doc''s Pagos | Rodopar 108'!$A:$A,$B453&amp;$E453&amp;$F453&amp;$J453,'Doc''s Pagos | Rodopar 108'!$B:$B,Y$1)+SUMIFS('Doc Há Pagar | Rodopar 1015'!$J:$J,'Doc Há Pagar | Rodopar 1015'!$A:$A,$B453&amp;$E453&amp;$F453,'Doc Há Pagar | Rodopar 1015'!$B:$B,Y$1)</f>
        <v>0</v>
      </c>
      <c r="Z453" s="20">
        <f>SUMIFS('Doc''s Pagos | Rodopar 108'!$J:$J,'Doc''s Pagos | Rodopar 108'!$A:$A,$B453&amp;$E453&amp;$F453&amp;$J453,'Doc''s Pagos | Rodopar 108'!$B:$B,Z$1)+SUMIFS('Doc Há Pagar | Rodopar 1015'!$J:$J,'Doc Há Pagar | Rodopar 1015'!$A:$A,$B453&amp;$E453&amp;$F453,'Doc Há Pagar | Rodopar 1015'!$B:$B,Z$1)</f>
        <v>0</v>
      </c>
      <c r="AA453" s="20">
        <f>SUMIFS('Doc''s Pagos | Rodopar 108'!$J:$J,'Doc''s Pagos | Rodopar 108'!$A:$A,$B453&amp;$E453&amp;$F453&amp;$J453,'Doc''s Pagos | Rodopar 108'!$B:$B,AA$1)+SUMIFS('Doc Há Pagar | Rodopar 1015'!$J:$J,'Doc Há Pagar | Rodopar 1015'!$A:$A,$B453&amp;$E453&amp;$F453,'Doc Há Pagar | Rodopar 1015'!$B:$B,AA$1)</f>
        <v>0</v>
      </c>
      <c r="AB453" s="20">
        <f>SUMIFS('Doc''s Pagos | Rodopar 108'!$J:$J,'Doc''s Pagos | Rodopar 108'!$A:$A,$B453&amp;$E453&amp;$F453&amp;$J453,'Doc''s Pagos | Rodopar 108'!$B:$B,AB$1)+SUMIFS('Doc Há Pagar | Rodopar 1015'!$J:$J,'Doc Há Pagar | Rodopar 1015'!$A:$A,$B453&amp;$E453&amp;$F453,'Doc Há Pagar | Rodopar 1015'!$B:$B,AB$1)</f>
        <v>1808.64</v>
      </c>
      <c r="AC453" s="20">
        <f>SUMIFS('Doc''s Pagos | Rodopar 108'!$J:$J,'Doc''s Pagos | Rodopar 108'!$A:$A,$B453&amp;$E453&amp;$F453&amp;$J453,'Doc''s Pagos | Rodopar 108'!$B:$B,AC$1)+SUMIFS('Doc Há Pagar | Rodopar 1015'!$J:$J,'Doc Há Pagar | Rodopar 1015'!$A:$A,$B453&amp;$E453&amp;$F453,'Doc Há Pagar | Rodopar 1015'!$B:$B,AC$1)</f>
        <v>0</v>
      </c>
      <c r="AD453" s="20">
        <f>SUMIFS('Doc''s Pagos | Rodopar 108'!$J:$J,'Doc''s Pagos | Rodopar 108'!$A:$A,$B453&amp;$E453&amp;$F453&amp;$J453,'Doc''s Pagos | Rodopar 108'!$B:$B,AD$1)+SUMIFS('Doc Há Pagar | Rodopar 1015'!$J:$J,'Doc Há Pagar | Rodopar 1015'!$A:$A,$B453&amp;$E453&amp;$F453,'Doc Há Pagar | Rodopar 1015'!$B:$B,AD$1)</f>
        <v>0</v>
      </c>
    </row>
    <row r="454" spans="1:30" x14ac:dyDescent="0.25">
      <c r="A454" s="1" t="str">
        <f>VLOOKUP($E454,Fornecedores!$A:$C,3,0)</f>
        <v>Frota</v>
      </c>
      <c r="B454" s="14">
        <v>191540</v>
      </c>
      <c r="C454" s="14" t="str">
        <f>IFERROR(VLOOKUP($E454,Fornecedores!$A:$E,4,0),"")</f>
        <v>Manutenção</v>
      </c>
      <c r="D454" s="14" t="str">
        <f>IFERROR(VLOOKUP($E454,Fornecedores!$A:$E,5,0),"")</f>
        <v>Vans</v>
      </c>
      <c r="E454" s="8" t="s">
        <v>132</v>
      </c>
      <c r="F454" s="14" t="s">
        <v>380</v>
      </c>
      <c r="G454" s="8" t="s">
        <v>434</v>
      </c>
      <c r="H454" s="9">
        <v>87</v>
      </c>
      <c r="I454" s="21">
        <v>2455.09</v>
      </c>
      <c r="J454" s="11">
        <v>46276</v>
      </c>
      <c r="K454" s="11">
        <v>46280</v>
      </c>
      <c r="L454" s="8" t="s">
        <v>435</v>
      </c>
      <c r="M454" s="14" t="s">
        <v>234</v>
      </c>
      <c r="N454" s="16">
        <v>1556</v>
      </c>
      <c r="O454" s="14" t="s">
        <v>241</v>
      </c>
      <c r="P454" s="14"/>
      <c r="Q454" s="20">
        <f t="shared" si="7"/>
        <v>0</v>
      </c>
      <c r="S454" s="20">
        <f>SUMIFS('Doc''s Pagos | Rodopar 108'!$J:$J,'Doc''s Pagos | Rodopar 108'!$A:$A,$B454&amp;$E454&amp;$F454&amp;$J454,'Doc''s Pagos | Rodopar 108'!$B:$B,S$1)+SUMIFS('Doc Há Pagar | Rodopar 1015'!$J:$J,'Doc Há Pagar | Rodopar 1015'!$A:$A,$B454&amp;$E454&amp;$F454,'Doc Há Pagar | Rodopar 1015'!$B:$B,S$1)</f>
        <v>0</v>
      </c>
      <c r="T454" s="20">
        <f>SUMIFS('Doc''s Pagos | Rodopar 108'!$J:$J,'Doc''s Pagos | Rodopar 108'!$A:$A,$B454&amp;$E454&amp;$F454&amp;$J454,'Doc''s Pagos | Rodopar 108'!$B:$B,T$1)+SUMIFS('Doc Há Pagar | Rodopar 1015'!$J:$J,'Doc Há Pagar | Rodopar 1015'!$A:$A,$B454&amp;$E454&amp;$F454,'Doc Há Pagar | Rodopar 1015'!$B:$B,T$1)</f>
        <v>0</v>
      </c>
      <c r="U454" s="20">
        <f>SUMIFS('Doc''s Pagos | Rodopar 108'!$J:$J,'Doc''s Pagos | Rodopar 108'!$A:$A,$B454&amp;$E454&amp;$F454&amp;$J454,'Doc''s Pagos | Rodopar 108'!$B:$B,U$1)+SUMIFS('Doc Há Pagar | Rodopar 1015'!$J:$J,'Doc Há Pagar | Rodopar 1015'!$A:$A,$B454&amp;$E454&amp;$F454,'Doc Há Pagar | Rodopar 1015'!$B:$B,U$1)</f>
        <v>0</v>
      </c>
      <c r="V454" s="20">
        <f>SUMIFS('Doc''s Pagos | Rodopar 108'!$J:$J,'Doc''s Pagos | Rodopar 108'!$A:$A,$B454&amp;$E454&amp;$F454&amp;$J454,'Doc''s Pagos | Rodopar 108'!$B:$B,V$1)+SUMIFS('Doc Há Pagar | Rodopar 1015'!$J:$J,'Doc Há Pagar | Rodopar 1015'!$A:$A,$B454&amp;$E454&amp;$F454,'Doc Há Pagar | Rodopar 1015'!$B:$B,V$1)</f>
        <v>0</v>
      </c>
      <c r="W454" s="20">
        <f>SUMIFS('Doc''s Pagos | Rodopar 108'!$J:$J,'Doc''s Pagos | Rodopar 108'!$A:$A,$B454&amp;$E454&amp;$F454&amp;$J454,'Doc''s Pagos | Rodopar 108'!$B:$B,W$1)+SUMIFS('Doc Há Pagar | Rodopar 1015'!$J:$J,'Doc Há Pagar | Rodopar 1015'!$A:$A,$B454&amp;$E454&amp;$F454,'Doc Há Pagar | Rodopar 1015'!$B:$B,W$1)</f>
        <v>0</v>
      </c>
      <c r="X454" s="20">
        <f>SUMIFS('Doc''s Pagos | Rodopar 108'!$J:$J,'Doc''s Pagos | Rodopar 108'!$A:$A,$B454&amp;$E454&amp;$F454&amp;$J454,'Doc''s Pagos | Rodopar 108'!$B:$B,X$1)+SUMIFS('Doc Há Pagar | Rodopar 1015'!$J:$J,'Doc Há Pagar | Rodopar 1015'!$A:$A,$B454&amp;$E454&amp;$F454,'Doc Há Pagar | Rodopar 1015'!$B:$B,X$1)</f>
        <v>0</v>
      </c>
      <c r="Y454" s="20">
        <f>SUMIFS('Doc''s Pagos | Rodopar 108'!$J:$J,'Doc''s Pagos | Rodopar 108'!$A:$A,$B454&amp;$E454&amp;$F454&amp;$J454,'Doc''s Pagos | Rodopar 108'!$B:$B,Y$1)+SUMIFS('Doc Há Pagar | Rodopar 1015'!$J:$J,'Doc Há Pagar | Rodopar 1015'!$A:$A,$B454&amp;$E454&amp;$F454,'Doc Há Pagar | Rodopar 1015'!$B:$B,Y$1)</f>
        <v>0</v>
      </c>
      <c r="Z454" s="20">
        <f>SUMIFS('Doc''s Pagos | Rodopar 108'!$J:$J,'Doc''s Pagos | Rodopar 108'!$A:$A,$B454&amp;$E454&amp;$F454&amp;$J454,'Doc''s Pagos | Rodopar 108'!$B:$B,Z$1)+SUMIFS('Doc Há Pagar | Rodopar 1015'!$J:$J,'Doc Há Pagar | Rodopar 1015'!$A:$A,$B454&amp;$E454&amp;$F454,'Doc Há Pagar | Rodopar 1015'!$B:$B,Z$1)</f>
        <v>0</v>
      </c>
      <c r="AA454" s="20">
        <f>SUMIFS('Doc''s Pagos | Rodopar 108'!$J:$J,'Doc''s Pagos | Rodopar 108'!$A:$A,$B454&amp;$E454&amp;$F454&amp;$J454,'Doc''s Pagos | Rodopar 108'!$B:$B,AA$1)+SUMIFS('Doc Há Pagar | Rodopar 1015'!$J:$J,'Doc Há Pagar | Rodopar 1015'!$A:$A,$B454&amp;$E454&amp;$F454,'Doc Há Pagar | Rodopar 1015'!$B:$B,AA$1)</f>
        <v>0</v>
      </c>
      <c r="AB454" s="20">
        <f>SUMIFS('Doc''s Pagos | Rodopar 108'!$J:$J,'Doc''s Pagos | Rodopar 108'!$A:$A,$B454&amp;$E454&amp;$F454&amp;$J454,'Doc''s Pagos | Rodopar 108'!$B:$B,AB$1)+SUMIFS('Doc Há Pagar | Rodopar 1015'!$J:$J,'Doc Há Pagar | Rodopar 1015'!$A:$A,$B454&amp;$E454&amp;$F454,'Doc Há Pagar | Rodopar 1015'!$B:$B,AB$1)</f>
        <v>2455.09</v>
      </c>
      <c r="AC454" s="20">
        <f>SUMIFS('Doc''s Pagos | Rodopar 108'!$J:$J,'Doc''s Pagos | Rodopar 108'!$A:$A,$B454&amp;$E454&amp;$F454&amp;$J454,'Doc''s Pagos | Rodopar 108'!$B:$B,AC$1)+SUMIFS('Doc Há Pagar | Rodopar 1015'!$J:$J,'Doc Há Pagar | Rodopar 1015'!$A:$A,$B454&amp;$E454&amp;$F454,'Doc Há Pagar | Rodopar 1015'!$B:$B,AC$1)</f>
        <v>0</v>
      </c>
      <c r="AD454" s="20">
        <f>SUMIFS('Doc''s Pagos | Rodopar 108'!$J:$J,'Doc''s Pagos | Rodopar 108'!$A:$A,$B454&amp;$E454&amp;$F454&amp;$J454,'Doc''s Pagos | Rodopar 108'!$B:$B,AD$1)+SUMIFS('Doc Há Pagar | Rodopar 1015'!$J:$J,'Doc Há Pagar | Rodopar 1015'!$A:$A,$B454&amp;$E454&amp;$F454,'Doc Há Pagar | Rodopar 1015'!$B:$B,AD$1)</f>
        <v>0</v>
      </c>
    </row>
    <row r="455" spans="1:30" x14ac:dyDescent="0.25">
      <c r="A455" s="1" t="str">
        <f>VLOOKUP($E455,Fornecedores!$A:$C,3,0)</f>
        <v>Frota</v>
      </c>
      <c r="B455" s="14">
        <v>65</v>
      </c>
      <c r="C455" s="14" t="str">
        <f>IFERROR(VLOOKUP($E455,Fornecedores!$A:$E,4,0),"")</f>
        <v>Manutenção</v>
      </c>
      <c r="D455" s="14" t="str">
        <f>IFERROR(VLOOKUP($E455,Fornecedores!$A:$E,5,0),"")</f>
        <v>Vans</v>
      </c>
      <c r="E455" s="8" t="s">
        <v>132</v>
      </c>
      <c r="F455" s="14" t="s">
        <v>665</v>
      </c>
      <c r="G455" s="8" t="s">
        <v>434</v>
      </c>
      <c r="H455" s="9">
        <v>87</v>
      </c>
      <c r="I455" s="21">
        <v>1404</v>
      </c>
      <c r="J455" s="11">
        <v>46276</v>
      </c>
      <c r="K455" s="11">
        <v>46280</v>
      </c>
      <c r="L455" s="8" t="s">
        <v>435</v>
      </c>
      <c r="M455" s="14" t="s">
        <v>234</v>
      </c>
      <c r="N455" s="16">
        <v>1556</v>
      </c>
      <c r="O455" s="14" t="s">
        <v>241</v>
      </c>
      <c r="P455" s="14"/>
      <c r="Q455" s="20">
        <f t="shared" si="7"/>
        <v>0</v>
      </c>
      <c r="S455" s="20">
        <f>SUMIFS('Doc''s Pagos | Rodopar 108'!$J:$J,'Doc''s Pagos | Rodopar 108'!$A:$A,$B455&amp;$E455&amp;$F455&amp;$J455,'Doc''s Pagos | Rodopar 108'!$B:$B,S$1)+SUMIFS('Doc Há Pagar | Rodopar 1015'!$J:$J,'Doc Há Pagar | Rodopar 1015'!$A:$A,$B455&amp;$E455&amp;$F455,'Doc Há Pagar | Rodopar 1015'!$B:$B,S$1)</f>
        <v>0</v>
      </c>
      <c r="T455" s="20">
        <f>SUMIFS('Doc''s Pagos | Rodopar 108'!$J:$J,'Doc''s Pagos | Rodopar 108'!$A:$A,$B455&amp;$E455&amp;$F455&amp;$J455,'Doc''s Pagos | Rodopar 108'!$B:$B,T$1)+SUMIFS('Doc Há Pagar | Rodopar 1015'!$J:$J,'Doc Há Pagar | Rodopar 1015'!$A:$A,$B455&amp;$E455&amp;$F455,'Doc Há Pagar | Rodopar 1015'!$B:$B,T$1)</f>
        <v>0</v>
      </c>
      <c r="U455" s="20">
        <f>SUMIFS('Doc''s Pagos | Rodopar 108'!$J:$J,'Doc''s Pagos | Rodopar 108'!$A:$A,$B455&amp;$E455&amp;$F455&amp;$J455,'Doc''s Pagos | Rodopar 108'!$B:$B,U$1)+SUMIFS('Doc Há Pagar | Rodopar 1015'!$J:$J,'Doc Há Pagar | Rodopar 1015'!$A:$A,$B455&amp;$E455&amp;$F455,'Doc Há Pagar | Rodopar 1015'!$B:$B,U$1)</f>
        <v>0</v>
      </c>
      <c r="V455" s="20">
        <f>SUMIFS('Doc''s Pagos | Rodopar 108'!$J:$J,'Doc''s Pagos | Rodopar 108'!$A:$A,$B455&amp;$E455&amp;$F455&amp;$J455,'Doc''s Pagos | Rodopar 108'!$B:$B,V$1)+SUMIFS('Doc Há Pagar | Rodopar 1015'!$J:$J,'Doc Há Pagar | Rodopar 1015'!$A:$A,$B455&amp;$E455&amp;$F455,'Doc Há Pagar | Rodopar 1015'!$B:$B,V$1)</f>
        <v>0</v>
      </c>
      <c r="W455" s="20">
        <f>SUMIFS('Doc''s Pagos | Rodopar 108'!$J:$J,'Doc''s Pagos | Rodopar 108'!$A:$A,$B455&amp;$E455&amp;$F455&amp;$J455,'Doc''s Pagos | Rodopar 108'!$B:$B,W$1)+SUMIFS('Doc Há Pagar | Rodopar 1015'!$J:$J,'Doc Há Pagar | Rodopar 1015'!$A:$A,$B455&amp;$E455&amp;$F455,'Doc Há Pagar | Rodopar 1015'!$B:$B,W$1)</f>
        <v>0</v>
      </c>
      <c r="X455" s="20">
        <f>SUMIFS('Doc''s Pagos | Rodopar 108'!$J:$J,'Doc''s Pagos | Rodopar 108'!$A:$A,$B455&amp;$E455&amp;$F455&amp;$J455,'Doc''s Pagos | Rodopar 108'!$B:$B,X$1)+SUMIFS('Doc Há Pagar | Rodopar 1015'!$J:$J,'Doc Há Pagar | Rodopar 1015'!$A:$A,$B455&amp;$E455&amp;$F455,'Doc Há Pagar | Rodopar 1015'!$B:$B,X$1)</f>
        <v>0</v>
      </c>
      <c r="Y455" s="20">
        <f>SUMIFS('Doc''s Pagos | Rodopar 108'!$J:$J,'Doc''s Pagos | Rodopar 108'!$A:$A,$B455&amp;$E455&amp;$F455&amp;$J455,'Doc''s Pagos | Rodopar 108'!$B:$B,Y$1)+SUMIFS('Doc Há Pagar | Rodopar 1015'!$J:$J,'Doc Há Pagar | Rodopar 1015'!$A:$A,$B455&amp;$E455&amp;$F455,'Doc Há Pagar | Rodopar 1015'!$B:$B,Y$1)</f>
        <v>0</v>
      </c>
      <c r="Z455" s="20">
        <f>SUMIFS('Doc''s Pagos | Rodopar 108'!$J:$J,'Doc''s Pagos | Rodopar 108'!$A:$A,$B455&amp;$E455&amp;$F455&amp;$J455,'Doc''s Pagos | Rodopar 108'!$B:$B,Z$1)+SUMIFS('Doc Há Pagar | Rodopar 1015'!$J:$J,'Doc Há Pagar | Rodopar 1015'!$A:$A,$B455&amp;$E455&amp;$F455,'Doc Há Pagar | Rodopar 1015'!$B:$B,Z$1)</f>
        <v>0</v>
      </c>
      <c r="AA455" s="20">
        <f>SUMIFS('Doc''s Pagos | Rodopar 108'!$J:$J,'Doc''s Pagos | Rodopar 108'!$A:$A,$B455&amp;$E455&amp;$F455&amp;$J455,'Doc''s Pagos | Rodopar 108'!$B:$B,AA$1)+SUMIFS('Doc Há Pagar | Rodopar 1015'!$J:$J,'Doc Há Pagar | Rodopar 1015'!$A:$A,$B455&amp;$E455&amp;$F455,'Doc Há Pagar | Rodopar 1015'!$B:$B,AA$1)</f>
        <v>0</v>
      </c>
      <c r="AB455" s="20">
        <f>SUMIFS('Doc''s Pagos | Rodopar 108'!$J:$J,'Doc''s Pagos | Rodopar 108'!$A:$A,$B455&amp;$E455&amp;$F455&amp;$J455,'Doc''s Pagos | Rodopar 108'!$B:$B,AB$1)+SUMIFS('Doc Há Pagar | Rodopar 1015'!$J:$J,'Doc Há Pagar | Rodopar 1015'!$A:$A,$B455&amp;$E455&amp;$F455,'Doc Há Pagar | Rodopar 1015'!$B:$B,AB$1)</f>
        <v>1404</v>
      </c>
      <c r="AC455" s="20">
        <f>SUMIFS('Doc''s Pagos | Rodopar 108'!$J:$J,'Doc''s Pagos | Rodopar 108'!$A:$A,$B455&amp;$E455&amp;$F455&amp;$J455,'Doc''s Pagos | Rodopar 108'!$B:$B,AC$1)+SUMIFS('Doc Há Pagar | Rodopar 1015'!$J:$J,'Doc Há Pagar | Rodopar 1015'!$A:$A,$B455&amp;$E455&amp;$F455,'Doc Há Pagar | Rodopar 1015'!$B:$B,AC$1)</f>
        <v>0</v>
      </c>
      <c r="AD455" s="20">
        <f>SUMIFS('Doc''s Pagos | Rodopar 108'!$J:$J,'Doc''s Pagos | Rodopar 108'!$A:$A,$B455&amp;$E455&amp;$F455&amp;$J455,'Doc''s Pagos | Rodopar 108'!$B:$B,AD$1)+SUMIFS('Doc Há Pagar | Rodopar 1015'!$J:$J,'Doc Há Pagar | Rodopar 1015'!$A:$A,$B455&amp;$E455&amp;$F455,'Doc Há Pagar | Rodopar 1015'!$B:$B,AD$1)</f>
        <v>0</v>
      </c>
    </row>
    <row r="456" spans="1:30" x14ac:dyDescent="0.25">
      <c r="A456" s="1" t="str">
        <f>VLOOKUP($E456,Fornecedores!$A:$C,3,0)</f>
        <v>Frota</v>
      </c>
      <c r="B456" s="14">
        <v>1763318</v>
      </c>
      <c r="C456" s="14" t="str">
        <f>IFERROR(VLOOKUP($E456,Fornecedores!$A:$E,4,0),"")</f>
        <v>MTSR</v>
      </c>
      <c r="D456" s="14" t="str">
        <f>IFERROR(VLOOKUP($E456,Fornecedores!$A:$E,5,0),"")</f>
        <v>Tecnologia</v>
      </c>
      <c r="E456" s="8" t="s">
        <v>191</v>
      </c>
      <c r="F456" s="14" t="s">
        <v>665</v>
      </c>
      <c r="G456" s="8" t="s">
        <v>722</v>
      </c>
      <c r="H456" s="9">
        <v>87</v>
      </c>
      <c r="I456" s="21">
        <v>1614.59</v>
      </c>
      <c r="J456" s="11">
        <v>46279</v>
      </c>
      <c r="K456" s="11">
        <v>46280</v>
      </c>
      <c r="L456" s="8" t="s">
        <v>723</v>
      </c>
      <c r="M456" s="14" t="s">
        <v>684</v>
      </c>
      <c r="N456" s="16">
        <v>2556</v>
      </c>
      <c r="O456" s="14" t="s">
        <v>241</v>
      </c>
      <c r="P456" s="14"/>
      <c r="Q456" s="20">
        <f t="shared" si="7"/>
        <v>0</v>
      </c>
      <c r="S456" s="20">
        <f>SUMIFS('Doc''s Pagos | Rodopar 108'!$J:$J,'Doc''s Pagos | Rodopar 108'!$A:$A,$B456&amp;$E456&amp;$F456&amp;$J456,'Doc''s Pagos | Rodopar 108'!$B:$B,S$1)+SUMIFS('Doc Há Pagar | Rodopar 1015'!$J:$J,'Doc Há Pagar | Rodopar 1015'!$A:$A,$B456&amp;$E456&amp;$F456,'Doc Há Pagar | Rodopar 1015'!$B:$B,S$1)</f>
        <v>0</v>
      </c>
      <c r="T456" s="20">
        <f>SUMIFS('Doc''s Pagos | Rodopar 108'!$J:$J,'Doc''s Pagos | Rodopar 108'!$A:$A,$B456&amp;$E456&amp;$F456&amp;$J456,'Doc''s Pagos | Rodopar 108'!$B:$B,T$1)+SUMIFS('Doc Há Pagar | Rodopar 1015'!$J:$J,'Doc Há Pagar | Rodopar 1015'!$A:$A,$B456&amp;$E456&amp;$F456,'Doc Há Pagar | Rodopar 1015'!$B:$B,T$1)</f>
        <v>0</v>
      </c>
      <c r="U456" s="20">
        <f>SUMIFS('Doc''s Pagos | Rodopar 108'!$J:$J,'Doc''s Pagos | Rodopar 108'!$A:$A,$B456&amp;$E456&amp;$F456&amp;$J456,'Doc''s Pagos | Rodopar 108'!$B:$B,U$1)+SUMIFS('Doc Há Pagar | Rodopar 1015'!$J:$J,'Doc Há Pagar | Rodopar 1015'!$A:$A,$B456&amp;$E456&amp;$F456,'Doc Há Pagar | Rodopar 1015'!$B:$B,U$1)</f>
        <v>0</v>
      </c>
      <c r="V456" s="20">
        <f>SUMIFS('Doc''s Pagos | Rodopar 108'!$J:$J,'Doc''s Pagos | Rodopar 108'!$A:$A,$B456&amp;$E456&amp;$F456&amp;$J456,'Doc''s Pagos | Rodopar 108'!$B:$B,V$1)+SUMIFS('Doc Há Pagar | Rodopar 1015'!$J:$J,'Doc Há Pagar | Rodopar 1015'!$A:$A,$B456&amp;$E456&amp;$F456,'Doc Há Pagar | Rodopar 1015'!$B:$B,V$1)</f>
        <v>0</v>
      </c>
      <c r="W456" s="20">
        <f>SUMIFS('Doc''s Pagos | Rodopar 108'!$J:$J,'Doc''s Pagos | Rodopar 108'!$A:$A,$B456&amp;$E456&amp;$F456&amp;$J456,'Doc''s Pagos | Rodopar 108'!$B:$B,W$1)+SUMIFS('Doc Há Pagar | Rodopar 1015'!$J:$J,'Doc Há Pagar | Rodopar 1015'!$A:$A,$B456&amp;$E456&amp;$F456,'Doc Há Pagar | Rodopar 1015'!$B:$B,W$1)</f>
        <v>0</v>
      </c>
      <c r="X456" s="20">
        <f>SUMIFS('Doc''s Pagos | Rodopar 108'!$J:$J,'Doc''s Pagos | Rodopar 108'!$A:$A,$B456&amp;$E456&amp;$F456&amp;$J456,'Doc''s Pagos | Rodopar 108'!$B:$B,X$1)+SUMIFS('Doc Há Pagar | Rodopar 1015'!$J:$J,'Doc Há Pagar | Rodopar 1015'!$A:$A,$B456&amp;$E456&amp;$F456,'Doc Há Pagar | Rodopar 1015'!$B:$B,X$1)</f>
        <v>0</v>
      </c>
      <c r="Y456" s="20">
        <f>SUMIFS('Doc''s Pagos | Rodopar 108'!$J:$J,'Doc''s Pagos | Rodopar 108'!$A:$A,$B456&amp;$E456&amp;$F456&amp;$J456,'Doc''s Pagos | Rodopar 108'!$B:$B,Y$1)+SUMIFS('Doc Há Pagar | Rodopar 1015'!$J:$J,'Doc Há Pagar | Rodopar 1015'!$A:$A,$B456&amp;$E456&amp;$F456,'Doc Há Pagar | Rodopar 1015'!$B:$B,Y$1)</f>
        <v>0</v>
      </c>
      <c r="Z456" s="20">
        <f>SUMIFS('Doc''s Pagos | Rodopar 108'!$J:$J,'Doc''s Pagos | Rodopar 108'!$A:$A,$B456&amp;$E456&amp;$F456&amp;$J456,'Doc''s Pagos | Rodopar 108'!$B:$B,Z$1)+SUMIFS('Doc Há Pagar | Rodopar 1015'!$J:$J,'Doc Há Pagar | Rodopar 1015'!$A:$A,$B456&amp;$E456&amp;$F456,'Doc Há Pagar | Rodopar 1015'!$B:$B,Z$1)</f>
        <v>0</v>
      </c>
      <c r="AA456" s="20">
        <f>SUMIFS('Doc''s Pagos | Rodopar 108'!$J:$J,'Doc''s Pagos | Rodopar 108'!$A:$A,$B456&amp;$E456&amp;$F456&amp;$J456,'Doc''s Pagos | Rodopar 108'!$B:$B,AA$1)+SUMIFS('Doc Há Pagar | Rodopar 1015'!$J:$J,'Doc Há Pagar | Rodopar 1015'!$A:$A,$B456&amp;$E456&amp;$F456,'Doc Há Pagar | Rodopar 1015'!$B:$B,AA$1)</f>
        <v>0</v>
      </c>
      <c r="AB456" s="20">
        <f>SUMIFS('Doc''s Pagos | Rodopar 108'!$J:$J,'Doc''s Pagos | Rodopar 108'!$A:$A,$B456&amp;$E456&amp;$F456&amp;$J456,'Doc''s Pagos | Rodopar 108'!$B:$B,AB$1)+SUMIFS('Doc Há Pagar | Rodopar 1015'!$J:$J,'Doc Há Pagar | Rodopar 1015'!$A:$A,$B456&amp;$E456&amp;$F456,'Doc Há Pagar | Rodopar 1015'!$B:$B,AB$1)</f>
        <v>1614.59</v>
      </c>
      <c r="AC456" s="20">
        <f>SUMIFS('Doc''s Pagos | Rodopar 108'!$J:$J,'Doc''s Pagos | Rodopar 108'!$A:$A,$B456&amp;$E456&amp;$F456&amp;$J456,'Doc''s Pagos | Rodopar 108'!$B:$B,AC$1)+SUMIFS('Doc Há Pagar | Rodopar 1015'!$J:$J,'Doc Há Pagar | Rodopar 1015'!$A:$A,$B456&amp;$E456&amp;$F456,'Doc Há Pagar | Rodopar 1015'!$B:$B,AC$1)</f>
        <v>0</v>
      </c>
      <c r="AD456" s="20">
        <f>SUMIFS('Doc''s Pagos | Rodopar 108'!$J:$J,'Doc''s Pagos | Rodopar 108'!$A:$A,$B456&amp;$E456&amp;$F456&amp;$J456,'Doc''s Pagos | Rodopar 108'!$B:$B,AD$1)+SUMIFS('Doc Há Pagar | Rodopar 1015'!$J:$J,'Doc Há Pagar | Rodopar 1015'!$A:$A,$B456&amp;$E456&amp;$F456,'Doc Há Pagar | Rodopar 1015'!$B:$B,AD$1)</f>
        <v>0</v>
      </c>
    </row>
    <row r="457" spans="1:30" x14ac:dyDescent="0.25">
      <c r="A457" s="1" t="str">
        <f>VLOOKUP($E457,Fornecedores!$A:$C,3,0)</f>
        <v>Frota</v>
      </c>
      <c r="B457" s="14">
        <v>3490795</v>
      </c>
      <c r="C457" s="14" t="str">
        <f>IFERROR(VLOOKUP($E457,Fornecedores!$A:$E,4,0),"")</f>
        <v>MTSR</v>
      </c>
      <c r="D457" s="14" t="str">
        <f>IFERROR(VLOOKUP($E457,Fornecedores!$A:$E,5,0),"")</f>
        <v>Tecnologia</v>
      </c>
      <c r="E457" s="8" t="s">
        <v>192</v>
      </c>
      <c r="F457" s="14" t="s">
        <v>665</v>
      </c>
      <c r="G457" s="8" t="s">
        <v>837</v>
      </c>
      <c r="H457" s="9">
        <v>87</v>
      </c>
      <c r="I457" s="21">
        <v>9137.4699999999993</v>
      </c>
      <c r="J457" s="11">
        <v>46279</v>
      </c>
      <c r="K457" s="11">
        <v>46280</v>
      </c>
      <c r="L457" s="8" t="s">
        <v>723</v>
      </c>
      <c r="M457" s="14" t="s">
        <v>684</v>
      </c>
      <c r="N457" s="16">
        <v>2556</v>
      </c>
      <c r="O457" s="14" t="s">
        <v>241</v>
      </c>
      <c r="P457" s="14"/>
      <c r="Q457" s="20">
        <f t="shared" si="7"/>
        <v>0</v>
      </c>
      <c r="S457" s="20">
        <f>SUMIFS('Doc''s Pagos | Rodopar 108'!$J:$J,'Doc''s Pagos | Rodopar 108'!$A:$A,$B457&amp;$E457&amp;$F457&amp;$J457,'Doc''s Pagos | Rodopar 108'!$B:$B,S$1)+SUMIFS('Doc Há Pagar | Rodopar 1015'!$J:$J,'Doc Há Pagar | Rodopar 1015'!$A:$A,$B457&amp;$E457&amp;$F457,'Doc Há Pagar | Rodopar 1015'!$B:$B,S$1)</f>
        <v>0</v>
      </c>
      <c r="T457" s="20">
        <f>SUMIFS('Doc''s Pagos | Rodopar 108'!$J:$J,'Doc''s Pagos | Rodopar 108'!$A:$A,$B457&amp;$E457&amp;$F457&amp;$J457,'Doc''s Pagos | Rodopar 108'!$B:$B,T$1)+SUMIFS('Doc Há Pagar | Rodopar 1015'!$J:$J,'Doc Há Pagar | Rodopar 1015'!$A:$A,$B457&amp;$E457&amp;$F457,'Doc Há Pagar | Rodopar 1015'!$B:$B,T$1)</f>
        <v>0</v>
      </c>
      <c r="U457" s="20">
        <f>SUMIFS('Doc''s Pagos | Rodopar 108'!$J:$J,'Doc''s Pagos | Rodopar 108'!$A:$A,$B457&amp;$E457&amp;$F457&amp;$J457,'Doc''s Pagos | Rodopar 108'!$B:$B,U$1)+SUMIFS('Doc Há Pagar | Rodopar 1015'!$J:$J,'Doc Há Pagar | Rodopar 1015'!$A:$A,$B457&amp;$E457&amp;$F457,'Doc Há Pagar | Rodopar 1015'!$B:$B,U$1)</f>
        <v>0</v>
      </c>
      <c r="V457" s="20">
        <f>SUMIFS('Doc''s Pagos | Rodopar 108'!$J:$J,'Doc''s Pagos | Rodopar 108'!$A:$A,$B457&amp;$E457&amp;$F457&amp;$J457,'Doc''s Pagos | Rodopar 108'!$B:$B,V$1)+SUMIFS('Doc Há Pagar | Rodopar 1015'!$J:$J,'Doc Há Pagar | Rodopar 1015'!$A:$A,$B457&amp;$E457&amp;$F457,'Doc Há Pagar | Rodopar 1015'!$B:$B,V$1)</f>
        <v>0</v>
      </c>
      <c r="W457" s="20">
        <f>SUMIFS('Doc''s Pagos | Rodopar 108'!$J:$J,'Doc''s Pagos | Rodopar 108'!$A:$A,$B457&amp;$E457&amp;$F457&amp;$J457,'Doc''s Pagos | Rodopar 108'!$B:$B,W$1)+SUMIFS('Doc Há Pagar | Rodopar 1015'!$J:$J,'Doc Há Pagar | Rodopar 1015'!$A:$A,$B457&amp;$E457&amp;$F457,'Doc Há Pagar | Rodopar 1015'!$B:$B,W$1)</f>
        <v>0</v>
      </c>
      <c r="X457" s="20">
        <f>SUMIFS('Doc''s Pagos | Rodopar 108'!$J:$J,'Doc''s Pagos | Rodopar 108'!$A:$A,$B457&amp;$E457&amp;$F457&amp;$J457,'Doc''s Pagos | Rodopar 108'!$B:$B,X$1)+SUMIFS('Doc Há Pagar | Rodopar 1015'!$J:$J,'Doc Há Pagar | Rodopar 1015'!$A:$A,$B457&amp;$E457&amp;$F457,'Doc Há Pagar | Rodopar 1015'!$B:$B,X$1)</f>
        <v>0</v>
      </c>
      <c r="Y457" s="20">
        <f>SUMIFS('Doc''s Pagos | Rodopar 108'!$J:$J,'Doc''s Pagos | Rodopar 108'!$A:$A,$B457&amp;$E457&amp;$F457&amp;$J457,'Doc''s Pagos | Rodopar 108'!$B:$B,Y$1)+SUMIFS('Doc Há Pagar | Rodopar 1015'!$J:$J,'Doc Há Pagar | Rodopar 1015'!$A:$A,$B457&amp;$E457&amp;$F457,'Doc Há Pagar | Rodopar 1015'!$B:$B,Y$1)</f>
        <v>0</v>
      </c>
      <c r="Z457" s="20">
        <f>SUMIFS('Doc''s Pagos | Rodopar 108'!$J:$J,'Doc''s Pagos | Rodopar 108'!$A:$A,$B457&amp;$E457&amp;$F457&amp;$J457,'Doc''s Pagos | Rodopar 108'!$B:$B,Z$1)+SUMIFS('Doc Há Pagar | Rodopar 1015'!$J:$J,'Doc Há Pagar | Rodopar 1015'!$A:$A,$B457&amp;$E457&amp;$F457,'Doc Há Pagar | Rodopar 1015'!$B:$B,Z$1)</f>
        <v>0</v>
      </c>
      <c r="AA457" s="20">
        <f>SUMIFS('Doc''s Pagos | Rodopar 108'!$J:$J,'Doc''s Pagos | Rodopar 108'!$A:$A,$B457&amp;$E457&amp;$F457&amp;$J457,'Doc''s Pagos | Rodopar 108'!$B:$B,AA$1)+SUMIFS('Doc Há Pagar | Rodopar 1015'!$J:$J,'Doc Há Pagar | Rodopar 1015'!$A:$A,$B457&amp;$E457&amp;$F457,'Doc Há Pagar | Rodopar 1015'!$B:$B,AA$1)</f>
        <v>0</v>
      </c>
      <c r="AB457" s="20">
        <f>SUMIFS('Doc''s Pagos | Rodopar 108'!$J:$J,'Doc''s Pagos | Rodopar 108'!$A:$A,$B457&amp;$E457&amp;$F457&amp;$J457,'Doc''s Pagos | Rodopar 108'!$B:$B,AB$1)+SUMIFS('Doc Há Pagar | Rodopar 1015'!$J:$J,'Doc Há Pagar | Rodopar 1015'!$A:$A,$B457&amp;$E457&amp;$F457,'Doc Há Pagar | Rodopar 1015'!$B:$B,AB$1)</f>
        <v>9137.4699999999993</v>
      </c>
      <c r="AC457" s="20">
        <f>SUMIFS('Doc''s Pagos | Rodopar 108'!$J:$J,'Doc''s Pagos | Rodopar 108'!$A:$A,$B457&amp;$E457&amp;$F457&amp;$J457,'Doc''s Pagos | Rodopar 108'!$B:$B,AC$1)+SUMIFS('Doc Há Pagar | Rodopar 1015'!$J:$J,'Doc Há Pagar | Rodopar 1015'!$A:$A,$B457&amp;$E457&amp;$F457,'Doc Há Pagar | Rodopar 1015'!$B:$B,AC$1)</f>
        <v>0</v>
      </c>
      <c r="AD457" s="20">
        <f>SUMIFS('Doc''s Pagos | Rodopar 108'!$J:$J,'Doc''s Pagos | Rodopar 108'!$A:$A,$B457&amp;$E457&amp;$F457&amp;$J457,'Doc''s Pagos | Rodopar 108'!$B:$B,AD$1)+SUMIFS('Doc Há Pagar | Rodopar 1015'!$J:$J,'Doc Há Pagar | Rodopar 1015'!$A:$A,$B457&amp;$E457&amp;$F457,'Doc Há Pagar | Rodopar 1015'!$B:$B,AD$1)</f>
        <v>0</v>
      </c>
    </row>
    <row r="458" spans="1:30" x14ac:dyDescent="0.25">
      <c r="A458" s="1" t="str">
        <f>VLOOKUP($E458,Fornecedores!$A:$C,3,0)</f>
        <v>Frota</v>
      </c>
      <c r="B458" s="14" t="s">
        <v>300</v>
      </c>
      <c r="C458" s="14" t="str">
        <f>IFERROR(VLOOKUP($E458,Fornecedores!$A:$E,4,0),"")</f>
        <v>OPE Merchandising</v>
      </c>
      <c r="D458" s="14" t="str">
        <f>IFERROR(VLOOKUP($E458,Fornecedores!$A:$E,5,0),"")</f>
        <v>Locação</v>
      </c>
      <c r="E458" s="8" t="s">
        <v>112</v>
      </c>
      <c r="F458" s="14" t="s">
        <v>232</v>
      </c>
      <c r="G458" s="8" t="s">
        <v>289</v>
      </c>
      <c r="H458" s="9">
        <v>87</v>
      </c>
      <c r="I458" s="21">
        <v>37548</v>
      </c>
      <c r="J458" s="11">
        <v>46280</v>
      </c>
      <c r="K458" s="11">
        <v>46286</v>
      </c>
      <c r="L458" s="8" t="s">
        <v>233</v>
      </c>
      <c r="M458" s="14" t="s">
        <v>234</v>
      </c>
      <c r="N458" s="16">
        <v>1556</v>
      </c>
      <c r="O458" s="14" t="s">
        <v>241</v>
      </c>
      <c r="P458" s="14"/>
      <c r="Q458" s="20">
        <f t="shared" si="7"/>
        <v>0</v>
      </c>
      <c r="S458" s="20">
        <f>SUMIFS('Doc''s Pagos | Rodopar 108'!$J:$J,'Doc''s Pagos | Rodopar 108'!$A:$A,$B458&amp;$E458&amp;$F458&amp;$J458,'Doc''s Pagos | Rodopar 108'!$B:$B,S$1)+SUMIFS('Doc Há Pagar | Rodopar 1015'!$J:$J,'Doc Há Pagar | Rodopar 1015'!$A:$A,$B458&amp;$E458&amp;$F458,'Doc Há Pagar | Rodopar 1015'!$B:$B,S$1)</f>
        <v>0</v>
      </c>
      <c r="T458" s="20">
        <f>SUMIFS('Doc''s Pagos | Rodopar 108'!$J:$J,'Doc''s Pagos | Rodopar 108'!$A:$A,$B458&amp;$E458&amp;$F458&amp;$J458,'Doc''s Pagos | Rodopar 108'!$B:$B,T$1)+SUMIFS('Doc Há Pagar | Rodopar 1015'!$J:$J,'Doc Há Pagar | Rodopar 1015'!$A:$A,$B458&amp;$E458&amp;$F458,'Doc Há Pagar | Rodopar 1015'!$B:$B,T$1)</f>
        <v>0</v>
      </c>
      <c r="U458" s="20">
        <f>SUMIFS('Doc''s Pagos | Rodopar 108'!$J:$J,'Doc''s Pagos | Rodopar 108'!$A:$A,$B458&amp;$E458&amp;$F458&amp;$J458,'Doc''s Pagos | Rodopar 108'!$B:$B,U$1)+SUMIFS('Doc Há Pagar | Rodopar 1015'!$J:$J,'Doc Há Pagar | Rodopar 1015'!$A:$A,$B458&amp;$E458&amp;$F458,'Doc Há Pagar | Rodopar 1015'!$B:$B,U$1)</f>
        <v>0</v>
      </c>
      <c r="V458" s="20">
        <f>SUMIFS('Doc''s Pagos | Rodopar 108'!$J:$J,'Doc''s Pagos | Rodopar 108'!$A:$A,$B458&amp;$E458&amp;$F458&amp;$J458,'Doc''s Pagos | Rodopar 108'!$B:$B,V$1)+SUMIFS('Doc Há Pagar | Rodopar 1015'!$J:$J,'Doc Há Pagar | Rodopar 1015'!$A:$A,$B458&amp;$E458&amp;$F458,'Doc Há Pagar | Rodopar 1015'!$B:$B,V$1)</f>
        <v>0</v>
      </c>
      <c r="W458" s="20">
        <f>SUMIFS('Doc''s Pagos | Rodopar 108'!$J:$J,'Doc''s Pagos | Rodopar 108'!$A:$A,$B458&amp;$E458&amp;$F458&amp;$J458,'Doc''s Pagos | Rodopar 108'!$B:$B,W$1)+SUMIFS('Doc Há Pagar | Rodopar 1015'!$J:$J,'Doc Há Pagar | Rodopar 1015'!$A:$A,$B458&amp;$E458&amp;$F458,'Doc Há Pagar | Rodopar 1015'!$B:$B,W$1)</f>
        <v>0</v>
      </c>
      <c r="X458" s="20">
        <f>SUMIFS('Doc''s Pagos | Rodopar 108'!$J:$J,'Doc''s Pagos | Rodopar 108'!$A:$A,$B458&amp;$E458&amp;$F458&amp;$J458,'Doc''s Pagos | Rodopar 108'!$B:$B,X$1)+SUMIFS('Doc Há Pagar | Rodopar 1015'!$J:$J,'Doc Há Pagar | Rodopar 1015'!$A:$A,$B458&amp;$E458&amp;$F458,'Doc Há Pagar | Rodopar 1015'!$B:$B,X$1)</f>
        <v>0</v>
      </c>
      <c r="Y458" s="20">
        <f>SUMIFS('Doc''s Pagos | Rodopar 108'!$J:$J,'Doc''s Pagos | Rodopar 108'!$A:$A,$B458&amp;$E458&amp;$F458&amp;$J458,'Doc''s Pagos | Rodopar 108'!$B:$B,Y$1)+SUMIFS('Doc Há Pagar | Rodopar 1015'!$J:$J,'Doc Há Pagar | Rodopar 1015'!$A:$A,$B458&amp;$E458&amp;$F458,'Doc Há Pagar | Rodopar 1015'!$B:$B,Y$1)</f>
        <v>0</v>
      </c>
      <c r="Z458" s="20">
        <f>SUMIFS('Doc''s Pagos | Rodopar 108'!$J:$J,'Doc''s Pagos | Rodopar 108'!$A:$A,$B458&amp;$E458&amp;$F458&amp;$J458,'Doc''s Pagos | Rodopar 108'!$B:$B,Z$1)+SUMIFS('Doc Há Pagar | Rodopar 1015'!$J:$J,'Doc Há Pagar | Rodopar 1015'!$A:$A,$B458&amp;$E458&amp;$F458,'Doc Há Pagar | Rodopar 1015'!$B:$B,Z$1)</f>
        <v>0</v>
      </c>
      <c r="AA458" s="20">
        <f>SUMIFS('Doc''s Pagos | Rodopar 108'!$J:$J,'Doc''s Pagos | Rodopar 108'!$A:$A,$B458&amp;$E458&amp;$F458&amp;$J458,'Doc''s Pagos | Rodopar 108'!$B:$B,AA$1)+SUMIFS('Doc Há Pagar | Rodopar 1015'!$J:$J,'Doc Há Pagar | Rodopar 1015'!$A:$A,$B458&amp;$E458&amp;$F458,'Doc Há Pagar | Rodopar 1015'!$B:$B,AA$1)</f>
        <v>37548</v>
      </c>
      <c r="AB458" s="20">
        <f>SUMIFS('Doc''s Pagos | Rodopar 108'!$J:$J,'Doc''s Pagos | Rodopar 108'!$A:$A,$B458&amp;$E458&amp;$F458&amp;$J458,'Doc''s Pagos | Rodopar 108'!$B:$B,AB$1)+SUMIFS('Doc Há Pagar | Rodopar 1015'!$J:$J,'Doc Há Pagar | Rodopar 1015'!$A:$A,$B458&amp;$E458&amp;$F458,'Doc Há Pagar | Rodopar 1015'!$B:$B,AB$1)</f>
        <v>0</v>
      </c>
      <c r="AC458" s="20">
        <f>SUMIFS('Doc''s Pagos | Rodopar 108'!$J:$J,'Doc''s Pagos | Rodopar 108'!$A:$A,$B458&amp;$E458&amp;$F458&amp;$J458,'Doc''s Pagos | Rodopar 108'!$B:$B,AC$1)+SUMIFS('Doc Há Pagar | Rodopar 1015'!$J:$J,'Doc Há Pagar | Rodopar 1015'!$A:$A,$B458&amp;$E458&amp;$F458,'Doc Há Pagar | Rodopar 1015'!$B:$B,AC$1)</f>
        <v>0</v>
      </c>
      <c r="AD458" s="20">
        <f>SUMIFS('Doc''s Pagos | Rodopar 108'!$J:$J,'Doc''s Pagos | Rodopar 108'!$A:$A,$B458&amp;$E458&amp;$F458&amp;$J458,'Doc''s Pagos | Rodopar 108'!$B:$B,AD$1)+SUMIFS('Doc Há Pagar | Rodopar 1015'!$J:$J,'Doc Há Pagar | Rodopar 1015'!$A:$A,$B458&amp;$E458&amp;$F458,'Doc Há Pagar | Rodopar 1015'!$B:$B,AD$1)</f>
        <v>0</v>
      </c>
    </row>
    <row r="459" spans="1:30" x14ac:dyDescent="0.25">
      <c r="A459" s="1" t="str">
        <f>VLOOKUP($E459,Fornecedores!$A:$C,3,0)</f>
        <v>Frota</v>
      </c>
      <c r="B459" s="14">
        <v>36</v>
      </c>
      <c r="C459" s="14" t="str">
        <f>IFERROR(VLOOKUP($E459,Fornecedores!$A:$E,4,0),"")</f>
        <v>Manutenção</v>
      </c>
      <c r="D459" s="14" t="str">
        <f>IFERROR(VLOOKUP($E459,Fornecedores!$A:$E,5,0),"")</f>
        <v>Vans</v>
      </c>
      <c r="E459" s="8" t="s">
        <v>205</v>
      </c>
      <c r="F459" s="14" t="s">
        <v>380</v>
      </c>
      <c r="G459" s="8" t="s">
        <v>485</v>
      </c>
      <c r="H459" s="9">
        <v>87</v>
      </c>
      <c r="I459" s="21">
        <v>2220</v>
      </c>
      <c r="J459" s="11">
        <v>46280</v>
      </c>
      <c r="K459" s="11">
        <v>46283</v>
      </c>
      <c r="L459" s="8" t="s">
        <v>282</v>
      </c>
      <c r="M459" s="14" t="s">
        <v>234</v>
      </c>
      <c r="N459" s="16">
        <v>1556</v>
      </c>
      <c r="O459" s="14" t="s">
        <v>250</v>
      </c>
      <c r="P459" s="14"/>
      <c r="Q459" s="20">
        <f t="shared" si="7"/>
        <v>0</v>
      </c>
      <c r="S459" s="20">
        <f>SUMIFS('Doc''s Pagos | Rodopar 108'!$J:$J,'Doc''s Pagos | Rodopar 108'!$A:$A,$B459&amp;$E459&amp;$F459&amp;$J459,'Doc''s Pagos | Rodopar 108'!$B:$B,S$1)+SUMIFS('Doc Há Pagar | Rodopar 1015'!$J:$J,'Doc Há Pagar | Rodopar 1015'!$A:$A,$B459&amp;$E459&amp;$F459,'Doc Há Pagar | Rodopar 1015'!$B:$B,S$1)</f>
        <v>0</v>
      </c>
      <c r="T459" s="20">
        <f>SUMIFS('Doc''s Pagos | Rodopar 108'!$J:$J,'Doc''s Pagos | Rodopar 108'!$A:$A,$B459&amp;$E459&amp;$F459&amp;$J459,'Doc''s Pagos | Rodopar 108'!$B:$B,T$1)+SUMIFS('Doc Há Pagar | Rodopar 1015'!$J:$J,'Doc Há Pagar | Rodopar 1015'!$A:$A,$B459&amp;$E459&amp;$F459,'Doc Há Pagar | Rodopar 1015'!$B:$B,T$1)</f>
        <v>0</v>
      </c>
      <c r="U459" s="20">
        <f>SUMIFS('Doc''s Pagos | Rodopar 108'!$J:$J,'Doc''s Pagos | Rodopar 108'!$A:$A,$B459&amp;$E459&amp;$F459&amp;$J459,'Doc''s Pagos | Rodopar 108'!$B:$B,U$1)+SUMIFS('Doc Há Pagar | Rodopar 1015'!$J:$J,'Doc Há Pagar | Rodopar 1015'!$A:$A,$B459&amp;$E459&amp;$F459,'Doc Há Pagar | Rodopar 1015'!$B:$B,U$1)</f>
        <v>0</v>
      </c>
      <c r="V459" s="20">
        <f>SUMIFS('Doc''s Pagos | Rodopar 108'!$J:$J,'Doc''s Pagos | Rodopar 108'!$A:$A,$B459&amp;$E459&amp;$F459&amp;$J459,'Doc''s Pagos | Rodopar 108'!$B:$B,V$1)+SUMIFS('Doc Há Pagar | Rodopar 1015'!$J:$J,'Doc Há Pagar | Rodopar 1015'!$A:$A,$B459&amp;$E459&amp;$F459,'Doc Há Pagar | Rodopar 1015'!$B:$B,V$1)</f>
        <v>0</v>
      </c>
      <c r="W459" s="20">
        <f>SUMIFS('Doc''s Pagos | Rodopar 108'!$J:$J,'Doc''s Pagos | Rodopar 108'!$A:$A,$B459&amp;$E459&amp;$F459&amp;$J459,'Doc''s Pagos | Rodopar 108'!$B:$B,W$1)+SUMIFS('Doc Há Pagar | Rodopar 1015'!$J:$J,'Doc Há Pagar | Rodopar 1015'!$A:$A,$B459&amp;$E459&amp;$F459,'Doc Há Pagar | Rodopar 1015'!$B:$B,W$1)</f>
        <v>0</v>
      </c>
      <c r="X459" s="20">
        <f>SUMIFS('Doc''s Pagos | Rodopar 108'!$J:$J,'Doc''s Pagos | Rodopar 108'!$A:$A,$B459&amp;$E459&amp;$F459&amp;$J459,'Doc''s Pagos | Rodopar 108'!$B:$B,X$1)+SUMIFS('Doc Há Pagar | Rodopar 1015'!$J:$J,'Doc Há Pagar | Rodopar 1015'!$A:$A,$B459&amp;$E459&amp;$F459,'Doc Há Pagar | Rodopar 1015'!$B:$B,X$1)</f>
        <v>0</v>
      </c>
      <c r="Y459" s="20">
        <f>SUMIFS('Doc''s Pagos | Rodopar 108'!$J:$J,'Doc''s Pagos | Rodopar 108'!$A:$A,$B459&amp;$E459&amp;$F459&amp;$J459,'Doc''s Pagos | Rodopar 108'!$B:$B,Y$1)+SUMIFS('Doc Há Pagar | Rodopar 1015'!$J:$J,'Doc Há Pagar | Rodopar 1015'!$A:$A,$B459&amp;$E459&amp;$F459,'Doc Há Pagar | Rodopar 1015'!$B:$B,Y$1)</f>
        <v>0</v>
      </c>
      <c r="Z459" s="20">
        <f>SUMIFS('Doc''s Pagos | Rodopar 108'!$J:$J,'Doc''s Pagos | Rodopar 108'!$A:$A,$B459&amp;$E459&amp;$F459&amp;$J459,'Doc''s Pagos | Rodopar 108'!$B:$B,Z$1)+SUMIFS('Doc Há Pagar | Rodopar 1015'!$J:$J,'Doc Há Pagar | Rodopar 1015'!$A:$A,$B459&amp;$E459&amp;$F459,'Doc Há Pagar | Rodopar 1015'!$B:$B,Z$1)</f>
        <v>0</v>
      </c>
      <c r="AA459" s="20">
        <f>SUMIFS('Doc''s Pagos | Rodopar 108'!$J:$J,'Doc''s Pagos | Rodopar 108'!$A:$A,$B459&amp;$E459&amp;$F459&amp;$J459,'Doc''s Pagos | Rodopar 108'!$B:$B,AA$1)+SUMIFS('Doc Há Pagar | Rodopar 1015'!$J:$J,'Doc Há Pagar | Rodopar 1015'!$A:$A,$B459&amp;$E459&amp;$F459,'Doc Há Pagar | Rodopar 1015'!$B:$B,AA$1)</f>
        <v>0</v>
      </c>
      <c r="AB459" s="20">
        <f>SUMIFS('Doc''s Pagos | Rodopar 108'!$J:$J,'Doc''s Pagos | Rodopar 108'!$A:$A,$B459&amp;$E459&amp;$F459&amp;$J459,'Doc''s Pagos | Rodopar 108'!$B:$B,AB$1)+SUMIFS('Doc Há Pagar | Rodopar 1015'!$J:$J,'Doc Há Pagar | Rodopar 1015'!$A:$A,$B459&amp;$E459&amp;$F459,'Doc Há Pagar | Rodopar 1015'!$B:$B,AB$1)</f>
        <v>2220</v>
      </c>
      <c r="AC459" s="20">
        <f>SUMIFS('Doc''s Pagos | Rodopar 108'!$J:$J,'Doc''s Pagos | Rodopar 108'!$A:$A,$B459&amp;$E459&amp;$F459&amp;$J459,'Doc''s Pagos | Rodopar 108'!$B:$B,AC$1)+SUMIFS('Doc Há Pagar | Rodopar 1015'!$J:$J,'Doc Há Pagar | Rodopar 1015'!$A:$A,$B459&amp;$E459&amp;$F459,'Doc Há Pagar | Rodopar 1015'!$B:$B,AC$1)</f>
        <v>0</v>
      </c>
      <c r="AD459" s="20">
        <f>SUMIFS('Doc''s Pagos | Rodopar 108'!$J:$J,'Doc''s Pagos | Rodopar 108'!$A:$A,$B459&amp;$E459&amp;$F459&amp;$J459,'Doc''s Pagos | Rodopar 108'!$B:$B,AD$1)+SUMIFS('Doc Há Pagar | Rodopar 1015'!$J:$J,'Doc Há Pagar | Rodopar 1015'!$A:$A,$B459&amp;$E459&amp;$F459,'Doc Há Pagar | Rodopar 1015'!$B:$B,AD$1)</f>
        <v>0</v>
      </c>
    </row>
    <row r="460" spans="1:30" x14ac:dyDescent="0.25">
      <c r="A460" s="1" t="str">
        <f>VLOOKUP($E460,Fornecedores!$A:$C,3,0)</f>
        <v>Frota</v>
      </c>
      <c r="B460" s="14">
        <v>37</v>
      </c>
      <c r="C460" s="14" t="str">
        <f>IFERROR(VLOOKUP($E460,Fornecedores!$A:$E,4,0),"")</f>
        <v>Manutenção</v>
      </c>
      <c r="D460" s="14" t="str">
        <f>IFERROR(VLOOKUP($E460,Fornecedores!$A:$E,5,0),"")</f>
        <v>Vans</v>
      </c>
      <c r="E460" s="8" t="s">
        <v>205</v>
      </c>
      <c r="F460" s="14" t="s">
        <v>380</v>
      </c>
      <c r="G460" s="8" t="s">
        <v>485</v>
      </c>
      <c r="H460" s="9">
        <v>87</v>
      </c>
      <c r="I460" s="21">
        <v>2316</v>
      </c>
      <c r="J460" s="11">
        <v>46280</v>
      </c>
      <c r="K460" s="11">
        <v>46283</v>
      </c>
      <c r="L460" s="8" t="s">
        <v>282</v>
      </c>
      <c r="M460" s="14" t="s">
        <v>234</v>
      </c>
      <c r="N460" s="16">
        <v>1556</v>
      </c>
      <c r="O460" s="14" t="s">
        <v>250</v>
      </c>
      <c r="P460" s="14"/>
      <c r="Q460" s="20">
        <f t="shared" si="7"/>
        <v>0</v>
      </c>
      <c r="S460" s="20">
        <f>SUMIFS('Doc''s Pagos | Rodopar 108'!$J:$J,'Doc''s Pagos | Rodopar 108'!$A:$A,$B460&amp;$E460&amp;$F460&amp;$J460,'Doc''s Pagos | Rodopar 108'!$B:$B,S$1)+SUMIFS('Doc Há Pagar | Rodopar 1015'!$J:$J,'Doc Há Pagar | Rodopar 1015'!$A:$A,$B460&amp;$E460&amp;$F460,'Doc Há Pagar | Rodopar 1015'!$B:$B,S$1)</f>
        <v>0</v>
      </c>
      <c r="T460" s="20">
        <f>SUMIFS('Doc''s Pagos | Rodopar 108'!$J:$J,'Doc''s Pagos | Rodopar 108'!$A:$A,$B460&amp;$E460&amp;$F460&amp;$J460,'Doc''s Pagos | Rodopar 108'!$B:$B,T$1)+SUMIFS('Doc Há Pagar | Rodopar 1015'!$J:$J,'Doc Há Pagar | Rodopar 1015'!$A:$A,$B460&amp;$E460&amp;$F460,'Doc Há Pagar | Rodopar 1015'!$B:$B,T$1)</f>
        <v>0</v>
      </c>
      <c r="U460" s="20">
        <f>SUMIFS('Doc''s Pagos | Rodopar 108'!$J:$J,'Doc''s Pagos | Rodopar 108'!$A:$A,$B460&amp;$E460&amp;$F460&amp;$J460,'Doc''s Pagos | Rodopar 108'!$B:$B,U$1)+SUMIFS('Doc Há Pagar | Rodopar 1015'!$J:$J,'Doc Há Pagar | Rodopar 1015'!$A:$A,$B460&amp;$E460&amp;$F460,'Doc Há Pagar | Rodopar 1015'!$B:$B,U$1)</f>
        <v>0</v>
      </c>
      <c r="V460" s="20">
        <f>SUMIFS('Doc''s Pagos | Rodopar 108'!$J:$J,'Doc''s Pagos | Rodopar 108'!$A:$A,$B460&amp;$E460&amp;$F460&amp;$J460,'Doc''s Pagos | Rodopar 108'!$B:$B,V$1)+SUMIFS('Doc Há Pagar | Rodopar 1015'!$J:$J,'Doc Há Pagar | Rodopar 1015'!$A:$A,$B460&amp;$E460&amp;$F460,'Doc Há Pagar | Rodopar 1015'!$B:$B,V$1)</f>
        <v>0</v>
      </c>
      <c r="W460" s="20">
        <f>SUMIFS('Doc''s Pagos | Rodopar 108'!$J:$J,'Doc''s Pagos | Rodopar 108'!$A:$A,$B460&amp;$E460&amp;$F460&amp;$J460,'Doc''s Pagos | Rodopar 108'!$B:$B,W$1)+SUMIFS('Doc Há Pagar | Rodopar 1015'!$J:$J,'Doc Há Pagar | Rodopar 1015'!$A:$A,$B460&amp;$E460&amp;$F460,'Doc Há Pagar | Rodopar 1015'!$B:$B,W$1)</f>
        <v>0</v>
      </c>
      <c r="X460" s="20">
        <f>SUMIFS('Doc''s Pagos | Rodopar 108'!$J:$J,'Doc''s Pagos | Rodopar 108'!$A:$A,$B460&amp;$E460&amp;$F460&amp;$J460,'Doc''s Pagos | Rodopar 108'!$B:$B,X$1)+SUMIFS('Doc Há Pagar | Rodopar 1015'!$J:$J,'Doc Há Pagar | Rodopar 1015'!$A:$A,$B460&amp;$E460&amp;$F460,'Doc Há Pagar | Rodopar 1015'!$B:$B,X$1)</f>
        <v>0</v>
      </c>
      <c r="Y460" s="20">
        <f>SUMIFS('Doc''s Pagos | Rodopar 108'!$J:$J,'Doc''s Pagos | Rodopar 108'!$A:$A,$B460&amp;$E460&amp;$F460&amp;$J460,'Doc''s Pagos | Rodopar 108'!$B:$B,Y$1)+SUMIFS('Doc Há Pagar | Rodopar 1015'!$J:$J,'Doc Há Pagar | Rodopar 1015'!$A:$A,$B460&amp;$E460&amp;$F460,'Doc Há Pagar | Rodopar 1015'!$B:$B,Y$1)</f>
        <v>0</v>
      </c>
      <c r="Z460" s="20">
        <f>SUMIFS('Doc''s Pagos | Rodopar 108'!$J:$J,'Doc''s Pagos | Rodopar 108'!$A:$A,$B460&amp;$E460&amp;$F460&amp;$J460,'Doc''s Pagos | Rodopar 108'!$B:$B,Z$1)+SUMIFS('Doc Há Pagar | Rodopar 1015'!$J:$J,'Doc Há Pagar | Rodopar 1015'!$A:$A,$B460&amp;$E460&amp;$F460,'Doc Há Pagar | Rodopar 1015'!$B:$B,Z$1)</f>
        <v>0</v>
      </c>
      <c r="AA460" s="20">
        <f>SUMIFS('Doc''s Pagos | Rodopar 108'!$J:$J,'Doc''s Pagos | Rodopar 108'!$A:$A,$B460&amp;$E460&amp;$F460&amp;$J460,'Doc''s Pagos | Rodopar 108'!$B:$B,AA$1)+SUMIFS('Doc Há Pagar | Rodopar 1015'!$J:$J,'Doc Há Pagar | Rodopar 1015'!$A:$A,$B460&amp;$E460&amp;$F460,'Doc Há Pagar | Rodopar 1015'!$B:$B,AA$1)</f>
        <v>0</v>
      </c>
      <c r="AB460" s="20">
        <f>SUMIFS('Doc''s Pagos | Rodopar 108'!$J:$J,'Doc''s Pagos | Rodopar 108'!$A:$A,$B460&amp;$E460&amp;$F460&amp;$J460,'Doc''s Pagos | Rodopar 108'!$B:$B,AB$1)+SUMIFS('Doc Há Pagar | Rodopar 1015'!$J:$J,'Doc Há Pagar | Rodopar 1015'!$A:$A,$B460&amp;$E460&amp;$F460,'Doc Há Pagar | Rodopar 1015'!$B:$B,AB$1)</f>
        <v>2316</v>
      </c>
      <c r="AC460" s="20">
        <f>SUMIFS('Doc''s Pagos | Rodopar 108'!$J:$J,'Doc''s Pagos | Rodopar 108'!$A:$A,$B460&amp;$E460&amp;$F460&amp;$J460,'Doc''s Pagos | Rodopar 108'!$B:$B,AC$1)+SUMIFS('Doc Há Pagar | Rodopar 1015'!$J:$J,'Doc Há Pagar | Rodopar 1015'!$A:$A,$B460&amp;$E460&amp;$F460,'Doc Há Pagar | Rodopar 1015'!$B:$B,AC$1)</f>
        <v>0</v>
      </c>
      <c r="AD460" s="20">
        <f>SUMIFS('Doc''s Pagos | Rodopar 108'!$J:$J,'Doc''s Pagos | Rodopar 108'!$A:$A,$B460&amp;$E460&amp;$F460&amp;$J460,'Doc''s Pagos | Rodopar 108'!$B:$B,AD$1)+SUMIFS('Doc Há Pagar | Rodopar 1015'!$J:$J,'Doc Há Pagar | Rodopar 1015'!$A:$A,$B460&amp;$E460&amp;$F460,'Doc Há Pagar | Rodopar 1015'!$B:$B,AD$1)</f>
        <v>0</v>
      </c>
    </row>
    <row r="461" spans="1:30" x14ac:dyDescent="0.25">
      <c r="A461" s="1" t="str">
        <f>VLOOKUP($E461,Fornecedores!$A:$C,3,0)</f>
        <v>Frota</v>
      </c>
      <c r="B461" s="14">
        <v>93</v>
      </c>
      <c r="C461" s="14" t="str">
        <f>IFERROR(VLOOKUP($E461,Fornecedores!$A:$E,4,0),"")</f>
        <v>Manutenção</v>
      </c>
      <c r="D461" s="14" t="str">
        <f>IFERROR(VLOOKUP($E461,Fornecedores!$A:$E,5,0),"")</f>
        <v>Vans</v>
      </c>
      <c r="E461" s="8" t="s">
        <v>205</v>
      </c>
      <c r="F461" s="14" t="s">
        <v>665</v>
      </c>
      <c r="G461" s="8" t="s">
        <v>485</v>
      </c>
      <c r="H461" s="9">
        <v>87</v>
      </c>
      <c r="I461" s="21">
        <v>1049</v>
      </c>
      <c r="J461" s="11">
        <v>46280</v>
      </c>
      <c r="K461" s="11">
        <v>46283</v>
      </c>
      <c r="L461" s="8" t="s">
        <v>282</v>
      </c>
      <c r="M461" s="14" t="s">
        <v>234</v>
      </c>
      <c r="N461" s="16">
        <v>1556</v>
      </c>
      <c r="O461" s="14" t="s">
        <v>250</v>
      </c>
      <c r="P461" s="14"/>
      <c r="Q461" s="20">
        <f t="shared" si="7"/>
        <v>-32.620000000000005</v>
      </c>
      <c r="S461" s="20">
        <f>SUMIFS('Doc''s Pagos | Rodopar 108'!$J:$J,'Doc''s Pagos | Rodopar 108'!$A:$A,$B461&amp;$E461&amp;$F461&amp;$J461,'Doc''s Pagos | Rodopar 108'!$B:$B,S$1)+SUMIFS('Doc Há Pagar | Rodopar 1015'!$J:$J,'Doc Há Pagar | Rodopar 1015'!$A:$A,$B461&amp;$E461&amp;$F461,'Doc Há Pagar | Rodopar 1015'!$B:$B,S$1)</f>
        <v>0</v>
      </c>
      <c r="T461" s="20">
        <f>SUMIFS('Doc''s Pagos | Rodopar 108'!$J:$J,'Doc''s Pagos | Rodopar 108'!$A:$A,$B461&amp;$E461&amp;$F461&amp;$J461,'Doc''s Pagos | Rodopar 108'!$B:$B,T$1)+SUMIFS('Doc Há Pagar | Rodopar 1015'!$J:$J,'Doc Há Pagar | Rodopar 1015'!$A:$A,$B461&amp;$E461&amp;$F461,'Doc Há Pagar | Rodopar 1015'!$B:$B,T$1)</f>
        <v>0</v>
      </c>
      <c r="U461" s="20">
        <f>SUMIFS('Doc''s Pagos | Rodopar 108'!$J:$J,'Doc''s Pagos | Rodopar 108'!$A:$A,$B461&amp;$E461&amp;$F461&amp;$J461,'Doc''s Pagos | Rodopar 108'!$B:$B,U$1)+SUMIFS('Doc Há Pagar | Rodopar 1015'!$J:$J,'Doc Há Pagar | Rodopar 1015'!$A:$A,$B461&amp;$E461&amp;$F461,'Doc Há Pagar | Rodopar 1015'!$B:$B,U$1)</f>
        <v>0</v>
      </c>
      <c r="V461" s="20">
        <f>SUMIFS('Doc''s Pagos | Rodopar 108'!$J:$J,'Doc''s Pagos | Rodopar 108'!$A:$A,$B461&amp;$E461&amp;$F461&amp;$J461,'Doc''s Pagos | Rodopar 108'!$B:$B,V$1)+SUMIFS('Doc Há Pagar | Rodopar 1015'!$J:$J,'Doc Há Pagar | Rodopar 1015'!$A:$A,$B461&amp;$E461&amp;$F461,'Doc Há Pagar | Rodopar 1015'!$B:$B,V$1)</f>
        <v>0</v>
      </c>
      <c r="W461" s="20">
        <f>SUMIFS('Doc''s Pagos | Rodopar 108'!$J:$J,'Doc''s Pagos | Rodopar 108'!$A:$A,$B461&amp;$E461&amp;$F461&amp;$J461,'Doc''s Pagos | Rodopar 108'!$B:$B,W$1)+SUMIFS('Doc Há Pagar | Rodopar 1015'!$J:$J,'Doc Há Pagar | Rodopar 1015'!$A:$A,$B461&amp;$E461&amp;$F461,'Doc Há Pagar | Rodopar 1015'!$B:$B,W$1)</f>
        <v>0</v>
      </c>
      <c r="X461" s="20">
        <f>SUMIFS('Doc''s Pagos | Rodopar 108'!$J:$J,'Doc''s Pagos | Rodopar 108'!$A:$A,$B461&amp;$E461&amp;$F461&amp;$J461,'Doc''s Pagos | Rodopar 108'!$B:$B,X$1)+SUMIFS('Doc Há Pagar | Rodopar 1015'!$J:$J,'Doc Há Pagar | Rodopar 1015'!$A:$A,$B461&amp;$E461&amp;$F461,'Doc Há Pagar | Rodopar 1015'!$B:$B,X$1)</f>
        <v>0</v>
      </c>
      <c r="Y461" s="20">
        <f>SUMIFS('Doc''s Pagos | Rodopar 108'!$J:$J,'Doc''s Pagos | Rodopar 108'!$A:$A,$B461&amp;$E461&amp;$F461&amp;$J461,'Doc''s Pagos | Rodopar 108'!$B:$B,Y$1)+SUMIFS('Doc Há Pagar | Rodopar 1015'!$J:$J,'Doc Há Pagar | Rodopar 1015'!$A:$A,$B461&amp;$E461&amp;$F461,'Doc Há Pagar | Rodopar 1015'!$B:$B,Y$1)</f>
        <v>0</v>
      </c>
      <c r="Z461" s="20">
        <f>SUMIFS('Doc''s Pagos | Rodopar 108'!$J:$J,'Doc''s Pagos | Rodopar 108'!$A:$A,$B461&amp;$E461&amp;$F461&amp;$J461,'Doc''s Pagos | Rodopar 108'!$B:$B,Z$1)+SUMIFS('Doc Há Pagar | Rodopar 1015'!$J:$J,'Doc Há Pagar | Rodopar 1015'!$A:$A,$B461&amp;$E461&amp;$F461,'Doc Há Pagar | Rodopar 1015'!$B:$B,Z$1)</f>
        <v>0</v>
      </c>
      <c r="AA461" s="20">
        <f>SUMIFS('Doc''s Pagos | Rodopar 108'!$J:$J,'Doc''s Pagos | Rodopar 108'!$A:$A,$B461&amp;$E461&amp;$F461&amp;$J461,'Doc''s Pagos | Rodopar 108'!$B:$B,AA$1)+SUMIFS('Doc Há Pagar | Rodopar 1015'!$J:$J,'Doc Há Pagar | Rodopar 1015'!$A:$A,$B461&amp;$E461&amp;$F461,'Doc Há Pagar | Rodopar 1015'!$B:$B,AA$1)</f>
        <v>0</v>
      </c>
      <c r="AB461" s="20">
        <f>SUMIFS('Doc''s Pagos | Rodopar 108'!$J:$J,'Doc''s Pagos | Rodopar 108'!$A:$A,$B461&amp;$E461&amp;$F461&amp;$J461,'Doc''s Pagos | Rodopar 108'!$B:$B,AB$1)+SUMIFS('Doc Há Pagar | Rodopar 1015'!$J:$J,'Doc Há Pagar | Rodopar 1015'!$A:$A,$B461&amp;$E461&amp;$F461,'Doc Há Pagar | Rodopar 1015'!$B:$B,AB$1)</f>
        <v>1016.38</v>
      </c>
      <c r="AC461" s="20">
        <f>SUMIFS('Doc''s Pagos | Rodopar 108'!$J:$J,'Doc''s Pagos | Rodopar 108'!$A:$A,$B461&amp;$E461&amp;$F461&amp;$J461,'Doc''s Pagos | Rodopar 108'!$B:$B,AC$1)+SUMIFS('Doc Há Pagar | Rodopar 1015'!$J:$J,'Doc Há Pagar | Rodopar 1015'!$A:$A,$B461&amp;$E461&amp;$F461,'Doc Há Pagar | Rodopar 1015'!$B:$B,AC$1)</f>
        <v>0</v>
      </c>
      <c r="AD461" s="20">
        <f>SUMIFS('Doc''s Pagos | Rodopar 108'!$J:$J,'Doc''s Pagos | Rodopar 108'!$A:$A,$B461&amp;$E461&amp;$F461&amp;$J461,'Doc''s Pagos | Rodopar 108'!$B:$B,AD$1)+SUMIFS('Doc Há Pagar | Rodopar 1015'!$J:$J,'Doc Há Pagar | Rodopar 1015'!$A:$A,$B461&amp;$E461&amp;$F461,'Doc Há Pagar | Rodopar 1015'!$B:$B,AD$1)</f>
        <v>0</v>
      </c>
    </row>
    <row r="462" spans="1:30" x14ac:dyDescent="0.25">
      <c r="A462" s="1" t="str">
        <f>VLOOKUP($E462,Fornecedores!$A:$C,3,0)</f>
        <v>Frota</v>
      </c>
      <c r="B462" s="14">
        <v>94</v>
      </c>
      <c r="C462" s="14" t="str">
        <f>IFERROR(VLOOKUP($E462,Fornecedores!$A:$E,4,0),"")</f>
        <v>Manutenção</v>
      </c>
      <c r="D462" s="14" t="str">
        <f>IFERROR(VLOOKUP($E462,Fornecedores!$A:$E,5,0),"")</f>
        <v>Vans</v>
      </c>
      <c r="E462" s="8" t="s">
        <v>205</v>
      </c>
      <c r="F462" s="14" t="s">
        <v>665</v>
      </c>
      <c r="G462" s="8" t="s">
        <v>485</v>
      </c>
      <c r="H462" s="9">
        <v>87</v>
      </c>
      <c r="I462" s="21">
        <v>1209</v>
      </c>
      <c r="J462" s="11">
        <v>46280</v>
      </c>
      <c r="K462" s="11">
        <v>46283</v>
      </c>
      <c r="L462" s="8" t="s">
        <v>282</v>
      </c>
      <c r="M462" s="14" t="s">
        <v>234</v>
      </c>
      <c r="N462" s="16">
        <v>1556</v>
      </c>
      <c r="O462" s="14" t="s">
        <v>250</v>
      </c>
      <c r="P462" s="14"/>
      <c r="Q462" s="20">
        <f t="shared" si="7"/>
        <v>-37.599999999999909</v>
      </c>
      <c r="S462" s="20">
        <f>SUMIFS('Doc''s Pagos | Rodopar 108'!$J:$J,'Doc''s Pagos | Rodopar 108'!$A:$A,$B462&amp;$E462&amp;$F462&amp;$J462,'Doc''s Pagos | Rodopar 108'!$B:$B,S$1)+SUMIFS('Doc Há Pagar | Rodopar 1015'!$J:$J,'Doc Há Pagar | Rodopar 1015'!$A:$A,$B462&amp;$E462&amp;$F462,'Doc Há Pagar | Rodopar 1015'!$B:$B,S$1)</f>
        <v>0</v>
      </c>
      <c r="T462" s="20">
        <f>SUMIFS('Doc''s Pagos | Rodopar 108'!$J:$J,'Doc''s Pagos | Rodopar 108'!$A:$A,$B462&amp;$E462&amp;$F462&amp;$J462,'Doc''s Pagos | Rodopar 108'!$B:$B,T$1)+SUMIFS('Doc Há Pagar | Rodopar 1015'!$J:$J,'Doc Há Pagar | Rodopar 1015'!$A:$A,$B462&amp;$E462&amp;$F462,'Doc Há Pagar | Rodopar 1015'!$B:$B,T$1)</f>
        <v>0</v>
      </c>
      <c r="U462" s="20">
        <f>SUMIFS('Doc''s Pagos | Rodopar 108'!$J:$J,'Doc''s Pagos | Rodopar 108'!$A:$A,$B462&amp;$E462&amp;$F462&amp;$J462,'Doc''s Pagos | Rodopar 108'!$B:$B,U$1)+SUMIFS('Doc Há Pagar | Rodopar 1015'!$J:$J,'Doc Há Pagar | Rodopar 1015'!$A:$A,$B462&amp;$E462&amp;$F462,'Doc Há Pagar | Rodopar 1015'!$B:$B,U$1)</f>
        <v>0</v>
      </c>
      <c r="V462" s="20">
        <f>SUMIFS('Doc''s Pagos | Rodopar 108'!$J:$J,'Doc''s Pagos | Rodopar 108'!$A:$A,$B462&amp;$E462&amp;$F462&amp;$J462,'Doc''s Pagos | Rodopar 108'!$B:$B,V$1)+SUMIFS('Doc Há Pagar | Rodopar 1015'!$J:$J,'Doc Há Pagar | Rodopar 1015'!$A:$A,$B462&amp;$E462&amp;$F462,'Doc Há Pagar | Rodopar 1015'!$B:$B,V$1)</f>
        <v>0</v>
      </c>
      <c r="W462" s="20">
        <f>SUMIFS('Doc''s Pagos | Rodopar 108'!$J:$J,'Doc''s Pagos | Rodopar 108'!$A:$A,$B462&amp;$E462&amp;$F462&amp;$J462,'Doc''s Pagos | Rodopar 108'!$B:$B,W$1)+SUMIFS('Doc Há Pagar | Rodopar 1015'!$J:$J,'Doc Há Pagar | Rodopar 1015'!$A:$A,$B462&amp;$E462&amp;$F462,'Doc Há Pagar | Rodopar 1015'!$B:$B,W$1)</f>
        <v>0</v>
      </c>
      <c r="X462" s="20">
        <f>SUMIFS('Doc''s Pagos | Rodopar 108'!$J:$J,'Doc''s Pagos | Rodopar 108'!$A:$A,$B462&amp;$E462&amp;$F462&amp;$J462,'Doc''s Pagos | Rodopar 108'!$B:$B,X$1)+SUMIFS('Doc Há Pagar | Rodopar 1015'!$J:$J,'Doc Há Pagar | Rodopar 1015'!$A:$A,$B462&amp;$E462&amp;$F462,'Doc Há Pagar | Rodopar 1015'!$B:$B,X$1)</f>
        <v>0</v>
      </c>
      <c r="Y462" s="20">
        <f>SUMIFS('Doc''s Pagos | Rodopar 108'!$J:$J,'Doc''s Pagos | Rodopar 108'!$A:$A,$B462&amp;$E462&amp;$F462&amp;$J462,'Doc''s Pagos | Rodopar 108'!$B:$B,Y$1)+SUMIFS('Doc Há Pagar | Rodopar 1015'!$J:$J,'Doc Há Pagar | Rodopar 1015'!$A:$A,$B462&amp;$E462&amp;$F462,'Doc Há Pagar | Rodopar 1015'!$B:$B,Y$1)</f>
        <v>0</v>
      </c>
      <c r="Z462" s="20">
        <f>SUMIFS('Doc''s Pagos | Rodopar 108'!$J:$J,'Doc''s Pagos | Rodopar 108'!$A:$A,$B462&amp;$E462&amp;$F462&amp;$J462,'Doc''s Pagos | Rodopar 108'!$B:$B,Z$1)+SUMIFS('Doc Há Pagar | Rodopar 1015'!$J:$J,'Doc Há Pagar | Rodopar 1015'!$A:$A,$B462&amp;$E462&amp;$F462,'Doc Há Pagar | Rodopar 1015'!$B:$B,Z$1)</f>
        <v>0</v>
      </c>
      <c r="AA462" s="20">
        <f>SUMIFS('Doc''s Pagos | Rodopar 108'!$J:$J,'Doc''s Pagos | Rodopar 108'!$A:$A,$B462&amp;$E462&amp;$F462&amp;$J462,'Doc''s Pagos | Rodopar 108'!$B:$B,AA$1)+SUMIFS('Doc Há Pagar | Rodopar 1015'!$J:$J,'Doc Há Pagar | Rodopar 1015'!$A:$A,$B462&amp;$E462&amp;$F462,'Doc Há Pagar | Rodopar 1015'!$B:$B,AA$1)</f>
        <v>0</v>
      </c>
      <c r="AB462" s="20">
        <f>SUMIFS('Doc''s Pagos | Rodopar 108'!$J:$J,'Doc''s Pagos | Rodopar 108'!$A:$A,$B462&amp;$E462&amp;$F462&amp;$J462,'Doc''s Pagos | Rodopar 108'!$B:$B,AB$1)+SUMIFS('Doc Há Pagar | Rodopar 1015'!$J:$J,'Doc Há Pagar | Rodopar 1015'!$A:$A,$B462&amp;$E462&amp;$F462,'Doc Há Pagar | Rodopar 1015'!$B:$B,AB$1)</f>
        <v>1171.4000000000001</v>
      </c>
      <c r="AC462" s="20">
        <f>SUMIFS('Doc''s Pagos | Rodopar 108'!$J:$J,'Doc''s Pagos | Rodopar 108'!$A:$A,$B462&amp;$E462&amp;$F462&amp;$J462,'Doc''s Pagos | Rodopar 108'!$B:$B,AC$1)+SUMIFS('Doc Há Pagar | Rodopar 1015'!$J:$J,'Doc Há Pagar | Rodopar 1015'!$A:$A,$B462&amp;$E462&amp;$F462,'Doc Há Pagar | Rodopar 1015'!$B:$B,AC$1)</f>
        <v>0</v>
      </c>
      <c r="AD462" s="20">
        <f>SUMIFS('Doc''s Pagos | Rodopar 108'!$J:$J,'Doc''s Pagos | Rodopar 108'!$A:$A,$B462&amp;$E462&amp;$F462&amp;$J462,'Doc''s Pagos | Rodopar 108'!$B:$B,AD$1)+SUMIFS('Doc Há Pagar | Rodopar 1015'!$J:$J,'Doc Há Pagar | Rodopar 1015'!$A:$A,$B462&amp;$E462&amp;$F462,'Doc Há Pagar | Rodopar 1015'!$B:$B,AD$1)</f>
        <v>0</v>
      </c>
    </row>
    <row r="463" spans="1:30" x14ac:dyDescent="0.25">
      <c r="A463" s="1" t="str">
        <f>VLOOKUP($E463,Fornecedores!$A:$C,3,0)</f>
        <v>Frota</v>
      </c>
      <c r="B463" s="14" t="s">
        <v>301</v>
      </c>
      <c r="C463" s="14" t="str">
        <f>IFERROR(VLOOKUP($E463,Fornecedores!$A:$E,4,0),"")</f>
        <v>OPE Merchandising</v>
      </c>
      <c r="D463" s="14" t="str">
        <f>IFERROR(VLOOKUP($E463,Fornecedores!$A:$E,5,0),"")</f>
        <v>Locação</v>
      </c>
      <c r="E463" s="8" t="s">
        <v>112</v>
      </c>
      <c r="F463" s="14" t="s">
        <v>232</v>
      </c>
      <c r="G463" s="8" t="s">
        <v>289</v>
      </c>
      <c r="H463" s="9">
        <v>87</v>
      </c>
      <c r="I463" s="21">
        <v>139.13</v>
      </c>
      <c r="J463" s="11">
        <v>46281</v>
      </c>
      <c r="K463" s="11">
        <v>46286</v>
      </c>
      <c r="L463" s="8" t="s">
        <v>233</v>
      </c>
      <c r="M463" s="14" t="s">
        <v>234</v>
      </c>
      <c r="N463" s="16">
        <v>1556</v>
      </c>
      <c r="O463" s="14" t="s">
        <v>241</v>
      </c>
      <c r="P463" s="14"/>
      <c r="Q463" s="20">
        <f t="shared" si="7"/>
        <v>0</v>
      </c>
      <c r="S463" s="20">
        <f>SUMIFS('Doc''s Pagos | Rodopar 108'!$J:$J,'Doc''s Pagos | Rodopar 108'!$A:$A,$B463&amp;$E463&amp;$F463&amp;$J463,'Doc''s Pagos | Rodopar 108'!$B:$B,S$1)+SUMIFS('Doc Há Pagar | Rodopar 1015'!$J:$J,'Doc Há Pagar | Rodopar 1015'!$A:$A,$B463&amp;$E463&amp;$F463,'Doc Há Pagar | Rodopar 1015'!$B:$B,S$1)</f>
        <v>0</v>
      </c>
      <c r="T463" s="20">
        <f>SUMIFS('Doc''s Pagos | Rodopar 108'!$J:$J,'Doc''s Pagos | Rodopar 108'!$A:$A,$B463&amp;$E463&amp;$F463&amp;$J463,'Doc''s Pagos | Rodopar 108'!$B:$B,T$1)+SUMIFS('Doc Há Pagar | Rodopar 1015'!$J:$J,'Doc Há Pagar | Rodopar 1015'!$A:$A,$B463&amp;$E463&amp;$F463,'Doc Há Pagar | Rodopar 1015'!$B:$B,T$1)</f>
        <v>0</v>
      </c>
      <c r="U463" s="20">
        <f>SUMIFS('Doc''s Pagos | Rodopar 108'!$J:$J,'Doc''s Pagos | Rodopar 108'!$A:$A,$B463&amp;$E463&amp;$F463&amp;$J463,'Doc''s Pagos | Rodopar 108'!$B:$B,U$1)+SUMIFS('Doc Há Pagar | Rodopar 1015'!$J:$J,'Doc Há Pagar | Rodopar 1015'!$A:$A,$B463&amp;$E463&amp;$F463,'Doc Há Pagar | Rodopar 1015'!$B:$B,U$1)</f>
        <v>0</v>
      </c>
      <c r="V463" s="20">
        <f>SUMIFS('Doc''s Pagos | Rodopar 108'!$J:$J,'Doc''s Pagos | Rodopar 108'!$A:$A,$B463&amp;$E463&amp;$F463&amp;$J463,'Doc''s Pagos | Rodopar 108'!$B:$B,V$1)+SUMIFS('Doc Há Pagar | Rodopar 1015'!$J:$J,'Doc Há Pagar | Rodopar 1015'!$A:$A,$B463&amp;$E463&amp;$F463,'Doc Há Pagar | Rodopar 1015'!$B:$B,V$1)</f>
        <v>0</v>
      </c>
      <c r="W463" s="20">
        <f>SUMIFS('Doc''s Pagos | Rodopar 108'!$J:$J,'Doc''s Pagos | Rodopar 108'!$A:$A,$B463&amp;$E463&amp;$F463&amp;$J463,'Doc''s Pagos | Rodopar 108'!$B:$B,W$1)+SUMIFS('Doc Há Pagar | Rodopar 1015'!$J:$J,'Doc Há Pagar | Rodopar 1015'!$A:$A,$B463&amp;$E463&amp;$F463,'Doc Há Pagar | Rodopar 1015'!$B:$B,W$1)</f>
        <v>0</v>
      </c>
      <c r="X463" s="20">
        <f>SUMIFS('Doc''s Pagos | Rodopar 108'!$J:$J,'Doc''s Pagos | Rodopar 108'!$A:$A,$B463&amp;$E463&amp;$F463&amp;$J463,'Doc''s Pagos | Rodopar 108'!$B:$B,X$1)+SUMIFS('Doc Há Pagar | Rodopar 1015'!$J:$J,'Doc Há Pagar | Rodopar 1015'!$A:$A,$B463&amp;$E463&amp;$F463,'Doc Há Pagar | Rodopar 1015'!$B:$B,X$1)</f>
        <v>0</v>
      </c>
      <c r="Y463" s="20">
        <f>SUMIFS('Doc''s Pagos | Rodopar 108'!$J:$J,'Doc''s Pagos | Rodopar 108'!$A:$A,$B463&amp;$E463&amp;$F463&amp;$J463,'Doc''s Pagos | Rodopar 108'!$B:$B,Y$1)+SUMIFS('Doc Há Pagar | Rodopar 1015'!$J:$J,'Doc Há Pagar | Rodopar 1015'!$A:$A,$B463&amp;$E463&amp;$F463,'Doc Há Pagar | Rodopar 1015'!$B:$B,Y$1)</f>
        <v>0</v>
      </c>
      <c r="Z463" s="20">
        <f>SUMIFS('Doc''s Pagos | Rodopar 108'!$J:$J,'Doc''s Pagos | Rodopar 108'!$A:$A,$B463&amp;$E463&amp;$F463&amp;$J463,'Doc''s Pagos | Rodopar 108'!$B:$B,Z$1)+SUMIFS('Doc Há Pagar | Rodopar 1015'!$J:$J,'Doc Há Pagar | Rodopar 1015'!$A:$A,$B463&amp;$E463&amp;$F463,'Doc Há Pagar | Rodopar 1015'!$B:$B,Z$1)</f>
        <v>0</v>
      </c>
      <c r="AA463" s="20">
        <f>SUMIFS('Doc''s Pagos | Rodopar 108'!$J:$J,'Doc''s Pagos | Rodopar 108'!$A:$A,$B463&amp;$E463&amp;$F463&amp;$J463,'Doc''s Pagos | Rodopar 108'!$B:$B,AA$1)+SUMIFS('Doc Há Pagar | Rodopar 1015'!$J:$J,'Doc Há Pagar | Rodopar 1015'!$A:$A,$B463&amp;$E463&amp;$F463,'Doc Há Pagar | Rodopar 1015'!$B:$B,AA$1)</f>
        <v>0</v>
      </c>
      <c r="AB463" s="20">
        <f>SUMIFS('Doc''s Pagos | Rodopar 108'!$J:$J,'Doc''s Pagos | Rodopar 108'!$A:$A,$B463&amp;$E463&amp;$F463&amp;$J463,'Doc''s Pagos | Rodopar 108'!$B:$B,AB$1)+SUMIFS('Doc Há Pagar | Rodopar 1015'!$J:$J,'Doc Há Pagar | Rodopar 1015'!$A:$A,$B463&amp;$E463&amp;$F463,'Doc Há Pagar | Rodopar 1015'!$B:$B,AB$1)</f>
        <v>139.13</v>
      </c>
      <c r="AC463" s="20">
        <f>SUMIFS('Doc''s Pagos | Rodopar 108'!$J:$J,'Doc''s Pagos | Rodopar 108'!$A:$A,$B463&amp;$E463&amp;$F463&amp;$J463,'Doc''s Pagos | Rodopar 108'!$B:$B,AC$1)+SUMIFS('Doc Há Pagar | Rodopar 1015'!$J:$J,'Doc Há Pagar | Rodopar 1015'!$A:$A,$B463&amp;$E463&amp;$F463,'Doc Há Pagar | Rodopar 1015'!$B:$B,AC$1)</f>
        <v>0</v>
      </c>
      <c r="AD463" s="20">
        <f>SUMIFS('Doc''s Pagos | Rodopar 108'!$J:$J,'Doc''s Pagos | Rodopar 108'!$A:$A,$B463&amp;$E463&amp;$F463&amp;$J463,'Doc''s Pagos | Rodopar 108'!$B:$B,AD$1)+SUMIFS('Doc Há Pagar | Rodopar 1015'!$J:$J,'Doc Há Pagar | Rodopar 1015'!$A:$A,$B463&amp;$E463&amp;$F463,'Doc Há Pagar | Rodopar 1015'!$B:$B,AD$1)</f>
        <v>0</v>
      </c>
    </row>
    <row r="464" spans="1:30" x14ac:dyDescent="0.25">
      <c r="A464" s="1" t="str">
        <f>VLOOKUP($E464,Fornecedores!$A:$C,3,0)</f>
        <v>Frota</v>
      </c>
      <c r="B464" s="14" t="s">
        <v>329</v>
      </c>
      <c r="C464" s="14" t="str">
        <f>IFERROR(VLOOKUP($E464,Fornecedores!$A:$E,4,0),"")</f>
        <v>OPE Merchandising</v>
      </c>
      <c r="D464" s="14" t="str">
        <f>IFERROR(VLOOKUP($E464,Fornecedores!$A:$E,5,0),"")</f>
        <v>Locação</v>
      </c>
      <c r="E464" s="8" t="s">
        <v>112</v>
      </c>
      <c r="F464" s="14" t="s">
        <v>232</v>
      </c>
      <c r="G464" s="8" t="s">
        <v>289</v>
      </c>
      <c r="H464" s="9">
        <v>87</v>
      </c>
      <c r="I464" s="21">
        <v>139.13</v>
      </c>
      <c r="J464" s="11">
        <v>46281</v>
      </c>
      <c r="K464" s="11">
        <v>46286</v>
      </c>
      <c r="L464" s="8" t="s">
        <v>233</v>
      </c>
      <c r="M464" s="14" t="s">
        <v>234</v>
      </c>
      <c r="N464" s="16">
        <v>1556</v>
      </c>
      <c r="O464" s="14" t="s">
        <v>241</v>
      </c>
      <c r="P464" s="14"/>
      <c r="Q464" s="20">
        <f t="shared" si="7"/>
        <v>0</v>
      </c>
      <c r="S464" s="20">
        <f>SUMIFS('Doc''s Pagos | Rodopar 108'!$J:$J,'Doc''s Pagos | Rodopar 108'!$A:$A,$B464&amp;$E464&amp;$F464&amp;$J464,'Doc''s Pagos | Rodopar 108'!$B:$B,S$1)+SUMIFS('Doc Há Pagar | Rodopar 1015'!$J:$J,'Doc Há Pagar | Rodopar 1015'!$A:$A,$B464&amp;$E464&amp;$F464,'Doc Há Pagar | Rodopar 1015'!$B:$B,S$1)</f>
        <v>0</v>
      </c>
      <c r="T464" s="20">
        <f>SUMIFS('Doc''s Pagos | Rodopar 108'!$J:$J,'Doc''s Pagos | Rodopar 108'!$A:$A,$B464&amp;$E464&amp;$F464&amp;$J464,'Doc''s Pagos | Rodopar 108'!$B:$B,T$1)+SUMIFS('Doc Há Pagar | Rodopar 1015'!$J:$J,'Doc Há Pagar | Rodopar 1015'!$A:$A,$B464&amp;$E464&amp;$F464,'Doc Há Pagar | Rodopar 1015'!$B:$B,T$1)</f>
        <v>0</v>
      </c>
      <c r="U464" s="20">
        <f>SUMIFS('Doc''s Pagos | Rodopar 108'!$J:$J,'Doc''s Pagos | Rodopar 108'!$A:$A,$B464&amp;$E464&amp;$F464&amp;$J464,'Doc''s Pagos | Rodopar 108'!$B:$B,U$1)+SUMIFS('Doc Há Pagar | Rodopar 1015'!$J:$J,'Doc Há Pagar | Rodopar 1015'!$A:$A,$B464&amp;$E464&amp;$F464,'Doc Há Pagar | Rodopar 1015'!$B:$B,U$1)</f>
        <v>0</v>
      </c>
      <c r="V464" s="20">
        <f>SUMIFS('Doc''s Pagos | Rodopar 108'!$J:$J,'Doc''s Pagos | Rodopar 108'!$A:$A,$B464&amp;$E464&amp;$F464&amp;$J464,'Doc''s Pagos | Rodopar 108'!$B:$B,V$1)+SUMIFS('Doc Há Pagar | Rodopar 1015'!$J:$J,'Doc Há Pagar | Rodopar 1015'!$A:$A,$B464&amp;$E464&amp;$F464,'Doc Há Pagar | Rodopar 1015'!$B:$B,V$1)</f>
        <v>0</v>
      </c>
      <c r="W464" s="20">
        <f>SUMIFS('Doc''s Pagos | Rodopar 108'!$J:$J,'Doc''s Pagos | Rodopar 108'!$A:$A,$B464&amp;$E464&amp;$F464&amp;$J464,'Doc''s Pagos | Rodopar 108'!$B:$B,W$1)+SUMIFS('Doc Há Pagar | Rodopar 1015'!$J:$J,'Doc Há Pagar | Rodopar 1015'!$A:$A,$B464&amp;$E464&amp;$F464,'Doc Há Pagar | Rodopar 1015'!$B:$B,W$1)</f>
        <v>0</v>
      </c>
      <c r="X464" s="20">
        <f>SUMIFS('Doc''s Pagos | Rodopar 108'!$J:$J,'Doc''s Pagos | Rodopar 108'!$A:$A,$B464&amp;$E464&amp;$F464&amp;$J464,'Doc''s Pagos | Rodopar 108'!$B:$B,X$1)+SUMIFS('Doc Há Pagar | Rodopar 1015'!$J:$J,'Doc Há Pagar | Rodopar 1015'!$A:$A,$B464&amp;$E464&amp;$F464,'Doc Há Pagar | Rodopar 1015'!$B:$B,X$1)</f>
        <v>0</v>
      </c>
      <c r="Y464" s="20">
        <f>SUMIFS('Doc''s Pagos | Rodopar 108'!$J:$J,'Doc''s Pagos | Rodopar 108'!$A:$A,$B464&amp;$E464&amp;$F464&amp;$J464,'Doc''s Pagos | Rodopar 108'!$B:$B,Y$1)+SUMIFS('Doc Há Pagar | Rodopar 1015'!$J:$J,'Doc Há Pagar | Rodopar 1015'!$A:$A,$B464&amp;$E464&amp;$F464,'Doc Há Pagar | Rodopar 1015'!$B:$B,Y$1)</f>
        <v>0</v>
      </c>
      <c r="Z464" s="20">
        <f>SUMIFS('Doc''s Pagos | Rodopar 108'!$J:$J,'Doc''s Pagos | Rodopar 108'!$A:$A,$B464&amp;$E464&amp;$F464&amp;$J464,'Doc''s Pagos | Rodopar 108'!$B:$B,Z$1)+SUMIFS('Doc Há Pagar | Rodopar 1015'!$J:$J,'Doc Há Pagar | Rodopar 1015'!$A:$A,$B464&amp;$E464&amp;$F464,'Doc Há Pagar | Rodopar 1015'!$B:$B,Z$1)</f>
        <v>0</v>
      </c>
      <c r="AA464" s="20">
        <f>SUMIFS('Doc''s Pagos | Rodopar 108'!$J:$J,'Doc''s Pagos | Rodopar 108'!$A:$A,$B464&amp;$E464&amp;$F464&amp;$J464,'Doc''s Pagos | Rodopar 108'!$B:$B,AA$1)+SUMIFS('Doc Há Pagar | Rodopar 1015'!$J:$J,'Doc Há Pagar | Rodopar 1015'!$A:$A,$B464&amp;$E464&amp;$F464,'Doc Há Pagar | Rodopar 1015'!$B:$B,AA$1)</f>
        <v>0</v>
      </c>
      <c r="AB464" s="20">
        <f>SUMIFS('Doc''s Pagos | Rodopar 108'!$J:$J,'Doc''s Pagos | Rodopar 108'!$A:$A,$B464&amp;$E464&amp;$F464&amp;$J464,'Doc''s Pagos | Rodopar 108'!$B:$B,AB$1)+SUMIFS('Doc Há Pagar | Rodopar 1015'!$J:$J,'Doc Há Pagar | Rodopar 1015'!$A:$A,$B464&amp;$E464&amp;$F464,'Doc Há Pagar | Rodopar 1015'!$B:$B,AB$1)</f>
        <v>139.13</v>
      </c>
      <c r="AC464" s="20">
        <f>SUMIFS('Doc''s Pagos | Rodopar 108'!$J:$J,'Doc''s Pagos | Rodopar 108'!$A:$A,$B464&amp;$E464&amp;$F464&amp;$J464,'Doc''s Pagos | Rodopar 108'!$B:$B,AC$1)+SUMIFS('Doc Há Pagar | Rodopar 1015'!$J:$J,'Doc Há Pagar | Rodopar 1015'!$A:$A,$B464&amp;$E464&amp;$F464,'Doc Há Pagar | Rodopar 1015'!$B:$B,AC$1)</f>
        <v>0</v>
      </c>
      <c r="AD464" s="20">
        <f>SUMIFS('Doc''s Pagos | Rodopar 108'!$J:$J,'Doc''s Pagos | Rodopar 108'!$A:$A,$B464&amp;$E464&amp;$F464&amp;$J464,'Doc''s Pagos | Rodopar 108'!$B:$B,AD$1)+SUMIFS('Doc Há Pagar | Rodopar 1015'!$J:$J,'Doc Há Pagar | Rodopar 1015'!$A:$A,$B464&amp;$E464&amp;$F464,'Doc Há Pagar | Rodopar 1015'!$B:$B,AD$1)</f>
        <v>0</v>
      </c>
    </row>
    <row r="465" spans="1:30" x14ac:dyDescent="0.25">
      <c r="A465" s="1" t="str">
        <f>VLOOKUP($E465,Fornecedores!$A:$C,3,0)</f>
        <v>Frota</v>
      </c>
      <c r="B465" s="14" t="s">
        <v>330</v>
      </c>
      <c r="C465" s="14" t="str">
        <f>IFERROR(VLOOKUP($E465,Fornecedores!$A:$E,4,0),"")</f>
        <v>OPE Merchandising</v>
      </c>
      <c r="D465" s="14" t="str">
        <f>IFERROR(VLOOKUP($E465,Fornecedores!$A:$E,5,0),"")</f>
        <v>Locação</v>
      </c>
      <c r="E465" s="8" t="s">
        <v>112</v>
      </c>
      <c r="F465" s="14" t="s">
        <v>232</v>
      </c>
      <c r="G465" s="8" t="s">
        <v>289</v>
      </c>
      <c r="H465" s="9">
        <v>87</v>
      </c>
      <c r="I465" s="21">
        <v>650</v>
      </c>
      <c r="J465" s="11">
        <v>46281</v>
      </c>
      <c r="K465" s="11">
        <v>46286</v>
      </c>
      <c r="L465" s="8" t="s">
        <v>233</v>
      </c>
      <c r="M465" s="14" t="s">
        <v>234</v>
      </c>
      <c r="N465" s="16">
        <v>1556</v>
      </c>
      <c r="O465" s="14" t="s">
        <v>241</v>
      </c>
      <c r="P465" s="14"/>
      <c r="Q465" s="20">
        <f t="shared" si="7"/>
        <v>0</v>
      </c>
      <c r="S465" s="20">
        <f>SUMIFS('Doc''s Pagos | Rodopar 108'!$J:$J,'Doc''s Pagos | Rodopar 108'!$A:$A,$B465&amp;$E465&amp;$F465&amp;$J465,'Doc''s Pagos | Rodopar 108'!$B:$B,S$1)+SUMIFS('Doc Há Pagar | Rodopar 1015'!$J:$J,'Doc Há Pagar | Rodopar 1015'!$A:$A,$B465&amp;$E465&amp;$F465,'Doc Há Pagar | Rodopar 1015'!$B:$B,S$1)</f>
        <v>0</v>
      </c>
      <c r="T465" s="20">
        <f>SUMIFS('Doc''s Pagos | Rodopar 108'!$J:$J,'Doc''s Pagos | Rodopar 108'!$A:$A,$B465&amp;$E465&amp;$F465&amp;$J465,'Doc''s Pagos | Rodopar 108'!$B:$B,T$1)+SUMIFS('Doc Há Pagar | Rodopar 1015'!$J:$J,'Doc Há Pagar | Rodopar 1015'!$A:$A,$B465&amp;$E465&amp;$F465,'Doc Há Pagar | Rodopar 1015'!$B:$B,T$1)</f>
        <v>0</v>
      </c>
      <c r="U465" s="20">
        <f>SUMIFS('Doc''s Pagos | Rodopar 108'!$J:$J,'Doc''s Pagos | Rodopar 108'!$A:$A,$B465&amp;$E465&amp;$F465&amp;$J465,'Doc''s Pagos | Rodopar 108'!$B:$B,U$1)+SUMIFS('Doc Há Pagar | Rodopar 1015'!$J:$J,'Doc Há Pagar | Rodopar 1015'!$A:$A,$B465&amp;$E465&amp;$F465,'Doc Há Pagar | Rodopar 1015'!$B:$B,U$1)</f>
        <v>0</v>
      </c>
      <c r="V465" s="20">
        <f>SUMIFS('Doc''s Pagos | Rodopar 108'!$J:$J,'Doc''s Pagos | Rodopar 108'!$A:$A,$B465&amp;$E465&amp;$F465&amp;$J465,'Doc''s Pagos | Rodopar 108'!$B:$B,V$1)+SUMIFS('Doc Há Pagar | Rodopar 1015'!$J:$J,'Doc Há Pagar | Rodopar 1015'!$A:$A,$B465&amp;$E465&amp;$F465,'Doc Há Pagar | Rodopar 1015'!$B:$B,V$1)</f>
        <v>0</v>
      </c>
      <c r="W465" s="20">
        <f>SUMIFS('Doc''s Pagos | Rodopar 108'!$J:$J,'Doc''s Pagos | Rodopar 108'!$A:$A,$B465&amp;$E465&amp;$F465&amp;$J465,'Doc''s Pagos | Rodopar 108'!$B:$B,W$1)+SUMIFS('Doc Há Pagar | Rodopar 1015'!$J:$J,'Doc Há Pagar | Rodopar 1015'!$A:$A,$B465&amp;$E465&amp;$F465,'Doc Há Pagar | Rodopar 1015'!$B:$B,W$1)</f>
        <v>0</v>
      </c>
      <c r="X465" s="20">
        <f>SUMIFS('Doc''s Pagos | Rodopar 108'!$J:$J,'Doc''s Pagos | Rodopar 108'!$A:$A,$B465&amp;$E465&amp;$F465&amp;$J465,'Doc''s Pagos | Rodopar 108'!$B:$B,X$1)+SUMIFS('Doc Há Pagar | Rodopar 1015'!$J:$J,'Doc Há Pagar | Rodopar 1015'!$A:$A,$B465&amp;$E465&amp;$F465,'Doc Há Pagar | Rodopar 1015'!$B:$B,X$1)</f>
        <v>0</v>
      </c>
      <c r="Y465" s="20">
        <f>SUMIFS('Doc''s Pagos | Rodopar 108'!$J:$J,'Doc''s Pagos | Rodopar 108'!$A:$A,$B465&amp;$E465&amp;$F465&amp;$J465,'Doc''s Pagos | Rodopar 108'!$B:$B,Y$1)+SUMIFS('Doc Há Pagar | Rodopar 1015'!$J:$J,'Doc Há Pagar | Rodopar 1015'!$A:$A,$B465&amp;$E465&amp;$F465,'Doc Há Pagar | Rodopar 1015'!$B:$B,Y$1)</f>
        <v>0</v>
      </c>
      <c r="Z465" s="20">
        <f>SUMIFS('Doc''s Pagos | Rodopar 108'!$J:$J,'Doc''s Pagos | Rodopar 108'!$A:$A,$B465&amp;$E465&amp;$F465&amp;$J465,'Doc''s Pagos | Rodopar 108'!$B:$B,Z$1)+SUMIFS('Doc Há Pagar | Rodopar 1015'!$J:$J,'Doc Há Pagar | Rodopar 1015'!$A:$A,$B465&amp;$E465&amp;$F465,'Doc Há Pagar | Rodopar 1015'!$B:$B,Z$1)</f>
        <v>0</v>
      </c>
      <c r="AA465" s="20">
        <f>SUMIFS('Doc''s Pagos | Rodopar 108'!$J:$J,'Doc''s Pagos | Rodopar 108'!$A:$A,$B465&amp;$E465&amp;$F465&amp;$J465,'Doc''s Pagos | Rodopar 108'!$B:$B,AA$1)+SUMIFS('Doc Há Pagar | Rodopar 1015'!$J:$J,'Doc Há Pagar | Rodopar 1015'!$A:$A,$B465&amp;$E465&amp;$F465,'Doc Há Pagar | Rodopar 1015'!$B:$B,AA$1)</f>
        <v>0</v>
      </c>
      <c r="AB465" s="20">
        <f>SUMIFS('Doc''s Pagos | Rodopar 108'!$J:$J,'Doc''s Pagos | Rodopar 108'!$A:$A,$B465&amp;$E465&amp;$F465&amp;$J465,'Doc''s Pagos | Rodopar 108'!$B:$B,AB$1)+SUMIFS('Doc Há Pagar | Rodopar 1015'!$J:$J,'Doc Há Pagar | Rodopar 1015'!$A:$A,$B465&amp;$E465&amp;$F465,'Doc Há Pagar | Rodopar 1015'!$B:$B,AB$1)</f>
        <v>650</v>
      </c>
      <c r="AC465" s="20">
        <f>SUMIFS('Doc''s Pagos | Rodopar 108'!$J:$J,'Doc''s Pagos | Rodopar 108'!$A:$A,$B465&amp;$E465&amp;$F465&amp;$J465,'Doc''s Pagos | Rodopar 108'!$B:$B,AC$1)+SUMIFS('Doc Há Pagar | Rodopar 1015'!$J:$J,'Doc Há Pagar | Rodopar 1015'!$A:$A,$B465&amp;$E465&amp;$F465,'Doc Há Pagar | Rodopar 1015'!$B:$B,AC$1)</f>
        <v>0</v>
      </c>
      <c r="AD465" s="20">
        <f>SUMIFS('Doc''s Pagos | Rodopar 108'!$J:$J,'Doc''s Pagos | Rodopar 108'!$A:$A,$B465&amp;$E465&amp;$F465&amp;$J465,'Doc''s Pagos | Rodopar 108'!$B:$B,AD$1)+SUMIFS('Doc Há Pagar | Rodopar 1015'!$J:$J,'Doc Há Pagar | Rodopar 1015'!$A:$A,$B465&amp;$E465&amp;$F465,'Doc Há Pagar | Rodopar 1015'!$B:$B,AD$1)</f>
        <v>0</v>
      </c>
    </row>
    <row r="466" spans="1:30" x14ac:dyDescent="0.25">
      <c r="A466" s="1" t="str">
        <f>VLOOKUP($E466,Fornecedores!$A:$C,3,0)</f>
        <v>Frota</v>
      </c>
      <c r="B466" s="14" t="s">
        <v>331</v>
      </c>
      <c r="C466" s="14" t="str">
        <f>IFERROR(VLOOKUP($E466,Fornecedores!$A:$E,4,0),"")</f>
        <v>OPE Merchandising</v>
      </c>
      <c r="D466" s="14" t="str">
        <f>IFERROR(VLOOKUP($E466,Fornecedores!$A:$E,5,0),"")</f>
        <v>Locação</v>
      </c>
      <c r="E466" s="8" t="s">
        <v>112</v>
      </c>
      <c r="F466" s="14" t="s">
        <v>232</v>
      </c>
      <c r="G466" s="8" t="s">
        <v>289</v>
      </c>
      <c r="H466" s="9">
        <v>87</v>
      </c>
      <c r="I466" s="21">
        <v>139.13</v>
      </c>
      <c r="J466" s="11">
        <v>46281</v>
      </c>
      <c r="K466" s="11">
        <v>46286</v>
      </c>
      <c r="L466" s="8" t="s">
        <v>233</v>
      </c>
      <c r="M466" s="14" t="s">
        <v>234</v>
      </c>
      <c r="N466" s="16">
        <v>1556</v>
      </c>
      <c r="O466" s="14" t="s">
        <v>241</v>
      </c>
      <c r="P466" s="14"/>
      <c r="Q466" s="20">
        <f t="shared" si="7"/>
        <v>0</v>
      </c>
      <c r="S466" s="20">
        <f>SUMIFS('Doc''s Pagos | Rodopar 108'!$J:$J,'Doc''s Pagos | Rodopar 108'!$A:$A,$B466&amp;$E466&amp;$F466&amp;$J466,'Doc''s Pagos | Rodopar 108'!$B:$B,S$1)+SUMIFS('Doc Há Pagar | Rodopar 1015'!$J:$J,'Doc Há Pagar | Rodopar 1015'!$A:$A,$B466&amp;$E466&amp;$F466,'Doc Há Pagar | Rodopar 1015'!$B:$B,S$1)</f>
        <v>0</v>
      </c>
      <c r="T466" s="20">
        <f>SUMIFS('Doc''s Pagos | Rodopar 108'!$J:$J,'Doc''s Pagos | Rodopar 108'!$A:$A,$B466&amp;$E466&amp;$F466&amp;$J466,'Doc''s Pagos | Rodopar 108'!$B:$B,T$1)+SUMIFS('Doc Há Pagar | Rodopar 1015'!$J:$J,'Doc Há Pagar | Rodopar 1015'!$A:$A,$B466&amp;$E466&amp;$F466,'Doc Há Pagar | Rodopar 1015'!$B:$B,T$1)</f>
        <v>0</v>
      </c>
      <c r="U466" s="20">
        <f>SUMIFS('Doc''s Pagos | Rodopar 108'!$J:$J,'Doc''s Pagos | Rodopar 108'!$A:$A,$B466&amp;$E466&amp;$F466&amp;$J466,'Doc''s Pagos | Rodopar 108'!$B:$B,U$1)+SUMIFS('Doc Há Pagar | Rodopar 1015'!$J:$J,'Doc Há Pagar | Rodopar 1015'!$A:$A,$B466&amp;$E466&amp;$F466,'Doc Há Pagar | Rodopar 1015'!$B:$B,U$1)</f>
        <v>0</v>
      </c>
      <c r="V466" s="20">
        <f>SUMIFS('Doc''s Pagos | Rodopar 108'!$J:$J,'Doc''s Pagos | Rodopar 108'!$A:$A,$B466&amp;$E466&amp;$F466&amp;$J466,'Doc''s Pagos | Rodopar 108'!$B:$B,V$1)+SUMIFS('Doc Há Pagar | Rodopar 1015'!$J:$J,'Doc Há Pagar | Rodopar 1015'!$A:$A,$B466&amp;$E466&amp;$F466,'Doc Há Pagar | Rodopar 1015'!$B:$B,V$1)</f>
        <v>0</v>
      </c>
      <c r="W466" s="20">
        <f>SUMIFS('Doc''s Pagos | Rodopar 108'!$J:$J,'Doc''s Pagos | Rodopar 108'!$A:$A,$B466&amp;$E466&amp;$F466&amp;$J466,'Doc''s Pagos | Rodopar 108'!$B:$B,W$1)+SUMIFS('Doc Há Pagar | Rodopar 1015'!$J:$J,'Doc Há Pagar | Rodopar 1015'!$A:$A,$B466&amp;$E466&amp;$F466,'Doc Há Pagar | Rodopar 1015'!$B:$B,W$1)</f>
        <v>0</v>
      </c>
      <c r="X466" s="20">
        <f>SUMIFS('Doc''s Pagos | Rodopar 108'!$J:$J,'Doc''s Pagos | Rodopar 108'!$A:$A,$B466&amp;$E466&amp;$F466&amp;$J466,'Doc''s Pagos | Rodopar 108'!$B:$B,X$1)+SUMIFS('Doc Há Pagar | Rodopar 1015'!$J:$J,'Doc Há Pagar | Rodopar 1015'!$A:$A,$B466&amp;$E466&amp;$F466,'Doc Há Pagar | Rodopar 1015'!$B:$B,X$1)</f>
        <v>0</v>
      </c>
      <c r="Y466" s="20">
        <f>SUMIFS('Doc''s Pagos | Rodopar 108'!$J:$J,'Doc''s Pagos | Rodopar 108'!$A:$A,$B466&amp;$E466&amp;$F466&amp;$J466,'Doc''s Pagos | Rodopar 108'!$B:$B,Y$1)+SUMIFS('Doc Há Pagar | Rodopar 1015'!$J:$J,'Doc Há Pagar | Rodopar 1015'!$A:$A,$B466&amp;$E466&amp;$F466,'Doc Há Pagar | Rodopar 1015'!$B:$B,Y$1)</f>
        <v>0</v>
      </c>
      <c r="Z466" s="20">
        <f>SUMIFS('Doc''s Pagos | Rodopar 108'!$J:$J,'Doc''s Pagos | Rodopar 108'!$A:$A,$B466&amp;$E466&amp;$F466&amp;$J466,'Doc''s Pagos | Rodopar 108'!$B:$B,Z$1)+SUMIFS('Doc Há Pagar | Rodopar 1015'!$J:$J,'Doc Há Pagar | Rodopar 1015'!$A:$A,$B466&amp;$E466&amp;$F466,'Doc Há Pagar | Rodopar 1015'!$B:$B,Z$1)</f>
        <v>0</v>
      </c>
      <c r="AA466" s="20">
        <f>SUMIFS('Doc''s Pagos | Rodopar 108'!$J:$J,'Doc''s Pagos | Rodopar 108'!$A:$A,$B466&amp;$E466&amp;$F466&amp;$J466,'Doc''s Pagos | Rodopar 108'!$B:$B,AA$1)+SUMIFS('Doc Há Pagar | Rodopar 1015'!$J:$J,'Doc Há Pagar | Rodopar 1015'!$A:$A,$B466&amp;$E466&amp;$F466,'Doc Há Pagar | Rodopar 1015'!$B:$B,AA$1)</f>
        <v>0</v>
      </c>
      <c r="AB466" s="20">
        <f>SUMIFS('Doc''s Pagos | Rodopar 108'!$J:$J,'Doc''s Pagos | Rodopar 108'!$A:$A,$B466&amp;$E466&amp;$F466&amp;$J466,'Doc''s Pagos | Rodopar 108'!$B:$B,AB$1)+SUMIFS('Doc Há Pagar | Rodopar 1015'!$J:$J,'Doc Há Pagar | Rodopar 1015'!$A:$A,$B466&amp;$E466&amp;$F466,'Doc Há Pagar | Rodopar 1015'!$B:$B,AB$1)</f>
        <v>139.13</v>
      </c>
      <c r="AC466" s="20">
        <f>SUMIFS('Doc''s Pagos | Rodopar 108'!$J:$J,'Doc''s Pagos | Rodopar 108'!$A:$A,$B466&amp;$E466&amp;$F466&amp;$J466,'Doc''s Pagos | Rodopar 108'!$B:$B,AC$1)+SUMIFS('Doc Há Pagar | Rodopar 1015'!$J:$J,'Doc Há Pagar | Rodopar 1015'!$A:$A,$B466&amp;$E466&amp;$F466,'Doc Há Pagar | Rodopar 1015'!$B:$B,AC$1)</f>
        <v>0</v>
      </c>
      <c r="AD466" s="20">
        <f>SUMIFS('Doc''s Pagos | Rodopar 108'!$J:$J,'Doc''s Pagos | Rodopar 108'!$A:$A,$B466&amp;$E466&amp;$F466&amp;$J466,'Doc''s Pagos | Rodopar 108'!$B:$B,AD$1)+SUMIFS('Doc Há Pagar | Rodopar 1015'!$J:$J,'Doc Há Pagar | Rodopar 1015'!$A:$A,$B466&amp;$E466&amp;$F466,'Doc Há Pagar | Rodopar 1015'!$B:$B,AD$1)</f>
        <v>0</v>
      </c>
    </row>
    <row r="467" spans="1:30" x14ac:dyDescent="0.25">
      <c r="A467" s="1" t="str">
        <f>VLOOKUP($E467,Fornecedores!$A:$C,3,0)</f>
        <v>Frota</v>
      </c>
      <c r="B467" s="14" t="s">
        <v>332</v>
      </c>
      <c r="C467" s="14" t="str">
        <f>IFERROR(VLOOKUP($E467,Fornecedores!$A:$E,4,0),"")</f>
        <v>OPE Merchandising</v>
      </c>
      <c r="D467" s="14" t="str">
        <f>IFERROR(VLOOKUP($E467,Fornecedores!$A:$E,5,0),"")</f>
        <v>Locação</v>
      </c>
      <c r="E467" s="8" t="s">
        <v>112</v>
      </c>
      <c r="F467" s="14" t="s">
        <v>232</v>
      </c>
      <c r="G467" s="8" t="s">
        <v>289</v>
      </c>
      <c r="H467" s="9">
        <v>87</v>
      </c>
      <c r="I467" s="21">
        <v>139.13</v>
      </c>
      <c r="J467" s="11">
        <v>46281</v>
      </c>
      <c r="K467" s="11">
        <v>46286</v>
      </c>
      <c r="L467" s="8" t="s">
        <v>233</v>
      </c>
      <c r="M467" s="14" t="s">
        <v>234</v>
      </c>
      <c r="N467" s="16">
        <v>1556</v>
      </c>
      <c r="O467" s="14" t="s">
        <v>241</v>
      </c>
      <c r="P467" s="14"/>
      <c r="Q467" s="20">
        <f t="shared" si="7"/>
        <v>0</v>
      </c>
      <c r="S467" s="20">
        <f>SUMIFS('Doc''s Pagos | Rodopar 108'!$J:$J,'Doc''s Pagos | Rodopar 108'!$A:$A,$B467&amp;$E467&amp;$F467&amp;$J467,'Doc''s Pagos | Rodopar 108'!$B:$B,S$1)+SUMIFS('Doc Há Pagar | Rodopar 1015'!$J:$J,'Doc Há Pagar | Rodopar 1015'!$A:$A,$B467&amp;$E467&amp;$F467,'Doc Há Pagar | Rodopar 1015'!$B:$B,S$1)</f>
        <v>0</v>
      </c>
      <c r="T467" s="20">
        <f>SUMIFS('Doc''s Pagos | Rodopar 108'!$J:$J,'Doc''s Pagos | Rodopar 108'!$A:$A,$B467&amp;$E467&amp;$F467&amp;$J467,'Doc''s Pagos | Rodopar 108'!$B:$B,T$1)+SUMIFS('Doc Há Pagar | Rodopar 1015'!$J:$J,'Doc Há Pagar | Rodopar 1015'!$A:$A,$B467&amp;$E467&amp;$F467,'Doc Há Pagar | Rodopar 1015'!$B:$B,T$1)</f>
        <v>0</v>
      </c>
      <c r="U467" s="20">
        <f>SUMIFS('Doc''s Pagos | Rodopar 108'!$J:$J,'Doc''s Pagos | Rodopar 108'!$A:$A,$B467&amp;$E467&amp;$F467&amp;$J467,'Doc''s Pagos | Rodopar 108'!$B:$B,U$1)+SUMIFS('Doc Há Pagar | Rodopar 1015'!$J:$J,'Doc Há Pagar | Rodopar 1015'!$A:$A,$B467&amp;$E467&amp;$F467,'Doc Há Pagar | Rodopar 1015'!$B:$B,U$1)</f>
        <v>0</v>
      </c>
      <c r="V467" s="20">
        <f>SUMIFS('Doc''s Pagos | Rodopar 108'!$J:$J,'Doc''s Pagos | Rodopar 108'!$A:$A,$B467&amp;$E467&amp;$F467&amp;$J467,'Doc''s Pagos | Rodopar 108'!$B:$B,V$1)+SUMIFS('Doc Há Pagar | Rodopar 1015'!$J:$J,'Doc Há Pagar | Rodopar 1015'!$A:$A,$B467&amp;$E467&amp;$F467,'Doc Há Pagar | Rodopar 1015'!$B:$B,V$1)</f>
        <v>0</v>
      </c>
      <c r="W467" s="20">
        <f>SUMIFS('Doc''s Pagos | Rodopar 108'!$J:$J,'Doc''s Pagos | Rodopar 108'!$A:$A,$B467&amp;$E467&amp;$F467&amp;$J467,'Doc''s Pagos | Rodopar 108'!$B:$B,W$1)+SUMIFS('Doc Há Pagar | Rodopar 1015'!$J:$J,'Doc Há Pagar | Rodopar 1015'!$A:$A,$B467&amp;$E467&amp;$F467,'Doc Há Pagar | Rodopar 1015'!$B:$B,W$1)</f>
        <v>0</v>
      </c>
      <c r="X467" s="20">
        <f>SUMIFS('Doc''s Pagos | Rodopar 108'!$J:$J,'Doc''s Pagos | Rodopar 108'!$A:$A,$B467&amp;$E467&amp;$F467&amp;$J467,'Doc''s Pagos | Rodopar 108'!$B:$B,X$1)+SUMIFS('Doc Há Pagar | Rodopar 1015'!$J:$J,'Doc Há Pagar | Rodopar 1015'!$A:$A,$B467&amp;$E467&amp;$F467,'Doc Há Pagar | Rodopar 1015'!$B:$B,X$1)</f>
        <v>0</v>
      </c>
      <c r="Y467" s="20">
        <f>SUMIFS('Doc''s Pagos | Rodopar 108'!$J:$J,'Doc''s Pagos | Rodopar 108'!$A:$A,$B467&amp;$E467&amp;$F467&amp;$J467,'Doc''s Pagos | Rodopar 108'!$B:$B,Y$1)+SUMIFS('Doc Há Pagar | Rodopar 1015'!$J:$J,'Doc Há Pagar | Rodopar 1015'!$A:$A,$B467&amp;$E467&amp;$F467,'Doc Há Pagar | Rodopar 1015'!$B:$B,Y$1)</f>
        <v>0</v>
      </c>
      <c r="Z467" s="20">
        <f>SUMIFS('Doc''s Pagos | Rodopar 108'!$J:$J,'Doc''s Pagos | Rodopar 108'!$A:$A,$B467&amp;$E467&amp;$F467&amp;$J467,'Doc''s Pagos | Rodopar 108'!$B:$B,Z$1)+SUMIFS('Doc Há Pagar | Rodopar 1015'!$J:$J,'Doc Há Pagar | Rodopar 1015'!$A:$A,$B467&amp;$E467&amp;$F467,'Doc Há Pagar | Rodopar 1015'!$B:$B,Z$1)</f>
        <v>0</v>
      </c>
      <c r="AA467" s="20">
        <f>SUMIFS('Doc''s Pagos | Rodopar 108'!$J:$J,'Doc''s Pagos | Rodopar 108'!$A:$A,$B467&amp;$E467&amp;$F467&amp;$J467,'Doc''s Pagos | Rodopar 108'!$B:$B,AA$1)+SUMIFS('Doc Há Pagar | Rodopar 1015'!$J:$J,'Doc Há Pagar | Rodopar 1015'!$A:$A,$B467&amp;$E467&amp;$F467,'Doc Há Pagar | Rodopar 1015'!$B:$B,AA$1)</f>
        <v>0</v>
      </c>
      <c r="AB467" s="20">
        <f>SUMIFS('Doc''s Pagos | Rodopar 108'!$J:$J,'Doc''s Pagos | Rodopar 108'!$A:$A,$B467&amp;$E467&amp;$F467&amp;$J467,'Doc''s Pagos | Rodopar 108'!$B:$B,AB$1)+SUMIFS('Doc Há Pagar | Rodopar 1015'!$J:$J,'Doc Há Pagar | Rodopar 1015'!$A:$A,$B467&amp;$E467&amp;$F467,'Doc Há Pagar | Rodopar 1015'!$B:$B,AB$1)</f>
        <v>139.13</v>
      </c>
      <c r="AC467" s="20">
        <f>SUMIFS('Doc''s Pagos | Rodopar 108'!$J:$J,'Doc''s Pagos | Rodopar 108'!$A:$A,$B467&amp;$E467&amp;$F467&amp;$J467,'Doc''s Pagos | Rodopar 108'!$B:$B,AC$1)+SUMIFS('Doc Há Pagar | Rodopar 1015'!$J:$J,'Doc Há Pagar | Rodopar 1015'!$A:$A,$B467&amp;$E467&amp;$F467,'Doc Há Pagar | Rodopar 1015'!$B:$B,AC$1)</f>
        <v>0</v>
      </c>
      <c r="AD467" s="20">
        <f>SUMIFS('Doc''s Pagos | Rodopar 108'!$J:$J,'Doc''s Pagos | Rodopar 108'!$A:$A,$B467&amp;$E467&amp;$F467&amp;$J467,'Doc''s Pagos | Rodopar 108'!$B:$B,AD$1)+SUMIFS('Doc Há Pagar | Rodopar 1015'!$J:$J,'Doc Há Pagar | Rodopar 1015'!$A:$A,$B467&amp;$E467&amp;$F467,'Doc Há Pagar | Rodopar 1015'!$B:$B,AD$1)</f>
        <v>0</v>
      </c>
    </row>
    <row r="468" spans="1:30" x14ac:dyDescent="0.25">
      <c r="A468" s="1" t="str">
        <f>VLOOKUP($E468,Fornecedores!$A:$C,3,0)</f>
        <v>Frota</v>
      </c>
      <c r="B468" s="14" t="s">
        <v>333</v>
      </c>
      <c r="C468" s="14" t="str">
        <f>IFERROR(VLOOKUP($E468,Fornecedores!$A:$E,4,0),"")</f>
        <v>OPE Merchandising</v>
      </c>
      <c r="D468" s="14" t="str">
        <f>IFERROR(VLOOKUP($E468,Fornecedores!$A:$E,5,0),"")</f>
        <v>Locação</v>
      </c>
      <c r="E468" s="8" t="s">
        <v>112</v>
      </c>
      <c r="F468" s="14" t="s">
        <v>232</v>
      </c>
      <c r="G468" s="8" t="s">
        <v>289</v>
      </c>
      <c r="H468" s="9">
        <v>87</v>
      </c>
      <c r="I468" s="21">
        <v>139.13</v>
      </c>
      <c r="J468" s="11">
        <v>46281</v>
      </c>
      <c r="K468" s="11">
        <v>46286</v>
      </c>
      <c r="L468" s="8" t="s">
        <v>233</v>
      </c>
      <c r="M468" s="14" t="s">
        <v>234</v>
      </c>
      <c r="N468" s="16">
        <v>1556</v>
      </c>
      <c r="O468" s="14" t="s">
        <v>241</v>
      </c>
      <c r="P468" s="14"/>
      <c r="Q468" s="20">
        <f t="shared" si="7"/>
        <v>0</v>
      </c>
      <c r="S468" s="20">
        <f>SUMIFS('Doc''s Pagos | Rodopar 108'!$J:$J,'Doc''s Pagos | Rodopar 108'!$A:$A,$B468&amp;$E468&amp;$F468&amp;$J468,'Doc''s Pagos | Rodopar 108'!$B:$B,S$1)+SUMIFS('Doc Há Pagar | Rodopar 1015'!$J:$J,'Doc Há Pagar | Rodopar 1015'!$A:$A,$B468&amp;$E468&amp;$F468,'Doc Há Pagar | Rodopar 1015'!$B:$B,S$1)</f>
        <v>0</v>
      </c>
      <c r="T468" s="20">
        <f>SUMIFS('Doc''s Pagos | Rodopar 108'!$J:$J,'Doc''s Pagos | Rodopar 108'!$A:$A,$B468&amp;$E468&amp;$F468&amp;$J468,'Doc''s Pagos | Rodopar 108'!$B:$B,T$1)+SUMIFS('Doc Há Pagar | Rodopar 1015'!$J:$J,'Doc Há Pagar | Rodopar 1015'!$A:$A,$B468&amp;$E468&amp;$F468,'Doc Há Pagar | Rodopar 1015'!$B:$B,T$1)</f>
        <v>0</v>
      </c>
      <c r="U468" s="20">
        <f>SUMIFS('Doc''s Pagos | Rodopar 108'!$J:$J,'Doc''s Pagos | Rodopar 108'!$A:$A,$B468&amp;$E468&amp;$F468&amp;$J468,'Doc''s Pagos | Rodopar 108'!$B:$B,U$1)+SUMIFS('Doc Há Pagar | Rodopar 1015'!$J:$J,'Doc Há Pagar | Rodopar 1015'!$A:$A,$B468&amp;$E468&amp;$F468,'Doc Há Pagar | Rodopar 1015'!$B:$B,U$1)</f>
        <v>0</v>
      </c>
      <c r="V468" s="20">
        <f>SUMIFS('Doc''s Pagos | Rodopar 108'!$J:$J,'Doc''s Pagos | Rodopar 108'!$A:$A,$B468&amp;$E468&amp;$F468&amp;$J468,'Doc''s Pagos | Rodopar 108'!$B:$B,V$1)+SUMIFS('Doc Há Pagar | Rodopar 1015'!$J:$J,'Doc Há Pagar | Rodopar 1015'!$A:$A,$B468&amp;$E468&amp;$F468,'Doc Há Pagar | Rodopar 1015'!$B:$B,V$1)</f>
        <v>0</v>
      </c>
      <c r="W468" s="20">
        <f>SUMIFS('Doc''s Pagos | Rodopar 108'!$J:$J,'Doc''s Pagos | Rodopar 108'!$A:$A,$B468&amp;$E468&amp;$F468&amp;$J468,'Doc''s Pagos | Rodopar 108'!$B:$B,W$1)+SUMIFS('Doc Há Pagar | Rodopar 1015'!$J:$J,'Doc Há Pagar | Rodopar 1015'!$A:$A,$B468&amp;$E468&amp;$F468,'Doc Há Pagar | Rodopar 1015'!$B:$B,W$1)</f>
        <v>0</v>
      </c>
      <c r="X468" s="20">
        <f>SUMIFS('Doc''s Pagos | Rodopar 108'!$J:$J,'Doc''s Pagos | Rodopar 108'!$A:$A,$B468&amp;$E468&amp;$F468&amp;$J468,'Doc''s Pagos | Rodopar 108'!$B:$B,X$1)+SUMIFS('Doc Há Pagar | Rodopar 1015'!$J:$J,'Doc Há Pagar | Rodopar 1015'!$A:$A,$B468&amp;$E468&amp;$F468,'Doc Há Pagar | Rodopar 1015'!$B:$B,X$1)</f>
        <v>0</v>
      </c>
      <c r="Y468" s="20">
        <f>SUMIFS('Doc''s Pagos | Rodopar 108'!$J:$J,'Doc''s Pagos | Rodopar 108'!$A:$A,$B468&amp;$E468&amp;$F468&amp;$J468,'Doc''s Pagos | Rodopar 108'!$B:$B,Y$1)+SUMIFS('Doc Há Pagar | Rodopar 1015'!$J:$J,'Doc Há Pagar | Rodopar 1015'!$A:$A,$B468&amp;$E468&amp;$F468,'Doc Há Pagar | Rodopar 1015'!$B:$B,Y$1)</f>
        <v>0</v>
      </c>
      <c r="Z468" s="20">
        <f>SUMIFS('Doc''s Pagos | Rodopar 108'!$J:$J,'Doc''s Pagos | Rodopar 108'!$A:$A,$B468&amp;$E468&amp;$F468&amp;$J468,'Doc''s Pagos | Rodopar 108'!$B:$B,Z$1)+SUMIFS('Doc Há Pagar | Rodopar 1015'!$J:$J,'Doc Há Pagar | Rodopar 1015'!$A:$A,$B468&amp;$E468&amp;$F468,'Doc Há Pagar | Rodopar 1015'!$B:$B,Z$1)</f>
        <v>0</v>
      </c>
      <c r="AA468" s="20">
        <f>SUMIFS('Doc''s Pagos | Rodopar 108'!$J:$J,'Doc''s Pagos | Rodopar 108'!$A:$A,$B468&amp;$E468&amp;$F468&amp;$J468,'Doc''s Pagos | Rodopar 108'!$B:$B,AA$1)+SUMIFS('Doc Há Pagar | Rodopar 1015'!$J:$J,'Doc Há Pagar | Rodopar 1015'!$A:$A,$B468&amp;$E468&amp;$F468,'Doc Há Pagar | Rodopar 1015'!$B:$B,AA$1)</f>
        <v>0</v>
      </c>
      <c r="AB468" s="20">
        <f>SUMIFS('Doc''s Pagos | Rodopar 108'!$J:$J,'Doc''s Pagos | Rodopar 108'!$A:$A,$B468&amp;$E468&amp;$F468&amp;$J468,'Doc''s Pagos | Rodopar 108'!$B:$B,AB$1)+SUMIFS('Doc Há Pagar | Rodopar 1015'!$J:$J,'Doc Há Pagar | Rodopar 1015'!$A:$A,$B468&amp;$E468&amp;$F468,'Doc Há Pagar | Rodopar 1015'!$B:$B,AB$1)</f>
        <v>139.13</v>
      </c>
      <c r="AC468" s="20">
        <f>SUMIFS('Doc''s Pagos | Rodopar 108'!$J:$J,'Doc''s Pagos | Rodopar 108'!$A:$A,$B468&amp;$E468&amp;$F468&amp;$J468,'Doc''s Pagos | Rodopar 108'!$B:$B,AC$1)+SUMIFS('Doc Há Pagar | Rodopar 1015'!$J:$J,'Doc Há Pagar | Rodopar 1015'!$A:$A,$B468&amp;$E468&amp;$F468,'Doc Há Pagar | Rodopar 1015'!$B:$B,AC$1)</f>
        <v>0</v>
      </c>
      <c r="AD468" s="20">
        <f>SUMIFS('Doc''s Pagos | Rodopar 108'!$J:$J,'Doc''s Pagos | Rodopar 108'!$A:$A,$B468&amp;$E468&amp;$F468&amp;$J468,'Doc''s Pagos | Rodopar 108'!$B:$B,AD$1)+SUMIFS('Doc Há Pagar | Rodopar 1015'!$J:$J,'Doc Há Pagar | Rodopar 1015'!$A:$A,$B468&amp;$E468&amp;$F468,'Doc Há Pagar | Rodopar 1015'!$B:$B,AD$1)</f>
        <v>0</v>
      </c>
    </row>
    <row r="469" spans="1:30" x14ac:dyDescent="0.25">
      <c r="A469" s="1" t="str">
        <f>VLOOKUP($E469,Fornecedores!$A:$C,3,0)</f>
        <v>Frota</v>
      </c>
      <c r="B469" s="14" t="s">
        <v>334</v>
      </c>
      <c r="C469" s="14" t="str">
        <f>IFERROR(VLOOKUP($E469,Fornecedores!$A:$E,4,0),"")</f>
        <v>OPE Merchandising</v>
      </c>
      <c r="D469" s="14" t="str">
        <f>IFERROR(VLOOKUP($E469,Fornecedores!$A:$E,5,0),"")</f>
        <v>Locação</v>
      </c>
      <c r="E469" s="8" t="s">
        <v>112</v>
      </c>
      <c r="F469" s="14" t="s">
        <v>232</v>
      </c>
      <c r="G469" s="8" t="s">
        <v>289</v>
      </c>
      <c r="H469" s="9">
        <v>87</v>
      </c>
      <c r="I469" s="21">
        <v>139.13</v>
      </c>
      <c r="J469" s="11">
        <v>46281</v>
      </c>
      <c r="K469" s="11">
        <v>46286</v>
      </c>
      <c r="L469" s="8" t="s">
        <v>233</v>
      </c>
      <c r="M469" s="14" t="s">
        <v>234</v>
      </c>
      <c r="N469" s="16">
        <v>1556</v>
      </c>
      <c r="O469" s="14" t="s">
        <v>241</v>
      </c>
      <c r="P469" s="14"/>
      <c r="Q469" s="20">
        <f t="shared" si="7"/>
        <v>0</v>
      </c>
      <c r="S469" s="20">
        <f>SUMIFS('Doc''s Pagos | Rodopar 108'!$J:$J,'Doc''s Pagos | Rodopar 108'!$A:$A,$B469&amp;$E469&amp;$F469&amp;$J469,'Doc''s Pagos | Rodopar 108'!$B:$B,S$1)+SUMIFS('Doc Há Pagar | Rodopar 1015'!$J:$J,'Doc Há Pagar | Rodopar 1015'!$A:$A,$B469&amp;$E469&amp;$F469,'Doc Há Pagar | Rodopar 1015'!$B:$B,S$1)</f>
        <v>0</v>
      </c>
      <c r="T469" s="20">
        <f>SUMIFS('Doc''s Pagos | Rodopar 108'!$J:$J,'Doc''s Pagos | Rodopar 108'!$A:$A,$B469&amp;$E469&amp;$F469&amp;$J469,'Doc''s Pagos | Rodopar 108'!$B:$B,T$1)+SUMIFS('Doc Há Pagar | Rodopar 1015'!$J:$J,'Doc Há Pagar | Rodopar 1015'!$A:$A,$B469&amp;$E469&amp;$F469,'Doc Há Pagar | Rodopar 1015'!$B:$B,T$1)</f>
        <v>0</v>
      </c>
      <c r="U469" s="20">
        <f>SUMIFS('Doc''s Pagos | Rodopar 108'!$J:$J,'Doc''s Pagos | Rodopar 108'!$A:$A,$B469&amp;$E469&amp;$F469&amp;$J469,'Doc''s Pagos | Rodopar 108'!$B:$B,U$1)+SUMIFS('Doc Há Pagar | Rodopar 1015'!$J:$J,'Doc Há Pagar | Rodopar 1015'!$A:$A,$B469&amp;$E469&amp;$F469,'Doc Há Pagar | Rodopar 1015'!$B:$B,U$1)</f>
        <v>0</v>
      </c>
      <c r="V469" s="20">
        <f>SUMIFS('Doc''s Pagos | Rodopar 108'!$J:$J,'Doc''s Pagos | Rodopar 108'!$A:$A,$B469&amp;$E469&amp;$F469&amp;$J469,'Doc''s Pagos | Rodopar 108'!$B:$B,V$1)+SUMIFS('Doc Há Pagar | Rodopar 1015'!$J:$J,'Doc Há Pagar | Rodopar 1015'!$A:$A,$B469&amp;$E469&amp;$F469,'Doc Há Pagar | Rodopar 1015'!$B:$B,V$1)</f>
        <v>0</v>
      </c>
      <c r="W469" s="20">
        <f>SUMIFS('Doc''s Pagos | Rodopar 108'!$J:$J,'Doc''s Pagos | Rodopar 108'!$A:$A,$B469&amp;$E469&amp;$F469&amp;$J469,'Doc''s Pagos | Rodopar 108'!$B:$B,W$1)+SUMIFS('Doc Há Pagar | Rodopar 1015'!$J:$J,'Doc Há Pagar | Rodopar 1015'!$A:$A,$B469&amp;$E469&amp;$F469,'Doc Há Pagar | Rodopar 1015'!$B:$B,W$1)</f>
        <v>0</v>
      </c>
      <c r="X469" s="20">
        <f>SUMIFS('Doc''s Pagos | Rodopar 108'!$J:$J,'Doc''s Pagos | Rodopar 108'!$A:$A,$B469&amp;$E469&amp;$F469&amp;$J469,'Doc''s Pagos | Rodopar 108'!$B:$B,X$1)+SUMIFS('Doc Há Pagar | Rodopar 1015'!$J:$J,'Doc Há Pagar | Rodopar 1015'!$A:$A,$B469&amp;$E469&amp;$F469,'Doc Há Pagar | Rodopar 1015'!$B:$B,X$1)</f>
        <v>0</v>
      </c>
      <c r="Y469" s="20">
        <f>SUMIFS('Doc''s Pagos | Rodopar 108'!$J:$J,'Doc''s Pagos | Rodopar 108'!$A:$A,$B469&amp;$E469&amp;$F469&amp;$J469,'Doc''s Pagos | Rodopar 108'!$B:$B,Y$1)+SUMIFS('Doc Há Pagar | Rodopar 1015'!$J:$J,'Doc Há Pagar | Rodopar 1015'!$A:$A,$B469&amp;$E469&amp;$F469,'Doc Há Pagar | Rodopar 1015'!$B:$B,Y$1)</f>
        <v>0</v>
      </c>
      <c r="Z469" s="20">
        <f>SUMIFS('Doc''s Pagos | Rodopar 108'!$J:$J,'Doc''s Pagos | Rodopar 108'!$A:$A,$B469&amp;$E469&amp;$F469&amp;$J469,'Doc''s Pagos | Rodopar 108'!$B:$B,Z$1)+SUMIFS('Doc Há Pagar | Rodopar 1015'!$J:$J,'Doc Há Pagar | Rodopar 1015'!$A:$A,$B469&amp;$E469&amp;$F469,'Doc Há Pagar | Rodopar 1015'!$B:$B,Z$1)</f>
        <v>0</v>
      </c>
      <c r="AA469" s="20">
        <f>SUMIFS('Doc''s Pagos | Rodopar 108'!$J:$J,'Doc''s Pagos | Rodopar 108'!$A:$A,$B469&amp;$E469&amp;$F469&amp;$J469,'Doc''s Pagos | Rodopar 108'!$B:$B,AA$1)+SUMIFS('Doc Há Pagar | Rodopar 1015'!$J:$J,'Doc Há Pagar | Rodopar 1015'!$A:$A,$B469&amp;$E469&amp;$F469,'Doc Há Pagar | Rodopar 1015'!$B:$B,AA$1)</f>
        <v>0</v>
      </c>
      <c r="AB469" s="20">
        <f>SUMIFS('Doc''s Pagos | Rodopar 108'!$J:$J,'Doc''s Pagos | Rodopar 108'!$A:$A,$B469&amp;$E469&amp;$F469&amp;$J469,'Doc''s Pagos | Rodopar 108'!$B:$B,AB$1)+SUMIFS('Doc Há Pagar | Rodopar 1015'!$J:$J,'Doc Há Pagar | Rodopar 1015'!$A:$A,$B469&amp;$E469&amp;$F469,'Doc Há Pagar | Rodopar 1015'!$B:$B,AB$1)</f>
        <v>139.13</v>
      </c>
      <c r="AC469" s="20">
        <f>SUMIFS('Doc''s Pagos | Rodopar 108'!$J:$J,'Doc''s Pagos | Rodopar 108'!$A:$A,$B469&amp;$E469&amp;$F469&amp;$J469,'Doc''s Pagos | Rodopar 108'!$B:$B,AC$1)+SUMIFS('Doc Há Pagar | Rodopar 1015'!$J:$J,'Doc Há Pagar | Rodopar 1015'!$A:$A,$B469&amp;$E469&amp;$F469,'Doc Há Pagar | Rodopar 1015'!$B:$B,AC$1)</f>
        <v>0</v>
      </c>
      <c r="AD469" s="20">
        <f>SUMIFS('Doc''s Pagos | Rodopar 108'!$J:$J,'Doc''s Pagos | Rodopar 108'!$A:$A,$B469&amp;$E469&amp;$F469&amp;$J469,'Doc''s Pagos | Rodopar 108'!$B:$B,AD$1)+SUMIFS('Doc Há Pagar | Rodopar 1015'!$J:$J,'Doc Há Pagar | Rodopar 1015'!$A:$A,$B469&amp;$E469&amp;$F469,'Doc Há Pagar | Rodopar 1015'!$B:$B,AD$1)</f>
        <v>0</v>
      </c>
    </row>
    <row r="470" spans="1:30" x14ac:dyDescent="0.25">
      <c r="A470" s="1" t="str">
        <f>VLOOKUP($E470,Fornecedores!$A:$C,3,0)</f>
        <v>Frota</v>
      </c>
      <c r="B470" s="14" t="s">
        <v>335</v>
      </c>
      <c r="C470" s="14" t="str">
        <f>IFERROR(VLOOKUP($E470,Fornecedores!$A:$E,4,0),"")</f>
        <v>OPE Merchandising</v>
      </c>
      <c r="D470" s="14" t="str">
        <f>IFERROR(VLOOKUP($E470,Fornecedores!$A:$E,5,0),"")</f>
        <v>Locação</v>
      </c>
      <c r="E470" s="8" t="s">
        <v>112</v>
      </c>
      <c r="F470" s="14" t="s">
        <v>232</v>
      </c>
      <c r="G470" s="8" t="s">
        <v>289</v>
      </c>
      <c r="H470" s="9">
        <v>87</v>
      </c>
      <c r="I470" s="21">
        <v>139.13</v>
      </c>
      <c r="J470" s="11">
        <v>46281</v>
      </c>
      <c r="K470" s="11">
        <v>46286</v>
      </c>
      <c r="L470" s="8" t="s">
        <v>233</v>
      </c>
      <c r="M470" s="14" t="s">
        <v>234</v>
      </c>
      <c r="N470" s="16">
        <v>1556</v>
      </c>
      <c r="O470" s="14" t="s">
        <v>241</v>
      </c>
      <c r="P470" s="14"/>
      <c r="Q470" s="20">
        <f t="shared" si="7"/>
        <v>0</v>
      </c>
      <c r="S470" s="20">
        <f>SUMIFS('Doc''s Pagos | Rodopar 108'!$J:$J,'Doc''s Pagos | Rodopar 108'!$A:$A,$B470&amp;$E470&amp;$F470&amp;$J470,'Doc''s Pagos | Rodopar 108'!$B:$B,S$1)+SUMIFS('Doc Há Pagar | Rodopar 1015'!$J:$J,'Doc Há Pagar | Rodopar 1015'!$A:$A,$B470&amp;$E470&amp;$F470,'Doc Há Pagar | Rodopar 1015'!$B:$B,S$1)</f>
        <v>0</v>
      </c>
      <c r="T470" s="20">
        <f>SUMIFS('Doc''s Pagos | Rodopar 108'!$J:$J,'Doc''s Pagos | Rodopar 108'!$A:$A,$B470&amp;$E470&amp;$F470&amp;$J470,'Doc''s Pagos | Rodopar 108'!$B:$B,T$1)+SUMIFS('Doc Há Pagar | Rodopar 1015'!$J:$J,'Doc Há Pagar | Rodopar 1015'!$A:$A,$B470&amp;$E470&amp;$F470,'Doc Há Pagar | Rodopar 1015'!$B:$B,T$1)</f>
        <v>0</v>
      </c>
      <c r="U470" s="20">
        <f>SUMIFS('Doc''s Pagos | Rodopar 108'!$J:$J,'Doc''s Pagos | Rodopar 108'!$A:$A,$B470&amp;$E470&amp;$F470&amp;$J470,'Doc''s Pagos | Rodopar 108'!$B:$B,U$1)+SUMIFS('Doc Há Pagar | Rodopar 1015'!$J:$J,'Doc Há Pagar | Rodopar 1015'!$A:$A,$B470&amp;$E470&amp;$F470,'Doc Há Pagar | Rodopar 1015'!$B:$B,U$1)</f>
        <v>0</v>
      </c>
      <c r="V470" s="20">
        <f>SUMIFS('Doc''s Pagos | Rodopar 108'!$J:$J,'Doc''s Pagos | Rodopar 108'!$A:$A,$B470&amp;$E470&amp;$F470&amp;$J470,'Doc''s Pagos | Rodopar 108'!$B:$B,V$1)+SUMIFS('Doc Há Pagar | Rodopar 1015'!$J:$J,'Doc Há Pagar | Rodopar 1015'!$A:$A,$B470&amp;$E470&amp;$F470,'Doc Há Pagar | Rodopar 1015'!$B:$B,V$1)</f>
        <v>0</v>
      </c>
      <c r="W470" s="20">
        <f>SUMIFS('Doc''s Pagos | Rodopar 108'!$J:$J,'Doc''s Pagos | Rodopar 108'!$A:$A,$B470&amp;$E470&amp;$F470&amp;$J470,'Doc''s Pagos | Rodopar 108'!$B:$B,W$1)+SUMIFS('Doc Há Pagar | Rodopar 1015'!$J:$J,'Doc Há Pagar | Rodopar 1015'!$A:$A,$B470&amp;$E470&amp;$F470,'Doc Há Pagar | Rodopar 1015'!$B:$B,W$1)</f>
        <v>0</v>
      </c>
      <c r="X470" s="20">
        <f>SUMIFS('Doc''s Pagos | Rodopar 108'!$J:$J,'Doc''s Pagos | Rodopar 108'!$A:$A,$B470&amp;$E470&amp;$F470&amp;$J470,'Doc''s Pagos | Rodopar 108'!$B:$B,X$1)+SUMIFS('Doc Há Pagar | Rodopar 1015'!$J:$J,'Doc Há Pagar | Rodopar 1015'!$A:$A,$B470&amp;$E470&amp;$F470,'Doc Há Pagar | Rodopar 1015'!$B:$B,X$1)</f>
        <v>0</v>
      </c>
      <c r="Y470" s="20">
        <f>SUMIFS('Doc''s Pagos | Rodopar 108'!$J:$J,'Doc''s Pagos | Rodopar 108'!$A:$A,$B470&amp;$E470&amp;$F470&amp;$J470,'Doc''s Pagos | Rodopar 108'!$B:$B,Y$1)+SUMIFS('Doc Há Pagar | Rodopar 1015'!$J:$J,'Doc Há Pagar | Rodopar 1015'!$A:$A,$B470&amp;$E470&amp;$F470,'Doc Há Pagar | Rodopar 1015'!$B:$B,Y$1)</f>
        <v>0</v>
      </c>
      <c r="Z470" s="20">
        <f>SUMIFS('Doc''s Pagos | Rodopar 108'!$J:$J,'Doc''s Pagos | Rodopar 108'!$A:$A,$B470&amp;$E470&amp;$F470&amp;$J470,'Doc''s Pagos | Rodopar 108'!$B:$B,Z$1)+SUMIFS('Doc Há Pagar | Rodopar 1015'!$J:$J,'Doc Há Pagar | Rodopar 1015'!$A:$A,$B470&amp;$E470&amp;$F470,'Doc Há Pagar | Rodopar 1015'!$B:$B,Z$1)</f>
        <v>0</v>
      </c>
      <c r="AA470" s="20">
        <f>SUMIFS('Doc''s Pagos | Rodopar 108'!$J:$J,'Doc''s Pagos | Rodopar 108'!$A:$A,$B470&amp;$E470&amp;$F470&amp;$J470,'Doc''s Pagos | Rodopar 108'!$B:$B,AA$1)+SUMIFS('Doc Há Pagar | Rodopar 1015'!$J:$J,'Doc Há Pagar | Rodopar 1015'!$A:$A,$B470&amp;$E470&amp;$F470,'Doc Há Pagar | Rodopar 1015'!$B:$B,AA$1)</f>
        <v>0</v>
      </c>
      <c r="AB470" s="20">
        <f>SUMIFS('Doc''s Pagos | Rodopar 108'!$J:$J,'Doc''s Pagos | Rodopar 108'!$A:$A,$B470&amp;$E470&amp;$F470&amp;$J470,'Doc''s Pagos | Rodopar 108'!$B:$B,AB$1)+SUMIFS('Doc Há Pagar | Rodopar 1015'!$J:$J,'Doc Há Pagar | Rodopar 1015'!$A:$A,$B470&amp;$E470&amp;$F470,'Doc Há Pagar | Rodopar 1015'!$B:$B,AB$1)</f>
        <v>139.13</v>
      </c>
      <c r="AC470" s="20">
        <f>SUMIFS('Doc''s Pagos | Rodopar 108'!$J:$J,'Doc''s Pagos | Rodopar 108'!$A:$A,$B470&amp;$E470&amp;$F470&amp;$J470,'Doc''s Pagos | Rodopar 108'!$B:$B,AC$1)+SUMIFS('Doc Há Pagar | Rodopar 1015'!$J:$J,'Doc Há Pagar | Rodopar 1015'!$A:$A,$B470&amp;$E470&amp;$F470,'Doc Há Pagar | Rodopar 1015'!$B:$B,AC$1)</f>
        <v>0</v>
      </c>
      <c r="AD470" s="20">
        <f>SUMIFS('Doc''s Pagos | Rodopar 108'!$J:$J,'Doc''s Pagos | Rodopar 108'!$A:$A,$B470&amp;$E470&amp;$F470&amp;$J470,'Doc''s Pagos | Rodopar 108'!$B:$B,AD$1)+SUMIFS('Doc Há Pagar | Rodopar 1015'!$J:$J,'Doc Há Pagar | Rodopar 1015'!$A:$A,$B470&amp;$E470&amp;$F470,'Doc Há Pagar | Rodopar 1015'!$B:$B,AD$1)</f>
        <v>0</v>
      </c>
    </row>
    <row r="471" spans="1:30" x14ac:dyDescent="0.25">
      <c r="A471" s="1" t="str">
        <f>VLOOKUP($E471,Fornecedores!$A:$C,3,0)</f>
        <v>Frota</v>
      </c>
      <c r="B471" s="14">
        <v>42152</v>
      </c>
      <c r="C471" s="14" t="str">
        <f>IFERROR(VLOOKUP($E471,Fornecedores!$A:$E,4,0),"")</f>
        <v>Manutenção</v>
      </c>
      <c r="D471" s="14" t="str">
        <f>IFERROR(VLOOKUP($E471,Fornecedores!$A:$E,5,0),"")</f>
        <v>Vans</v>
      </c>
      <c r="E471" s="8" t="s">
        <v>133</v>
      </c>
      <c r="F471" s="14" t="s">
        <v>380</v>
      </c>
      <c r="G471" s="8" t="s">
        <v>493</v>
      </c>
      <c r="H471" s="9">
        <v>87</v>
      </c>
      <c r="I471" s="21">
        <v>1350.18</v>
      </c>
      <c r="J471" s="11">
        <v>46282</v>
      </c>
      <c r="K471" s="11">
        <v>46286</v>
      </c>
      <c r="L471" s="8" t="s">
        <v>494</v>
      </c>
      <c r="M471" s="14" t="s">
        <v>234</v>
      </c>
      <c r="N471" s="16">
        <v>1556</v>
      </c>
      <c r="O471" s="14" t="s">
        <v>241</v>
      </c>
      <c r="P471" s="14"/>
      <c r="Q471" s="20">
        <f t="shared" si="7"/>
        <v>0</v>
      </c>
      <c r="S471" s="20">
        <f>SUMIFS('Doc''s Pagos | Rodopar 108'!$J:$J,'Doc''s Pagos | Rodopar 108'!$A:$A,$B471&amp;$E471&amp;$F471&amp;$J471,'Doc''s Pagos | Rodopar 108'!$B:$B,S$1)+SUMIFS('Doc Há Pagar | Rodopar 1015'!$J:$J,'Doc Há Pagar | Rodopar 1015'!$A:$A,$B471&amp;$E471&amp;$F471,'Doc Há Pagar | Rodopar 1015'!$B:$B,S$1)</f>
        <v>0</v>
      </c>
      <c r="T471" s="20">
        <f>SUMIFS('Doc''s Pagos | Rodopar 108'!$J:$J,'Doc''s Pagos | Rodopar 108'!$A:$A,$B471&amp;$E471&amp;$F471&amp;$J471,'Doc''s Pagos | Rodopar 108'!$B:$B,T$1)+SUMIFS('Doc Há Pagar | Rodopar 1015'!$J:$J,'Doc Há Pagar | Rodopar 1015'!$A:$A,$B471&amp;$E471&amp;$F471,'Doc Há Pagar | Rodopar 1015'!$B:$B,T$1)</f>
        <v>0</v>
      </c>
      <c r="U471" s="20">
        <f>SUMIFS('Doc''s Pagos | Rodopar 108'!$J:$J,'Doc''s Pagos | Rodopar 108'!$A:$A,$B471&amp;$E471&amp;$F471&amp;$J471,'Doc''s Pagos | Rodopar 108'!$B:$B,U$1)+SUMIFS('Doc Há Pagar | Rodopar 1015'!$J:$J,'Doc Há Pagar | Rodopar 1015'!$A:$A,$B471&amp;$E471&amp;$F471,'Doc Há Pagar | Rodopar 1015'!$B:$B,U$1)</f>
        <v>0</v>
      </c>
      <c r="V471" s="20">
        <f>SUMIFS('Doc''s Pagos | Rodopar 108'!$J:$J,'Doc''s Pagos | Rodopar 108'!$A:$A,$B471&amp;$E471&amp;$F471&amp;$J471,'Doc''s Pagos | Rodopar 108'!$B:$B,V$1)+SUMIFS('Doc Há Pagar | Rodopar 1015'!$J:$J,'Doc Há Pagar | Rodopar 1015'!$A:$A,$B471&amp;$E471&amp;$F471,'Doc Há Pagar | Rodopar 1015'!$B:$B,V$1)</f>
        <v>0</v>
      </c>
      <c r="W471" s="20">
        <f>SUMIFS('Doc''s Pagos | Rodopar 108'!$J:$J,'Doc''s Pagos | Rodopar 108'!$A:$A,$B471&amp;$E471&amp;$F471&amp;$J471,'Doc''s Pagos | Rodopar 108'!$B:$B,W$1)+SUMIFS('Doc Há Pagar | Rodopar 1015'!$J:$J,'Doc Há Pagar | Rodopar 1015'!$A:$A,$B471&amp;$E471&amp;$F471,'Doc Há Pagar | Rodopar 1015'!$B:$B,W$1)</f>
        <v>0</v>
      </c>
      <c r="X471" s="20">
        <f>SUMIFS('Doc''s Pagos | Rodopar 108'!$J:$J,'Doc''s Pagos | Rodopar 108'!$A:$A,$B471&amp;$E471&amp;$F471&amp;$J471,'Doc''s Pagos | Rodopar 108'!$B:$B,X$1)+SUMIFS('Doc Há Pagar | Rodopar 1015'!$J:$J,'Doc Há Pagar | Rodopar 1015'!$A:$A,$B471&amp;$E471&amp;$F471,'Doc Há Pagar | Rodopar 1015'!$B:$B,X$1)</f>
        <v>0</v>
      </c>
      <c r="Y471" s="20">
        <f>SUMIFS('Doc''s Pagos | Rodopar 108'!$J:$J,'Doc''s Pagos | Rodopar 108'!$A:$A,$B471&amp;$E471&amp;$F471&amp;$J471,'Doc''s Pagos | Rodopar 108'!$B:$B,Y$1)+SUMIFS('Doc Há Pagar | Rodopar 1015'!$J:$J,'Doc Há Pagar | Rodopar 1015'!$A:$A,$B471&amp;$E471&amp;$F471,'Doc Há Pagar | Rodopar 1015'!$B:$B,Y$1)</f>
        <v>0</v>
      </c>
      <c r="Z471" s="20">
        <f>SUMIFS('Doc''s Pagos | Rodopar 108'!$J:$J,'Doc''s Pagos | Rodopar 108'!$A:$A,$B471&amp;$E471&amp;$F471&amp;$J471,'Doc''s Pagos | Rodopar 108'!$B:$B,Z$1)+SUMIFS('Doc Há Pagar | Rodopar 1015'!$J:$J,'Doc Há Pagar | Rodopar 1015'!$A:$A,$B471&amp;$E471&amp;$F471,'Doc Há Pagar | Rodopar 1015'!$B:$B,Z$1)</f>
        <v>0</v>
      </c>
      <c r="AA471" s="20">
        <f>SUMIFS('Doc''s Pagos | Rodopar 108'!$J:$J,'Doc''s Pagos | Rodopar 108'!$A:$A,$B471&amp;$E471&amp;$F471&amp;$J471,'Doc''s Pagos | Rodopar 108'!$B:$B,AA$1)+SUMIFS('Doc Há Pagar | Rodopar 1015'!$J:$J,'Doc Há Pagar | Rodopar 1015'!$A:$A,$B471&amp;$E471&amp;$F471,'Doc Há Pagar | Rodopar 1015'!$B:$B,AA$1)</f>
        <v>0</v>
      </c>
      <c r="AB471" s="20">
        <f>SUMIFS('Doc''s Pagos | Rodopar 108'!$J:$J,'Doc''s Pagos | Rodopar 108'!$A:$A,$B471&amp;$E471&amp;$F471&amp;$J471,'Doc''s Pagos | Rodopar 108'!$B:$B,AB$1)+SUMIFS('Doc Há Pagar | Rodopar 1015'!$J:$J,'Doc Há Pagar | Rodopar 1015'!$A:$A,$B471&amp;$E471&amp;$F471,'Doc Há Pagar | Rodopar 1015'!$B:$B,AB$1)</f>
        <v>1350.18</v>
      </c>
      <c r="AC471" s="20">
        <f>SUMIFS('Doc''s Pagos | Rodopar 108'!$J:$J,'Doc''s Pagos | Rodopar 108'!$A:$A,$B471&amp;$E471&amp;$F471&amp;$J471,'Doc''s Pagos | Rodopar 108'!$B:$B,AC$1)+SUMIFS('Doc Há Pagar | Rodopar 1015'!$J:$J,'Doc Há Pagar | Rodopar 1015'!$A:$A,$B471&amp;$E471&amp;$F471,'Doc Há Pagar | Rodopar 1015'!$B:$B,AC$1)</f>
        <v>0</v>
      </c>
      <c r="AD471" s="20">
        <f>SUMIFS('Doc''s Pagos | Rodopar 108'!$J:$J,'Doc''s Pagos | Rodopar 108'!$A:$A,$B471&amp;$E471&amp;$F471&amp;$J471,'Doc''s Pagos | Rodopar 108'!$B:$B,AD$1)+SUMIFS('Doc Há Pagar | Rodopar 1015'!$J:$J,'Doc Há Pagar | Rodopar 1015'!$A:$A,$B471&amp;$E471&amp;$F471,'Doc Há Pagar | Rodopar 1015'!$B:$B,AD$1)</f>
        <v>0</v>
      </c>
    </row>
    <row r="472" spans="1:30" x14ac:dyDescent="0.25">
      <c r="A472" s="1" t="str">
        <f>VLOOKUP($E472,Fornecedores!$A:$C,3,0)</f>
        <v>Frota</v>
      </c>
      <c r="B472" s="14">
        <v>365</v>
      </c>
      <c r="C472" s="14" t="str">
        <f>IFERROR(VLOOKUP($E472,Fornecedores!$A:$E,4,0),"")</f>
        <v>Sinistro</v>
      </c>
      <c r="D472" s="14" t="str">
        <f>IFERROR(VLOOKUP($E472,Fornecedores!$A:$E,5,0),"")</f>
        <v>Guincho</v>
      </c>
      <c r="E472" s="8" t="s">
        <v>206</v>
      </c>
      <c r="F472" s="14" t="s">
        <v>665</v>
      </c>
      <c r="G472" s="8" t="s">
        <v>646</v>
      </c>
      <c r="H472" s="9">
        <v>87</v>
      </c>
      <c r="I472" s="21">
        <v>2500</v>
      </c>
      <c r="J472" s="11">
        <v>46283</v>
      </c>
      <c r="K472" s="11">
        <v>46287</v>
      </c>
      <c r="L472" s="8" t="s">
        <v>282</v>
      </c>
      <c r="M472" s="14" t="s">
        <v>234</v>
      </c>
      <c r="N472" s="16">
        <v>1556</v>
      </c>
      <c r="O472" s="14" t="s">
        <v>241</v>
      </c>
      <c r="P472" s="14"/>
      <c r="Q472" s="20">
        <f t="shared" si="7"/>
        <v>0</v>
      </c>
      <c r="S472" s="20">
        <f>SUMIFS('Doc''s Pagos | Rodopar 108'!$J:$J,'Doc''s Pagos | Rodopar 108'!$A:$A,$B472&amp;$E472&amp;$F472&amp;$J472,'Doc''s Pagos | Rodopar 108'!$B:$B,S$1)+SUMIFS('Doc Há Pagar | Rodopar 1015'!$J:$J,'Doc Há Pagar | Rodopar 1015'!$A:$A,$B472&amp;$E472&amp;$F472,'Doc Há Pagar | Rodopar 1015'!$B:$B,S$1)</f>
        <v>0</v>
      </c>
      <c r="T472" s="20">
        <f>SUMIFS('Doc''s Pagos | Rodopar 108'!$J:$J,'Doc''s Pagos | Rodopar 108'!$A:$A,$B472&amp;$E472&amp;$F472&amp;$J472,'Doc''s Pagos | Rodopar 108'!$B:$B,T$1)+SUMIFS('Doc Há Pagar | Rodopar 1015'!$J:$J,'Doc Há Pagar | Rodopar 1015'!$A:$A,$B472&amp;$E472&amp;$F472,'Doc Há Pagar | Rodopar 1015'!$B:$B,T$1)</f>
        <v>0</v>
      </c>
      <c r="U472" s="20">
        <f>SUMIFS('Doc''s Pagos | Rodopar 108'!$J:$J,'Doc''s Pagos | Rodopar 108'!$A:$A,$B472&amp;$E472&amp;$F472&amp;$J472,'Doc''s Pagos | Rodopar 108'!$B:$B,U$1)+SUMIFS('Doc Há Pagar | Rodopar 1015'!$J:$J,'Doc Há Pagar | Rodopar 1015'!$A:$A,$B472&amp;$E472&amp;$F472,'Doc Há Pagar | Rodopar 1015'!$B:$B,U$1)</f>
        <v>0</v>
      </c>
      <c r="V472" s="20">
        <f>SUMIFS('Doc''s Pagos | Rodopar 108'!$J:$J,'Doc''s Pagos | Rodopar 108'!$A:$A,$B472&amp;$E472&amp;$F472&amp;$J472,'Doc''s Pagos | Rodopar 108'!$B:$B,V$1)+SUMIFS('Doc Há Pagar | Rodopar 1015'!$J:$J,'Doc Há Pagar | Rodopar 1015'!$A:$A,$B472&amp;$E472&amp;$F472,'Doc Há Pagar | Rodopar 1015'!$B:$B,V$1)</f>
        <v>0</v>
      </c>
      <c r="W472" s="20">
        <f>SUMIFS('Doc''s Pagos | Rodopar 108'!$J:$J,'Doc''s Pagos | Rodopar 108'!$A:$A,$B472&amp;$E472&amp;$F472&amp;$J472,'Doc''s Pagos | Rodopar 108'!$B:$B,W$1)+SUMIFS('Doc Há Pagar | Rodopar 1015'!$J:$J,'Doc Há Pagar | Rodopar 1015'!$A:$A,$B472&amp;$E472&amp;$F472,'Doc Há Pagar | Rodopar 1015'!$B:$B,W$1)</f>
        <v>0</v>
      </c>
      <c r="X472" s="20">
        <f>SUMIFS('Doc''s Pagos | Rodopar 108'!$J:$J,'Doc''s Pagos | Rodopar 108'!$A:$A,$B472&amp;$E472&amp;$F472&amp;$J472,'Doc''s Pagos | Rodopar 108'!$B:$B,X$1)+SUMIFS('Doc Há Pagar | Rodopar 1015'!$J:$J,'Doc Há Pagar | Rodopar 1015'!$A:$A,$B472&amp;$E472&amp;$F472,'Doc Há Pagar | Rodopar 1015'!$B:$B,X$1)</f>
        <v>0</v>
      </c>
      <c r="Y472" s="20">
        <f>SUMIFS('Doc''s Pagos | Rodopar 108'!$J:$J,'Doc''s Pagos | Rodopar 108'!$A:$A,$B472&amp;$E472&amp;$F472&amp;$J472,'Doc''s Pagos | Rodopar 108'!$B:$B,Y$1)+SUMIFS('Doc Há Pagar | Rodopar 1015'!$J:$J,'Doc Há Pagar | Rodopar 1015'!$A:$A,$B472&amp;$E472&amp;$F472,'Doc Há Pagar | Rodopar 1015'!$B:$B,Y$1)</f>
        <v>0</v>
      </c>
      <c r="Z472" s="20">
        <f>SUMIFS('Doc''s Pagos | Rodopar 108'!$J:$J,'Doc''s Pagos | Rodopar 108'!$A:$A,$B472&amp;$E472&amp;$F472&amp;$J472,'Doc''s Pagos | Rodopar 108'!$B:$B,Z$1)+SUMIFS('Doc Há Pagar | Rodopar 1015'!$J:$J,'Doc Há Pagar | Rodopar 1015'!$A:$A,$B472&amp;$E472&amp;$F472,'Doc Há Pagar | Rodopar 1015'!$B:$B,Z$1)</f>
        <v>0</v>
      </c>
      <c r="AA472" s="20">
        <f>SUMIFS('Doc''s Pagos | Rodopar 108'!$J:$J,'Doc''s Pagos | Rodopar 108'!$A:$A,$B472&amp;$E472&amp;$F472&amp;$J472,'Doc''s Pagos | Rodopar 108'!$B:$B,AA$1)+SUMIFS('Doc Há Pagar | Rodopar 1015'!$J:$J,'Doc Há Pagar | Rodopar 1015'!$A:$A,$B472&amp;$E472&amp;$F472,'Doc Há Pagar | Rodopar 1015'!$B:$B,AA$1)</f>
        <v>0</v>
      </c>
      <c r="AB472" s="20">
        <f>SUMIFS('Doc''s Pagos | Rodopar 108'!$J:$J,'Doc''s Pagos | Rodopar 108'!$A:$A,$B472&amp;$E472&amp;$F472&amp;$J472,'Doc''s Pagos | Rodopar 108'!$B:$B,AB$1)+SUMIFS('Doc Há Pagar | Rodopar 1015'!$J:$J,'Doc Há Pagar | Rodopar 1015'!$A:$A,$B472&amp;$E472&amp;$F472,'Doc Há Pagar | Rodopar 1015'!$B:$B,AB$1)</f>
        <v>2500</v>
      </c>
      <c r="AC472" s="20">
        <f>SUMIFS('Doc''s Pagos | Rodopar 108'!$J:$J,'Doc''s Pagos | Rodopar 108'!$A:$A,$B472&amp;$E472&amp;$F472&amp;$J472,'Doc''s Pagos | Rodopar 108'!$B:$B,AC$1)+SUMIFS('Doc Há Pagar | Rodopar 1015'!$J:$J,'Doc Há Pagar | Rodopar 1015'!$A:$A,$B472&amp;$E472&amp;$F472,'Doc Há Pagar | Rodopar 1015'!$B:$B,AC$1)</f>
        <v>0</v>
      </c>
      <c r="AD472" s="20">
        <f>SUMIFS('Doc''s Pagos | Rodopar 108'!$J:$J,'Doc''s Pagos | Rodopar 108'!$A:$A,$B472&amp;$E472&amp;$F472&amp;$J472,'Doc''s Pagos | Rodopar 108'!$B:$B,AD$1)+SUMIFS('Doc Há Pagar | Rodopar 1015'!$J:$J,'Doc Há Pagar | Rodopar 1015'!$A:$A,$B472&amp;$E472&amp;$F472,'Doc Há Pagar | Rodopar 1015'!$B:$B,AD$1)</f>
        <v>0</v>
      </c>
    </row>
    <row r="473" spans="1:30" x14ac:dyDescent="0.25">
      <c r="A473" s="1" t="str">
        <f>VLOOKUP($E473,Fornecedores!$A:$C,3,0)</f>
        <v>Frota</v>
      </c>
      <c r="B473" s="14">
        <v>1036753</v>
      </c>
      <c r="C473" s="14" t="str">
        <f>IFERROR(VLOOKUP($E473,Fornecedores!$A:$E,4,0),"")</f>
        <v>Manutenção</v>
      </c>
      <c r="D473" s="14" t="str">
        <f>IFERROR(VLOOKUP($E473,Fornecedores!$A:$E,5,0),"")</f>
        <v>Caminhão</v>
      </c>
      <c r="E473" s="8" t="s">
        <v>190</v>
      </c>
      <c r="F473" s="14" t="s">
        <v>380</v>
      </c>
      <c r="G473" s="8" t="s">
        <v>381</v>
      </c>
      <c r="H473" s="9">
        <v>87</v>
      </c>
      <c r="I473" s="21">
        <v>5182.43</v>
      </c>
      <c r="J473" s="11">
        <v>46286</v>
      </c>
      <c r="K473" s="11">
        <v>46296</v>
      </c>
      <c r="L473" s="8" t="s">
        <v>382</v>
      </c>
      <c r="M473" s="14" t="s">
        <v>234</v>
      </c>
      <c r="N473" s="16">
        <v>1556</v>
      </c>
      <c r="O473" s="14" t="s">
        <v>250</v>
      </c>
      <c r="P473" s="14"/>
      <c r="Q473" s="20">
        <f t="shared" si="7"/>
        <v>0</v>
      </c>
      <c r="S473" s="20">
        <f>SUMIFS('Doc''s Pagos | Rodopar 108'!$J:$J,'Doc''s Pagos | Rodopar 108'!$A:$A,$B473&amp;$E473&amp;$F473&amp;$J473,'Doc''s Pagos | Rodopar 108'!$B:$B,S$1)+SUMIFS('Doc Há Pagar | Rodopar 1015'!$J:$J,'Doc Há Pagar | Rodopar 1015'!$A:$A,$B473&amp;$E473&amp;$F473,'Doc Há Pagar | Rodopar 1015'!$B:$B,S$1)</f>
        <v>0</v>
      </c>
      <c r="T473" s="20">
        <f>SUMIFS('Doc''s Pagos | Rodopar 108'!$J:$J,'Doc''s Pagos | Rodopar 108'!$A:$A,$B473&amp;$E473&amp;$F473&amp;$J473,'Doc''s Pagos | Rodopar 108'!$B:$B,T$1)+SUMIFS('Doc Há Pagar | Rodopar 1015'!$J:$J,'Doc Há Pagar | Rodopar 1015'!$A:$A,$B473&amp;$E473&amp;$F473,'Doc Há Pagar | Rodopar 1015'!$B:$B,T$1)</f>
        <v>0</v>
      </c>
      <c r="U473" s="20">
        <f>SUMIFS('Doc''s Pagos | Rodopar 108'!$J:$J,'Doc''s Pagos | Rodopar 108'!$A:$A,$B473&amp;$E473&amp;$F473&amp;$J473,'Doc''s Pagos | Rodopar 108'!$B:$B,U$1)+SUMIFS('Doc Há Pagar | Rodopar 1015'!$J:$J,'Doc Há Pagar | Rodopar 1015'!$A:$A,$B473&amp;$E473&amp;$F473,'Doc Há Pagar | Rodopar 1015'!$B:$B,U$1)</f>
        <v>0</v>
      </c>
      <c r="V473" s="20">
        <f>SUMIFS('Doc''s Pagos | Rodopar 108'!$J:$J,'Doc''s Pagos | Rodopar 108'!$A:$A,$B473&amp;$E473&amp;$F473&amp;$J473,'Doc''s Pagos | Rodopar 108'!$B:$B,V$1)+SUMIFS('Doc Há Pagar | Rodopar 1015'!$J:$J,'Doc Há Pagar | Rodopar 1015'!$A:$A,$B473&amp;$E473&amp;$F473,'Doc Há Pagar | Rodopar 1015'!$B:$B,V$1)</f>
        <v>0</v>
      </c>
      <c r="W473" s="20">
        <f>SUMIFS('Doc''s Pagos | Rodopar 108'!$J:$J,'Doc''s Pagos | Rodopar 108'!$A:$A,$B473&amp;$E473&amp;$F473&amp;$J473,'Doc''s Pagos | Rodopar 108'!$B:$B,W$1)+SUMIFS('Doc Há Pagar | Rodopar 1015'!$J:$J,'Doc Há Pagar | Rodopar 1015'!$A:$A,$B473&amp;$E473&amp;$F473,'Doc Há Pagar | Rodopar 1015'!$B:$B,W$1)</f>
        <v>0</v>
      </c>
      <c r="X473" s="20">
        <f>SUMIFS('Doc''s Pagos | Rodopar 108'!$J:$J,'Doc''s Pagos | Rodopar 108'!$A:$A,$B473&amp;$E473&amp;$F473&amp;$J473,'Doc''s Pagos | Rodopar 108'!$B:$B,X$1)+SUMIFS('Doc Há Pagar | Rodopar 1015'!$J:$J,'Doc Há Pagar | Rodopar 1015'!$A:$A,$B473&amp;$E473&amp;$F473,'Doc Há Pagar | Rodopar 1015'!$B:$B,X$1)</f>
        <v>0</v>
      </c>
      <c r="Y473" s="20">
        <f>SUMIFS('Doc''s Pagos | Rodopar 108'!$J:$J,'Doc''s Pagos | Rodopar 108'!$A:$A,$B473&amp;$E473&amp;$F473&amp;$J473,'Doc''s Pagos | Rodopar 108'!$B:$B,Y$1)+SUMIFS('Doc Há Pagar | Rodopar 1015'!$J:$J,'Doc Há Pagar | Rodopar 1015'!$A:$A,$B473&amp;$E473&amp;$F473,'Doc Há Pagar | Rodopar 1015'!$B:$B,Y$1)</f>
        <v>0</v>
      </c>
      <c r="Z473" s="20">
        <f>SUMIFS('Doc''s Pagos | Rodopar 108'!$J:$J,'Doc''s Pagos | Rodopar 108'!$A:$A,$B473&amp;$E473&amp;$F473&amp;$J473,'Doc''s Pagos | Rodopar 108'!$B:$B,Z$1)+SUMIFS('Doc Há Pagar | Rodopar 1015'!$J:$J,'Doc Há Pagar | Rodopar 1015'!$A:$A,$B473&amp;$E473&amp;$F473,'Doc Há Pagar | Rodopar 1015'!$B:$B,Z$1)</f>
        <v>0</v>
      </c>
      <c r="AA473" s="20">
        <f>SUMIFS('Doc''s Pagos | Rodopar 108'!$J:$J,'Doc''s Pagos | Rodopar 108'!$A:$A,$B473&amp;$E473&amp;$F473&amp;$J473,'Doc''s Pagos | Rodopar 108'!$B:$B,AA$1)+SUMIFS('Doc Há Pagar | Rodopar 1015'!$J:$J,'Doc Há Pagar | Rodopar 1015'!$A:$A,$B473&amp;$E473&amp;$F473,'Doc Há Pagar | Rodopar 1015'!$B:$B,AA$1)</f>
        <v>0</v>
      </c>
      <c r="AB473" s="20">
        <f>SUMIFS('Doc''s Pagos | Rodopar 108'!$J:$J,'Doc''s Pagos | Rodopar 108'!$A:$A,$B473&amp;$E473&amp;$F473&amp;$J473,'Doc''s Pagos | Rodopar 108'!$B:$B,AB$1)+SUMIFS('Doc Há Pagar | Rodopar 1015'!$J:$J,'Doc Há Pagar | Rodopar 1015'!$A:$A,$B473&amp;$E473&amp;$F473,'Doc Há Pagar | Rodopar 1015'!$B:$B,AB$1)</f>
        <v>5182.43</v>
      </c>
      <c r="AC473" s="20">
        <f>SUMIFS('Doc''s Pagos | Rodopar 108'!$J:$J,'Doc''s Pagos | Rodopar 108'!$A:$A,$B473&amp;$E473&amp;$F473&amp;$J473,'Doc''s Pagos | Rodopar 108'!$B:$B,AC$1)+SUMIFS('Doc Há Pagar | Rodopar 1015'!$J:$J,'Doc Há Pagar | Rodopar 1015'!$A:$A,$B473&amp;$E473&amp;$F473,'Doc Há Pagar | Rodopar 1015'!$B:$B,AC$1)</f>
        <v>0</v>
      </c>
      <c r="AD473" s="20">
        <f>SUMIFS('Doc''s Pagos | Rodopar 108'!$J:$J,'Doc''s Pagos | Rodopar 108'!$A:$A,$B473&amp;$E473&amp;$F473&amp;$J473,'Doc''s Pagos | Rodopar 108'!$B:$B,AD$1)+SUMIFS('Doc Há Pagar | Rodopar 1015'!$J:$J,'Doc Há Pagar | Rodopar 1015'!$A:$A,$B473&amp;$E473&amp;$F473,'Doc Há Pagar | Rodopar 1015'!$B:$B,AD$1)</f>
        <v>0</v>
      </c>
    </row>
    <row r="474" spans="1:30" x14ac:dyDescent="0.25">
      <c r="A474" s="1" t="str">
        <f>VLOOKUP($E474,Fornecedores!$A:$C,3,0)</f>
        <v>Frota</v>
      </c>
      <c r="B474" s="14">
        <v>8710</v>
      </c>
      <c r="C474" s="14" t="str">
        <f>IFERROR(VLOOKUP($E474,Fornecedores!$A:$E,4,0),"")</f>
        <v>Manutenção</v>
      </c>
      <c r="D474" s="14" t="str">
        <f>IFERROR(VLOOKUP($E474,Fornecedores!$A:$E,5,0),"")</f>
        <v>Vans</v>
      </c>
      <c r="E474" s="8" t="s">
        <v>159</v>
      </c>
      <c r="F474" s="14" t="s">
        <v>380</v>
      </c>
      <c r="G474" s="8" t="s">
        <v>588</v>
      </c>
      <c r="H474" s="9">
        <v>87</v>
      </c>
      <c r="I474" s="21">
        <v>1640</v>
      </c>
      <c r="J474" s="11">
        <v>46286</v>
      </c>
      <c r="K474" s="11">
        <v>46287</v>
      </c>
      <c r="L474" s="8" t="s">
        <v>501</v>
      </c>
      <c r="M474" s="14" t="s">
        <v>234</v>
      </c>
      <c r="N474" s="16">
        <v>1556</v>
      </c>
      <c r="O474" s="14" t="s">
        <v>250</v>
      </c>
      <c r="P474" s="14"/>
      <c r="Q474" s="20">
        <f t="shared" si="7"/>
        <v>0</v>
      </c>
      <c r="S474" s="20">
        <f>SUMIFS('Doc''s Pagos | Rodopar 108'!$J:$J,'Doc''s Pagos | Rodopar 108'!$A:$A,$B474&amp;$E474&amp;$F474&amp;$J474,'Doc''s Pagos | Rodopar 108'!$B:$B,S$1)+SUMIFS('Doc Há Pagar | Rodopar 1015'!$J:$J,'Doc Há Pagar | Rodopar 1015'!$A:$A,$B474&amp;$E474&amp;$F474,'Doc Há Pagar | Rodopar 1015'!$B:$B,S$1)</f>
        <v>0</v>
      </c>
      <c r="T474" s="20">
        <f>SUMIFS('Doc''s Pagos | Rodopar 108'!$J:$J,'Doc''s Pagos | Rodopar 108'!$A:$A,$B474&amp;$E474&amp;$F474&amp;$J474,'Doc''s Pagos | Rodopar 108'!$B:$B,T$1)+SUMIFS('Doc Há Pagar | Rodopar 1015'!$J:$J,'Doc Há Pagar | Rodopar 1015'!$A:$A,$B474&amp;$E474&amp;$F474,'Doc Há Pagar | Rodopar 1015'!$B:$B,T$1)</f>
        <v>0</v>
      </c>
      <c r="U474" s="20">
        <f>SUMIFS('Doc''s Pagos | Rodopar 108'!$J:$J,'Doc''s Pagos | Rodopar 108'!$A:$A,$B474&amp;$E474&amp;$F474&amp;$J474,'Doc''s Pagos | Rodopar 108'!$B:$B,U$1)+SUMIFS('Doc Há Pagar | Rodopar 1015'!$J:$J,'Doc Há Pagar | Rodopar 1015'!$A:$A,$B474&amp;$E474&amp;$F474,'Doc Há Pagar | Rodopar 1015'!$B:$B,U$1)</f>
        <v>0</v>
      </c>
      <c r="V474" s="20">
        <f>SUMIFS('Doc''s Pagos | Rodopar 108'!$J:$J,'Doc''s Pagos | Rodopar 108'!$A:$A,$B474&amp;$E474&amp;$F474&amp;$J474,'Doc''s Pagos | Rodopar 108'!$B:$B,V$1)+SUMIFS('Doc Há Pagar | Rodopar 1015'!$J:$J,'Doc Há Pagar | Rodopar 1015'!$A:$A,$B474&amp;$E474&amp;$F474,'Doc Há Pagar | Rodopar 1015'!$B:$B,V$1)</f>
        <v>0</v>
      </c>
      <c r="W474" s="20">
        <f>SUMIFS('Doc''s Pagos | Rodopar 108'!$J:$J,'Doc''s Pagos | Rodopar 108'!$A:$A,$B474&amp;$E474&amp;$F474&amp;$J474,'Doc''s Pagos | Rodopar 108'!$B:$B,W$1)+SUMIFS('Doc Há Pagar | Rodopar 1015'!$J:$J,'Doc Há Pagar | Rodopar 1015'!$A:$A,$B474&amp;$E474&amp;$F474,'Doc Há Pagar | Rodopar 1015'!$B:$B,W$1)</f>
        <v>0</v>
      </c>
      <c r="X474" s="20">
        <f>SUMIFS('Doc''s Pagos | Rodopar 108'!$J:$J,'Doc''s Pagos | Rodopar 108'!$A:$A,$B474&amp;$E474&amp;$F474&amp;$J474,'Doc''s Pagos | Rodopar 108'!$B:$B,X$1)+SUMIFS('Doc Há Pagar | Rodopar 1015'!$J:$J,'Doc Há Pagar | Rodopar 1015'!$A:$A,$B474&amp;$E474&amp;$F474,'Doc Há Pagar | Rodopar 1015'!$B:$B,X$1)</f>
        <v>0</v>
      </c>
      <c r="Y474" s="20">
        <f>SUMIFS('Doc''s Pagos | Rodopar 108'!$J:$J,'Doc''s Pagos | Rodopar 108'!$A:$A,$B474&amp;$E474&amp;$F474&amp;$J474,'Doc''s Pagos | Rodopar 108'!$B:$B,Y$1)+SUMIFS('Doc Há Pagar | Rodopar 1015'!$J:$J,'Doc Há Pagar | Rodopar 1015'!$A:$A,$B474&amp;$E474&amp;$F474,'Doc Há Pagar | Rodopar 1015'!$B:$B,Y$1)</f>
        <v>0</v>
      </c>
      <c r="Z474" s="20">
        <f>SUMIFS('Doc''s Pagos | Rodopar 108'!$J:$J,'Doc''s Pagos | Rodopar 108'!$A:$A,$B474&amp;$E474&amp;$F474&amp;$J474,'Doc''s Pagos | Rodopar 108'!$B:$B,Z$1)+SUMIFS('Doc Há Pagar | Rodopar 1015'!$J:$J,'Doc Há Pagar | Rodopar 1015'!$A:$A,$B474&amp;$E474&amp;$F474,'Doc Há Pagar | Rodopar 1015'!$B:$B,Z$1)</f>
        <v>0</v>
      </c>
      <c r="AA474" s="20">
        <f>SUMIFS('Doc''s Pagos | Rodopar 108'!$J:$J,'Doc''s Pagos | Rodopar 108'!$A:$A,$B474&amp;$E474&amp;$F474&amp;$J474,'Doc''s Pagos | Rodopar 108'!$B:$B,AA$1)+SUMIFS('Doc Há Pagar | Rodopar 1015'!$J:$J,'Doc Há Pagar | Rodopar 1015'!$A:$A,$B474&amp;$E474&amp;$F474,'Doc Há Pagar | Rodopar 1015'!$B:$B,AA$1)</f>
        <v>0</v>
      </c>
      <c r="AB474" s="20">
        <f>SUMIFS('Doc''s Pagos | Rodopar 108'!$J:$J,'Doc''s Pagos | Rodopar 108'!$A:$A,$B474&amp;$E474&amp;$F474&amp;$J474,'Doc''s Pagos | Rodopar 108'!$B:$B,AB$1)+SUMIFS('Doc Há Pagar | Rodopar 1015'!$J:$J,'Doc Há Pagar | Rodopar 1015'!$A:$A,$B474&amp;$E474&amp;$F474,'Doc Há Pagar | Rodopar 1015'!$B:$B,AB$1)</f>
        <v>820</v>
      </c>
      <c r="AC474" s="20">
        <f>SUMIFS('Doc''s Pagos | Rodopar 108'!$J:$J,'Doc''s Pagos | Rodopar 108'!$A:$A,$B474&amp;$E474&amp;$F474&amp;$J474,'Doc''s Pagos | Rodopar 108'!$B:$B,AC$1)+SUMIFS('Doc Há Pagar | Rodopar 1015'!$J:$J,'Doc Há Pagar | Rodopar 1015'!$A:$A,$B474&amp;$E474&amp;$F474,'Doc Há Pagar | Rodopar 1015'!$B:$B,AC$1)</f>
        <v>820</v>
      </c>
      <c r="AD474" s="20">
        <f>SUMIFS('Doc''s Pagos | Rodopar 108'!$J:$J,'Doc''s Pagos | Rodopar 108'!$A:$A,$B474&amp;$E474&amp;$F474&amp;$J474,'Doc''s Pagos | Rodopar 108'!$B:$B,AD$1)+SUMIFS('Doc Há Pagar | Rodopar 1015'!$J:$J,'Doc Há Pagar | Rodopar 1015'!$A:$A,$B474&amp;$E474&amp;$F474,'Doc Há Pagar | Rodopar 1015'!$B:$B,AD$1)</f>
        <v>0</v>
      </c>
    </row>
    <row r="475" spans="1:30" x14ac:dyDescent="0.25">
      <c r="A475" s="1" t="str">
        <f>VLOOKUP($E475,Fornecedores!$A:$C,3,0)</f>
        <v>Frota</v>
      </c>
      <c r="B475" s="14">
        <v>172</v>
      </c>
      <c r="C475" s="14" t="str">
        <f>IFERROR(VLOOKUP($E475,Fornecedores!$A:$E,4,0),"")</f>
        <v>Sinistro</v>
      </c>
      <c r="D475" s="14" t="str">
        <f>IFERROR(VLOOKUP($E475,Fornecedores!$A:$E,5,0),"")</f>
        <v>Lanternagem</v>
      </c>
      <c r="E475" s="8" t="s">
        <v>150</v>
      </c>
      <c r="F475" s="14" t="s">
        <v>665</v>
      </c>
      <c r="G475" s="8" t="s">
        <v>726</v>
      </c>
      <c r="H475" s="9">
        <v>87</v>
      </c>
      <c r="I475" s="21">
        <v>7000</v>
      </c>
      <c r="J475" s="11">
        <v>46286</v>
      </c>
      <c r="K475" s="11">
        <v>46296</v>
      </c>
      <c r="L475" s="8" t="s">
        <v>233</v>
      </c>
      <c r="M475" s="14" t="s">
        <v>234</v>
      </c>
      <c r="N475" s="16">
        <v>1556</v>
      </c>
      <c r="O475" s="14" t="s">
        <v>250</v>
      </c>
      <c r="P475" s="14"/>
      <c r="Q475" s="20">
        <f t="shared" si="7"/>
        <v>0</v>
      </c>
      <c r="S475" s="20">
        <f>SUMIFS('Doc''s Pagos | Rodopar 108'!$J:$J,'Doc''s Pagos | Rodopar 108'!$A:$A,$B475&amp;$E475&amp;$F475&amp;$J475,'Doc''s Pagos | Rodopar 108'!$B:$B,S$1)+SUMIFS('Doc Há Pagar | Rodopar 1015'!$J:$J,'Doc Há Pagar | Rodopar 1015'!$A:$A,$B475&amp;$E475&amp;$F475,'Doc Há Pagar | Rodopar 1015'!$B:$B,S$1)</f>
        <v>0</v>
      </c>
      <c r="T475" s="20">
        <f>SUMIFS('Doc''s Pagos | Rodopar 108'!$J:$J,'Doc''s Pagos | Rodopar 108'!$A:$A,$B475&amp;$E475&amp;$F475&amp;$J475,'Doc''s Pagos | Rodopar 108'!$B:$B,T$1)+SUMIFS('Doc Há Pagar | Rodopar 1015'!$J:$J,'Doc Há Pagar | Rodopar 1015'!$A:$A,$B475&amp;$E475&amp;$F475,'Doc Há Pagar | Rodopar 1015'!$B:$B,T$1)</f>
        <v>0</v>
      </c>
      <c r="U475" s="20">
        <f>SUMIFS('Doc''s Pagos | Rodopar 108'!$J:$J,'Doc''s Pagos | Rodopar 108'!$A:$A,$B475&amp;$E475&amp;$F475&amp;$J475,'Doc''s Pagos | Rodopar 108'!$B:$B,U$1)+SUMIFS('Doc Há Pagar | Rodopar 1015'!$J:$J,'Doc Há Pagar | Rodopar 1015'!$A:$A,$B475&amp;$E475&amp;$F475,'Doc Há Pagar | Rodopar 1015'!$B:$B,U$1)</f>
        <v>0</v>
      </c>
      <c r="V475" s="20">
        <f>SUMIFS('Doc''s Pagos | Rodopar 108'!$J:$J,'Doc''s Pagos | Rodopar 108'!$A:$A,$B475&amp;$E475&amp;$F475&amp;$J475,'Doc''s Pagos | Rodopar 108'!$B:$B,V$1)+SUMIFS('Doc Há Pagar | Rodopar 1015'!$J:$J,'Doc Há Pagar | Rodopar 1015'!$A:$A,$B475&amp;$E475&amp;$F475,'Doc Há Pagar | Rodopar 1015'!$B:$B,V$1)</f>
        <v>0</v>
      </c>
      <c r="W475" s="20">
        <f>SUMIFS('Doc''s Pagos | Rodopar 108'!$J:$J,'Doc''s Pagos | Rodopar 108'!$A:$A,$B475&amp;$E475&amp;$F475&amp;$J475,'Doc''s Pagos | Rodopar 108'!$B:$B,W$1)+SUMIFS('Doc Há Pagar | Rodopar 1015'!$J:$J,'Doc Há Pagar | Rodopar 1015'!$A:$A,$B475&amp;$E475&amp;$F475,'Doc Há Pagar | Rodopar 1015'!$B:$B,W$1)</f>
        <v>0</v>
      </c>
      <c r="X475" s="20">
        <f>SUMIFS('Doc''s Pagos | Rodopar 108'!$J:$J,'Doc''s Pagos | Rodopar 108'!$A:$A,$B475&amp;$E475&amp;$F475&amp;$J475,'Doc''s Pagos | Rodopar 108'!$B:$B,X$1)+SUMIFS('Doc Há Pagar | Rodopar 1015'!$J:$J,'Doc Há Pagar | Rodopar 1015'!$A:$A,$B475&amp;$E475&amp;$F475,'Doc Há Pagar | Rodopar 1015'!$B:$B,X$1)</f>
        <v>0</v>
      </c>
      <c r="Y475" s="20">
        <f>SUMIFS('Doc''s Pagos | Rodopar 108'!$J:$J,'Doc''s Pagos | Rodopar 108'!$A:$A,$B475&amp;$E475&amp;$F475&amp;$J475,'Doc''s Pagos | Rodopar 108'!$B:$B,Y$1)+SUMIFS('Doc Há Pagar | Rodopar 1015'!$J:$J,'Doc Há Pagar | Rodopar 1015'!$A:$A,$B475&amp;$E475&amp;$F475,'Doc Há Pagar | Rodopar 1015'!$B:$B,Y$1)</f>
        <v>0</v>
      </c>
      <c r="Z475" s="20">
        <f>SUMIFS('Doc''s Pagos | Rodopar 108'!$J:$J,'Doc''s Pagos | Rodopar 108'!$A:$A,$B475&amp;$E475&amp;$F475&amp;$J475,'Doc''s Pagos | Rodopar 108'!$B:$B,Z$1)+SUMIFS('Doc Há Pagar | Rodopar 1015'!$J:$J,'Doc Há Pagar | Rodopar 1015'!$A:$A,$B475&amp;$E475&amp;$F475,'Doc Há Pagar | Rodopar 1015'!$B:$B,Z$1)</f>
        <v>0</v>
      </c>
      <c r="AA475" s="20">
        <f>SUMIFS('Doc''s Pagos | Rodopar 108'!$J:$J,'Doc''s Pagos | Rodopar 108'!$A:$A,$B475&amp;$E475&amp;$F475&amp;$J475,'Doc''s Pagos | Rodopar 108'!$B:$B,AA$1)+SUMIFS('Doc Há Pagar | Rodopar 1015'!$J:$J,'Doc Há Pagar | Rodopar 1015'!$A:$A,$B475&amp;$E475&amp;$F475,'Doc Há Pagar | Rodopar 1015'!$B:$B,AA$1)</f>
        <v>0</v>
      </c>
      <c r="AB475" s="20">
        <f>SUMIFS('Doc''s Pagos | Rodopar 108'!$J:$J,'Doc''s Pagos | Rodopar 108'!$A:$A,$B475&amp;$E475&amp;$F475&amp;$J475,'Doc''s Pagos | Rodopar 108'!$B:$B,AB$1)+SUMIFS('Doc Há Pagar | Rodopar 1015'!$J:$J,'Doc Há Pagar | Rodopar 1015'!$A:$A,$B475&amp;$E475&amp;$F475,'Doc Há Pagar | Rodopar 1015'!$B:$B,AB$1)</f>
        <v>7000</v>
      </c>
      <c r="AC475" s="20">
        <f>SUMIFS('Doc''s Pagos | Rodopar 108'!$J:$J,'Doc''s Pagos | Rodopar 108'!$A:$A,$B475&amp;$E475&amp;$F475&amp;$J475,'Doc''s Pagos | Rodopar 108'!$B:$B,AC$1)+SUMIFS('Doc Há Pagar | Rodopar 1015'!$J:$J,'Doc Há Pagar | Rodopar 1015'!$A:$A,$B475&amp;$E475&amp;$F475,'Doc Há Pagar | Rodopar 1015'!$B:$B,AC$1)</f>
        <v>0</v>
      </c>
      <c r="AD475" s="20">
        <f>SUMIFS('Doc''s Pagos | Rodopar 108'!$J:$J,'Doc''s Pagos | Rodopar 108'!$A:$A,$B475&amp;$E475&amp;$F475&amp;$J475,'Doc''s Pagos | Rodopar 108'!$B:$B,AD$1)+SUMIFS('Doc Há Pagar | Rodopar 1015'!$J:$J,'Doc Há Pagar | Rodopar 1015'!$A:$A,$B475&amp;$E475&amp;$F475,'Doc Há Pagar | Rodopar 1015'!$B:$B,AD$1)</f>
        <v>0</v>
      </c>
    </row>
    <row r="476" spans="1:30" x14ac:dyDescent="0.25">
      <c r="A476" s="1" t="str">
        <f>VLOOKUP($E476,Fornecedores!$A:$C,3,0)</f>
        <v>Frota</v>
      </c>
      <c r="B476" s="14">
        <v>18803</v>
      </c>
      <c r="C476" s="14" t="str">
        <f>IFERROR(VLOOKUP($E476,Fornecedores!$A:$E,4,0),"")</f>
        <v>Manutenção</v>
      </c>
      <c r="D476" s="14" t="str">
        <f>IFERROR(VLOOKUP($E476,Fornecedores!$A:$E,5,0),"")</f>
        <v>Caminhão</v>
      </c>
      <c r="E476" s="8" t="s">
        <v>190</v>
      </c>
      <c r="F476" s="14" t="s">
        <v>665</v>
      </c>
      <c r="G476" s="8" t="s">
        <v>381</v>
      </c>
      <c r="H476" s="9">
        <v>87</v>
      </c>
      <c r="I476" s="21">
        <v>1293.58</v>
      </c>
      <c r="J476" s="11">
        <v>46286</v>
      </c>
      <c r="K476" s="11">
        <v>46296</v>
      </c>
      <c r="L476" s="8" t="s">
        <v>382</v>
      </c>
      <c r="M476" s="14" t="s">
        <v>234</v>
      </c>
      <c r="N476" s="16">
        <v>1556</v>
      </c>
      <c r="O476" s="14" t="s">
        <v>250</v>
      </c>
      <c r="P476" s="14"/>
      <c r="Q476" s="20">
        <f t="shared" si="7"/>
        <v>0</v>
      </c>
      <c r="S476" s="20">
        <f>SUMIFS('Doc''s Pagos | Rodopar 108'!$J:$J,'Doc''s Pagos | Rodopar 108'!$A:$A,$B476&amp;$E476&amp;$F476&amp;$J476,'Doc''s Pagos | Rodopar 108'!$B:$B,S$1)+SUMIFS('Doc Há Pagar | Rodopar 1015'!$J:$J,'Doc Há Pagar | Rodopar 1015'!$A:$A,$B476&amp;$E476&amp;$F476,'Doc Há Pagar | Rodopar 1015'!$B:$B,S$1)</f>
        <v>0</v>
      </c>
      <c r="T476" s="20">
        <f>SUMIFS('Doc''s Pagos | Rodopar 108'!$J:$J,'Doc''s Pagos | Rodopar 108'!$A:$A,$B476&amp;$E476&amp;$F476&amp;$J476,'Doc''s Pagos | Rodopar 108'!$B:$B,T$1)+SUMIFS('Doc Há Pagar | Rodopar 1015'!$J:$J,'Doc Há Pagar | Rodopar 1015'!$A:$A,$B476&amp;$E476&amp;$F476,'Doc Há Pagar | Rodopar 1015'!$B:$B,T$1)</f>
        <v>0</v>
      </c>
      <c r="U476" s="20">
        <f>SUMIFS('Doc''s Pagos | Rodopar 108'!$J:$J,'Doc''s Pagos | Rodopar 108'!$A:$A,$B476&amp;$E476&amp;$F476&amp;$J476,'Doc''s Pagos | Rodopar 108'!$B:$B,U$1)+SUMIFS('Doc Há Pagar | Rodopar 1015'!$J:$J,'Doc Há Pagar | Rodopar 1015'!$A:$A,$B476&amp;$E476&amp;$F476,'Doc Há Pagar | Rodopar 1015'!$B:$B,U$1)</f>
        <v>0</v>
      </c>
      <c r="V476" s="20">
        <f>SUMIFS('Doc''s Pagos | Rodopar 108'!$J:$J,'Doc''s Pagos | Rodopar 108'!$A:$A,$B476&amp;$E476&amp;$F476&amp;$J476,'Doc''s Pagos | Rodopar 108'!$B:$B,V$1)+SUMIFS('Doc Há Pagar | Rodopar 1015'!$J:$J,'Doc Há Pagar | Rodopar 1015'!$A:$A,$B476&amp;$E476&amp;$F476,'Doc Há Pagar | Rodopar 1015'!$B:$B,V$1)</f>
        <v>0</v>
      </c>
      <c r="W476" s="20">
        <f>SUMIFS('Doc''s Pagos | Rodopar 108'!$J:$J,'Doc''s Pagos | Rodopar 108'!$A:$A,$B476&amp;$E476&amp;$F476&amp;$J476,'Doc''s Pagos | Rodopar 108'!$B:$B,W$1)+SUMIFS('Doc Há Pagar | Rodopar 1015'!$J:$J,'Doc Há Pagar | Rodopar 1015'!$A:$A,$B476&amp;$E476&amp;$F476,'Doc Há Pagar | Rodopar 1015'!$B:$B,W$1)</f>
        <v>0</v>
      </c>
      <c r="X476" s="20">
        <f>SUMIFS('Doc''s Pagos | Rodopar 108'!$J:$J,'Doc''s Pagos | Rodopar 108'!$A:$A,$B476&amp;$E476&amp;$F476&amp;$J476,'Doc''s Pagos | Rodopar 108'!$B:$B,X$1)+SUMIFS('Doc Há Pagar | Rodopar 1015'!$J:$J,'Doc Há Pagar | Rodopar 1015'!$A:$A,$B476&amp;$E476&amp;$F476,'Doc Há Pagar | Rodopar 1015'!$B:$B,X$1)</f>
        <v>0</v>
      </c>
      <c r="Y476" s="20">
        <f>SUMIFS('Doc''s Pagos | Rodopar 108'!$J:$J,'Doc''s Pagos | Rodopar 108'!$A:$A,$B476&amp;$E476&amp;$F476&amp;$J476,'Doc''s Pagos | Rodopar 108'!$B:$B,Y$1)+SUMIFS('Doc Há Pagar | Rodopar 1015'!$J:$J,'Doc Há Pagar | Rodopar 1015'!$A:$A,$B476&amp;$E476&amp;$F476,'Doc Há Pagar | Rodopar 1015'!$B:$B,Y$1)</f>
        <v>0</v>
      </c>
      <c r="Z476" s="20">
        <f>SUMIFS('Doc''s Pagos | Rodopar 108'!$J:$J,'Doc''s Pagos | Rodopar 108'!$A:$A,$B476&amp;$E476&amp;$F476&amp;$J476,'Doc''s Pagos | Rodopar 108'!$B:$B,Z$1)+SUMIFS('Doc Há Pagar | Rodopar 1015'!$J:$J,'Doc Há Pagar | Rodopar 1015'!$A:$A,$B476&amp;$E476&amp;$F476,'Doc Há Pagar | Rodopar 1015'!$B:$B,Z$1)</f>
        <v>0</v>
      </c>
      <c r="AA476" s="20">
        <f>SUMIFS('Doc''s Pagos | Rodopar 108'!$J:$J,'Doc''s Pagos | Rodopar 108'!$A:$A,$B476&amp;$E476&amp;$F476&amp;$J476,'Doc''s Pagos | Rodopar 108'!$B:$B,AA$1)+SUMIFS('Doc Há Pagar | Rodopar 1015'!$J:$J,'Doc Há Pagar | Rodopar 1015'!$A:$A,$B476&amp;$E476&amp;$F476,'Doc Há Pagar | Rodopar 1015'!$B:$B,AA$1)</f>
        <v>0</v>
      </c>
      <c r="AB476" s="20">
        <f>SUMIFS('Doc''s Pagos | Rodopar 108'!$J:$J,'Doc''s Pagos | Rodopar 108'!$A:$A,$B476&amp;$E476&amp;$F476&amp;$J476,'Doc''s Pagos | Rodopar 108'!$B:$B,AB$1)+SUMIFS('Doc Há Pagar | Rodopar 1015'!$J:$J,'Doc Há Pagar | Rodopar 1015'!$A:$A,$B476&amp;$E476&amp;$F476,'Doc Há Pagar | Rodopar 1015'!$B:$B,AB$1)</f>
        <v>1293.58</v>
      </c>
      <c r="AC476" s="20">
        <f>SUMIFS('Doc''s Pagos | Rodopar 108'!$J:$J,'Doc''s Pagos | Rodopar 108'!$A:$A,$B476&amp;$E476&amp;$F476&amp;$J476,'Doc''s Pagos | Rodopar 108'!$B:$B,AC$1)+SUMIFS('Doc Há Pagar | Rodopar 1015'!$J:$J,'Doc Há Pagar | Rodopar 1015'!$A:$A,$B476&amp;$E476&amp;$F476,'Doc Há Pagar | Rodopar 1015'!$B:$B,AC$1)</f>
        <v>0</v>
      </c>
      <c r="AD476" s="20">
        <f>SUMIFS('Doc''s Pagos | Rodopar 108'!$J:$J,'Doc''s Pagos | Rodopar 108'!$A:$A,$B476&amp;$E476&amp;$F476&amp;$J476,'Doc''s Pagos | Rodopar 108'!$B:$B,AD$1)+SUMIFS('Doc Há Pagar | Rodopar 1015'!$J:$J,'Doc Há Pagar | Rodopar 1015'!$A:$A,$B476&amp;$E476&amp;$F476,'Doc Há Pagar | Rodopar 1015'!$B:$B,AD$1)</f>
        <v>0</v>
      </c>
    </row>
    <row r="477" spans="1:30" x14ac:dyDescent="0.25">
      <c r="A477" s="1" t="str">
        <f>VLOOKUP($E477,Fornecedores!$A:$C,3,0)</f>
        <v>Frota</v>
      </c>
      <c r="B477" s="14">
        <v>366</v>
      </c>
      <c r="C477" s="14" t="str">
        <f>IFERROR(VLOOKUP($E477,Fornecedores!$A:$E,4,0),"")</f>
        <v>Sinistro</v>
      </c>
      <c r="D477" s="14" t="str">
        <f>IFERROR(VLOOKUP($E477,Fornecedores!$A:$E,5,0),"")</f>
        <v>Guincho</v>
      </c>
      <c r="E477" s="8" t="s">
        <v>206</v>
      </c>
      <c r="F477" s="14" t="s">
        <v>665</v>
      </c>
      <c r="G477" s="8" t="s">
        <v>646</v>
      </c>
      <c r="H477" s="9">
        <v>87</v>
      </c>
      <c r="I477" s="21">
        <v>3300</v>
      </c>
      <c r="J477" s="11">
        <v>46286</v>
      </c>
      <c r="K477" s="11">
        <v>46287</v>
      </c>
      <c r="L477" s="8" t="s">
        <v>282</v>
      </c>
      <c r="M477" s="14" t="s">
        <v>234</v>
      </c>
      <c r="N477" s="16">
        <v>1556</v>
      </c>
      <c r="O477" s="14" t="s">
        <v>250</v>
      </c>
      <c r="P477" s="14"/>
      <c r="Q477" s="20">
        <f t="shared" si="7"/>
        <v>0</v>
      </c>
      <c r="S477" s="20">
        <f>SUMIFS('Doc''s Pagos | Rodopar 108'!$J:$J,'Doc''s Pagos | Rodopar 108'!$A:$A,$B477&amp;$E477&amp;$F477&amp;$J477,'Doc''s Pagos | Rodopar 108'!$B:$B,S$1)+SUMIFS('Doc Há Pagar | Rodopar 1015'!$J:$J,'Doc Há Pagar | Rodopar 1015'!$A:$A,$B477&amp;$E477&amp;$F477,'Doc Há Pagar | Rodopar 1015'!$B:$B,S$1)</f>
        <v>0</v>
      </c>
      <c r="T477" s="20">
        <f>SUMIFS('Doc''s Pagos | Rodopar 108'!$J:$J,'Doc''s Pagos | Rodopar 108'!$A:$A,$B477&amp;$E477&amp;$F477&amp;$J477,'Doc''s Pagos | Rodopar 108'!$B:$B,T$1)+SUMIFS('Doc Há Pagar | Rodopar 1015'!$J:$J,'Doc Há Pagar | Rodopar 1015'!$A:$A,$B477&amp;$E477&amp;$F477,'Doc Há Pagar | Rodopar 1015'!$B:$B,T$1)</f>
        <v>0</v>
      </c>
      <c r="U477" s="20">
        <f>SUMIFS('Doc''s Pagos | Rodopar 108'!$J:$J,'Doc''s Pagos | Rodopar 108'!$A:$A,$B477&amp;$E477&amp;$F477&amp;$J477,'Doc''s Pagos | Rodopar 108'!$B:$B,U$1)+SUMIFS('Doc Há Pagar | Rodopar 1015'!$J:$J,'Doc Há Pagar | Rodopar 1015'!$A:$A,$B477&amp;$E477&amp;$F477,'Doc Há Pagar | Rodopar 1015'!$B:$B,U$1)</f>
        <v>0</v>
      </c>
      <c r="V477" s="20">
        <f>SUMIFS('Doc''s Pagos | Rodopar 108'!$J:$J,'Doc''s Pagos | Rodopar 108'!$A:$A,$B477&amp;$E477&amp;$F477&amp;$J477,'Doc''s Pagos | Rodopar 108'!$B:$B,V$1)+SUMIFS('Doc Há Pagar | Rodopar 1015'!$J:$J,'Doc Há Pagar | Rodopar 1015'!$A:$A,$B477&amp;$E477&amp;$F477,'Doc Há Pagar | Rodopar 1015'!$B:$B,V$1)</f>
        <v>0</v>
      </c>
      <c r="W477" s="20">
        <f>SUMIFS('Doc''s Pagos | Rodopar 108'!$J:$J,'Doc''s Pagos | Rodopar 108'!$A:$A,$B477&amp;$E477&amp;$F477&amp;$J477,'Doc''s Pagos | Rodopar 108'!$B:$B,W$1)+SUMIFS('Doc Há Pagar | Rodopar 1015'!$J:$J,'Doc Há Pagar | Rodopar 1015'!$A:$A,$B477&amp;$E477&amp;$F477,'Doc Há Pagar | Rodopar 1015'!$B:$B,W$1)</f>
        <v>0</v>
      </c>
      <c r="X477" s="20">
        <f>SUMIFS('Doc''s Pagos | Rodopar 108'!$J:$J,'Doc''s Pagos | Rodopar 108'!$A:$A,$B477&amp;$E477&amp;$F477&amp;$J477,'Doc''s Pagos | Rodopar 108'!$B:$B,X$1)+SUMIFS('Doc Há Pagar | Rodopar 1015'!$J:$J,'Doc Há Pagar | Rodopar 1015'!$A:$A,$B477&amp;$E477&amp;$F477,'Doc Há Pagar | Rodopar 1015'!$B:$B,X$1)</f>
        <v>0</v>
      </c>
      <c r="Y477" s="20">
        <f>SUMIFS('Doc''s Pagos | Rodopar 108'!$J:$J,'Doc''s Pagos | Rodopar 108'!$A:$A,$B477&amp;$E477&amp;$F477&amp;$J477,'Doc''s Pagos | Rodopar 108'!$B:$B,Y$1)+SUMIFS('Doc Há Pagar | Rodopar 1015'!$J:$J,'Doc Há Pagar | Rodopar 1015'!$A:$A,$B477&amp;$E477&amp;$F477,'Doc Há Pagar | Rodopar 1015'!$B:$B,Y$1)</f>
        <v>0</v>
      </c>
      <c r="Z477" s="20">
        <f>SUMIFS('Doc''s Pagos | Rodopar 108'!$J:$J,'Doc''s Pagos | Rodopar 108'!$A:$A,$B477&amp;$E477&amp;$F477&amp;$J477,'Doc''s Pagos | Rodopar 108'!$B:$B,Z$1)+SUMIFS('Doc Há Pagar | Rodopar 1015'!$J:$J,'Doc Há Pagar | Rodopar 1015'!$A:$A,$B477&amp;$E477&amp;$F477,'Doc Há Pagar | Rodopar 1015'!$B:$B,Z$1)</f>
        <v>0</v>
      </c>
      <c r="AA477" s="20">
        <f>SUMIFS('Doc''s Pagos | Rodopar 108'!$J:$J,'Doc''s Pagos | Rodopar 108'!$A:$A,$B477&amp;$E477&amp;$F477&amp;$J477,'Doc''s Pagos | Rodopar 108'!$B:$B,AA$1)+SUMIFS('Doc Há Pagar | Rodopar 1015'!$J:$J,'Doc Há Pagar | Rodopar 1015'!$A:$A,$B477&amp;$E477&amp;$F477,'Doc Há Pagar | Rodopar 1015'!$B:$B,AA$1)</f>
        <v>0</v>
      </c>
      <c r="AB477" s="20">
        <f>SUMIFS('Doc''s Pagos | Rodopar 108'!$J:$J,'Doc''s Pagos | Rodopar 108'!$A:$A,$B477&amp;$E477&amp;$F477&amp;$J477,'Doc''s Pagos | Rodopar 108'!$B:$B,AB$1)+SUMIFS('Doc Há Pagar | Rodopar 1015'!$J:$J,'Doc Há Pagar | Rodopar 1015'!$A:$A,$B477&amp;$E477&amp;$F477,'Doc Há Pagar | Rodopar 1015'!$B:$B,AB$1)</f>
        <v>3300</v>
      </c>
      <c r="AC477" s="20">
        <f>SUMIFS('Doc''s Pagos | Rodopar 108'!$J:$J,'Doc''s Pagos | Rodopar 108'!$A:$A,$B477&amp;$E477&amp;$F477&amp;$J477,'Doc''s Pagos | Rodopar 108'!$B:$B,AC$1)+SUMIFS('Doc Há Pagar | Rodopar 1015'!$J:$J,'Doc Há Pagar | Rodopar 1015'!$A:$A,$B477&amp;$E477&amp;$F477,'Doc Há Pagar | Rodopar 1015'!$B:$B,AC$1)</f>
        <v>0</v>
      </c>
      <c r="AD477" s="20">
        <f>SUMIFS('Doc''s Pagos | Rodopar 108'!$J:$J,'Doc''s Pagos | Rodopar 108'!$A:$A,$B477&amp;$E477&amp;$F477&amp;$J477,'Doc''s Pagos | Rodopar 108'!$B:$B,AD$1)+SUMIFS('Doc Há Pagar | Rodopar 1015'!$J:$J,'Doc Há Pagar | Rodopar 1015'!$A:$A,$B477&amp;$E477&amp;$F477,'Doc Há Pagar | Rodopar 1015'!$B:$B,AD$1)</f>
        <v>0</v>
      </c>
    </row>
    <row r="478" spans="1:30" x14ac:dyDescent="0.25">
      <c r="A478" s="1" t="str">
        <f>VLOOKUP($E478,Fornecedores!$A:$C,3,0)</f>
        <v>Frota</v>
      </c>
      <c r="B478" s="14">
        <v>489</v>
      </c>
      <c r="C478" s="14" t="str">
        <f>IFERROR(VLOOKUP($E478,Fornecedores!$A:$E,4,0),"")</f>
        <v>Manutenção</v>
      </c>
      <c r="D478" s="14" t="str">
        <f>IFERROR(VLOOKUP($E478,Fornecedores!$A:$E,5,0),"")</f>
        <v>Frota Leve OPE</v>
      </c>
      <c r="E478" s="8" t="s">
        <v>109</v>
      </c>
      <c r="F478" s="14" t="s">
        <v>665</v>
      </c>
      <c r="G478" s="8" t="s">
        <v>880</v>
      </c>
      <c r="H478" s="9">
        <v>87</v>
      </c>
      <c r="I478" s="21">
        <v>3081.16</v>
      </c>
      <c r="J478" s="11">
        <v>46286</v>
      </c>
      <c r="K478" s="11">
        <v>46287</v>
      </c>
      <c r="L478" s="8" t="s">
        <v>382</v>
      </c>
      <c r="M478" s="14" t="s">
        <v>234</v>
      </c>
      <c r="N478" s="16">
        <v>1556</v>
      </c>
      <c r="O478" s="14" t="s">
        <v>250</v>
      </c>
      <c r="P478" s="14"/>
      <c r="Q478" s="20">
        <f t="shared" si="7"/>
        <v>0</v>
      </c>
      <c r="S478" s="20">
        <f>SUMIFS('Doc''s Pagos | Rodopar 108'!$J:$J,'Doc''s Pagos | Rodopar 108'!$A:$A,$B478&amp;$E478&amp;$F478&amp;$J478,'Doc''s Pagos | Rodopar 108'!$B:$B,S$1)+SUMIFS('Doc Há Pagar | Rodopar 1015'!$J:$J,'Doc Há Pagar | Rodopar 1015'!$A:$A,$B478&amp;$E478&amp;$F478,'Doc Há Pagar | Rodopar 1015'!$B:$B,S$1)</f>
        <v>0</v>
      </c>
      <c r="T478" s="20">
        <f>SUMIFS('Doc''s Pagos | Rodopar 108'!$J:$J,'Doc''s Pagos | Rodopar 108'!$A:$A,$B478&amp;$E478&amp;$F478&amp;$J478,'Doc''s Pagos | Rodopar 108'!$B:$B,T$1)+SUMIFS('Doc Há Pagar | Rodopar 1015'!$J:$J,'Doc Há Pagar | Rodopar 1015'!$A:$A,$B478&amp;$E478&amp;$F478,'Doc Há Pagar | Rodopar 1015'!$B:$B,T$1)</f>
        <v>0</v>
      </c>
      <c r="U478" s="20">
        <f>SUMIFS('Doc''s Pagos | Rodopar 108'!$J:$J,'Doc''s Pagos | Rodopar 108'!$A:$A,$B478&amp;$E478&amp;$F478&amp;$J478,'Doc''s Pagos | Rodopar 108'!$B:$B,U$1)+SUMIFS('Doc Há Pagar | Rodopar 1015'!$J:$J,'Doc Há Pagar | Rodopar 1015'!$A:$A,$B478&amp;$E478&amp;$F478,'Doc Há Pagar | Rodopar 1015'!$B:$B,U$1)</f>
        <v>0</v>
      </c>
      <c r="V478" s="20">
        <f>SUMIFS('Doc''s Pagos | Rodopar 108'!$J:$J,'Doc''s Pagos | Rodopar 108'!$A:$A,$B478&amp;$E478&amp;$F478&amp;$J478,'Doc''s Pagos | Rodopar 108'!$B:$B,V$1)+SUMIFS('Doc Há Pagar | Rodopar 1015'!$J:$J,'Doc Há Pagar | Rodopar 1015'!$A:$A,$B478&amp;$E478&amp;$F478,'Doc Há Pagar | Rodopar 1015'!$B:$B,V$1)</f>
        <v>0</v>
      </c>
      <c r="W478" s="20">
        <f>SUMIFS('Doc''s Pagos | Rodopar 108'!$J:$J,'Doc''s Pagos | Rodopar 108'!$A:$A,$B478&amp;$E478&amp;$F478&amp;$J478,'Doc''s Pagos | Rodopar 108'!$B:$B,W$1)+SUMIFS('Doc Há Pagar | Rodopar 1015'!$J:$J,'Doc Há Pagar | Rodopar 1015'!$A:$A,$B478&amp;$E478&amp;$F478,'Doc Há Pagar | Rodopar 1015'!$B:$B,W$1)</f>
        <v>0</v>
      </c>
      <c r="X478" s="20">
        <f>SUMIFS('Doc''s Pagos | Rodopar 108'!$J:$J,'Doc''s Pagos | Rodopar 108'!$A:$A,$B478&amp;$E478&amp;$F478&amp;$J478,'Doc''s Pagos | Rodopar 108'!$B:$B,X$1)+SUMIFS('Doc Há Pagar | Rodopar 1015'!$J:$J,'Doc Há Pagar | Rodopar 1015'!$A:$A,$B478&amp;$E478&amp;$F478,'Doc Há Pagar | Rodopar 1015'!$B:$B,X$1)</f>
        <v>0</v>
      </c>
      <c r="Y478" s="20">
        <f>SUMIFS('Doc''s Pagos | Rodopar 108'!$J:$J,'Doc''s Pagos | Rodopar 108'!$A:$A,$B478&amp;$E478&amp;$F478&amp;$J478,'Doc''s Pagos | Rodopar 108'!$B:$B,Y$1)+SUMIFS('Doc Há Pagar | Rodopar 1015'!$J:$J,'Doc Há Pagar | Rodopar 1015'!$A:$A,$B478&amp;$E478&amp;$F478,'Doc Há Pagar | Rodopar 1015'!$B:$B,Y$1)</f>
        <v>0</v>
      </c>
      <c r="Z478" s="20">
        <f>SUMIFS('Doc''s Pagos | Rodopar 108'!$J:$J,'Doc''s Pagos | Rodopar 108'!$A:$A,$B478&amp;$E478&amp;$F478&amp;$J478,'Doc''s Pagos | Rodopar 108'!$B:$B,Z$1)+SUMIFS('Doc Há Pagar | Rodopar 1015'!$J:$J,'Doc Há Pagar | Rodopar 1015'!$A:$A,$B478&amp;$E478&amp;$F478,'Doc Há Pagar | Rodopar 1015'!$B:$B,Z$1)</f>
        <v>0</v>
      </c>
      <c r="AA478" s="20">
        <f>SUMIFS('Doc''s Pagos | Rodopar 108'!$J:$J,'Doc''s Pagos | Rodopar 108'!$A:$A,$B478&amp;$E478&amp;$F478&amp;$J478,'Doc''s Pagos | Rodopar 108'!$B:$B,AA$1)+SUMIFS('Doc Há Pagar | Rodopar 1015'!$J:$J,'Doc Há Pagar | Rodopar 1015'!$A:$A,$B478&amp;$E478&amp;$F478,'Doc Há Pagar | Rodopar 1015'!$B:$B,AA$1)</f>
        <v>0</v>
      </c>
      <c r="AB478" s="20">
        <f>SUMIFS('Doc''s Pagos | Rodopar 108'!$J:$J,'Doc''s Pagos | Rodopar 108'!$A:$A,$B478&amp;$E478&amp;$F478&amp;$J478,'Doc''s Pagos | Rodopar 108'!$B:$B,AB$1)+SUMIFS('Doc Há Pagar | Rodopar 1015'!$J:$J,'Doc Há Pagar | Rodopar 1015'!$A:$A,$B478&amp;$E478&amp;$F478,'Doc Há Pagar | Rodopar 1015'!$B:$B,AB$1)</f>
        <v>3081.16</v>
      </c>
      <c r="AC478" s="20">
        <f>SUMIFS('Doc''s Pagos | Rodopar 108'!$J:$J,'Doc''s Pagos | Rodopar 108'!$A:$A,$B478&amp;$E478&amp;$F478&amp;$J478,'Doc''s Pagos | Rodopar 108'!$B:$B,AC$1)+SUMIFS('Doc Há Pagar | Rodopar 1015'!$J:$J,'Doc Há Pagar | Rodopar 1015'!$A:$A,$B478&amp;$E478&amp;$F478,'Doc Há Pagar | Rodopar 1015'!$B:$B,AC$1)</f>
        <v>0</v>
      </c>
      <c r="AD478" s="20">
        <f>SUMIFS('Doc''s Pagos | Rodopar 108'!$J:$J,'Doc''s Pagos | Rodopar 108'!$A:$A,$B478&amp;$E478&amp;$F478&amp;$J478,'Doc''s Pagos | Rodopar 108'!$B:$B,AD$1)+SUMIFS('Doc Há Pagar | Rodopar 1015'!$J:$J,'Doc Há Pagar | Rodopar 1015'!$A:$A,$B478&amp;$E478&amp;$F478,'Doc Há Pagar | Rodopar 1015'!$B:$B,AD$1)</f>
        <v>0</v>
      </c>
    </row>
    <row r="479" spans="1:30" x14ac:dyDescent="0.25">
      <c r="A479" s="1" t="str">
        <f>VLOOKUP($E479,Fornecedores!$A:$C,3,0)</f>
        <v>Frota</v>
      </c>
      <c r="B479" s="14">
        <v>191825</v>
      </c>
      <c r="C479" s="14" t="str">
        <f>IFERROR(VLOOKUP($E479,Fornecedores!$A:$E,4,0),"")</f>
        <v>Manutenção</v>
      </c>
      <c r="D479" s="14" t="str">
        <f>IFERROR(VLOOKUP($E479,Fornecedores!$A:$E,5,0),"")</f>
        <v>Vans</v>
      </c>
      <c r="E479" s="8" t="s">
        <v>132</v>
      </c>
      <c r="F479" s="14" t="s">
        <v>380</v>
      </c>
      <c r="G479" s="8" t="s">
        <v>434</v>
      </c>
      <c r="H479" s="9">
        <v>87</v>
      </c>
      <c r="I479" s="21">
        <v>672.86</v>
      </c>
      <c r="J479" s="11">
        <v>46287</v>
      </c>
      <c r="K479" s="11">
        <v>46287</v>
      </c>
      <c r="L479" s="8" t="s">
        <v>435</v>
      </c>
      <c r="M479" s="14" t="s">
        <v>234</v>
      </c>
      <c r="N479" s="16">
        <v>1556</v>
      </c>
      <c r="O479" s="14" t="s">
        <v>250</v>
      </c>
      <c r="P479" s="14"/>
      <c r="Q479" s="20">
        <f t="shared" si="7"/>
        <v>0</v>
      </c>
      <c r="S479" s="20">
        <f>SUMIFS('Doc''s Pagos | Rodopar 108'!$J:$J,'Doc''s Pagos | Rodopar 108'!$A:$A,$B479&amp;$E479&amp;$F479&amp;$J479,'Doc''s Pagos | Rodopar 108'!$B:$B,S$1)+SUMIFS('Doc Há Pagar | Rodopar 1015'!$J:$J,'Doc Há Pagar | Rodopar 1015'!$A:$A,$B479&amp;$E479&amp;$F479,'Doc Há Pagar | Rodopar 1015'!$B:$B,S$1)</f>
        <v>0</v>
      </c>
      <c r="T479" s="20">
        <f>SUMIFS('Doc''s Pagos | Rodopar 108'!$J:$J,'Doc''s Pagos | Rodopar 108'!$A:$A,$B479&amp;$E479&amp;$F479&amp;$J479,'Doc''s Pagos | Rodopar 108'!$B:$B,T$1)+SUMIFS('Doc Há Pagar | Rodopar 1015'!$J:$J,'Doc Há Pagar | Rodopar 1015'!$A:$A,$B479&amp;$E479&amp;$F479,'Doc Há Pagar | Rodopar 1015'!$B:$B,T$1)</f>
        <v>0</v>
      </c>
      <c r="U479" s="20">
        <f>SUMIFS('Doc''s Pagos | Rodopar 108'!$J:$J,'Doc''s Pagos | Rodopar 108'!$A:$A,$B479&amp;$E479&amp;$F479&amp;$J479,'Doc''s Pagos | Rodopar 108'!$B:$B,U$1)+SUMIFS('Doc Há Pagar | Rodopar 1015'!$J:$J,'Doc Há Pagar | Rodopar 1015'!$A:$A,$B479&amp;$E479&amp;$F479,'Doc Há Pagar | Rodopar 1015'!$B:$B,U$1)</f>
        <v>0</v>
      </c>
      <c r="V479" s="20">
        <f>SUMIFS('Doc''s Pagos | Rodopar 108'!$J:$J,'Doc''s Pagos | Rodopar 108'!$A:$A,$B479&amp;$E479&amp;$F479&amp;$J479,'Doc''s Pagos | Rodopar 108'!$B:$B,V$1)+SUMIFS('Doc Há Pagar | Rodopar 1015'!$J:$J,'Doc Há Pagar | Rodopar 1015'!$A:$A,$B479&amp;$E479&amp;$F479,'Doc Há Pagar | Rodopar 1015'!$B:$B,V$1)</f>
        <v>0</v>
      </c>
      <c r="W479" s="20">
        <f>SUMIFS('Doc''s Pagos | Rodopar 108'!$J:$J,'Doc''s Pagos | Rodopar 108'!$A:$A,$B479&amp;$E479&amp;$F479&amp;$J479,'Doc''s Pagos | Rodopar 108'!$B:$B,W$1)+SUMIFS('Doc Há Pagar | Rodopar 1015'!$J:$J,'Doc Há Pagar | Rodopar 1015'!$A:$A,$B479&amp;$E479&amp;$F479,'Doc Há Pagar | Rodopar 1015'!$B:$B,W$1)</f>
        <v>0</v>
      </c>
      <c r="X479" s="20">
        <f>SUMIFS('Doc''s Pagos | Rodopar 108'!$J:$J,'Doc''s Pagos | Rodopar 108'!$A:$A,$B479&amp;$E479&amp;$F479&amp;$J479,'Doc''s Pagos | Rodopar 108'!$B:$B,X$1)+SUMIFS('Doc Há Pagar | Rodopar 1015'!$J:$J,'Doc Há Pagar | Rodopar 1015'!$A:$A,$B479&amp;$E479&amp;$F479,'Doc Há Pagar | Rodopar 1015'!$B:$B,X$1)</f>
        <v>0</v>
      </c>
      <c r="Y479" s="20">
        <f>SUMIFS('Doc''s Pagos | Rodopar 108'!$J:$J,'Doc''s Pagos | Rodopar 108'!$A:$A,$B479&amp;$E479&amp;$F479&amp;$J479,'Doc''s Pagos | Rodopar 108'!$B:$B,Y$1)+SUMIFS('Doc Há Pagar | Rodopar 1015'!$J:$J,'Doc Há Pagar | Rodopar 1015'!$A:$A,$B479&amp;$E479&amp;$F479,'Doc Há Pagar | Rodopar 1015'!$B:$B,Y$1)</f>
        <v>0</v>
      </c>
      <c r="Z479" s="20">
        <f>SUMIFS('Doc''s Pagos | Rodopar 108'!$J:$J,'Doc''s Pagos | Rodopar 108'!$A:$A,$B479&amp;$E479&amp;$F479&amp;$J479,'Doc''s Pagos | Rodopar 108'!$B:$B,Z$1)+SUMIFS('Doc Há Pagar | Rodopar 1015'!$J:$J,'Doc Há Pagar | Rodopar 1015'!$A:$A,$B479&amp;$E479&amp;$F479,'Doc Há Pagar | Rodopar 1015'!$B:$B,Z$1)</f>
        <v>0</v>
      </c>
      <c r="AA479" s="20">
        <f>SUMIFS('Doc''s Pagos | Rodopar 108'!$J:$J,'Doc''s Pagos | Rodopar 108'!$A:$A,$B479&amp;$E479&amp;$F479&amp;$J479,'Doc''s Pagos | Rodopar 108'!$B:$B,AA$1)+SUMIFS('Doc Há Pagar | Rodopar 1015'!$J:$J,'Doc Há Pagar | Rodopar 1015'!$A:$A,$B479&amp;$E479&amp;$F479,'Doc Há Pagar | Rodopar 1015'!$B:$B,AA$1)</f>
        <v>0</v>
      </c>
      <c r="AB479" s="20">
        <f>SUMIFS('Doc''s Pagos | Rodopar 108'!$J:$J,'Doc''s Pagos | Rodopar 108'!$A:$A,$B479&amp;$E479&amp;$F479&amp;$J479,'Doc''s Pagos | Rodopar 108'!$B:$B,AB$1)+SUMIFS('Doc Há Pagar | Rodopar 1015'!$J:$J,'Doc Há Pagar | Rodopar 1015'!$A:$A,$B479&amp;$E479&amp;$F479,'Doc Há Pagar | Rodopar 1015'!$B:$B,AB$1)</f>
        <v>672.86</v>
      </c>
      <c r="AC479" s="20">
        <f>SUMIFS('Doc''s Pagos | Rodopar 108'!$J:$J,'Doc''s Pagos | Rodopar 108'!$A:$A,$B479&amp;$E479&amp;$F479&amp;$J479,'Doc''s Pagos | Rodopar 108'!$B:$B,AC$1)+SUMIFS('Doc Há Pagar | Rodopar 1015'!$J:$J,'Doc Há Pagar | Rodopar 1015'!$A:$A,$B479&amp;$E479&amp;$F479,'Doc Há Pagar | Rodopar 1015'!$B:$B,AC$1)</f>
        <v>0</v>
      </c>
      <c r="AD479" s="20">
        <f>SUMIFS('Doc''s Pagos | Rodopar 108'!$J:$J,'Doc''s Pagos | Rodopar 108'!$A:$A,$B479&amp;$E479&amp;$F479&amp;$J479,'Doc''s Pagos | Rodopar 108'!$B:$B,AD$1)+SUMIFS('Doc Há Pagar | Rodopar 1015'!$J:$J,'Doc Há Pagar | Rodopar 1015'!$A:$A,$B479&amp;$E479&amp;$F479,'Doc Há Pagar | Rodopar 1015'!$B:$B,AD$1)</f>
        <v>0</v>
      </c>
    </row>
    <row r="480" spans="1:30" x14ac:dyDescent="0.25">
      <c r="A480" s="1" t="str">
        <f>VLOOKUP($E480,Fornecedores!$A:$C,3,0)</f>
        <v>Frota</v>
      </c>
      <c r="B480" s="14">
        <v>19237</v>
      </c>
      <c r="C480" s="14" t="str">
        <f>IFERROR(VLOOKUP($E480,Fornecedores!$A:$E,4,0),"")</f>
        <v>Manutenção</v>
      </c>
      <c r="D480" s="14" t="str">
        <f>IFERROR(VLOOKUP($E480,Fornecedores!$A:$E,5,0),"")</f>
        <v>Peças E Serviços</v>
      </c>
      <c r="E480" s="8" t="s">
        <v>25</v>
      </c>
      <c r="F480" s="14" t="s">
        <v>380</v>
      </c>
      <c r="G480" s="8" t="s">
        <v>390</v>
      </c>
      <c r="H480" s="9">
        <v>87</v>
      </c>
      <c r="I480" s="21">
        <v>618</v>
      </c>
      <c r="J480" s="11">
        <v>46288</v>
      </c>
      <c r="K480" s="11">
        <v>46293</v>
      </c>
      <c r="L480" s="8" t="s">
        <v>282</v>
      </c>
      <c r="M480" s="14" t="s">
        <v>234</v>
      </c>
      <c r="N480" s="16">
        <v>1556</v>
      </c>
      <c r="O480" s="14" t="s">
        <v>250</v>
      </c>
      <c r="P480" s="14"/>
      <c r="Q480" s="20">
        <f t="shared" si="7"/>
        <v>0</v>
      </c>
      <c r="S480" s="20">
        <f>SUMIFS('Doc''s Pagos | Rodopar 108'!$J:$J,'Doc''s Pagos | Rodopar 108'!$A:$A,$B480&amp;$E480&amp;$F480&amp;$J480,'Doc''s Pagos | Rodopar 108'!$B:$B,S$1)+SUMIFS('Doc Há Pagar | Rodopar 1015'!$J:$J,'Doc Há Pagar | Rodopar 1015'!$A:$A,$B480&amp;$E480&amp;$F480,'Doc Há Pagar | Rodopar 1015'!$B:$B,S$1)</f>
        <v>0</v>
      </c>
      <c r="T480" s="20">
        <f>SUMIFS('Doc''s Pagos | Rodopar 108'!$J:$J,'Doc''s Pagos | Rodopar 108'!$A:$A,$B480&amp;$E480&amp;$F480&amp;$J480,'Doc''s Pagos | Rodopar 108'!$B:$B,T$1)+SUMIFS('Doc Há Pagar | Rodopar 1015'!$J:$J,'Doc Há Pagar | Rodopar 1015'!$A:$A,$B480&amp;$E480&amp;$F480,'Doc Há Pagar | Rodopar 1015'!$B:$B,T$1)</f>
        <v>0</v>
      </c>
      <c r="U480" s="20">
        <f>SUMIFS('Doc''s Pagos | Rodopar 108'!$J:$J,'Doc''s Pagos | Rodopar 108'!$A:$A,$B480&amp;$E480&amp;$F480&amp;$J480,'Doc''s Pagos | Rodopar 108'!$B:$B,U$1)+SUMIFS('Doc Há Pagar | Rodopar 1015'!$J:$J,'Doc Há Pagar | Rodopar 1015'!$A:$A,$B480&amp;$E480&amp;$F480,'Doc Há Pagar | Rodopar 1015'!$B:$B,U$1)</f>
        <v>0</v>
      </c>
      <c r="V480" s="20">
        <f>SUMIFS('Doc''s Pagos | Rodopar 108'!$J:$J,'Doc''s Pagos | Rodopar 108'!$A:$A,$B480&amp;$E480&amp;$F480&amp;$J480,'Doc''s Pagos | Rodopar 108'!$B:$B,V$1)+SUMIFS('Doc Há Pagar | Rodopar 1015'!$J:$J,'Doc Há Pagar | Rodopar 1015'!$A:$A,$B480&amp;$E480&amp;$F480,'Doc Há Pagar | Rodopar 1015'!$B:$B,V$1)</f>
        <v>0</v>
      </c>
      <c r="W480" s="20">
        <f>SUMIFS('Doc''s Pagos | Rodopar 108'!$J:$J,'Doc''s Pagos | Rodopar 108'!$A:$A,$B480&amp;$E480&amp;$F480&amp;$J480,'Doc''s Pagos | Rodopar 108'!$B:$B,W$1)+SUMIFS('Doc Há Pagar | Rodopar 1015'!$J:$J,'Doc Há Pagar | Rodopar 1015'!$A:$A,$B480&amp;$E480&amp;$F480,'Doc Há Pagar | Rodopar 1015'!$B:$B,W$1)</f>
        <v>0</v>
      </c>
      <c r="X480" s="20">
        <f>SUMIFS('Doc''s Pagos | Rodopar 108'!$J:$J,'Doc''s Pagos | Rodopar 108'!$A:$A,$B480&amp;$E480&amp;$F480&amp;$J480,'Doc''s Pagos | Rodopar 108'!$B:$B,X$1)+SUMIFS('Doc Há Pagar | Rodopar 1015'!$J:$J,'Doc Há Pagar | Rodopar 1015'!$A:$A,$B480&amp;$E480&amp;$F480,'Doc Há Pagar | Rodopar 1015'!$B:$B,X$1)</f>
        <v>0</v>
      </c>
      <c r="Y480" s="20">
        <f>SUMIFS('Doc''s Pagos | Rodopar 108'!$J:$J,'Doc''s Pagos | Rodopar 108'!$A:$A,$B480&amp;$E480&amp;$F480&amp;$J480,'Doc''s Pagos | Rodopar 108'!$B:$B,Y$1)+SUMIFS('Doc Há Pagar | Rodopar 1015'!$J:$J,'Doc Há Pagar | Rodopar 1015'!$A:$A,$B480&amp;$E480&amp;$F480,'Doc Há Pagar | Rodopar 1015'!$B:$B,Y$1)</f>
        <v>0</v>
      </c>
      <c r="Z480" s="20">
        <f>SUMIFS('Doc''s Pagos | Rodopar 108'!$J:$J,'Doc''s Pagos | Rodopar 108'!$A:$A,$B480&amp;$E480&amp;$F480&amp;$J480,'Doc''s Pagos | Rodopar 108'!$B:$B,Z$1)+SUMIFS('Doc Há Pagar | Rodopar 1015'!$J:$J,'Doc Há Pagar | Rodopar 1015'!$A:$A,$B480&amp;$E480&amp;$F480,'Doc Há Pagar | Rodopar 1015'!$B:$B,Z$1)</f>
        <v>0</v>
      </c>
      <c r="AA480" s="20">
        <f>SUMIFS('Doc''s Pagos | Rodopar 108'!$J:$J,'Doc''s Pagos | Rodopar 108'!$A:$A,$B480&amp;$E480&amp;$F480&amp;$J480,'Doc''s Pagos | Rodopar 108'!$B:$B,AA$1)+SUMIFS('Doc Há Pagar | Rodopar 1015'!$J:$J,'Doc Há Pagar | Rodopar 1015'!$A:$A,$B480&amp;$E480&amp;$F480,'Doc Há Pagar | Rodopar 1015'!$B:$B,AA$1)</f>
        <v>0</v>
      </c>
      <c r="AB480" s="20">
        <f>SUMIFS('Doc''s Pagos | Rodopar 108'!$J:$J,'Doc''s Pagos | Rodopar 108'!$A:$A,$B480&amp;$E480&amp;$F480&amp;$J480,'Doc''s Pagos | Rodopar 108'!$B:$B,AB$1)+SUMIFS('Doc Há Pagar | Rodopar 1015'!$J:$J,'Doc Há Pagar | Rodopar 1015'!$A:$A,$B480&amp;$E480&amp;$F480,'Doc Há Pagar | Rodopar 1015'!$B:$B,AB$1)</f>
        <v>618</v>
      </c>
      <c r="AC480" s="20">
        <f>SUMIFS('Doc''s Pagos | Rodopar 108'!$J:$J,'Doc''s Pagos | Rodopar 108'!$A:$A,$B480&amp;$E480&amp;$F480&amp;$J480,'Doc''s Pagos | Rodopar 108'!$B:$B,AC$1)+SUMIFS('Doc Há Pagar | Rodopar 1015'!$J:$J,'Doc Há Pagar | Rodopar 1015'!$A:$A,$B480&amp;$E480&amp;$F480,'Doc Há Pagar | Rodopar 1015'!$B:$B,AC$1)</f>
        <v>0</v>
      </c>
      <c r="AD480" s="20">
        <f>SUMIFS('Doc''s Pagos | Rodopar 108'!$J:$J,'Doc''s Pagos | Rodopar 108'!$A:$A,$B480&amp;$E480&amp;$F480&amp;$J480,'Doc''s Pagos | Rodopar 108'!$B:$B,AD$1)+SUMIFS('Doc Há Pagar | Rodopar 1015'!$J:$J,'Doc Há Pagar | Rodopar 1015'!$A:$A,$B480&amp;$E480&amp;$F480,'Doc Há Pagar | Rodopar 1015'!$B:$B,AD$1)</f>
        <v>0</v>
      </c>
    </row>
    <row r="481" spans="1:30" x14ac:dyDescent="0.25">
      <c r="A481" s="1" t="str">
        <f>VLOOKUP($E481,Fornecedores!$A:$C,3,0)</f>
        <v>Frota</v>
      </c>
      <c r="B481" s="14">
        <v>1037473</v>
      </c>
      <c r="C481" s="14" t="str">
        <f>IFERROR(VLOOKUP($E481,Fornecedores!$A:$E,4,0),"")</f>
        <v>Manutenção</v>
      </c>
      <c r="D481" s="14" t="str">
        <f>IFERROR(VLOOKUP($E481,Fornecedores!$A:$E,5,0),"")</f>
        <v>Caminhão</v>
      </c>
      <c r="E481" s="8" t="s">
        <v>190</v>
      </c>
      <c r="F481" s="14" t="s">
        <v>380</v>
      </c>
      <c r="G481" s="8" t="s">
        <v>381</v>
      </c>
      <c r="H481" s="9">
        <v>87</v>
      </c>
      <c r="I481" s="21">
        <v>3181.38</v>
      </c>
      <c r="J481" s="11">
        <v>46289</v>
      </c>
      <c r="K481" s="11">
        <v>46294</v>
      </c>
      <c r="L481" s="8" t="s">
        <v>382</v>
      </c>
      <c r="M481" s="14" t="s">
        <v>234</v>
      </c>
      <c r="N481" s="16">
        <v>1556</v>
      </c>
      <c r="O481" s="14" t="s">
        <v>250</v>
      </c>
      <c r="P481" s="14"/>
      <c r="Q481" s="20">
        <f t="shared" si="7"/>
        <v>0</v>
      </c>
      <c r="S481" s="20">
        <f>SUMIFS('Doc''s Pagos | Rodopar 108'!$J:$J,'Doc''s Pagos | Rodopar 108'!$A:$A,$B481&amp;$E481&amp;$F481&amp;$J481,'Doc''s Pagos | Rodopar 108'!$B:$B,S$1)+SUMIFS('Doc Há Pagar | Rodopar 1015'!$J:$J,'Doc Há Pagar | Rodopar 1015'!$A:$A,$B481&amp;$E481&amp;$F481,'Doc Há Pagar | Rodopar 1015'!$B:$B,S$1)</f>
        <v>0</v>
      </c>
      <c r="T481" s="20">
        <f>SUMIFS('Doc''s Pagos | Rodopar 108'!$J:$J,'Doc''s Pagos | Rodopar 108'!$A:$A,$B481&amp;$E481&amp;$F481&amp;$J481,'Doc''s Pagos | Rodopar 108'!$B:$B,T$1)+SUMIFS('Doc Há Pagar | Rodopar 1015'!$J:$J,'Doc Há Pagar | Rodopar 1015'!$A:$A,$B481&amp;$E481&amp;$F481,'Doc Há Pagar | Rodopar 1015'!$B:$B,T$1)</f>
        <v>0</v>
      </c>
      <c r="U481" s="20">
        <f>SUMIFS('Doc''s Pagos | Rodopar 108'!$J:$J,'Doc''s Pagos | Rodopar 108'!$A:$A,$B481&amp;$E481&amp;$F481&amp;$J481,'Doc''s Pagos | Rodopar 108'!$B:$B,U$1)+SUMIFS('Doc Há Pagar | Rodopar 1015'!$J:$J,'Doc Há Pagar | Rodopar 1015'!$A:$A,$B481&amp;$E481&amp;$F481,'Doc Há Pagar | Rodopar 1015'!$B:$B,U$1)</f>
        <v>0</v>
      </c>
      <c r="V481" s="20">
        <f>SUMIFS('Doc''s Pagos | Rodopar 108'!$J:$J,'Doc''s Pagos | Rodopar 108'!$A:$A,$B481&amp;$E481&amp;$F481&amp;$J481,'Doc''s Pagos | Rodopar 108'!$B:$B,V$1)+SUMIFS('Doc Há Pagar | Rodopar 1015'!$J:$J,'Doc Há Pagar | Rodopar 1015'!$A:$A,$B481&amp;$E481&amp;$F481,'Doc Há Pagar | Rodopar 1015'!$B:$B,V$1)</f>
        <v>0</v>
      </c>
      <c r="W481" s="20">
        <f>SUMIFS('Doc''s Pagos | Rodopar 108'!$J:$J,'Doc''s Pagos | Rodopar 108'!$A:$A,$B481&amp;$E481&amp;$F481&amp;$J481,'Doc''s Pagos | Rodopar 108'!$B:$B,W$1)+SUMIFS('Doc Há Pagar | Rodopar 1015'!$J:$J,'Doc Há Pagar | Rodopar 1015'!$A:$A,$B481&amp;$E481&amp;$F481,'Doc Há Pagar | Rodopar 1015'!$B:$B,W$1)</f>
        <v>0</v>
      </c>
      <c r="X481" s="20">
        <f>SUMIFS('Doc''s Pagos | Rodopar 108'!$J:$J,'Doc''s Pagos | Rodopar 108'!$A:$A,$B481&amp;$E481&amp;$F481&amp;$J481,'Doc''s Pagos | Rodopar 108'!$B:$B,X$1)+SUMIFS('Doc Há Pagar | Rodopar 1015'!$J:$J,'Doc Há Pagar | Rodopar 1015'!$A:$A,$B481&amp;$E481&amp;$F481,'Doc Há Pagar | Rodopar 1015'!$B:$B,X$1)</f>
        <v>0</v>
      </c>
      <c r="Y481" s="20">
        <f>SUMIFS('Doc''s Pagos | Rodopar 108'!$J:$J,'Doc''s Pagos | Rodopar 108'!$A:$A,$B481&amp;$E481&amp;$F481&amp;$J481,'Doc''s Pagos | Rodopar 108'!$B:$B,Y$1)+SUMIFS('Doc Há Pagar | Rodopar 1015'!$J:$J,'Doc Há Pagar | Rodopar 1015'!$A:$A,$B481&amp;$E481&amp;$F481,'Doc Há Pagar | Rodopar 1015'!$B:$B,Y$1)</f>
        <v>0</v>
      </c>
      <c r="Z481" s="20">
        <f>SUMIFS('Doc''s Pagos | Rodopar 108'!$J:$J,'Doc''s Pagos | Rodopar 108'!$A:$A,$B481&amp;$E481&amp;$F481&amp;$J481,'Doc''s Pagos | Rodopar 108'!$B:$B,Z$1)+SUMIFS('Doc Há Pagar | Rodopar 1015'!$J:$J,'Doc Há Pagar | Rodopar 1015'!$A:$A,$B481&amp;$E481&amp;$F481,'Doc Há Pagar | Rodopar 1015'!$B:$B,Z$1)</f>
        <v>0</v>
      </c>
      <c r="AA481" s="20">
        <f>SUMIFS('Doc''s Pagos | Rodopar 108'!$J:$J,'Doc''s Pagos | Rodopar 108'!$A:$A,$B481&amp;$E481&amp;$F481&amp;$J481,'Doc''s Pagos | Rodopar 108'!$B:$B,AA$1)+SUMIFS('Doc Há Pagar | Rodopar 1015'!$J:$J,'Doc Há Pagar | Rodopar 1015'!$A:$A,$B481&amp;$E481&amp;$F481,'Doc Há Pagar | Rodopar 1015'!$B:$B,AA$1)</f>
        <v>0</v>
      </c>
      <c r="AB481" s="20">
        <f>SUMIFS('Doc''s Pagos | Rodopar 108'!$J:$J,'Doc''s Pagos | Rodopar 108'!$A:$A,$B481&amp;$E481&amp;$F481&amp;$J481,'Doc''s Pagos | Rodopar 108'!$B:$B,AB$1)+SUMIFS('Doc Há Pagar | Rodopar 1015'!$J:$J,'Doc Há Pagar | Rodopar 1015'!$A:$A,$B481&amp;$E481&amp;$F481,'Doc Há Pagar | Rodopar 1015'!$B:$B,AB$1)</f>
        <v>3181.38</v>
      </c>
      <c r="AC481" s="20">
        <f>SUMIFS('Doc''s Pagos | Rodopar 108'!$J:$J,'Doc''s Pagos | Rodopar 108'!$A:$A,$B481&amp;$E481&amp;$F481&amp;$J481,'Doc''s Pagos | Rodopar 108'!$B:$B,AC$1)+SUMIFS('Doc Há Pagar | Rodopar 1015'!$J:$J,'Doc Há Pagar | Rodopar 1015'!$A:$A,$B481&amp;$E481&amp;$F481,'Doc Há Pagar | Rodopar 1015'!$B:$B,AC$1)</f>
        <v>0</v>
      </c>
      <c r="AD481" s="20">
        <f>SUMIFS('Doc''s Pagos | Rodopar 108'!$J:$J,'Doc''s Pagos | Rodopar 108'!$A:$A,$B481&amp;$E481&amp;$F481&amp;$J481,'Doc''s Pagos | Rodopar 108'!$B:$B,AD$1)+SUMIFS('Doc Há Pagar | Rodopar 1015'!$J:$J,'Doc Há Pagar | Rodopar 1015'!$A:$A,$B481&amp;$E481&amp;$F481,'Doc Há Pagar | Rodopar 1015'!$B:$B,AD$1)</f>
        <v>0</v>
      </c>
    </row>
    <row r="482" spans="1:30" x14ac:dyDescent="0.25">
      <c r="A482" s="1" t="str">
        <f>VLOOKUP($E482,Fornecedores!$A:$C,3,0)</f>
        <v>Frota</v>
      </c>
      <c r="B482" s="14">
        <v>19013</v>
      </c>
      <c r="C482" s="14" t="str">
        <f>IFERROR(VLOOKUP($E482,Fornecedores!$A:$E,4,0),"")</f>
        <v>Manutenção</v>
      </c>
      <c r="D482" s="14" t="str">
        <f>IFERROR(VLOOKUP($E482,Fornecedores!$A:$E,5,0),"")</f>
        <v>Caminhão</v>
      </c>
      <c r="E482" s="8" t="s">
        <v>190</v>
      </c>
      <c r="F482" s="14" t="s">
        <v>665</v>
      </c>
      <c r="G482" s="8" t="s">
        <v>381</v>
      </c>
      <c r="H482" s="9">
        <v>87</v>
      </c>
      <c r="I482" s="21">
        <v>1293.58</v>
      </c>
      <c r="J482" s="11">
        <v>46289</v>
      </c>
      <c r="K482" s="11">
        <v>46294</v>
      </c>
      <c r="L482" s="8" t="s">
        <v>382</v>
      </c>
      <c r="M482" s="14" t="s">
        <v>234</v>
      </c>
      <c r="N482" s="16">
        <v>1556</v>
      </c>
      <c r="O482" s="14" t="s">
        <v>250</v>
      </c>
      <c r="P482" s="14"/>
      <c r="Q482" s="20">
        <f t="shared" si="7"/>
        <v>0</v>
      </c>
      <c r="S482" s="20">
        <f>SUMIFS('Doc''s Pagos | Rodopar 108'!$J:$J,'Doc''s Pagos | Rodopar 108'!$A:$A,$B482&amp;$E482&amp;$F482&amp;$J482,'Doc''s Pagos | Rodopar 108'!$B:$B,S$1)+SUMIFS('Doc Há Pagar | Rodopar 1015'!$J:$J,'Doc Há Pagar | Rodopar 1015'!$A:$A,$B482&amp;$E482&amp;$F482,'Doc Há Pagar | Rodopar 1015'!$B:$B,S$1)</f>
        <v>0</v>
      </c>
      <c r="T482" s="20">
        <f>SUMIFS('Doc''s Pagos | Rodopar 108'!$J:$J,'Doc''s Pagos | Rodopar 108'!$A:$A,$B482&amp;$E482&amp;$F482&amp;$J482,'Doc''s Pagos | Rodopar 108'!$B:$B,T$1)+SUMIFS('Doc Há Pagar | Rodopar 1015'!$J:$J,'Doc Há Pagar | Rodopar 1015'!$A:$A,$B482&amp;$E482&amp;$F482,'Doc Há Pagar | Rodopar 1015'!$B:$B,T$1)</f>
        <v>0</v>
      </c>
      <c r="U482" s="20">
        <f>SUMIFS('Doc''s Pagos | Rodopar 108'!$J:$J,'Doc''s Pagos | Rodopar 108'!$A:$A,$B482&amp;$E482&amp;$F482&amp;$J482,'Doc''s Pagos | Rodopar 108'!$B:$B,U$1)+SUMIFS('Doc Há Pagar | Rodopar 1015'!$J:$J,'Doc Há Pagar | Rodopar 1015'!$A:$A,$B482&amp;$E482&amp;$F482,'Doc Há Pagar | Rodopar 1015'!$B:$B,U$1)</f>
        <v>0</v>
      </c>
      <c r="V482" s="20">
        <f>SUMIFS('Doc''s Pagos | Rodopar 108'!$J:$J,'Doc''s Pagos | Rodopar 108'!$A:$A,$B482&amp;$E482&amp;$F482&amp;$J482,'Doc''s Pagos | Rodopar 108'!$B:$B,V$1)+SUMIFS('Doc Há Pagar | Rodopar 1015'!$J:$J,'Doc Há Pagar | Rodopar 1015'!$A:$A,$B482&amp;$E482&amp;$F482,'Doc Há Pagar | Rodopar 1015'!$B:$B,V$1)</f>
        <v>0</v>
      </c>
      <c r="W482" s="20">
        <f>SUMIFS('Doc''s Pagos | Rodopar 108'!$J:$J,'Doc''s Pagos | Rodopar 108'!$A:$A,$B482&amp;$E482&amp;$F482&amp;$J482,'Doc''s Pagos | Rodopar 108'!$B:$B,W$1)+SUMIFS('Doc Há Pagar | Rodopar 1015'!$J:$J,'Doc Há Pagar | Rodopar 1015'!$A:$A,$B482&amp;$E482&amp;$F482,'Doc Há Pagar | Rodopar 1015'!$B:$B,W$1)</f>
        <v>0</v>
      </c>
      <c r="X482" s="20">
        <f>SUMIFS('Doc''s Pagos | Rodopar 108'!$J:$J,'Doc''s Pagos | Rodopar 108'!$A:$A,$B482&amp;$E482&amp;$F482&amp;$J482,'Doc''s Pagos | Rodopar 108'!$B:$B,X$1)+SUMIFS('Doc Há Pagar | Rodopar 1015'!$J:$J,'Doc Há Pagar | Rodopar 1015'!$A:$A,$B482&amp;$E482&amp;$F482,'Doc Há Pagar | Rodopar 1015'!$B:$B,X$1)</f>
        <v>0</v>
      </c>
      <c r="Y482" s="20">
        <f>SUMIFS('Doc''s Pagos | Rodopar 108'!$J:$J,'Doc''s Pagos | Rodopar 108'!$A:$A,$B482&amp;$E482&amp;$F482&amp;$J482,'Doc''s Pagos | Rodopar 108'!$B:$B,Y$1)+SUMIFS('Doc Há Pagar | Rodopar 1015'!$J:$J,'Doc Há Pagar | Rodopar 1015'!$A:$A,$B482&amp;$E482&amp;$F482,'Doc Há Pagar | Rodopar 1015'!$B:$B,Y$1)</f>
        <v>0</v>
      </c>
      <c r="Z482" s="20">
        <f>SUMIFS('Doc''s Pagos | Rodopar 108'!$J:$J,'Doc''s Pagos | Rodopar 108'!$A:$A,$B482&amp;$E482&amp;$F482&amp;$J482,'Doc''s Pagos | Rodopar 108'!$B:$B,Z$1)+SUMIFS('Doc Há Pagar | Rodopar 1015'!$J:$J,'Doc Há Pagar | Rodopar 1015'!$A:$A,$B482&amp;$E482&amp;$F482,'Doc Há Pagar | Rodopar 1015'!$B:$B,Z$1)</f>
        <v>0</v>
      </c>
      <c r="AA482" s="20">
        <f>SUMIFS('Doc''s Pagos | Rodopar 108'!$J:$J,'Doc''s Pagos | Rodopar 108'!$A:$A,$B482&amp;$E482&amp;$F482&amp;$J482,'Doc''s Pagos | Rodopar 108'!$B:$B,AA$1)+SUMIFS('Doc Há Pagar | Rodopar 1015'!$J:$J,'Doc Há Pagar | Rodopar 1015'!$A:$A,$B482&amp;$E482&amp;$F482,'Doc Há Pagar | Rodopar 1015'!$B:$B,AA$1)</f>
        <v>0</v>
      </c>
      <c r="AB482" s="20">
        <f>SUMIFS('Doc''s Pagos | Rodopar 108'!$J:$J,'Doc''s Pagos | Rodopar 108'!$A:$A,$B482&amp;$E482&amp;$F482&amp;$J482,'Doc''s Pagos | Rodopar 108'!$B:$B,AB$1)+SUMIFS('Doc Há Pagar | Rodopar 1015'!$J:$J,'Doc Há Pagar | Rodopar 1015'!$A:$A,$B482&amp;$E482&amp;$F482,'Doc Há Pagar | Rodopar 1015'!$B:$B,AB$1)</f>
        <v>1293.58</v>
      </c>
      <c r="AC482" s="20">
        <f>SUMIFS('Doc''s Pagos | Rodopar 108'!$J:$J,'Doc''s Pagos | Rodopar 108'!$A:$A,$B482&amp;$E482&amp;$F482&amp;$J482,'Doc''s Pagos | Rodopar 108'!$B:$B,AC$1)+SUMIFS('Doc Há Pagar | Rodopar 1015'!$J:$J,'Doc Há Pagar | Rodopar 1015'!$A:$A,$B482&amp;$E482&amp;$F482,'Doc Há Pagar | Rodopar 1015'!$B:$B,AC$1)</f>
        <v>0</v>
      </c>
      <c r="AD482" s="20">
        <f>SUMIFS('Doc''s Pagos | Rodopar 108'!$J:$J,'Doc''s Pagos | Rodopar 108'!$A:$A,$B482&amp;$E482&amp;$F482&amp;$J482,'Doc''s Pagos | Rodopar 108'!$B:$B,AD$1)+SUMIFS('Doc Há Pagar | Rodopar 1015'!$J:$J,'Doc Há Pagar | Rodopar 1015'!$A:$A,$B482&amp;$E482&amp;$F482,'Doc Há Pagar | Rodopar 1015'!$B:$B,AD$1)</f>
        <v>0</v>
      </c>
    </row>
    <row r="483" spans="1:30" x14ac:dyDescent="0.25">
      <c r="A483" s="1" t="str">
        <f>VLOOKUP($E483,Fornecedores!$A:$C,3,0)</f>
        <v>Frota</v>
      </c>
      <c r="B483" s="14">
        <v>5358</v>
      </c>
      <c r="C483" s="14" t="str">
        <f>IFERROR(VLOOKUP($E483,Fornecedores!$A:$E,4,0),"")</f>
        <v>Manutenção</v>
      </c>
      <c r="D483" s="14" t="str">
        <f>IFERROR(VLOOKUP($E483,Fornecedores!$A:$E,5,0),"")</f>
        <v>Vans</v>
      </c>
      <c r="E483" s="8" t="s">
        <v>23</v>
      </c>
      <c r="F483" s="14" t="s">
        <v>380</v>
      </c>
      <c r="G483" s="8" t="s">
        <v>557</v>
      </c>
      <c r="H483" s="9">
        <v>87</v>
      </c>
      <c r="I483" s="21">
        <v>65</v>
      </c>
      <c r="J483" s="11">
        <v>46290</v>
      </c>
      <c r="K483" s="11">
        <v>46294</v>
      </c>
      <c r="L483" s="8" t="s">
        <v>501</v>
      </c>
      <c r="M483" s="14" t="s">
        <v>234</v>
      </c>
      <c r="N483" s="16">
        <v>1556</v>
      </c>
      <c r="O483" s="14" t="s">
        <v>250</v>
      </c>
      <c r="P483" s="14"/>
      <c r="Q483" s="20">
        <f t="shared" si="7"/>
        <v>0</v>
      </c>
      <c r="S483" s="20">
        <f>SUMIFS('Doc''s Pagos | Rodopar 108'!$J:$J,'Doc''s Pagos | Rodopar 108'!$A:$A,$B483&amp;$E483&amp;$F483&amp;$J483,'Doc''s Pagos | Rodopar 108'!$B:$B,S$1)+SUMIFS('Doc Há Pagar | Rodopar 1015'!$J:$J,'Doc Há Pagar | Rodopar 1015'!$A:$A,$B483&amp;$E483&amp;$F483,'Doc Há Pagar | Rodopar 1015'!$B:$B,S$1)</f>
        <v>0</v>
      </c>
      <c r="T483" s="20">
        <f>SUMIFS('Doc''s Pagos | Rodopar 108'!$J:$J,'Doc''s Pagos | Rodopar 108'!$A:$A,$B483&amp;$E483&amp;$F483&amp;$J483,'Doc''s Pagos | Rodopar 108'!$B:$B,T$1)+SUMIFS('Doc Há Pagar | Rodopar 1015'!$J:$J,'Doc Há Pagar | Rodopar 1015'!$A:$A,$B483&amp;$E483&amp;$F483,'Doc Há Pagar | Rodopar 1015'!$B:$B,T$1)</f>
        <v>0</v>
      </c>
      <c r="U483" s="20">
        <f>SUMIFS('Doc''s Pagos | Rodopar 108'!$J:$J,'Doc''s Pagos | Rodopar 108'!$A:$A,$B483&amp;$E483&amp;$F483&amp;$J483,'Doc''s Pagos | Rodopar 108'!$B:$B,U$1)+SUMIFS('Doc Há Pagar | Rodopar 1015'!$J:$J,'Doc Há Pagar | Rodopar 1015'!$A:$A,$B483&amp;$E483&amp;$F483,'Doc Há Pagar | Rodopar 1015'!$B:$B,U$1)</f>
        <v>0</v>
      </c>
      <c r="V483" s="20">
        <f>SUMIFS('Doc''s Pagos | Rodopar 108'!$J:$J,'Doc''s Pagos | Rodopar 108'!$A:$A,$B483&amp;$E483&amp;$F483&amp;$J483,'Doc''s Pagos | Rodopar 108'!$B:$B,V$1)+SUMIFS('Doc Há Pagar | Rodopar 1015'!$J:$J,'Doc Há Pagar | Rodopar 1015'!$A:$A,$B483&amp;$E483&amp;$F483,'Doc Há Pagar | Rodopar 1015'!$B:$B,V$1)</f>
        <v>0</v>
      </c>
      <c r="W483" s="20">
        <f>SUMIFS('Doc''s Pagos | Rodopar 108'!$J:$J,'Doc''s Pagos | Rodopar 108'!$A:$A,$B483&amp;$E483&amp;$F483&amp;$J483,'Doc''s Pagos | Rodopar 108'!$B:$B,W$1)+SUMIFS('Doc Há Pagar | Rodopar 1015'!$J:$J,'Doc Há Pagar | Rodopar 1015'!$A:$A,$B483&amp;$E483&amp;$F483,'Doc Há Pagar | Rodopar 1015'!$B:$B,W$1)</f>
        <v>0</v>
      </c>
      <c r="X483" s="20">
        <f>SUMIFS('Doc''s Pagos | Rodopar 108'!$J:$J,'Doc''s Pagos | Rodopar 108'!$A:$A,$B483&amp;$E483&amp;$F483&amp;$J483,'Doc''s Pagos | Rodopar 108'!$B:$B,X$1)+SUMIFS('Doc Há Pagar | Rodopar 1015'!$J:$J,'Doc Há Pagar | Rodopar 1015'!$A:$A,$B483&amp;$E483&amp;$F483,'Doc Há Pagar | Rodopar 1015'!$B:$B,X$1)</f>
        <v>0</v>
      </c>
      <c r="Y483" s="20">
        <f>SUMIFS('Doc''s Pagos | Rodopar 108'!$J:$J,'Doc''s Pagos | Rodopar 108'!$A:$A,$B483&amp;$E483&amp;$F483&amp;$J483,'Doc''s Pagos | Rodopar 108'!$B:$B,Y$1)+SUMIFS('Doc Há Pagar | Rodopar 1015'!$J:$J,'Doc Há Pagar | Rodopar 1015'!$A:$A,$B483&amp;$E483&amp;$F483,'Doc Há Pagar | Rodopar 1015'!$B:$B,Y$1)</f>
        <v>0</v>
      </c>
      <c r="Z483" s="20">
        <f>SUMIFS('Doc''s Pagos | Rodopar 108'!$J:$J,'Doc''s Pagos | Rodopar 108'!$A:$A,$B483&amp;$E483&amp;$F483&amp;$J483,'Doc''s Pagos | Rodopar 108'!$B:$B,Z$1)+SUMIFS('Doc Há Pagar | Rodopar 1015'!$J:$J,'Doc Há Pagar | Rodopar 1015'!$A:$A,$B483&amp;$E483&amp;$F483,'Doc Há Pagar | Rodopar 1015'!$B:$B,Z$1)</f>
        <v>0</v>
      </c>
      <c r="AA483" s="20">
        <f>SUMIFS('Doc''s Pagos | Rodopar 108'!$J:$J,'Doc''s Pagos | Rodopar 108'!$A:$A,$B483&amp;$E483&amp;$F483&amp;$J483,'Doc''s Pagos | Rodopar 108'!$B:$B,AA$1)+SUMIFS('Doc Há Pagar | Rodopar 1015'!$J:$J,'Doc Há Pagar | Rodopar 1015'!$A:$A,$B483&amp;$E483&amp;$F483,'Doc Há Pagar | Rodopar 1015'!$B:$B,AA$1)</f>
        <v>0</v>
      </c>
      <c r="AB483" s="20">
        <f>SUMIFS('Doc''s Pagos | Rodopar 108'!$J:$J,'Doc''s Pagos | Rodopar 108'!$A:$A,$B483&amp;$E483&amp;$F483&amp;$J483,'Doc''s Pagos | Rodopar 108'!$B:$B,AB$1)+SUMIFS('Doc Há Pagar | Rodopar 1015'!$J:$J,'Doc Há Pagar | Rodopar 1015'!$A:$A,$B483&amp;$E483&amp;$F483,'Doc Há Pagar | Rodopar 1015'!$B:$B,AB$1)</f>
        <v>65</v>
      </c>
      <c r="AC483" s="20">
        <f>SUMIFS('Doc''s Pagos | Rodopar 108'!$J:$J,'Doc''s Pagos | Rodopar 108'!$A:$A,$B483&amp;$E483&amp;$F483&amp;$J483,'Doc''s Pagos | Rodopar 108'!$B:$B,AC$1)+SUMIFS('Doc Há Pagar | Rodopar 1015'!$J:$J,'Doc Há Pagar | Rodopar 1015'!$A:$A,$B483&amp;$E483&amp;$F483,'Doc Há Pagar | Rodopar 1015'!$B:$B,AC$1)</f>
        <v>0</v>
      </c>
      <c r="AD483" s="20">
        <f>SUMIFS('Doc''s Pagos | Rodopar 108'!$J:$J,'Doc''s Pagos | Rodopar 108'!$A:$A,$B483&amp;$E483&amp;$F483&amp;$J483,'Doc''s Pagos | Rodopar 108'!$B:$B,AD$1)+SUMIFS('Doc Há Pagar | Rodopar 1015'!$J:$J,'Doc Há Pagar | Rodopar 1015'!$A:$A,$B483&amp;$E483&amp;$F483,'Doc Há Pagar | Rodopar 1015'!$B:$B,AD$1)</f>
        <v>0</v>
      </c>
    </row>
    <row r="484" spans="1:30" x14ac:dyDescent="0.25">
      <c r="A484" s="1" t="str">
        <f>VLOOKUP($E484,Fornecedores!$A:$C,3,0)</f>
        <v>Frota</v>
      </c>
      <c r="B484" s="14">
        <v>949</v>
      </c>
      <c r="C484" s="14" t="str">
        <f>IFERROR(VLOOKUP($E484,Fornecedores!$A:$E,4,0),"")</f>
        <v>Manutenção</v>
      </c>
      <c r="D484" s="14" t="str">
        <f>IFERROR(VLOOKUP($E484,Fornecedores!$A:$E,5,0),"")</f>
        <v>Vans</v>
      </c>
      <c r="E484" s="8" t="s">
        <v>23</v>
      </c>
      <c r="F484" s="14" t="s">
        <v>665</v>
      </c>
      <c r="G484" s="8" t="s">
        <v>557</v>
      </c>
      <c r="H484" s="9">
        <v>87</v>
      </c>
      <c r="I484" s="21">
        <v>1060</v>
      </c>
      <c r="J484" s="11">
        <v>46290</v>
      </c>
      <c r="K484" s="11">
        <v>46296</v>
      </c>
      <c r="L484" s="8" t="s">
        <v>501</v>
      </c>
      <c r="M484" s="14" t="s">
        <v>234</v>
      </c>
      <c r="N484" s="16">
        <v>1556</v>
      </c>
      <c r="O484" s="14" t="s">
        <v>250</v>
      </c>
      <c r="P484" s="14"/>
      <c r="Q484" s="20">
        <f t="shared" si="7"/>
        <v>0</v>
      </c>
      <c r="S484" s="20">
        <f>SUMIFS('Doc''s Pagos | Rodopar 108'!$J:$J,'Doc''s Pagos | Rodopar 108'!$A:$A,$B484&amp;$E484&amp;$F484&amp;$J484,'Doc''s Pagos | Rodopar 108'!$B:$B,S$1)+SUMIFS('Doc Há Pagar | Rodopar 1015'!$J:$J,'Doc Há Pagar | Rodopar 1015'!$A:$A,$B484&amp;$E484&amp;$F484,'Doc Há Pagar | Rodopar 1015'!$B:$B,S$1)</f>
        <v>0</v>
      </c>
      <c r="T484" s="20">
        <f>SUMIFS('Doc''s Pagos | Rodopar 108'!$J:$J,'Doc''s Pagos | Rodopar 108'!$A:$A,$B484&amp;$E484&amp;$F484&amp;$J484,'Doc''s Pagos | Rodopar 108'!$B:$B,T$1)+SUMIFS('Doc Há Pagar | Rodopar 1015'!$J:$J,'Doc Há Pagar | Rodopar 1015'!$A:$A,$B484&amp;$E484&amp;$F484,'Doc Há Pagar | Rodopar 1015'!$B:$B,T$1)</f>
        <v>0</v>
      </c>
      <c r="U484" s="20">
        <f>SUMIFS('Doc''s Pagos | Rodopar 108'!$J:$J,'Doc''s Pagos | Rodopar 108'!$A:$A,$B484&amp;$E484&amp;$F484&amp;$J484,'Doc''s Pagos | Rodopar 108'!$B:$B,U$1)+SUMIFS('Doc Há Pagar | Rodopar 1015'!$J:$J,'Doc Há Pagar | Rodopar 1015'!$A:$A,$B484&amp;$E484&amp;$F484,'Doc Há Pagar | Rodopar 1015'!$B:$B,U$1)</f>
        <v>0</v>
      </c>
      <c r="V484" s="20">
        <f>SUMIFS('Doc''s Pagos | Rodopar 108'!$J:$J,'Doc''s Pagos | Rodopar 108'!$A:$A,$B484&amp;$E484&amp;$F484&amp;$J484,'Doc''s Pagos | Rodopar 108'!$B:$B,V$1)+SUMIFS('Doc Há Pagar | Rodopar 1015'!$J:$J,'Doc Há Pagar | Rodopar 1015'!$A:$A,$B484&amp;$E484&amp;$F484,'Doc Há Pagar | Rodopar 1015'!$B:$B,V$1)</f>
        <v>0</v>
      </c>
      <c r="W484" s="20">
        <f>SUMIFS('Doc''s Pagos | Rodopar 108'!$J:$J,'Doc''s Pagos | Rodopar 108'!$A:$A,$B484&amp;$E484&amp;$F484&amp;$J484,'Doc''s Pagos | Rodopar 108'!$B:$B,W$1)+SUMIFS('Doc Há Pagar | Rodopar 1015'!$J:$J,'Doc Há Pagar | Rodopar 1015'!$A:$A,$B484&amp;$E484&amp;$F484,'Doc Há Pagar | Rodopar 1015'!$B:$B,W$1)</f>
        <v>0</v>
      </c>
      <c r="X484" s="20">
        <f>SUMIFS('Doc''s Pagos | Rodopar 108'!$J:$J,'Doc''s Pagos | Rodopar 108'!$A:$A,$B484&amp;$E484&amp;$F484&amp;$J484,'Doc''s Pagos | Rodopar 108'!$B:$B,X$1)+SUMIFS('Doc Há Pagar | Rodopar 1015'!$J:$J,'Doc Há Pagar | Rodopar 1015'!$A:$A,$B484&amp;$E484&amp;$F484,'Doc Há Pagar | Rodopar 1015'!$B:$B,X$1)</f>
        <v>0</v>
      </c>
      <c r="Y484" s="20">
        <f>SUMIFS('Doc''s Pagos | Rodopar 108'!$J:$J,'Doc''s Pagos | Rodopar 108'!$A:$A,$B484&amp;$E484&amp;$F484&amp;$J484,'Doc''s Pagos | Rodopar 108'!$B:$B,Y$1)+SUMIFS('Doc Há Pagar | Rodopar 1015'!$J:$J,'Doc Há Pagar | Rodopar 1015'!$A:$A,$B484&amp;$E484&amp;$F484,'Doc Há Pagar | Rodopar 1015'!$B:$B,Y$1)</f>
        <v>0</v>
      </c>
      <c r="Z484" s="20">
        <f>SUMIFS('Doc''s Pagos | Rodopar 108'!$J:$J,'Doc''s Pagos | Rodopar 108'!$A:$A,$B484&amp;$E484&amp;$F484&amp;$J484,'Doc''s Pagos | Rodopar 108'!$B:$B,Z$1)+SUMIFS('Doc Há Pagar | Rodopar 1015'!$J:$J,'Doc Há Pagar | Rodopar 1015'!$A:$A,$B484&amp;$E484&amp;$F484,'Doc Há Pagar | Rodopar 1015'!$B:$B,Z$1)</f>
        <v>0</v>
      </c>
      <c r="AA484" s="20">
        <f>SUMIFS('Doc''s Pagos | Rodopar 108'!$J:$J,'Doc''s Pagos | Rodopar 108'!$A:$A,$B484&amp;$E484&amp;$F484&amp;$J484,'Doc''s Pagos | Rodopar 108'!$B:$B,AA$1)+SUMIFS('Doc Há Pagar | Rodopar 1015'!$J:$J,'Doc Há Pagar | Rodopar 1015'!$A:$A,$B484&amp;$E484&amp;$F484,'Doc Há Pagar | Rodopar 1015'!$B:$B,AA$1)</f>
        <v>0</v>
      </c>
      <c r="AB484" s="20">
        <f>SUMIFS('Doc''s Pagos | Rodopar 108'!$J:$J,'Doc''s Pagos | Rodopar 108'!$A:$A,$B484&amp;$E484&amp;$F484&amp;$J484,'Doc''s Pagos | Rodopar 108'!$B:$B,AB$1)+SUMIFS('Doc Há Pagar | Rodopar 1015'!$J:$J,'Doc Há Pagar | Rodopar 1015'!$A:$A,$B484&amp;$E484&amp;$F484,'Doc Há Pagar | Rodopar 1015'!$B:$B,AB$1)</f>
        <v>1060</v>
      </c>
      <c r="AC484" s="20">
        <f>SUMIFS('Doc''s Pagos | Rodopar 108'!$J:$J,'Doc''s Pagos | Rodopar 108'!$A:$A,$B484&amp;$E484&amp;$F484&amp;$J484,'Doc''s Pagos | Rodopar 108'!$B:$B,AC$1)+SUMIFS('Doc Há Pagar | Rodopar 1015'!$J:$J,'Doc Há Pagar | Rodopar 1015'!$A:$A,$B484&amp;$E484&amp;$F484,'Doc Há Pagar | Rodopar 1015'!$B:$B,AC$1)</f>
        <v>0</v>
      </c>
      <c r="AD484" s="20">
        <f>SUMIFS('Doc''s Pagos | Rodopar 108'!$J:$J,'Doc''s Pagos | Rodopar 108'!$A:$A,$B484&amp;$E484&amp;$F484&amp;$J484,'Doc''s Pagos | Rodopar 108'!$B:$B,AD$1)+SUMIFS('Doc Há Pagar | Rodopar 1015'!$J:$J,'Doc Há Pagar | Rodopar 1015'!$A:$A,$B484&amp;$E484&amp;$F484,'Doc Há Pagar | Rodopar 1015'!$B:$B,AD$1)</f>
        <v>0</v>
      </c>
    </row>
    <row r="485" spans="1:30" x14ac:dyDescent="0.25">
      <c r="A485" s="1" t="str">
        <f>VLOOKUP($E485,Fornecedores!$A:$C,3,0)</f>
        <v>Frota</v>
      </c>
      <c r="B485" s="14">
        <v>19286</v>
      </c>
      <c r="C485" s="14" t="str">
        <f>IFERROR(VLOOKUP($E485,Fornecedores!$A:$E,4,0),"")</f>
        <v>Manutenção</v>
      </c>
      <c r="D485" s="14" t="str">
        <f>IFERROR(VLOOKUP($E485,Fornecedores!$A:$E,5,0),"")</f>
        <v>Peças E Serviços</v>
      </c>
      <c r="E485" s="8" t="s">
        <v>25</v>
      </c>
      <c r="F485" s="14" t="s">
        <v>380</v>
      </c>
      <c r="G485" s="8" t="s">
        <v>390</v>
      </c>
      <c r="H485" s="9">
        <v>87</v>
      </c>
      <c r="I485" s="21">
        <v>618</v>
      </c>
      <c r="J485" s="11">
        <v>46293</v>
      </c>
      <c r="K485" s="11">
        <v>46294</v>
      </c>
      <c r="L485" s="8" t="s">
        <v>282</v>
      </c>
      <c r="M485" s="14" t="s">
        <v>234</v>
      </c>
      <c r="N485" s="16">
        <v>1556</v>
      </c>
      <c r="O485" s="14" t="s">
        <v>250</v>
      </c>
      <c r="P485" s="14"/>
      <c r="Q485" s="20">
        <f t="shared" si="7"/>
        <v>0</v>
      </c>
      <c r="S485" s="20">
        <f>SUMIFS('Doc''s Pagos | Rodopar 108'!$J:$J,'Doc''s Pagos | Rodopar 108'!$A:$A,$B485&amp;$E485&amp;$F485&amp;$J485,'Doc''s Pagos | Rodopar 108'!$B:$B,S$1)+SUMIFS('Doc Há Pagar | Rodopar 1015'!$J:$J,'Doc Há Pagar | Rodopar 1015'!$A:$A,$B485&amp;$E485&amp;$F485,'Doc Há Pagar | Rodopar 1015'!$B:$B,S$1)</f>
        <v>0</v>
      </c>
      <c r="T485" s="20">
        <f>SUMIFS('Doc''s Pagos | Rodopar 108'!$J:$J,'Doc''s Pagos | Rodopar 108'!$A:$A,$B485&amp;$E485&amp;$F485&amp;$J485,'Doc''s Pagos | Rodopar 108'!$B:$B,T$1)+SUMIFS('Doc Há Pagar | Rodopar 1015'!$J:$J,'Doc Há Pagar | Rodopar 1015'!$A:$A,$B485&amp;$E485&amp;$F485,'Doc Há Pagar | Rodopar 1015'!$B:$B,T$1)</f>
        <v>0</v>
      </c>
      <c r="U485" s="20">
        <f>SUMIFS('Doc''s Pagos | Rodopar 108'!$J:$J,'Doc''s Pagos | Rodopar 108'!$A:$A,$B485&amp;$E485&amp;$F485&amp;$J485,'Doc''s Pagos | Rodopar 108'!$B:$B,U$1)+SUMIFS('Doc Há Pagar | Rodopar 1015'!$J:$J,'Doc Há Pagar | Rodopar 1015'!$A:$A,$B485&amp;$E485&amp;$F485,'Doc Há Pagar | Rodopar 1015'!$B:$B,U$1)</f>
        <v>0</v>
      </c>
      <c r="V485" s="20">
        <f>SUMIFS('Doc''s Pagos | Rodopar 108'!$J:$J,'Doc''s Pagos | Rodopar 108'!$A:$A,$B485&amp;$E485&amp;$F485&amp;$J485,'Doc''s Pagos | Rodopar 108'!$B:$B,V$1)+SUMIFS('Doc Há Pagar | Rodopar 1015'!$J:$J,'Doc Há Pagar | Rodopar 1015'!$A:$A,$B485&amp;$E485&amp;$F485,'Doc Há Pagar | Rodopar 1015'!$B:$B,V$1)</f>
        <v>0</v>
      </c>
      <c r="W485" s="20">
        <f>SUMIFS('Doc''s Pagos | Rodopar 108'!$J:$J,'Doc''s Pagos | Rodopar 108'!$A:$A,$B485&amp;$E485&amp;$F485&amp;$J485,'Doc''s Pagos | Rodopar 108'!$B:$B,W$1)+SUMIFS('Doc Há Pagar | Rodopar 1015'!$J:$J,'Doc Há Pagar | Rodopar 1015'!$A:$A,$B485&amp;$E485&amp;$F485,'Doc Há Pagar | Rodopar 1015'!$B:$B,W$1)</f>
        <v>0</v>
      </c>
      <c r="X485" s="20">
        <f>SUMIFS('Doc''s Pagos | Rodopar 108'!$J:$J,'Doc''s Pagos | Rodopar 108'!$A:$A,$B485&amp;$E485&amp;$F485&amp;$J485,'Doc''s Pagos | Rodopar 108'!$B:$B,X$1)+SUMIFS('Doc Há Pagar | Rodopar 1015'!$J:$J,'Doc Há Pagar | Rodopar 1015'!$A:$A,$B485&amp;$E485&amp;$F485,'Doc Há Pagar | Rodopar 1015'!$B:$B,X$1)</f>
        <v>0</v>
      </c>
      <c r="Y485" s="20">
        <f>SUMIFS('Doc''s Pagos | Rodopar 108'!$J:$J,'Doc''s Pagos | Rodopar 108'!$A:$A,$B485&amp;$E485&amp;$F485&amp;$J485,'Doc''s Pagos | Rodopar 108'!$B:$B,Y$1)+SUMIFS('Doc Há Pagar | Rodopar 1015'!$J:$J,'Doc Há Pagar | Rodopar 1015'!$A:$A,$B485&amp;$E485&amp;$F485,'Doc Há Pagar | Rodopar 1015'!$B:$B,Y$1)</f>
        <v>0</v>
      </c>
      <c r="Z485" s="20">
        <f>SUMIFS('Doc''s Pagos | Rodopar 108'!$J:$J,'Doc''s Pagos | Rodopar 108'!$A:$A,$B485&amp;$E485&amp;$F485&amp;$J485,'Doc''s Pagos | Rodopar 108'!$B:$B,Z$1)+SUMIFS('Doc Há Pagar | Rodopar 1015'!$J:$J,'Doc Há Pagar | Rodopar 1015'!$A:$A,$B485&amp;$E485&amp;$F485,'Doc Há Pagar | Rodopar 1015'!$B:$B,Z$1)</f>
        <v>0</v>
      </c>
      <c r="AA485" s="20">
        <f>SUMIFS('Doc''s Pagos | Rodopar 108'!$J:$J,'Doc''s Pagos | Rodopar 108'!$A:$A,$B485&amp;$E485&amp;$F485&amp;$J485,'Doc''s Pagos | Rodopar 108'!$B:$B,AA$1)+SUMIFS('Doc Há Pagar | Rodopar 1015'!$J:$J,'Doc Há Pagar | Rodopar 1015'!$A:$A,$B485&amp;$E485&amp;$F485,'Doc Há Pagar | Rodopar 1015'!$B:$B,AA$1)</f>
        <v>0</v>
      </c>
      <c r="AB485" s="20">
        <f>SUMIFS('Doc''s Pagos | Rodopar 108'!$J:$J,'Doc''s Pagos | Rodopar 108'!$A:$A,$B485&amp;$E485&amp;$F485&amp;$J485,'Doc''s Pagos | Rodopar 108'!$B:$B,AB$1)+SUMIFS('Doc Há Pagar | Rodopar 1015'!$J:$J,'Doc Há Pagar | Rodopar 1015'!$A:$A,$B485&amp;$E485&amp;$F485,'Doc Há Pagar | Rodopar 1015'!$B:$B,AB$1)</f>
        <v>618</v>
      </c>
      <c r="AC485" s="20">
        <f>SUMIFS('Doc''s Pagos | Rodopar 108'!$J:$J,'Doc''s Pagos | Rodopar 108'!$A:$A,$B485&amp;$E485&amp;$F485&amp;$J485,'Doc''s Pagos | Rodopar 108'!$B:$B,AC$1)+SUMIFS('Doc Há Pagar | Rodopar 1015'!$J:$J,'Doc Há Pagar | Rodopar 1015'!$A:$A,$B485&amp;$E485&amp;$F485,'Doc Há Pagar | Rodopar 1015'!$B:$B,AC$1)</f>
        <v>0</v>
      </c>
      <c r="AD485" s="20">
        <f>SUMIFS('Doc''s Pagos | Rodopar 108'!$J:$J,'Doc''s Pagos | Rodopar 108'!$A:$A,$B485&amp;$E485&amp;$F485&amp;$J485,'Doc''s Pagos | Rodopar 108'!$B:$B,AD$1)+SUMIFS('Doc Há Pagar | Rodopar 1015'!$J:$J,'Doc Há Pagar | Rodopar 1015'!$A:$A,$B485&amp;$E485&amp;$F485,'Doc Há Pagar | Rodopar 1015'!$B:$B,AD$1)</f>
        <v>0</v>
      </c>
    </row>
    <row r="486" spans="1:30" x14ac:dyDescent="0.25">
      <c r="A486" s="1" t="str">
        <f>VLOOKUP($E486,Fornecedores!$A:$C,3,0)</f>
        <v>Frota</v>
      </c>
      <c r="B486" s="14">
        <v>256</v>
      </c>
      <c r="C486" s="14" t="str">
        <f>IFERROR(VLOOKUP($E486,Fornecedores!$A:$E,4,0),"")</f>
        <v>Manutenção</v>
      </c>
      <c r="D486" s="14" t="str">
        <f>IFERROR(VLOOKUP($E486,Fornecedores!$A:$E,5,0),"")</f>
        <v>Peças E Serviços</v>
      </c>
      <c r="E486" s="8" t="s">
        <v>27</v>
      </c>
      <c r="F486" s="14" t="s">
        <v>665</v>
      </c>
      <c r="G486" s="8" t="s">
        <v>525</v>
      </c>
      <c r="H486" s="9">
        <v>87</v>
      </c>
      <c r="I486" s="21">
        <v>120</v>
      </c>
      <c r="J486" s="11">
        <v>46293</v>
      </c>
      <c r="K486" s="11">
        <v>46296</v>
      </c>
      <c r="L486" s="8" t="s">
        <v>282</v>
      </c>
      <c r="M486" s="14" t="s">
        <v>234</v>
      </c>
      <c r="N486" s="16">
        <v>1556</v>
      </c>
      <c r="O486" s="14" t="s">
        <v>250</v>
      </c>
      <c r="P486" s="14"/>
      <c r="Q486" s="20">
        <f t="shared" si="7"/>
        <v>-4.0100000000000051</v>
      </c>
      <c r="S486" s="20">
        <f>SUMIFS('Doc''s Pagos | Rodopar 108'!$J:$J,'Doc''s Pagos | Rodopar 108'!$A:$A,$B486&amp;$E486&amp;$F486&amp;$J486,'Doc''s Pagos | Rodopar 108'!$B:$B,S$1)+SUMIFS('Doc Há Pagar | Rodopar 1015'!$J:$J,'Doc Há Pagar | Rodopar 1015'!$A:$A,$B486&amp;$E486&amp;$F486,'Doc Há Pagar | Rodopar 1015'!$B:$B,S$1)</f>
        <v>0</v>
      </c>
      <c r="T486" s="20">
        <f>SUMIFS('Doc''s Pagos | Rodopar 108'!$J:$J,'Doc''s Pagos | Rodopar 108'!$A:$A,$B486&amp;$E486&amp;$F486&amp;$J486,'Doc''s Pagos | Rodopar 108'!$B:$B,T$1)+SUMIFS('Doc Há Pagar | Rodopar 1015'!$J:$J,'Doc Há Pagar | Rodopar 1015'!$A:$A,$B486&amp;$E486&amp;$F486,'Doc Há Pagar | Rodopar 1015'!$B:$B,T$1)</f>
        <v>0</v>
      </c>
      <c r="U486" s="20">
        <f>SUMIFS('Doc''s Pagos | Rodopar 108'!$J:$J,'Doc''s Pagos | Rodopar 108'!$A:$A,$B486&amp;$E486&amp;$F486&amp;$J486,'Doc''s Pagos | Rodopar 108'!$B:$B,U$1)+SUMIFS('Doc Há Pagar | Rodopar 1015'!$J:$J,'Doc Há Pagar | Rodopar 1015'!$A:$A,$B486&amp;$E486&amp;$F486,'Doc Há Pagar | Rodopar 1015'!$B:$B,U$1)</f>
        <v>0</v>
      </c>
      <c r="V486" s="20">
        <f>SUMIFS('Doc''s Pagos | Rodopar 108'!$J:$J,'Doc''s Pagos | Rodopar 108'!$A:$A,$B486&amp;$E486&amp;$F486&amp;$J486,'Doc''s Pagos | Rodopar 108'!$B:$B,V$1)+SUMIFS('Doc Há Pagar | Rodopar 1015'!$J:$J,'Doc Há Pagar | Rodopar 1015'!$A:$A,$B486&amp;$E486&amp;$F486,'Doc Há Pagar | Rodopar 1015'!$B:$B,V$1)</f>
        <v>0</v>
      </c>
      <c r="W486" s="20">
        <f>SUMIFS('Doc''s Pagos | Rodopar 108'!$J:$J,'Doc''s Pagos | Rodopar 108'!$A:$A,$B486&amp;$E486&amp;$F486&amp;$J486,'Doc''s Pagos | Rodopar 108'!$B:$B,W$1)+SUMIFS('Doc Há Pagar | Rodopar 1015'!$J:$J,'Doc Há Pagar | Rodopar 1015'!$A:$A,$B486&amp;$E486&amp;$F486,'Doc Há Pagar | Rodopar 1015'!$B:$B,W$1)</f>
        <v>0</v>
      </c>
      <c r="X486" s="20">
        <f>SUMIFS('Doc''s Pagos | Rodopar 108'!$J:$J,'Doc''s Pagos | Rodopar 108'!$A:$A,$B486&amp;$E486&amp;$F486&amp;$J486,'Doc''s Pagos | Rodopar 108'!$B:$B,X$1)+SUMIFS('Doc Há Pagar | Rodopar 1015'!$J:$J,'Doc Há Pagar | Rodopar 1015'!$A:$A,$B486&amp;$E486&amp;$F486,'Doc Há Pagar | Rodopar 1015'!$B:$B,X$1)</f>
        <v>0</v>
      </c>
      <c r="Y486" s="20">
        <f>SUMIFS('Doc''s Pagos | Rodopar 108'!$J:$J,'Doc''s Pagos | Rodopar 108'!$A:$A,$B486&amp;$E486&amp;$F486&amp;$J486,'Doc''s Pagos | Rodopar 108'!$B:$B,Y$1)+SUMIFS('Doc Há Pagar | Rodopar 1015'!$J:$J,'Doc Há Pagar | Rodopar 1015'!$A:$A,$B486&amp;$E486&amp;$F486,'Doc Há Pagar | Rodopar 1015'!$B:$B,Y$1)</f>
        <v>0</v>
      </c>
      <c r="Z486" s="20">
        <f>SUMIFS('Doc''s Pagos | Rodopar 108'!$J:$J,'Doc''s Pagos | Rodopar 108'!$A:$A,$B486&amp;$E486&amp;$F486&amp;$J486,'Doc''s Pagos | Rodopar 108'!$B:$B,Z$1)+SUMIFS('Doc Há Pagar | Rodopar 1015'!$J:$J,'Doc Há Pagar | Rodopar 1015'!$A:$A,$B486&amp;$E486&amp;$F486,'Doc Há Pagar | Rodopar 1015'!$B:$B,Z$1)</f>
        <v>0</v>
      </c>
      <c r="AA486" s="20">
        <f>SUMIFS('Doc''s Pagos | Rodopar 108'!$J:$J,'Doc''s Pagos | Rodopar 108'!$A:$A,$B486&amp;$E486&amp;$F486&amp;$J486,'Doc''s Pagos | Rodopar 108'!$B:$B,AA$1)+SUMIFS('Doc Há Pagar | Rodopar 1015'!$J:$J,'Doc Há Pagar | Rodopar 1015'!$A:$A,$B486&amp;$E486&amp;$F486,'Doc Há Pagar | Rodopar 1015'!$B:$B,AA$1)</f>
        <v>0</v>
      </c>
      <c r="AB486" s="20">
        <f>SUMIFS('Doc''s Pagos | Rodopar 108'!$J:$J,'Doc''s Pagos | Rodopar 108'!$A:$A,$B486&amp;$E486&amp;$F486&amp;$J486,'Doc''s Pagos | Rodopar 108'!$B:$B,AB$1)+SUMIFS('Doc Há Pagar | Rodopar 1015'!$J:$J,'Doc Há Pagar | Rodopar 1015'!$A:$A,$B486&amp;$E486&amp;$F486,'Doc Há Pagar | Rodopar 1015'!$B:$B,AB$1)</f>
        <v>115.99</v>
      </c>
      <c r="AC486" s="20">
        <f>SUMIFS('Doc''s Pagos | Rodopar 108'!$J:$J,'Doc''s Pagos | Rodopar 108'!$A:$A,$B486&amp;$E486&amp;$F486&amp;$J486,'Doc''s Pagos | Rodopar 108'!$B:$B,AC$1)+SUMIFS('Doc Há Pagar | Rodopar 1015'!$J:$J,'Doc Há Pagar | Rodopar 1015'!$A:$A,$B486&amp;$E486&amp;$F486,'Doc Há Pagar | Rodopar 1015'!$B:$B,AC$1)</f>
        <v>0</v>
      </c>
      <c r="AD486" s="20">
        <f>SUMIFS('Doc''s Pagos | Rodopar 108'!$J:$J,'Doc''s Pagos | Rodopar 108'!$A:$A,$B486&amp;$E486&amp;$F486&amp;$J486,'Doc''s Pagos | Rodopar 108'!$B:$B,AD$1)+SUMIFS('Doc Há Pagar | Rodopar 1015'!$J:$J,'Doc Há Pagar | Rodopar 1015'!$A:$A,$B486&amp;$E486&amp;$F486,'Doc Há Pagar | Rodopar 1015'!$B:$B,AD$1)</f>
        <v>0</v>
      </c>
    </row>
    <row r="487" spans="1:30" x14ac:dyDescent="0.25">
      <c r="A487" s="1" t="str">
        <f>VLOOKUP($E487,Fornecedores!$A:$C,3,0)</f>
        <v>Frota</v>
      </c>
      <c r="B487" s="14">
        <v>790</v>
      </c>
      <c r="C487" s="14" t="str">
        <f>IFERROR(VLOOKUP($E487,Fornecedores!$A:$E,4,0),"")</f>
        <v>Manutenção</v>
      </c>
      <c r="D487" s="14" t="str">
        <f>IFERROR(VLOOKUP($E487,Fornecedores!$A:$E,5,0),"")</f>
        <v>Peças E Serviços</v>
      </c>
      <c r="E487" s="8" t="s">
        <v>195</v>
      </c>
      <c r="F487" s="14" t="s">
        <v>665</v>
      </c>
      <c r="G487" s="8" t="s">
        <v>418</v>
      </c>
      <c r="H487" s="9">
        <v>87</v>
      </c>
      <c r="I487" s="21">
        <v>1613</v>
      </c>
      <c r="J487" s="11">
        <v>46293</v>
      </c>
      <c r="K487" s="11">
        <v>46296</v>
      </c>
      <c r="L487" s="8" t="s">
        <v>282</v>
      </c>
      <c r="M487" s="14" t="s">
        <v>234</v>
      </c>
      <c r="N487" s="16">
        <v>1556</v>
      </c>
      <c r="O487" s="14" t="s">
        <v>250</v>
      </c>
      <c r="P487" s="14"/>
      <c r="Q487" s="20">
        <f t="shared" si="7"/>
        <v>-80.650000000000091</v>
      </c>
      <c r="S487" s="20">
        <f>SUMIFS('Doc''s Pagos | Rodopar 108'!$J:$J,'Doc''s Pagos | Rodopar 108'!$A:$A,$B487&amp;$E487&amp;$F487&amp;$J487,'Doc''s Pagos | Rodopar 108'!$B:$B,S$1)+SUMIFS('Doc Há Pagar | Rodopar 1015'!$J:$J,'Doc Há Pagar | Rodopar 1015'!$A:$A,$B487&amp;$E487&amp;$F487,'Doc Há Pagar | Rodopar 1015'!$B:$B,S$1)</f>
        <v>0</v>
      </c>
      <c r="T487" s="20">
        <f>SUMIFS('Doc''s Pagos | Rodopar 108'!$J:$J,'Doc''s Pagos | Rodopar 108'!$A:$A,$B487&amp;$E487&amp;$F487&amp;$J487,'Doc''s Pagos | Rodopar 108'!$B:$B,T$1)+SUMIFS('Doc Há Pagar | Rodopar 1015'!$J:$J,'Doc Há Pagar | Rodopar 1015'!$A:$A,$B487&amp;$E487&amp;$F487,'Doc Há Pagar | Rodopar 1015'!$B:$B,T$1)</f>
        <v>0</v>
      </c>
      <c r="U487" s="20">
        <f>SUMIFS('Doc''s Pagos | Rodopar 108'!$J:$J,'Doc''s Pagos | Rodopar 108'!$A:$A,$B487&amp;$E487&amp;$F487&amp;$J487,'Doc''s Pagos | Rodopar 108'!$B:$B,U$1)+SUMIFS('Doc Há Pagar | Rodopar 1015'!$J:$J,'Doc Há Pagar | Rodopar 1015'!$A:$A,$B487&amp;$E487&amp;$F487,'Doc Há Pagar | Rodopar 1015'!$B:$B,U$1)</f>
        <v>0</v>
      </c>
      <c r="V487" s="20">
        <f>SUMIFS('Doc''s Pagos | Rodopar 108'!$J:$J,'Doc''s Pagos | Rodopar 108'!$A:$A,$B487&amp;$E487&amp;$F487&amp;$J487,'Doc''s Pagos | Rodopar 108'!$B:$B,V$1)+SUMIFS('Doc Há Pagar | Rodopar 1015'!$J:$J,'Doc Há Pagar | Rodopar 1015'!$A:$A,$B487&amp;$E487&amp;$F487,'Doc Há Pagar | Rodopar 1015'!$B:$B,V$1)</f>
        <v>0</v>
      </c>
      <c r="W487" s="20">
        <f>SUMIFS('Doc''s Pagos | Rodopar 108'!$J:$J,'Doc''s Pagos | Rodopar 108'!$A:$A,$B487&amp;$E487&amp;$F487&amp;$J487,'Doc''s Pagos | Rodopar 108'!$B:$B,W$1)+SUMIFS('Doc Há Pagar | Rodopar 1015'!$J:$J,'Doc Há Pagar | Rodopar 1015'!$A:$A,$B487&amp;$E487&amp;$F487,'Doc Há Pagar | Rodopar 1015'!$B:$B,W$1)</f>
        <v>0</v>
      </c>
      <c r="X487" s="20">
        <f>SUMIFS('Doc''s Pagos | Rodopar 108'!$J:$J,'Doc''s Pagos | Rodopar 108'!$A:$A,$B487&amp;$E487&amp;$F487&amp;$J487,'Doc''s Pagos | Rodopar 108'!$B:$B,X$1)+SUMIFS('Doc Há Pagar | Rodopar 1015'!$J:$J,'Doc Há Pagar | Rodopar 1015'!$A:$A,$B487&amp;$E487&amp;$F487,'Doc Há Pagar | Rodopar 1015'!$B:$B,X$1)</f>
        <v>0</v>
      </c>
      <c r="Y487" s="20">
        <f>SUMIFS('Doc''s Pagos | Rodopar 108'!$J:$J,'Doc''s Pagos | Rodopar 108'!$A:$A,$B487&amp;$E487&amp;$F487&amp;$J487,'Doc''s Pagos | Rodopar 108'!$B:$B,Y$1)+SUMIFS('Doc Há Pagar | Rodopar 1015'!$J:$J,'Doc Há Pagar | Rodopar 1015'!$A:$A,$B487&amp;$E487&amp;$F487,'Doc Há Pagar | Rodopar 1015'!$B:$B,Y$1)</f>
        <v>0</v>
      </c>
      <c r="Z487" s="20">
        <f>SUMIFS('Doc''s Pagos | Rodopar 108'!$J:$J,'Doc''s Pagos | Rodopar 108'!$A:$A,$B487&amp;$E487&amp;$F487&amp;$J487,'Doc''s Pagos | Rodopar 108'!$B:$B,Z$1)+SUMIFS('Doc Há Pagar | Rodopar 1015'!$J:$J,'Doc Há Pagar | Rodopar 1015'!$A:$A,$B487&amp;$E487&amp;$F487,'Doc Há Pagar | Rodopar 1015'!$B:$B,Z$1)</f>
        <v>0</v>
      </c>
      <c r="AA487" s="20">
        <f>SUMIFS('Doc''s Pagos | Rodopar 108'!$J:$J,'Doc''s Pagos | Rodopar 108'!$A:$A,$B487&amp;$E487&amp;$F487&amp;$J487,'Doc''s Pagos | Rodopar 108'!$B:$B,AA$1)+SUMIFS('Doc Há Pagar | Rodopar 1015'!$J:$J,'Doc Há Pagar | Rodopar 1015'!$A:$A,$B487&amp;$E487&amp;$F487,'Doc Há Pagar | Rodopar 1015'!$B:$B,AA$1)</f>
        <v>0</v>
      </c>
      <c r="AB487" s="20">
        <f>SUMIFS('Doc''s Pagos | Rodopar 108'!$J:$J,'Doc''s Pagos | Rodopar 108'!$A:$A,$B487&amp;$E487&amp;$F487&amp;$J487,'Doc''s Pagos | Rodopar 108'!$B:$B,AB$1)+SUMIFS('Doc Há Pagar | Rodopar 1015'!$J:$J,'Doc Há Pagar | Rodopar 1015'!$A:$A,$B487&amp;$E487&amp;$F487,'Doc Há Pagar | Rodopar 1015'!$B:$B,AB$1)</f>
        <v>1532.35</v>
      </c>
      <c r="AC487" s="20">
        <f>SUMIFS('Doc''s Pagos | Rodopar 108'!$J:$J,'Doc''s Pagos | Rodopar 108'!$A:$A,$B487&amp;$E487&amp;$F487&amp;$J487,'Doc''s Pagos | Rodopar 108'!$B:$B,AC$1)+SUMIFS('Doc Há Pagar | Rodopar 1015'!$J:$J,'Doc Há Pagar | Rodopar 1015'!$A:$A,$B487&amp;$E487&amp;$F487,'Doc Há Pagar | Rodopar 1015'!$B:$B,AC$1)</f>
        <v>0</v>
      </c>
      <c r="AD487" s="20">
        <f>SUMIFS('Doc''s Pagos | Rodopar 108'!$J:$J,'Doc''s Pagos | Rodopar 108'!$A:$A,$B487&amp;$E487&amp;$F487&amp;$J487,'Doc''s Pagos | Rodopar 108'!$B:$B,AD$1)+SUMIFS('Doc Há Pagar | Rodopar 1015'!$J:$J,'Doc Há Pagar | Rodopar 1015'!$A:$A,$B487&amp;$E487&amp;$F487,'Doc Há Pagar | Rodopar 1015'!$B:$B,AD$1)</f>
        <v>0</v>
      </c>
    </row>
    <row r="488" spans="1:30" x14ac:dyDescent="0.25">
      <c r="A488" s="1" t="str">
        <f>VLOOKUP($E488,Fornecedores!$A:$C,3,0)</f>
        <v>Frota</v>
      </c>
      <c r="B488" s="14">
        <v>38</v>
      </c>
      <c r="C488" s="14" t="str">
        <f>IFERROR(VLOOKUP($E488,Fornecedores!$A:$E,4,0),"")</f>
        <v>Manutenção</v>
      </c>
      <c r="D488" s="14" t="str">
        <f>IFERROR(VLOOKUP($E488,Fornecedores!$A:$E,5,0),"")</f>
        <v>Vans</v>
      </c>
      <c r="E488" s="8" t="s">
        <v>205</v>
      </c>
      <c r="F488" s="14" t="s">
        <v>380</v>
      </c>
      <c r="G488" s="8" t="s">
        <v>485</v>
      </c>
      <c r="H488" s="9">
        <v>87</v>
      </c>
      <c r="I488" s="21">
        <v>14520</v>
      </c>
      <c r="J488" s="11">
        <v>46294</v>
      </c>
      <c r="K488" s="11">
        <v>46296</v>
      </c>
      <c r="L488" s="8" t="s">
        <v>282</v>
      </c>
      <c r="M488" s="14" t="s">
        <v>234</v>
      </c>
      <c r="N488" s="16">
        <v>1556</v>
      </c>
      <c r="O488" s="14" t="s">
        <v>250</v>
      </c>
      <c r="P488" s="14"/>
      <c r="Q488" s="20">
        <f t="shared" si="7"/>
        <v>0</v>
      </c>
      <c r="S488" s="20">
        <f>SUMIFS('Doc''s Pagos | Rodopar 108'!$J:$J,'Doc''s Pagos | Rodopar 108'!$A:$A,$B488&amp;$E488&amp;$F488&amp;$J488,'Doc''s Pagos | Rodopar 108'!$B:$B,S$1)+SUMIFS('Doc Há Pagar | Rodopar 1015'!$J:$J,'Doc Há Pagar | Rodopar 1015'!$A:$A,$B488&amp;$E488&amp;$F488,'Doc Há Pagar | Rodopar 1015'!$B:$B,S$1)</f>
        <v>0</v>
      </c>
      <c r="T488" s="20">
        <f>SUMIFS('Doc''s Pagos | Rodopar 108'!$J:$J,'Doc''s Pagos | Rodopar 108'!$A:$A,$B488&amp;$E488&amp;$F488&amp;$J488,'Doc''s Pagos | Rodopar 108'!$B:$B,T$1)+SUMIFS('Doc Há Pagar | Rodopar 1015'!$J:$J,'Doc Há Pagar | Rodopar 1015'!$A:$A,$B488&amp;$E488&amp;$F488,'Doc Há Pagar | Rodopar 1015'!$B:$B,T$1)</f>
        <v>0</v>
      </c>
      <c r="U488" s="20">
        <f>SUMIFS('Doc''s Pagos | Rodopar 108'!$J:$J,'Doc''s Pagos | Rodopar 108'!$A:$A,$B488&amp;$E488&amp;$F488&amp;$J488,'Doc''s Pagos | Rodopar 108'!$B:$B,U$1)+SUMIFS('Doc Há Pagar | Rodopar 1015'!$J:$J,'Doc Há Pagar | Rodopar 1015'!$A:$A,$B488&amp;$E488&amp;$F488,'Doc Há Pagar | Rodopar 1015'!$B:$B,U$1)</f>
        <v>0</v>
      </c>
      <c r="V488" s="20">
        <f>SUMIFS('Doc''s Pagos | Rodopar 108'!$J:$J,'Doc''s Pagos | Rodopar 108'!$A:$A,$B488&amp;$E488&amp;$F488&amp;$J488,'Doc''s Pagos | Rodopar 108'!$B:$B,V$1)+SUMIFS('Doc Há Pagar | Rodopar 1015'!$J:$J,'Doc Há Pagar | Rodopar 1015'!$A:$A,$B488&amp;$E488&amp;$F488,'Doc Há Pagar | Rodopar 1015'!$B:$B,V$1)</f>
        <v>0</v>
      </c>
      <c r="W488" s="20">
        <f>SUMIFS('Doc''s Pagos | Rodopar 108'!$J:$J,'Doc''s Pagos | Rodopar 108'!$A:$A,$B488&amp;$E488&amp;$F488&amp;$J488,'Doc''s Pagos | Rodopar 108'!$B:$B,W$1)+SUMIFS('Doc Há Pagar | Rodopar 1015'!$J:$J,'Doc Há Pagar | Rodopar 1015'!$A:$A,$B488&amp;$E488&amp;$F488,'Doc Há Pagar | Rodopar 1015'!$B:$B,W$1)</f>
        <v>0</v>
      </c>
      <c r="X488" s="20">
        <f>SUMIFS('Doc''s Pagos | Rodopar 108'!$J:$J,'Doc''s Pagos | Rodopar 108'!$A:$A,$B488&amp;$E488&amp;$F488&amp;$J488,'Doc''s Pagos | Rodopar 108'!$B:$B,X$1)+SUMIFS('Doc Há Pagar | Rodopar 1015'!$J:$J,'Doc Há Pagar | Rodopar 1015'!$A:$A,$B488&amp;$E488&amp;$F488,'Doc Há Pagar | Rodopar 1015'!$B:$B,X$1)</f>
        <v>0</v>
      </c>
      <c r="Y488" s="20">
        <f>SUMIFS('Doc''s Pagos | Rodopar 108'!$J:$J,'Doc''s Pagos | Rodopar 108'!$A:$A,$B488&amp;$E488&amp;$F488&amp;$J488,'Doc''s Pagos | Rodopar 108'!$B:$B,Y$1)+SUMIFS('Doc Há Pagar | Rodopar 1015'!$J:$J,'Doc Há Pagar | Rodopar 1015'!$A:$A,$B488&amp;$E488&amp;$F488,'Doc Há Pagar | Rodopar 1015'!$B:$B,Y$1)</f>
        <v>0</v>
      </c>
      <c r="Z488" s="20">
        <f>SUMIFS('Doc''s Pagos | Rodopar 108'!$J:$J,'Doc''s Pagos | Rodopar 108'!$A:$A,$B488&amp;$E488&amp;$F488&amp;$J488,'Doc''s Pagos | Rodopar 108'!$B:$B,Z$1)+SUMIFS('Doc Há Pagar | Rodopar 1015'!$J:$J,'Doc Há Pagar | Rodopar 1015'!$A:$A,$B488&amp;$E488&amp;$F488,'Doc Há Pagar | Rodopar 1015'!$B:$B,Z$1)</f>
        <v>0</v>
      </c>
      <c r="AA488" s="20">
        <f>SUMIFS('Doc''s Pagos | Rodopar 108'!$J:$J,'Doc''s Pagos | Rodopar 108'!$A:$A,$B488&amp;$E488&amp;$F488&amp;$J488,'Doc''s Pagos | Rodopar 108'!$B:$B,AA$1)+SUMIFS('Doc Há Pagar | Rodopar 1015'!$J:$J,'Doc Há Pagar | Rodopar 1015'!$A:$A,$B488&amp;$E488&amp;$F488,'Doc Há Pagar | Rodopar 1015'!$B:$B,AA$1)</f>
        <v>0</v>
      </c>
      <c r="AB488" s="20">
        <f>SUMIFS('Doc''s Pagos | Rodopar 108'!$J:$J,'Doc''s Pagos | Rodopar 108'!$A:$A,$B488&amp;$E488&amp;$F488&amp;$J488,'Doc''s Pagos | Rodopar 108'!$B:$B,AB$1)+SUMIFS('Doc Há Pagar | Rodopar 1015'!$J:$J,'Doc Há Pagar | Rodopar 1015'!$A:$A,$B488&amp;$E488&amp;$F488,'Doc Há Pagar | Rodopar 1015'!$B:$B,AB$1)</f>
        <v>4840</v>
      </c>
      <c r="AC488" s="20">
        <f>SUMIFS('Doc''s Pagos | Rodopar 108'!$J:$J,'Doc''s Pagos | Rodopar 108'!$A:$A,$B488&amp;$E488&amp;$F488&amp;$J488,'Doc''s Pagos | Rodopar 108'!$B:$B,AC$1)+SUMIFS('Doc Há Pagar | Rodopar 1015'!$J:$J,'Doc Há Pagar | Rodopar 1015'!$A:$A,$B488&amp;$E488&amp;$F488,'Doc Há Pagar | Rodopar 1015'!$B:$B,AC$1)</f>
        <v>4840</v>
      </c>
      <c r="AD488" s="20">
        <f>SUMIFS('Doc''s Pagos | Rodopar 108'!$J:$J,'Doc''s Pagos | Rodopar 108'!$A:$A,$B488&amp;$E488&amp;$F488&amp;$J488,'Doc''s Pagos | Rodopar 108'!$B:$B,AD$1)+SUMIFS('Doc Há Pagar | Rodopar 1015'!$J:$J,'Doc Há Pagar | Rodopar 1015'!$A:$A,$B488&amp;$E488&amp;$F488,'Doc Há Pagar | Rodopar 1015'!$B:$B,AD$1)</f>
        <v>4840</v>
      </c>
    </row>
    <row r="489" spans="1:30" x14ac:dyDescent="0.25">
      <c r="A489" s="1" t="str">
        <f>VLOOKUP($E489,Fornecedores!$A:$C,3,0)</f>
        <v>Frota</v>
      </c>
      <c r="B489" s="14">
        <v>542</v>
      </c>
      <c r="C489" s="14" t="str">
        <f>IFERROR(VLOOKUP($E489,Fornecedores!$A:$E,4,0),"")</f>
        <v>Manutenção</v>
      </c>
      <c r="D489" s="14" t="str">
        <f>IFERROR(VLOOKUP($E489,Fornecedores!$A:$E,5,0),"")</f>
        <v>Frota Leve OPE</v>
      </c>
      <c r="E489" s="8" t="s">
        <v>109</v>
      </c>
      <c r="F489" s="14" t="s">
        <v>665</v>
      </c>
      <c r="G489" s="8" t="s">
        <v>880</v>
      </c>
      <c r="H489" s="9">
        <v>87</v>
      </c>
      <c r="I489" s="21">
        <v>5349.39</v>
      </c>
      <c r="J489" s="11">
        <v>46294</v>
      </c>
      <c r="K489" s="11">
        <v>46294</v>
      </c>
      <c r="L489" s="8" t="s">
        <v>382</v>
      </c>
      <c r="M489" s="14" t="s">
        <v>234</v>
      </c>
      <c r="N489" s="16">
        <v>1556</v>
      </c>
      <c r="O489" s="14" t="s">
        <v>250</v>
      </c>
      <c r="P489" s="14"/>
      <c r="Q489" s="20">
        <f t="shared" si="7"/>
        <v>0</v>
      </c>
      <c r="S489" s="20">
        <f>SUMIFS('Doc''s Pagos | Rodopar 108'!$J:$J,'Doc''s Pagos | Rodopar 108'!$A:$A,$B489&amp;$E489&amp;$F489&amp;$J489,'Doc''s Pagos | Rodopar 108'!$B:$B,S$1)+SUMIFS('Doc Há Pagar | Rodopar 1015'!$J:$J,'Doc Há Pagar | Rodopar 1015'!$A:$A,$B489&amp;$E489&amp;$F489,'Doc Há Pagar | Rodopar 1015'!$B:$B,S$1)</f>
        <v>0</v>
      </c>
      <c r="T489" s="20">
        <f>SUMIFS('Doc''s Pagos | Rodopar 108'!$J:$J,'Doc''s Pagos | Rodopar 108'!$A:$A,$B489&amp;$E489&amp;$F489&amp;$J489,'Doc''s Pagos | Rodopar 108'!$B:$B,T$1)+SUMIFS('Doc Há Pagar | Rodopar 1015'!$J:$J,'Doc Há Pagar | Rodopar 1015'!$A:$A,$B489&amp;$E489&amp;$F489,'Doc Há Pagar | Rodopar 1015'!$B:$B,T$1)</f>
        <v>0</v>
      </c>
      <c r="U489" s="20">
        <f>SUMIFS('Doc''s Pagos | Rodopar 108'!$J:$J,'Doc''s Pagos | Rodopar 108'!$A:$A,$B489&amp;$E489&amp;$F489&amp;$J489,'Doc''s Pagos | Rodopar 108'!$B:$B,U$1)+SUMIFS('Doc Há Pagar | Rodopar 1015'!$J:$J,'Doc Há Pagar | Rodopar 1015'!$A:$A,$B489&amp;$E489&amp;$F489,'Doc Há Pagar | Rodopar 1015'!$B:$B,U$1)</f>
        <v>0</v>
      </c>
      <c r="V489" s="20">
        <f>SUMIFS('Doc''s Pagos | Rodopar 108'!$J:$J,'Doc''s Pagos | Rodopar 108'!$A:$A,$B489&amp;$E489&amp;$F489&amp;$J489,'Doc''s Pagos | Rodopar 108'!$B:$B,V$1)+SUMIFS('Doc Há Pagar | Rodopar 1015'!$J:$J,'Doc Há Pagar | Rodopar 1015'!$A:$A,$B489&amp;$E489&amp;$F489,'Doc Há Pagar | Rodopar 1015'!$B:$B,V$1)</f>
        <v>0</v>
      </c>
      <c r="W489" s="20">
        <f>SUMIFS('Doc''s Pagos | Rodopar 108'!$J:$J,'Doc''s Pagos | Rodopar 108'!$A:$A,$B489&amp;$E489&amp;$F489&amp;$J489,'Doc''s Pagos | Rodopar 108'!$B:$B,W$1)+SUMIFS('Doc Há Pagar | Rodopar 1015'!$J:$J,'Doc Há Pagar | Rodopar 1015'!$A:$A,$B489&amp;$E489&amp;$F489,'Doc Há Pagar | Rodopar 1015'!$B:$B,W$1)</f>
        <v>0</v>
      </c>
      <c r="X489" s="20">
        <f>SUMIFS('Doc''s Pagos | Rodopar 108'!$J:$J,'Doc''s Pagos | Rodopar 108'!$A:$A,$B489&amp;$E489&amp;$F489&amp;$J489,'Doc''s Pagos | Rodopar 108'!$B:$B,X$1)+SUMIFS('Doc Há Pagar | Rodopar 1015'!$J:$J,'Doc Há Pagar | Rodopar 1015'!$A:$A,$B489&amp;$E489&amp;$F489,'Doc Há Pagar | Rodopar 1015'!$B:$B,X$1)</f>
        <v>0</v>
      </c>
      <c r="Y489" s="20">
        <f>SUMIFS('Doc''s Pagos | Rodopar 108'!$J:$J,'Doc''s Pagos | Rodopar 108'!$A:$A,$B489&amp;$E489&amp;$F489&amp;$J489,'Doc''s Pagos | Rodopar 108'!$B:$B,Y$1)+SUMIFS('Doc Há Pagar | Rodopar 1015'!$J:$J,'Doc Há Pagar | Rodopar 1015'!$A:$A,$B489&amp;$E489&amp;$F489,'Doc Há Pagar | Rodopar 1015'!$B:$B,Y$1)</f>
        <v>0</v>
      </c>
      <c r="Z489" s="20">
        <f>SUMIFS('Doc''s Pagos | Rodopar 108'!$J:$J,'Doc''s Pagos | Rodopar 108'!$A:$A,$B489&amp;$E489&amp;$F489&amp;$J489,'Doc''s Pagos | Rodopar 108'!$B:$B,Z$1)+SUMIFS('Doc Há Pagar | Rodopar 1015'!$J:$J,'Doc Há Pagar | Rodopar 1015'!$A:$A,$B489&amp;$E489&amp;$F489,'Doc Há Pagar | Rodopar 1015'!$B:$B,Z$1)</f>
        <v>0</v>
      </c>
      <c r="AA489" s="20">
        <f>SUMIFS('Doc''s Pagos | Rodopar 108'!$J:$J,'Doc''s Pagos | Rodopar 108'!$A:$A,$B489&amp;$E489&amp;$F489&amp;$J489,'Doc''s Pagos | Rodopar 108'!$B:$B,AA$1)+SUMIFS('Doc Há Pagar | Rodopar 1015'!$J:$J,'Doc Há Pagar | Rodopar 1015'!$A:$A,$B489&amp;$E489&amp;$F489,'Doc Há Pagar | Rodopar 1015'!$B:$B,AA$1)</f>
        <v>0</v>
      </c>
      <c r="AB489" s="20">
        <f>SUMIFS('Doc''s Pagos | Rodopar 108'!$J:$J,'Doc''s Pagos | Rodopar 108'!$A:$A,$B489&amp;$E489&amp;$F489&amp;$J489,'Doc''s Pagos | Rodopar 108'!$B:$B,AB$1)+SUMIFS('Doc Há Pagar | Rodopar 1015'!$J:$J,'Doc Há Pagar | Rodopar 1015'!$A:$A,$B489&amp;$E489&amp;$F489,'Doc Há Pagar | Rodopar 1015'!$B:$B,AB$1)</f>
        <v>5349.39</v>
      </c>
      <c r="AC489" s="20">
        <f>SUMIFS('Doc''s Pagos | Rodopar 108'!$J:$J,'Doc''s Pagos | Rodopar 108'!$A:$A,$B489&amp;$E489&amp;$F489&amp;$J489,'Doc''s Pagos | Rodopar 108'!$B:$B,AC$1)+SUMIFS('Doc Há Pagar | Rodopar 1015'!$J:$J,'Doc Há Pagar | Rodopar 1015'!$A:$A,$B489&amp;$E489&amp;$F489,'Doc Há Pagar | Rodopar 1015'!$B:$B,AC$1)</f>
        <v>0</v>
      </c>
      <c r="AD489" s="20">
        <f>SUMIFS('Doc''s Pagos | Rodopar 108'!$J:$J,'Doc''s Pagos | Rodopar 108'!$A:$A,$B489&amp;$E489&amp;$F489&amp;$J489,'Doc''s Pagos | Rodopar 108'!$B:$B,AD$1)+SUMIFS('Doc Há Pagar | Rodopar 1015'!$J:$J,'Doc Há Pagar | Rodopar 1015'!$A:$A,$B489&amp;$E489&amp;$F489,'Doc Há Pagar | Rodopar 1015'!$B:$B,AD$1)</f>
        <v>0</v>
      </c>
    </row>
    <row r="490" spans="1:30" x14ac:dyDescent="0.25">
      <c r="A490" s="1" t="str">
        <f>VLOOKUP($E490,Fornecedores!$A:$C,3,0)</f>
        <v>Frota</v>
      </c>
      <c r="B490" s="14">
        <v>42634</v>
      </c>
      <c r="C490" s="14" t="str">
        <f>IFERROR(VLOOKUP($E490,Fornecedores!$A:$E,4,0),"")</f>
        <v>Manutenção</v>
      </c>
      <c r="D490" s="14" t="str">
        <f>IFERROR(VLOOKUP($E490,Fornecedores!$A:$E,5,0),"")</f>
        <v>Vans</v>
      </c>
      <c r="E490" s="8" t="s">
        <v>133</v>
      </c>
      <c r="F490" s="14" t="s">
        <v>380</v>
      </c>
      <c r="G490" s="8" t="s">
        <v>493</v>
      </c>
      <c r="H490" s="9">
        <v>87</v>
      </c>
      <c r="I490" s="21">
        <v>982.31</v>
      </c>
      <c r="J490" s="11">
        <v>46295</v>
      </c>
      <c r="K490" s="11">
        <v>46300</v>
      </c>
      <c r="L490" s="8" t="s">
        <v>494</v>
      </c>
      <c r="M490" s="14" t="s">
        <v>234</v>
      </c>
      <c r="N490" s="16">
        <v>1556</v>
      </c>
      <c r="O490" s="14" t="s">
        <v>241</v>
      </c>
      <c r="P490" s="14"/>
      <c r="Q490" s="20">
        <f t="shared" si="7"/>
        <v>0</v>
      </c>
      <c r="S490" s="20">
        <f>SUMIFS('Doc''s Pagos | Rodopar 108'!$J:$J,'Doc''s Pagos | Rodopar 108'!$A:$A,$B490&amp;$E490&amp;$F490&amp;$J490,'Doc''s Pagos | Rodopar 108'!$B:$B,S$1)+SUMIFS('Doc Há Pagar | Rodopar 1015'!$J:$J,'Doc Há Pagar | Rodopar 1015'!$A:$A,$B490&amp;$E490&amp;$F490,'Doc Há Pagar | Rodopar 1015'!$B:$B,S$1)</f>
        <v>0</v>
      </c>
      <c r="T490" s="20">
        <f>SUMIFS('Doc''s Pagos | Rodopar 108'!$J:$J,'Doc''s Pagos | Rodopar 108'!$A:$A,$B490&amp;$E490&amp;$F490&amp;$J490,'Doc''s Pagos | Rodopar 108'!$B:$B,T$1)+SUMIFS('Doc Há Pagar | Rodopar 1015'!$J:$J,'Doc Há Pagar | Rodopar 1015'!$A:$A,$B490&amp;$E490&amp;$F490,'Doc Há Pagar | Rodopar 1015'!$B:$B,T$1)</f>
        <v>0</v>
      </c>
      <c r="U490" s="20">
        <f>SUMIFS('Doc''s Pagos | Rodopar 108'!$J:$J,'Doc''s Pagos | Rodopar 108'!$A:$A,$B490&amp;$E490&amp;$F490&amp;$J490,'Doc''s Pagos | Rodopar 108'!$B:$B,U$1)+SUMIFS('Doc Há Pagar | Rodopar 1015'!$J:$J,'Doc Há Pagar | Rodopar 1015'!$A:$A,$B490&amp;$E490&amp;$F490,'Doc Há Pagar | Rodopar 1015'!$B:$B,U$1)</f>
        <v>0</v>
      </c>
      <c r="V490" s="20">
        <f>SUMIFS('Doc''s Pagos | Rodopar 108'!$J:$J,'Doc''s Pagos | Rodopar 108'!$A:$A,$B490&amp;$E490&amp;$F490&amp;$J490,'Doc''s Pagos | Rodopar 108'!$B:$B,V$1)+SUMIFS('Doc Há Pagar | Rodopar 1015'!$J:$J,'Doc Há Pagar | Rodopar 1015'!$A:$A,$B490&amp;$E490&amp;$F490,'Doc Há Pagar | Rodopar 1015'!$B:$B,V$1)</f>
        <v>0</v>
      </c>
      <c r="W490" s="20">
        <f>SUMIFS('Doc''s Pagos | Rodopar 108'!$J:$J,'Doc''s Pagos | Rodopar 108'!$A:$A,$B490&amp;$E490&amp;$F490&amp;$J490,'Doc''s Pagos | Rodopar 108'!$B:$B,W$1)+SUMIFS('Doc Há Pagar | Rodopar 1015'!$J:$J,'Doc Há Pagar | Rodopar 1015'!$A:$A,$B490&amp;$E490&amp;$F490,'Doc Há Pagar | Rodopar 1015'!$B:$B,W$1)</f>
        <v>0</v>
      </c>
      <c r="X490" s="20">
        <f>SUMIFS('Doc''s Pagos | Rodopar 108'!$J:$J,'Doc''s Pagos | Rodopar 108'!$A:$A,$B490&amp;$E490&amp;$F490&amp;$J490,'Doc''s Pagos | Rodopar 108'!$B:$B,X$1)+SUMIFS('Doc Há Pagar | Rodopar 1015'!$J:$J,'Doc Há Pagar | Rodopar 1015'!$A:$A,$B490&amp;$E490&amp;$F490,'Doc Há Pagar | Rodopar 1015'!$B:$B,X$1)</f>
        <v>0</v>
      </c>
      <c r="Y490" s="20">
        <f>SUMIFS('Doc''s Pagos | Rodopar 108'!$J:$J,'Doc''s Pagos | Rodopar 108'!$A:$A,$B490&amp;$E490&amp;$F490&amp;$J490,'Doc''s Pagos | Rodopar 108'!$B:$B,Y$1)+SUMIFS('Doc Há Pagar | Rodopar 1015'!$J:$J,'Doc Há Pagar | Rodopar 1015'!$A:$A,$B490&amp;$E490&amp;$F490,'Doc Há Pagar | Rodopar 1015'!$B:$B,Y$1)</f>
        <v>0</v>
      </c>
      <c r="Z490" s="20">
        <f>SUMIFS('Doc''s Pagos | Rodopar 108'!$J:$J,'Doc''s Pagos | Rodopar 108'!$A:$A,$B490&amp;$E490&amp;$F490&amp;$J490,'Doc''s Pagos | Rodopar 108'!$B:$B,Z$1)+SUMIFS('Doc Há Pagar | Rodopar 1015'!$J:$J,'Doc Há Pagar | Rodopar 1015'!$A:$A,$B490&amp;$E490&amp;$F490,'Doc Há Pagar | Rodopar 1015'!$B:$B,Z$1)</f>
        <v>0</v>
      </c>
      <c r="AA490" s="20">
        <f>SUMIFS('Doc''s Pagos | Rodopar 108'!$J:$J,'Doc''s Pagos | Rodopar 108'!$A:$A,$B490&amp;$E490&amp;$F490&amp;$J490,'Doc''s Pagos | Rodopar 108'!$B:$B,AA$1)+SUMIFS('Doc Há Pagar | Rodopar 1015'!$J:$J,'Doc Há Pagar | Rodopar 1015'!$A:$A,$B490&amp;$E490&amp;$F490,'Doc Há Pagar | Rodopar 1015'!$B:$B,AA$1)</f>
        <v>0</v>
      </c>
      <c r="AB490" s="20">
        <f>SUMIFS('Doc''s Pagos | Rodopar 108'!$J:$J,'Doc''s Pagos | Rodopar 108'!$A:$A,$B490&amp;$E490&amp;$F490&amp;$J490,'Doc''s Pagos | Rodopar 108'!$B:$B,AB$1)+SUMIFS('Doc Há Pagar | Rodopar 1015'!$J:$J,'Doc Há Pagar | Rodopar 1015'!$A:$A,$B490&amp;$E490&amp;$F490,'Doc Há Pagar | Rodopar 1015'!$B:$B,AB$1)</f>
        <v>982.31</v>
      </c>
      <c r="AC490" s="20">
        <f>SUMIFS('Doc''s Pagos | Rodopar 108'!$J:$J,'Doc''s Pagos | Rodopar 108'!$A:$A,$B490&amp;$E490&amp;$F490&amp;$J490,'Doc''s Pagos | Rodopar 108'!$B:$B,AC$1)+SUMIFS('Doc Há Pagar | Rodopar 1015'!$J:$J,'Doc Há Pagar | Rodopar 1015'!$A:$A,$B490&amp;$E490&amp;$F490,'Doc Há Pagar | Rodopar 1015'!$B:$B,AC$1)</f>
        <v>0</v>
      </c>
      <c r="AD490" s="20">
        <f>SUMIFS('Doc''s Pagos | Rodopar 108'!$J:$J,'Doc''s Pagos | Rodopar 108'!$A:$A,$B490&amp;$E490&amp;$F490&amp;$J490,'Doc''s Pagos | Rodopar 108'!$B:$B,AD$1)+SUMIFS('Doc Há Pagar | Rodopar 1015'!$J:$J,'Doc Há Pagar | Rodopar 1015'!$A:$A,$B490&amp;$E490&amp;$F490,'Doc Há Pagar | Rodopar 1015'!$B:$B,AD$1)</f>
        <v>0</v>
      </c>
    </row>
    <row r="491" spans="1:30" x14ac:dyDescent="0.25">
      <c r="A491" s="1" t="str">
        <f>VLOOKUP($E491,Fornecedores!$A:$C,3,0)</f>
        <v>Frota</v>
      </c>
      <c r="B491" s="14">
        <v>2645</v>
      </c>
      <c r="C491" s="14" t="str">
        <f>IFERROR(VLOOKUP($E491,Fornecedores!$A:$E,4,0),"")</f>
        <v>Manutenção</v>
      </c>
      <c r="D491" s="14" t="str">
        <f>IFERROR(VLOOKUP($E491,Fornecedores!$A:$E,5,0),"")</f>
        <v>Vans</v>
      </c>
      <c r="E491" s="8" t="s">
        <v>133</v>
      </c>
      <c r="F491" s="14" t="s">
        <v>665</v>
      </c>
      <c r="G491" s="8" t="s">
        <v>493</v>
      </c>
      <c r="H491" s="9">
        <v>87</v>
      </c>
      <c r="I491" s="21">
        <v>407.91</v>
      </c>
      <c r="J491" s="11">
        <v>46295</v>
      </c>
      <c r="K491" s="11">
        <v>46300</v>
      </c>
      <c r="L491" s="8" t="s">
        <v>494</v>
      </c>
      <c r="M491" s="14" t="s">
        <v>234</v>
      </c>
      <c r="N491" s="16">
        <v>1556</v>
      </c>
      <c r="O491" s="14" t="s">
        <v>241</v>
      </c>
      <c r="P491" s="14"/>
      <c r="Q491" s="20">
        <f t="shared" si="7"/>
        <v>0</v>
      </c>
      <c r="S491" s="20">
        <f>SUMIFS('Doc''s Pagos | Rodopar 108'!$J:$J,'Doc''s Pagos | Rodopar 108'!$A:$A,$B491&amp;$E491&amp;$F491&amp;$J491,'Doc''s Pagos | Rodopar 108'!$B:$B,S$1)+SUMIFS('Doc Há Pagar | Rodopar 1015'!$J:$J,'Doc Há Pagar | Rodopar 1015'!$A:$A,$B491&amp;$E491&amp;$F491,'Doc Há Pagar | Rodopar 1015'!$B:$B,S$1)</f>
        <v>0</v>
      </c>
      <c r="T491" s="20">
        <f>SUMIFS('Doc''s Pagos | Rodopar 108'!$J:$J,'Doc''s Pagos | Rodopar 108'!$A:$A,$B491&amp;$E491&amp;$F491&amp;$J491,'Doc''s Pagos | Rodopar 108'!$B:$B,T$1)+SUMIFS('Doc Há Pagar | Rodopar 1015'!$J:$J,'Doc Há Pagar | Rodopar 1015'!$A:$A,$B491&amp;$E491&amp;$F491,'Doc Há Pagar | Rodopar 1015'!$B:$B,T$1)</f>
        <v>0</v>
      </c>
      <c r="U491" s="20">
        <f>SUMIFS('Doc''s Pagos | Rodopar 108'!$J:$J,'Doc''s Pagos | Rodopar 108'!$A:$A,$B491&amp;$E491&amp;$F491&amp;$J491,'Doc''s Pagos | Rodopar 108'!$B:$B,U$1)+SUMIFS('Doc Há Pagar | Rodopar 1015'!$J:$J,'Doc Há Pagar | Rodopar 1015'!$A:$A,$B491&amp;$E491&amp;$F491,'Doc Há Pagar | Rodopar 1015'!$B:$B,U$1)</f>
        <v>0</v>
      </c>
      <c r="V491" s="20">
        <f>SUMIFS('Doc''s Pagos | Rodopar 108'!$J:$J,'Doc''s Pagos | Rodopar 108'!$A:$A,$B491&amp;$E491&amp;$F491&amp;$J491,'Doc''s Pagos | Rodopar 108'!$B:$B,V$1)+SUMIFS('Doc Há Pagar | Rodopar 1015'!$J:$J,'Doc Há Pagar | Rodopar 1015'!$A:$A,$B491&amp;$E491&amp;$F491,'Doc Há Pagar | Rodopar 1015'!$B:$B,V$1)</f>
        <v>0</v>
      </c>
      <c r="W491" s="20">
        <f>SUMIFS('Doc''s Pagos | Rodopar 108'!$J:$J,'Doc''s Pagos | Rodopar 108'!$A:$A,$B491&amp;$E491&amp;$F491&amp;$J491,'Doc''s Pagos | Rodopar 108'!$B:$B,W$1)+SUMIFS('Doc Há Pagar | Rodopar 1015'!$J:$J,'Doc Há Pagar | Rodopar 1015'!$A:$A,$B491&amp;$E491&amp;$F491,'Doc Há Pagar | Rodopar 1015'!$B:$B,W$1)</f>
        <v>0</v>
      </c>
      <c r="X491" s="20">
        <f>SUMIFS('Doc''s Pagos | Rodopar 108'!$J:$J,'Doc''s Pagos | Rodopar 108'!$A:$A,$B491&amp;$E491&amp;$F491&amp;$J491,'Doc''s Pagos | Rodopar 108'!$B:$B,X$1)+SUMIFS('Doc Há Pagar | Rodopar 1015'!$J:$J,'Doc Há Pagar | Rodopar 1015'!$A:$A,$B491&amp;$E491&amp;$F491,'Doc Há Pagar | Rodopar 1015'!$B:$B,X$1)</f>
        <v>0</v>
      </c>
      <c r="Y491" s="20">
        <f>SUMIFS('Doc''s Pagos | Rodopar 108'!$J:$J,'Doc''s Pagos | Rodopar 108'!$A:$A,$B491&amp;$E491&amp;$F491&amp;$J491,'Doc''s Pagos | Rodopar 108'!$B:$B,Y$1)+SUMIFS('Doc Há Pagar | Rodopar 1015'!$J:$J,'Doc Há Pagar | Rodopar 1015'!$A:$A,$B491&amp;$E491&amp;$F491,'Doc Há Pagar | Rodopar 1015'!$B:$B,Y$1)</f>
        <v>0</v>
      </c>
      <c r="Z491" s="20">
        <f>SUMIFS('Doc''s Pagos | Rodopar 108'!$J:$J,'Doc''s Pagos | Rodopar 108'!$A:$A,$B491&amp;$E491&amp;$F491&amp;$J491,'Doc''s Pagos | Rodopar 108'!$B:$B,Z$1)+SUMIFS('Doc Há Pagar | Rodopar 1015'!$J:$J,'Doc Há Pagar | Rodopar 1015'!$A:$A,$B491&amp;$E491&amp;$F491,'Doc Há Pagar | Rodopar 1015'!$B:$B,Z$1)</f>
        <v>0</v>
      </c>
      <c r="AA491" s="20">
        <f>SUMIFS('Doc''s Pagos | Rodopar 108'!$J:$J,'Doc''s Pagos | Rodopar 108'!$A:$A,$B491&amp;$E491&amp;$F491&amp;$J491,'Doc''s Pagos | Rodopar 108'!$B:$B,AA$1)+SUMIFS('Doc Há Pagar | Rodopar 1015'!$J:$J,'Doc Há Pagar | Rodopar 1015'!$A:$A,$B491&amp;$E491&amp;$F491,'Doc Há Pagar | Rodopar 1015'!$B:$B,AA$1)</f>
        <v>0</v>
      </c>
      <c r="AB491" s="20">
        <f>SUMIFS('Doc''s Pagos | Rodopar 108'!$J:$J,'Doc''s Pagos | Rodopar 108'!$A:$A,$B491&amp;$E491&amp;$F491&amp;$J491,'Doc''s Pagos | Rodopar 108'!$B:$B,AB$1)+SUMIFS('Doc Há Pagar | Rodopar 1015'!$J:$J,'Doc Há Pagar | Rodopar 1015'!$A:$A,$B491&amp;$E491&amp;$F491,'Doc Há Pagar | Rodopar 1015'!$B:$B,AB$1)</f>
        <v>407.91</v>
      </c>
      <c r="AC491" s="20">
        <f>SUMIFS('Doc''s Pagos | Rodopar 108'!$J:$J,'Doc''s Pagos | Rodopar 108'!$A:$A,$B491&amp;$E491&amp;$F491&amp;$J491,'Doc''s Pagos | Rodopar 108'!$B:$B,AC$1)+SUMIFS('Doc Há Pagar | Rodopar 1015'!$J:$J,'Doc Há Pagar | Rodopar 1015'!$A:$A,$B491&amp;$E491&amp;$F491,'Doc Há Pagar | Rodopar 1015'!$B:$B,AC$1)</f>
        <v>0</v>
      </c>
      <c r="AD491" s="20">
        <f>SUMIFS('Doc''s Pagos | Rodopar 108'!$J:$J,'Doc''s Pagos | Rodopar 108'!$A:$A,$B491&amp;$E491&amp;$F491&amp;$J491,'Doc''s Pagos | Rodopar 108'!$B:$B,AD$1)+SUMIFS('Doc Há Pagar | Rodopar 1015'!$J:$J,'Doc Há Pagar | Rodopar 1015'!$A:$A,$B491&amp;$E491&amp;$F491,'Doc Há Pagar | Rodopar 1015'!$B:$B,AD$1)</f>
        <v>0</v>
      </c>
    </row>
    <row r="492" spans="1:30" x14ac:dyDescent="0.25">
      <c r="A492" s="1" t="str">
        <f>VLOOKUP($E492,Fornecedores!$A:$C,3,0)</f>
        <v>Frota</v>
      </c>
      <c r="B492" s="14">
        <v>42699</v>
      </c>
      <c r="C492" s="14" t="str">
        <f>IFERROR(VLOOKUP($E492,Fornecedores!$A:$E,4,0),"")</f>
        <v>Manutenção</v>
      </c>
      <c r="D492" s="14" t="str">
        <f>IFERROR(VLOOKUP($E492,Fornecedores!$A:$E,5,0),"")</f>
        <v>Vans</v>
      </c>
      <c r="E492" s="8" t="s">
        <v>133</v>
      </c>
      <c r="F492" s="14" t="s">
        <v>380</v>
      </c>
      <c r="G492" s="8" t="s">
        <v>493</v>
      </c>
      <c r="H492" s="9">
        <v>87</v>
      </c>
      <c r="I492" s="21">
        <v>1528.26</v>
      </c>
      <c r="J492" s="11">
        <v>46296</v>
      </c>
      <c r="K492" s="11">
        <v>46300</v>
      </c>
      <c r="L492" s="8" t="s">
        <v>494</v>
      </c>
      <c r="M492" s="14" t="s">
        <v>234</v>
      </c>
      <c r="N492" s="16">
        <v>1556</v>
      </c>
      <c r="O492" s="14" t="s">
        <v>241</v>
      </c>
      <c r="P492" s="14"/>
      <c r="Q492" s="20">
        <f t="shared" si="7"/>
        <v>0</v>
      </c>
      <c r="S492" s="20">
        <f>SUMIFS('Doc''s Pagos | Rodopar 108'!$J:$J,'Doc''s Pagos | Rodopar 108'!$A:$A,$B492&amp;$E492&amp;$F492&amp;$J492,'Doc''s Pagos | Rodopar 108'!$B:$B,S$1)+SUMIFS('Doc Há Pagar | Rodopar 1015'!$J:$J,'Doc Há Pagar | Rodopar 1015'!$A:$A,$B492&amp;$E492&amp;$F492,'Doc Há Pagar | Rodopar 1015'!$B:$B,S$1)</f>
        <v>0</v>
      </c>
      <c r="T492" s="20">
        <f>SUMIFS('Doc''s Pagos | Rodopar 108'!$J:$J,'Doc''s Pagos | Rodopar 108'!$A:$A,$B492&amp;$E492&amp;$F492&amp;$J492,'Doc''s Pagos | Rodopar 108'!$B:$B,T$1)+SUMIFS('Doc Há Pagar | Rodopar 1015'!$J:$J,'Doc Há Pagar | Rodopar 1015'!$A:$A,$B492&amp;$E492&amp;$F492,'Doc Há Pagar | Rodopar 1015'!$B:$B,T$1)</f>
        <v>0</v>
      </c>
      <c r="U492" s="20">
        <f>SUMIFS('Doc''s Pagos | Rodopar 108'!$J:$J,'Doc''s Pagos | Rodopar 108'!$A:$A,$B492&amp;$E492&amp;$F492&amp;$J492,'Doc''s Pagos | Rodopar 108'!$B:$B,U$1)+SUMIFS('Doc Há Pagar | Rodopar 1015'!$J:$J,'Doc Há Pagar | Rodopar 1015'!$A:$A,$B492&amp;$E492&amp;$F492,'Doc Há Pagar | Rodopar 1015'!$B:$B,U$1)</f>
        <v>0</v>
      </c>
      <c r="V492" s="20">
        <f>SUMIFS('Doc''s Pagos | Rodopar 108'!$J:$J,'Doc''s Pagos | Rodopar 108'!$A:$A,$B492&amp;$E492&amp;$F492&amp;$J492,'Doc''s Pagos | Rodopar 108'!$B:$B,V$1)+SUMIFS('Doc Há Pagar | Rodopar 1015'!$J:$J,'Doc Há Pagar | Rodopar 1015'!$A:$A,$B492&amp;$E492&amp;$F492,'Doc Há Pagar | Rodopar 1015'!$B:$B,V$1)</f>
        <v>0</v>
      </c>
      <c r="W492" s="20">
        <f>SUMIFS('Doc''s Pagos | Rodopar 108'!$J:$J,'Doc''s Pagos | Rodopar 108'!$A:$A,$B492&amp;$E492&amp;$F492&amp;$J492,'Doc''s Pagos | Rodopar 108'!$B:$B,W$1)+SUMIFS('Doc Há Pagar | Rodopar 1015'!$J:$J,'Doc Há Pagar | Rodopar 1015'!$A:$A,$B492&amp;$E492&amp;$F492,'Doc Há Pagar | Rodopar 1015'!$B:$B,W$1)</f>
        <v>0</v>
      </c>
      <c r="X492" s="20">
        <f>SUMIFS('Doc''s Pagos | Rodopar 108'!$J:$J,'Doc''s Pagos | Rodopar 108'!$A:$A,$B492&amp;$E492&amp;$F492&amp;$J492,'Doc''s Pagos | Rodopar 108'!$B:$B,X$1)+SUMIFS('Doc Há Pagar | Rodopar 1015'!$J:$J,'Doc Há Pagar | Rodopar 1015'!$A:$A,$B492&amp;$E492&amp;$F492,'Doc Há Pagar | Rodopar 1015'!$B:$B,X$1)</f>
        <v>0</v>
      </c>
      <c r="Y492" s="20">
        <f>SUMIFS('Doc''s Pagos | Rodopar 108'!$J:$J,'Doc''s Pagos | Rodopar 108'!$A:$A,$B492&amp;$E492&amp;$F492&amp;$J492,'Doc''s Pagos | Rodopar 108'!$B:$B,Y$1)+SUMIFS('Doc Há Pagar | Rodopar 1015'!$J:$J,'Doc Há Pagar | Rodopar 1015'!$A:$A,$B492&amp;$E492&amp;$F492,'Doc Há Pagar | Rodopar 1015'!$B:$B,Y$1)</f>
        <v>0</v>
      </c>
      <c r="Z492" s="20">
        <f>SUMIFS('Doc''s Pagos | Rodopar 108'!$J:$J,'Doc''s Pagos | Rodopar 108'!$A:$A,$B492&amp;$E492&amp;$F492&amp;$J492,'Doc''s Pagos | Rodopar 108'!$B:$B,Z$1)+SUMIFS('Doc Há Pagar | Rodopar 1015'!$J:$J,'Doc Há Pagar | Rodopar 1015'!$A:$A,$B492&amp;$E492&amp;$F492,'Doc Há Pagar | Rodopar 1015'!$B:$B,Z$1)</f>
        <v>0</v>
      </c>
      <c r="AA492" s="20">
        <f>SUMIFS('Doc''s Pagos | Rodopar 108'!$J:$J,'Doc''s Pagos | Rodopar 108'!$A:$A,$B492&amp;$E492&amp;$F492&amp;$J492,'Doc''s Pagos | Rodopar 108'!$B:$B,AA$1)+SUMIFS('Doc Há Pagar | Rodopar 1015'!$J:$J,'Doc Há Pagar | Rodopar 1015'!$A:$A,$B492&amp;$E492&amp;$F492,'Doc Há Pagar | Rodopar 1015'!$B:$B,AA$1)</f>
        <v>0</v>
      </c>
      <c r="AB492" s="20">
        <f>SUMIFS('Doc''s Pagos | Rodopar 108'!$J:$J,'Doc''s Pagos | Rodopar 108'!$A:$A,$B492&amp;$E492&amp;$F492&amp;$J492,'Doc''s Pagos | Rodopar 108'!$B:$B,AB$1)+SUMIFS('Doc Há Pagar | Rodopar 1015'!$J:$J,'Doc Há Pagar | Rodopar 1015'!$A:$A,$B492&amp;$E492&amp;$F492,'Doc Há Pagar | Rodopar 1015'!$B:$B,AB$1)</f>
        <v>1528.26</v>
      </c>
      <c r="AC492" s="20">
        <f>SUMIFS('Doc''s Pagos | Rodopar 108'!$J:$J,'Doc''s Pagos | Rodopar 108'!$A:$A,$B492&amp;$E492&amp;$F492&amp;$J492,'Doc''s Pagos | Rodopar 108'!$B:$B,AC$1)+SUMIFS('Doc Há Pagar | Rodopar 1015'!$J:$J,'Doc Há Pagar | Rodopar 1015'!$A:$A,$B492&amp;$E492&amp;$F492,'Doc Há Pagar | Rodopar 1015'!$B:$B,AC$1)</f>
        <v>0</v>
      </c>
      <c r="AD492" s="20">
        <f>SUMIFS('Doc''s Pagos | Rodopar 108'!$J:$J,'Doc''s Pagos | Rodopar 108'!$A:$A,$B492&amp;$E492&amp;$F492&amp;$J492,'Doc''s Pagos | Rodopar 108'!$B:$B,AD$1)+SUMIFS('Doc Há Pagar | Rodopar 1015'!$J:$J,'Doc Há Pagar | Rodopar 1015'!$A:$A,$B492&amp;$E492&amp;$F492,'Doc Há Pagar | Rodopar 1015'!$B:$B,AD$1)</f>
        <v>0</v>
      </c>
    </row>
    <row r="493" spans="1:30" x14ac:dyDescent="0.25">
      <c r="A493" s="1" t="str">
        <f>VLOOKUP($E493,Fornecedores!$A:$C,3,0)</f>
        <v>Frota</v>
      </c>
      <c r="B493" s="14">
        <v>97</v>
      </c>
      <c r="C493" s="14" t="str">
        <f>IFERROR(VLOOKUP($E493,Fornecedores!$A:$E,4,0),"")</f>
        <v>Manutenção</v>
      </c>
      <c r="D493" s="14" t="str">
        <f>IFERROR(VLOOKUP($E493,Fornecedores!$A:$E,5,0),"")</f>
        <v>Vans</v>
      </c>
      <c r="E493" s="8" t="s">
        <v>205</v>
      </c>
      <c r="F493" s="14" t="s">
        <v>665</v>
      </c>
      <c r="G493" s="8" t="s">
        <v>485</v>
      </c>
      <c r="H493" s="9">
        <v>87</v>
      </c>
      <c r="I493" s="21">
        <v>3899</v>
      </c>
      <c r="J493" s="11">
        <v>46296</v>
      </c>
      <c r="K493" s="11">
        <v>46300</v>
      </c>
      <c r="L493" s="8" t="s">
        <v>282</v>
      </c>
      <c r="M493" s="14" t="s">
        <v>234</v>
      </c>
      <c r="N493" s="16">
        <v>1556</v>
      </c>
      <c r="O493" s="14" t="s">
        <v>241</v>
      </c>
      <c r="P493" s="14"/>
      <c r="Q493" s="20">
        <f t="shared" si="7"/>
        <v>-121.26000000000022</v>
      </c>
      <c r="S493" s="20">
        <f>SUMIFS('Doc''s Pagos | Rodopar 108'!$J:$J,'Doc''s Pagos | Rodopar 108'!$A:$A,$B493&amp;$E493&amp;$F493&amp;$J493,'Doc''s Pagos | Rodopar 108'!$B:$B,S$1)+SUMIFS('Doc Há Pagar | Rodopar 1015'!$J:$J,'Doc Há Pagar | Rodopar 1015'!$A:$A,$B493&amp;$E493&amp;$F493,'Doc Há Pagar | Rodopar 1015'!$B:$B,S$1)</f>
        <v>0</v>
      </c>
      <c r="T493" s="20">
        <f>SUMIFS('Doc''s Pagos | Rodopar 108'!$J:$J,'Doc''s Pagos | Rodopar 108'!$A:$A,$B493&amp;$E493&amp;$F493&amp;$J493,'Doc''s Pagos | Rodopar 108'!$B:$B,T$1)+SUMIFS('Doc Há Pagar | Rodopar 1015'!$J:$J,'Doc Há Pagar | Rodopar 1015'!$A:$A,$B493&amp;$E493&amp;$F493,'Doc Há Pagar | Rodopar 1015'!$B:$B,T$1)</f>
        <v>0</v>
      </c>
      <c r="U493" s="20">
        <f>SUMIFS('Doc''s Pagos | Rodopar 108'!$J:$J,'Doc''s Pagos | Rodopar 108'!$A:$A,$B493&amp;$E493&amp;$F493&amp;$J493,'Doc''s Pagos | Rodopar 108'!$B:$B,U$1)+SUMIFS('Doc Há Pagar | Rodopar 1015'!$J:$J,'Doc Há Pagar | Rodopar 1015'!$A:$A,$B493&amp;$E493&amp;$F493,'Doc Há Pagar | Rodopar 1015'!$B:$B,U$1)</f>
        <v>0</v>
      </c>
      <c r="V493" s="20">
        <f>SUMIFS('Doc''s Pagos | Rodopar 108'!$J:$J,'Doc''s Pagos | Rodopar 108'!$A:$A,$B493&amp;$E493&amp;$F493&amp;$J493,'Doc''s Pagos | Rodopar 108'!$B:$B,V$1)+SUMIFS('Doc Há Pagar | Rodopar 1015'!$J:$J,'Doc Há Pagar | Rodopar 1015'!$A:$A,$B493&amp;$E493&amp;$F493,'Doc Há Pagar | Rodopar 1015'!$B:$B,V$1)</f>
        <v>0</v>
      </c>
      <c r="W493" s="20">
        <f>SUMIFS('Doc''s Pagos | Rodopar 108'!$J:$J,'Doc''s Pagos | Rodopar 108'!$A:$A,$B493&amp;$E493&amp;$F493&amp;$J493,'Doc''s Pagos | Rodopar 108'!$B:$B,W$1)+SUMIFS('Doc Há Pagar | Rodopar 1015'!$J:$J,'Doc Há Pagar | Rodopar 1015'!$A:$A,$B493&amp;$E493&amp;$F493,'Doc Há Pagar | Rodopar 1015'!$B:$B,W$1)</f>
        <v>0</v>
      </c>
      <c r="X493" s="20">
        <f>SUMIFS('Doc''s Pagos | Rodopar 108'!$J:$J,'Doc''s Pagos | Rodopar 108'!$A:$A,$B493&amp;$E493&amp;$F493&amp;$J493,'Doc''s Pagos | Rodopar 108'!$B:$B,X$1)+SUMIFS('Doc Há Pagar | Rodopar 1015'!$J:$J,'Doc Há Pagar | Rodopar 1015'!$A:$A,$B493&amp;$E493&amp;$F493,'Doc Há Pagar | Rodopar 1015'!$B:$B,X$1)</f>
        <v>0</v>
      </c>
      <c r="Y493" s="20">
        <f>SUMIFS('Doc''s Pagos | Rodopar 108'!$J:$J,'Doc''s Pagos | Rodopar 108'!$A:$A,$B493&amp;$E493&amp;$F493&amp;$J493,'Doc''s Pagos | Rodopar 108'!$B:$B,Y$1)+SUMIFS('Doc Há Pagar | Rodopar 1015'!$J:$J,'Doc Há Pagar | Rodopar 1015'!$A:$A,$B493&amp;$E493&amp;$F493,'Doc Há Pagar | Rodopar 1015'!$B:$B,Y$1)</f>
        <v>0</v>
      </c>
      <c r="Z493" s="20">
        <f>SUMIFS('Doc''s Pagos | Rodopar 108'!$J:$J,'Doc''s Pagos | Rodopar 108'!$A:$A,$B493&amp;$E493&amp;$F493&amp;$J493,'Doc''s Pagos | Rodopar 108'!$B:$B,Z$1)+SUMIFS('Doc Há Pagar | Rodopar 1015'!$J:$J,'Doc Há Pagar | Rodopar 1015'!$A:$A,$B493&amp;$E493&amp;$F493,'Doc Há Pagar | Rodopar 1015'!$B:$B,Z$1)</f>
        <v>0</v>
      </c>
      <c r="AA493" s="20">
        <f>SUMIFS('Doc''s Pagos | Rodopar 108'!$J:$J,'Doc''s Pagos | Rodopar 108'!$A:$A,$B493&amp;$E493&amp;$F493&amp;$J493,'Doc''s Pagos | Rodopar 108'!$B:$B,AA$1)+SUMIFS('Doc Há Pagar | Rodopar 1015'!$J:$J,'Doc Há Pagar | Rodopar 1015'!$A:$A,$B493&amp;$E493&amp;$F493,'Doc Há Pagar | Rodopar 1015'!$B:$B,AA$1)</f>
        <v>0</v>
      </c>
      <c r="AB493" s="20">
        <f>SUMIFS('Doc''s Pagos | Rodopar 108'!$J:$J,'Doc''s Pagos | Rodopar 108'!$A:$A,$B493&amp;$E493&amp;$F493&amp;$J493,'Doc''s Pagos | Rodopar 108'!$B:$B,AB$1)+SUMIFS('Doc Há Pagar | Rodopar 1015'!$J:$J,'Doc Há Pagar | Rodopar 1015'!$A:$A,$B493&amp;$E493&amp;$F493,'Doc Há Pagar | Rodopar 1015'!$B:$B,AB$1)</f>
        <v>1888.87</v>
      </c>
      <c r="AC493" s="20">
        <f>SUMIFS('Doc''s Pagos | Rodopar 108'!$J:$J,'Doc''s Pagos | Rodopar 108'!$A:$A,$B493&amp;$E493&amp;$F493&amp;$J493,'Doc''s Pagos | Rodopar 108'!$B:$B,AC$1)+SUMIFS('Doc Há Pagar | Rodopar 1015'!$J:$J,'Doc Há Pagar | Rodopar 1015'!$A:$A,$B493&amp;$E493&amp;$F493,'Doc Há Pagar | Rodopar 1015'!$B:$B,AC$1)</f>
        <v>1888.87</v>
      </c>
      <c r="AD493" s="20">
        <f>SUMIFS('Doc''s Pagos | Rodopar 108'!$J:$J,'Doc''s Pagos | Rodopar 108'!$A:$A,$B493&amp;$E493&amp;$F493&amp;$J493,'Doc''s Pagos | Rodopar 108'!$B:$B,AD$1)+SUMIFS('Doc Há Pagar | Rodopar 1015'!$J:$J,'Doc Há Pagar | Rodopar 1015'!$A:$A,$B493&amp;$E493&amp;$F493,'Doc Há Pagar | Rodopar 1015'!$B:$B,AD$1)</f>
        <v>0</v>
      </c>
    </row>
    <row r="494" spans="1:30" x14ac:dyDescent="0.25">
      <c r="A494" s="1" t="str">
        <f>VLOOKUP($E494,Fornecedores!$A:$C,3,0)</f>
        <v>Frota</v>
      </c>
      <c r="B494" s="14">
        <v>26222581471</v>
      </c>
      <c r="C494" s="14" t="str">
        <f>IFERROR(VLOOKUP($E494,Fornecedores!$A:$E,4,0),"")</f>
        <v>Pedagios</v>
      </c>
      <c r="D494" s="14" t="str">
        <f>IFERROR(VLOOKUP($E494,Fornecedores!$A:$E,5,0),"")</f>
        <v>Pedagios</v>
      </c>
      <c r="E494" s="8" t="s">
        <v>38</v>
      </c>
      <c r="F494" s="14" t="s">
        <v>232</v>
      </c>
      <c r="G494" s="8" t="s">
        <v>261</v>
      </c>
      <c r="H494" s="9">
        <v>87</v>
      </c>
      <c r="I494" s="21">
        <v>22987.7</v>
      </c>
      <c r="J494" s="11">
        <v>46298</v>
      </c>
      <c r="K494" s="11">
        <v>46301</v>
      </c>
      <c r="L494" s="8" t="s">
        <v>262</v>
      </c>
      <c r="M494" s="14" t="s">
        <v>263</v>
      </c>
      <c r="N494" s="16">
        <v>2556</v>
      </c>
      <c r="O494" s="14" t="s">
        <v>241</v>
      </c>
      <c r="P494" s="14"/>
      <c r="Q494" s="20">
        <f>SUM(R494:AD494)-I494</f>
        <v>0</v>
      </c>
      <c r="S494" s="20">
        <f>SUMIFS('Doc''s Pagos | Rodopar 108'!$J:$J,'Doc''s Pagos | Rodopar 108'!$A:$A,$B494&amp;$E494&amp;$F494&amp;$J494,'Doc''s Pagos | Rodopar 108'!$B:$B,S$1)+SUMIFS('Doc Há Pagar | Rodopar 1015'!$J:$J,'Doc Há Pagar | Rodopar 1015'!$A:$A,$B494&amp;$E494&amp;$F494,'Doc Há Pagar | Rodopar 1015'!$B:$B,S$1)</f>
        <v>0</v>
      </c>
      <c r="T494" s="20">
        <f>SUMIFS('Doc''s Pagos | Rodopar 108'!$J:$J,'Doc''s Pagos | Rodopar 108'!$A:$A,$B494&amp;$E494&amp;$F494&amp;$J494,'Doc''s Pagos | Rodopar 108'!$B:$B,T$1)+SUMIFS('Doc Há Pagar | Rodopar 1015'!$J:$J,'Doc Há Pagar | Rodopar 1015'!$A:$A,$B494&amp;$E494&amp;$F494,'Doc Há Pagar | Rodopar 1015'!$B:$B,T$1)</f>
        <v>0</v>
      </c>
      <c r="U494" s="20">
        <f>SUMIFS('Doc''s Pagos | Rodopar 108'!$J:$J,'Doc''s Pagos | Rodopar 108'!$A:$A,$B494&amp;$E494&amp;$F494&amp;$J494,'Doc''s Pagos | Rodopar 108'!$B:$B,U$1)+SUMIFS('Doc Há Pagar | Rodopar 1015'!$J:$J,'Doc Há Pagar | Rodopar 1015'!$A:$A,$B494&amp;$E494&amp;$F494,'Doc Há Pagar | Rodopar 1015'!$B:$B,U$1)</f>
        <v>0</v>
      </c>
      <c r="V494" s="20">
        <f>SUMIFS('Doc''s Pagos | Rodopar 108'!$J:$J,'Doc''s Pagos | Rodopar 108'!$A:$A,$B494&amp;$E494&amp;$F494&amp;$J494,'Doc''s Pagos | Rodopar 108'!$B:$B,V$1)+SUMIFS('Doc Há Pagar | Rodopar 1015'!$J:$J,'Doc Há Pagar | Rodopar 1015'!$A:$A,$B494&amp;$E494&amp;$F494,'Doc Há Pagar | Rodopar 1015'!$B:$B,V$1)</f>
        <v>0</v>
      </c>
      <c r="W494" s="20">
        <f>SUMIFS('Doc''s Pagos | Rodopar 108'!$J:$J,'Doc''s Pagos | Rodopar 108'!$A:$A,$B494&amp;$E494&amp;$F494&amp;$J494,'Doc''s Pagos | Rodopar 108'!$B:$B,W$1)+SUMIFS('Doc Há Pagar | Rodopar 1015'!$J:$J,'Doc Há Pagar | Rodopar 1015'!$A:$A,$B494&amp;$E494&amp;$F494,'Doc Há Pagar | Rodopar 1015'!$B:$B,W$1)</f>
        <v>0</v>
      </c>
      <c r="X494" s="20">
        <f>SUMIFS('Doc''s Pagos | Rodopar 108'!$J:$J,'Doc''s Pagos | Rodopar 108'!$A:$A,$B494&amp;$E494&amp;$F494&amp;$J494,'Doc''s Pagos | Rodopar 108'!$B:$B,X$1)+SUMIFS('Doc Há Pagar | Rodopar 1015'!$J:$J,'Doc Há Pagar | Rodopar 1015'!$A:$A,$B494&amp;$E494&amp;$F494,'Doc Há Pagar | Rodopar 1015'!$B:$B,X$1)</f>
        <v>0</v>
      </c>
      <c r="Y494" s="20">
        <f>SUMIFS('Doc''s Pagos | Rodopar 108'!$J:$J,'Doc''s Pagos | Rodopar 108'!$A:$A,$B494&amp;$E494&amp;$F494&amp;$J494,'Doc''s Pagos | Rodopar 108'!$B:$B,Y$1)+SUMIFS('Doc Há Pagar | Rodopar 1015'!$J:$J,'Doc Há Pagar | Rodopar 1015'!$A:$A,$B494&amp;$E494&amp;$F494,'Doc Há Pagar | Rodopar 1015'!$B:$B,Y$1)</f>
        <v>0</v>
      </c>
      <c r="Z494" s="20">
        <f>SUMIFS('Doc''s Pagos | Rodopar 108'!$J:$J,'Doc''s Pagos | Rodopar 108'!$A:$A,$B494&amp;$E494&amp;$F494&amp;$J494,'Doc''s Pagos | Rodopar 108'!$B:$B,Z$1)+SUMIFS('Doc Há Pagar | Rodopar 1015'!$J:$J,'Doc Há Pagar | Rodopar 1015'!$A:$A,$B494&amp;$E494&amp;$F494,'Doc Há Pagar | Rodopar 1015'!$B:$B,Z$1)</f>
        <v>0</v>
      </c>
      <c r="AA494" s="20">
        <f>SUMIFS('Doc''s Pagos | Rodopar 108'!$J:$J,'Doc''s Pagos | Rodopar 108'!$A:$A,$B494&amp;$E494&amp;$F494&amp;$J494,'Doc''s Pagos | Rodopar 108'!$B:$B,AA$1)+SUMIFS('Doc Há Pagar | Rodopar 1015'!$J:$J,'Doc Há Pagar | Rodopar 1015'!$A:$A,$B494&amp;$E494&amp;$F494,'Doc Há Pagar | Rodopar 1015'!$B:$B,AA$1)</f>
        <v>0</v>
      </c>
      <c r="AB494" s="20">
        <f>SUMIFS('Doc''s Pagos | Rodopar 108'!$J:$J,'Doc''s Pagos | Rodopar 108'!$A:$A,$B494&amp;$E494&amp;$F494&amp;$J494,'Doc''s Pagos | Rodopar 108'!$B:$B,AB$1)+SUMIFS('Doc Há Pagar | Rodopar 1015'!$J:$J,'Doc Há Pagar | Rodopar 1015'!$A:$A,$B494&amp;$E494&amp;$F494,'Doc Há Pagar | Rodopar 1015'!$B:$B,AB$1)</f>
        <v>22987.7</v>
      </c>
      <c r="AC494" s="20">
        <f>SUMIFS('Doc''s Pagos | Rodopar 108'!$J:$J,'Doc''s Pagos | Rodopar 108'!$A:$A,$B494&amp;$E494&amp;$F494&amp;$J494,'Doc''s Pagos | Rodopar 108'!$B:$B,AC$1)+SUMIFS('Doc Há Pagar | Rodopar 1015'!$J:$J,'Doc Há Pagar | Rodopar 1015'!$A:$A,$B494&amp;$E494&amp;$F494,'Doc Há Pagar | Rodopar 1015'!$B:$B,AC$1)</f>
        <v>0</v>
      </c>
      <c r="AD494" s="20">
        <f>SUMIFS('Doc''s Pagos | Rodopar 108'!$J:$J,'Doc''s Pagos | Rodopar 108'!$A:$A,$B494&amp;$E494&amp;$F494&amp;$J494,'Doc''s Pagos | Rodopar 108'!$B:$B,AD$1)+SUMIFS('Doc Há Pagar | Rodopar 1015'!$J:$J,'Doc Há Pagar | Rodopar 1015'!$A:$A,$B494&amp;$E494&amp;$F494,'Doc Há Pagar | Rodopar 1015'!$B:$B,AD$1)</f>
        <v>0</v>
      </c>
    </row>
  </sheetData>
  <autoFilter ref="A1:AD857" xr:uid="{4063584B-8976-432B-8F70-77D4F9A474BB}"/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5A46-9CB6-405D-A282-1681DD57B3E6}">
  <dimension ref="A1:E249"/>
  <sheetViews>
    <sheetView workbookViewId="0">
      <selection activeCell="I6" sqref="I6"/>
    </sheetView>
  </sheetViews>
  <sheetFormatPr defaultRowHeight="13.8" x14ac:dyDescent="0.3"/>
  <cols>
    <col min="1" max="1" width="68.7109375" style="2" bestFit="1" customWidth="1"/>
    <col min="2" max="2" width="19.140625" style="2" bestFit="1" customWidth="1"/>
    <col min="3" max="3" width="8" style="2" bestFit="1" customWidth="1"/>
    <col min="4" max="4" width="18.42578125" style="2" bestFit="1" customWidth="1"/>
    <col min="5" max="5" width="15.7109375" bestFit="1" customWidth="1"/>
  </cols>
  <sheetData>
    <row r="1" spans="1:5" ht="12" x14ac:dyDescent="0.25">
      <c r="A1" s="3" t="s">
        <v>0</v>
      </c>
      <c r="B1" s="3" t="s">
        <v>1</v>
      </c>
      <c r="C1" s="3" t="s">
        <v>3260</v>
      </c>
      <c r="D1" s="3" t="s">
        <v>3240</v>
      </c>
      <c r="E1" s="3" t="s">
        <v>2</v>
      </c>
    </row>
    <row r="2" spans="1:5" ht="12" x14ac:dyDescent="0.25">
      <c r="A2" s="4" t="s">
        <v>18</v>
      </c>
      <c r="B2" s="5" t="str">
        <f>VLOOKUP($A2,'Relação de NF''s'!$E:$G,3,0)</f>
        <v>13.707.932/0001-10</v>
      </c>
      <c r="C2" s="6" t="s">
        <v>4</v>
      </c>
      <c r="D2" s="13" t="s">
        <v>3223</v>
      </c>
      <c r="E2" s="13" t="s">
        <v>3223</v>
      </c>
    </row>
    <row r="3" spans="1:5" ht="12" x14ac:dyDescent="0.25">
      <c r="A3" s="4" t="s">
        <v>21</v>
      </c>
      <c r="B3" s="5" t="str">
        <f>VLOOKUP($A3,'Relação de NF''s'!$E:$G,3,0)</f>
        <v>03.176.117/0001-19</v>
      </c>
      <c r="C3" s="6" t="s">
        <v>4</v>
      </c>
      <c r="D3" s="13" t="s">
        <v>3257</v>
      </c>
      <c r="E3" s="13" t="s">
        <v>3258</v>
      </c>
    </row>
    <row r="4" spans="1:5" ht="12" x14ac:dyDescent="0.25">
      <c r="A4" s="4" t="s">
        <v>22</v>
      </c>
      <c r="B4" s="5" t="str">
        <f>VLOOKUP($A4,'Relação de NF''s'!$E:$G,3,0)</f>
        <v>59.320.123/0001-52</v>
      </c>
      <c r="C4" s="6" t="s">
        <v>4</v>
      </c>
      <c r="D4" s="13" t="s">
        <v>3223</v>
      </c>
      <c r="E4" s="13" t="s">
        <v>3223</v>
      </c>
    </row>
    <row r="5" spans="1:5" ht="12" x14ac:dyDescent="0.25">
      <c r="A5" s="4" t="s">
        <v>23</v>
      </c>
      <c r="B5" s="5" t="str">
        <f>VLOOKUP($A5,'Relação de NF''s'!$E:$G,3,0)</f>
        <v>19.369.820/0001-83</v>
      </c>
      <c r="C5" s="6" t="s">
        <v>4</v>
      </c>
      <c r="D5" s="13" t="s">
        <v>3242</v>
      </c>
      <c r="E5" s="13" t="s">
        <v>3243</v>
      </c>
    </row>
    <row r="6" spans="1:5" ht="12" x14ac:dyDescent="0.25">
      <c r="A6" s="4" t="s">
        <v>24</v>
      </c>
      <c r="B6" s="5" t="str">
        <f>VLOOKUP($A6,'Relação de NF''s'!$E:$G,3,0)</f>
        <v>02.602.115/0001-81</v>
      </c>
      <c r="C6" s="6" t="s">
        <v>4</v>
      </c>
      <c r="D6" s="13" t="s">
        <v>3238</v>
      </c>
      <c r="E6" s="13" t="s">
        <v>3241</v>
      </c>
    </row>
    <row r="7" spans="1:5" ht="12" x14ac:dyDescent="0.25">
      <c r="A7" s="4" t="s">
        <v>25</v>
      </c>
      <c r="B7" s="5" t="str">
        <f>VLOOKUP($A7,'Relação de NF''s'!$E:$G,3,0)</f>
        <v>17.556.192/0001-10</v>
      </c>
      <c r="C7" s="6" t="s">
        <v>4</v>
      </c>
      <c r="D7" s="13" t="s">
        <v>3242</v>
      </c>
      <c r="E7" s="13" t="s">
        <v>3249</v>
      </c>
    </row>
    <row r="8" spans="1:5" ht="12" x14ac:dyDescent="0.25">
      <c r="A8" s="4" t="s">
        <v>26</v>
      </c>
      <c r="B8" s="5" t="str">
        <f>VLOOKUP($A8,'Relação de NF''s'!$E:$G,3,0)</f>
        <v>24.117.344/0001-43</v>
      </c>
      <c r="C8" s="6" t="s">
        <v>4</v>
      </c>
      <c r="D8" s="13" t="s">
        <v>3245</v>
      </c>
      <c r="E8" s="13" t="s">
        <v>3246</v>
      </c>
    </row>
    <row r="9" spans="1:5" ht="12" x14ac:dyDescent="0.25">
      <c r="A9" s="4" t="s">
        <v>27</v>
      </c>
      <c r="B9" s="5" t="str">
        <f>VLOOKUP($A9,'Relação de NF''s'!$E:$G,3,0)</f>
        <v>50.781.695/0001-64</v>
      </c>
      <c r="C9" s="6" t="s">
        <v>4</v>
      </c>
      <c r="D9" s="13" t="s">
        <v>3242</v>
      </c>
      <c r="E9" s="13" t="s">
        <v>3249</v>
      </c>
    </row>
    <row r="10" spans="1:5" ht="12" x14ac:dyDescent="0.25">
      <c r="A10" s="4" t="s">
        <v>34</v>
      </c>
      <c r="B10" s="5" t="str">
        <f>VLOOKUP($A10,'Relação de NF''s'!$E:$G,3,0)</f>
        <v>53.733.586/0001-60</v>
      </c>
      <c r="C10" s="6" t="s">
        <v>4</v>
      </c>
      <c r="D10" s="13" t="s">
        <v>3250</v>
      </c>
      <c r="E10" s="13" t="s">
        <v>3236</v>
      </c>
    </row>
    <row r="11" spans="1:5" ht="12" x14ac:dyDescent="0.25">
      <c r="A11" s="4" t="s">
        <v>35</v>
      </c>
      <c r="B11" s="5" t="str">
        <f>VLOOKUP($A11,'Relação de NF''s'!$E:$G,3,0)</f>
        <v>43.792.799/0001-09</v>
      </c>
      <c r="C11" s="6" t="s">
        <v>4</v>
      </c>
      <c r="D11" s="13" t="s">
        <v>3250</v>
      </c>
      <c r="E11" s="13" t="s">
        <v>3236</v>
      </c>
    </row>
    <row r="12" spans="1:5" ht="12" x14ac:dyDescent="0.25">
      <c r="A12" s="4" t="s">
        <v>38</v>
      </c>
      <c r="B12" s="5" t="str">
        <f>VLOOKUP($A12,'Relação de NF''s'!$E:$G,3,0)</f>
        <v>04.088.208/0001-65</v>
      </c>
      <c r="C12" s="6" t="s">
        <v>4</v>
      </c>
      <c r="D12" s="13" t="s">
        <v>3239</v>
      </c>
      <c r="E12" s="13" t="s">
        <v>3239</v>
      </c>
    </row>
    <row r="13" spans="1:5" ht="12" x14ac:dyDescent="0.25">
      <c r="A13" s="4" t="s">
        <v>41</v>
      </c>
      <c r="B13" s="5" t="str">
        <f>VLOOKUP($A13,'Relação de NF''s'!$E:$G,3,0)</f>
        <v>21.402.050/0001-75</v>
      </c>
      <c r="C13" s="6" t="s">
        <v>4</v>
      </c>
      <c r="D13" s="13" t="s">
        <v>3242</v>
      </c>
      <c r="E13" s="13" t="s">
        <v>3249</v>
      </c>
    </row>
    <row r="14" spans="1:5" ht="12" x14ac:dyDescent="0.25">
      <c r="A14" s="4" t="s">
        <v>42</v>
      </c>
      <c r="B14" s="5" t="str">
        <f>VLOOKUP($A14,'Relação de NF''s'!$E:$G,3,0)</f>
        <v>65.306.599/0001-31</v>
      </c>
      <c r="C14" s="6" t="s">
        <v>4</v>
      </c>
      <c r="D14" s="13" t="s">
        <v>3245</v>
      </c>
      <c r="E14" s="13" t="s">
        <v>3259</v>
      </c>
    </row>
    <row r="15" spans="1:5" ht="12" x14ac:dyDescent="0.25">
      <c r="A15" s="4" t="s">
        <v>44</v>
      </c>
      <c r="B15" s="5" t="str">
        <f>VLOOKUP($A15,'Relação de NF''s'!$E:$G,3,0)</f>
        <v>54.842.236/0001-02</v>
      </c>
      <c r="C15" s="6" t="s">
        <v>4</v>
      </c>
      <c r="D15" s="13" t="s">
        <v>3223</v>
      </c>
      <c r="E15" s="13" t="s">
        <v>3223</v>
      </c>
    </row>
    <row r="16" spans="1:5" ht="12" x14ac:dyDescent="0.25">
      <c r="A16" s="4" t="s">
        <v>53</v>
      </c>
      <c r="B16" s="5" t="str">
        <f>VLOOKUP($A16,'Relação de NF''s'!$E:$G,3,0)</f>
        <v>55.435.120/0001-03</v>
      </c>
      <c r="C16" s="6" t="s">
        <v>4</v>
      </c>
      <c r="D16" s="13" t="s">
        <v>3224</v>
      </c>
      <c r="E16" s="13" t="s">
        <v>3256</v>
      </c>
    </row>
    <row r="17" spans="1:5" ht="12" x14ac:dyDescent="0.25">
      <c r="A17" s="4" t="s">
        <v>67</v>
      </c>
      <c r="B17" s="5" t="str">
        <f>VLOOKUP($A17,'Relação de NF''s'!$E:$G,3,0)</f>
        <v>58.595.014/0001-85</v>
      </c>
      <c r="C17" s="6" t="s">
        <v>4</v>
      </c>
      <c r="D17" s="13" t="s">
        <v>3242</v>
      </c>
      <c r="E17" s="13" t="s">
        <v>3249</v>
      </c>
    </row>
    <row r="18" spans="1:5" ht="12" x14ac:dyDescent="0.25">
      <c r="A18" s="4" t="s">
        <v>70</v>
      </c>
      <c r="B18" s="5" t="str">
        <f>VLOOKUP($A18,'Relação de NF''s'!$E:$G,3,0)</f>
        <v>14.186.734/0001-11</v>
      </c>
      <c r="C18" s="6" t="s">
        <v>4</v>
      </c>
      <c r="D18" s="13" t="s">
        <v>3242</v>
      </c>
      <c r="E18" s="13" t="s">
        <v>3249</v>
      </c>
    </row>
    <row r="19" spans="1:5" ht="12" x14ac:dyDescent="0.25">
      <c r="A19" s="4" t="s">
        <v>75</v>
      </c>
      <c r="B19" s="5" t="str">
        <f>VLOOKUP($A19,'Relação de NF''s'!$E:$G,3,0)</f>
        <v>60.500.246/0016-30</v>
      </c>
      <c r="C19" s="6" t="s">
        <v>4</v>
      </c>
      <c r="D19" s="13" t="s">
        <v>3224</v>
      </c>
      <c r="E19" s="13" t="s">
        <v>3254</v>
      </c>
    </row>
    <row r="20" spans="1:5" ht="12" x14ac:dyDescent="0.25">
      <c r="A20" s="4" t="s">
        <v>77</v>
      </c>
      <c r="B20" s="5" t="str">
        <f>VLOOKUP($A20,'Relação de NF''s'!$E:$G,3,0)</f>
        <v>11.047.672/0001-79</v>
      </c>
      <c r="C20" s="6" t="s">
        <v>4</v>
      </c>
      <c r="D20" s="13" t="s">
        <v>3242</v>
      </c>
      <c r="E20" s="13" t="s">
        <v>3249</v>
      </c>
    </row>
    <row r="21" spans="1:5" ht="12" x14ac:dyDescent="0.25">
      <c r="A21" s="4" t="s">
        <v>80</v>
      </c>
      <c r="B21" s="5" t="str">
        <f>VLOOKUP($A21,'Relação de NF''s'!$E:$G,3,0)</f>
        <v>64.419.393/0008-21</v>
      </c>
      <c r="C21" s="6" t="s">
        <v>4</v>
      </c>
      <c r="D21" s="13" t="s">
        <v>3224</v>
      </c>
      <c r="E21" s="13" t="s">
        <v>3254</v>
      </c>
    </row>
    <row r="22" spans="1:5" ht="12" x14ac:dyDescent="0.25">
      <c r="A22" s="4" t="s">
        <v>81</v>
      </c>
      <c r="B22" s="5" t="str">
        <f>VLOOKUP($A22,'Relação de NF''s'!$E:$G,3,0)</f>
        <v>12.412.333/0001-07</v>
      </c>
      <c r="C22" s="6" t="s">
        <v>4</v>
      </c>
      <c r="D22" s="13" t="s">
        <v>3224</v>
      </c>
      <c r="E22" s="13" t="s">
        <v>3253</v>
      </c>
    </row>
    <row r="23" spans="1:5" ht="12" x14ac:dyDescent="0.25">
      <c r="A23" s="4" t="s">
        <v>85</v>
      </c>
      <c r="B23" s="5" t="str">
        <f>VLOOKUP($A23,'Relação de NF''s'!$E:$G,3,0)</f>
        <v>29.524.404/0001-66</v>
      </c>
      <c r="C23" s="6" t="s">
        <v>4</v>
      </c>
      <c r="D23" s="13" t="s">
        <v>3223</v>
      </c>
      <c r="E23" s="13" t="s">
        <v>3223</v>
      </c>
    </row>
    <row r="24" spans="1:5" ht="12" x14ac:dyDescent="0.25">
      <c r="A24" s="4" t="s">
        <v>92</v>
      </c>
      <c r="B24" s="5" t="str">
        <f>VLOOKUP($A24,'Relação de NF''s'!$E:$G,3,0)</f>
        <v>57.980.846/0001-52</v>
      </c>
      <c r="C24" s="6" t="s">
        <v>4</v>
      </c>
      <c r="D24" s="13" t="s">
        <v>3223</v>
      </c>
      <c r="E24" s="13" t="s">
        <v>3223</v>
      </c>
    </row>
    <row r="25" spans="1:5" ht="12" x14ac:dyDescent="0.25">
      <c r="A25" s="4" t="s">
        <v>109</v>
      </c>
      <c r="B25" s="5" t="str">
        <f>VLOOKUP($A25,'Relação de NF''s'!$E:$G,3,0)</f>
        <v>33.791.107/0001-54</v>
      </c>
      <c r="C25" s="6" t="s">
        <v>4</v>
      </c>
      <c r="D25" s="13" t="s">
        <v>3242</v>
      </c>
      <c r="E25" s="13" t="s">
        <v>3251</v>
      </c>
    </row>
    <row r="26" spans="1:5" ht="12" x14ac:dyDescent="0.25">
      <c r="A26" s="4" t="s">
        <v>111</v>
      </c>
      <c r="B26" s="5" t="str">
        <f>VLOOKUP($A26,'Relação de NF''s'!$E:$G,3,0)</f>
        <v>12.118.555/0001-11</v>
      </c>
      <c r="C26" s="6" t="s">
        <v>4</v>
      </c>
      <c r="D26" s="13" t="s">
        <v>3242</v>
      </c>
      <c r="E26" s="13" t="s">
        <v>3249</v>
      </c>
    </row>
    <row r="27" spans="1:5" ht="12" x14ac:dyDescent="0.25">
      <c r="A27" s="4" t="s">
        <v>112</v>
      </c>
      <c r="B27" s="5" t="str">
        <f>VLOOKUP($A27,'Relação de NF''s'!$E:$G,3,0)</f>
        <v>02.286.479/0001-08</v>
      </c>
      <c r="C27" s="6" t="s">
        <v>4</v>
      </c>
      <c r="D27" s="13" t="s">
        <v>3235</v>
      </c>
      <c r="E27" s="13" t="s">
        <v>3248</v>
      </c>
    </row>
    <row r="28" spans="1:5" ht="12" x14ac:dyDescent="0.25">
      <c r="A28" s="4" t="s">
        <v>124</v>
      </c>
      <c r="B28" s="5" t="str">
        <f>VLOOKUP($A28,'Relação de NF''s'!$E:$G,3,0)</f>
        <v>13.892.258/0001-91</v>
      </c>
      <c r="C28" s="6" t="s">
        <v>4</v>
      </c>
      <c r="D28" s="13" t="s">
        <v>3242</v>
      </c>
      <c r="E28" s="13" t="s">
        <v>3249</v>
      </c>
    </row>
    <row r="29" spans="1:5" ht="12" x14ac:dyDescent="0.25">
      <c r="A29" s="4" t="s">
        <v>125</v>
      </c>
      <c r="B29" s="5" t="str">
        <f>VLOOKUP($A29,'Relação de NF''s'!$E:$G,3,0)</f>
        <v>71.299.614/0001-64</v>
      </c>
      <c r="C29" s="6" t="s">
        <v>4</v>
      </c>
      <c r="D29" s="13" t="s">
        <v>3242</v>
      </c>
      <c r="E29" s="13" t="s">
        <v>3251</v>
      </c>
    </row>
    <row r="30" spans="1:5" ht="12" x14ac:dyDescent="0.25">
      <c r="A30" s="4" t="s">
        <v>126</v>
      </c>
      <c r="B30" s="5" t="str">
        <f>VLOOKUP($A30,'Relação de NF''s'!$E:$G,3,0)</f>
        <v>14.624.119/0001-40</v>
      </c>
      <c r="C30" s="6" t="s">
        <v>4</v>
      </c>
      <c r="D30" s="13" t="s">
        <v>3242</v>
      </c>
      <c r="E30" s="13" t="s">
        <v>3243</v>
      </c>
    </row>
    <row r="31" spans="1:5" ht="12" x14ac:dyDescent="0.25">
      <c r="A31" s="4" t="s">
        <v>127</v>
      </c>
      <c r="B31" s="5" t="str">
        <f>VLOOKUP($A31,'Relação de NF''s'!$E:$G,3,0)</f>
        <v>31.715.616/0005-04</v>
      </c>
      <c r="C31" s="6" t="s">
        <v>4</v>
      </c>
      <c r="D31" s="13" t="s">
        <v>3242</v>
      </c>
      <c r="E31" s="13" t="s">
        <v>3247</v>
      </c>
    </row>
    <row r="32" spans="1:5" ht="12" x14ac:dyDescent="0.25">
      <c r="A32" s="4" t="s">
        <v>131</v>
      </c>
      <c r="B32" s="5" t="str">
        <f>VLOOKUP($A32,'Relação de NF''s'!$E:$G,3,0)</f>
        <v>17.161.241/0017-82</v>
      </c>
      <c r="C32" s="6" t="s">
        <v>4</v>
      </c>
      <c r="D32" s="13" t="s">
        <v>3242</v>
      </c>
      <c r="E32" s="13" t="s">
        <v>3243</v>
      </c>
    </row>
    <row r="33" spans="1:5" ht="12" x14ac:dyDescent="0.25">
      <c r="A33" s="4" t="s">
        <v>132</v>
      </c>
      <c r="B33" s="5" t="str">
        <f>VLOOKUP($A33,'Relação de NF''s'!$E:$G,3,0)</f>
        <v>21.549.423/0001-35</v>
      </c>
      <c r="C33" s="6" t="s">
        <v>4</v>
      </c>
      <c r="D33" s="13" t="s">
        <v>3242</v>
      </c>
      <c r="E33" s="13" t="s">
        <v>3243</v>
      </c>
    </row>
    <row r="34" spans="1:5" ht="12" x14ac:dyDescent="0.25">
      <c r="A34" s="4" t="s">
        <v>133</v>
      </c>
      <c r="B34" s="5" t="str">
        <f>VLOOKUP($A34,'Relação de NF''s'!$E:$G,3,0)</f>
        <v>17.161.241/0014-30</v>
      </c>
      <c r="C34" s="6" t="s">
        <v>4</v>
      </c>
      <c r="D34" s="13" t="s">
        <v>3242</v>
      </c>
      <c r="E34" s="13" t="s">
        <v>3243</v>
      </c>
    </row>
    <row r="35" spans="1:5" ht="12" x14ac:dyDescent="0.25">
      <c r="A35" s="4" t="s">
        <v>143</v>
      </c>
      <c r="B35" s="5" t="str">
        <f>VLOOKUP($A35,'Relação de NF''s'!$E:$G,3,0)</f>
        <v>21.042.890/0001-74</v>
      </c>
      <c r="C35" s="6" t="s">
        <v>4</v>
      </c>
      <c r="D35" s="13" t="s">
        <v>3242</v>
      </c>
      <c r="E35" s="13" t="s">
        <v>3251</v>
      </c>
    </row>
    <row r="36" spans="1:5" ht="12" x14ac:dyDescent="0.25">
      <c r="A36" s="4" t="s">
        <v>144</v>
      </c>
      <c r="B36" s="5" t="str">
        <f>VLOOKUP($A36,'Relação de NF''s'!$E:$G,3,0)</f>
        <v>10.768.043/0001-75</v>
      </c>
      <c r="C36" s="6" t="s">
        <v>4</v>
      </c>
      <c r="D36" s="13" t="s">
        <v>3242</v>
      </c>
      <c r="E36" s="13" t="s">
        <v>3251</v>
      </c>
    </row>
    <row r="37" spans="1:5" ht="12" x14ac:dyDescent="0.25">
      <c r="A37" s="4" t="s">
        <v>145</v>
      </c>
      <c r="B37" s="5" t="str">
        <f>VLOOKUP($A37,'Relação de NF''s'!$E:$G,3,0)</f>
        <v>23.756.723/0001-10</v>
      </c>
      <c r="C37" s="6" t="s">
        <v>4</v>
      </c>
      <c r="D37" s="13" t="s">
        <v>3224</v>
      </c>
      <c r="E37" s="13" t="s">
        <v>3241</v>
      </c>
    </row>
    <row r="38" spans="1:5" ht="12" x14ac:dyDescent="0.25">
      <c r="A38" s="4" t="s">
        <v>150</v>
      </c>
      <c r="B38" s="5" t="str">
        <f>VLOOKUP($A38,'Relação de NF''s'!$E:$G,3,0)</f>
        <v>31.648.084/0001-06</v>
      </c>
      <c r="C38" s="6" t="s">
        <v>4</v>
      </c>
      <c r="D38" s="13" t="s">
        <v>3250</v>
      </c>
      <c r="E38" s="13" t="s">
        <v>3236</v>
      </c>
    </row>
    <row r="39" spans="1:5" ht="12" x14ac:dyDescent="0.25">
      <c r="A39" s="4" t="s">
        <v>159</v>
      </c>
      <c r="B39" s="5" t="str">
        <f>VLOOKUP($A39,'Relação de NF''s'!$E:$G,3,0)</f>
        <v>30.782.530/0001-08</v>
      </c>
      <c r="C39" s="6" t="s">
        <v>4</v>
      </c>
      <c r="D39" s="13" t="s">
        <v>3242</v>
      </c>
      <c r="E39" s="13" t="s">
        <v>3243</v>
      </c>
    </row>
    <row r="40" spans="1:5" ht="12" x14ac:dyDescent="0.25">
      <c r="A40" s="4" t="s">
        <v>160</v>
      </c>
      <c r="B40" s="5" t="str">
        <f>VLOOKUP($A40,'Relação de NF''s'!$E:$G,3,0)</f>
        <v>20.495.149/0012-59</v>
      </c>
      <c r="C40" s="6" t="s">
        <v>4</v>
      </c>
      <c r="D40" s="13" t="s">
        <v>3242</v>
      </c>
      <c r="E40" s="13" t="s">
        <v>3243</v>
      </c>
    </row>
    <row r="41" spans="1:5" ht="12" x14ac:dyDescent="0.25">
      <c r="A41" s="4" t="s">
        <v>164</v>
      </c>
      <c r="B41" s="5" t="str">
        <f>VLOOKUP($A41,'Relação de NF''s'!$E:$G,3,0)</f>
        <v>08.594.268/0004-53</v>
      </c>
      <c r="C41" s="6" t="s">
        <v>4</v>
      </c>
      <c r="D41" s="13" t="s">
        <v>3224</v>
      </c>
      <c r="E41" s="13" t="s">
        <v>3256</v>
      </c>
    </row>
    <row r="42" spans="1:5" ht="12" x14ac:dyDescent="0.25">
      <c r="A42" s="4" t="s">
        <v>165</v>
      </c>
      <c r="B42" s="5" t="str">
        <f>VLOOKUP($A42,'Relação de NF''s'!$E:$G,3,0)</f>
        <v>25.074.470/0001-20</v>
      </c>
      <c r="C42" s="6" t="s">
        <v>4</v>
      </c>
      <c r="D42" s="13" t="s">
        <v>3250</v>
      </c>
      <c r="E42" s="13" t="s">
        <v>3255</v>
      </c>
    </row>
    <row r="43" spans="1:5" ht="12" x14ac:dyDescent="0.25">
      <c r="A43" s="4" t="s">
        <v>166</v>
      </c>
      <c r="B43" s="5" t="str">
        <f>VLOOKUP($A43,'Relação de NF''s'!$E:$G,3,0)</f>
        <v>42.993.214/0001-56</v>
      </c>
      <c r="C43" s="6" t="s">
        <v>4</v>
      </c>
      <c r="D43" s="13" t="s">
        <v>3224</v>
      </c>
      <c r="E43" s="13" t="s">
        <v>3253</v>
      </c>
    </row>
    <row r="44" spans="1:5" ht="12" x14ac:dyDescent="0.25">
      <c r="A44" s="4" t="s">
        <v>174</v>
      </c>
      <c r="B44" s="5" t="str">
        <f>VLOOKUP($A44,'Relação de NF''s'!$E:$G,3,0)</f>
        <v>35.069.484/0001-00</v>
      </c>
      <c r="C44" s="6" t="s">
        <v>4</v>
      </c>
      <c r="D44" s="13" t="s">
        <v>3250</v>
      </c>
      <c r="E44" s="13" t="s">
        <v>3236</v>
      </c>
    </row>
    <row r="45" spans="1:5" ht="12" x14ac:dyDescent="0.25">
      <c r="A45" s="4" t="s">
        <v>179</v>
      </c>
      <c r="B45" s="5" t="str">
        <f>VLOOKUP($A45,'Relação de NF''s'!$E:$G,3,0)</f>
        <v>03.112.879/0001-51</v>
      </c>
      <c r="C45" s="6" t="s">
        <v>4</v>
      </c>
      <c r="D45" s="13" t="s">
        <v>3237</v>
      </c>
      <c r="E45" s="13" t="s">
        <v>3237</v>
      </c>
    </row>
    <row r="46" spans="1:5" ht="12" x14ac:dyDescent="0.25">
      <c r="A46" s="4" t="s">
        <v>190</v>
      </c>
      <c r="B46" s="5" t="str">
        <f>VLOOKUP($A46,'Relação de NF''s'!$E:$G,3,0)</f>
        <v>21.014.220/0001-44</v>
      </c>
      <c r="C46" s="6" t="s">
        <v>4</v>
      </c>
      <c r="D46" s="13" t="s">
        <v>3242</v>
      </c>
      <c r="E46" s="13" t="s">
        <v>3244</v>
      </c>
    </row>
    <row r="47" spans="1:5" ht="12" x14ac:dyDescent="0.25">
      <c r="A47" s="4" t="s">
        <v>191</v>
      </c>
      <c r="B47" s="5" t="str">
        <f>VLOOKUP($A47,'Relação de NF''s'!$E:$G,3,0)</f>
        <v>27.755.427/0007-41</v>
      </c>
      <c r="C47" s="6" t="s">
        <v>4</v>
      </c>
      <c r="D47" s="13" t="s">
        <v>3238</v>
      </c>
      <c r="E47" s="13" t="s">
        <v>3241</v>
      </c>
    </row>
    <row r="48" spans="1:5" ht="12" x14ac:dyDescent="0.25">
      <c r="A48" s="4" t="s">
        <v>192</v>
      </c>
      <c r="B48" s="5" t="str">
        <f>VLOOKUP($A48,'Relação de NF''s'!$E:$G,3,0)</f>
        <v>09.110.913/0027-74</v>
      </c>
      <c r="C48" s="6" t="s">
        <v>4</v>
      </c>
      <c r="D48" s="13" t="s">
        <v>3238</v>
      </c>
      <c r="E48" s="13" t="s">
        <v>3241</v>
      </c>
    </row>
    <row r="49" spans="1:5" ht="12" x14ac:dyDescent="0.25">
      <c r="A49" s="4" t="s">
        <v>195</v>
      </c>
      <c r="B49" s="5" t="str">
        <f>VLOOKUP($A49,'Relação de NF''s'!$E:$G,3,0)</f>
        <v>02.558.853/0001-79</v>
      </c>
      <c r="C49" s="6" t="s">
        <v>4</v>
      </c>
      <c r="D49" s="13" t="s">
        <v>3242</v>
      </c>
      <c r="E49" s="13" t="s">
        <v>3249</v>
      </c>
    </row>
    <row r="50" spans="1:5" ht="12" x14ac:dyDescent="0.25">
      <c r="A50" s="4" t="s">
        <v>204</v>
      </c>
      <c r="B50" s="5" t="str">
        <f>VLOOKUP($A50,'Relação de NF''s'!$E:$G,3,0)</f>
        <v>55.012.105/0001-52</v>
      </c>
      <c r="C50" s="6" t="s">
        <v>4</v>
      </c>
      <c r="D50" s="13" t="s">
        <v>3242</v>
      </c>
      <c r="E50" s="13" t="s">
        <v>3249</v>
      </c>
    </row>
    <row r="51" spans="1:5" ht="12" x14ac:dyDescent="0.25">
      <c r="A51" s="4" t="s">
        <v>205</v>
      </c>
      <c r="B51" s="5" t="str">
        <f>VLOOKUP($A51,'Relação de NF''s'!$E:$G,3,0)</f>
        <v>49.353.383/0001-70</v>
      </c>
      <c r="C51" s="6" t="s">
        <v>4</v>
      </c>
      <c r="D51" s="13" t="s">
        <v>3242</v>
      </c>
      <c r="E51" s="13" t="s">
        <v>3243</v>
      </c>
    </row>
    <row r="52" spans="1:5" ht="12" x14ac:dyDescent="0.25">
      <c r="A52" s="4" t="s">
        <v>206</v>
      </c>
      <c r="B52" s="5" t="str">
        <f>VLOOKUP($A52,'Relação de NF''s'!$E:$G,3,0)</f>
        <v>47.409.392/0001-00</v>
      </c>
      <c r="C52" s="6" t="s">
        <v>4</v>
      </c>
      <c r="D52" s="13" t="s">
        <v>3250</v>
      </c>
      <c r="E52" s="13" t="s">
        <v>3252</v>
      </c>
    </row>
    <row r="53" spans="1:5" ht="12" x14ac:dyDescent="0.25">
      <c r="A53" s="4" t="s">
        <v>207</v>
      </c>
      <c r="B53" s="5" t="str">
        <f>VLOOKUP($A53,'Relação de NF''s'!$E:$G,3,0)</f>
        <v>29.178.619/0001-72</v>
      </c>
      <c r="C53" s="6" t="s">
        <v>4</v>
      </c>
      <c r="D53" s="13" t="s">
        <v>3242</v>
      </c>
      <c r="E53" s="13" t="s">
        <v>3243</v>
      </c>
    </row>
    <row r="54" spans="1:5" ht="12" x14ac:dyDescent="0.25">
      <c r="A54" s="4" t="s">
        <v>208</v>
      </c>
      <c r="B54" s="5" t="str">
        <f>VLOOKUP($A54,'Relação de NF''s'!$E:$G,3,0)</f>
        <v>17.161.241/0010-06</v>
      </c>
      <c r="C54" s="6" t="s">
        <v>4</v>
      </c>
      <c r="D54" s="13" t="s">
        <v>3242</v>
      </c>
      <c r="E54" s="13" t="s">
        <v>3243</v>
      </c>
    </row>
    <row r="55" spans="1:5" ht="12" x14ac:dyDescent="0.25">
      <c r="A55" s="4" t="s">
        <v>209</v>
      </c>
      <c r="B55" s="5" t="str">
        <f>VLOOKUP($A55,'Relação de NF''s'!$E:$G,3,0)</f>
        <v>63.327.149/0001-08</v>
      </c>
      <c r="C55" s="6" t="s">
        <v>4</v>
      </c>
      <c r="D55" s="13" t="s">
        <v>3224</v>
      </c>
      <c r="E55" s="13" t="s">
        <v>3256</v>
      </c>
    </row>
    <row r="56" spans="1:5" ht="12" x14ac:dyDescent="0.25">
      <c r="A56" s="4" t="s">
        <v>211</v>
      </c>
      <c r="B56" s="5" t="str">
        <f>VLOOKUP($A56,'Relação de NF''s'!$E:$G,3,0)</f>
        <v>23.075.832/0001-72</v>
      </c>
      <c r="C56" s="6" t="s">
        <v>4</v>
      </c>
      <c r="D56" s="13" t="s">
        <v>3242</v>
      </c>
      <c r="E56" s="13" t="s">
        <v>3249</v>
      </c>
    </row>
    <row r="57" spans="1:5" ht="12" x14ac:dyDescent="0.25">
      <c r="A57" s="4" t="s">
        <v>228</v>
      </c>
      <c r="B57" s="5" t="str">
        <f>VLOOKUP($A57,'Relação de NF''s'!$E:$G,3,0)</f>
        <v>56.339.795/0001-11</v>
      </c>
      <c r="C57" s="6" t="s">
        <v>4</v>
      </c>
      <c r="D57" s="13" t="s">
        <v>3242</v>
      </c>
      <c r="E57" s="13" t="s">
        <v>3249</v>
      </c>
    </row>
    <row r="58" spans="1:5" ht="12" x14ac:dyDescent="0.25">
      <c r="A58" s="4" t="s">
        <v>280</v>
      </c>
      <c r="B58" s="5" t="str">
        <f>VLOOKUP($A58,'Relação de NF''s'!$E:$G,3,0)</f>
        <v>16.670.085/0137-29</v>
      </c>
      <c r="C58" s="6" t="s">
        <v>4</v>
      </c>
      <c r="D58" s="13" t="s">
        <v>3235</v>
      </c>
      <c r="E58" s="13" t="s">
        <v>3248</v>
      </c>
    </row>
    <row r="59" spans="1:5" ht="12" x14ac:dyDescent="0.25">
      <c r="A59" s="4" t="s">
        <v>303</v>
      </c>
      <c r="B59" s="5" t="str">
        <f>VLOOKUP($A59,'Relação de NF''s'!$E:$G,3,0)</f>
        <v>16.670.085/0001-55</v>
      </c>
      <c r="C59" s="6" t="s">
        <v>4</v>
      </c>
      <c r="D59" s="13" t="s">
        <v>3235</v>
      </c>
      <c r="E59" s="13" t="s">
        <v>3248</v>
      </c>
    </row>
    <row r="60" spans="1:5" ht="12" x14ac:dyDescent="0.25">
      <c r="A60" s="4" t="s">
        <v>455</v>
      </c>
      <c r="B60" s="5" t="str">
        <f>VLOOKUP($A60,'Relação de NF''s'!$E:$G,3,0)</f>
        <v>10.158.356/0001-01</v>
      </c>
      <c r="C60" s="6" t="s">
        <v>4</v>
      </c>
      <c r="D60" s="13" t="s">
        <v>3242</v>
      </c>
      <c r="E60" s="13" t="s">
        <v>3249</v>
      </c>
    </row>
    <row r="61" spans="1:5" ht="12" x14ac:dyDescent="0.25">
      <c r="A61" s="4" t="s">
        <v>460</v>
      </c>
      <c r="B61" s="5" t="str">
        <f>VLOOKUP($A61,'Relação de NF''s'!$E:$G,3,0)</f>
        <v>11.384.025/0001-52</v>
      </c>
      <c r="C61" s="6" t="s">
        <v>4</v>
      </c>
      <c r="D61" s="13" t="s">
        <v>3242</v>
      </c>
      <c r="E61" s="13" t="s">
        <v>3249</v>
      </c>
    </row>
    <row r="62" spans="1:5" ht="12" x14ac:dyDescent="0.25">
      <c r="A62" s="4" t="s">
        <v>499</v>
      </c>
      <c r="B62" s="5" t="str">
        <f>VLOOKUP($A62,'Relação de NF''s'!$E:$G,3,0)</f>
        <v>41.810.094/0001-41</v>
      </c>
      <c r="C62" s="6" t="s">
        <v>4</v>
      </c>
      <c r="D62" s="13" t="s">
        <v>3250</v>
      </c>
      <c r="E62" s="13" t="s">
        <v>3255</v>
      </c>
    </row>
    <row r="63" spans="1:5" ht="12" x14ac:dyDescent="0.25">
      <c r="A63" s="4" t="s">
        <v>553</v>
      </c>
      <c r="B63" s="5" t="str">
        <f>VLOOKUP($A63,'Relação de NF''s'!$E:$G,3,0)</f>
        <v>20.590.353/0001-04</v>
      </c>
      <c r="C63" s="6" t="s">
        <v>4</v>
      </c>
      <c r="D63" s="13" t="s">
        <v>3250</v>
      </c>
      <c r="E63" s="13" t="s">
        <v>3255</v>
      </c>
    </row>
    <row r="64" spans="1:5" ht="12" x14ac:dyDescent="0.25">
      <c r="A64" s="4" t="s">
        <v>560</v>
      </c>
      <c r="B64" s="5" t="str">
        <f>VLOOKUP($A64,'Relação de NF''s'!$E:$G,3,0)</f>
        <v>33.190.461/0001-23</v>
      </c>
      <c r="C64" s="6" t="s">
        <v>4</v>
      </c>
      <c r="D64" s="13" t="s">
        <v>3242</v>
      </c>
      <c r="E64" s="13" t="s">
        <v>3243</v>
      </c>
    </row>
    <row r="65" spans="1:5" ht="12" x14ac:dyDescent="0.25">
      <c r="A65" s="4" t="s">
        <v>581</v>
      </c>
      <c r="B65" s="5" t="str">
        <f>VLOOKUP($A65,'Relação de NF''s'!$E:$G,3,0)</f>
        <v>53.649.555/0001-25</v>
      </c>
      <c r="C65" s="6" t="s">
        <v>4</v>
      </c>
      <c r="D65" s="13" t="s">
        <v>3242</v>
      </c>
      <c r="E65" s="13" t="s">
        <v>3249</v>
      </c>
    </row>
    <row r="66" spans="1:5" ht="12" x14ac:dyDescent="0.25">
      <c r="A66" s="4" t="s">
        <v>597</v>
      </c>
      <c r="B66" s="5" t="str">
        <f>VLOOKUP($A66,'Relação de NF''s'!$E:$G,3,0)</f>
        <v>36.396.525/0001-35</v>
      </c>
      <c r="C66" s="6" t="s">
        <v>4</v>
      </c>
      <c r="D66" s="13" t="s">
        <v>3242</v>
      </c>
      <c r="E66" s="13" t="s">
        <v>3249</v>
      </c>
    </row>
    <row r="67" spans="1:5" ht="12" x14ac:dyDescent="0.25">
      <c r="A67" s="4" t="s">
        <v>717</v>
      </c>
      <c r="B67" s="5" t="str">
        <f>VLOOKUP($A67,'Relação de NF''s'!$E:$G,3,0)</f>
        <v>53.633.121/0001-37</v>
      </c>
      <c r="C67" s="6" t="s">
        <v>4</v>
      </c>
      <c r="D67" s="13" t="s">
        <v>3250</v>
      </c>
      <c r="E67" s="13" t="s">
        <v>3252</v>
      </c>
    </row>
    <row r="68" spans="1:5" ht="12" x14ac:dyDescent="0.25">
      <c r="A68" s="4" t="s">
        <v>781</v>
      </c>
      <c r="B68" s="5" t="str">
        <f>VLOOKUP($A68,'Relação de NF''s'!$E:$G,3,0)</f>
        <v>11.543.764/0001-40</v>
      </c>
      <c r="C68" s="6" t="s">
        <v>4</v>
      </c>
      <c r="D68" s="13" t="s">
        <v>3223</v>
      </c>
      <c r="E68" s="13" t="s">
        <v>3223</v>
      </c>
    </row>
    <row r="69" spans="1:5" ht="12" x14ac:dyDescent="0.25">
      <c r="A69" s="4" t="s">
        <v>812</v>
      </c>
      <c r="B69" s="5" t="str">
        <f>VLOOKUP($A69,'Relação de NF''s'!$E:$G,3,0)</f>
        <v>34.872.658/0001-05</v>
      </c>
      <c r="C69" s="6" t="s">
        <v>4</v>
      </c>
      <c r="D69" s="13" t="s">
        <v>3250</v>
      </c>
      <c r="E69" s="13" t="s">
        <v>3252</v>
      </c>
    </row>
    <row r="70" spans="1:5" ht="12" x14ac:dyDescent="0.25">
      <c r="A70" s="4" t="s">
        <v>825</v>
      </c>
      <c r="B70" s="5" t="str">
        <f>VLOOKUP($A70,'Relação de NF''s'!$E:$G,3,0)</f>
        <v>59.483.605/0001-23</v>
      </c>
      <c r="C70" s="6" t="s">
        <v>4</v>
      </c>
      <c r="D70" s="13" t="s">
        <v>3242</v>
      </c>
      <c r="E70" s="13" t="s">
        <v>3249</v>
      </c>
    </row>
    <row r="71" spans="1:5" ht="12" x14ac:dyDescent="0.25">
      <c r="A71" s="4" t="s">
        <v>845</v>
      </c>
      <c r="B71" s="5" t="str">
        <f>VLOOKUP($A71,'Relação de NF''s'!$E:$G,3,0)</f>
        <v>41.736.221/0001-00</v>
      </c>
      <c r="C71" s="6" t="s">
        <v>4</v>
      </c>
      <c r="D71" s="13" t="s">
        <v>3223</v>
      </c>
      <c r="E71" s="13" t="s">
        <v>3223</v>
      </c>
    </row>
    <row r="72" spans="1:5" ht="12" x14ac:dyDescent="0.25">
      <c r="A72" s="4" t="s">
        <v>869</v>
      </c>
      <c r="B72" s="5" t="str">
        <f>VLOOKUP($A72,'Relação de NF''s'!$E:$G,3,0)</f>
        <v>13.937.011/0001-44</v>
      </c>
      <c r="C72" s="6" t="s">
        <v>4</v>
      </c>
      <c r="D72" s="13" t="s">
        <v>3250</v>
      </c>
      <c r="E72" s="13" t="s">
        <v>3236</v>
      </c>
    </row>
    <row r="73" spans="1:5" ht="12" x14ac:dyDescent="0.25">
      <c r="A73" s="4" t="s">
        <v>876</v>
      </c>
      <c r="B73" s="5" t="str">
        <f>VLOOKUP($A73,'Relação de NF''s'!$E:$G,3,0)</f>
        <v>01.994.951/0019-15</v>
      </c>
      <c r="C73" s="6" t="s">
        <v>4</v>
      </c>
      <c r="D73" s="13" t="s">
        <v>3242</v>
      </c>
      <c r="E73" s="13" t="s">
        <v>3243</v>
      </c>
    </row>
    <row r="74" spans="1:5" ht="12" x14ac:dyDescent="0.25">
      <c r="A74" s="4" t="s">
        <v>130</v>
      </c>
      <c r="B74" s="5" t="str">
        <f>VLOOKUP($A74,'Relação de NF''s'!$E:$G,3,0)</f>
        <v>16.782.369/0001-33</v>
      </c>
      <c r="C74" s="6" t="s">
        <v>4</v>
      </c>
      <c r="D74" s="13" t="s">
        <v>3242</v>
      </c>
      <c r="E74" s="13" t="s">
        <v>3249</v>
      </c>
    </row>
    <row r="75" spans="1:5" ht="12" x14ac:dyDescent="0.25">
      <c r="A75" s="4" t="s">
        <v>5</v>
      </c>
      <c r="B75" s="5"/>
      <c r="C75" s="6" t="s">
        <v>6</v>
      </c>
      <c r="D75" s="13" t="s">
        <v>3261</v>
      </c>
      <c r="E75" s="13" t="s">
        <v>3261</v>
      </c>
    </row>
    <row r="76" spans="1:5" ht="12" x14ac:dyDescent="0.25">
      <c r="A76" s="4" t="s">
        <v>7</v>
      </c>
      <c r="B76" s="5"/>
      <c r="C76" s="6" t="s">
        <v>6</v>
      </c>
      <c r="D76" s="13" t="s">
        <v>3261</v>
      </c>
      <c r="E76" s="13" t="s">
        <v>3261</v>
      </c>
    </row>
    <row r="77" spans="1:5" ht="12" x14ac:dyDescent="0.25">
      <c r="A77" s="4" t="s">
        <v>8</v>
      </c>
      <c r="B77" s="5"/>
      <c r="C77" s="6" t="s">
        <v>6</v>
      </c>
      <c r="D77" s="13" t="s">
        <v>3261</v>
      </c>
      <c r="E77" s="13" t="s">
        <v>3261</v>
      </c>
    </row>
    <row r="78" spans="1:5" ht="12" x14ac:dyDescent="0.25">
      <c r="A78" s="4" t="s">
        <v>9</v>
      </c>
      <c r="B78" s="5"/>
      <c r="C78" s="6" t="s">
        <v>6</v>
      </c>
      <c r="D78" s="13" t="s">
        <v>3261</v>
      </c>
      <c r="E78" s="13" t="s">
        <v>3261</v>
      </c>
    </row>
    <row r="79" spans="1:5" ht="12" x14ac:dyDescent="0.25">
      <c r="A79" s="4" t="s">
        <v>10</v>
      </c>
      <c r="B79" s="5"/>
      <c r="C79" s="6" t="s">
        <v>6</v>
      </c>
      <c r="D79" s="13" t="s">
        <v>3261</v>
      </c>
      <c r="E79" s="13" t="s">
        <v>3261</v>
      </c>
    </row>
    <row r="80" spans="1:5" ht="12" x14ac:dyDescent="0.25">
      <c r="A80" s="4" t="s">
        <v>11</v>
      </c>
      <c r="B80" s="5"/>
      <c r="C80" s="6" t="s">
        <v>6</v>
      </c>
      <c r="D80" s="13" t="s">
        <v>3261</v>
      </c>
      <c r="E80" s="13" t="s">
        <v>3261</v>
      </c>
    </row>
    <row r="81" spans="1:5" ht="12" x14ac:dyDescent="0.25">
      <c r="A81" s="4" t="s">
        <v>12</v>
      </c>
      <c r="B81" s="5"/>
      <c r="C81" s="6" t="s">
        <v>6</v>
      </c>
      <c r="D81" s="13" t="s">
        <v>3261</v>
      </c>
      <c r="E81" s="13" t="s">
        <v>3261</v>
      </c>
    </row>
    <row r="82" spans="1:5" ht="12" x14ac:dyDescent="0.25">
      <c r="A82" s="4" t="s">
        <v>13</v>
      </c>
      <c r="B82" s="5"/>
      <c r="C82" s="6" t="s">
        <v>6</v>
      </c>
      <c r="D82" s="13" t="s">
        <v>3261</v>
      </c>
      <c r="E82" s="13" t="s">
        <v>3261</v>
      </c>
    </row>
    <row r="83" spans="1:5" ht="12" x14ac:dyDescent="0.25">
      <c r="A83" s="4" t="s">
        <v>14</v>
      </c>
      <c r="B83" s="5"/>
      <c r="C83" s="6" t="s">
        <v>6</v>
      </c>
      <c r="D83" s="13" t="s">
        <v>3261</v>
      </c>
      <c r="E83" s="13" t="s">
        <v>3261</v>
      </c>
    </row>
    <row r="84" spans="1:5" ht="12" x14ac:dyDescent="0.25">
      <c r="A84" s="4" t="s">
        <v>15</v>
      </c>
      <c r="B84" s="5"/>
      <c r="C84" s="6" t="s">
        <v>6</v>
      </c>
      <c r="D84" s="13" t="s">
        <v>3261</v>
      </c>
      <c r="E84" s="13" t="s">
        <v>3261</v>
      </c>
    </row>
    <row r="85" spans="1:5" ht="12" x14ac:dyDescent="0.25">
      <c r="A85" s="4" t="s">
        <v>17</v>
      </c>
      <c r="B85" s="5"/>
      <c r="C85" s="6" t="s">
        <v>6</v>
      </c>
      <c r="D85" s="13" t="s">
        <v>3261</v>
      </c>
      <c r="E85" s="13" t="s">
        <v>3261</v>
      </c>
    </row>
    <row r="86" spans="1:5" ht="12" x14ac:dyDescent="0.25">
      <c r="A86" s="4" t="s">
        <v>19</v>
      </c>
      <c r="B86" s="5"/>
      <c r="C86" s="6" t="s">
        <v>6</v>
      </c>
      <c r="D86" s="13" t="s">
        <v>3261</v>
      </c>
      <c r="E86" s="13" t="s">
        <v>3261</v>
      </c>
    </row>
    <row r="87" spans="1:5" ht="12" x14ac:dyDescent="0.25">
      <c r="A87" s="4" t="s">
        <v>20</v>
      </c>
      <c r="B87" s="5"/>
      <c r="C87" s="6" t="s">
        <v>6</v>
      </c>
      <c r="D87" s="13" t="s">
        <v>3261</v>
      </c>
      <c r="E87" s="13" t="s">
        <v>3261</v>
      </c>
    </row>
    <row r="88" spans="1:5" ht="12" x14ac:dyDescent="0.25">
      <c r="A88" s="4" t="s">
        <v>28</v>
      </c>
      <c r="B88" s="5"/>
      <c r="C88" s="6" t="s">
        <v>6</v>
      </c>
      <c r="D88" s="13" t="s">
        <v>3261</v>
      </c>
      <c r="E88" s="13" t="s">
        <v>3261</v>
      </c>
    </row>
    <row r="89" spans="1:5" ht="12" x14ac:dyDescent="0.25">
      <c r="A89" s="4" t="s">
        <v>29</v>
      </c>
      <c r="B89" s="5"/>
      <c r="C89" s="6" t="s">
        <v>6</v>
      </c>
      <c r="D89" s="13" t="s">
        <v>3261</v>
      </c>
      <c r="E89" s="13" t="s">
        <v>3261</v>
      </c>
    </row>
    <row r="90" spans="1:5" ht="12" x14ac:dyDescent="0.25">
      <c r="A90" s="4" t="s">
        <v>30</v>
      </c>
      <c r="B90" s="5"/>
      <c r="C90" s="6" t="s">
        <v>6</v>
      </c>
      <c r="D90" s="13" t="s">
        <v>3261</v>
      </c>
      <c r="E90" s="13" t="s">
        <v>3261</v>
      </c>
    </row>
    <row r="91" spans="1:5" ht="12" x14ac:dyDescent="0.25">
      <c r="A91" s="4" t="s">
        <v>31</v>
      </c>
      <c r="B91" s="5"/>
      <c r="C91" s="6" t="s">
        <v>6</v>
      </c>
      <c r="D91" s="13" t="s">
        <v>3261</v>
      </c>
      <c r="E91" s="13" t="s">
        <v>3261</v>
      </c>
    </row>
    <row r="92" spans="1:5" ht="12" x14ac:dyDescent="0.25">
      <c r="A92" s="4" t="s">
        <v>32</v>
      </c>
      <c r="B92" s="5"/>
      <c r="C92" s="6" t="s">
        <v>6</v>
      </c>
      <c r="D92" s="13" t="s">
        <v>3261</v>
      </c>
      <c r="E92" s="13" t="s">
        <v>3261</v>
      </c>
    </row>
    <row r="93" spans="1:5" ht="12" x14ac:dyDescent="0.25">
      <c r="A93" s="4" t="s">
        <v>33</v>
      </c>
      <c r="B93" s="5"/>
      <c r="C93" s="6" t="s">
        <v>6</v>
      </c>
      <c r="D93" s="13" t="s">
        <v>3261</v>
      </c>
      <c r="E93" s="13" t="s">
        <v>3261</v>
      </c>
    </row>
    <row r="94" spans="1:5" ht="12" x14ac:dyDescent="0.25">
      <c r="A94" s="4" t="s">
        <v>36</v>
      </c>
      <c r="B94" s="5"/>
      <c r="C94" s="6" t="s">
        <v>6</v>
      </c>
      <c r="D94" s="13" t="s">
        <v>3261</v>
      </c>
      <c r="E94" s="13" t="s">
        <v>3261</v>
      </c>
    </row>
    <row r="95" spans="1:5" ht="12" x14ac:dyDescent="0.25">
      <c r="A95" s="4" t="s">
        <v>37</v>
      </c>
      <c r="B95" s="5"/>
      <c r="C95" s="6" t="s">
        <v>6</v>
      </c>
      <c r="D95" s="13" t="s">
        <v>3261</v>
      </c>
      <c r="E95" s="13" t="s">
        <v>3261</v>
      </c>
    </row>
    <row r="96" spans="1:5" ht="12" x14ac:dyDescent="0.25">
      <c r="A96" s="4" t="s">
        <v>39</v>
      </c>
      <c r="B96" s="5"/>
      <c r="C96" s="6" t="s">
        <v>6</v>
      </c>
      <c r="D96" s="13" t="s">
        <v>3261</v>
      </c>
      <c r="E96" s="13" t="s">
        <v>3261</v>
      </c>
    </row>
    <row r="97" spans="1:5" ht="12" x14ac:dyDescent="0.25">
      <c r="A97" s="4" t="s">
        <v>40</v>
      </c>
      <c r="B97" s="5"/>
      <c r="C97" s="6" t="s">
        <v>6</v>
      </c>
      <c r="D97" s="13" t="s">
        <v>3261</v>
      </c>
      <c r="E97" s="13" t="s">
        <v>3261</v>
      </c>
    </row>
    <row r="98" spans="1:5" ht="12" x14ac:dyDescent="0.25">
      <c r="A98" s="4" t="s">
        <v>43</v>
      </c>
      <c r="B98" s="5"/>
      <c r="C98" s="6" t="s">
        <v>6</v>
      </c>
      <c r="D98" s="13" t="s">
        <v>3261</v>
      </c>
      <c r="E98" s="13" t="s">
        <v>3261</v>
      </c>
    </row>
    <row r="99" spans="1:5" ht="12" x14ac:dyDescent="0.25">
      <c r="A99" s="4" t="s">
        <v>45</v>
      </c>
      <c r="B99" s="5"/>
      <c r="C99" s="6" t="s">
        <v>6</v>
      </c>
      <c r="D99" s="13" t="s">
        <v>3261</v>
      </c>
      <c r="E99" s="13" t="s">
        <v>3261</v>
      </c>
    </row>
    <row r="100" spans="1:5" ht="12" x14ac:dyDescent="0.25">
      <c r="A100" s="4" t="s">
        <v>46</v>
      </c>
      <c r="B100" s="5"/>
      <c r="C100" s="6" t="s">
        <v>6</v>
      </c>
      <c r="D100" s="13" t="s">
        <v>3261</v>
      </c>
      <c r="E100" s="13" t="s">
        <v>3261</v>
      </c>
    </row>
    <row r="101" spans="1:5" ht="12" x14ac:dyDescent="0.25">
      <c r="A101" s="4" t="s">
        <v>47</v>
      </c>
      <c r="B101" s="5"/>
      <c r="C101" s="6" t="s">
        <v>6</v>
      </c>
      <c r="D101" s="13" t="s">
        <v>3261</v>
      </c>
      <c r="E101" s="13" t="s">
        <v>3261</v>
      </c>
    </row>
    <row r="102" spans="1:5" ht="12" x14ac:dyDescent="0.25">
      <c r="A102" s="4" t="s">
        <v>48</v>
      </c>
      <c r="B102" s="5"/>
      <c r="C102" s="6" t="s">
        <v>6</v>
      </c>
      <c r="D102" s="13" t="s">
        <v>3261</v>
      </c>
      <c r="E102" s="13" t="s">
        <v>3261</v>
      </c>
    </row>
    <row r="103" spans="1:5" ht="12" x14ac:dyDescent="0.25">
      <c r="A103" s="4" t="s">
        <v>50</v>
      </c>
      <c r="B103" s="5"/>
      <c r="C103" s="6" t="s">
        <v>6</v>
      </c>
      <c r="D103" s="13" t="s">
        <v>3261</v>
      </c>
      <c r="E103" s="13" t="s">
        <v>3261</v>
      </c>
    </row>
    <row r="104" spans="1:5" ht="12" x14ac:dyDescent="0.25">
      <c r="A104" s="4" t="s">
        <v>51</v>
      </c>
      <c r="B104" s="5"/>
      <c r="C104" s="6" t="s">
        <v>6</v>
      </c>
      <c r="D104" s="13" t="s">
        <v>3261</v>
      </c>
      <c r="E104" s="13" t="s">
        <v>3261</v>
      </c>
    </row>
    <row r="105" spans="1:5" ht="12" x14ac:dyDescent="0.25">
      <c r="A105" s="4" t="s">
        <v>52</v>
      </c>
      <c r="B105" s="5"/>
      <c r="C105" s="6" t="s">
        <v>6</v>
      </c>
      <c r="D105" s="13" t="s">
        <v>3261</v>
      </c>
      <c r="E105" s="13" t="s">
        <v>3261</v>
      </c>
    </row>
    <row r="106" spans="1:5" ht="12" x14ac:dyDescent="0.25">
      <c r="A106" s="4" t="s">
        <v>54</v>
      </c>
      <c r="B106" s="5"/>
      <c r="C106" s="6" t="s">
        <v>6</v>
      </c>
      <c r="D106" s="13" t="s">
        <v>3261</v>
      </c>
      <c r="E106" s="13" t="s">
        <v>3261</v>
      </c>
    </row>
    <row r="107" spans="1:5" ht="12" x14ac:dyDescent="0.25">
      <c r="A107" s="4" t="s">
        <v>56</v>
      </c>
      <c r="B107" s="5"/>
      <c r="C107" s="6" t="s">
        <v>6</v>
      </c>
      <c r="D107" s="13" t="s">
        <v>3261</v>
      </c>
      <c r="E107" s="13" t="s">
        <v>3261</v>
      </c>
    </row>
    <row r="108" spans="1:5" ht="12" x14ac:dyDescent="0.25">
      <c r="A108" s="4" t="s">
        <v>57</v>
      </c>
      <c r="B108" s="5"/>
      <c r="C108" s="6" t="s">
        <v>6</v>
      </c>
      <c r="D108" s="13" t="s">
        <v>3261</v>
      </c>
      <c r="E108" s="13" t="s">
        <v>3261</v>
      </c>
    </row>
    <row r="109" spans="1:5" ht="12" x14ac:dyDescent="0.25">
      <c r="A109" s="4" t="s">
        <v>58</v>
      </c>
      <c r="B109" s="5"/>
      <c r="C109" s="6" t="s">
        <v>6</v>
      </c>
      <c r="D109" s="13" t="s">
        <v>3261</v>
      </c>
      <c r="E109" s="13" t="s">
        <v>3261</v>
      </c>
    </row>
    <row r="110" spans="1:5" ht="12" x14ac:dyDescent="0.25">
      <c r="A110" s="4" t="s">
        <v>59</v>
      </c>
      <c r="B110" s="5"/>
      <c r="C110" s="6" t="s">
        <v>6</v>
      </c>
      <c r="D110" s="13" t="s">
        <v>3261</v>
      </c>
      <c r="E110" s="13" t="s">
        <v>3261</v>
      </c>
    </row>
    <row r="111" spans="1:5" ht="12" x14ac:dyDescent="0.25">
      <c r="A111" s="4" t="s">
        <v>60</v>
      </c>
      <c r="B111" s="5"/>
      <c r="C111" s="6" t="s">
        <v>6</v>
      </c>
      <c r="D111" s="13" t="s">
        <v>3261</v>
      </c>
      <c r="E111" s="13" t="s">
        <v>3261</v>
      </c>
    </row>
    <row r="112" spans="1:5" ht="12" x14ac:dyDescent="0.25">
      <c r="A112" s="4" t="s">
        <v>61</v>
      </c>
      <c r="B112" s="5"/>
      <c r="C112" s="6" t="s">
        <v>6</v>
      </c>
      <c r="D112" s="13" t="s">
        <v>3261</v>
      </c>
      <c r="E112" s="13" t="s">
        <v>3261</v>
      </c>
    </row>
    <row r="113" spans="1:5" ht="12" x14ac:dyDescent="0.25">
      <c r="A113" s="4" t="s">
        <v>62</v>
      </c>
      <c r="B113" s="5"/>
      <c r="C113" s="6" t="s">
        <v>6</v>
      </c>
      <c r="D113" s="13" t="s">
        <v>3261</v>
      </c>
      <c r="E113" s="13" t="s">
        <v>3261</v>
      </c>
    </row>
    <row r="114" spans="1:5" ht="12" x14ac:dyDescent="0.25">
      <c r="A114" s="4" t="s">
        <v>64</v>
      </c>
      <c r="B114" s="5"/>
      <c r="C114" s="6" t="s">
        <v>6</v>
      </c>
      <c r="D114" s="13" t="s">
        <v>3261</v>
      </c>
      <c r="E114" s="13" t="s">
        <v>3261</v>
      </c>
    </row>
    <row r="115" spans="1:5" ht="12" x14ac:dyDescent="0.25">
      <c r="A115" s="4" t="s">
        <v>65</v>
      </c>
      <c r="B115" s="5"/>
      <c r="C115" s="6" t="s">
        <v>6</v>
      </c>
      <c r="D115" s="13" t="s">
        <v>3261</v>
      </c>
      <c r="E115" s="13" t="s">
        <v>3261</v>
      </c>
    </row>
    <row r="116" spans="1:5" ht="12" x14ac:dyDescent="0.25">
      <c r="A116" s="4" t="s">
        <v>66</v>
      </c>
      <c r="B116" s="5"/>
      <c r="C116" s="6" t="s">
        <v>6</v>
      </c>
      <c r="D116" s="13" t="s">
        <v>3261</v>
      </c>
      <c r="E116" s="13" t="s">
        <v>3261</v>
      </c>
    </row>
    <row r="117" spans="1:5" ht="12" x14ac:dyDescent="0.25">
      <c r="A117" s="4" t="s">
        <v>68</v>
      </c>
      <c r="B117" s="5"/>
      <c r="C117" s="6" t="s">
        <v>6</v>
      </c>
      <c r="D117" s="13" t="s">
        <v>3261</v>
      </c>
      <c r="E117" s="13" t="s">
        <v>3261</v>
      </c>
    </row>
    <row r="118" spans="1:5" ht="12" x14ac:dyDescent="0.25">
      <c r="A118" s="4" t="s">
        <v>69</v>
      </c>
      <c r="B118" s="5"/>
      <c r="C118" s="6" t="s">
        <v>6</v>
      </c>
      <c r="D118" s="13" t="s">
        <v>3261</v>
      </c>
      <c r="E118" s="13" t="s">
        <v>3261</v>
      </c>
    </row>
    <row r="119" spans="1:5" ht="12" x14ac:dyDescent="0.25">
      <c r="A119" s="4" t="s">
        <v>71</v>
      </c>
      <c r="B119" s="5"/>
      <c r="C119" s="6" t="s">
        <v>6</v>
      </c>
      <c r="D119" s="13" t="s">
        <v>3261</v>
      </c>
      <c r="E119" s="13" t="s">
        <v>3261</v>
      </c>
    </row>
    <row r="120" spans="1:5" ht="12" x14ac:dyDescent="0.25">
      <c r="A120" s="4" t="s">
        <v>72</v>
      </c>
      <c r="B120" s="5"/>
      <c r="C120" s="6" t="s">
        <v>6</v>
      </c>
      <c r="D120" s="13" t="s">
        <v>3261</v>
      </c>
      <c r="E120" s="13" t="s">
        <v>3261</v>
      </c>
    </row>
    <row r="121" spans="1:5" ht="12" x14ac:dyDescent="0.25">
      <c r="A121" s="4" t="s">
        <v>73</v>
      </c>
      <c r="B121" s="5"/>
      <c r="C121" s="6" t="s">
        <v>6</v>
      </c>
      <c r="D121" s="13" t="s">
        <v>3261</v>
      </c>
      <c r="E121" s="13" t="s">
        <v>3261</v>
      </c>
    </row>
    <row r="122" spans="1:5" ht="12" x14ac:dyDescent="0.25">
      <c r="A122" s="4" t="s">
        <v>74</v>
      </c>
      <c r="B122" s="5"/>
      <c r="C122" s="6" t="s">
        <v>6</v>
      </c>
      <c r="D122" s="13" t="s">
        <v>3261</v>
      </c>
      <c r="E122" s="13" t="s">
        <v>3261</v>
      </c>
    </row>
    <row r="123" spans="1:5" ht="12" x14ac:dyDescent="0.25">
      <c r="A123" s="4" t="s">
        <v>78</v>
      </c>
      <c r="B123" s="5"/>
      <c r="C123" s="6" t="s">
        <v>6</v>
      </c>
      <c r="D123" s="13" t="s">
        <v>3261</v>
      </c>
      <c r="E123" s="13" t="s">
        <v>3261</v>
      </c>
    </row>
    <row r="124" spans="1:5" ht="12" x14ac:dyDescent="0.25">
      <c r="A124" s="4" t="s">
        <v>79</v>
      </c>
      <c r="B124" s="5"/>
      <c r="C124" s="6" t="s">
        <v>6</v>
      </c>
      <c r="D124" s="13" t="s">
        <v>3261</v>
      </c>
      <c r="E124" s="13" t="s">
        <v>3261</v>
      </c>
    </row>
    <row r="125" spans="1:5" ht="12" x14ac:dyDescent="0.25">
      <c r="A125" s="4" t="s">
        <v>82</v>
      </c>
      <c r="B125" s="5"/>
      <c r="C125" s="6" t="s">
        <v>6</v>
      </c>
      <c r="D125" s="13" t="s">
        <v>3261</v>
      </c>
      <c r="E125" s="13" t="s">
        <v>3261</v>
      </c>
    </row>
    <row r="126" spans="1:5" ht="12" x14ac:dyDescent="0.25">
      <c r="A126" s="4" t="s">
        <v>83</v>
      </c>
      <c r="B126" s="5"/>
      <c r="C126" s="6" t="s">
        <v>6</v>
      </c>
      <c r="D126" s="13" t="s">
        <v>3261</v>
      </c>
      <c r="E126" s="13" t="s">
        <v>3261</v>
      </c>
    </row>
    <row r="127" spans="1:5" ht="12" x14ac:dyDescent="0.25">
      <c r="A127" s="4" t="s">
        <v>84</v>
      </c>
      <c r="B127" s="5"/>
      <c r="C127" s="6" t="s">
        <v>6</v>
      </c>
      <c r="D127" s="13" t="s">
        <v>3261</v>
      </c>
      <c r="E127" s="13" t="s">
        <v>3261</v>
      </c>
    </row>
    <row r="128" spans="1:5" ht="12" x14ac:dyDescent="0.25">
      <c r="A128" s="4" t="s">
        <v>86</v>
      </c>
      <c r="B128" s="5"/>
      <c r="C128" s="6" t="s">
        <v>6</v>
      </c>
      <c r="D128" s="13" t="s">
        <v>3261</v>
      </c>
      <c r="E128" s="13" t="s">
        <v>3261</v>
      </c>
    </row>
    <row r="129" spans="1:5" ht="12" x14ac:dyDescent="0.25">
      <c r="A129" s="4" t="s">
        <v>87</v>
      </c>
      <c r="B129" s="5"/>
      <c r="C129" s="6" t="s">
        <v>6</v>
      </c>
      <c r="D129" s="13" t="s">
        <v>3261</v>
      </c>
      <c r="E129" s="13" t="s">
        <v>3261</v>
      </c>
    </row>
    <row r="130" spans="1:5" ht="12" x14ac:dyDescent="0.25">
      <c r="A130" s="4" t="s">
        <v>88</v>
      </c>
      <c r="B130" s="5"/>
      <c r="C130" s="6" t="s">
        <v>6</v>
      </c>
      <c r="D130" s="13" t="s">
        <v>3261</v>
      </c>
      <c r="E130" s="13" t="s">
        <v>3261</v>
      </c>
    </row>
    <row r="131" spans="1:5" ht="12" x14ac:dyDescent="0.25">
      <c r="A131" s="4" t="s">
        <v>89</v>
      </c>
      <c r="B131" s="5"/>
      <c r="C131" s="6" t="s">
        <v>6</v>
      </c>
      <c r="D131" s="13" t="s">
        <v>3261</v>
      </c>
      <c r="E131" s="13" t="s">
        <v>3261</v>
      </c>
    </row>
    <row r="132" spans="1:5" ht="12" x14ac:dyDescent="0.25">
      <c r="A132" s="4" t="s">
        <v>90</v>
      </c>
      <c r="B132" s="5"/>
      <c r="C132" s="6" t="s">
        <v>6</v>
      </c>
      <c r="D132" s="13" t="s">
        <v>3261</v>
      </c>
      <c r="E132" s="13" t="s">
        <v>3261</v>
      </c>
    </row>
    <row r="133" spans="1:5" ht="12" x14ac:dyDescent="0.25">
      <c r="A133" s="4" t="s">
        <v>91</v>
      </c>
      <c r="B133" s="5"/>
      <c r="C133" s="6" t="s">
        <v>6</v>
      </c>
      <c r="D133" s="13" t="s">
        <v>3261</v>
      </c>
      <c r="E133" s="13" t="s">
        <v>3261</v>
      </c>
    </row>
    <row r="134" spans="1:5" ht="12" x14ac:dyDescent="0.25">
      <c r="A134" s="4" t="s">
        <v>93</v>
      </c>
      <c r="B134" s="5"/>
      <c r="C134" s="6" t="s">
        <v>6</v>
      </c>
      <c r="D134" s="13" t="s">
        <v>3261</v>
      </c>
      <c r="E134" s="13" t="s">
        <v>3261</v>
      </c>
    </row>
    <row r="135" spans="1:5" ht="12" x14ac:dyDescent="0.25">
      <c r="A135" s="4" t="s">
        <v>94</v>
      </c>
      <c r="B135" s="5"/>
      <c r="C135" s="6" t="s">
        <v>6</v>
      </c>
      <c r="D135" s="13" t="s">
        <v>3261</v>
      </c>
      <c r="E135" s="13" t="s">
        <v>3261</v>
      </c>
    </row>
    <row r="136" spans="1:5" ht="12" x14ac:dyDescent="0.25">
      <c r="A136" s="4" t="s">
        <v>95</v>
      </c>
      <c r="B136" s="5"/>
      <c r="C136" s="6" t="s">
        <v>6</v>
      </c>
      <c r="D136" s="13" t="s">
        <v>3261</v>
      </c>
      <c r="E136" s="13" t="s">
        <v>3261</v>
      </c>
    </row>
    <row r="137" spans="1:5" ht="12" x14ac:dyDescent="0.25">
      <c r="A137" s="4" t="s">
        <v>96</v>
      </c>
      <c r="B137" s="5"/>
      <c r="C137" s="6" t="s">
        <v>6</v>
      </c>
      <c r="D137" s="13" t="s">
        <v>3261</v>
      </c>
      <c r="E137" s="13" t="s">
        <v>3261</v>
      </c>
    </row>
    <row r="138" spans="1:5" ht="12" x14ac:dyDescent="0.25">
      <c r="A138" s="4" t="s">
        <v>97</v>
      </c>
      <c r="B138" s="5"/>
      <c r="C138" s="6" t="s">
        <v>6</v>
      </c>
      <c r="D138" s="13" t="s">
        <v>3261</v>
      </c>
      <c r="E138" s="13" t="s">
        <v>3261</v>
      </c>
    </row>
    <row r="139" spans="1:5" ht="12" x14ac:dyDescent="0.25">
      <c r="A139" s="4" t="s">
        <v>98</v>
      </c>
      <c r="B139" s="5"/>
      <c r="C139" s="6" t="s">
        <v>6</v>
      </c>
      <c r="D139" s="13" t="s">
        <v>3261</v>
      </c>
      <c r="E139" s="13" t="s">
        <v>3261</v>
      </c>
    </row>
    <row r="140" spans="1:5" ht="12" x14ac:dyDescent="0.25">
      <c r="A140" s="4" t="s">
        <v>99</v>
      </c>
      <c r="B140" s="5"/>
      <c r="C140" s="6" t="s">
        <v>6</v>
      </c>
      <c r="D140" s="13" t="s">
        <v>3261</v>
      </c>
      <c r="E140" s="13" t="s">
        <v>3261</v>
      </c>
    </row>
    <row r="141" spans="1:5" ht="12" x14ac:dyDescent="0.25">
      <c r="A141" s="4" t="s">
        <v>100</v>
      </c>
      <c r="B141" s="5"/>
      <c r="C141" s="6" t="s">
        <v>6</v>
      </c>
      <c r="D141" s="13" t="s">
        <v>3261</v>
      </c>
      <c r="E141" s="13" t="s">
        <v>3261</v>
      </c>
    </row>
    <row r="142" spans="1:5" ht="12" x14ac:dyDescent="0.25">
      <c r="A142" s="4" t="s">
        <v>101</v>
      </c>
      <c r="B142" s="5"/>
      <c r="C142" s="6" t="s">
        <v>6</v>
      </c>
      <c r="D142" s="13" t="s">
        <v>3261</v>
      </c>
      <c r="E142" s="13" t="s">
        <v>3261</v>
      </c>
    </row>
    <row r="143" spans="1:5" ht="12" x14ac:dyDescent="0.25">
      <c r="A143" s="4" t="s">
        <v>102</v>
      </c>
      <c r="B143" s="5"/>
      <c r="C143" s="6" t="s">
        <v>6</v>
      </c>
      <c r="D143" s="13" t="s">
        <v>3261</v>
      </c>
      <c r="E143" s="13" t="s">
        <v>3261</v>
      </c>
    </row>
    <row r="144" spans="1:5" ht="12" x14ac:dyDescent="0.25">
      <c r="A144" s="4" t="s">
        <v>103</v>
      </c>
      <c r="B144" s="5"/>
      <c r="C144" s="6" t="s">
        <v>6</v>
      </c>
      <c r="D144" s="13" t="s">
        <v>3261</v>
      </c>
      <c r="E144" s="13" t="s">
        <v>3261</v>
      </c>
    </row>
    <row r="145" spans="1:5" ht="12" x14ac:dyDescent="0.25">
      <c r="A145" s="4" t="s">
        <v>104</v>
      </c>
      <c r="B145" s="5"/>
      <c r="C145" s="6" t="s">
        <v>6</v>
      </c>
      <c r="D145" s="13" t="s">
        <v>3261</v>
      </c>
      <c r="E145" s="13" t="s">
        <v>3261</v>
      </c>
    </row>
    <row r="146" spans="1:5" ht="12" x14ac:dyDescent="0.25">
      <c r="A146" s="4" t="s">
        <v>105</v>
      </c>
      <c r="B146" s="5"/>
      <c r="C146" s="6" t="s">
        <v>6</v>
      </c>
      <c r="D146" s="13" t="s">
        <v>3261</v>
      </c>
      <c r="E146" s="13" t="s">
        <v>3261</v>
      </c>
    </row>
    <row r="147" spans="1:5" ht="12" x14ac:dyDescent="0.25">
      <c r="A147" s="4" t="s">
        <v>106</v>
      </c>
      <c r="B147" s="5"/>
      <c r="C147" s="6" t="s">
        <v>6</v>
      </c>
      <c r="D147" s="13" t="s">
        <v>3261</v>
      </c>
      <c r="E147" s="13" t="s">
        <v>3261</v>
      </c>
    </row>
    <row r="148" spans="1:5" ht="12" x14ac:dyDescent="0.25">
      <c r="A148" s="4" t="s">
        <v>107</v>
      </c>
      <c r="B148" s="5"/>
      <c r="C148" s="6" t="s">
        <v>6</v>
      </c>
      <c r="D148" s="13" t="s">
        <v>3261</v>
      </c>
      <c r="E148" s="13" t="s">
        <v>3261</v>
      </c>
    </row>
    <row r="149" spans="1:5" ht="12" x14ac:dyDescent="0.25">
      <c r="A149" s="4" t="s">
        <v>108</v>
      </c>
      <c r="B149" s="5"/>
      <c r="C149" s="6" t="s">
        <v>6</v>
      </c>
      <c r="D149" s="13" t="s">
        <v>3261</v>
      </c>
      <c r="E149" s="13" t="s">
        <v>3261</v>
      </c>
    </row>
    <row r="150" spans="1:5" ht="12" x14ac:dyDescent="0.25">
      <c r="A150" s="4" t="s">
        <v>110</v>
      </c>
      <c r="B150" s="5"/>
      <c r="C150" s="6" t="s">
        <v>6</v>
      </c>
      <c r="D150" s="13" t="s">
        <v>3261</v>
      </c>
      <c r="E150" s="13" t="s">
        <v>3261</v>
      </c>
    </row>
    <row r="151" spans="1:5" ht="12" x14ac:dyDescent="0.25">
      <c r="A151" s="4" t="s">
        <v>113</v>
      </c>
      <c r="B151" s="5"/>
      <c r="C151" s="6" t="s">
        <v>6</v>
      </c>
      <c r="D151" s="13" t="s">
        <v>3261</v>
      </c>
      <c r="E151" s="13" t="s">
        <v>3261</v>
      </c>
    </row>
    <row r="152" spans="1:5" ht="12" x14ac:dyDescent="0.25">
      <c r="A152" s="4" t="s">
        <v>114</v>
      </c>
      <c r="B152" s="5"/>
      <c r="C152" s="6" t="s">
        <v>6</v>
      </c>
      <c r="D152" s="13" t="s">
        <v>3261</v>
      </c>
      <c r="E152" s="13" t="s">
        <v>3261</v>
      </c>
    </row>
    <row r="153" spans="1:5" ht="12" x14ac:dyDescent="0.25">
      <c r="A153" s="4" t="s">
        <v>115</v>
      </c>
      <c r="B153" s="5"/>
      <c r="C153" s="6" t="s">
        <v>6</v>
      </c>
      <c r="D153" s="13" t="s">
        <v>3261</v>
      </c>
      <c r="E153" s="13" t="s">
        <v>3261</v>
      </c>
    </row>
    <row r="154" spans="1:5" ht="12" x14ac:dyDescent="0.25">
      <c r="A154" s="4" t="s">
        <v>116</v>
      </c>
      <c r="B154" s="5"/>
      <c r="C154" s="6" t="s">
        <v>6</v>
      </c>
      <c r="D154" s="13" t="s">
        <v>3261</v>
      </c>
      <c r="E154" s="13" t="s">
        <v>3261</v>
      </c>
    </row>
    <row r="155" spans="1:5" ht="12" x14ac:dyDescent="0.25">
      <c r="A155" s="4" t="s">
        <v>118</v>
      </c>
      <c r="B155" s="5"/>
      <c r="C155" s="6" t="s">
        <v>6</v>
      </c>
      <c r="D155" s="13" t="s">
        <v>3261</v>
      </c>
      <c r="E155" s="13" t="s">
        <v>3261</v>
      </c>
    </row>
    <row r="156" spans="1:5" ht="12" x14ac:dyDescent="0.25">
      <c r="A156" s="4" t="s">
        <v>119</v>
      </c>
      <c r="B156" s="5"/>
      <c r="C156" s="6" t="s">
        <v>6</v>
      </c>
      <c r="D156" s="13" t="s">
        <v>3261</v>
      </c>
      <c r="E156" s="13" t="s">
        <v>3261</v>
      </c>
    </row>
    <row r="157" spans="1:5" ht="12" x14ac:dyDescent="0.25">
      <c r="A157" s="4" t="s">
        <v>120</v>
      </c>
      <c r="B157" s="5"/>
      <c r="C157" s="6" t="s">
        <v>6</v>
      </c>
      <c r="D157" s="13" t="s">
        <v>3261</v>
      </c>
      <c r="E157" s="13" t="s">
        <v>3261</v>
      </c>
    </row>
    <row r="158" spans="1:5" ht="12" x14ac:dyDescent="0.25">
      <c r="A158" s="4" t="s">
        <v>121</v>
      </c>
      <c r="B158" s="5"/>
      <c r="C158" s="6" t="s">
        <v>6</v>
      </c>
      <c r="D158" s="13" t="s">
        <v>3261</v>
      </c>
      <c r="E158" s="13" t="s">
        <v>3261</v>
      </c>
    </row>
    <row r="159" spans="1:5" ht="12" x14ac:dyDescent="0.25">
      <c r="A159" s="4" t="s">
        <v>122</v>
      </c>
      <c r="B159" s="5"/>
      <c r="C159" s="6" t="s">
        <v>6</v>
      </c>
      <c r="D159" s="13" t="s">
        <v>3261</v>
      </c>
      <c r="E159" s="13" t="s">
        <v>3261</v>
      </c>
    </row>
    <row r="160" spans="1:5" ht="12" x14ac:dyDescent="0.25">
      <c r="A160" s="4" t="s">
        <v>128</v>
      </c>
      <c r="B160" s="5"/>
      <c r="C160" s="6" t="s">
        <v>6</v>
      </c>
      <c r="D160" s="13" t="s">
        <v>3261</v>
      </c>
      <c r="E160" s="13" t="s">
        <v>3261</v>
      </c>
    </row>
    <row r="161" spans="1:5" ht="12" x14ac:dyDescent="0.25">
      <c r="A161" s="4" t="s">
        <v>129</v>
      </c>
      <c r="B161" s="5"/>
      <c r="C161" s="6" t="s">
        <v>6</v>
      </c>
      <c r="D161" s="13" t="s">
        <v>3261</v>
      </c>
      <c r="E161" s="13" t="s">
        <v>3261</v>
      </c>
    </row>
    <row r="162" spans="1:5" ht="12" x14ac:dyDescent="0.25">
      <c r="A162" s="4" t="s">
        <v>134</v>
      </c>
      <c r="B162" s="5"/>
      <c r="C162" s="6" t="s">
        <v>6</v>
      </c>
      <c r="D162" s="13" t="s">
        <v>3261</v>
      </c>
      <c r="E162" s="13" t="s">
        <v>3261</v>
      </c>
    </row>
    <row r="163" spans="1:5" ht="12" x14ac:dyDescent="0.25">
      <c r="A163" s="4" t="s">
        <v>135</v>
      </c>
      <c r="B163" s="5"/>
      <c r="C163" s="6" t="s">
        <v>6</v>
      </c>
      <c r="D163" s="13" t="s">
        <v>3261</v>
      </c>
      <c r="E163" s="13" t="s">
        <v>3261</v>
      </c>
    </row>
    <row r="164" spans="1:5" ht="12" x14ac:dyDescent="0.25">
      <c r="A164" s="4" t="s">
        <v>136</v>
      </c>
      <c r="B164" s="5"/>
      <c r="C164" s="6" t="s">
        <v>6</v>
      </c>
      <c r="D164" s="13" t="s">
        <v>3261</v>
      </c>
      <c r="E164" s="13" t="s">
        <v>3261</v>
      </c>
    </row>
    <row r="165" spans="1:5" ht="12" x14ac:dyDescent="0.25">
      <c r="A165" s="4" t="s">
        <v>137</v>
      </c>
      <c r="B165" s="5"/>
      <c r="C165" s="6" t="s">
        <v>6</v>
      </c>
      <c r="D165" s="13" t="s">
        <v>3261</v>
      </c>
      <c r="E165" s="13" t="s">
        <v>3261</v>
      </c>
    </row>
    <row r="166" spans="1:5" ht="12" x14ac:dyDescent="0.25">
      <c r="A166" s="4" t="s">
        <v>138</v>
      </c>
      <c r="B166" s="5"/>
      <c r="C166" s="6" t="s">
        <v>6</v>
      </c>
      <c r="D166" s="13" t="s">
        <v>3261</v>
      </c>
      <c r="E166" s="13" t="s">
        <v>3261</v>
      </c>
    </row>
    <row r="167" spans="1:5" ht="12" x14ac:dyDescent="0.25">
      <c r="A167" s="4" t="s">
        <v>139</v>
      </c>
      <c r="B167" s="5"/>
      <c r="C167" s="6" t="s">
        <v>6</v>
      </c>
      <c r="D167" s="13" t="s">
        <v>3261</v>
      </c>
      <c r="E167" s="13" t="s">
        <v>3261</v>
      </c>
    </row>
    <row r="168" spans="1:5" ht="12" x14ac:dyDescent="0.25">
      <c r="A168" s="4" t="s">
        <v>142</v>
      </c>
      <c r="B168" s="5"/>
      <c r="C168" s="6" t="s">
        <v>6</v>
      </c>
      <c r="D168" s="13" t="s">
        <v>3261</v>
      </c>
      <c r="E168" s="13" t="s">
        <v>3261</v>
      </c>
    </row>
    <row r="169" spans="1:5" ht="12" x14ac:dyDescent="0.25">
      <c r="A169" s="4" t="s">
        <v>147</v>
      </c>
      <c r="B169" s="5"/>
      <c r="C169" s="6" t="s">
        <v>6</v>
      </c>
      <c r="D169" s="13" t="s">
        <v>3261</v>
      </c>
      <c r="E169" s="13" t="s">
        <v>3261</v>
      </c>
    </row>
    <row r="170" spans="1:5" ht="12" x14ac:dyDescent="0.25">
      <c r="A170" s="4" t="s">
        <v>148</v>
      </c>
      <c r="B170" s="5"/>
      <c r="C170" s="6" t="s">
        <v>6</v>
      </c>
      <c r="D170" s="13" t="s">
        <v>3261</v>
      </c>
      <c r="E170" s="13" t="s">
        <v>3261</v>
      </c>
    </row>
    <row r="171" spans="1:5" ht="12" x14ac:dyDescent="0.25">
      <c r="A171" s="4" t="s">
        <v>149</v>
      </c>
      <c r="B171" s="5"/>
      <c r="C171" s="6" t="s">
        <v>6</v>
      </c>
      <c r="D171" s="13" t="s">
        <v>3261</v>
      </c>
      <c r="E171" s="13" t="s">
        <v>3261</v>
      </c>
    </row>
    <row r="172" spans="1:5" ht="12" x14ac:dyDescent="0.25">
      <c r="A172" s="4" t="s">
        <v>151</v>
      </c>
      <c r="B172" s="5"/>
      <c r="C172" s="6" t="s">
        <v>6</v>
      </c>
      <c r="D172" s="13" t="s">
        <v>3261</v>
      </c>
      <c r="E172" s="13" t="s">
        <v>3261</v>
      </c>
    </row>
    <row r="173" spans="1:5" ht="12" x14ac:dyDescent="0.25">
      <c r="A173" s="4" t="s">
        <v>152</v>
      </c>
      <c r="B173" s="5"/>
      <c r="C173" s="6" t="s">
        <v>6</v>
      </c>
      <c r="D173" s="13" t="s">
        <v>3261</v>
      </c>
      <c r="E173" s="13" t="s">
        <v>3261</v>
      </c>
    </row>
    <row r="174" spans="1:5" ht="12" x14ac:dyDescent="0.25">
      <c r="A174" s="4" t="s">
        <v>153</v>
      </c>
      <c r="B174" s="5"/>
      <c r="C174" s="6" t="s">
        <v>6</v>
      </c>
      <c r="D174" s="13" t="s">
        <v>3261</v>
      </c>
      <c r="E174" s="13" t="s">
        <v>3261</v>
      </c>
    </row>
    <row r="175" spans="1:5" ht="12" x14ac:dyDescent="0.25">
      <c r="A175" s="4" t="s">
        <v>154</v>
      </c>
      <c r="B175" s="5"/>
      <c r="C175" s="6" t="s">
        <v>6</v>
      </c>
      <c r="D175" s="13" t="s">
        <v>3261</v>
      </c>
      <c r="E175" s="13" t="s">
        <v>3261</v>
      </c>
    </row>
    <row r="176" spans="1:5" ht="12" x14ac:dyDescent="0.25">
      <c r="A176" s="4" t="s">
        <v>155</v>
      </c>
      <c r="B176" s="5"/>
      <c r="C176" s="6" t="s">
        <v>6</v>
      </c>
      <c r="D176" s="13" t="s">
        <v>3261</v>
      </c>
      <c r="E176" s="13" t="s">
        <v>3261</v>
      </c>
    </row>
    <row r="177" spans="1:5" ht="12" x14ac:dyDescent="0.25">
      <c r="A177" s="4" t="s">
        <v>161</v>
      </c>
      <c r="B177" s="5"/>
      <c r="C177" s="6" t="s">
        <v>6</v>
      </c>
      <c r="D177" s="13" t="s">
        <v>3261</v>
      </c>
      <c r="E177" s="13" t="s">
        <v>3261</v>
      </c>
    </row>
    <row r="178" spans="1:5" ht="12" x14ac:dyDescent="0.25">
      <c r="A178" s="4" t="s">
        <v>162</v>
      </c>
      <c r="B178" s="5"/>
      <c r="C178" s="6" t="s">
        <v>6</v>
      </c>
      <c r="D178" s="13" t="s">
        <v>3261</v>
      </c>
      <c r="E178" s="13" t="s">
        <v>3261</v>
      </c>
    </row>
    <row r="179" spans="1:5" ht="12" x14ac:dyDescent="0.25">
      <c r="A179" s="4" t="s">
        <v>163</v>
      </c>
      <c r="B179" s="5"/>
      <c r="C179" s="6" t="s">
        <v>6</v>
      </c>
      <c r="D179" s="13" t="s">
        <v>3261</v>
      </c>
      <c r="E179" s="13" t="s">
        <v>3261</v>
      </c>
    </row>
    <row r="180" spans="1:5" ht="12" x14ac:dyDescent="0.25">
      <c r="A180" s="4" t="s">
        <v>169</v>
      </c>
      <c r="B180" s="5"/>
      <c r="C180" s="6" t="s">
        <v>6</v>
      </c>
      <c r="D180" s="13" t="s">
        <v>3261</v>
      </c>
      <c r="E180" s="13" t="s">
        <v>3261</v>
      </c>
    </row>
    <row r="181" spans="1:5" ht="12" x14ac:dyDescent="0.25">
      <c r="A181" s="4" t="s">
        <v>171</v>
      </c>
      <c r="B181" s="5"/>
      <c r="C181" s="6" t="s">
        <v>6</v>
      </c>
      <c r="D181" s="13" t="s">
        <v>3261</v>
      </c>
      <c r="E181" s="13" t="s">
        <v>3261</v>
      </c>
    </row>
    <row r="182" spans="1:5" ht="12" x14ac:dyDescent="0.25">
      <c r="A182" s="4" t="s">
        <v>172</v>
      </c>
      <c r="B182" s="5"/>
      <c r="C182" s="6" t="s">
        <v>6</v>
      </c>
      <c r="D182" s="13" t="s">
        <v>3261</v>
      </c>
      <c r="E182" s="13" t="s">
        <v>3261</v>
      </c>
    </row>
    <row r="183" spans="1:5" ht="12" x14ac:dyDescent="0.25">
      <c r="A183" s="4" t="s">
        <v>173</v>
      </c>
      <c r="B183" s="5"/>
      <c r="C183" s="6" t="s">
        <v>6</v>
      </c>
      <c r="D183" s="13" t="s">
        <v>3261</v>
      </c>
      <c r="E183" s="13" t="s">
        <v>3261</v>
      </c>
    </row>
    <row r="184" spans="1:5" ht="12" x14ac:dyDescent="0.25">
      <c r="A184" s="4" t="s">
        <v>175</v>
      </c>
      <c r="B184" s="5"/>
      <c r="C184" s="6" t="s">
        <v>6</v>
      </c>
      <c r="D184" s="13" t="s">
        <v>3261</v>
      </c>
      <c r="E184" s="13" t="s">
        <v>3261</v>
      </c>
    </row>
    <row r="185" spans="1:5" ht="12" x14ac:dyDescent="0.25">
      <c r="A185" s="4" t="s">
        <v>176</v>
      </c>
      <c r="B185" s="5"/>
      <c r="C185" s="6" t="s">
        <v>6</v>
      </c>
      <c r="D185" s="13" t="s">
        <v>3261</v>
      </c>
      <c r="E185" s="13" t="s">
        <v>3261</v>
      </c>
    </row>
    <row r="186" spans="1:5" ht="12" x14ac:dyDescent="0.25">
      <c r="A186" s="4" t="s">
        <v>177</v>
      </c>
      <c r="B186" s="5"/>
      <c r="C186" s="6" t="s">
        <v>6</v>
      </c>
      <c r="D186" s="13" t="s">
        <v>3261</v>
      </c>
      <c r="E186" s="13" t="s">
        <v>3261</v>
      </c>
    </row>
    <row r="187" spans="1:5" ht="12" x14ac:dyDescent="0.25">
      <c r="A187" s="4" t="s">
        <v>178</v>
      </c>
      <c r="B187" s="5"/>
      <c r="C187" s="6" t="s">
        <v>6</v>
      </c>
      <c r="D187" s="13" t="s">
        <v>3261</v>
      </c>
      <c r="E187" s="13" t="s">
        <v>3261</v>
      </c>
    </row>
    <row r="188" spans="1:5" ht="12" x14ac:dyDescent="0.25">
      <c r="A188" s="4" t="s">
        <v>181</v>
      </c>
      <c r="B188" s="5"/>
      <c r="C188" s="6" t="s">
        <v>6</v>
      </c>
      <c r="D188" s="13" t="s">
        <v>3261</v>
      </c>
      <c r="E188" s="13" t="s">
        <v>3261</v>
      </c>
    </row>
    <row r="189" spans="1:5" ht="12" x14ac:dyDescent="0.25">
      <c r="A189" s="4" t="s">
        <v>183</v>
      </c>
      <c r="B189" s="5"/>
      <c r="C189" s="6" t="s">
        <v>6</v>
      </c>
      <c r="D189" s="13" t="s">
        <v>3261</v>
      </c>
      <c r="E189" s="13" t="s">
        <v>3261</v>
      </c>
    </row>
    <row r="190" spans="1:5" ht="12" x14ac:dyDescent="0.25">
      <c r="A190" s="4" t="s">
        <v>186</v>
      </c>
      <c r="B190" s="5"/>
      <c r="C190" s="6" t="s">
        <v>6</v>
      </c>
      <c r="D190" s="13" t="s">
        <v>3261</v>
      </c>
      <c r="E190" s="13" t="s">
        <v>3261</v>
      </c>
    </row>
    <row r="191" spans="1:5" ht="12" x14ac:dyDescent="0.25">
      <c r="A191" s="4" t="s">
        <v>188</v>
      </c>
      <c r="B191" s="5"/>
      <c r="C191" s="6" t="s">
        <v>6</v>
      </c>
      <c r="D191" s="13" t="s">
        <v>3261</v>
      </c>
      <c r="E191" s="13" t="s">
        <v>3261</v>
      </c>
    </row>
    <row r="192" spans="1:5" ht="12" x14ac:dyDescent="0.25">
      <c r="A192" s="4" t="s">
        <v>189</v>
      </c>
      <c r="B192" s="5"/>
      <c r="C192" s="6" t="s">
        <v>6</v>
      </c>
      <c r="D192" s="13" t="s">
        <v>3261</v>
      </c>
      <c r="E192" s="13" t="s">
        <v>3261</v>
      </c>
    </row>
    <row r="193" spans="1:5" ht="12" x14ac:dyDescent="0.25">
      <c r="A193" s="4" t="s">
        <v>193</v>
      </c>
      <c r="B193" s="5"/>
      <c r="C193" s="6" t="s">
        <v>6</v>
      </c>
      <c r="D193" s="13" t="s">
        <v>3261</v>
      </c>
      <c r="E193" s="13" t="s">
        <v>3261</v>
      </c>
    </row>
    <row r="194" spans="1:5" ht="12" x14ac:dyDescent="0.25">
      <c r="A194" s="4" t="s">
        <v>194</v>
      </c>
      <c r="B194" s="5"/>
      <c r="C194" s="6" t="s">
        <v>6</v>
      </c>
      <c r="D194" s="13" t="s">
        <v>3261</v>
      </c>
      <c r="E194" s="13" t="s">
        <v>3261</v>
      </c>
    </row>
    <row r="195" spans="1:5" ht="12" x14ac:dyDescent="0.25">
      <c r="A195" s="4" t="s">
        <v>196</v>
      </c>
      <c r="B195" s="5"/>
      <c r="C195" s="6" t="s">
        <v>6</v>
      </c>
      <c r="D195" s="13" t="s">
        <v>3261</v>
      </c>
      <c r="E195" s="13" t="s">
        <v>3261</v>
      </c>
    </row>
    <row r="196" spans="1:5" ht="12" x14ac:dyDescent="0.25">
      <c r="A196" s="4" t="s">
        <v>197</v>
      </c>
      <c r="B196" s="5"/>
      <c r="C196" s="6" t="s">
        <v>6</v>
      </c>
      <c r="D196" s="13" t="s">
        <v>3261</v>
      </c>
      <c r="E196" s="13" t="s">
        <v>3261</v>
      </c>
    </row>
    <row r="197" spans="1:5" ht="12" x14ac:dyDescent="0.25">
      <c r="A197" s="4" t="s">
        <v>198</v>
      </c>
      <c r="B197" s="5"/>
      <c r="C197" s="6" t="s">
        <v>6</v>
      </c>
      <c r="D197" s="13" t="s">
        <v>3261</v>
      </c>
      <c r="E197" s="13" t="s">
        <v>3261</v>
      </c>
    </row>
    <row r="198" spans="1:5" ht="12" x14ac:dyDescent="0.25">
      <c r="A198" s="4" t="s">
        <v>199</v>
      </c>
      <c r="B198" s="5"/>
      <c r="C198" s="6" t="s">
        <v>6</v>
      </c>
      <c r="D198" s="13" t="s">
        <v>3261</v>
      </c>
      <c r="E198" s="13" t="s">
        <v>3261</v>
      </c>
    </row>
    <row r="199" spans="1:5" ht="12" x14ac:dyDescent="0.25">
      <c r="A199" s="4" t="s">
        <v>200</v>
      </c>
      <c r="B199" s="5"/>
      <c r="C199" s="6" t="s">
        <v>6</v>
      </c>
      <c r="D199" s="13" t="s">
        <v>3261</v>
      </c>
      <c r="E199" s="13" t="s">
        <v>3261</v>
      </c>
    </row>
    <row r="200" spans="1:5" ht="12" x14ac:dyDescent="0.25">
      <c r="A200" s="4" t="s">
        <v>201</v>
      </c>
      <c r="B200" s="5"/>
      <c r="C200" s="6" t="s">
        <v>6</v>
      </c>
      <c r="D200" s="13" t="s">
        <v>3261</v>
      </c>
      <c r="E200" s="13" t="s">
        <v>3261</v>
      </c>
    </row>
    <row r="201" spans="1:5" ht="12" x14ac:dyDescent="0.25">
      <c r="A201" s="4" t="s">
        <v>202</v>
      </c>
      <c r="B201" s="5"/>
      <c r="C201" s="6" t="s">
        <v>6</v>
      </c>
      <c r="D201" s="13" t="s">
        <v>3261</v>
      </c>
      <c r="E201" s="13" t="s">
        <v>3261</v>
      </c>
    </row>
    <row r="202" spans="1:5" ht="12" x14ac:dyDescent="0.25">
      <c r="A202" s="4" t="s">
        <v>203</v>
      </c>
      <c r="B202" s="5"/>
      <c r="C202" s="6" t="s">
        <v>6</v>
      </c>
      <c r="D202" s="13" t="s">
        <v>3261</v>
      </c>
      <c r="E202" s="13" t="s">
        <v>3261</v>
      </c>
    </row>
    <row r="203" spans="1:5" ht="12" x14ac:dyDescent="0.25">
      <c r="A203" s="4" t="s">
        <v>212</v>
      </c>
      <c r="B203" s="5"/>
      <c r="C203" s="6" t="s">
        <v>6</v>
      </c>
      <c r="D203" s="13" t="s">
        <v>3261</v>
      </c>
      <c r="E203" s="13" t="s">
        <v>3261</v>
      </c>
    </row>
    <row r="204" spans="1:5" ht="12" x14ac:dyDescent="0.25">
      <c r="A204" s="4" t="s">
        <v>213</v>
      </c>
      <c r="B204" s="5"/>
      <c r="C204" s="6" t="s">
        <v>6</v>
      </c>
      <c r="D204" s="13" t="s">
        <v>3261</v>
      </c>
      <c r="E204" s="13" t="s">
        <v>3261</v>
      </c>
    </row>
    <row r="205" spans="1:5" ht="12" x14ac:dyDescent="0.25">
      <c r="A205" s="4" t="s">
        <v>214</v>
      </c>
      <c r="B205" s="5"/>
      <c r="C205" s="6" t="s">
        <v>6</v>
      </c>
      <c r="D205" s="13" t="s">
        <v>3261</v>
      </c>
      <c r="E205" s="13" t="s">
        <v>3261</v>
      </c>
    </row>
    <row r="206" spans="1:5" ht="12" x14ac:dyDescent="0.25">
      <c r="A206" s="4" t="s">
        <v>218</v>
      </c>
      <c r="B206" s="5"/>
      <c r="C206" s="6" t="s">
        <v>6</v>
      </c>
      <c r="D206" s="13" t="s">
        <v>3261</v>
      </c>
      <c r="E206" s="13" t="s">
        <v>3261</v>
      </c>
    </row>
    <row r="207" spans="1:5" ht="12" x14ac:dyDescent="0.25">
      <c r="A207" s="4" t="s">
        <v>219</v>
      </c>
      <c r="B207" s="5"/>
      <c r="C207" s="6" t="s">
        <v>6</v>
      </c>
      <c r="D207" s="13" t="s">
        <v>3261</v>
      </c>
      <c r="E207" s="13" t="s">
        <v>3261</v>
      </c>
    </row>
    <row r="208" spans="1:5" ht="12" x14ac:dyDescent="0.25">
      <c r="A208" s="4" t="s">
        <v>220</v>
      </c>
      <c r="B208" s="5"/>
      <c r="C208" s="6" t="s">
        <v>6</v>
      </c>
      <c r="D208" s="13" t="s">
        <v>3261</v>
      </c>
      <c r="E208" s="13" t="s">
        <v>3261</v>
      </c>
    </row>
    <row r="209" spans="1:5" ht="12" x14ac:dyDescent="0.25">
      <c r="A209" s="4" t="s">
        <v>221</v>
      </c>
      <c r="B209" s="5"/>
      <c r="C209" s="6" t="s">
        <v>6</v>
      </c>
      <c r="D209" s="13" t="s">
        <v>3261</v>
      </c>
      <c r="E209" s="13" t="s">
        <v>3261</v>
      </c>
    </row>
    <row r="210" spans="1:5" ht="12" x14ac:dyDescent="0.25">
      <c r="A210" s="4" t="s">
        <v>222</v>
      </c>
      <c r="B210" s="5"/>
      <c r="C210" s="6" t="s">
        <v>6</v>
      </c>
      <c r="D210" s="13" t="s">
        <v>3261</v>
      </c>
      <c r="E210" s="13" t="s">
        <v>3261</v>
      </c>
    </row>
    <row r="211" spans="1:5" ht="12" x14ac:dyDescent="0.25">
      <c r="A211" s="4" t="s">
        <v>223</v>
      </c>
      <c r="B211" s="5"/>
      <c r="C211" s="6" t="s">
        <v>6</v>
      </c>
      <c r="D211" s="13" t="s">
        <v>3261</v>
      </c>
      <c r="E211" s="13" t="s">
        <v>3261</v>
      </c>
    </row>
    <row r="212" spans="1:5" ht="12" x14ac:dyDescent="0.25">
      <c r="A212" s="4" t="s">
        <v>224</v>
      </c>
      <c r="B212" s="5"/>
      <c r="C212" s="6" t="s">
        <v>6</v>
      </c>
      <c r="D212" s="13" t="s">
        <v>3261</v>
      </c>
      <c r="E212" s="13" t="s">
        <v>3261</v>
      </c>
    </row>
    <row r="213" spans="1:5" ht="12" x14ac:dyDescent="0.25">
      <c r="A213" s="4" t="s">
        <v>225</v>
      </c>
      <c r="B213" s="5"/>
      <c r="C213" s="6" t="s">
        <v>6</v>
      </c>
      <c r="D213" s="13" t="s">
        <v>3261</v>
      </c>
      <c r="E213" s="13" t="s">
        <v>3261</v>
      </c>
    </row>
    <row r="214" spans="1:5" ht="12" x14ac:dyDescent="0.25">
      <c r="A214" s="4" t="s">
        <v>226</v>
      </c>
      <c r="B214" s="5"/>
      <c r="C214" s="6" t="s">
        <v>6</v>
      </c>
      <c r="D214" s="13" t="s">
        <v>3261</v>
      </c>
      <c r="E214" s="13" t="s">
        <v>3261</v>
      </c>
    </row>
    <row r="215" spans="1:5" ht="12" x14ac:dyDescent="0.25">
      <c r="A215" s="4" t="s">
        <v>227</v>
      </c>
      <c r="B215" s="5"/>
      <c r="C215" s="6" t="s">
        <v>6</v>
      </c>
      <c r="D215" s="13" t="s">
        <v>3261</v>
      </c>
      <c r="E215" s="13" t="s">
        <v>3261</v>
      </c>
    </row>
    <row r="216" spans="1:5" ht="12" x14ac:dyDescent="0.25">
      <c r="A216" s="4" t="s">
        <v>229</v>
      </c>
      <c r="B216" s="5"/>
      <c r="C216" s="6" t="s">
        <v>6</v>
      </c>
      <c r="D216" s="13" t="s">
        <v>3261</v>
      </c>
      <c r="E216" s="13" t="s">
        <v>3261</v>
      </c>
    </row>
    <row r="217" spans="1:5" ht="12" x14ac:dyDescent="0.25">
      <c r="A217" s="4" t="s">
        <v>230</v>
      </c>
      <c r="B217" s="5"/>
      <c r="C217" s="6" t="s">
        <v>6</v>
      </c>
      <c r="D217" s="13" t="s">
        <v>3261</v>
      </c>
      <c r="E217" s="13" t="s">
        <v>3261</v>
      </c>
    </row>
    <row r="218" spans="1:5" ht="12" x14ac:dyDescent="0.25">
      <c r="A218" s="4" t="s">
        <v>3</v>
      </c>
      <c r="B218" s="5"/>
      <c r="C218" s="6" t="s">
        <v>6</v>
      </c>
      <c r="D218" s="13" t="s">
        <v>3261</v>
      </c>
      <c r="E218" s="13" t="s">
        <v>3261</v>
      </c>
    </row>
    <row r="219" spans="1:5" ht="12" x14ac:dyDescent="0.25">
      <c r="A219" s="4" t="s">
        <v>63</v>
      </c>
      <c r="B219" s="5"/>
      <c r="C219" s="6" t="s">
        <v>6</v>
      </c>
      <c r="D219" s="13" t="s">
        <v>3261</v>
      </c>
      <c r="E219" s="13" t="s">
        <v>3261</v>
      </c>
    </row>
    <row r="220" spans="1:5" ht="12" x14ac:dyDescent="0.25">
      <c r="A220" s="4" t="s">
        <v>140</v>
      </c>
      <c r="B220" s="5"/>
      <c r="C220" s="6" t="s">
        <v>6</v>
      </c>
      <c r="D220" s="13" t="s">
        <v>3261</v>
      </c>
      <c r="E220" s="13" t="s">
        <v>3261</v>
      </c>
    </row>
    <row r="221" spans="1:5" ht="12" x14ac:dyDescent="0.25">
      <c r="A221" s="4" t="s">
        <v>141</v>
      </c>
      <c r="B221" s="5"/>
      <c r="C221" s="6" t="s">
        <v>6</v>
      </c>
      <c r="D221" s="13" t="s">
        <v>3261</v>
      </c>
      <c r="E221" s="13" t="s">
        <v>3261</v>
      </c>
    </row>
    <row r="222" spans="1:5" ht="12" x14ac:dyDescent="0.25">
      <c r="A222" s="4" t="s">
        <v>156</v>
      </c>
      <c r="B222" s="5"/>
      <c r="C222" s="6" t="s">
        <v>6</v>
      </c>
      <c r="D222" s="13" t="s">
        <v>3261</v>
      </c>
      <c r="E222" s="13" t="s">
        <v>3261</v>
      </c>
    </row>
    <row r="223" spans="1:5" ht="12" x14ac:dyDescent="0.25">
      <c r="A223" s="4" t="s">
        <v>158</v>
      </c>
      <c r="B223" s="5"/>
      <c r="C223" s="6" t="s">
        <v>6</v>
      </c>
      <c r="D223" s="13" t="s">
        <v>3261</v>
      </c>
      <c r="E223" s="13" t="s">
        <v>3261</v>
      </c>
    </row>
    <row r="224" spans="1:5" ht="12" x14ac:dyDescent="0.25">
      <c r="A224" s="4" t="s">
        <v>49</v>
      </c>
      <c r="B224" s="5"/>
      <c r="C224" s="6" t="s">
        <v>6</v>
      </c>
      <c r="D224" s="13" t="s">
        <v>3261</v>
      </c>
      <c r="E224" s="13" t="s">
        <v>3261</v>
      </c>
    </row>
    <row r="225" spans="1:5" ht="12" x14ac:dyDescent="0.25">
      <c r="A225" s="4" t="s">
        <v>76</v>
      </c>
      <c r="B225" s="5"/>
      <c r="C225" s="6" t="s">
        <v>6</v>
      </c>
      <c r="D225" s="13" t="s">
        <v>3261</v>
      </c>
      <c r="E225" s="13" t="s">
        <v>3261</v>
      </c>
    </row>
    <row r="226" spans="1:5" ht="12" x14ac:dyDescent="0.25">
      <c r="A226" s="4" t="s">
        <v>168</v>
      </c>
      <c r="B226" s="5"/>
      <c r="C226" s="6" t="s">
        <v>6</v>
      </c>
      <c r="D226" s="13" t="s">
        <v>3261</v>
      </c>
      <c r="E226" s="13" t="s">
        <v>3261</v>
      </c>
    </row>
    <row r="227" spans="1:5" ht="12" x14ac:dyDescent="0.25">
      <c r="A227" s="4" t="s">
        <v>170</v>
      </c>
      <c r="B227" s="5"/>
      <c r="C227" s="6" t="s">
        <v>6</v>
      </c>
      <c r="D227" s="13" t="s">
        <v>3261</v>
      </c>
      <c r="E227" s="13" t="s">
        <v>3261</v>
      </c>
    </row>
    <row r="228" spans="1:5" ht="12" x14ac:dyDescent="0.25">
      <c r="A228" s="4" t="s">
        <v>16</v>
      </c>
      <c r="B228" s="5"/>
      <c r="C228" s="6" t="s">
        <v>6</v>
      </c>
      <c r="D228" s="13" t="s">
        <v>3261</v>
      </c>
      <c r="E228" s="13" t="s">
        <v>3261</v>
      </c>
    </row>
    <row r="229" spans="1:5" ht="12" x14ac:dyDescent="0.25">
      <c r="A229" s="4" t="s">
        <v>55</v>
      </c>
      <c r="B229" s="5"/>
      <c r="C229" s="6" t="s">
        <v>6</v>
      </c>
      <c r="D229" s="13" t="s">
        <v>3261</v>
      </c>
      <c r="E229" s="13" t="s">
        <v>3261</v>
      </c>
    </row>
    <row r="230" spans="1:5" ht="12" x14ac:dyDescent="0.25">
      <c r="A230" s="4" t="s">
        <v>117</v>
      </c>
      <c r="B230" s="5"/>
      <c r="C230" s="6" t="s">
        <v>6</v>
      </c>
      <c r="D230" s="13" t="s">
        <v>3261</v>
      </c>
      <c r="E230" s="13" t="s">
        <v>3261</v>
      </c>
    </row>
    <row r="231" spans="1:5" ht="12" x14ac:dyDescent="0.25">
      <c r="A231" s="4" t="s">
        <v>123</v>
      </c>
      <c r="B231" s="5"/>
      <c r="C231" s="6" t="s">
        <v>6</v>
      </c>
      <c r="D231" s="13" t="s">
        <v>3261</v>
      </c>
      <c r="E231" s="13" t="s">
        <v>3261</v>
      </c>
    </row>
    <row r="232" spans="1:5" ht="12" x14ac:dyDescent="0.25">
      <c r="A232" s="4" t="s">
        <v>146</v>
      </c>
      <c r="B232" s="5"/>
      <c r="C232" s="6" t="s">
        <v>6</v>
      </c>
      <c r="D232" s="13" t="s">
        <v>3261</v>
      </c>
      <c r="E232" s="13" t="s">
        <v>3261</v>
      </c>
    </row>
    <row r="233" spans="1:5" ht="12" x14ac:dyDescent="0.25">
      <c r="A233" s="4" t="s">
        <v>157</v>
      </c>
      <c r="B233" s="5"/>
      <c r="C233" s="6" t="s">
        <v>6</v>
      </c>
      <c r="D233" s="13" t="s">
        <v>3261</v>
      </c>
      <c r="E233" s="13" t="s">
        <v>3261</v>
      </c>
    </row>
    <row r="234" spans="1:5" ht="12" x14ac:dyDescent="0.25">
      <c r="A234" s="4" t="s">
        <v>180</v>
      </c>
      <c r="B234" s="5"/>
      <c r="C234" s="6" t="s">
        <v>6</v>
      </c>
      <c r="D234" s="13" t="s">
        <v>3261</v>
      </c>
      <c r="E234" s="13" t="s">
        <v>3261</v>
      </c>
    </row>
    <row r="235" spans="1:5" ht="12" x14ac:dyDescent="0.25">
      <c r="A235" s="4" t="s">
        <v>182</v>
      </c>
      <c r="B235" s="5"/>
      <c r="C235" s="6" t="s">
        <v>6</v>
      </c>
      <c r="D235" s="13" t="s">
        <v>3261</v>
      </c>
      <c r="E235" s="13" t="s">
        <v>3261</v>
      </c>
    </row>
    <row r="236" spans="1:5" ht="12" x14ac:dyDescent="0.25">
      <c r="A236" s="4" t="s">
        <v>184</v>
      </c>
      <c r="B236" s="5"/>
      <c r="C236" s="6" t="s">
        <v>6</v>
      </c>
      <c r="D236" s="13" t="s">
        <v>3261</v>
      </c>
      <c r="E236" s="13" t="s">
        <v>3261</v>
      </c>
    </row>
    <row r="237" spans="1:5" ht="12" x14ac:dyDescent="0.25">
      <c r="A237" s="4" t="s">
        <v>185</v>
      </c>
      <c r="B237" s="5"/>
      <c r="C237" s="6" t="s">
        <v>6</v>
      </c>
      <c r="D237" s="13" t="s">
        <v>3261</v>
      </c>
      <c r="E237" s="13" t="s">
        <v>3261</v>
      </c>
    </row>
    <row r="238" spans="1:5" ht="12" x14ac:dyDescent="0.25">
      <c r="A238" s="4" t="s">
        <v>187</v>
      </c>
      <c r="B238" s="5"/>
      <c r="C238" s="6" t="s">
        <v>6</v>
      </c>
      <c r="D238" s="13" t="s">
        <v>3261</v>
      </c>
      <c r="E238" s="13" t="s">
        <v>3261</v>
      </c>
    </row>
    <row r="239" spans="1:5" ht="12" x14ac:dyDescent="0.25">
      <c r="A239" s="4" t="s">
        <v>210</v>
      </c>
      <c r="B239" s="5"/>
      <c r="C239" s="6" t="s">
        <v>6</v>
      </c>
      <c r="D239" s="13" t="s">
        <v>3261</v>
      </c>
      <c r="E239" s="13" t="s">
        <v>3261</v>
      </c>
    </row>
    <row r="240" spans="1:5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</sheetData>
  <autoFilter ref="A1:C303" xr:uid="{BE885A46-9CB6-405D-A282-1681DD57B3E6}"/>
  <conditionalFormatting sqref="A250:A1048576 A2:A23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198D-C28E-4ADB-A343-F6F82FDDBD61}">
  <sheetPr>
    <tabColor rgb="FF00B050"/>
  </sheetPr>
  <dimension ref="A1:M4550"/>
  <sheetViews>
    <sheetView workbookViewId="0"/>
  </sheetViews>
  <sheetFormatPr defaultRowHeight="12" x14ac:dyDescent="0.25"/>
  <cols>
    <col min="1" max="1" width="42.140625" style="12" bestFit="1" customWidth="1"/>
    <col min="2" max="2" width="9.85546875" style="12" bestFit="1" customWidth="1"/>
    <col min="3" max="3" width="19.5703125" style="12" bestFit="1" customWidth="1"/>
    <col min="4" max="4" width="39.5703125" style="12" bestFit="1" customWidth="1"/>
    <col min="5" max="5" width="71.5703125" style="12" bestFit="1" customWidth="1"/>
    <col min="6" max="6" width="11.28515625" style="12" bestFit="1" customWidth="1"/>
    <col min="7" max="7" width="7.5703125" style="12" bestFit="1" customWidth="1"/>
    <col min="8" max="8" width="11.28515625" style="12" bestFit="1" customWidth="1"/>
    <col min="9" max="9" width="12" style="12" bestFit="1" customWidth="1"/>
    <col min="10" max="10" width="11.7109375" style="12" bestFit="1" customWidth="1"/>
    <col min="11" max="11" width="13.140625" style="12" bestFit="1" customWidth="1"/>
    <col min="12" max="12" width="11.85546875" style="12" bestFit="1" customWidth="1"/>
    <col min="13" max="13" width="11.5703125" style="12" bestFit="1" customWidth="1"/>
    <col min="14" max="16384" width="9.140625" style="12"/>
  </cols>
  <sheetData>
    <row r="1" spans="1:13" x14ac:dyDescent="0.25">
      <c r="A1" s="12" t="s">
        <v>1341</v>
      </c>
      <c r="B1" s="12" t="s">
        <v>3234</v>
      </c>
      <c r="C1" s="7" t="s">
        <v>1020</v>
      </c>
      <c r="D1" s="7" t="s">
        <v>1342</v>
      </c>
      <c r="E1" s="7" t="s">
        <v>0</v>
      </c>
      <c r="F1" s="7" t="s">
        <v>1026</v>
      </c>
      <c r="G1" s="7" t="s">
        <v>1022</v>
      </c>
      <c r="H1" s="7" t="s">
        <v>1343</v>
      </c>
      <c r="I1" s="7" t="s">
        <v>1344</v>
      </c>
      <c r="J1" s="7" t="s">
        <v>1345</v>
      </c>
      <c r="K1" s="7" t="s">
        <v>1346</v>
      </c>
      <c r="L1" s="7" t="s">
        <v>1347</v>
      </c>
      <c r="M1" s="7" t="s">
        <v>1348</v>
      </c>
    </row>
    <row r="2" spans="1:13" x14ac:dyDescent="0.25">
      <c r="A2" s="12" t="str">
        <f t="shared" ref="A2:A65" si="0">$C2&amp;$E2&amp;$G2&amp;$F2</f>
        <v>000021382ME0003RITA CÂNDIDA DOS SANTOSDEP45967</v>
      </c>
      <c r="B2" s="12" t="str">
        <f>PROPER(TEXT($H2,"MMMM"))</f>
        <v>Janeiro</v>
      </c>
      <c r="C2" s="8" t="s">
        <v>1440</v>
      </c>
      <c r="D2" s="8" t="s">
        <v>1354</v>
      </c>
      <c r="E2" s="8" t="s">
        <v>1441</v>
      </c>
      <c r="F2" s="23">
        <v>45967</v>
      </c>
      <c r="G2" s="8" t="s">
        <v>1043</v>
      </c>
      <c r="H2" s="23">
        <v>46028</v>
      </c>
      <c r="I2" s="23">
        <v>46028</v>
      </c>
      <c r="J2" s="10">
        <v>900</v>
      </c>
      <c r="K2" s="10">
        <v>0</v>
      </c>
      <c r="L2" s="24">
        <v>0</v>
      </c>
      <c r="M2" s="10">
        <v>900</v>
      </c>
    </row>
    <row r="3" spans="1:13" x14ac:dyDescent="0.25">
      <c r="A3" s="12" t="str">
        <f t="shared" si="0"/>
        <v>000021382ME0004RITA CÂNDIDA DOS SANTOSDEP45967</v>
      </c>
      <c r="B3" s="12" t="str">
        <f t="shared" ref="B3:B66" si="1">PROPER(TEXT($H3,"MMMM"))</f>
        <v>Fevereiro</v>
      </c>
      <c r="C3" s="8" t="s">
        <v>1713</v>
      </c>
      <c r="D3" s="8" t="s">
        <v>1354</v>
      </c>
      <c r="E3" s="8" t="s">
        <v>1441</v>
      </c>
      <c r="F3" s="23">
        <v>45967</v>
      </c>
      <c r="G3" s="8" t="s">
        <v>1043</v>
      </c>
      <c r="H3" s="23">
        <v>46059</v>
      </c>
      <c r="I3" s="23">
        <v>46059</v>
      </c>
      <c r="J3" s="10">
        <v>900</v>
      </c>
      <c r="K3" s="10">
        <v>0</v>
      </c>
      <c r="L3" s="24">
        <v>0</v>
      </c>
      <c r="M3" s="10">
        <v>900</v>
      </c>
    </row>
    <row r="4" spans="1:13" x14ac:dyDescent="0.25">
      <c r="A4" s="12" t="str">
        <f t="shared" si="0"/>
        <v>000021382ME0005RITA CÂNDIDA DOS SANTOSDEP45967</v>
      </c>
      <c r="B4" s="12" t="str">
        <f t="shared" si="1"/>
        <v>Março</v>
      </c>
      <c r="C4" s="8" t="s">
        <v>1969</v>
      </c>
      <c r="D4" s="8" t="s">
        <v>1354</v>
      </c>
      <c r="E4" s="8" t="s">
        <v>1441</v>
      </c>
      <c r="F4" s="23">
        <v>45967</v>
      </c>
      <c r="G4" s="8" t="s">
        <v>1043</v>
      </c>
      <c r="H4" s="23">
        <v>46087</v>
      </c>
      <c r="I4" s="23">
        <v>46086</v>
      </c>
      <c r="J4" s="10">
        <v>900</v>
      </c>
      <c r="K4" s="10">
        <v>0</v>
      </c>
      <c r="L4" s="24">
        <v>0</v>
      </c>
      <c r="M4" s="10">
        <v>900</v>
      </c>
    </row>
    <row r="5" spans="1:13" x14ac:dyDescent="0.25">
      <c r="A5" s="12" t="str">
        <f t="shared" si="0"/>
        <v>000021382ME0006RITA CÂNDIDA DOS SANTOSDEP45967</v>
      </c>
      <c r="B5" s="12" t="str">
        <f t="shared" si="1"/>
        <v>Abril</v>
      </c>
      <c r="C5" s="8" t="s">
        <v>2183</v>
      </c>
      <c r="D5" s="8" t="s">
        <v>1354</v>
      </c>
      <c r="E5" s="8" t="s">
        <v>1441</v>
      </c>
      <c r="F5" s="23">
        <v>45967</v>
      </c>
      <c r="G5" s="8" t="s">
        <v>1043</v>
      </c>
      <c r="H5" s="23">
        <v>46118</v>
      </c>
      <c r="I5" s="23">
        <v>46118</v>
      </c>
      <c r="J5" s="10">
        <v>900</v>
      </c>
      <c r="K5" s="10">
        <v>0</v>
      </c>
      <c r="L5" s="24">
        <v>0</v>
      </c>
      <c r="M5" s="10">
        <v>900</v>
      </c>
    </row>
    <row r="6" spans="1:13" x14ac:dyDescent="0.25">
      <c r="A6" s="12" t="str">
        <f t="shared" si="0"/>
        <v>000021382ME0007RITA CÂNDIDA DOS SANTOSDEP45967</v>
      </c>
      <c r="B6" s="12" t="str">
        <f t="shared" si="1"/>
        <v>Maio</v>
      </c>
      <c r="C6" s="8" t="s">
        <v>2370</v>
      </c>
      <c r="D6" s="8" t="s">
        <v>1354</v>
      </c>
      <c r="E6" s="8" t="s">
        <v>1441</v>
      </c>
      <c r="F6" s="23">
        <v>45967</v>
      </c>
      <c r="G6" s="8" t="s">
        <v>1043</v>
      </c>
      <c r="H6" s="23">
        <v>46148</v>
      </c>
      <c r="I6" s="23">
        <v>46148</v>
      </c>
      <c r="J6" s="10">
        <v>900</v>
      </c>
      <c r="K6" s="10">
        <v>0</v>
      </c>
      <c r="L6" s="24">
        <v>0</v>
      </c>
      <c r="M6" s="10">
        <v>900</v>
      </c>
    </row>
    <row r="7" spans="1:13" x14ac:dyDescent="0.25">
      <c r="A7" s="12" t="str">
        <f t="shared" si="0"/>
        <v>000021382ME0008RITA CÂNDIDA DOS SANTOSDEP45967</v>
      </c>
      <c r="B7" s="12" t="str">
        <f t="shared" si="1"/>
        <v>Junho</v>
      </c>
      <c r="C7" s="8" t="s">
        <v>2564</v>
      </c>
      <c r="D7" s="8" t="s">
        <v>1354</v>
      </c>
      <c r="E7" s="8" t="s">
        <v>1441</v>
      </c>
      <c r="F7" s="23">
        <v>45967</v>
      </c>
      <c r="G7" s="8" t="s">
        <v>1043</v>
      </c>
      <c r="H7" s="23">
        <v>46179</v>
      </c>
      <c r="I7" s="23">
        <v>46179</v>
      </c>
      <c r="J7" s="10">
        <v>900</v>
      </c>
      <c r="K7" s="10">
        <v>0</v>
      </c>
      <c r="L7" s="24">
        <v>0</v>
      </c>
      <c r="M7" s="10">
        <v>900</v>
      </c>
    </row>
    <row r="8" spans="1:13" x14ac:dyDescent="0.25">
      <c r="A8" s="12" t="str">
        <f t="shared" si="0"/>
        <v>000021382ME0009RITA CÂNDIDA DOS SANTOSDEP45967</v>
      </c>
      <c r="B8" s="12" t="str">
        <f t="shared" si="1"/>
        <v>Julho</v>
      </c>
      <c r="C8" s="8" t="s">
        <v>2738</v>
      </c>
      <c r="D8" s="8" t="s">
        <v>1354</v>
      </c>
      <c r="E8" s="8" t="s">
        <v>1441</v>
      </c>
      <c r="F8" s="23">
        <v>45967</v>
      </c>
      <c r="G8" s="8" t="s">
        <v>1043</v>
      </c>
      <c r="H8" s="23">
        <v>46209</v>
      </c>
      <c r="I8" s="23">
        <v>46209</v>
      </c>
      <c r="J8" s="10">
        <v>900</v>
      </c>
      <c r="K8" s="10">
        <v>0</v>
      </c>
      <c r="L8" s="24">
        <v>0</v>
      </c>
      <c r="M8" s="10">
        <v>900</v>
      </c>
    </row>
    <row r="9" spans="1:13" x14ac:dyDescent="0.25">
      <c r="A9" s="12" t="str">
        <f t="shared" si="0"/>
        <v>000021382ME0010RITA CÂNDIDA DOS SANTOSDEP45967</v>
      </c>
      <c r="B9" s="12" t="str">
        <f t="shared" si="1"/>
        <v>Agosto</v>
      </c>
      <c r="C9" s="8" t="s">
        <v>2928</v>
      </c>
      <c r="D9" s="8" t="s">
        <v>1354</v>
      </c>
      <c r="E9" s="8" t="s">
        <v>1441</v>
      </c>
      <c r="F9" s="23">
        <v>45967</v>
      </c>
      <c r="G9" s="8" t="s">
        <v>1043</v>
      </c>
      <c r="H9" s="23">
        <v>46240</v>
      </c>
      <c r="I9" s="23">
        <v>46240</v>
      </c>
      <c r="J9" s="10">
        <v>900</v>
      </c>
      <c r="K9" s="10">
        <v>0</v>
      </c>
      <c r="L9" s="24">
        <v>0</v>
      </c>
      <c r="M9" s="10">
        <v>900</v>
      </c>
    </row>
    <row r="10" spans="1:13" x14ac:dyDescent="0.25">
      <c r="A10" s="12" t="str">
        <f t="shared" si="0"/>
        <v>000021382ME0011RITA CÂNDIDA DOS SANTOSDEP45967</v>
      </c>
      <c r="B10" s="12" t="str">
        <f t="shared" si="1"/>
        <v>Setembro</v>
      </c>
      <c r="C10" s="8" t="s">
        <v>3073</v>
      </c>
      <c r="D10" s="8" t="s">
        <v>1354</v>
      </c>
      <c r="E10" s="8" t="s">
        <v>1441</v>
      </c>
      <c r="F10" s="23">
        <v>45967</v>
      </c>
      <c r="G10" s="8" t="s">
        <v>1043</v>
      </c>
      <c r="H10" s="23">
        <v>46271</v>
      </c>
      <c r="I10" s="23">
        <v>46271</v>
      </c>
      <c r="J10" s="10">
        <v>900</v>
      </c>
      <c r="K10" s="10">
        <v>0</v>
      </c>
      <c r="L10" s="24">
        <v>0</v>
      </c>
      <c r="M10" s="10">
        <v>900</v>
      </c>
    </row>
    <row r="11" spans="1:13" x14ac:dyDescent="0.25">
      <c r="A11" s="12" t="str">
        <f t="shared" si="0"/>
        <v>000021382ME0012RITA CÂNDIDA DOS SANTOSDEP45967</v>
      </c>
      <c r="B11" s="12" t="str">
        <f t="shared" si="1"/>
        <v>Outubro</v>
      </c>
      <c r="C11" s="8" t="s">
        <v>3211</v>
      </c>
      <c r="D11" s="8" t="s">
        <v>1354</v>
      </c>
      <c r="E11" s="8" t="s">
        <v>1441</v>
      </c>
      <c r="F11" s="23">
        <v>45967</v>
      </c>
      <c r="G11" s="8" t="s">
        <v>1043</v>
      </c>
      <c r="H11" s="23">
        <v>46301</v>
      </c>
      <c r="I11" s="23">
        <v>46301</v>
      </c>
      <c r="J11" s="10">
        <v>900</v>
      </c>
      <c r="K11" s="10">
        <v>0</v>
      </c>
      <c r="L11" s="24">
        <v>0</v>
      </c>
      <c r="M11" s="10">
        <v>900</v>
      </c>
    </row>
    <row r="12" spans="1:13" x14ac:dyDescent="0.25">
      <c r="A12" s="12" t="str">
        <f t="shared" si="0"/>
        <v>1DIOGO BONELA TONHARCB46028,5951388889</v>
      </c>
      <c r="B12" s="12" t="str">
        <f t="shared" si="1"/>
        <v>Janeiro</v>
      </c>
      <c r="C12" s="8" t="s">
        <v>664</v>
      </c>
      <c r="D12" s="8" t="s">
        <v>664</v>
      </c>
      <c r="E12" s="8" t="s">
        <v>52</v>
      </c>
      <c r="F12" s="23">
        <v>46028.595138888886</v>
      </c>
      <c r="G12" s="8" t="s">
        <v>1045</v>
      </c>
      <c r="H12" s="23">
        <v>46031</v>
      </c>
      <c r="I12" s="23">
        <v>46028.595138888886</v>
      </c>
      <c r="J12" s="10">
        <v>21</v>
      </c>
      <c r="K12" s="10">
        <v>0</v>
      </c>
      <c r="L12" s="24">
        <v>0</v>
      </c>
      <c r="M12" s="10">
        <v>21</v>
      </c>
    </row>
    <row r="13" spans="1:13" x14ac:dyDescent="0.25">
      <c r="A13" s="12" t="str">
        <f t="shared" si="0"/>
        <v>1WILLIAM FLAVIO DE SOUZARCB46030,5791666667</v>
      </c>
      <c r="B13" s="12" t="str">
        <f t="shared" si="1"/>
        <v>Janeiro</v>
      </c>
      <c r="C13" s="8" t="s">
        <v>664</v>
      </c>
      <c r="D13" s="8" t="s">
        <v>664</v>
      </c>
      <c r="E13" s="8" t="s">
        <v>1459</v>
      </c>
      <c r="F13" s="23">
        <v>46030.57916666667</v>
      </c>
      <c r="G13" s="8" t="s">
        <v>1045</v>
      </c>
      <c r="H13" s="23">
        <v>46035</v>
      </c>
      <c r="I13" s="23">
        <v>46030.57916666667</v>
      </c>
      <c r="J13" s="10">
        <v>25</v>
      </c>
      <c r="K13" s="10">
        <v>0</v>
      </c>
      <c r="L13" s="24">
        <v>0</v>
      </c>
      <c r="M13" s="10">
        <v>25</v>
      </c>
    </row>
    <row r="14" spans="1:13" x14ac:dyDescent="0.25">
      <c r="A14" s="12" t="str">
        <f t="shared" si="0"/>
        <v>1ANDRE GOMES DA SILVARCB46031,59375</v>
      </c>
      <c r="B14" s="12" t="str">
        <f t="shared" si="1"/>
        <v>Janeiro</v>
      </c>
      <c r="C14" s="8" t="s">
        <v>664</v>
      </c>
      <c r="D14" s="8" t="s">
        <v>664</v>
      </c>
      <c r="E14" s="8" t="s">
        <v>14</v>
      </c>
      <c r="F14" s="23">
        <v>46031.59375</v>
      </c>
      <c r="G14" s="8" t="s">
        <v>1045</v>
      </c>
      <c r="H14" s="23">
        <v>46036</v>
      </c>
      <c r="I14" s="23">
        <v>46031.59375</v>
      </c>
      <c r="J14" s="10">
        <v>183</v>
      </c>
      <c r="K14" s="10">
        <v>0</v>
      </c>
      <c r="L14" s="24">
        <v>0</v>
      </c>
      <c r="M14" s="10">
        <v>183</v>
      </c>
    </row>
    <row r="15" spans="1:13" x14ac:dyDescent="0.25">
      <c r="A15" s="12" t="str">
        <f t="shared" si="0"/>
        <v>1EDMILSON FERREIRA VIDALRCB46034,5958333333</v>
      </c>
      <c r="B15" s="12" t="str">
        <f t="shared" si="1"/>
        <v>Janeiro</v>
      </c>
      <c r="C15" s="8" t="s">
        <v>664</v>
      </c>
      <c r="D15" s="8" t="s">
        <v>664</v>
      </c>
      <c r="E15" s="8" t="s">
        <v>1471</v>
      </c>
      <c r="F15" s="23">
        <v>46034.595833333333</v>
      </c>
      <c r="G15" s="8" t="s">
        <v>1045</v>
      </c>
      <c r="H15" s="23">
        <v>46037</v>
      </c>
      <c r="I15" s="23">
        <v>46034.595833333333</v>
      </c>
      <c r="J15" s="10">
        <v>40</v>
      </c>
      <c r="K15" s="10">
        <v>0</v>
      </c>
      <c r="L15" s="24">
        <v>0</v>
      </c>
      <c r="M15" s="10">
        <v>40</v>
      </c>
    </row>
    <row r="16" spans="1:13" x14ac:dyDescent="0.25">
      <c r="A16" s="12" t="str">
        <f t="shared" si="0"/>
        <v>1SIMONE DIAS LEANDRORCB46041,4819444444</v>
      </c>
      <c r="B16" s="12" t="str">
        <f t="shared" si="1"/>
        <v>Janeiro</v>
      </c>
      <c r="C16" s="8" t="s">
        <v>664</v>
      </c>
      <c r="D16" s="8" t="s">
        <v>664</v>
      </c>
      <c r="E16" s="8" t="s">
        <v>181</v>
      </c>
      <c r="F16" s="23">
        <v>46041.481944444444</v>
      </c>
      <c r="G16" s="8" t="s">
        <v>1045</v>
      </c>
      <c r="H16" s="23">
        <v>46044</v>
      </c>
      <c r="I16" s="23">
        <v>46041.481944444444</v>
      </c>
      <c r="J16" s="10">
        <v>18.329999999999998</v>
      </c>
      <c r="K16" s="10">
        <v>0</v>
      </c>
      <c r="L16" s="24">
        <v>0</v>
      </c>
      <c r="M16" s="10">
        <v>18.329999999999998</v>
      </c>
    </row>
    <row r="17" spans="1:13" x14ac:dyDescent="0.25">
      <c r="A17" s="12" t="str">
        <f t="shared" si="0"/>
        <v>1PETERSON HENRIQUE PEREIRA ROCHARCB46041,5</v>
      </c>
      <c r="B17" s="12" t="str">
        <f t="shared" si="1"/>
        <v>Janeiro</v>
      </c>
      <c r="C17" s="8" t="s">
        <v>664</v>
      </c>
      <c r="D17" s="8" t="s">
        <v>664</v>
      </c>
      <c r="E17" s="8" t="s">
        <v>1585</v>
      </c>
      <c r="F17" s="23">
        <v>46041.5</v>
      </c>
      <c r="G17" s="8" t="s">
        <v>1045</v>
      </c>
      <c r="H17" s="23">
        <v>46044</v>
      </c>
      <c r="I17" s="23">
        <v>46041.5</v>
      </c>
      <c r="J17" s="10">
        <v>50</v>
      </c>
      <c r="K17" s="10">
        <v>0</v>
      </c>
      <c r="L17" s="24">
        <v>0</v>
      </c>
      <c r="M17" s="10">
        <v>50</v>
      </c>
    </row>
    <row r="18" spans="1:13" x14ac:dyDescent="0.25">
      <c r="A18" s="12" t="str">
        <f t="shared" si="0"/>
        <v>1ANSELMO A. OLIVEIRARCB46041,6840277778</v>
      </c>
      <c r="B18" s="12" t="str">
        <f t="shared" si="1"/>
        <v>Janeiro</v>
      </c>
      <c r="C18" s="8" t="s">
        <v>664</v>
      </c>
      <c r="D18" s="8" t="s">
        <v>664</v>
      </c>
      <c r="E18" s="8" t="s">
        <v>1598</v>
      </c>
      <c r="F18" s="23">
        <v>46041.684027777781</v>
      </c>
      <c r="G18" s="8" t="s">
        <v>1045</v>
      </c>
      <c r="H18" s="23">
        <v>46044</v>
      </c>
      <c r="I18" s="23">
        <v>46041.684027777781</v>
      </c>
      <c r="J18" s="10">
        <v>60</v>
      </c>
      <c r="K18" s="10">
        <v>0</v>
      </c>
      <c r="L18" s="24">
        <v>0</v>
      </c>
      <c r="M18" s="10">
        <v>60</v>
      </c>
    </row>
    <row r="19" spans="1:13" x14ac:dyDescent="0.25">
      <c r="A19" s="12" t="str">
        <f t="shared" si="0"/>
        <v>1ELITON ADRIANO DA SILVArcb46042,6152777778</v>
      </c>
      <c r="B19" s="12" t="str">
        <f t="shared" si="1"/>
        <v>Janeiro</v>
      </c>
      <c r="C19" s="8" t="s">
        <v>664</v>
      </c>
      <c r="D19" s="8" t="s">
        <v>664</v>
      </c>
      <c r="E19" s="8" t="s">
        <v>60</v>
      </c>
      <c r="F19" s="23">
        <v>46042.615277777775</v>
      </c>
      <c r="G19" s="8" t="s">
        <v>1423</v>
      </c>
      <c r="H19" s="23">
        <v>46045</v>
      </c>
      <c r="I19" s="23">
        <v>46042.615277777775</v>
      </c>
      <c r="J19" s="10">
        <v>100</v>
      </c>
      <c r="K19" s="10">
        <v>0</v>
      </c>
      <c r="L19" s="24">
        <v>0</v>
      </c>
      <c r="M19" s="10">
        <v>100</v>
      </c>
    </row>
    <row r="20" spans="1:13" x14ac:dyDescent="0.25">
      <c r="A20" s="12" t="str">
        <f t="shared" si="0"/>
        <v>1OTONIEL EVARISTO DA SILVARCB46042,6131944444</v>
      </c>
      <c r="B20" s="12" t="str">
        <f t="shared" si="1"/>
        <v>Janeiro</v>
      </c>
      <c r="C20" s="8" t="s">
        <v>664</v>
      </c>
      <c r="D20" s="8" t="s">
        <v>664</v>
      </c>
      <c r="E20" s="8" t="s">
        <v>1607</v>
      </c>
      <c r="F20" s="23">
        <v>46042.613194444442</v>
      </c>
      <c r="G20" s="8" t="s">
        <v>1045</v>
      </c>
      <c r="H20" s="23">
        <v>46045</v>
      </c>
      <c r="I20" s="23">
        <v>46042.613194444442</v>
      </c>
      <c r="J20" s="10">
        <v>100</v>
      </c>
      <c r="K20" s="10">
        <v>0</v>
      </c>
      <c r="L20" s="24">
        <v>0</v>
      </c>
      <c r="M20" s="10">
        <v>100</v>
      </c>
    </row>
    <row r="21" spans="1:13" x14ac:dyDescent="0.25">
      <c r="A21" s="12" t="str">
        <f t="shared" si="0"/>
        <v>1PAULO SILAS GOMES SOARESRCB46042,4854166667</v>
      </c>
      <c r="B21" s="12" t="str">
        <f t="shared" si="1"/>
        <v>Janeiro</v>
      </c>
      <c r="C21" s="8" t="s">
        <v>664</v>
      </c>
      <c r="D21" s="8" t="s">
        <v>664</v>
      </c>
      <c r="E21" s="8" t="s">
        <v>154</v>
      </c>
      <c r="F21" s="23">
        <v>46042.48541666667</v>
      </c>
      <c r="G21" s="8" t="s">
        <v>1045</v>
      </c>
      <c r="H21" s="23">
        <v>46045</v>
      </c>
      <c r="I21" s="23">
        <v>46042.48541666667</v>
      </c>
      <c r="J21" s="10">
        <v>263.68</v>
      </c>
      <c r="K21" s="10">
        <v>0</v>
      </c>
      <c r="L21" s="24">
        <v>0</v>
      </c>
      <c r="M21" s="10">
        <v>263.68</v>
      </c>
    </row>
    <row r="22" spans="1:13" x14ac:dyDescent="0.25">
      <c r="A22" s="12" t="str">
        <f t="shared" si="0"/>
        <v>1KLEBER FERREIRA DA SILVARCB46043,3645833333</v>
      </c>
      <c r="B22" s="12" t="str">
        <f t="shared" si="1"/>
        <v>Janeiro</v>
      </c>
      <c r="C22" s="8" t="s">
        <v>664</v>
      </c>
      <c r="D22" s="8" t="s">
        <v>664</v>
      </c>
      <c r="E22" s="8" t="s">
        <v>1614</v>
      </c>
      <c r="F22" s="23">
        <v>46043.364583333336</v>
      </c>
      <c r="G22" s="8" t="s">
        <v>1045</v>
      </c>
      <c r="H22" s="23">
        <v>46048</v>
      </c>
      <c r="I22" s="23">
        <v>46043.364583333336</v>
      </c>
      <c r="J22" s="10">
        <v>100</v>
      </c>
      <c r="K22" s="10">
        <v>0</v>
      </c>
      <c r="L22" s="24">
        <v>0</v>
      </c>
      <c r="M22" s="10">
        <v>100</v>
      </c>
    </row>
    <row r="23" spans="1:13" x14ac:dyDescent="0.25">
      <c r="A23" s="12" t="str">
        <f t="shared" si="0"/>
        <v>1MAKWELL HERMINIO TAVARESRCB46043,3659722222</v>
      </c>
      <c r="B23" s="12" t="str">
        <f t="shared" si="1"/>
        <v>Janeiro</v>
      </c>
      <c r="C23" s="8" t="s">
        <v>664</v>
      </c>
      <c r="D23" s="8" t="s">
        <v>664</v>
      </c>
      <c r="E23" s="8" t="s">
        <v>1615</v>
      </c>
      <c r="F23" s="23">
        <v>46043.365972222222</v>
      </c>
      <c r="G23" s="8" t="s">
        <v>1045</v>
      </c>
      <c r="H23" s="23">
        <v>46048</v>
      </c>
      <c r="I23" s="23">
        <v>46043.365972222222</v>
      </c>
      <c r="J23" s="10">
        <v>100</v>
      </c>
      <c r="K23" s="10">
        <v>0</v>
      </c>
      <c r="L23" s="24">
        <v>0</v>
      </c>
      <c r="M23" s="10">
        <v>100</v>
      </c>
    </row>
    <row r="24" spans="1:13" x14ac:dyDescent="0.25">
      <c r="A24" s="12" t="str">
        <f t="shared" si="0"/>
        <v>1RONALDO VAZ DE OLIVEIRARCB46045,4333333333</v>
      </c>
      <c r="B24" s="12" t="str">
        <f t="shared" si="1"/>
        <v>Janeiro</v>
      </c>
      <c r="C24" s="8" t="s">
        <v>664</v>
      </c>
      <c r="D24" s="8" t="s">
        <v>664</v>
      </c>
      <c r="E24" s="8" t="s">
        <v>781</v>
      </c>
      <c r="F24" s="23">
        <v>46045.433333333334</v>
      </c>
      <c r="G24" s="8" t="s">
        <v>1045</v>
      </c>
      <c r="H24" s="23">
        <v>46050</v>
      </c>
      <c r="I24" s="23">
        <v>46045.433333333334</v>
      </c>
      <c r="J24" s="10">
        <v>200</v>
      </c>
      <c r="K24" s="10">
        <v>0</v>
      </c>
      <c r="L24" s="24">
        <v>0</v>
      </c>
      <c r="M24" s="10">
        <v>200</v>
      </c>
    </row>
    <row r="25" spans="1:13" x14ac:dyDescent="0.25">
      <c r="A25" s="12" t="str">
        <f t="shared" si="0"/>
        <v>1JONAS SILVERIO DE OLIVEIRARCB46055,6027777778</v>
      </c>
      <c r="B25" s="12" t="str">
        <f t="shared" si="1"/>
        <v>Fevereiro</v>
      </c>
      <c r="C25" s="8" t="s">
        <v>664</v>
      </c>
      <c r="D25" s="8" t="s">
        <v>664</v>
      </c>
      <c r="E25" s="8" t="s">
        <v>95</v>
      </c>
      <c r="F25" s="23">
        <v>46055.602777777778</v>
      </c>
      <c r="G25" s="8" t="s">
        <v>1045</v>
      </c>
      <c r="H25" s="23">
        <v>46058</v>
      </c>
      <c r="I25" s="23">
        <v>46055.602777777778</v>
      </c>
      <c r="J25" s="10">
        <v>374</v>
      </c>
      <c r="K25" s="10">
        <v>0</v>
      </c>
      <c r="L25" s="24">
        <v>0</v>
      </c>
      <c r="M25" s="10">
        <v>374</v>
      </c>
    </row>
    <row r="26" spans="1:13" x14ac:dyDescent="0.25">
      <c r="A26" s="12" t="str">
        <f t="shared" si="0"/>
        <v>1Wallace de Souza SantosRCB46056,4458333333</v>
      </c>
      <c r="B26" s="12" t="str">
        <f t="shared" si="1"/>
        <v>Fevereiro</v>
      </c>
      <c r="C26" s="8" t="s">
        <v>664</v>
      </c>
      <c r="D26" s="8" t="s">
        <v>664</v>
      </c>
      <c r="E26" s="8" t="s">
        <v>1668</v>
      </c>
      <c r="F26" s="23">
        <v>46056.445833333331</v>
      </c>
      <c r="G26" s="8" t="s">
        <v>1045</v>
      </c>
      <c r="H26" s="23">
        <v>46059</v>
      </c>
      <c r="I26" s="23">
        <v>46056.445833333331</v>
      </c>
      <c r="J26" s="10">
        <v>170</v>
      </c>
      <c r="K26" s="10">
        <v>0</v>
      </c>
      <c r="L26" s="24">
        <v>0</v>
      </c>
      <c r="M26" s="10">
        <v>170</v>
      </c>
    </row>
    <row r="27" spans="1:13" x14ac:dyDescent="0.25">
      <c r="A27" s="12" t="str">
        <f t="shared" si="0"/>
        <v>1ANTONIO ALCIDES AFONSONSE46031</v>
      </c>
      <c r="B27" s="12" t="str">
        <f t="shared" si="1"/>
        <v>Fevereiro</v>
      </c>
      <c r="C27" s="8" t="s">
        <v>664</v>
      </c>
      <c r="D27" s="8" t="s">
        <v>1354</v>
      </c>
      <c r="E27" s="8" t="s">
        <v>18</v>
      </c>
      <c r="F27" s="23">
        <v>46031</v>
      </c>
      <c r="G27" s="8" t="s">
        <v>665</v>
      </c>
      <c r="H27" s="23">
        <v>46059</v>
      </c>
      <c r="I27" s="23">
        <v>46031</v>
      </c>
      <c r="J27" s="10">
        <v>300</v>
      </c>
      <c r="K27" s="10">
        <v>0</v>
      </c>
      <c r="L27" s="24">
        <v>0</v>
      </c>
      <c r="M27" s="10">
        <v>300</v>
      </c>
    </row>
    <row r="28" spans="1:13" x14ac:dyDescent="0.25">
      <c r="A28" s="12" t="str">
        <f t="shared" si="0"/>
        <v>1BUFFET SILVANA FESTASRCB46059,48125</v>
      </c>
      <c r="B28" s="12" t="str">
        <f t="shared" si="1"/>
        <v>Fevereiro</v>
      </c>
      <c r="C28" s="8" t="s">
        <v>664</v>
      </c>
      <c r="D28" s="8" t="s">
        <v>664</v>
      </c>
      <c r="E28" s="8" t="s">
        <v>1716</v>
      </c>
      <c r="F28" s="23">
        <v>46059.481249999997</v>
      </c>
      <c r="G28" s="8" t="s">
        <v>1045</v>
      </c>
      <c r="H28" s="23">
        <v>46064</v>
      </c>
      <c r="I28" s="23">
        <v>46059.481249999997</v>
      </c>
      <c r="J28" s="10">
        <v>210</v>
      </c>
      <c r="K28" s="10">
        <v>0</v>
      </c>
      <c r="L28" s="24">
        <v>0</v>
      </c>
      <c r="M28" s="10">
        <v>210</v>
      </c>
    </row>
    <row r="29" spans="1:13" x14ac:dyDescent="0.25">
      <c r="A29" s="12" t="str">
        <f t="shared" si="0"/>
        <v>1LUCAS VINICIUS RIBEIRO CUNHARCB46063,64375</v>
      </c>
      <c r="B29" s="12" t="str">
        <f t="shared" si="1"/>
        <v>Fevereiro</v>
      </c>
      <c r="C29" s="8" t="s">
        <v>664</v>
      </c>
      <c r="D29" s="8" t="s">
        <v>664</v>
      </c>
      <c r="E29" s="8" t="s">
        <v>1747</v>
      </c>
      <c r="F29" s="23">
        <v>46063.643750000003</v>
      </c>
      <c r="G29" s="8" t="s">
        <v>1045</v>
      </c>
      <c r="H29" s="23">
        <v>46066</v>
      </c>
      <c r="I29" s="23">
        <v>46063.643750000003</v>
      </c>
      <c r="J29" s="10">
        <v>105</v>
      </c>
      <c r="K29" s="10">
        <v>0</v>
      </c>
      <c r="L29" s="24">
        <v>0</v>
      </c>
      <c r="M29" s="10">
        <v>105</v>
      </c>
    </row>
    <row r="30" spans="1:13" x14ac:dyDescent="0.25">
      <c r="A30" s="12" t="str">
        <f t="shared" si="0"/>
        <v>1CICERO ISRAEL DOS SANTOSRCB46065,6243055556</v>
      </c>
      <c r="B30" s="12" t="str">
        <f t="shared" si="1"/>
        <v>Fevereiro</v>
      </c>
      <c r="C30" s="8" t="s">
        <v>664</v>
      </c>
      <c r="D30" s="8" t="s">
        <v>664</v>
      </c>
      <c r="E30" s="8" t="s">
        <v>43</v>
      </c>
      <c r="F30" s="23">
        <v>46065.624305555553</v>
      </c>
      <c r="G30" s="8" t="s">
        <v>1045</v>
      </c>
      <c r="H30" s="23">
        <v>46070</v>
      </c>
      <c r="I30" s="23">
        <v>46065.624305555553</v>
      </c>
      <c r="J30" s="10">
        <v>113</v>
      </c>
      <c r="K30" s="10">
        <v>0</v>
      </c>
      <c r="L30" s="24">
        <v>0</v>
      </c>
      <c r="M30" s="10">
        <v>113</v>
      </c>
    </row>
    <row r="31" spans="1:13" x14ac:dyDescent="0.25">
      <c r="A31" s="12" t="str">
        <f t="shared" si="0"/>
        <v>1RC TRUCK CENTER S/ANSE46035</v>
      </c>
      <c r="B31" s="12" t="str">
        <f t="shared" si="1"/>
        <v>Fevereiro</v>
      </c>
      <c r="C31" s="8" t="s">
        <v>664</v>
      </c>
      <c r="D31" s="8" t="s">
        <v>1354</v>
      </c>
      <c r="E31" s="8" t="s">
        <v>164</v>
      </c>
      <c r="F31" s="23">
        <v>46035</v>
      </c>
      <c r="G31" s="8" t="s">
        <v>665</v>
      </c>
      <c r="H31" s="23">
        <v>46067</v>
      </c>
      <c r="I31" s="23">
        <v>46038</v>
      </c>
      <c r="J31" s="10">
        <v>1260</v>
      </c>
      <c r="K31" s="10">
        <v>0</v>
      </c>
      <c r="L31" s="24">
        <v>0</v>
      </c>
      <c r="M31" s="10">
        <v>1209.5999999999999</v>
      </c>
    </row>
    <row r="32" spans="1:13" x14ac:dyDescent="0.25">
      <c r="A32" s="12" t="str">
        <f t="shared" si="0"/>
        <v>1JM MOVE CARGA E DESCARGARCB46077,4319444444</v>
      </c>
      <c r="B32" s="12" t="str">
        <f t="shared" si="1"/>
        <v>Fevereiro</v>
      </c>
      <c r="C32" s="8" t="s">
        <v>664</v>
      </c>
      <c r="D32" s="8" t="s">
        <v>664</v>
      </c>
      <c r="E32" s="8" t="s">
        <v>93</v>
      </c>
      <c r="F32" s="23">
        <v>46077.431944444441</v>
      </c>
      <c r="G32" s="8" t="s">
        <v>1045</v>
      </c>
      <c r="H32" s="23">
        <v>46080</v>
      </c>
      <c r="I32" s="23">
        <v>46077.431944444441</v>
      </c>
      <c r="J32" s="10">
        <v>59.5</v>
      </c>
      <c r="K32" s="10">
        <v>0</v>
      </c>
      <c r="L32" s="24">
        <v>0</v>
      </c>
      <c r="M32" s="10">
        <v>59.5</v>
      </c>
    </row>
    <row r="33" spans="1:13" x14ac:dyDescent="0.25">
      <c r="A33" s="12" t="str">
        <f t="shared" si="0"/>
        <v>1LAVA JATO FIRMINOS LTDARCB46078,6569444444</v>
      </c>
      <c r="B33" s="12" t="str">
        <f t="shared" si="1"/>
        <v>Março</v>
      </c>
      <c r="C33" s="8" t="s">
        <v>664</v>
      </c>
      <c r="D33" s="8" t="s">
        <v>664</v>
      </c>
      <c r="E33" s="8" t="s">
        <v>1921</v>
      </c>
      <c r="F33" s="23">
        <v>46078.656944444447</v>
      </c>
      <c r="G33" s="8" t="s">
        <v>1045</v>
      </c>
      <c r="H33" s="23">
        <v>46083</v>
      </c>
      <c r="I33" s="23">
        <v>46078.656944444447</v>
      </c>
      <c r="J33" s="10">
        <v>270</v>
      </c>
      <c r="K33" s="10">
        <v>0</v>
      </c>
      <c r="L33" s="24">
        <v>0</v>
      </c>
      <c r="M33" s="10">
        <v>270</v>
      </c>
    </row>
    <row r="34" spans="1:13" x14ac:dyDescent="0.25">
      <c r="A34" s="12" t="str">
        <f t="shared" si="0"/>
        <v>1MARCO VIEIRA DOS SANTOSRCB46080,4041666667</v>
      </c>
      <c r="B34" s="12" t="str">
        <f t="shared" si="1"/>
        <v>Março</v>
      </c>
      <c r="C34" s="8" t="s">
        <v>664</v>
      </c>
      <c r="D34" s="8" t="s">
        <v>664</v>
      </c>
      <c r="E34" s="8" t="s">
        <v>1931</v>
      </c>
      <c r="F34" s="23">
        <v>46080.404166666667</v>
      </c>
      <c r="G34" s="8" t="s">
        <v>1045</v>
      </c>
      <c r="H34" s="23">
        <v>46085</v>
      </c>
      <c r="I34" s="23">
        <v>46080.404166666667</v>
      </c>
      <c r="J34" s="10">
        <v>60</v>
      </c>
      <c r="K34" s="10">
        <v>0</v>
      </c>
      <c r="L34" s="24">
        <v>0</v>
      </c>
      <c r="M34" s="10">
        <v>60</v>
      </c>
    </row>
    <row r="35" spans="1:13" x14ac:dyDescent="0.25">
      <c r="A35" s="12" t="str">
        <f t="shared" si="0"/>
        <v>1PAULO JOSE MAIA CORDEIRORCB46080,4090277778</v>
      </c>
      <c r="B35" s="12" t="str">
        <f t="shared" si="1"/>
        <v>Março</v>
      </c>
      <c r="C35" s="8" t="s">
        <v>664</v>
      </c>
      <c r="D35" s="8" t="s">
        <v>664</v>
      </c>
      <c r="E35" s="8" t="s">
        <v>1932</v>
      </c>
      <c r="F35" s="23">
        <v>46080.40902777778</v>
      </c>
      <c r="G35" s="8" t="s">
        <v>1045</v>
      </c>
      <c r="H35" s="23">
        <v>46085</v>
      </c>
      <c r="I35" s="23">
        <v>46080.40902777778</v>
      </c>
      <c r="J35" s="10">
        <v>315</v>
      </c>
      <c r="K35" s="10">
        <v>0</v>
      </c>
      <c r="L35" s="24">
        <v>0</v>
      </c>
      <c r="M35" s="10">
        <v>315</v>
      </c>
    </row>
    <row r="36" spans="1:13" x14ac:dyDescent="0.25">
      <c r="A36" s="12" t="str">
        <f t="shared" si="0"/>
        <v>1DANILO SANTOS BARBOSARCB46085,5076388889</v>
      </c>
      <c r="B36" s="12" t="str">
        <f t="shared" si="1"/>
        <v>Março</v>
      </c>
      <c r="C36" s="8" t="s">
        <v>664</v>
      </c>
      <c r="D36" s="8" t="s">
        <v>664</v>
      </c>
      <c r="E36" s="8" t="s">
        <v>1946</v>
      </c>
      <c r="F36" s="23">
        <v>46085.507638888892</v>
      </c>
      <c r="G36" s="8" t="s">
        <v>1045</v>
      </c>
      <c r="H36" s="23">
        <v>46091</v>
      </c>
      <c r="I36" s="23">
        <v>46085.507638888892</v>
      </c>
      <c r="J36" s="10">
        <v>47.9</v>
      </c>
      <c r="K36" s="10">
        <v>0</v>
      </c>
      <c r="L36" s="24">
        <v>0</v>
      </c>
      <c r="M36" s="10">
        <v>47.9</v>
      </c>
    </row>
    <row r="37" spans="1:13" x14ac:dyDescent="0.25">
      <c r="A37" s="12" t="str">
        <f t="shared" si="0"/>
        <v>1PAULO HENRIQUE MACHADO RIBEIRORCB46091,3916666667</v>
      </c>
      <c r="B37" s="12" t="str">
        <f t="shared" si="1"/>
        <v>Março</v>
      </c>
      <c r="C37" s="8" t="s">
        <v>664</v>
      </c>
      <c r="D37" s="8" t="s">
        <v>664</v>
      </c>
      <c r="E37" s="8" t="s">
        <v>2005</v>
      </c>
      <c r="F37" s="23">
        <v>46091.39166666667</v>
      </c>
      <c r="G37" s="8" t="s">
        <v>1045</v>
      </c>
      <c r="H37" s="23">
        <v>46094</v>
      </c>
      <c r="I37" s="23">
        <v>46091.39166666667</v>
      </c>
      <c r="J37" s="10">
        <v>30</v>
      </c>
      <c r="K37" s="10">
        <v>0</v>
      </c>
      <c r="L37" s="24">
        <v>0</v>
      </c>
      <c r="M37" s="10">
        <v>30</v>
      </c>
    </row>
    <row r="38" spans="1:13" x14ac:dyDescent="0.25">
      <c r="A38" s="12" t="str">
        <f t="shared" si="0"/>
        <v>1DANIEL WANDERSON DOS SANTOS BATISTARCB46091,6659722222</v>
      </c>
      <c r="B38" s="12" t="str">
        <f t="shared" si="1"/>
        <v>Março</v>
      </c>
      <c r="C38" s="8" t="s">
        <v>664</v>
      </c>
      <c r="D38" s="8" t="s">
        <v>664</v>
      </c>
      <c r="E38" s="8" t="s">
        <v>2006</v>
      </c>
      <c r="F38" s="23">
        <v>46091.665972222225</v>
      </c>
      <c r="G38" s="8" t="s">
        <v>1045</v>
      </c>
      <c r="H38" s="23">
        <v>46094</v>
      </c>
      <c r="I38" s="23">
        <v>46091.665972222225</v>
      </c>
      <c r="J38" s="10">
        <v>213</v>
      </c>
      <c r="K38" s="10">
        <v>0</v>
      </c>
      <c r="L38" s="24">
        <v>0</v>
      </c>
      <c r="M38" s="10">
        <v>213</v>
      </c>
    </row>
    <row r="39" spans="1:13" x14ac:dyDescent="0.25">
      <c r="A39" s="12" t="str">
        <f t="shared" si="0"/>
        <v>1WADSON PEREIRA DE JESUSRCB46092,6118055556</v>
      </c>
      <c r="B39" s="12" t="str">
        <f t="shared" si="1"/>
        <v>Março</v>
      </c>
      <c r="C39" s="8" t="s">
        <v>664</v>
      </c>
      <c r="D39" s="8" t="s">
        <v>664</v>
      </c>
      <c r="E39" s="8" t="s">
        <v>2017</v>
      </c>
      <c r="F39" s="23">
        <v>46092.611805555556</v>
      </c>
      <c r="G39" s="8" t="s">
        <v>1045</v>
      </c>
      <c r="H39" s="23">
        <v>46097</v>
      </c>
      <c r="I39" s="23">
        <v>46092.611805555556</v>
      </c>
      <c r="J39" s="10">
        <v>15.75</v>
      </c>
      <c r="K39" s="10">
        <v>0</v>
      </c>
      <c r="L39" s="24">
        <v>0</v>
      </c>
      <c r="M39" s="10">
        <v>15.75</v>
      </c>
    </row>
    <row r="40" spans="1:13" x14ac:dyDescent="0.25">
      <c r="A40" s="12" t="str">
        <f t="shared" si="0"/>
        <v>1CHRISTOPHER VENANCIO DE OLIVEIRARCB46097,4618055556</v>
      </c>
      <c r="B40" s="12" t="str">
        <f t="shared" si="1"/>
        <v>Março</v>
      </c>
      <c r="C40" s="8" t="s">
        <v>664</v>
      </c>
      <c r="D40" s="8" t="s">
        <v>664</v>
      </c>
      <c r="E40" s="8" t="s">
        <v>2067</v>
      </c>
      <c r="F40" s="23">
        <v>46097.461805555555</v>
      </c>
      <c r="G40" s="8" t="s">
        <v>1045</v>
      </c>
      <c r="H40" s="23">
        <v>46100</v>
      </c>
      <c r="I40" s="23">
        <v>46097.461805555555</v>
      </c>
      <c r="J40" s="10">
        <v>60.66</v>
      </c>
      <c r="K40" s="10">
        <v>0</v>
      </c>
      <c r="L40" s="24">
        <v>0</v>
      </c>
      <c r="M40" s="10">
        <v>60.66</v>
      </c>
    </row>
    <row r="41" spans="1:13" x14ac:dyDescent="0.25">
      <c r="A41" s="12" t="str">
        <f t="shared" si="0"/>
        <v>1WEVERSON RODRIGO DA SILVA CARDOSORCB46097,6673611111</v>
      </c>
      <c r="B41" s="12" t="str">
        <f t="shared" si="1"/>
        <v>Março</v>
      </c>
      <c r="C41" s="8" t="s">
        <v>664</v>
      </c>
      <c r="D41" s="8" t="s">
        <v>664</v>
      </c>
      <c r="E41" s="8" t="s">
        <v>2070</v>
      </c>
      <c r="F41" s="23">
        <v>46097.667361111111</v>
      </c>
      <c r="G41" s="8" t="s">
        <v>1045</v>
      </c>
      <c r="H41" s="23">
        <v>46100</v>
      </c>
      <c r="I41" s="23">
        <v>46097.667361111111</v>
      </c>
      <c r="J41" s="10">
        <v>91</v>
      </c>
      <c r="K41" s="10">
        <v>0</v>
      </c>
      <c r="L41" s="24">
        <v>0</v>
      </c>
      <c r="M41" s="10">
        <v>91</v>
      </c>
    </row>
    <row r="42" spans="1:13" x14ac:dyDescent="0.25">
      <c r="A42" s="12" t="str">
        <f t="shared" si="0"/>
        <v>1NICOLAS PEREIRA DE BRITORCB46098,7541666667</v>
      </c>
      <c r="B42" s="12" t="str">
        <f t="shared" si="1"/>
        <v>Março</v>
      </c>
      <c r="C42" s="8" t="s">
        <v>664</v>
      </c>
      <c r="D42" s="8" t="s">
        <v>664</v>
      </c>
      <c r="E42" s="8" t="s">
        <v>2085</v>
      </c>
      <c r="F42" s="23">
        <v>46098.754166666666</v>
      </c>
      <c r="G42" s="8" t="s">
        <v>1045</v>
      </c>
      <c r="H42" s="23">
        <v>46101</v>
      </c>
      <c r="I42" s="23">
        <v>46098.754166666666</v>
      </c>
      <c r="J42" s="10">
        <v>126.56</v>
      </c>
      <c r="K42" s="10">
        <v>0</v>
      </c>
      <c r="L42" s="24">
        <v>0</v>
      </c>
      <c r="M42" s="10">
        <v>126.56</v>
      </c>
    </row>
    <row r="43" spans="1:13" x14ac:dyDescent="0.25">
      <c r="A43" s="12" t="str">
        <f t="shared" si="0"/>
        <v>1DIONES MARTINS FALEIRORCB46101,5055555556</v>
      </c>
      <c r="B43" s="12" t="str">
        <f t="shared" si="1"/>
        <v>Março</v>
      </c>
      <c r="C43" s="8" t="s">
        <v>664</v>
      </c>
      <c r="D43" s="8" t="s">
        <v>664</v>
      </c>
      <c r="E43" s="8" t="s">
        <v>2096</v>
      </c>
      <c r="F43" s="23">
        <v>46101.505555555559</v>
      </c>
      <c r="G43" s="8" t="s">
        <v>1045</v>
      </c>
      <c r="H43" s="23">
        <v>46106</v>
      </c>
      <c r="I43" s="23">
        <v>46101.505555555559</v>
      </c>
      <c r="J43" s="10">
        <v>100</v>
      </c>
      <c r="K43" s="10">
        <v>0</v>
      </c>
      <c r="L43" s="24">
        <v>0</v>
      </c>
      <c r="M43" s="10">
        <v>100</v>
      </c>
    </row>
    <row r="44" spans="1:13" x14ac:dyDescent="0.25">
      <c r="A44" s="12" t="str">
        <f t="shared" si="0"/>
        <v>1BRUNO LOPES SOARESRCB46105,6194444444</v>
      </c>
      <c r="B44" s="12" t="str">
        <f t="shared" si="1"/>
        <v>Março</v>
      </c>
      <c r="C44" s="8" t="s">
        <v>664</v>
      </c>
      <c r="D44" s="8" t="s">
        <v>664</v>
      </c>
      <c r="E44" s="8" t="s">
        <v>30</v>
      </c>
      <c r="F44" s="23">
        <v>46105.619444444441</v>
      </c>
      <c r="G44" s="8" t="s">
        <v>1045</v>
      </c>
      <c r="H44" s="23">
        <v>46108</v>
      </c>
      <c r="I44" s="23">
        <v>46105.619444444441</v>
      </c>
      <c r="J44" s="10">
        <v>571</v>
      </c>
      <c r="K44" s="10">
        <v>0</v>
      </c>
      <c r="L44" s="24">
        <v>0</v>
      </c>
      <c r="M44" s="10">
        <v>571</v>
      </c>
    </row>
    <row r="45" spans="1:13" x14ac:dyDescent="0.25">
      <c r="A45" s="12" t="str">
        <f t="shared" si="0"/>
        <v>1Reginaldo Gomes da SilvaRCB46105,4631944444</v>
      </c>
      <c r="B45" s="12" t="str">
        <f t="shared" si="1"/>
        <v>Março</v>
      </c>
      <c r="C45" s="8" t="s">
        <v>664</v>
      </c>
      <c r="D45" s="8" t="s">
        <v>664</v>
      </c>
      <c r="E45" s="8" t="s">
        <v>2110</v>
      </c>
      <c r="F45" s="23">
        <v>46105.463194444441</v>
      </c>
      <c r="G45" s="8" t="s">
        <v>1045</v>
      </c>
      <c r="H45" s="23">
        <v>46108</v>
      </c>
      <c r="I45" s="23">
        <v>46105.463194444441</v>
      </c>
      <c r="J45" s="10">
        <v>90</v>
      </c>
      <c r="K45" s="10">
        <v>0</v>
      </c>
      <c r="L45" s="24">
        <v>0</v>
      </c>
      <c r="M45" s="10">
        <v>90</v>
      </c>
    </row>
    <row r="46" spans="1:13" x14ac:dyDescent="0.25">
      <c r="A46" s="12" t="str">
        <f t="shared" si="0"/>
        <v>1PERICOM COMERCIO DE EQUIPAMENTOS DE SEGURANCA LTDARCB46106,65</v>
      </c>
      <c r="B46" s="12" t="str">
        <f t="shared" si="1"/>
        <v>Março</v>
      </c>
      <c r="C46" s="8" t="s">
        <v>664</v>
      </c>
      <c r="D46" s="8" t="s">
        <v>664</v>
      </c>
      <c r="E46" s="8" t="s">
        <v>155</v>
      </c>
      <c r="F46" s="23">
        <v>46106.65</v>
      </c>
      <c r="G46" s="8" t="s">
        <v>1045</v>
      </c>
      <c r="H46" s="23">
        <v>46111</v>
      </c>
      <c r="I46" s="23">
        <v>46106.65</v>
      </c>
      <c r="J46" s="10">
        <v>80.8</v>
      </c>
      <c r="K46" s="10">
        <v>0</v>
      </c>
      <c r="L46" s="24">
        <v>0</v>
      </c>
      <c r="M46" s="10">
        <v>80.8</v>
      </c>
    </row>
    <row r="47" spans="1:13" x14ac:dyDescent="0.25">
      <c r="A47" s="12" t="str">
        <f t="shared" si="0"/>
        <v>1ADILSON PEREIRA DA SILVARCB46106,4333333333</v>
      </c>
      <c r="B47" s="12" t="str">
        <f t="shared" si="1"/>
        <v>Março</v>
      </c>
      <c r="C47" s="8" t="s">
        <v>664</v>
      </c>
      <c r="D47" s="8" t="s">
        <v>664</v>
      </c>
      <c r="E47" s="8" t="s">
        <v>2115</v>
      </c>
      <c r="F47" s="23">
        <v>46106.433333333334</v>
      </c>
      <c r="G47" s="8" t="s">
        <v>1045</v>
      </c>
      <c r="H47" s="23">
        <v>46111</v>
      </c>
      <c r="I47" s="23">
        <v>46106.433333333334</v>
      </c>
      <c r="J47" s="10">
        <v>29.62</v>
      </c>
      <c r="K47" s="10">
        <v>0</v>
      </c>
      <c r="L47" s="24">
        <v>0</v>
      </c>
      <c r="M47" s="10">
        <v>29.62</v>
      </c>
    </row>
    <row r="48" spans="1:13" x14ac:dyDescent="0.25">
      <c r="A48" s="12" t="str">
        <f t="shared" si="0"/>
        <v>1LIRIOBERTON FERREIRA COSTARCB46108,6604166667</v>
      </c>
      <c r="B48" s="12" t="str">
        <f t="shared" si="1"/>
        <v>Abril</v>
      </c>
      <c r="C48" s="8" t="s">
        <v>664</v>
      </c>
      <c r="D48" s="8" t="s">
        <v>664</v>
      </c>
      <c r="E48" s="8" t="s">
        <v>2119</v>
      </c>
      <c r="F48" s="23">
        <v>46108.660416666666</v>
      </c>
      <c r="G48" s="8" t="s">
        <v>1045</v>
      </c>
      <c r="H48" s="23">
        <v>46113</v>
      </c>
      <c r="I48" s="23">
        <v>46108.660416666666</v>
      </c>
      <c r="J48" s="10">
        <v>8</v>
      </c>
      <c r="K48" s="10">
        <v>0</v>
      </c>
      <c r="L48" s="24">
        <v>0</v>
      </c>
      <c r="M48" s="10">
        <v>8</v>
      </c>
    </row>
    <row r="49" spans="1:13" x14ac:dyDescent="0.25">
      <c r="A49" s="12" t="str">
        <f t="shared" si="0"/>
        <v>1GUSTAVO MATIAS DOS SANTOS ROSALINORCB46108,6180555556</v>
      </c>
      <c r="B49" s="12" t="str">
        <f t="shared" si="1"/>
        <v>Abril</v>
      </c>
      <c r="C49" s="8" t="s">
        <v>664</v>
      </c>
      <c r="D49" s="8" t="s">
        <v>664</v>
      </c>
      <c r="E49" s="8" t="s">
        <v>2121</v>
      </c>
      <c r="F49" s="23">
        <v>46108.618055555555</v>
      </c>
      <c r="G49" s="8" t="s">
        <v>1045</v>
      </c>
      <c r="H49" s="23">
        <v>46113</v>
      </c>
      <c r="I49" s="23">
        <v>46108.618055555555</v>
      </c>
      <c r="J49" s="10">
        <v>361.08</v>
      </c>
      <c r="K49" s="10">
        <v>0</v>
      </c>
      <c r="L49" s="24">
        <v>0</v>
      </c>
      <c r="M49" s="10">
        <v>361.08</v>
      </c>
    </row>
    <row r="50" spans="1:13" x14ac:dyDescent="0.25">
      <c r="A50" s="12" t="str">
        <f t="shared" si="0"/>
        <v>1ELISIO CERQUEIRA DE NOVAISRCB46113,7520833333</v>
      </c>
      <c r="B50" s="12" t="str">
        <f t="shared" si="1"/>
        <v>Abril</v>
      </c>
      <c r="C50" s="8" t="s">
        <v>664</v>
      </c>
      <c r="D50" s="8" t="s">
        <v>664</v>
      </c>
      <c r="E50" s="8" t="s">
        <v>2146</v>
      </c>
      <c r="F50" s="23">
        <v>46113.752083333333</v>
      </c>
      <c r="G50" s="8" t="s">
        <v>1045</v>
      </c>
      <c r="H50" s="23">
        <v>46118</v>
      </c>
      <c r="I50" s="23">
        <v>46113.752083333333</v>
      </c>
      <c r="J50" s="10">
        <v>66</v>
      </c>
      <c r="K50" s="10">
        <v>0</v>
      </c>
      <c r="L50" s="24">
        <v>0</v>
      </c>
      <c r="M50" s="10">
        <v>66</v>
      </c>
    </row>
    <row r="51" spans="1:13" x14ac:dyDescent="0.25">
      <c r="A51" s="12" t="str">
        <f t="shared" si="0"/>
        <v>1JR COMERCIO DE DOCES, BISCOITOS E FRIOS LTDARCB46113,7243055556</v>
      </c>
      <c r="B51" s="12" t="str">
        <f t="shared" si="1"/>
        <v>Abril</v>
      </c>
      <c r="C51" s="8" t="s">
        <v>664</v>
      </c>
      <c r="D51" s="8" t="s">
        <v>664</v>
      </c>
      <c r="E51" s="8" t="s">
        <v>2147</v>
      </c>
      <c r="F51" s="23">
        <v>46113.724305555559</v>
      </c>
      <c r="G51" s="8" t="s">
        <v>1045</v>
      </c>
      <c r="H51" s="23">
        <v>46118</v>
      </c>
      <c r="I51" s="23">
        <v>46113.724305555559</v>
      </c>
      <c r="J51" s="10">
        <v>544.79999999999995</v>
      </c>
      <c r="K51" s="10">
        <v>0</v>
      </c>
      <c r="L51" s="24">
        <v>0</v>
      </c>
      <c r="M51" s="10">
        <v>544.79999999999995</v>
      </c>
    </row>
    <row r="52" spans="1:13" x14ac:dyDescent="0.25">
      <c r="A52" s="12" t="str">
        <f t="shared" si="0"/>
        <v>1GEAN CORREA BENFICARCB46118,5111111111</v>
      </c>
      <c r="B52" s="12" t="str">
        <f t="shared" si="1"/>
        <v>Abril</v>
      </c>
      <c r="C52" s="8" t="s">
        <v>664</v>
      </c>
      <c r="D52" s="8" t="s">
        <v>664</v>
      </c>
      <c r="E52" s="8" t="s">
        <v>74</v>
      </c>
      <c r="F52" s="23">
        <v>46118.511111111111</v>
      </c>
      <c r="G52" s="8" t="s">
        <v>1045</v>
      </c>
      <c r="H52" s="23">
        <v>46121</v>
      </c>
      <c r="I52" s="23">
        <v>46118.511111111111</v>
      </c>
      <c r="J52" s="10">
        <v>170</v>
      </c>
      <c r="K52" s="10">
        <v>0</v>
      </c>
      <c r="L52" s="24">
        <v>0</v>
      </c>
      <c r="M52" s="10">
        <v>170</v>
      </c>
    </row>
    <row r="53" spans="1:13" x14ac:dyDescent="0.25">
      <c r="A53" s="12" t="str">
        <f t="shared" si="0"/>
        <v>1ENIO FERREIRA RUMASRCB46126,3631944444</v>
      </c>
      <c r="B53" s="12" t="str">
        <f t="shared" si="1"/>
        <v>Abril</v>
      </c>
      <c r="C53" s="8" t="s">
        <v>664</v>
      </c>
      <c r="D53" s="8" t="s">
        <v>664</v>
      </c>
      <c r="E53" s="8" t="s">
        <v>64</v>
      </c>
      <c r="F53" s="23">
        <v>46126.363194444442</v>
      </c>
      <c r="G53" s="8" t="s">
        <v>1045</v>
      </c>
      <c r="H53" s="23">
        <v>46129</v>
      </c>
      <c r="I53" s="23">
        <v>46126.363194444442</v>
      </c>
      <c r="J53" s="10">
        <v>100</v>
      </c>
      <c r="K53" s="10">
        <v>0</v>
      </c>
      <c r="L53" s="24">
        <v>0</v>
      </c>
      <c r="M53" s="10">
        <v>100</v>
      </c>
    </row>
    <row r="54" spans="1:13" x14ac:dyDescent="0.25">
      <c r="A54" s="12" t="str">
        <f t="shared" si="0"/>
        <v>1GERSON JUNIOR MENDES DIASRCB46129,5923611111</v>
      </c>
      <c r="B54" s="12" t="str">
        <f t="shared" si="1"/>
        <v>Abril</v>
      </c>
      <c r="C54" s="8" t="s">
        <v>664</v>
      </c>
      <c r="D54" s="8" t="s">
        <v>664</v>
      </c>
      <c r="E54" s="8" t="s">
        <v>2282</v>
      </c>
      <c r="F54" s="23">
        <v>46129.592361111114</v>
      </c>
      <c r="G54" s="8" t="s">
        <v>1045</v>
      </c>
      <c r="H54" s="23">
        <v>46139</v>
      </c>
      <c r="I54" s="23">
        <v>46129.592361111114</v>
      </c>
      <c r="J54" s="10">
        <v>121</v>
      </c>
      <c r="K54" s="10">
        <v>0</v>
      </c>
      <c r="L54" s="24">
        <v>0</v>
      </c>
      <c r="M54" s="10">
        <v>121</v>
      </c>
    </row>
    <row r="55" spans="1:13" x14ac:dyDescent="0.25">
      <c r="A55" s="12" t="str">
        <f t="shared" si="0"/>
        <v>1MAX BREDER VARGASRCB46134,7194444444</v>
      </c>
      <c r="B55" s="12" t="str">
        <f t="shared" si="1"/>
        <v>Abril</v>
      </c>
      <c r="C55" s="8" t="s">
        <v>664</v>
      </c>
      <c r="D55" s="8" t="s">
        <v>664</v>
      </c>
      <c r="E55" s="8" t="s">
        <v>2296</v>
      </c>
      <c r="F55" s="23">
        <v>46134.719444444447</v>
      </c>
      <c r="G55" s="8" t="s">
        <v>1045</v>
      </c>
      <c r="H55" s="23">
        <v>46139</v>
      </c>
      <c r="I55" s="23">
        <v>46134.719444444447</v>
      </c>
      <c r="J55" s="10">
        <v>200</v>
      </c>
      <c r="K55" s="10">
        <v>0</v>
      </c>
      <c r="L55" s="24">
        <v>0</v>
      </c>
      <c r="M55" s="10">
        <v>200</v>
      </c>
    </row>
    <row r="56" spans="1:13" x14ac:dyDescent="0.25">
      <c r="A56" s="12" t="str">
        <f t="shared" si="0"/>
        <v>1ANTONIO DA LUZ SILVARCB46136,4506944444</v>
      </c>
      <c r="B56" s="12" t="str">
        <f t="shared" si="1"/>
        <v>Abril</v>
      </c>
      <c r="C56" s="8" t="s">
        <v>664</v>
      </c>
      <c r="D56" s="8" t="s">
        <v>664</v>
      </c>
      <c r="E56" s="8" t="s">
        <v>2301</v>
      </c>
      <c r="F56" s="23">
        <v>46136.450694444444</v>
      </c>
      <c r="G56" s="8" t="s">
        <v>1045</v>
      </c>
      <c r="H56" s="23">
        <v>46141</v>
      </c>
      <c r="I56" s="23">
        <v>46136.450694444444</v>
      </c>
      <c r="J56" s="10">
        <v>130</v>
      </c>
      <c r="K56" s="10">
        <v>0</v>
      </c>
      <c r="L56" s="24">
        <v>0</v>
      </c>
      <c r="M56" s="10">
        <v>130</v>
      </c>
    </row>
    <row r="57" spans="1:13" x14ac:dyDescent="0.25">
      <c r="A57" s="12" t="str">
        <f t="shared" si="0"/>
        <v>1FRANCIELE TEIXEIRA DOS SANTOSRCB46139,4083333333</v>
      </c>
      <c r="B57" s="12" t="str">
        <f t="shared" si="1"/>
        <v>Abril</v>
      </c>
      <c r="C57" s="8" t="s">
        <v>664</v>
      </c>
      <c r="D57" s="8" t="s">
        <v>664</v>
      </c>
      <c r="E57" s="8" t="s">
        <v>71</v>
      </c>
      <c r="F57" s="23">
        <v>46139.408333333333</v>
      </c>
      <c r="G57" s="8" t="s">
        <v>1045</v>
      </c>
      <c r="H57" s="23">
        <v>46142</v>
      </c>
      <c r="I57" s="23">
        <v>46139.408333333333</v>
      </c>
      <c r="J57" s="10">
        <v>28.77</v>
      </c>
      <c r="K57" s="10">
        <v>0</v>
      </c>
      <c r="L57" s="24">
        <v>0</v>
      </c>
      <c r="M57" s="10">
        <v>28.77</v>
      </c>
    </row>
    <row r="58" spans="1:13" x14ac:dyDescent="0.25">
      <c r="A58" s="12" t="str">
        <f t="shared" si="0"/>
        <v>1MARIANGELA DE PAULA FERREIRARCB46139,6618055556</v>
      </c>
      <c r="B58" s="12" t="str">
        <f t="shared" si="1"/>
        <v>Abril</v>
      </c>
      <c r="C58" s="8" t="s">
        <v>664</v>
      </c>
      <c r="D58" s="8" t="s">
        <v>664</v>
      </c>
      <c r="E58" s="8" t="s">
        <v>2307</v>
      </c>
      <c r="F58" s="23">
        <v>46139.661805555559</v>
      </c>
      <c r="G58" s="8" t="s">
        <v>1045</v>
      </c>
      <c r="H58" s="23">
        <v>46142</v>
      </c>
      <c r="I58" s="23">
        <v>46139.661805555559</v>
      </c>
      <c r="J58" s="10">
        <v>80</v>
      </c>
      <c r="K58" s="10">
        <v>0</v>
      </c>
      <c r="L58" s="24">
        <v>0</v>
      </c>
      <c r="M58" s="10">
        <v>80</v>
      </c>
    </row>
    <row r="59" spans="1:13" x14ac:dyDescent="0.25">
      <c r="A59" s="12" t="str">
        <f t="shared" si="0"/>
        <v>1MANOEL CALISTO DE FREITASRCB46142,4673611111</v>
      </c>
      <c r="B59" s="12" t="str">
        <f t="shared" si="1"/>
        <v>Maio</v>
      </c>
      <c r="C59" s="8" t="s">
        <v>664</v>
      </c>
      <c r="D59" s="8" t="s">
        <v>664</v>
      </c>
      <c r="E59" s="8" t="s">
        <v>2333</v>
      </c>
      <c r="F59" s="23">
        <v>46142.467361111114</v>
      </c>
      <c r="G59" s="8" t="s">
        <v>1045</v>
      </c>
      <c r="H59" s="23">
        <v>46148</v>
      </c>
      <c r="I59" s="23">
        <v>46142.467361111114</v>
      </c>
      <c r="J59" s="10">
        <v>82.5</v>
      </c>
      <c r="K59" s="10">
        <v>0</v>
      </c>
      <c r="L59" s="24">
        <v>0</v>
      </c>
      <c r="M59" s="10">
        <v>82.5</v>
      </c>
    </row>
    <row r="60" spans="1:13" x14ac:dyDescent="0.25">
      <c r="A60" s="12" t="str">
        <f t="shared" si="0"/>
        <v>1KATHLEEN KRISLEY AMBROSIO LARARCB46150,6</v>
      </c>
      <c r="B60" s="12" t="str">
        <f t="shared" si="1"/>
        <v>Maio</v>
      </c>
      <c r="C60" s="8" t="s">
        <v>664</v>
      </c>
      <c r="D60" s="8" t="s">
        <v>664</v>
      </c>
      <c r="E60" s="8" t="s">
        <v>104</v>
      </c>
      <c r="F60" s="23">
        <v>46150.6</v>
      </c>
      <c r="G60" s="8" t="s">
        <v>1045</v>
      </c>
      <c r="H60" s="23">
        <v>46155</v>
      </c>
      <c r="I60" s="23">
        <v>46150.6</v>
      </c>
      <c r="J60" s="10">
        <v>263.25</v>
      </c>
      <c r="K60" s="10">
        <v>0</v>
      </c>
      <c r="L60" s="24">
        <v>0</v>
      </c>
      <c r="M60" s="10">
        <v>263.25</v>
      </c>
    </row>
    <row r="61" spans="1:13" x14ac:dyDescent="0.25">
      <c r="A61" s="12" t="str">
        <f t="shared" si="0"/>
        <v>1CARD EDITORAÇÃO ELETRONICA LTDARCB46150,5986111111</v>
      </c>
      <c r="B61" s="12" t="str">
        <f t="shared" si="1"/>
        <v>Maio</v>
      </c>
      <c r="C61" s="8" t="s">
        <v>664</v>
      </c>
      <c r="D61" s="8" t="s">
        <v>664</v>
      </c>
      <c r="E61" s="8" t="s">
        <v>2390</v>
      </c>
      <c r="F61" s="23">
        <v>46150.598611111112</v>
      </c>
      <c r="G61" s="8" t="s">
        <v>1045</v>
      </c>
      <c r="H61" s="23">
        <v>46155</v>
      </c>
      <c r="I61" s="23">
        <v>46150.598611111112</v>
      </c>
      <c r="J61" s="10">
        <v>240</v>
      </c>
      <c r="K61" s="10">
        <v>0</v>
      </c>
      <c r="L61" s="24">
        <v>0</v>
      </c>
      <c r="M61" s="10">
        <v>240</v>
      </c>
    </row>
    <row r="62" spans="1:13" x14ac:dyDescent="0.25">
      <c r="A62" s="12" t="str">
        <f t="shared" si="0"/>
        <v>1MAYNARTE SERVICOS DE SERRALHERIA E CONSERVACAO LIMITADARCB46154,4048611111</v>
      </c>
      <c r="B62" s="12" t="str">
        <f t="shared" si="1"/>
        <v>Maio</v>
      </c>
      <c r="C62" s="8" t="s">
        <v>664</v>
      </c>
      <c r="D62" s="8" t="s">
        <v>664</v>
      </c>
      <c r="E62" s="8" t="s">
        <v>124</v>
      </c>
      <c r="F62" s="23">
        <v>46154.404861111114</v>
      </c>
      <c r="G62" s="8" t="s">
        <v>1045</v>
      </c>
      <c r="H62" s="23">
        <v>46157</v>
      </c>
      <c r="I62" s="23">
        <v>46154.404861111114</v>
      </c>
      <c r="J62" s="10">
        <v>100</v>
      </c>
      <c r="K62" s="10">
        <v>0</v>
      </c>
      <c r="L62" s="24">
        <v>0</v>
      </c>
      <c r="M62" s="10">
        <v>100</v>
      </c>
    </row>
    <row r="63" spans="1:13" x14ac:dyDescent="0.25">
      <c r="A63" s="12" t="str">
        <f t="shared" si="0"/>
        <v>1ANGEL JOSUE FERNANDEZ RODRIGUEZRCB46154,3722222222</v>
      </c>
      <c r="B63" s="12" t="str">
        <f t="shared" si="1"/>
        <v>Maio</v>
      </c>
      <c r="C63" s="8" t="s">
        <v>664</v>
      </c>
      <c r="D63" s="8" t="s">
        <v>664</v>
      </c>
      <c r="E63" s="8" t="s">
        <v>17</v>
      </c>
      <c r="F63" s="23">
        <v>46154.37222222222</v>
      </c>
      <c r="G63" s="8" t="s">
        <v>1045</v>
      </c>
      <c r="H63" s="23">
        <v>46157</v>
      </c>
      <c r="I63" s="23">
        <v>46154.37222222222</v>
      </c>
      <c r="J63" s="10">
        <v>80</v>
      </c>
      <c r="K63" s="10">
        <v>0</v>
      </c>
      <c r="L63" s="24">
        <v>0</v>
      </c>
      <c r="M63" s="10">
        <v>80</v>
      </c>
    </row>
    <row r="64" spans="1:13" x14ac:dyDescent="0.25">
      <c r="A64" s="12" t="str">
        <f t="shared" si="0"/>
        <v>1SULAMITHA GABRIELA ALMEIDA FERREIRARCB46161,4097222222</v>
      </c>
      <c r="B64" s="12" t="str">
        <f t="shared" si="1"/>
        <v>Maio</v>
      </c>
      <c r="C64" s="8" t="s">
        <v>664</v>
      </c>
      <c r="D64" s="8" t="s">
        <v>664</v>
      </c>
      <c r="E64" s="8" t="s">
        <v>2474</v>
      </c>
      <c r="F64" s="23">
        <v>46161.409722222219</v>
      </c>
      <c r="G64" s="8" t="s">
        <v>1045</v>
      </c>
      <c r="H64" s="23">
        <v>46164</v>
      </c>
      <c r="I64" s="23">
        <v>46161.409722222219</v>
      </c>
      <c r="J64" s="10">
        <v>196</v>
      </c>
      <c r="K64" s="10">
        <v>0</v>
      </c>
      <c r="L64" s="24">
        <v>0</v>
      </c>
      <c r="M64" s="10">
        <v>196</v>
      </c>
    </row>
    <row r="65" spans="1:13" x14ac:dyDescent="0.25">
      <c r="A65" s="12" t="str">
        <f t="shared" si="0"/>
        <v>1MARAJO NAVEGACAO COMERCIO E TRANSPORTE DE PASSAGEIROS LTDARCB46162,4611111111</v>
      </c>
      <c r="B65" s="12" t="str">
        <f t="shared" si="1"/>
        <v>Maio</v>
      </c>
      <c r="C65" s="8" t="s">
        <v>664</v>
      </c>
      <c r="D65" s="8" t="s">
        <v>664</v>
      </c>
      <c r="E65" s="8" t="s">
        <v>118</v>
      </c>
      <c r="F65" s="23">
        <v>46162.461111111108</v>
      </c>
      <c r="G65" s="8" t="s">
        <v>1045</v>
      </c>
      <c r="H65" s="23">
        <v>46168</v>
      </c>
      <c r="I65" s="23">
        <v>46162.461111111108</v>
      </c>
      <c r="J65" s="10">
        <v>1508</v>
      </c>
      <c r="K65" s="10">
        <v>0</v>
      </c>
      <c r="L65" s="24">
        <v>0</v>
      </c>
      <c r="M65" s="10">
        <v>1508</v>
      </c>
    </row>
    <row r="66" spans="1:13" x14ac:dyDescent="0.25">
      <c r="A66" s="12" t="str">
        <f t="shared" ref="A66:A129" si="2">$C66&amp;$E66&amp;$G66&amp;$F66</f>
        <v>1EXPRESSO TRANSPORTE LTDARCB46162,4527777778</v>
      </c>
      <c r="B66" s="12" t="str">
        <f t="shared" si="1"/>
        <v>Maio</v>
      </c>
      <c r="C66" s="8" t="s">
        <v>664</v>
      </c>
      <c r="D66" s="8" t="s">
        <v>664</v>
      </c>
      <c r="E66" s="8" t="s">
        <v>66</v>
      </c>
      <c r="F66" s="23">
        <v>46162.452777777777</v>
      </c>
      <c r="G66" s="8" t="s">
        <v>1045</v>
      </c>
      <c r="H66" s="23">
        <v>46168</v>
      </c>
      <c r="I66" s="23">
        <v>46162.452777777777</v>
      </c>
      <c r="J66" s="10">
        <v>3900</v>
      </c>
      <c r="K66" s="10">
        <v>0</v>
      </c>
      <c r="L66" s="24">
        <v>0</v>
      </c>
      <c r="M66" s="10">
        <v>3900</v>
      </c>
    </row>
    <row r="67" spans="1:13" x14ac:dyDescent="0.25">
      <c r="A67" s="12" t="str">
        <f t="shared" si="2"/>
        <v>1PEDRO HENRIQUE FERREIRA SANTOS BARBOSARCB46163,4638888889</v>
      </c>
      <c r="B67" s="12" t="str">
        <f t="shared" ref="B67:B130" si="3">PROPER(TEXT($H67,"MMMM"))</f>
        <v>Maio</v>
      </c>
      <c r="C67" s="8" t="s">
        <v>664</v>
      </c>
      <c r="D67" s="8" t="s">
        <v>664</v>
      </c>
      <c r="E67" s="8" t="s">
        <v>2484</v>
      </c>
      <c r="F67" s="23">
        <v>46163.463888888888</v>
      </c>
      <c r="G67" s="8" t="s">
        <v>1045</v>
      </c>
      <c r="H67" s="23">
        <v>46168</v>
      </c>
      <c r="I67" s="23">
        <v>46163.463888888888</v>
      </c>
      <c r="J67" s="10">
        <v>96</v>
      </c>
      <c r="K67" s="10">
        <v>0</v>
      </c>
      <c r="L67" s="24">
        <v>0</v>
      </c>
      <c r="M67" s="10">
        <v>96</v>
      </c>
    </row>
    <row r="68" spans="1:13" x14ac:dyDescent="0.25">
      <c r="A68" s="12" t="str">
        <f t="shared" si="2"/>
        <v>1JEFFERSON DE JESUS FARIASRCB46164,6611111111</v>
      </c>
      <c r="B68" s="12" t="str">
        <f t="shared" si="3"/>
        <v>Maio</v>
      </c>
      <c r="C68" s="8" t="s">
        <v>664</v>
      </c>
      <c r="D68" s="8" t="s">
        <v>664</v>
      </c>
      <c r="E68" s="8" t="s">
        <v>89</v>
      </c>
      <c r="F68" s="23">
        <v>46164.661111111112</v>
      </c>
      <c r="G68" s="8" t="s">
        <v>1045</v>
      </c>
      <c r="H68" s="23">
        <v>46169</v>
      </c>
      <c r="I68" s="23">
        <v>46164.661111111112</v>
      </c>
      <c r="J68" s="10">
        <v>277</v>
      </c>
      <c r="K68" s="10">
        <v>0</v>
      </c>
      <c r="L68" s="24">
        <v>0</v>
      </c>
      <c r="M68" s="10">
        <v>277</v>
      </c>
    </row>
    <row r="69" spans="1:13" x14ac:dyDescent="0.25">
      <c r="A69" s="12" t="str">
        <f t="shared" si="2"/>
        <v>1MARTINS FERNANDES LANCHONETE LTDA M ERCB46170,3798611111</v>
      </c>
      <c r="B69" s="12" t="str">
        <f t="shared" si="3"/>
        <v>Junho</v>
      </c>
      <c r="C69" s="8" t="s">
        <v>664</v>
      </c>
      <c r="D69" s="8" t="s">
        <v>664</v>
      </c>
      <c r="E69" s="8" t="s">
        <v>2501</v>
      </c>
      <c r="F69" s="23">
        <v>46170.379861111112</v>
      </c>
      <c r="G69" s="8" t="s">
        <v>1045</v>
      </c>
      <c r="H69" s="23">
        <v>46175</v>
      </c>
      <c r="I69" s="23">
        <v>46170.379861111112</v>
      </c>
      <c r="J69" s="10">
        <v>645</v>
      </c>
      <c r="K69" s="10">
        <v>0</v>
      </c>
      <c r="L69" s="24">
        <v>0</v>
      </c>
      <c r="M69" s="10">
        <v>645</v>
      </c>
    </row>
    <row r="70" spans="1:13" x14ac:dyDescent="0.25">
      <c r="A70" s="12" t="str">
        <f t="shared" si="2"/>
        <v>1ESDRAS CAMARGO DOS SANTOSRCB46171,4520833333</v>
      </c>
      <c r="B70" s="12" t="str">
        <f t="shared" si="3"/>
        <v>Junho</v>
      </c>
      <c r="C70" s="8" t="s">
        <v>664</v>
      </c>
      <c r="D70" s="8" t="s">
        <v>664</v>
      </c>
      <c r="E70" s="8" t="s">
        <v>2511</v>
      </c>
      <c r="F70" s="23">
        <v>46171.45208333333</v>
      </c>
      <c r="G70" s="8" t="s">
        <v>1045</v>
      </c>
      <c r="H70" s="23">
        <v>46177</v>
      </c>
      <c r="I70" s="23">
        <v>46171.45208333333</v>
      </c>
      <c r="J70" s="10">
        <v>66.900000000000006</v>
      </c>
      <c r="K70" s="10">
        <v>0</v>
      </c>
      <c r="L70" s="24">
        <v>0</v>
      </c>
      <c r="M70" s="10">
        <v>66.900000000000006</v>
      </c>
    </row>
    <row r="71" spans="1:13" x14ac:dyDescent="0.25">
      <c r="A71" s="12" t="str">
        <f t="shared" si="2"/>
        <v>1JEAN CARLOS SANTANA RIBEIRORCB46175,5034722222</v>
      </c>
      <c r="B71" s="12" t="str">
        <f t="shared" si="3"/>
        <v>Junho</v>
      </c>
      <c r="C71" s="8" t="s">
        <v>664</v>
      </c>
      <c r="D71" s="8" t="s">
        <v>664</v>
      </c>
      <c r="E71" s="8" t="s">
        <v>88</v>
      </c>
      <c r="F71" s="23">
        <v>46175.503472222219</v>
      </c>
      <c r="G71" s="8" t="s">
        <v>1045</v>
      </c>
      <c r="H71" s="23">
        <v>46178</v>
      </c>
      <c r="I71" s="23">
        <v>46175.503472222219</v>
      </c>
      <c r="J71" s="10">
        <v>53.84</v>
      </c>
      <c r="K71" s="10">
        <v>0</v>
      </c>
      <c r="L71" s="24">
        <v>0</v>
      </c>
      <c r="M71" s="10">
        <v>53.84</v>
      </c>
    </row>
    <row r="72" spans="1:13" x14ac:dyDescent="0.25">
      <c r="A72" s="12" t="str">
        <f t="shared" si="2"/>
        <v>1WEDERSON LUIZ DE OLIVEIRARCB46176,5819444444</v>
      </c>
      <c r="B72" s="12" t="str">
        <f t="shared" si="3"/>
        <v>Junho</v>
      </c>
      <c r="C72" s="8" t="s">
        <v>664</v>
      </c>
      <c r="D72" s="8" t="s">
        <v>664</v>
      </c>
      <c r="E72" s="8" t="s">
        <v>201</v>
      </c>
      <c r="F72" s="23">
        <v>46176.581944444442</v>
      </c>
      <c r="G72" s="8" t="s">
        <v>1045</v>
      </c>
      <c r="H72" s="23">
        <v>46184</v>
      </c>
      <c r="I72" s="23">
        <v>46176.581944444442</v>
      </c>
      <c r="J72" s="10">
        <v>63</v>
      </c>
      <c r="K72" s="10">
        <v>0</v>
      </c>
      <c r="L72" s="24">
        <v>0</v>
      </c>
      <c r="M72" s="10">
        <v>63</v>
      </c>
    </row>
    <row r="73" spans="1:13" x14ac:dyDescent="0.25">
      <c r="A73" s="12" t="str">
        <f t="shared" si="2"/>
        <v>1MAIKON FERREIRA DE OLIVEIRA CAMPOSRCB46176,5930555556</v>
      </c>
      <c r="B73" s="12" t="str">
        <f t="shared" si="3"/>
        <v>Junho</v>
      </c>
      <c r="C73" s="8" t="s">
        <v>664</v>
      </c>
      <c r="D73" s="8" t="s">
        <v>664</v>
      </c>
      <c r="E73" s="8" t="s">
        <v>116</v>
      </c>
      <c r="F73" s="23">
        <v>46176.593055555553</v>
      </c>
      <c r="G73" s="8" t="s">
        <v>1045</v>
      </c>
      <c r="H73" s="23">
        <v>46181</v>
      </c>
      <c r="I73" s="23">
        <v>46176.593055555553</v>
      </c>
      <c r="J73" s="10">
        <v>116</v>
      </c>
      <c r="K73" s="10">
        <v>0</v>
      </c>
      <c r="L73" s="24">
        <v>0</v>
      </c>
      <c r="M73" s="10">
        <v>116</v>
      </c>
    </row>
    <row r="74" spans="1:13" x14ac:dyDescent="0.25">
      <c r="A74" s="12" t="str">
        <f t="shared" si="2"/>
        <v>1AGF Extra Minas ShoppingRCB46178,2736111111</v>
      </c>
      <c r="B74" s="12" t="str">
        <f t="shared" si="3"/>
        <v>Junho</v>
      </c>
      <c r="C74" s="8" t="s">
        <v>664</v>
      </c>
      <c r="D74" s="8" t="s">
        <v>664</v>
      </c>
      <c r="E74" s="8" t="s">
        <v>2541</v>
      </c>
      <c r="F74" s="23">
        <v>46178.273611111108</v>
      </c>
      <c r="G74" s="8" t="s">
        <v>1045</v>
      </c>
      <c r="H74" s="23">
        <v>46184</v>
      </c>
      <c r="I74" s="23">
        <v>46178.273611111108</v>
      </c>
      <c r="J74" s="10">
        <v>89.8</v>
      </c>
      <c r="K74" s="10">
        <v>0</v>
      </c>
      <c r="L74" s="24">
        <v>0</v>
      </c>
      <c r="M74" s="10">
        <v>89.8</v>
      </c>
    </row>
    <row r="75" spans="1:13" x14ac:dyDescent="0.25">
      <c r="A75" s="12" t="str">
        <f t="shared" si="2"/>
        <v>1GUSTAVO DE OLIVEIRA SILVARCB46181,4645833333</v>
      </c>
      <c r="B75" s="12" t="str">
        <f t="shared" si="3"/>
        <v>Junho</v>
      </c>
      <c r="C75" s="8" t="s">
        <v>664</v>
      </c>
      <c r="D75" s="8" t="s">
        <v>664</v>
      </c>
      <c r="E75" s="8" t="s">
        <v>78</v>
      </c>
      <c r="F75" s="23">
        <v>46181.464583333334</v>
      </c>
      <c r="G75" s="8" t="s">
        <v>1045</v>
      </c>
      <c r="H75" s="23">
        <v>46184</v>
      </c>
      <c r="I75" s="23">
        <v>46181.464583333334</v>
      </c>
      <c r="J75" s="10">
        <v>5.5</v>
      </c>
      <c r="K75" s="10">
        <v>0</v>
      </c>
      <c r="L75" s="24">
        <v>0</v>
      </c>
      <c r="M75" s="10">
        <v>5.5</v>
      </c>
    </row>
    <row r="76" spans="1:13" x14ac:dyDescent="0.25">
      <c r="A76" s="12" t="str">
        <f t="shared" si="2"/>
        <v>1JOSE LUIZ DIAS SANTOSRCB46183,4708333333</v>
      </c>
      <c r="B76" s="12" t="str">
        <f t="shared" si="3"/>
        <v>Junho</v>
      </c>
      <c r="C76" s="8" t="s">
        <v>664</v>
      </c>
      <c r="D76" s="8" t="s">
        <v>664</v>
      </c>
      <c r="E76" s="8" t="s">
        <v>100</v>
      </c>
      <c r="F76" s="23">
        <v>46183.470833333333</v>
      </c>
      <c r="G76" s="8" t="s">
        <v>1045</v>
      </c>
      <c r="H76" s="23">
        <v>46188</v>
      </c>
      <c r="I76" s="23">
        <v>46183.470833333333</v>
      </c>
      <c r="J76" s="10">
        <v>40</v>
      </c>
      <c r="K76" s="10">
        <v>0</v>
      </c>
      <c r="L76" s="24">
        <v>0</v>
      </c>
      <c r="M76" s="10">
        <v>40</v>
      </c>
    </row>
    <row r="77" spans="1:13" x14ac:dyDescent="0.25">
      <c r="A77" s="12" t="str">
        <f t="shared" si="2"/>
        <v>1PAULO RICARDO SILVARCB46188,3701388889</v>
      </c>
      <c r="B77" s="12" t="str">
        <f t="shared" si="3"/>
        <v>Junho</v>
      </c>
      <c r="C77" s="8" t="s">
        <v>664</v>
      </c>
      <c r="D77" s="8" t="s">
        <v>664</v>
      </c>
      <c r="E77" s="8" t="s">
        <v>153</v>
      </c>
      <c r="F77" s="23">
        <v>46188.370138888888</v>
      </c>
      <c r="G77" s="8" t="s">
        <v>1045</v>
      </c>
      <c r="H77" s="23">
        <v>46191</v>
      </c>
      <c r="I77" s="23">
        <v>46188.370138888888</v>
      </c>
      <c r="J77" s="10">
        <v>11.8</v>
      </c>
      <c r="K77" s="10">
        <v>0</v>
      </c>
      <c r="L77" s="24">
        <v>0</v>
      </c>
      <c r="M77" s="10">
        <v>11.8</v>
      </c>
    </row>
    <row r="78" spans="1:13" x14ac:dyDescent="0.25">
      <c r="A78" s="12" t="str">
        <f t="shared" si="2"/>
        <v>1CELIA APARECIDA DE OLIVIERA DEL PENHORCB46191,4527777778</v>
      </c>
      <c r="B78" s="12" t="str">
        <f t="shared" si="3"/>
        <v>Junho</v>
      </c>
      <c r="C78" s="8" t="s">
        <v>664</v>
      </c>
      <c r="D78" s="8" t="s">
        <v>664</v>
      </c>
      <c r="E78" s="8" t="s">
        <v>37</v>
      </c>
      <c r="F78" s="23">
        <v>46191.452777777777</v>
      </c>
      <c r="G78" s="8" t="s">
        <v>1045</v>
      </c>
      <c r="H78" s="23">
        <v>46196</v>
      </c>
      <c r="I78" s="23">
        <v>46191.452777777777</v>
      </c>
      <c r="J78" s="10">
        <v>150</v>
      </c>
      <c r="K78" s="10">
        <v>0</v>
      </c>
      <c r="L78" s="24">
        <v>0</v>
      </c>
      <c r="M78" s="10">
        <v>150</v>
      </c>
    </row>
    <row r="79" spans="1:13" x14ac:dyDescent="0.25">
      <c r="A79" s="12" t="str">
        <f t="shared" si="2"/>
        <v>1JAIME GOMES PARAGUAIRCB46196,4805555556</v>
      </c>
      <c r="B79" s="12" t="str">
        <f t="shared" si="3"/>
        <v>Junho</v>
      </c>
      <c r="C79" s="8" t="s">
        <v>664</v>
      </c>
      <c r="D79" s="8" t="s">
        <v>664</v>
      </c>
      <c r="E79" s="8" t="s">
        <v>87</v>
      </c>
      <c r="F79" s="23">
        <v>46196.480555555558</v>
      </c>
      <c r="G79" s="8" t="s">
        <v>1045</v>
      </c>
      <c r="H79" s="23">
        <v>46199</v>
      </c>
      <c r="I79" s="23">
        <v>46196.480555555558</v>
      </c>
      <c r="J79" s="10">
        <v>15.5</v>
      </c>
      <c r="K79" s="10">
        <v>0</v>
      </c>
      <c r="L79" s="24">
        <v>0</v>
      </c>
      <c r="M79" s="10">
        <v>15.5</v>
      </c>
    </row>
    <row r="80" spans="1:13" x14ac:dyDescent="0.25">
      <c r="A80" s="12" t="str">
        <f t="shared" si="2"/>
        <v>1ANTONIO CARLOS DA COSTARCB46196,4715277778</v>
      </c>
      <c r="B80" s="12" t="str">
        <f t="shared" si="3"/>
        <v>Junho</v>
      </c>
      <c r="C80" s="8" t="s">
        <v>664</v>
      </c>
      <c r="D80" s="8" t="s">
        <v>664</v>
      </c>
      <c r="E80" s="8" t="s">
        <v>19</v>
      </c>
      <c r="F80" s="23">
        <v>46196.47152777778</v>
      </c>
      <c r="G80" s="8" t="s">
        <v>1045</v>
      </c>
      <c r="H80" s="23">
        <v>46199</v>
      </c>
      <c r="I80" s="23">
        <v>46196.47152777778</v>
      </c>
      <c r="J80" s="10">
        <v>266.83999999999997</v>
      </c>
      <c r="K80" s="10">
        <v>0</v>
      </c>
      <c r="L80" s="24">
        <v>0</v>
      </c>
      <c r="M80" s="10">
        <v>266.83999999999997</v>
      </c>
    </row>
    <row r="81" spans="1:13" x14ac:dyDescent="0.25">
      <c r="A81" s="12" t="str">
        <f t="shared" si="2"/>
        <v>1JESSE BATISTA DA COSTARCB46196,4722222222</v>
      </c>
      <c r="B81" s="12" t="str">
        <f t="shared" si="3"/>
        <v>Junho</v>
      </c>
      <c r="C81" s="8" t="s">
        <v>664</v>
      </c>
      <c r="D81" s="8" t="s">
        <v>664</v>
      </c>
      <c r="E81" s="8" t="s">
        <v>91</v>
      </c>
      <c r="F81" s="23">
        <v>46196.472222222219</v>
      </c>
      <c r="G81" s="8" t="s">
        <v>1045</v>
      </c>
      <c r="H81" s="23">
        <v>46199</v>
      </c>
      <c r="I81" s="23">
        <v>46196.472222222219</v>
      </c>
      <c r="J81" s="10">
        <v>90</v>
      </c>
      <c r="K81" s="10">
        <v>0</v>
      </c>
      <c r="L81" s="24">
        <v>0</v>
      </c>
      <c r="M81" s="10">
        <v>90</v>
      </c>
    </row>
    <row r="82" spans="1:13" x14ac:dyDescent="0.25">
      <c r="A82" s="12" t="str">
        <f t="shared" si="2"/>
        <v>1BRUNO RAFAEL PEREIRA COSTARCB46203,6375</v>
      </c>
      <c r="B82" s="12" t="str">
        <f t="shared" si="3"/>
        <v>Julho</v>
      </c>
      <c r="C82" s="8" t="s">
        <v>664</v>
      </c>
      <c r="D82" s="8" t="s">
        <v>664</v>
      </c>
      <c r="E82" s="8" t="s">
        <v>31</v>
      </c>
      <c r="F82" s="23">
        <v>46203.637499999997</v>
      </c>
      <c r="G82" s="8" t="s">
        <v>1045</v>
      </c>
      <c r="H82" s="23">
        <v>46206</v>
      </c>
      <c r="I82" s="23">
        <v>46203.637499999997</v>
      </c>
      <c r="J82" s="10">
        <v>51.75</v>
      </c>
      <c r="K82" s="10">
        <v>0</v>
      </c>
      <c r="L82" s="24">
        <v>0</v>
      </c>
      <c r="M82" s="10">
        <v>51.75</v>
      </c>
    </row>
    <row r="83" spans="1:13" x14ac:dyDescent="0.25">
      <c r="A83" s="12" t="str">
        <f t="shared" si="2"/>
        <v>1NELSON HENRIQUE FERNANDES DA COSTARCB46204,4520833333</v>
      </c>
      <c r="B83" s="12" t="str">
        <f t="shared" si="3"/>
        <v>Julho</v>
      </c>
      <c r="C83" s="8" t="s">
        <v>664</v>
      </c>
      <c r="D83" s="8" t="s">
        <v>664</v>
      </c>
      <c r="E83" s="8" t="s">
        <v>138</v>
      </c>
      <c r="F83" s="23">
        <v>46204.45208333333</v>
      </c>
      <c r="G83" s="8" t="s">
        <v>1045</v>
      </c>
      <c r="H83" s="23">
        <v>46209</v>
      </c>
      <c r="I83" s="23">
        <v>46204.45208333333</v>
      </c>
      <c r="J83" s="10">
        <v>9</v>
      </c>
      <c r="K83" s="10">
        <v>0</v>
      </c>
      <c r="L83" s="24">
        <v>0</v>
      </c>
      <c r="M83" s="10">
        <v>9</v>
      </c>
    </row>
    <row r="84" spans="1:13" x14ac:dyDescent="0.25">
      <c r="A84" s="12" t="str">
        <f t="shared" si="2"/>
        <v>1MARCELO ALVES FREITASRCB46210,4381944444</v>
      </c>
      <c r="B84" s="12" t="str">
        <f t="shared" si="3"/>
        <v>Julho</v>
      </c>
      <c r="C84" s="8" t="s">
        <v>664</v>
      </c>
      <c r="D84" s="8" t="s">
        <v>664</v>
      </c>
      <c r="E84" s="8" t="s">
        <v>119</v>
      </c>
      <c r="F84" s="23">
        <v>46210.438194444447</v>
      </c>
      <c r="G84" s="8" t="s">
        <v>1045</v>
      </c>
      <c r="H84" s="23">
        <v>46213</v>
      </c>
      <c r="I84" s="23">
        <v>46210.438194444447</v>
      </c>
      <c r="J84" s="10">
        <v>429.12</v>
      </c>
      <c r="K84" s="10">
        <v>0</v>
      </c>
      <c r="L84" s="24">
        <v>0</v>
      </c>
      <c r="M84" s="10">
        <v>429.12</v>
      </c>
    </row>
    <row r="85" spans="1:13" x14ac:dyDescent="0.25">
      <c r="A85" s="12" t="str">
        <f t="shared" si="2"/>
        <v>1DANIELLE HEBERT CARVALHO PEREIRARCB46216,4625</v>
      </c>
      <c r="B85" s="12" t="str">
        <f t="shared" si="3"/>
        <v>Julho</v>
      </c>
      <c r="C85" s="8" t="s">
        <v>664</v>
      </c>
      <c r="D85" s="8" t="s">
        <v>664</v>
      </c>
      <c r="E85" s="8" t="s">
        <v>48</v>
      </c>
      <c r="F85" s="23">
        <v>46216.462500000001</v>
      </c>
      <c r="G85" s="8" t="s">
        <v>1045</v>
      </c>
      <c r="H85" s="23">
        <v>46219</v>
      </c>
      <c r="I85" s="23">
        <v>46216.462500000001</v>
      </c>
      <c r="J85" s="10">
        <v>19.579999999999998</v>
      </c>
      <c r="K85" s="10">
        <v>0</v>
      </c>
      <c r="L85" s="24">
        <v>0</v>
      </c>
      <c r="M85" s="10">
        <v>19.579999999999998</v>
      </c>
    </row>
    <row r="86" spans="1:13" x14ac:dyDescent="0.25">
      <c r="A86" s="12" t="str">
        <f t="shared" si="2"/>
        <v>1LEANDRO RODRIGUES FERREIRARCB46217,6222222222</v>
      </c>
      <c r="B86" s="12" t="str">
        <f t="shared" si="3"/>
        <v>Julho</v>
      </c>
      <c r="C86" s="8" t="s">
        <v>664</v>
      </c>
      <c r="D86" s="8" t="s">
        <v>664</v>
      </c>
      <c r="E86" s="8" t="s">
        <v>108</v>
      </c>
      <c r="F86" s="23">
        <v>46217.62222222222</v>
      </c>
      <c r="G86" s="8" t="s">
        <v>1045</v>
      </c>
      <c r="H86" s="23">
        <v>46220</v>
      </c>
      <c r="I86" s="23">
        <v>46217.62222222222</v>
      </c>
      <c r="J86" s="10">
        <v>53.79</v>
      </c>
      <c r="K86" s="10">
        <v>0</v>
      </c>
      <c r="L86" s="24">
        <v>0</v>
      </c>
      <c r="M86" s="10">
        <v>53.79</v>
      </c>
    </row>
    <row r="87" spans="1:13" x14ac:dyDescent="0.25">
      <c r="A87" s="12" t="str">
        <f t="shared" si="2"/>
        <v>1JORDIMAR SOARES MARTINSRCB46232,3576388889</v>
      </c>
      <c r="B87" s="12" t="str">
        <f t="shared" si="3"/>
        <v>Agosto</v>
      </c>
      <c r="C87" s="8" t="s">
        <v>664</v>
      </c>
      <c r="D87" s="8" t="s">
        <v>664</v>
      </c>
      <c r="E87" s="8" t="s">
        <v>96</v>
      </c>
      <c r="F87" s="23">
        <v>46232.357638888891</v>
      </c>
      <c r="G87" s="8" t="s">
        <v>1045</v>
      </c>
      <c r="H87" s="23">
        <v>46237</v>
      </c>
      <c r="I87" s="23">
        <v>46232.357638888891</v>
      </c>
      <c r="J87" s="10">
        <v>73.400000000000006</v>
      </c>
      <c r="K87" s="10">
        <v>0</v>
      </c>
      <c r="L87" s="24">
        <v>0</v>
      </c>
      <c r="M87" s="10">
        <v>73.400000000000006</v>
      </c>
    </row>
    <row r="88" spans="1:13" x14ac:dyDescent="0.25">
      <c r="A88" s="12" t="str">
        <f t="shared" si="2"/>
        <v>1ANDERSON LUIS FROES DE JESUSRCB46234,4555555556</v>
      </c>
      <c r="B88" s="12" t="str">
        <f t="shared" si="3"/>
        <v>Agosto</v>
      </c>
      <c r="C88" s="8" t="s">
        <v>664</v>
      </c>
      <c r="D88" s="8" t="s">
        <v>664</v>
      </c>
      <c r="E88" s="8" t="s">
        <v>13</v>
      </c>
      <c r="F88" s="23">
        <v>46234.455555555556</v>
      </c>
      <c r="G88" s="8" t="s">
        <v>1045</v>
      </c>
      <c r="H88" s="23">
        <v>46239</v>
      </c>
      <c r="I88" s="23">
        <v>46234.455555555556</v>
      </c>
      <c r="J88" s="10">
        <v>116</v>
      </c>
      <c r="K88" s="10">
        <v>0</v>
      </c>
      <c r="L88" s="24">
        <v>0</v>
      </c>
      <c r="M88" s="10">
        <v>116</v>
      </c>
    </row>
    <row r="89" spans="1:13" x14ac:dyDescent="0.25">
      <c r="A89" s="12" t="str">
        <f t="shared" si="2"/>
        <v>1DIEGO DA SILVA GOMESRCB46234,6645833333</v>
      </c>
      <c r="B89" s="12" t="str">
        <f t="shared" si="3"/>
        <v>Agosto</v>
      </c>
      <c r="C89" s="8" t="s">
        <v>664</v>
      </c>
      <c r="D89" s="8" t="s">
        <v>664</v>
      </c>
      <c r="E89" s="8" t="s">
        <v>51</v>
      </c>
      <c r="F89" s="23">
        <v>46234.664583333331</v>
      </c>
      <c r="G89" s="8" t="s">
        <v>1045</v>
      </c>
      <c r="H89" s="23">
        <v>46239</v>
      </c>
      <c r="I89" s="23">
        <v>46234.664583333331</v>
      </c>
      <c r="J89" s="10">
        <v>14</v>
      </c>
      <c r="K89" s="10">
        <v>0</v>
      </c>
      <c r="L89" s="24">
        <v>0</v>
      </c>
      <c r="M89" s="10">
        <v>14</v>
      </c>
    </row>
    <row r="90" spans="1:13" x14ac:dyDescent="0.25">
      <c r="A90" s="12" t="str">
        <f t="shared" si="2"/>
        <v>1FABIO ALVES PRATESRCB46237,3513888889</v>
      </c>
      <c r="B90" s="12" t="str">
        <f t="shared" si="3"/>
        <v>Agosto</v>
      </c>
      <c r="C90" s="8" t="s">
        <v>664</v>
      </c>
      <c r="D90" s="8" t="s">
        <v>664</v>
      </c>
      <c r="E90" s="8" t="s">
        <v>67</v>
      </c>
      <c r="F90" s="23">
        <v>46237.351388888892</v>
      </c>
      <c r="G90" s="8" t="s">
        <v>1045</v>
      </c>
      <c r="H90" s="23">
        <v>46240</v>
      </c>
      <c r="I90" s="23">
        <v>46237.351388888892</v>
      </c>
      <c r="J90" s="10">
        <v>180</v>
      </c>
      <c r="K90" s="10">
        <v>0</v>
      </c>
      <c r="L90" s="24">
        <v>0</v>
      </c>
      <c r="M90" s="10">
        <v>180</v>
      </c>
    </row>
    <row r="91" spans="1:13" x14ac:dyDescent="0.25">
      <c r="A91" s="12" t="str">
        <f t="shared" si="2"/>
        <v>1JOSE ADRIANO PEREIRA DA SILVARCB46239,3708333333</v>
      </c>
      <c r="B91" s="12" t="str">
        <f t="shared" si="3"/>
        <v>Agosto</v>
      </c>
      <c r="C91" s="8" t="s">
        <v>664</v>
      </c>
      <c r="D91" s="8" t="s">
        <v>664</v>
      </c>
      <c r="E91" s="8" t="s">
        <v>98</v>
      </c>
      <c r="F91" s="23">
        <v>46239.370833333334</v>
      </c>
      <c r="G91" s="8" t="s">
        <v>1045</v>
      </c>
      <c r="H91" s="23">
        <v>46244</v>
      </c>
      <c r="I91" s="23">
        <v>46239.370833333334</v>
      </c>
      <c r="J91" s="10">
        <v>263.68</v>
      </c>
      <c r="K91" s="10">
        <v>0</v>
      </c>
      <c r="L91" s="24">
        <v>0</v>
      </c>
      <c r="M91" s="10">
        <v>263.68</v>
      </c>
    </row>
    <row r="92" spans="1:13" x14ac:dyDescent="0.25">
      <c r="A92" s="12" t="str">
        <f t="shared" si="2"/>
        <v>1DIONIZIO JOSE DE CASSIO PINTONSE46209</v>
      </c>
      <c r="B92" s="12" t="str">
        <f t="shared" si="3"/>
        <v>Agosto</v>
      </c>
      <c r="C92" s="8" t="s">
        <v>664</v>
      </c>
      <c r="D92" s="8" t="s">
        <v>1354</v>
      </c>
      <c r="E92" s="8" t="s">
        <v>53</v>
      </c>
      <c r="F92" s="23">
        <v>46209</v>
      </c>
      <c r="G92" s="8" t="s">
        <v>665</v>
      </c>
      <c r="H92" s="23">
        <v>46240</v>
      </c>
      <c r="I92" s="23">
        <v>46213</v>
      </c>
      <c r="J92" s="10">
        <v>690</v>
      </c>
      <c r="K92" s="10">
        <v>0</v>
      </c>
      <c r="L92" s="24">
        <v>0</v>
      </c>
      <c r="M92" s="10">
        <v>690</v>
      </c>
    </row>
    <row r="93" spans="1:13" x14ac:dyDescent="0.25">
      <c r="A93" s="12" t="str">
        <f t="shared" si="2"/>
        <v>1ESAU DE ALMEIDA RAFAELRCB46251,3590277778</v>
      </c>
      <c r="B93" s="12" t="str">
        <f t="shared" si="3"/>
        <v>Agosto</v>
      </c>
      <c r="C93" s="8" t="s">
        <v>664</v>
      </c>
      <c r="D93" s="8" t="s">
        <v>664</v>
      </c>
      <c r="E93" s="8" t="s">
        <v>65</v>
      </c>
      <c r="F93" s="23">
        <v>46251.359027777777</v>
      </c>
      <c r="G93" s="8" t="s">
        <v>1045</v>
      </c>
      <c r="H93" s="23">
        <v>46254</v>
      </c>
      <c r="I93" s="23">
        <v>46251.359027777777</v>
      </c>
      <c r="J93" s="10">
        <v>50</v>
      </c>
      <c r="K93" s="10">
        <v>0</v>
      </c>
      <c r="L93" s="24">
        <v>0</v>
      </c>
      <c r="M93" s="10">
        <v>50</v>
      </c>
    </row>
    <row r="94" spans="1:13" x14ac:dyDescent="0.25">
      <c r="A94" s="12" t="str">
        <f t="shared" si="2"/>
        <v>1WILSON VERGILIO DA SILVARCB46254,3590277778</v>
      </c>
      <c r="B94" s="12" t="str">
        <f t="shared" si="3"/>
        <v>Agosto</v>
      </c>
      <c r="C94" s="8" t="s">
        <v>664</v>
      </c>
      <c r="D94" s="8" t="s">
        <v>664</v>
      </c>
      <c r="E94" s="8" t="s">
        <v>203</v>
      </c>
      <c r="F94" s="23">
        <v>46254.359027777777</v>
      </c>
      <c r="G94" s="8" t="s">
        <v>1045</v>
      </c>
      <c r="H94" s="23">
        <v>46259</v>
      </c>
      <c r="I94" s="23">
        <v>46254.359027777777</v>
      </c>
      <c r="J94" s="10">
        <v>100</v>
      </c>
      <c r="K94" s="10">
        <v>0</v>
      </c>
      <c r="L94" s="24">
        <v>0</v>
      </c>
      <c r="M94" s="10">
        <v>100</v>
      </c>
    </row>
    <row r="95" spans="1:13" x14ac:dyDescent="0.25">
      <c r="A95" s="12" t="str">
        <f t="shared" si="2"/>
        <v>1SAMUEL REZENDE SILVARCB46254,6326388889</v>
      </c>
      <c r="B95" s="12" t="str">
        <f t="shared" si="3"/>
        <v>Agosto</v>
      </c>
      <c r="C95" s="8" t="s">
        <v>664</v>
      </c>
      <c r="D95" s="8" t="s">
        <v>664</v>
      </c>
      <c r="E95" s="8" t="s">
        <v>178</v>
      </c>
      <c r="F95" s="23">
        <v>46254.632638888892</v>
      </c>
      <c r="G95" s="8" t="s">
        <v>1045</v>
      </c>
      <c r="H95" s="23">
        <v>46259</v>
      </c>
      <c r="I95" s="23">
        <v>46254.632638888892</v>
      </c>
      <c r="J95" s="10">
        <v>54</v>
      </c>
      <c r="K95" s="10">
        <v>0</v>
      </c>
      <c r="L95" s="24">
        <v>0</v>
      </c>
      <c r="M95" s="10">
        <v>54</v>
      </c>
    </row>
    <row r="96" spans="1:13" x14ac:dyDescent="0.25">
      <c r="A96" s="12" t="str">
        <f t="shared" si="2"/>
        <v>1DANIELA DE PAULA SILVARCB46258,4708333333</v>
      </c>
      <c r="B96" s="12" t="str">
        <f t="shared" si="3"/>
        <v>Agosto</v>
      </c>
      <c r="C96" s="8" t="s">
        <v>664</v>
      </c>
      <c r="D96" s="8" t="s">
        <v>664</v>
      </c>
      <c r="E96" s="8" t="s">
        <v>214</v>
      </c>
      <c r="F96" s="23">
        <v>46258.470833333333</v>
      </c>
      <c r="G96" s="8" t="s">
        <v>1045</v>
      </c>
      <c r="H96" s="23">
        <v>46261</v>
      </c>
      <c r="I96" s="23">
        <v>46258.470833333333</v>
      </c>
      <c r="J96" s="10">
        <v>180</v>
      </c>
      <c r="K96" s="10">
        <v>0</v>
      </c>
      <c r="L96" s="24">
        <v>0</v>
      </c>
      <c r="M96" s="10">
        <v>180</v>
      </c>
    </row>
    <row r="97" spans="1:13" x14ac:dyDescent="0.25">
      <c r="A97" s="12" t="str">
        <f t="shared" si="2"/>
        <v>1DUPLASUL RECUPERADORA DE PNEUSRCB46258,4729166667</v>
      </c>
      <c r="B97" s="12" t="str">
        <f t="shared" si="3"/>
        <v>Agosto</v>
      </c>
      <c r="C97" s="8" t="s">
        <v>664</v>
      </c>
      <c r="D97" s="8" t="s">
        <v>664</v>
      </c>
      <c r="E97" s="8" t="s">
        <v>215</v>
      </c>
      <c r="F97" s="23">
        <v>46258.472916666666</v>
      </c>
      <c r="G97" s="8" t="s">
        <v>1045</v>
      </c>
      <c r="H97" s="23">
        <v>46261</v>
      </c>
      <c r="I97" s="23">
        <v>46258.472916666666</v>
      </c>
      <c r="J97" s="10">
        <v>40</v>
      </c>
      <c r="K97" s="10">
        <v>0</v>
      </c>
      <c r="L97" s="24">
        <v>0</v>
      </c>
      <c r="M97" s="10">
        <v>40</v>
      </c>
    </row>
    <row r="98" spans="1:13" x14ac:dyDescent="0.25">
      <c r="A98" s="12" t="str">
        <f t="shared" si="2"/>
        <v>1AUTOS ALINHAMENTO LTDARCB46260,4444444444</v>
      </c>
      <c r="B98" s="12" t="str">
        <f t="shared" si="3"/>
        <v>Agosto</v>
      </c>
      <c r="C98" s="8" t="s">
        <v>664</v>
      </c>
      <c r="D98" s="8" t="s">
        <v>664</v>
      </c>
      <c r="E98" s="8" t="s">
        <v>216</v>
      </c>
      <c r="F98" s="23">
        <v>46260.444444444445</v>
      </c>
      <c r="G98" s="8" t="s">
        <v>1045</v>
      </c>
      <c r="H98" s="23">
        <v>46265</v>
      </c>
      <c r="I98" s="23">
        <v>46260.444444444445</v>
      </c>
      <c r="J98" s="10">
        <v>60</v>
      </c>
      <c r="K98" s="10">
        <v>0</v>
      </c>
      <c r="L98" s="24">
        <v>0</v>
      </c>
      <c r="M98" s="10">
        <v>60</v>
      </c>
    </row>
    <row r="99" spans="1:13" x14ac:dyDescent="0.25">
      <c r="A99" s="12" t="str">
        <f t="shared" si="2"/>
        <v>1ANTONIO PNEUS LTDARCB46261,4548611111</v>
      </c>
      <c r="B99" s="12" t="str">
        <f t="shared" si="3"/>
        <v>Setembro</v>
      </c>
      <c r="C99" s="8" t="s">
        <v>664</v>
      </c>
      <c r="D99" s="8" t="s">
        <v>664</v>
      </c>
      <c r="E99" s="8" t="s">
        <v>217</v>
      </c>
      <c r="F99" s="23">
        <v>46261.454861111109</v>
      </c>
      <c r="G99" s="8" t="s">
        <v>1045</v>
      </c>
      <c r="H99" s="23">
        <v>46266</v>
      </c>
      <c r="I99" s="23">
        <v>46261.454861111109</v>
      </c>
      <c r="J99" s="10">
        <v>120</v>
      </c>
      <c r="K99" s="10">
        <v>0</v>
      </c>
      <c r="L99" s="24">
        <v>0</v>
      </c>
      <c r="M99" s="10">
        <v>120</v>
      </c>
    </row>
    <row r="100" spans="1:13" x14ac:dyDescent="0.25">
      <c r="A100" s="12" t="str">
        <f t="shared" si="2"/>
        <v>1RUBEN RODRIGUES CARDOSORCB46266,5930555556</v>
      </c>
      <c r="B100" s="12" t="str">
        <f t="shared" si="3"/>
        <v>Setembro</v>
      </c>
      <c r="C100" s="8" t="s">
        <v>664</v>
      </c>
      <c r="D100" s="8" t="s">
        <v>664</v>
      </c>
      <c r="E100" s="8" t="s">
        <v>223</v>
      </c>
      <c r="F100" s="23">
        <v>46266.593055555553</v>
      </c>
      <c r="G100" s="8" t="s">
        <v>1045</v>
      </c>
      <c r="H100" s="23">
        <v>46269</v>
      </c>
      <c r="I100" s="23">
        <v>46266.593055555553</v>
      </c>
      <c r="J100" s="10">
        <v>60</v>
      </c>
      <c r="K100" s="10">
        <v>0</v>
      </c>
      <c r="L100" s="24">
        <v>0</v>
      </c>
      <c r="M100" s="10">
        <v>60</v>
      </c>
    </row>
    <row r="101" spans="1:13" x14ac:dyDescent="0.25">
      <c r="A101" s="12" t="str">
        <f t="shared" si="2"/>
        <v>127.776.941 MARCIO RUBENS DO NASCIMENTO MARTINSRCB46268,3444444444</v>
      </c>
      <c r="B101" s="12" t="str">
        <f t="shared" si="3"/>
        <v>Setembro</v>
      </c>
      <c r="C101" s="8" t="s">
        <v>664</v>
      </c>
      <c r="D101" s="8" t="s">
        <v>664</v>
      </c>
      <c r="E101" s="8" t="s">
        <v>225</v>
      </c>
      <c r="F101" s="23">
        <v>46268.344444444447</v>
      </c>
      <c r="G101" s="8" t="s">
        <v>1045</v>
      </c>
      <c r="H101" s="23">
        <v>46273</v>
      </c>
      <c r="I101" s="23">
        <v>46268.344444444447</v>
      </c>
      <c r="J101" s="10">
        <v>80</v>
      </c>
      <c r="K101" s="10">
        <v>0</v>
      </c>
      <c r="L101" s="24">
        <v>0</v>
      </c>
      <c r="M101" s="10">
        <v>80</v>
      </c>
    </row>
    <row r="102" spans="1:13" x14ac:dyDescent="0.25">
      <c r="A102" s="12" t="str">
        <f t="shared" si="2"/>
        <v>1PADARIA E CONFEITARIA GIRASSOL LTDARCB46273,6</v>
      </c>
      <c r="B102" s="12" t="str">
        <f t="shared" si="3"/>
        <v>Setembro</v>
      </c>
      <c r="C102" s="8" t="s">
        <v>664</v>
      </c>
      <c r="D102" s="8" t="s">
        <v>664</v>
      </c>
      <c r="E102" s="8" t="s">
        <v>220</v>
      </c>
      <c r="F102" s="23">
        <v>46273.599999999999</v>
      </c>
      <c r="G102" s="8" t="s">
        <v>1045</v>
      </c>
      <c r="H102" s="23">
        <v>46279</v>
      </c>
      <c r="I102" s="23">
        <v>46273.599999999999</v>
      </c>
      <c r="J102" s="10">
        <v>279.60000000000002</v>
      </c>
      <c r="K102" s="10">
        <v>0</v>
      </c>
      <c r="L102" s="24">
        <v>0</v>
      </c>
      <c r="M102" s="10">
        <v>279.60000000000002</v>
      </c>
    </row>
    <row r="103" spans="1:13" x14ac:dyDescent="0.25">
      <c r="A103" s="12" t="str">
        <f t="shared" si="2"/>
        <v>1KETLENY DAIANE RODRIGUES PEREIRARCB46275,2479166667</v>
      </c>
      <c r="B103" s="12" t="str">
        <f t="shared" si="3"/>
        <v>Setembro</v>
      </c>
      <c r="C103" s="8" t="s">
        <v>664</v>
      </c>
      <c r="D103" s="8" t="s">
        <v>664</v>
      </c>
      <c r="E103" s="8" t="s">
        <v>219</v>
      </c>
      <c r="F103" s="23">
        <v>46275.247916666667</v>
      </c>
      <c r="G103" s="8" t="s">
        <v>1045</v>
      </c>
      <c r="H103" s="23">
        <v>46280</v>
      </c>
      <c r="I103" s="23">
        <v>46275.247916666667</v>
      </c>
      <c r="J103" s="10">
        <v>24.6</v>
      </c>
      <c r="K103" s="10">
        <v>0</v>
      </c>
      <c r="L103" s="24">
        <v>0</v>
      </c>
      <c r="M103" s="10">
        <v>24.6</v>
      </c>
    </row>
    <row r="104" spans="1:13" x14ac:dyDescent="0.25">
      <c r="A104" s="12" t="str">
        <f t="shared" si="2"/>
        <v>1Bendito Chocolate da CarolRCB46275,2458333333</v>
      </c>
      <c r="B104" s="12" t="str">
        <f t="shared" si="3"/>
        <v>Setembro</v>
      </c>
      <c r="C104" s="8" t="s">
        <v>664</v>
      </c>
      <c r="D104" s="8" t="s">
        <v>664</v>
      </c>
      <c r="E104" s="8" t="s">
        <v>221</v>
      </c>
      <c r="F104" s="23">
        <v>46275.245833333334</v>
      </c>
      <c r="G104" s="8" t="s">
        <v>1045</v>
      </c>
      <c r="H104" s="23">
        <v>46280</v>
      </c>
      <c r="I104" s="23">
        <v>46275.245833333334</v>
      </c>
      <c r="J104" s="10">
        <v>250</v>
      </c>
      <c r="K104" s="10">
        <v>0</v>
      </c>
      <c r="L104" s="24">
        <v>0</v>
      </c>
      <c r="M104" s="10">
        <v>250</v>
      </c>
    </row>
    <row r="105" spans="1:13" x14ac:dyDescent="0.25">
      <c r="A105" s="12" t="str">
        <f t="shared" si="2"/>
        <v>1GLEYDSON DE SOUZA PEREIRARCB46282,3152777778</v>
      </c>
      <c r="B105" s="12" t="str">
        <f t="shared" si="3"/>
        <v>Setembro</v>
      </c>
      <c r="C105" s="8" t="s">
        <v>664</v>
      </c>
      <c r="D105" s="8" t="s">
        <v>664</v>
      </c>
      <c r="E105" s="8" t="s">
        <v>226</v>
      </c>
      <c r="F105" s="23">
        <v>46282.31527777778</v>
      </c>
      <c r="G105" s="8" t="s">
        <v>1045</v>
      </c>
      <c r="H105" s="23">
        <v>46287</v>
      </c>
      <c r="I105" s="23">
        <v>46282.31527777778</v>
      </c>
      <c r="J105" s="10">
        <v>28.5</v>
      </c>
      <c r="K105" s="10">
        <v>0</v>
      </c>
      <c r="L105" s="24">
        <v>0</v>
      </c>
      <c r="M105" s="10">
        <v>28.5</v>
      </c>
    </row>
    <row r="106" spans="1:13" x14ac:dyDescent="0.25">
      <c r="A106" s="12" t="str">
        <f t="shared" si="2"/>
        <v>1RENATO MARTINS DA CONCEICAORCB46289,4729166667</v>
      </c>
      <c r="B106" s="12" t="str">
        <f t="shared" si="3"/>
        <v>Setembro</v>
      </c>
      <c r="C106" s="8" t="s">
        <v>664</v>
      </c>
      <c r="D106" s="8" t="s">
        <v>664</v>
      </c>
      <c r="E106" s="8" t="s">
        <v>3164</v>
      </c>
      <c r="F106" s="23">
        <v>46289.472916666666</v>
      </c>
      <c r="G106" s="8" t="s">
        <v>1045</v>
      </c>
      <c r="H106" s="23">
        <v>46294</v>
      </c>
      <c r="I106" s="23">
        <v>46289.472916666666</v>
      </c>
      <c r="J106" s="10">
        <v>27.79</v>
      </c>
      <c r="K106" s="10">
        <v>0</v>
      </c>
      <c r="L106" s="24">
        <v>0</v>
      </c>
      <c r="M106" s="10">
        <v>27.79</v>
      </c>
    </row>
    <row r="107" spans="1:13" x14ac:dyDescent="0.25">
      <c r="A107" s="12" t="str">
        <f t="shared" si="2"/>
        <v>1WESLEY FLAVIO ALVES NOGUEIRARCB46293,4597222222</v>
      </c>
      <c r="B107" s="12" t="str">
        <f t="shared" si="3"/>
        <v>Outubro</v>
      </c>
      <c r="C107" s="8" t="s">
        <v>664</v>
      </c>
      <c r="D107" s="8" t="s">
        <v>664</v>
      </c>
      <c r="E107" s="8" t="s">
        <v>3172</v>
      </c>
      <c r="F107" s="23">
        <v>46293.459722222222</v>
      </c>
      <c r="G107" s="8" t="s">
        <v>1045</v>
      </c>
      <c r="H107" s="23">
        <v>46296</v>
      </c>
      <c r="I107" s="23">
        <v>46293.459722222222</v>
      </c>
      <c r="J107" s="10">
        <v>176</v>
      </c>
      <c r="K107" s="10">
        <v>0</v>
      </c>
      <c r="L107" s="24">
        <v>0</v>
      </c>
      <c r="M107" s="10">
        <v>176</v>
      </c>
    </row>
    <row r="108" spans="1:13" x14ac:dyDescent="0.25">
      <c r="A108" s="12" t="str">
        <f t="shared" si="2"/>
        <v>1ANA CAROLINA BORGESRCB46297,4048611111</v>
      </c>
      <c r="B108" s="12" t="str">
        <f t="shared" si="3"/>
        <v>Outubro</v>
      </c>
      <c r="C108" s="8" t="s">
        <v>664</v>
      </c>
      <c r="D108" s="8" t="s">
        <v>664</v>
      </c>
      <c r="E108" s="8" t="s">
        <v>3189</v>
      </c>
      <c r="F108" s="23">
        <v>46297.404861111114</v>
      </c>
      <c r="G108" s="8" t="s">
        <v>1045</v>
      </c>
      <c r="H108" s="23">
        <v>46303</v>
      </c>
      <c r="I108" s="23">
        <v>46297.404861111114</v>
      </c>
      <c r="J108" s="10">
        <v>150</v>
      </c>
      <c r="K108" s="10">
        <v>0</v>
      </c>
      <c r="L108" s="24">
        <v>0</v>
      </c>
      <c r="M108" s="10">
        <v>150</v>
      </c>
    </row>
    <row r="109" spans="1:13" x14ac:dyDescent="0.25">
      <c r="A109" s="12" t="str">
        <f t="shared" si="2"/>
        <v>10EDILSON RIBEIRO DA SILVARCB46031,4590277778</v>
      </c>
      <c r="B109" s="12" t="str">
        <f t="shared" si="3"/>
        <v>Janeiro</v>
      </c>
      <c r="C109" s="8" t="s">
        <v>667</v>
      </c>
      <c r="D109" s="8" t="s">
        <v>664</v>
      </c>
      <c r="E109" s="8" t="s">
        <v>56</v>
      </c>
      <c r="F109" s="23">
        <v>46031.459027777775</v>
      </c>
      <c r="G109" s="8" t="s">
        <v>1045</v>
      </c>
      <c r="H109" s="23">
        <v>46036</v>
      </c>
      <c r="I109" s="23">
        <v>46031.459027777775</v>
      </c>
      <c r="J109" s="10">
        <v>140</v>
      </c>
      <c r="K109" s="10">
        <v>0</v>
      </c>
      <c r="L109" s="24">
        <v>0</v>
      </c>
      <c r="M109" s="10">
        <v>140</v>
      </c>
    </row>
    <row r="110" spans="1:13" x14ac:dyDescent="0.25">
      <c r="A110" s="12" t="str">
        <f t="shared" si="2"/>
        <v>10GABRIEL MOUTINHO ALBINORCB46038,3631944444</v>
      </c>
      <c r="B110" s="12" t="str">
        <f t="shared" si="3"/>
        <v>Janeiro</v>
      </c>
      <c r="C110" s="8" t="s">
        <v>667</v>
      </c>
      <c r="D110" s="8" t="s">
        <v>664</v>
      </c>
      <c r="E110" s="8" t="s">
        <v>73</v>
      </c>
      <c r="F110" s="23">
        <v>46038.363194444442</v>
      </c>
      <c r="G110" s="8" t="s">
        <v>1045</v>
      </c>
      <c r="H110" s="23">
        <v>46043</v>
      </c>
      <c r="I110" s="23">
        <v>46038.363194444442</v>
      </c>
      <c r="J110" s="10">
        <v>501.2</v>
      </c>
      <c r="K110" s="10">
        <v>0</v>
      </c>
      <c r="L110" s="24">
        <v>0</v>
      </c>
      <c r="M110" s="10">
        <v>501.2</v>
      </c>
    </row>
    <row r="111" spans="1:13" x14ac:dyDescent="0.25">
      <c r="A111" s="12" t="str">
        <f t="shared" si="2"/>
        <v>10VANDIEGO MARQUES DA SILVA SANTOSRCB46055,4763888889</v>
      </c>
      <c r="B111" s="12" t="str">
        <f t="shared" si="3"/>
        <v>Fevereiro</v>
      </c>
      <c r="C111" s="8" t="s">
        <v>667</v>
      </c>
      <c r="D111" s="8" t="s">
        <v>664</v>
      </c>
      <c r="E111" s="8" t="s">
        <v>194</v>
      </c>
      <c r="F111" s="23">
        <v>46055.476388888892</v>
      </c>
      <c r="G111" s="8" t="s">
        <v>1045</v>
      </c>
      <c r="H111" s="23">
        <v>46058</v>
      </c>
      <c r="I111" s="23">
        <v>46055.476388888892</v>
      </c>
      <c r="J111" s="10">
        <v>60</v>
      </c>
      <c r="K111" s="10">
        <v>0</v>
      </c>
      <c r="L111" s="24">
        <v>0</v>
      </c>
      <c r="M111" s="10">
        <v>60</v>
      </c>
    </row>
    <row r="112" spans="1:13" x14ac:dyDescent="0.25">
      <c r="A112" s="12" t="str">
        <f t="shared" si="2"/>
        <v>10WALACE ROCHA DE SOUZARCB46064,60625</v>
      </c>
      <c r="B112" s="12" t="str">
        <f t="shared" si="3"/>
        <v>Fevereiro</v>
      </c>
      <c r="C112" s="8" t="s">
        <v>667</v>
      </c>
      <c r="D112" s="8" t="s">
        <v>664</v>
      </c>
      <c r="E112" s="8" t="s">
        <v>200</v>
      </c>
      <c r="F112" s="23">
        <v>46064.606249999997</v>
      </c>
      <c r="G112" s="8" t="s">
        <v>1045</v>
      </c>
      <c r="H112" s="23">
        <v>46069</v>
      </c>
      <c r="I112" s="23">
        <v>46064.606249999997</v>
      </c>
      <c r="J112" s="10">
        <v>183.06</v>
      </c>
      <c r="K112" s="10">
        <v>0</v>
      </c>
      <c r="L112" s="24">
        <v>0</v>
      </c>
      <c r="M112" s="10">
        <v>183.06</v>
      </c>
    </row>
    <row r="113" spans="1:13" x14ac:dyDescent="0.25">
      <c r="A113" s="12" t="str">
        <f t="shared" si="2"/>
        <v>10DANIELA CHAVES MARIANORCB46076,4729166667</v>
      </c>
      <c r="B113" s="12" t="str">
        <f t="shared" si="3"/>
        <v>Fevereiro</v>
      </c>
      <c r="C113" s="8" t="s">
        <v>667</v>
      </c>
      <c r="D113" s="8" t="s">
        <v>664</v>
      </c>
      <c r="E113" s="8" t="s">
        <v>47</v>
      </c>
      <c r="F113" s="23">
        <v>46076.472916666666</v>
      </c>
      <c r="G113" s="8" t="s">
        <v>1045</v>
      </c>
      <c r="H113" s="23">
        <v>46079</v>
      </c>
      <c r="I113" s="23">
        <v>46076.472916666666</v>
      </c>
      <c r="J113" s="10">
        <v>80</v>
      </c>
      <c r="K113" s="10">
        <v>0</v>
      </c>
      <c r="L113" s="24">
        <v>0</v>
      </c>
      <c r="M113" s="10">
        <v>80</v>
      </c>
    </row>
    <row r="114" spans="1:13" x14ac:dyDescent="0.25">
      <c r="A114" s="12" t="str">
        <f t="shared" si="2"/>
        <v>10FERNANDO GONÇALVES DE SOUZARCB46085,5201388889</v>
      </c>
      <c r="B114" s="12" t="str">
        <f t="shared" si="3"/>
        <v>Março</v>
      </c>
      <c r="C114" s="8" t="s">
        <v>667</v>
      </c>
      <c r="D114" s="8" t="s">
        <v>664</v>
      </c>
      <c r="E114" s="8" t="s">
        <v>1443</v>
      </c>
      <c r="F114" s="23">
        <v>46085.520138888889</v>
      </c>
      <c r="G114" s="8" t="s">
        <v>1045</v>
      </c>
      <c r="H114" s="23">
        <v>46091</v>
      </c>
      <c r="I114" s="23">
        <v>46085.520138888889</v>
      </c>
      <c r="J114" s="10">
        <v>11.8</v>
      </c>
      <c r="K114" s="10">
        <v>0</v>
      </c>
      <c r="L114" s="24">
        <v>0</v>
      </c>
      <c r="M114" s="10">
        <v>11.8</v>
      </c>
    </row>
    <row r="115" spans="1:13" x14ac:dyDescent="0.25">
      <c r="A115" s="12" t="str">
        <f t="shared" si="2"/>
        <v>10MECANICA CRISTO REI LTDANSE46059</v>
      </c>
      <c r="B115" s="12" t="str">
        <f t="shared" si="3"/>
        <v>Março</v>
      </c>
      <c r="C115" s="8" t="s">
        <v>667</v>
      </c>
      <c r="D115" s="8" t="s">
        <v>1354</v>
      </c>
      <c r="E115" s="8" t="s">
        <v>125</v>
      </c>
      <c r="F115" s="23">
        <v>46059</v>
      </c>
      <c r="G115" s="8" t="s">
        <v>665</v>
      </c>
      <c r="H115" s="23">
        <v>46089</v>
      </c>
      <c r="I115" s="23">
        <v>46064</v>
      </c>
      <c r="J115" s="10">
        <v>815</v>
      </c>
      <c r="K115" s="10">
        <v>0</v>
      </c>
      <c r="L115" s="24">
        <v>0</v>
      </c>
      <c r="M115" s="10">
        <v>787.29</v>
      </c>
    </row>
    <row r="116" spans="1:13" x14ac:dyDescent="0.25">
      <c r="A116" s="12" t="str">
        <f t="shared" si="2"/>
        <v>10ANTONIO SILVA DE SOUSARCB46113,4305555556</v>
      </c>
      <c r="B116" s="12" t="str">
        <f t="shared" si="3"/>
        <v>Abril</v>
      </c>
      <c r="C116" s="8" t="s">
        <v>667</v>
      </c>
      <c r="D116" s="8" t="s">
        <v>664</v>
      </c>
      <c r="E116" s="8" t="s">
        <v>20</v>
      </c>
      <c r="F116" s="23">
        <v>46113.430555555555</v>
      </c>
      <c r="G116" s="8" t="s">
        <v>1045</v>
      </c>
      <c r="H116" s="23">
        <v>46118</v>
      </c>
      <c r="I116" s="23">
        <v>46113.430555555555</v>
      </c>
      <c r="J116" s="10">
        <v>95</v>
      </c>
      <c r="K116" s="10">
        <v>0</v>
      </c>
      <c r="L116" s="24">
        <v>0</v>
      </c>
      <c r="M116" s="10">
        <v>95</v>
      </c>
    </row>
    <row r="117" spans="1:13" x14ac:dyDescent="0.25">
      <c r="A117" s="12" t="str">
        <f t="shared" si="2"/>
        <v>10CAMPOS VEICULOS LTDA - PRIME AUTO CENTERNSE46087</v>
      </c>
      <c r="B117" s="12" t="str">
        <f t="shared" si="3"/>
        <v>Abril</v>
      </c>
      <c r="C117" s="8" t="s">
        <v>667</v>
      </c>
      <c r="D117" s="8" t="s">
        <v>1354</v>
      </c>
      <c r="E117" s="8" t="s">
        <v>35</v>
      </c>
      <c r="F117" s="23">
        <v>46087</v>
      </c>
      <c r="G117" s="8" t="s">
        <v>665</v>
      </c>
      <c r="H117" s="23">
        <v>46118</v>
      </c>
      <c r="I117" s="23">
        <v>46093</v>
      </c>
      <c r="J117" s="10">
        <v>2380</v>
      </c>
      <c r="K117" s="10">
        <v>0</v>
      </c>
      <c r="L117" s="24">
        <v>0</v>
      </c>
      <c r="M117" s="10">
        <v>2284.8000000000002</v>
      </c>
    </row>
    <row r="118" spans="1:13" x14ac:dyDescent="0.25">
      <c r="A118" s="12" t="str">
        <f t="shared" si="2"/>
        <v>10MECANICA CRISTO REI LTDANSE46059</v>
      </c>
      <c r="B118" s="12" t="str">
        <f t="shared" si="3"/>
        <v>Abril</v>
      </c>
      <c r="C118" s="8" t="s">
        <v>667</v>
      </c>
      <c r="D118" s="8" t="s">
        <v>1354</v>
      </c>
      <c r="E118" s="8" t="s">
        <v>125</v>
      </c>
      <c r="F118" s="23">
        <v>46059</v>
      </c>
      <c r="G118" s="8" t="s">
        <v>665</v>
      </c>
      <c r="H118" s="23">
        <v>46120</v>
      </c>
      <c r="I118" s="23">
        <v>46064</v>
      </c>
      <c r="J118" s="10">
        <v>815</v>
      </c>
      <c r="K118" s="10">
        <v>0</v>
      </c>
      <c r="L118" s="24">
        <v>0</v>
      </c>
      <c r="M118" s="10">
        <v>787.29</v>
      </c>
    </row>
    <row r="119" spans="1:13" x14ac:dyDescent="0.25">
      <c r="A119" s="12" t="str">
        <f t="shared" si="2"/>
        <v>10VALDECI TONIMRCB46120,3888888889</v>
      </c>
      <c r="B119" s="12" t="str">
        <f t="shared" si="3"/>
        <v>Abril</v>
      </c>
      <c r="C119" s="8" t="s">
        <v>667</v>
      </c>
      <c r="D119" s="8" t="s">
        <v>664</v>
      </c>
      <c r="E119" s="8" t="s">
        <v>193</v>
      </c>
      <c r="F119" s="23">
        <v>46120.388888888891</v>
      </c>
      <c r="G119" s="8" t="s">
        <v>1045</v>
      </c>
      <c r="H119" s="23">
        <v>46125</v>
      </c>
      <c r="I119" s="23">
        <v>46120.388888888891</v>
      </c>
      <c r="J119" s="10">
        <v>25</v>
      </c>
      <c r="K119" s="10">
        <v>0</v>
      </c>
      <c r="L119" s="24">
        <v>0</v>
      </c>
      <c r="M119" s="10">
        <v>25</v>
      </c>
    </row>
    <row r="120" spans="1:13" x14ac:dyDescent="0.25">
      <c r="A120" s="12" t="str">
        <f t="shared" si="2"/>
        <v>10FERNANDA SANTOS SOARESRCB46120,5993055556</v>
      </c>
      <c r="B120" s="12" t="str">
        <f t="shared" si="3"/>
        <v>Abril</v>
      </c>
      <c r="C120" s="8" t="s">
        <v>667</v>
      </c>
      <c r="D120" s="8" t="s">
        <v>664</v>
      </c>
      <c r="E120" s="8" t="s">
        <v>68</v>
      </c>
      <c r="F120" s="23">
        <v>46120.599305555559</v>
      </c>
      <c r="G120" s="8" t="s">
        <v>1045</v>
      </c>
      <c r="H120" s="23">
        <v>46125</v>
      </c>
      <c r="I120" s="23">
        <v>46120.599305555559</v>
      </c>
      <c r="J120" s="10">
        <v>109.5</v>
      </c>
      <c r="K120" s="10">
        <v>0</v>
      </c>
      <c r="L120" s="24">
        <v>0</v>
      </c>
      <c r="M120" s="10">
        <v>109.5</v>
      </c>
    </row>
    <row r="121" spans="1:13" x14ac:dyDescent="0.25">
      <c r="A121" s="12" t="str">
        <f t="shared" si="2"/>
        <v>10RAFAEL RODRIGUESRCB46146,3791666667</v>
      </c>
      <c r="B121" s="12" t="str">
        <f t="shared" si="3"/>
        <v>Maio</v>
      </c>
      <c r="C121" s="8" t="s">
        <v>667</v>
      </c>
      <c r="D121" s="8" t="s">
        <v>664</v>
      </c>
      <c r="E121" s="8" t="s">
        <v>161</v>
      </c>
      <c r="F121" s="23">
        <v>46146.379166666666</v>
      </c>
      <c r="G121" s="8" t="s">
        <v>1045</v>
      </c>
      <c r="H121" s="23">
        <v>46149</v>
      </c>
      <c r="I121" s="23">
        <v>46146.379166666666</v>
      </c>
      <c r="J121" s="10">
        <v>100</v>
      </c>
      <c r="K121" s="10">
        <v>0</v>
      </c>
      <c r="L121" s="24">
        <v>0</v>
      </c>
      <c r="M121" s="10">
        <v>100</v>
      </c>
    </row>
    <row r="122" spans="1:13" x14ac:dyDescent="0.25">
      <c r="A122" s="12" t="str">
        <f t="shared" si="2"/>
        <v>10WESLLEY FRANCO CALVISRCB46146,3819444444</v>
      </c>
      <c r="B122" s="12" t="str">
        <f t="shared" si="3"/>
        <v>Maio</v>
      </c>
      <c r="C122" s="8" t="s">
        <v>667</v>
      </c>
      <c r="D122" s="8" t="s">
        <v>664</v>
      </c>
      <c r="E122" s="8" t="s">
        <v>202</v>
      </c>
      <c r="F122" s="23">
        <v>46146.381944444445</v>
      </c>
      <c r="G122" s="8" t="s">
        <v>1045</v>
      </c>
      <c r="H122" s="23">
        <v>46149</v>
      </c>
      <c r="I122" s="23">
        <v>46146.381944444445</v>
      </c>
      <c r="J122" s="10">
        <v>70</v>
      </c>
      <c r="K122" s="10">
        <v>0</v>
      </c>
      <c r="L122" s="24">
        <v>0</v>
      </c>
      <c r="M122" s="10">
        <v>70</v>
      </c>
    </row>
    <row r="123" spans="1:13" x14ac:dyDescent="0.25">
      <c r="A123" s="12" t="str">
        <f t="shared" si="2"/>
        <v>10JESLEY WILLIAM MIRANDA DE SOUZARCB46148,6618055556</v>
      </c>
      <c r="B123" s="12" t="str">
        <f t="shared" si="3"/>
        <v>Maio</v>
      </c>
      <c r="C123" s="8" t="s">
        <v>667</v>
      </c>
      <c r="D123" s="8" t="s">
        <v>664</v>
      </c>
      <c r="E123" s="8" t="s">
        <v>90</v>
      </c>
      <c r="F123" s="23">
        <v>46148.661805555559</v>
      </c>
      <c r="G123" s="8" t="s">
        <v>1045</v>
      </c>
      <c r="H123" s="23">
        <v>46153</v>
      </c>
      <c r="I123" s="23">
        <v>46148.661805555559</v>
      </c>
      <c r="J123" s="10">
        <v>120</v>
      </c>
      <c r="K123" s="10">
        <v>0</v>
      </c>
      <c r="L123" s="24">
        <v>0</v>
      </c>
      <c r="M123" s="10">
        <v>120</v>
      </c>
    </row>
    <row r="124" spans="1:13" x14ac:dyDescent="0.25">
      <c r="A124" s="12" t="str">
        <f t="shared" si="2"/>
        <v>10RODOLFO GUILHERME BERNARDES NORBERTORCB46155,4513888889</v>
      </c>
      <c r="B124" s="12" t="str">
        <f t="shared" si="3"/>
        <v>Maio</v>
      </c>
      <c r="C124" s="8" t="s">
        <v>667</v>
      </c>
      <c r="D124" s="8" t="s">
        <v>664</v>
      </c>
      <c r="E124" s="8" t="s">
        <v>171</v>
      </c>
      <c r="F124" s="23">
        <v>46155.451388888891</v>
      </c>
      <c r="G124" s="8" t="s">
        <v>1045</v>
      </c>
      <c r="H124" s="23">
        <v>46160</v>
      </c>
      <c r="I124" s="23">
        <v>46155.451388888891</v>
      </c>
      <c r="J124" s="10">
        <v>100</v>
      </c>
      <c r="K124" s="10">
        <v>0</v>
      </c>
      <c r="L124" s="24">
        <v>0</v>
      </c>
      <c r="M124" s="10">
        <v>100</v>
      </c>
    </row>
    <row r="125" spans="1:13" x14ac:dyDescent="0.25">
      <c r="A125" s="12" t="str">
        <f t="shared" si="2"/>
        <v>10CORREIOS AGUA BRANCARCB46157,4013888889</v>
      </c>
      <c r="B125" s="12" t="str">
        <f t="shared" si="3"/>
        <v>Maio</v>
      </c>
      <c r="C125" s="8" t="s">
        <v>667</v>
      </c>
      <c r="D125" s="8" t="s">
        <v>664</v>
      </c>
      <c r="E125" s="8" t="s">
        <v>45</v>
      </c>
      <c r="F125" s="23">
        <v>46157.401388888888</v>
      </c>
      <c r="G125" s="8" t="s">
        <v>1045</v>
      </c>
      <c r="H125" s="23">
        <v>46162</v>
      </c>
      <c r="I125" s="23">
        <v>46157.401388888888</v>
      </c>
      <c r="J125" s="10">
        <v>177.1</v>
      </c>
      <c r="K125" s="10">
        <v>0</v>
      </c>
      <c r="L125" s="24">
        <v>0</v>
      </c>
      <c r="M125" s="10">
        <v>177.1</v>
      </c>
    </row>
    <row r="126" spans="1:13" x14ac:dyDescent="0.25">
      <c r="A126" s="12" t="str">
        <f t="shared" si="2"/>
        <v>10RODRIGO CORREARCB46170,6104166667</v>
      </c>
      <c r="B126" s="12" t="str">
        <f t="shared" si="3"/>
        <v>Junho</v>
      </c>
      <c r="C126" s="8" t="s">
        <v>667</v>
      </c>
      <c r="D126" s="8" t="s">
        <v>664</v>
      </c>
      <c r="E126" s="8" t="s">
        <v>172</v>
      </c>
      <c r="F126" s="23">
        <v>46170.61041666667</v>
      </c>
      <c r="G126" s="8" t="s">
        <v>1045</v>
      </c>
      <c r="H126" s="23">
        <v>46175</v>
      </c>
      <c r="I126" s="23">
        <v>46170.61041666667</v>
      </c>
      <c r="J126" s="10">
        <v>40</v>
      </c>
      <c r="K126" s="10">
        <v>0</v>
      </c>
      <c r="L126" s="24">
        <v>0</v>
      </c>
      <c r="M126" s="10">
        <v>40</v>
      </c>
    </row>
    <row r="127" spans="1:13" x14ac:dyDescent="0.25">
      <c r="A127" s="12" t="str">
        <f t="shared" si="2"/>
        <v>10PAULO RICARDO SILVARCB46202,3840277778</v>
      </c>
      <c r="B127" s="12" t="str">
        <f t="shared" si="3"/>
        <v>Julho</v>
      </c>
      <c r="C127" s="8" t="s">
        <v>667</v>
      </c>
      <c r="D127" s="8" t="s">
        <v>664</v>
      </c>
      <c r="E127" s="8" t="s">
        <v>153</v>
      </c>
      <c r="F127" s="23">
        <v>46202.384027777778</v>
      </c>
      <c r="G127" s="8" t="s">
        <v>1045</v>
      </c>
      <c r="H127" s="23">
        <v>46205</v>
      </c>
      <c r="I127" s="23">
        <v>46202.384027777778</v>
      </c>
      <c r="J127" s="10">
        <v>48.8</v>
      </c>
      <c r="K127" s="10">
        <v>0</v>
      </c>
      <c r="L127" s="24">
        <v>0</v>
      </c>
      <c r="M127" s="10">
        <v>48.8</v>
      </c>
    </row>
    <row r="128" spans="1:13" x14ac:dyDescent="0.25">
      <c r="A128" s="12" t="str">
        <f t="shared" si="2"/>
        <v>10TIAGO FERNANDO DOS SANTOS SILVARCB46220,4430555556</v>
      </c>
      <c r="B128" s="12" t="str">
        <f t="shared" si="3"/>
        <v>Julho</v>
      </c>
      <c r="C128" s="8" t="s">
        <v>667</v>
      </c>
      <c r="D128" s="8" t="s">
        <v>664</v>
      </c>
      <c r="E128" s="8" t="s">
        <v>188</v>
      </c>
      <c r="F128" s="23">
        <v>46220.443055555559</v>
      </c>
      <c r="G128" s="8" t="s">
        <v>1045</v>
      </c>
      <c r="H128" s="23">
        <v>46225</v>
      </c>
      <c r="I128" s="23">
        <v>46220.443055555559</v>
      </c>
      <c r="J128" s="10">
        <v>150</v>
      </c>
      <c r="K128" s="10">
        <v>0</v>
      </c>
      <c r="L128" s="24">
        <v>0</v>
      </c>
      <c r="M128" s="10">
        <v>150</v>
      </c>
    </row>
    <row r="129" spans="1:13" x14ac:dyDescent="0.25">
      <c r="A129" s="12" t="str">
        <f t="shared" si="2"/>
        <v>10LEANDRO CARVALHO SILVARCB46224,3923611111</v>
      </c>
      <c r="B129" s="12" t="str">
        <f t="shared" si="3"/>
        <v>Julho</v>
      </c>
      <c r="C129" s="8" t="s">
        <v>667</v>
      </c>
      <c r="D129" s="8" t="s">
        <v>664</v>
      </c>
      <c r="E129" s="8" t="s">
        <v>107</v>
      </c>
      <c r="F129" s="23">
        <v>46224.392361111109</v>
      </c>
      <c r="G129" s="8" t="s">
        <v>1045</v>
      </c>
      <c r="H129" s="23">
        <v>46230</v>
      </c>
      <c r="I129" s="23">
        <v>46224.392361111109</v>
      </c>
      <c r="J129" s="10">
        <v>246</v>
      </c>
      <c r="K129" s="10">
        <v>0</v>
      </c>
      <c r="L129" s="24">
        <v>0</v>
      </c>
      <c r="M129" s="10">
        <v>246</v>
      </c>
    </row>
    <row r="130" spans="1:13" x14ac:dyDescent="0.25">
      <c r="A130" s="12" t="str">
        <f t="shared" ref="A130:A193" si="4">$C130&amp;$E130&amp;$G130&amp;$F130</f>
        <v>10ANTONIO CARLOS DA COSTARCB46231,49375</v>
      </c>
      <c r="B130" s="12" t="str">
        <f t="shared" si="3"/>
        <v>Julho</v>
      </c>
      <c r="C130" s="8" t="s">
        <v>667</v>
      </c>
      <c r="D130" s="8" t="s">
        <v>664</v>
      </c>
      <c r="E130" s="8" t="s">
        <v>19</v>
      </c>
      <c r="F130" s="23">
        <v>46231.493750000001</v>
      </c>
      <c r="G130" s="8" t="s">
        <v>1045</v>
      </c>
      <c r="H130" s="23">
        <v>46234</v>
      </c>
      <c r="I130" s="23">
        <v>46231.493750000001</v>
      </c>
      <c r="J130" s="10">
        <v>51.44</v>
      </c>
      <c r="K130" s="10">
        <v>0</v>
      </c>
      <c r="L130" s="24">
        <v>0</v>
      </c>
      <c r="M130" s="10">
        <v>51.44</v>
      </c>
    </row>
    <row r="131" spans="1:13" x14ac:dyDescent="0.25">
      <c r="A131" s="12" t="str">
        <f t="shared" si="4"/>
        <v>10PAULO SILAS GOMES SOARESRCB46231,4861111111</v>
      </c>
      <c r="B131" s="12" t="str">
        <f t="shared" ref="B131:B194" si="5">PROPER(TEXT($H131,"MMMM"))</f>
        <v>Julho</v>
      </c>
      <c r="C131" s="8" t="s">
        <v>667</v>
      </c>
      <c r="D131" s="8" t="s">
        <v>664</v>
      </c>
      <c r="E131" s="8" t="s">
        <v>154</v>
      </c>
      <c r="F131" s="23">
        <v>46231.486111111109</v>
      </c>
      <c r="G131" s="8" t="s">
        <v>1045</v>
      </c>
      <c r="H131" s="23">
        <v>46234</v>
      </c>
      <c r="I131" s="23">
        <v>46231.486111111109</v>
      </c>
      <c r="J131" s="10">
        <v>68</v>
      </c>
      <c r="K131" s="10">
        <v>0</v>
      </c>
      <c r="L131" s="24">
        <v>0</v>
      </c>
      <c r="M131" s="10">
        <v>68</v>
      </c>
    </row>
    <row r="132" spans="1:13" x14ac:dyDescent="0.25">
      <c r="A132" s="12" t="str">
        <f t="shared" si="4"/>
        <v>10BRUNO LOPES SOARESRCB46241,6625</v>
      </c>
      <c r="B132" s="12" t="str">
        <f t="shared" si="5"/>
        <v>Agosto</v>
      </c>
      <c r="C132" s="8" t="s">
        <v>667</v>
      </c>
      <c r="D132" s="8" t="s">
        <v>664</v>
      </c>
      <c r="E132" s="8" t="s">
        <v>30</v>
      </c>
      <c r="F132" s="23">
        <v>46241.662499999999</v>
      </c>
      <c r="G132" s="8" t="s">
        <v>1045</v>
      </c>
      <c r="H132" s="23">
        <v>46246</v>
      </c>
      <c r="I132" s="23">
        <v>46241.662499999999</v>
      </c>
      <c r="J132" s="10">
        <v>133</v>
      </c>
      <c r="K132" s="10">
        <v>0</v>
      </c>
      <c r="L132" s="24">
        <v>0</v>
      </c>
      <c r="M132" s="10">
        <v>133</v>
      </c>
    </row>
    <row r="133" spans="1:13" x14ac:dyDescent="0.25">
      <c r="A133" s="12" t="str">
        <f t="shared" si="4"/>
        <v>10ANA PAULA DE ALMEIDA ARAUJORCB46241,6388888889</v>
      </c>
      <c r="B133" s="12" t="str">
        <f t="shared" si="5"/>
        <v>Agosto</v>
      </c>
      <c r="C133" s="8" t="s">
        <v>667</v>
      </c>
      <c r="D133" s="8" t="s">
        <v>664</v>
      </c>
      <c r="E133" s="8" t="s">
        <v>12</v>
      </c>
      <c r="F133" s="23">
        <v>46241.638888888891</v>
      </c>
      <c r="G133" s="8" t="s">
        <v>1045</v>
      </c>
      <c r="H133" s="23">
        <v>46246</v>
      </c>
      <c r="I133" s="23">
        <v>46241.638888888891</v>
      </c>
      <c r="J133" s="10">
        <v>273.39</v>
      </c>
      <c r="K133" s="10">
        <v>0</v>
      </c>
      <c r="L133" s="24">
        <v>0</v>
      </c>
      <c r="M133" s="10">
        <v>273.39</v>
      </c>
    </row>
    <row r="134" spans="1:13" x14ac:dyDescent="0.25">
      <c r="A134" s="12" t="str">
        <f t="shared" si="4"/>
        <v>10CARLOS ANTONIO PINTORCB46241,6159722222</v>
      </c>
      <c r="B134" s="12" t="str">
        <f t="shared" si="5"/>
        <v>Agosto</v>
      </c>
      <c r="C134" s="8" t="s">
        <v>667</v>
      </c>
      <c r="D134" s="8" t="s">
        <v>664</v>
      </c>
      <c r="E134" s="8" t="s">
        <v>36</v>
      </c>
      <c r="F134" s="23">
        <v>46241.615972222222</v>
      </c>
      <c r="G134" s="8" t="s">
        <v>1045</v>
      </c>
      <c r="H134" s="23">
        <v>46246</v>
      </c>
      <c r="I134" s="23">
        <v>46241.615972222222</v>
      </c>
      <c r="J134" s="10">
        <v>117</v>
      </c>
      <c r="K134" s="10">
        <v>0</v>
      </c>
      <c r="L134" s="24">
        <v>0</v>
      </c>
      <c r="M134" s="10">
        <v>117</v>
      </c>
    </row>
    <row r="135" spans="1:13" x14ac:dyDescent="0.25">
      <c r="A135" s="12" t="str">
        <f t="shared" si="4"/>
        <v>10MAGNO APARECIDO DE JESUSRCB46241,6180555556</v>
      </c>
      <c r="B135" s="12" t="str">
        <f t="shared" si="5"/>
        <v>Agosto</v>
      </c>
      <c r="C135" s="8" t="s">
        <v>667</v>
      </c>
      <c r="D135" s="8" t="s">
        <v>664</v>
      </c>
      <c r="E135" s="8" t="s">
        <v>115</v>
      </c>
      <c r="F135" s="23">
        <v>46241.618055555555</v>
      </c>
      <c r="G135" s="8" t="s">
        <v>1045</v>
      </c>
      <c r="H135" s="23">
        <v>46246</v>
      </c>
      <c r="I135" s="23">
        <v>46241.618055555555</v>
      </c>
      <c r="J135" s="10">
        <v>29</v>
      </c>
      <c r="K135" s="10">
        <v>0</v>
      </c>
      <c r="L135" s="24">
        <v>0</v>
      </c>
      <c r="M135" s="10">
        <v>29</v>
      </c>
    </row>
    <row r="136" spans="1:13" x14ac:dyDescent="0.25">
      <c r="A136" s="12" t="str">
        <f t="shared" si="4"/>
        <v>10LAIENE LOPES TEIXEIRARCB46247,3881944444</v>
      </c>
      <c r="B136" s="12" t="str">
        <f t="shared" si="5"/>
        <v>Agosto</v>
      </c>
      <c r="C136" s="8" t="s">
        <v>667</v>
      </c>
      <c r="D136" s="8" t="s">
        <v>664</v>
      </c>
      <c r="E136" s="8" t="s">
        <v>106</v>
      </c>
      <c r="F136" s="23">
        <v>46247.388194444444</v>
      </c>
      <c r="G136" s="8" t="s">
        <v>1045</v>
      </c>
      <c r="H136" s="23">
        <v>46252</v>
      </c>
      <c r="I136" s="23">
        <v>46247.388194444444</v>
      </c>
      <c r="J136" s="10">
        <v>218.96</v>
      </c>
      <c r="K136" s="10">
        <v>0</v>
      </c>
      <c r="L136" s="24">
        <v>0</v>
      </c>
      <c r="M136" s="10">
        <v>218.96</v>
      </c>
    </row>
    <row r="137" spans="1:13" x14ac:dyDescent="0.25">
      <c r="A137" s="12" t="str">
        <f t="shared" si="4"/>
        <v>10PATRICIA JUSTINA DE ALMEIDARCB46248,3354166667</v>
      </c>
      <c r="B137" s="12" t="str">
        <f t="shared" si="5"/>
        <v>Agosto</v>
      </c>
      <c r="C137" s="8" t="s">
        <v>667</v>
      </c>
      <c r="D137" s="8" t="s">
        <v>664</v>
      </c>
      <c r="E137" s="8" t="s">
        <v>148</v>
      </c>
      <c r="F137" s="23">
        <v>46248.335416666669</v>
      </c>
      <c r="G137" s="8" t="s">
        <v>1045</v>
      </c>
      <c r="H137" s="23">
        <v>46253</v>
      </c>
      <c r="I137" s="23">
        <v>46248.335416666669</v>
      </c>
      <c r="J137" s="10">
        <v>419.84</v>
      </c>
      <c r="K137" s="10">
        <v>0</v>
      </c>
      <c r="L137" s="24">
        <v>0</v>
      </c>
      <c r="M137" s="10">
        <v>419.84</v>
      </c>
    </row>
    <row r="138" spans="1:13" x14ac:dyDescent="0.25">
      <c r="A138" s="12" t="str">
        <f t="shared" si="4"/>
        <v>10DIOGO BONELA TONHARCB46268,3416666667</v>
      </c>
      <c r="B138" s="12" t="str">
        <f t="shared" si="5"/>
        <v>Setembro</v>
      </c>
      <c r="C138" s="8" t="s">
        <v>667</v>
      </c>
      <c r="D138" s="8" t="s">
        <v>664</v>
      </c>
      <c r="E138" s="8" t="s">
        <v>52</v>
      </c>
      <c r="F138" s="23">
        <v>46268.341666666667</v>
      </c>
      <c r="G138" s="8" t="s">
        <v>1045</v>
      </c>
      <c r="H138" s="23">
        <v>46273</v>
      </c>
      <c r="I138" s="23">
        <v>46268.341666666667</v>
      </c>
      <c r="J138" s="10">
        <v>31</v>
      </c>
      <c r="K138" s="10">
        <v>0</v>
      </c>
      <c r="L138" s="24">
        <v>0</v>
      </c>
      <c r="M138" s="10">
        <v>31</v>
      </c>
    </row>
    <row r="139" spans="1:13" x14ac:dyDescent="0.25">
      <c r="A139" s="12" t="str">
        <f t="shared" si="4"/>
        <v>10ELIANA HENRIQUE MENDES BARBOSARCB46280,4201388889</v>
      </c>
      <c r="B139" s="12" t="str">
        <f t="shared" si="5"/>
        <v>Setembro</v>
      </c>
      <c r="C139" s="8" t="s">
        <v>667</v>
      </c>
      <c r="D139" s="8" t="s">
        <v>664</v>
      </c>
      <c r="E139" s="8" t="s">
        <v>59</v>
      </c>
      <c r="F139" s="23">
        <v>46280.420138888891</v>
      </c>
      <c r="G139" s="8" t="s">
        <v>1045</v>
      </c>
      <c r="H139" s="23">
        <v>46283</v>
      </c>
      <c r="I139" s="23">
        <v>46280.420138888891</v>
      </c>
      <c r="J139" s="10">
        <v>128.80000000000001</v>
      </c>
      <c r="K139" s="10">
        <v>0</v>
      </c>
      <c r="L139" s="24">
        <v>0</v>
      </c>
      <c r="M139" s="10">
        <v>128.80000000000001</v>
      </c>
    </row>
    <row r="140" spans="1:13" x14ac:dyDescent="0.25">
      <c r="A140" s="12" t="str">
        <f t="shared" si="4"/>
        <v>10JAIME GOMES PARAGUAIRCB46280,4194444444</v>
      </c>
      <c r="B140" s="12" t="str">
        <f t="shared" si="5"/>
        <v>Setembro</v>
      </c>
      <c r="C140" s="8" t="s">
        <v>667</v>
      </c>
      <c r="D140" s="8" t="s">
        <v>664</v>
      </c>
      <c r="E140" s="8" t="s">
        <v>87</v>
      </c>
      <c r="F140" s="23">
        <v>46280.419444444444</v>
      </c>
      <c r="G140" s="8" t="s">
        <v>1045</v>
      </c>
      <c r="H140" s="23">
        <v>46283</v>
      </c>
      <c r="I140" s="23">
        <v>46280.419444444444</v>
      </c>
      <c r="J140" s="10">
        <v>27.2</v>
      </c>
      <c r="K140" s="10">
        <v>0</v>
      </c>
      <c r="L140" s="24">
        <v>0</v>
      </c>
      <c r="M140" s="10">
        <v>27.2</v>
      </c>
    </row>
    <row r="141" spans="1:13" x14ac:dyDescent="0.25">
      <c r="A141" s="12" t="str">
        <f t="shared" si="4"/>
        <v>10RAISSA DE CARVALHO FIORINERCB46280,41875</v>
      </c>
      <c r="B141" s="12" t="str">
        <f t="shared" si="5"/>
        <v>Setembro</v>
      </c>
      <c r="C141" s="8" t="s">
        <v>667</v>
      </c>
      <c r="D141" s="8" t="s">
        <v>664</v>
      </c>
      <c r="E141" s="8" t="s">
        <v>163</v>
      </c>
      <c r="F141" s="23">
        <v>46280.418749999997</v>
      </c>
      <c r="G141" s="8" t="s">
        <v>1045</v>
      </c>
      <c r="H141" s="23">
        <v>46283</v>
      </c>
      <c r="I141" s="23">
        <v>46280.418749999997</v>
      </c>
      <c r="J141" s="10">
        <v>27.2</v>
      </c>
      <c r="K141" s="10">
        <v>0</v>
      </c>
      <c r="L141" s="24">
        <v>0</v>
      </c>
      <c r="M141" s="10">
        <v>27.2</v>
      </c>
    </row>
    <row r="142" spans="1:13" x14ac:dyDescent="0.25">
      <c r="A142" s="12" t="str">
        <f t="shared" si="4"/>
        <v>10MARAJO NAVEGACAO COMERCIO E TRANSPORTE DE PASSAGEIROS LTDARCB46281,61875</v>
      </c>
      <c r="B142" s="12" t="str">
        <f t="shared" si="5"/>
        <v>Setembro</v>
      </c>
      <c r="C142" s="8" t="s">
        <v>667</v>
      </c>
      <c r="D142" s="8" t="s">
        <v>664</v>
      </c>
      <c r="E142" s="8" t="s">
        <v>118</v>
      </c>
      <c r="F142" s="23">
        <v>46281.618750000001</v>
      </c>
      <c r="G142" s="8" t="s">
        <v>1045</v>
      </c>
      <c r="H142" s="23">
        <v>46286</v>
      </c>
      <c r="I142" s="23">
        <v>46281.618750000001</v>
      </c>
      <c r="J142" s="10">
        <v>728</v>
      </c>
      <c r="K142" s="10">
        <v>0</v>
      </c>
      <c r="L142" s="24">
        <v>0</v>
      </c>
      <c r="M142" s="10">
        <v>728</v>
      </c>
    </row>
    <row r="143" spans="1:13" x14ac:dyDescent="0.25">
      <c r="A143" s="12" t="str">
        <f t="shared" si="4"/>
        <v>10ANDERSON LUIS FROES DE JESUSRCB46282,3166666667</v>
      </c>
      <c r="B143" s="12" t="str">
        <f t="shared" si="5"/>
        <v>Setembro</v>
      </c>
      <c r="C143" s="8" t="s">
        <v>667</v>
      </c>
      <c r="D143" s="8" t="s">
        <v>664</v>
      </c>
      <c r="E143" s="8" t="s">
        <v>13</v>
      </c>
      <c r="F143" s="23">
        <v>46282.316666666666</v>
      </c>
      <c r="G143" s="8" t="s">
        <v>1045</v>
      </c>
      <c r="H143" s="23">
        <v>46287</v>
      </c>
      <c r="I143" s="23">
        <v>46282.316666666666</v>
      </c>
      <c r="J143" s="10">
        <v>114</v>
      </c>
      <c r="K143" s="10">
        <v>0</v>
      </c>
      <c r="L143" s="24">
        <v>0</v>
      </c>
      <c r="M143" s="10">
        <v>114</v>
      </c>
    </row>
    <row r="144" spans="1:13" x14ac:dyDescent="0.25">
      <c r="A144" s="12" t="str">
        <f t="shared" si="4"/>
        <v>10EXPRESSO TRANSPORTE LTDARCB46288,6722222222</v>
      </c>
      <c r="B144" s="12" t="str">
        <f t="shared" si="5"/>
        <v>Setembro</v>
      </c>
      <c r="C144" s="8" t="s">
        <v>667</v>
      </c>
      <c r="D144" s="8" t="s">
        <v>664</v>
      </c>
      <c r="E144" s="8" t="s">
        <v>66</v>
      </c>
      <c r="F144" s="23">
        <v>46288.672222222223</v>
      </c>
      <c r="G144" s="8" t="s">
        <v>1045</v>
      </c>
      <c r="H144" s="23">
        <v>46293</v>
      </c>
      <c r="I144" s="23">
        <v>46288.672222222223</v>
      </c>
      <c r="J144" s="10">
        <v>4212</v>
      </c>
      <c r="K144" s="10">
        <v>0</v>
      </c>
      <c r="L144" s="24">
        <v>0</v>
      </c>
      <c r="M144" s="10">
        <v>4212</v>
      </c>
    </row>
    <row r="145" spans="1:13" x14ac:dyDescent="0.25">
      <c r="A145" s="12" t="str">
        <f t="shared" si="4"/>
        <v>10KATHLEEN KRISLEY AMBROSIO LARARCB46295,6263888889</v>
      </c>
      <c r="B145" s="12" t="str">
        <f t="shared" si="5"/>
        <v>Outubro</v>
      </c>
      <c r="C145" s="8" t="s">
        <v>667</v>
      </c>
      <c r="D145" s="8" t="s">
        <v>664</v>
      </c>
      <c r="E145" s="8" t="s">
        <v>104</v>
      </c>
      <c r="F145" s="23">
        <v>46295.626388888886</v>
      </c>
      <c r="G145" s="8" t="s">
        <v>1045</v>
      </c>
      <c r="H145" s="23">
        <v>46300</v>
      </c>
      <c r="I145" s="23">
        <v>46295.626388888886</v>
      </c>
      <c r="J145" s="10">
        <v>430.85</v>
      </c>
      <c r="K145" s="10">
        <v>0</v>
      </c>
      <c r="L145" s="24">
        <v>0</v>
      </c>
      <c r="M145" s="10">
        <v>430.85</v>
      </c>
    </row>
    <row r="146" spans="1:13" x14ac:dyDescent="0.25">
      <c r="A146" s="12" t="str">
        <f t="shared" si="4"/>
        <v>1004593TREVISO BETIM VEICULOS LTDANFE46098</v>
      </c>
      <c r="B146" s="12" t="str">
        <f t="shared" si="5"/>
        <v>Abril</v>
      </c>
      <c r="C146" s="8" t="s">
        <v>379</v>
      </c>
      <c r="D146" s="8" t="s">
        <v>653</v>
      </c>
      <c r="E146" s="8" t="s">
        <v>190</v>
      </c>
      <c r="F146" s="23">
        <v>46098</v>
      </c>
      <c r="G146" s="8" t="s">
        <v>380</v>
      </c>
      <c r="H146" s="23">
        <v>46126</v>
      </c>
      <c r="I146" s="23">
        <v>46100</v>
      </c>
      <c r="J146" s="10">
        <v>1981.04</v>
      </c>
      <c r="K146" s="10">
        <v>0</v>
      </c>
      <c r="L146" s="24">
        <v>0</v>
      </c>
      <c r="M146" s="10">
        <v>1981.04</v>
      </c>
    </row>
    <row r="147" spans="1:13" x14ac:dyDescent="0.25">
      <c r="A147" s="12" t="str">
        <f t="shared" si="4"/>
        <v>1005286MINAS MAQUINAS | UBÁNSE46052</v>
      </c>
      <c r="B147" s="12" t="str">
        <f t="shared" si="5"/>
        <v>Março</v>
      </c>
      <c r="C147" s="8" t="s">
        <v>668</v>
      </c>
      <c r="D147" s="8" t="s">
        <v>1354</v>
      </c>
      <c r="E147" s="8" t="s">
        <v>131</v>
      </c>
      <c r="F147" s="23">
        <v>46052</v>
      </c>
      <c r="G147" s="8" t="s">
        <v>665</v>
      </c>
      <c r="H147" s="23">
        <v>46082</v>
      </c>
      <c r="I147" s="23">
        <v>46052</v>
      </c>
      <c r="J147" s="10">
        <v>1531.67</v>
      </c>
      <c r="K147" s="10">
        <v>0</v>
      </c>
      <c r="L147" s="24">
        <v>0</v>
      </c>
      <c r="M147" s="10">
        <v>1531.67</v>
      </c>
    </row>
    <row r="148" spans="1:13" x14ac:dyDescent="0.25">
      <c r="A148" s="12" t="str">
        <f t="shared" si="4"/>
        <v>1005286MINAS MAQUINAS | UBÁNSE46052</v>
      </c>
      <c r="B148" s="12" t="str">
        <f t="shared" si="5"/>
        <v>Março</v>
      </c>
      <c r="C148" s="8" t="s">
        <v>668</v>
      </c>
      <c r="D148" s="8" t="s">
        <v>1354</v>
      </c>
      <c r="E148" s="8" t="s">
        <v>131</v>
      </c>
      <c r="F148" s="23">
        <v>46052</v>
      </c>
      <c r="G148" s="8" t="s">
        <v>665</v>
      </c>
      <c r="H148" s="23">
        <v>46112</v>
      </c>
      <c r="I148" s="23">
        <v>46052</v>
      </c>
      <c r="J148" s="10">
        <v>1531.67</v>
      </c>
      <c r="K148" s="10">
        <v>0</v>
      </c>
      <c r="L148" s="24">
        <v>0</v>
      </c>
      <c r="M148" s="10">
        <v>1531.67</v>
      </c>
    </row>
    <row r="149" spans="1:13" x14ac:dyDescent="0.25">
      <c r="A149" s="12" t="str">
        <f t="shared" si="4"/>
        <v>1005286MINAS MAQUINAS | UBÁNSE46052</v>
      </c>
      <c r="B149" s="12" t="str">
        <f t="shared" si="5"/>
        <v>Abril</v>
      </c>
      <c r="C149" s="8" t="s">
        <v>668</v>
      </c>
      <c r="D149" s="8" t="s">
        <v>1354</v>
      </c>
      <c r="E149" s="8" t="s">
        <v>131</v>
      </c>
      <c r="F149" s="23">
        <v>46052</v>
      </c>
      <c r="G149" s="8" t="s">
        <v>665</v>
      </c>
      <c r="H149" s="23">
        <v>46142</v>
      </c>
      <c r="I149" s="23">
        <v>46052</v>
      </c>
      <c r="J149" s="10">
        <v>1531.66</v>
      </c>
      <c r="K149" s="10">
        <v>0</v>
      </c>
      <c r="L149" s="24">
        <v>0</v>
      </c>
      <c r="M149" s="10">
        <v>1531.66</v>
      </c>
    </row>
    <row r="150" spans="1:13" x14ac:dyDescent="0.25">
      <c r="A150" s="12" t="str">
        <f t="shared" si="4"/>
        <v>1007751TREVISO BETIM VEICULOS LTDANFE46114</v>
      </c>
      <c r="B150" s="12" t="str">
        <f t="shared" si="5"/>
        <v>Abril</v>
      </c>
      <c r="C150" s="8" t="s">
        <v>383</v>
      </c>
      <c r="D150" s="8" t="s">
        <v>653</v>
      </c>
      <c r="E150" s="8" t="s">
        <v>190</v>
      </c>
      <c r="F150" s="23">
        <v>46114</v>
      </c>
      <c r="G150" s="8" t="s">
        <v>380</v>
      </c>
      <c r="H150" s="23">
        <v>46142</v>
      </c>
      <c r="I150" s="23">
        <v>46120</v>
      </c>
      <c r="J150" s="10">
        <v>5566.97</v>
      </c>
      <c r="K150" s="10">
        <v>0</v>
      </c>
      <c r="L150" s="24">
        <v>0</v>
      </c>
      <c r="M150" s="10">
        <v>5566.97</v>
      </c>
    </row>
    <row r="151" spans="1:13" x14ac:dyDescent="0.25">
      <c r="A151" s="12" t="str">
        <f t="shared" si="4"/>
        <v>1007751TREVISO BETIM VEICULOS LTDANFE46114</v>
      </c>
      <c r="B151" s="12" t="str">
        <f t="shared" si="5"/>
        <v>Maio</v>
      </c>
      <c r="C151" s="8" t="s">
        <v>383</v>
      </c>
      <c r="D151" s="8" t="s">
        <v>653</v>
      </c>
      <c r="E151" s="8" t="s">
        <v>190</v>
      </c>
      <c r="F151" s="23">
        <v>46114</v>
      </c>
      <c r="G151" s="8" t="s">
        <v>380</v>
      </c>
      <c r="H151" s="23">
        <v>46170</v>
      </c>
      <c r="I151" s="23">
        <v>46120</v>
      </c>
      <c r="J151" s="10">
        <v>5566.97</v>
      </c>
      <c r="K151" s="10">
        <v>0</v>
      </c>
      <c r="L151" s="24">
        <v>0</v>
      </c>
      <c r="M151" s="10">
        <v>5566.97</v>
      </c>
    </row>
    <row r="152" spans="1:13" x14ac:dyDescent="0.25">
      <c r="A152" s="12" t="str">
        <f t="shared" si="4"/>
        <v>1007751TREVISO BETIM VEICULOS LTDANFE46114</v>
      </c>
      <c r="B152" s="12" t="str">
        <f t="shared" si="5"/>
        <v>Junho</v>
      </c>
      <c r="C152" s="8" t="s">
        <v>383</v>
      </c>
      <c r="D152" s="8" t="s">
        <v>653</v>
      </c>
      <c r="E152" s="8" t="s">
        <v>190</v>
      </c>
      <c r="F152" s="23">
        <v>46114</v>
      </c>
      <c r="G152" s="8" t="s">
        <v>380</v>
      </c>
      <c r="H152" s="23">
        <v>46198</v>
      </c>
      <c r="I152" s="23">
        <v>46120</v>
      </c>
      <c r="J152" s="10">
        <v>5566.98</v>
      </c>
      <c r="K152" s="10">
        <v>0</v>
      </c>
      <c r="L152" s="24">
        <v>0</v>
      </c>
      <c r="M152" s="10">
        <v>5566.98</v>
      </c>
    </row>
    <row r="153" spans="1:13" x14ac:dyDescent="0.25">
      <c r="A153" s="12" t="str">
        <f t="shared" si="4"/>
        <v>1008420TREVISO BETIM VEICULOS LTDANFE46120</v>
      </c>
      <c r="B153" s="12" t="str">
        <f t="shared" si="5"/>
        <v>Maio</v>
      </c>
      <c r="C153" s="8" t="s">
        <v>384</v>
      </c>
      <c r="D153" s="8" t="s">
        <v>653</v>
      </c>
      <c r="E153" s="8" t="s">
        <v>190</v>
      </c>
      <c r="F153" s="23">
        <v>46120</v>
      </c>
      <c r="G153" s="8" t="s">
        <v>380</v>
      </c>
      <c r="H153" s="23">
        <v>46148</v>
      </c>
      <c r="I153" s="23">
        <v>46121</v>
      </c>
      <c r="J153" s="10">
        <v>1981.04</v>
      </c>
      <c r="K153" s="10">
        <v>0</v>
      </c>
      <c r="L153" s="24">
        <v>0</v>
      </c>
      <c r="M153" s="10">
        <v>1981.04</v>
      </c>
    </row>
    <row r="154" spans="1:13" x14ac:dyDescent="0.25">
      <c r="A154" s="12" t="str">
        <f t="shared" si="4"/>
        <v>101JESSICA STEFANE DA COSTA LIMANSE46149</v>
      </c>
      <c r="B154" s="12" t="str">
        <f t="shared" si="5"/>
        <v>Junho</v>
      </c>
      <c r="C154" s="8" t="s">
        <v>669</v>
      </c>
      <c r="D154" s="8" t="s">
        <v>1354</v>
      </c>
      <c r="E154" s="8" t="s">
        <v>92</v>
      </c>
      <c r="F154" s="23">
        <v>46149</v>
      </c>
      <c r="G154" s="8" t="s">
        <v>665</v>
      </c>
      <c r="H154" s="23">
        <v>46179</v>
      </c>
      <c r="I154" s="23">
        <v>46155</v>
      </c>
      <c r="J154" s="10">
        <v>1910</v>
      </c>
      <c r="K154" s="10">
        <v>0</v>
      </c>
      <c r="L154" s="24">
        <v>0</v>
      </c>
      <c r="M154" s="10">
        <v>1910</v>
      </c>
    </row>
    <row r="155" spans="1:13" x14ac:dyDescent="0.25">
      <c r="A155" s="12" t="str">
        <f t="shared" si="4"/>
        <v>1011RC TRUCK CENTER S/ANFS46217</v>
      </c>
      <c r="B155" s="12" t="str">
        <f t="shared" si="5"/>
        <v>Agosto</v>
      </c>
      <c r="C155" s="8" t="s">
        <v>613</v>
      </c>
      <c r="D155" s="8" t="s">
        <v>1354</v>
      </c>
      <c r="E155" s="8" t="s">
        <v>164</v>
      </c>
      <c r="F155" s="23">
        <v>46217</v>
      </c>
      <c r="G155" s="8" t="s">
        <v>614</v>
      </c>
      <c r="H155" s="23">
        <v>46248</v>
      </c>
      <c r="I155" s="23">
        <v>46220</v>
      </c>
      <c r="J155" s="10">
        <v>2111</v>
      </c>
      <c r="K155" s="10">
        <v>0</v>
      </c>
      <c r="L155" s="24">
        <v>0</v>
      </c>
      <c r="M155" s="10">
        <v>2026.56</v>
      </c>
    </row>
    <row r="156" spans="1:13" x14ac:dyDescent="0.25">
      <c r="A156" s="12" t="str">
        <f t="shared" si="4"/>
        <v>1019AVANSAT TECNOLOGIAS E SERVS EM SEGURANCA LTDANSE46178</v>
      </c>
      <c r="B156" s="12" t="str">
        <f t="shared" si="5"/>
        <v>Julho</v>
      </c>
      <c r="C156" s="8" t="s">
        <v>671</v>
      </c>
      <c r="D156" s="8" t="s">
        <v>1354</v>
      </c>
      <c r="E156" s="8" t="s">
        <v>24</v>
      </c>
      <c r="F156" s="23">
        <v>46178</v>
      </c>
      <c r="G156" s="8" t="s">
        <v>665</v>
      </c>
      <c r="H156" s="23">
        <v>46209</v>
      </c>
      <c r="I156" s="23">
        <v>46182</v>
      </c>
      <c r="J156" s="10">
        <v>11929.32</v>
      </c>
      <c r="K156" s="10">
        <v>0</v>
      </c>
      <c r="L156" s="24">
        <v>0</v>
      </c>
      <c r="M156" s="10">
        <v>11929.32</v>
      </c>
    </row>
    <row r="157" spans="1:13" x14ac:dyDescent="0.25">
      <c r="A157" s="12" t="str">
        <f t="shared" si="4"/>
        <v>102026-87HENRIQUE GALAMBA RODRIGUES DOS ANJOSDEP46278,8166666667</v>
      </c>
      <c r="B157" s="12" t="str">
        <f t="shared" si="5"/>
        <v>Outubro</v>
      </c>
      <c r="C157" s="8" t="s">
        <v>3198</v>
      </c>
      <c r="D157" s="8" t="s">
        <v>664</v>
      </c>
      <c r="E157" s="8" t="s">
        <v>84</v>
      </c>
      <c r="F157" s="23">
        <v>46278.816666666666</v>
      </c>
      <c r="G157" s="8" t="s">
        <v>1043</v>
      </c>
      <c r="H157" s="23">
        <v>46301</v>
      </c>
      <c r="I157" s="23">
        <v>46278.816666666666</v>
      </c>
      <c r="J157" s="10">
        <v>3000</v>
      </c>
      <c r="K157" s="10">
        <v>0</v>
      </c>
      <c r="L157" s="24">
        <v>0</v>
      </c>
      <c r="M157" s="10">
        <v>3000</v>
      </c>
    </row>
    <row r="158" spans="1:13" x14ac:dyDescent="0.25">
      <c r="A158" s="12" t="str">
        <f t="shared" si="4"/>
        <v>1020378TREVISO BETIM VEICULOS LTDANFE46190</v>
      </c>
      <c r="B158" s="12" t="str">
        <f t="shared" si="5"/>
        <v>Julho</v>
      </c>
      <c r="C158" s="8" t="s">
        <v>385</v>
      </c>
      <c r="D158" s="8" t="s">
        <v>653</v>
      </c>
      <c r="E158" s="8" t="s">
        <v>190</v>
      </c>
      <c r="F158" s="23">
        <v>46190</v>
      </c>
      <c r="G158" s="8" t="s">
        <v>380</v>
      </c>
      <c r="H158" s="23">
        <v>46218</v>
      </c>
      <c r="I158" s="23">
        <v>46196</v>
      </c>
      <c r="J158" s="10">
        <v>1827.44</v>
      </c>
      <c r="K158" s="10">
        <v>0</v>
      </c>
      <c r="L158" s="24">
        <v>0</v>
      </c>
      <c r="M158" s="10">
        <v>1827.44</v>
      </c>
    </row>
    <row r="159" spans="1:13" x14ac:dyDescent="0.25">
      <c r="A159" s="12" t="str">
        <f t="shared" si="4"/>
        <v>1020379TREVISO BETIM VEICULOS LTDANFE46190</v>
      </c>
      <c r="B159" s="12" t="str">
        <f t="shared" si="5"/>
        <v>Julho</v>
      </c>
      <c r="C159" s="8" t="s">
        <v>386</v>
      </c>
      <c r="D159" s="8" t="s">
        <v>653</v>
      </c>
      <c r="E159" s="8" t="s">
        <v>190</v>
      </c>
      <c r="F159" s="23">
        <v>46190</v>
      </c>
      <c r="G159" s="8" t="s">
        <v>380</v>
      </c>
      <c r="H159" s="23">
        <v>46218</v>
      </c>
      <c r="I159" s="23">
        <v>46196</v>
      </c>
      <c r="J159" s="10">
        <v>1827.44</v>
      </c>
      <c r="K159" s="10">
        <v>0</v>
      </c>
      <c r="L159" s="24">
        <v>0</v>
      </c>
      <c r="M159" s="10">
        <v>1827.44</v>
      </c>
    </row>
    <row r="160" spans="1:13" x14ac:dyDescent="0.25">
      <c r="A160" s="12" t="str">
        <f t="shared" si="4"/>
        <v>1020380TREVISO BETIM VEICULOS LTDANFE46190</v>
      </c>
      <c r="B160" s="12" t="str">
        <f t="shared" si="5"/>
        <v>Julho</v>
      </c>
      <c r="C160" s="8" t="s">
        <v>387</v>
      </c>
      <c r="D160" s="8" t="s">
        <v>653</v>
      </c>
      <c r="E160" s="8" t="s">
        <v>190</v>
      </c>
      <c r="F160" s="23">
        <v>46190</v>
      </c>
      <c r="G160" s="8" t="s">
        <v>380</v>
      </c>
      <c r="H160" s="23">
        <v>46218</v>
      </c>
      <c r="I160" s="23">
        <v>46196</v>
      </c>
      <c r="J160" s="10">
        <v>1827.44</v>
      </c>
      <c r="K160" s="10">
        <v>0</v>
      </c>
      <c r="L160" s="24">
        <v>0</v>
      </c>
      <c r="M160" s="10">
        <v>1827.44</v>
      </c>
    </row>
    <row r="161" spans="1:13" x14ac:dyDescent="0.25">
      <c r="A161" s="12" t="str">
        <f t="shared" si="4"/>
        <v>10284RM FRANCO EMPREENDIMENTOS LTDANFE46001</v>
      </c>
      <c r="B161" s="12" t="str">
        <f t="shared" si="5"/>
        <v>Janeiro</v>
      </c>
      <c r="C161" s="8" t="s">
        <v>1435</v>
      </c>
      <c r="D161" s="8" t="s">
        <v>664</v>
      </c>
      <c r="E161" s="8" t="s">
        <v>168</v>
      </c>
      <c r="F161" s="23">
        <v>46001</v>
      </c>
      <c r="G161" s="8" t="s">
        <v>380</v>
      </c>
      <c r="H161" s="23">
        <v>46028</v>
      </c>
      <c r="I161" s="23">
        <v>46002</v>
      </c>
      <c r="J161" s="10">
        <v>1102.4000000000001</v>
      </c>
      <c r="K161" s="10">
        <v>0</v>
      </c>
      <c r="L161" s="24">
        <v>0</v>
      </c>
      <c r="M161" s="10">
        <v>1102.4000000000001</v>
      </c>
    </row>
    <row r="162" spans="1:13" x14ac:dyDescent="0.25">
      <c r="A162" s="12" t="str">
        <f t="shared" si="4"/>
        <v>103MGS PRINTERNSE46167</v>
      </c>
      <c r="B162" s="12" t="str">
        <f t="shared" si="5"/>
        <v>Julho</v>
      </c>
      <c r="C162" s="8" t="s">
        <v>675</v>
      </c>
      <c r="D162" s="8" t="s">
        <v>664</v>
      </c>
      <c r="E162" s="8" t="s">
        <v>128</v>
      </c>
      <c r="F162" s="23">
        <v>46167</v>
      </c>
      <c r="G162" s="8" t="s">
        <v>665</v>
      </c>
      <c r="H162" s="23">
        <v>46209</v>
      </c>
      <c r="I162" s="23">
        <v>46168</v>
      </c>
      <c r="J162" s="10">
        <v>377.6</v>
      </c>
      <c r="K162" s="10">
        <v>0</v>
      </c>
      <c r="L162" s="24">
        <v>0</v>
      </c>
      <c r="M162" s="10">
        <v>377.6</v>
      </c>
    </row>
    <row r="163" spans="1:13" x14ac:dyDescent="0.25">
      <c r="A163" s="12" t="str">
        <f t="shared" si="4"/>
        <v>1030041TREVISO BETIM VEICULOS LTDANFE46247</v>
      </c>
      <c r="B163" s="12" t="str">
        <f t="shared" si="5"/>
        <v>Agosto</v>
      </c>
      <c r="C163" s="8" t="s">
        <v>388</v>
      </c>
      <c r="D163" s="8" t="s">
        <v>653</v>
      </c>
      <c r="E163" s="8" t="s">
        <v>190</v>
      </c>
      <c r="F163" s="23">
        <v>46247</v>
      </c>
      <c r="G163" s="8" t="s">
        <v>380</v>
      </c>
      <c r="H163" s="23">
        <v>46252</v>
      </c>
      <c r="I163" s="23">
        <v>46237.375</v>
      </c>
      <c r="J163" s="10">
        <v>1943.25</v>
      </c>
      <c r="K163" s="10">
        <v>0</v>
      </c>
      <c r="L163" s="24">
        <v>0</v>
      </c>
      <c r="M163" s="10">
        <v>1943.25</v>
      </c>
    </row>
    <row r="164" spans="1:13" x14ac:dyDescent="0.25">
      <c r="A164" s="12" t="str">
        <f t="shared" si="4"/>
        <v>1033BATERLAY LTDANFE46146</v>
      </c>
      <c r="B164" s="12" t="str">
        <f t="shared" si="5"/>
        <v>Junho</v>
      </c>
      <c r="C164" s="8" t="s">
        <v>389</v>
      </c>
      <c r="D164" s="8" t="s">
        <v>664</v>
      </c>
      <c r="E164" s="8" t="s">
        <v>25</v>
      </c>
      <c r="F164" s="23">
        <v>46146</v>
      </c>
      <c r="G164" s="8" t="s">
        <v>380</v>
      </c>
      <c r="H164" s="23">
        <v>46179</v>
      </c>
      <c r="I164" s="23">
        <v>46153</v>
      </c>
      <c r="J164" s="10">
        <v>1276</v>
      </c>
      <c r="K164" s="10">
        <v>0</v>
      </c>
      <c r="L164" s="24">
        <v>0</v>
      </c>
      <c r="M164" s="10">
        <v>1276</v>
      </c>
    </row>
    <row r="165" spans="1:13" x14ac:dyDescent="0.25">
      <c r="A165" s="12" t="str">
        <f t="shared" si="4"/>
        <v>1034598TREVISO BETIM VEICULOS LTDANFE46273</v>
      </c>
      <c r="B165" s="12" t="str">
        <f t="shared" si="5"/>
        <v>Outubro</v>
      </c>
      <c r="C165" s="8" t="s">
        <v>391</v>
      </c>
      <c r="D165" s="8" t="s">
        <v>653</v>
      </c>
      <c r="E165" s="8" t="s">
        <v>190</v>
      </c>
      <c r="F165" s="23">
        <v>46273</v>
      </c>
      <c r="G165" s="8" t="s">
        <v>380</v>
      </c>
      <c r="H165" s="23">
        <v>46301</v>
      </c>
      <c r="I165" s="23">
        <v>46280</v>
      </c>
      <c r="J165" s="10">
        <v>5182.43</v>
      </c>
      <c r="K165" s="10">
        <v>0</v>
      </c>
      <c r="L165" s="24">
        <v>0</v>
      </c>
      <c r="M165" s="10">
        <v>5182.43</v>
      </c>
    </row>
    <row r="166" spans="1:13" x14ac:dyDescent="0.25">
      <c r="A166" s="12" t="str">
        <f t="shared" si="4"/>
        <v>10376OCP EXAMES OCUPACIONAIS LTDANSE46224</v>
      </c>
      <c r="B166" s="12" t="str">
        <f t="shared" si="5"/>
        <v>Setembro</v>
      </c>
      <c r="C166" s="8" t="s">
        <v>676</v>
      </c>
      <c r="D166" s="8" t="s">
        <v>664</v>
      </c>
      <c r="E166" s="8" t="s">
        <v>140</v>
      </c>
      <c r="F166" s="23">
        <v>46224</v>
      </c>
      <c r="G166" s="8" t="s">
        <v>665</v>
      </c>
      <c r="H166" s="23">
        <v>46271</v>
      </c>
      <c r="I166" s="23">
        <v>46225</v>
      </c>
      <c r="J166" s="10">
        <v>3046.95</v>
      </c>
      <c r="K166" s="10">
        <v>0</v>
      </c>
      <c r="L166" s="24">
        <v>0</v>
      </c>
      <c r="M166" s="10">
        <v>2859.56</v>
      </c>
    </row>
    <row r="167" spans="1:13" x14ac:dyDescent="0.25">
      <c r="A167" s="12" t="str">
        <f t="shared" si="4"/>
        <v>10376-1708-87MINISTERIO DA FAZENDAIM46231,3993055556</v>
      </c>
      <c r="B167" s="12" t="str">
        <f t="shared" si="5"/>
        <v>Agosto</v>
      </c>
      <c r="C167" s="8" t="s">
        <v>2986</v>
      </c>
      <c r="D167" s="8" t="s">
        <v>664</v>
      </c>
      <c r="E167" s="8" t="s">
        <v>1503</v>
      </c>
      <c r="F167" s="23">
        <v>46231.399305555555</v>
      </c>
      <c r="G167" s="8" t="s">
        <v>1142</v>
      </c>
      <c r="H167" s="23">
        <v>46254</v>
      </c>
      <c r="I167" s="23">
        <v>46231.399305555555</v>
      </c>
      <c r="J167" s="10">
        <v>45.7</v>
      </c>
      <c r="K167" s="10">
        <v>0</v>
      </c>
      <c r="L167" s="24">
        <v>0</v>
      </c>
      <c r="M167" s="10">
        <v>45.7</v>
      </c>
    </row>
    <row r="168" spans="1:13" x14ac:dyDescent="0.25">
      <c r="A168" s="12" t="str">
        <f t="shared" si="4"/>
        <v>10376-5952-87MINISTERIO DA FAZENDAIM46231,4006944444</v>
      </c>
      <c r="B168" s="12" t="str">
        <f t="shared" si="5"/>
        <v>Agosto</v>
      </c>
      <c r="C168" s="8" t="s">
        <v>2999</v>
      </c>
      <c r="D168" s="8" t="s">
        <v>664</v>
      </c>
      <c r="E168" s="8" t="s">
        <v>1503</v>
      </c>
      <c r="F168" s="23">
        <v>46231.400694444441</v>
      </c>
      <c r="G168" s="8" t="s">
        <v>1142</v>
      </c>
      <c r="H168" s="23">
        <v>46254</v>
      </c>
      <c r="I168" s="23">
        <v>46231.400694444441</v>
      </c>
      <c r="J168" s="10">
        <v>141.68</v>
      </c>
      <c r="K168" s="10">
        <v>0</v>
      </c>
      <c r="L168" s="24">
        <v>0</v>
      </c>
      <c r="M168" s="10">
        <v>141.68</v>
      </c>
    </row>
    <row r="169" spans="1:13" x14ac:dyDescent="0.25">
      <c r="A169" s="12" t="str">
        <f t="shared" si="4"/>
        <v>1040AVANSAT TECNOLOGIAS E SERVS EM SEGURANCA LTDANSE46184</v>
      </c>
      <c r="B169" s="12" t="str">
        <f t="shared" si="5"/>
        <v>Julho</v>
      </c>
      <c r="C169" s="8" t="s">
        <v>677</v>
      </c>
      <c r="D169" s="8" t="s">
        <v>1354</v>
      </c>
      <c r="E169" s="8" t="s">
        <v>24</v>
      </c>
      <c r="F169" s="23">
        <v>46184</v>
      </c>
      <c r="G169" s="8" t="s">
        <v>665</v>
      </c>
      <c r="H169" s="23">
        <v>46209</v>
      </c>
      <c r="I169" s="23">
        <v>46188</v>
      </c>
      <c r="J169" s="10">
        <v>3045</v>
      </c>
      <c r="K169" s="10">
        <v>0</v>
      </c>
      <c r="L169" s="24">
        <v>0</v>
      </c>
      <c r="M169" s="10">
        <v>2857.73</v>
      </c>
    </row>
    <row r="170" spans="1:13" x14ac:dyDescent="0.25">
      <c r="A170" s="12" t="str">
        <f t="shared" si="4"/>
        <v>1040-1708-87MINISTERIO DA FAZENDAIM46192,4409722222</v>
      </c>
      <c r="B170" s="12" t="str">
        <f t="shared" si="5"/>
        <v>Julho</v>
      </c>
      <c r="C170" s="8" t="s">
        <v>2767</v>
      </c>
      <c r="D170" s="8" t="s">
        <v>664</v>
      </c>
      <c r="E170" s="8" t="s">
        <v>1503</v>
      </c>
      <c r="F170" s="23">
        <v>46192.440972222219</v>
      </c>
      <c r="G170" s="8" t="s">
        <v>1142</v>
      </c>
      <c r="H170" s="23">
        <v>46223</v>
      </c>
      <c r="I170" s="23">
        <v>46192.440972222219</v>
      </c>
      <c r="J170" s="10">
        <v>45.68</v>
      </c>
      <c r="K170" s="10">
        <v>0</v>
      </c>
      <c r="L170" s="24">
        <v>0</v>
      </c>
      <c r="M170" s="10">
        <v>45.68</v>
      </c>
    </row>
    <row r="171" spans="1:13" x14ac:dyDescent="0.25">
      <c r="A171" s="12" t="str">
        <f t="shared" si="4"/>
        <v>1040-5952-87MINISTERIO DA FAZENDAIM46192,4423611111</v>
      </c>
      <c r="B171" s="12" t="str">
        <f t="shared" si="5"/>
        <v>Julho</v>
      </c>
      <c r="C171" s="8" t="s">
        <v>2768</v>
      </c>
      <c r="D171" s="8" t="s">
        <v>664</v>
      </c>
      <c r="E171" s="8" t="s">
        <v>1503</v>
      </c>
      <c r="F171" s="23">
        <v>46192.442361111112</v>
      </c>
      <c r="G171" s="8" t="s">
        <v>1142</v>
      </c>
      <c r="H171" s="23">
        <v>46223</v>
      </c>
      <c r="I171" s="23">
        <v>46192.442361111112</v>
      </c>
      <c r="J171" s="10">
        <v>141.59</v>
      </c>
      <c r="K171" s="10">
        <v>0</v>
      </c>
      <c r="L171" s="24">
        <v>0</v>
      </c>
      <c r="M171" s="10">
        <v>141.59</v>
      </c>
    </row>
    <row r="172" spans="1:13" x14ac:dyDescent="0.25">
      <c r="A172" s="12" t="str">
        <f t="shared" si="4"/>
        <v>105GLOBAL SERVICOS LTDANSE46105</v>
      </c>
      <c r="B172" s="12" t="str">
        <f t="shared" si="5"/>
        <v>Abril</v>
      </c>
      <c r="C172" s="8" t="s">
        <v>678</v>
      </c>
      <c r="D172" s="8" t="s">
        <v>1354</v>
      </c>
      <c r="E172" s="8" t="s">
        <v>228</v>
      </c>
      <c r="F172" s="23">
        <v>46105</v>
      </c>
      <c r="G172" s="8" t="s">
        <v>665</v>
      </c>
      <c r="H172" s="23">
        <v>46135</v>
      </c>
      <c r="I172" s="23">
        <v>46108</v>
      </c>
      <c r="J172" s="10">
        <v>440</v>
      </c>
      <c r="K172" s="10">
        <v>0</v>
      </c>
      <c r="L172" s="24">
        <v>0</v>
      </c>
      <c r="M172" s="10">
        <v>440</v>
      </c>
    </row>
    <row r="173" spans="1:13" x14ac:dyDescent="0.25">
      <c r="A173" s="12" t="str">
        <f t="shared" si="4"/>
        <v>1060GW REFORMADORA LTDANSE46106</v>
      </c>
      <c r="B173" s="12" t="str">
        <f t="shared" si="5"/>
        <v>Abril</v>
      </c>
      <c r="C173" s="8" t="s">
        <v>680</v>
      </c>
      <c r="D173" s="8" t="s">
        <v>1354</v>
      </c>
      <c r="E173" s="8" t="s">
        <v>81</v>
      </c>
      <c r="F173" s="23">
        <v>46106</v>
      </c>
      <c r="G173" s="8" t="s">
        <v>665</v>
      </c>
      <c r="H173" s="23">
        <v>46136</v>
      </c>
      <c r="I173" s="23">
        <v>46112</v>
      </c>
      <c r="J173" s="10">
        <v>2691.67</v>
      </c>
      <c r="K173" s="10">
        <v>0</v>
      </c>
      <c r="L173" s="24">
        <v>0</v>
      </c>
      <c r="M173" s="10">
        <v>2691.67</v>
      </c>
    </row>
    <row r="174" spans="1:13" x14ac:dyDescent="0.25">
      <c r="A174" s="12" t="str">
        <f t="shared" si="4"/>
        <v>1060GW REFORMADORA LTDANSE46106</v>
      </c>
      <c r="B174" s="12" t="str">
        <f t="shared" si="5"/>
        <v>Maio</v>
      </c>
      <c r="C174" s="8" t="s">
        <v>680</v>
      </c>
      <c r="D174" s="8" t="s">
        <v>1354</v>
      </c>
      <c r="E174" s="8" t="s">
        <v>81</v>
      </c>
      <c r="F174" s="23">
        <v>46106</v>
      </c>
      <c r="G174" s="8" t="s">
        <v>665</v>
      </c>
      <c r="H174" s="23">
        <v>46166</v>
      </c>
      <c r="I174" s="23">
        <v>46112</v>
      </c>
      <c r="J174" s="10">
        <v>2691.66</v>
      </c>
      <c r="K174" s="10">
        <v>0</v>
      </c>
      <c r="L174" s="24">
        <v>0</v>
      </c>
      <c r="M174" s="10">
        <v>2691.66</v>
      </c>
    </row>
    <row r="175" spans="1:13" x14ac:dyDescent="0.25">
      <c r="A175" s="12" t="str">
        <f t="shared" si="4"/>
        <v>1060GW REFORMADORA LTDANSE46106</v>
      </c>
      <c r="B175" s="12" t="str">
        <f t="shared" si="5"/>
        <v>Junho</v>
      </c>
      <c r="C175" s="8" t="s">
        <v>680</v>
      </c>
      <c r="D175" s="8" t="s">
        <v>1354</v>
      </c>
      <c r="E175" s="8" t="s">
        <v>81</v>
      </c>
      <c r="F175" s="23">
        <v>46106</v>
      </c>
      <c r="G175" s="8" t="s">
        <v>665</v>
      </c>
      <c r="H175" s="23">
        <v>46196</v>
      </c>
      <c r="I175" s="23">
        <v>46112</v>
      </c>
      <c r="J175" s="10">
        <v>2691.67</v>
      </c>
      <c r="K175" s="10">
        <v>0</v>
      </c>
      <c r="L175" s="24">
        <v>0</v>
      </c>
      <c r="M175" s="10">
        <v>2691.67</v>
      </c>
    </row>
    <row r="176" spans="1:13" x14ac:dyDescent="0.25">
      <c r="A176" s="12" t="str">
        <f t="shared" si="4"/>
        <v>10664RM FRANCO EMPREENDIMENTOS LTDANFE46065</v>
      </c>
      <c r="B176" s="12" t="str">
        <f t="shared" si="5"/>
        <v>Março</v>
      </c>
      <c r="C176" s="8" t="s">
        <v>394</v>
      </c>
      <c r="D176" s="8" t="s">
        <v>664</v>
      </c>
      <c r="E176" s="8" t="s">
        <v>168</v>
      </c>
      <c r="F176" s="23">
        <v>46065</v>
      </c>
      <c r="G176" s="8" t="s">
        <v>380</v>
      </c>
      <c r="H176" s="23">
        <v>46087</v>
      </c>
      <c r="I176" s="23">
        <v>46086</v>
      </c>
      <c r="J176" s="10">
        <v>964.6</v>
      </c>
      <c r="K176" s="10">
        <v>0</v>
      </c>
      <c r="L176" s="24">
        <v>0</v>
      </c>
      <c r="M176" s="10">
        <v>964.6</v>
      </c>
    </row>
    <row r="177" spans="1:13" x14ac:dyDescent="0.25">
      <c r="A177" s="12" t="str">
        <f t="shared" si="4"/>
        <v>108ZAMBALDI AUTO CENTER LTDANFE46066</v>
      </c>
      <c r="B177" s="12" t="str">
        <f t="shared" si="5"/>
        <v>Março</v>
      </c>
      <c r="C177" s="8" t="s">
        <v>395</v>
      </c>
      <c r="D177" s="8" t="s">
        <v>664</v>
      </c>
      <c r="E177" s="8" t="s">
        <v>204</v>
      </c>
      <c r="F177" s="23">
        <v>46066</v>
      </c>
      <c r="G177" s="8" t="s">
        <v>380</v>
      </c>
      <c r="H177" s="23">
        <v>46094</v>
      </c>
      <c r="I177" s="23">
        <v>46067</v>
      </c>
      <c r="J177" s="10">
        <v>2909</v>
      </c>
      <c r="K177" s="10">
        <v>0</v>
      </c>
      <c r="L177" s="24">
        <v>0</v>
      </c>
      <c r="M177" s="10">
        <v>2909</v>
      </c>
    </row>
    <row r="178" spans="1:13" x14ac:dyDescent="0.25">
      <c r="A178" s="12" t="str">
        <f t="shared" si="4"/>
        <v>10889RM FRANCO EMPREENDIMENTOS LTDANFE46106</v>
      </c>
      <c r="B178" s="12" t="str">
        <f t="shared" si="5"/>
        <v>Maio</v>
      </c>
      <c r="C178" s="8" t="s">
        <v>397</v>
      </c>
      <c r="D178" s="8" t="s">
        <v>664</v>
      </c>
      <c r="E178" s="8" t="s">
        <v>168</v>
      </c>
      <c r="F178" s="23">
        <v>46106</v>
      </c>
      <c r="G178" s="8" t="s">
        <v>380</v>
      </c>
      <c r="H178" s="23">
        <v>46148</v>
      </c>
      <c r="I178" s="23">
        <v>46106</v>
      </c>
      <c r="J178" s="10">
        <v>1896.96</v>
      </c>
      <c r="K178" s="10">
        <v>0</v>
      </c>
      <c r="L178" s="24">
        <v>0</v>
      </c>
      <c r="M178" s="10">
        <v>1896.96</v>
      </c>
    </row>
    <row r="179" spans="1:13" x14ac:dyDescent="0.25">
      <c r="A179" s="12" t="str">
        <f t="shared" si="4"/>
        <v>109MECANICA CRISTO REI LTDANSE46225</v>
      </c>
      <c r="B179" s="12" t="str">
        <f t="shared" si="5"/>
        <v>Agosto</v>
      </c>
      <c r="C179" s="8" t="s">
        <v>681</v>
      </c>
      <c r="D179" s="8" t="s">
        <v>1354</v>
      </c>
      <c r="E179" s="8" t="s">
        <v>125</v>
      </c>
      <c r="F179" s="23">
        <v>46225</v>
      </c>
      <c r="G179" s="8" t="s">
        <v>665</v>
      </c>
      <c r="H179" s="23">
        <v>46255</v>
      </c>
      <c r="I179" s="23">
        <v>46231</v>
      </c>
      <c r="J179" s="10">
        <v>550</v>
      </c>
      <c r="K179" s="10">
        <v>0</v>
      </c>
      <c r="L179" s="24">
        <v>0</v>
      </c>
      <c r="M179" s="10">
        <v>550</v>
      </c>
    </row>
    <row r="180" spans="1:13" x14ac:dyDescent="0.25">
      <c r="A180" s="12" t="str">
        <f t="shared" si="4"/>
        <v>11GABRIEL MOUTINHO ALBINORCB46037,3576388889</v>
      </c>
      <c r="B180" s="12" t="str">
        <f t="shared" si="5"/>
        <v>Janeiro</v>
      </c>
      <c r="C180" s="8" t="s">
        <v>398</v>
      </c>
      <c r="D180" s="8" t="s">
        <v>664</v>
      </c>
      <c r="E180" s="8" t="s">
        <v>73</v>
      </c>
      <c r="F180" s="23">
        <v>46037.357638888891</v>
      </c>
      <c r="G180" s="8" t="s">
        <v>1045</v>
      </c>
      <c r="H180" s="23">
        <v>46042</v>
      </c>
      <c r="I180" s="23">
        <v>46037.357638888891</v>
      </c>
      <c r="J180" s="10">
        <v>340</v>
      </c>
      <c r="K180" s="10">
        <v>0</v>
      </c>
      <c r="L180" s="24">
        <v>0</v>
      </c>
      <c r="M180" s="10">
        <v>340</v>
      </c>
    </row>
    <row r="181" spans="1:13" x14ac:dyDescent="0.25">
      <c r="A181" s="12" t="str">
        <f t="shared" si="4"/>
        <v>11VITOR SOUZA SILVARCB46042,6173611111</v>
      </c>
      <c r="B181" s="12" t="str">
        <f t="shared" si="5"/>
        <v>Janeiro</v>
      </c>
      <c r="C181" s="8" t="s">
        <v>398</v>
      </c>
      <c r="D181" s="8" t="s">
        <v>664</v>
      </c>
      <c r="E181" s="8" t="s">
        <v>199</v>
      </c>
      <c r="F181" s="23">
        <v>46042.617361111108</v>
      </c>
      <c r="G181" s="8" t="s">
        <v>1045</v>
      </c>
      <c r="H181" s="23">
        <v>46045</v>
      </c>
      <c r="I181" s="23">
        <v>46042.617361111108</v>
      </c>
      <c r="J181" s="10">
        <v>55.63</v>
      </c>
      <c r="K181" s="10">
        <v>0</v>
      </c>
      <c r="L181" s="24">
        <v>0</v>
      </c>
      <c r="M181" s="10">
        <v>55.63</v>
      </c>
    </row>
    <row r="182" spans="1:13" x14ac:dyDescent="0.25">
      <c r="A182" s="12" t="str">
        <f t="shared" si="4"/>
        <v>11EDILSON RIBEIRO DA SILVARCB46043,4138888889</v>
      </c>
      <c r="B182" s="12" t="str">
        <f t="shared" si="5"/>
        <v>Janeiro</v>
      </c>
      <c r="C182" s="8" t="s">
        <v>398</v>
      </c>
      <c r="D182" s="8" t="s">
        <v>664</v>
      </c>
      <c r="E182" s="8" t="s">
        <v>56</v>
      </c>
      <c r="F182" s="23">
        <v>46043.413888888892</v>
      </c>
      <c r="G182" s="8" t="s">
        <v>1045</v>
      </c>
      <c r="H182" s="23">
        <v>46048</v>
      </c>
      <c r="I182" s="23">
        <v>46043.413888888892</v>
      </c>
      <c r="J182" s="10">
        <v>60</v>
      </c>
      <c r="K182" s="10">
        <v>0</v>
      </c>
      <c r="L182" s="24">
        <v>0</v>
      </c>
      <c r="M182" s="10">
        <v>60</v>
      </c>
    </row>
    <row r="183" spans="1:13" x14ac:dyDescent="0.25">
      <c r="A183" s="12" t="str">
        <f t="shared" si="4"/>
        <v>11VANDIEGO MARQUES DA SILVA SANTOSRCB46062,4340277778</v>
      </c>
      <c r="B183" s="12" t="str">
        <f t="shared" si="5"/>
        <v>Fevereiro</v>
      </c>
      <c r="C183" s="8" t="s">
        <v>398</v>
      </c>
      <c r="D183" s="8" t="s">
        <v>664</v>
      </c>
      <c r="E183" s="8" t="s">
        <v>194</v>
      </c>
      <c r="F183" s="23">
        <v>46062.434027777781</v>
      </c>
      <c r="G183" s="8" t="s">
        <v>1045</v>
      </c>
      <c r="H183" s="23">
        <v>46065</v>
      </c>
      <c r="I183" s="23">
        <v>46062.434027777781</v>
      </c>
      <c r="J183" s="10">
        <v>50</v>
      </c>
      <c r="K183" s="10">
        <v>0</v>
      </c>
      <c r="L183" s="24">
        <v>0</v>
      </c>
      <c r="M183" s="10">
        <v>50</v>
      </c>
    </row>
    <row r="184" spans="1:13" x14ac:dyDescent="0.25">
      <c r="A184" s="12" t="str">
        <f t="shared" si="4"/>
        <v>11WALACE ROCHA DE SOUZARCB46072,6333333333</v>
      </c>
      <c r="B184" s="12" t="str">
        <f t="shared" si="5"/>
        <v>Fevereiro</v>
      </c>
      <c r="C184" s="8" t="s">
        <v>398</v>
      </c>
      <c r="D184" s="8" t="s">
        <v>664</v>
      </c>
      <c r="E184" s="8" t="s">
        <v>200</v>
      </c>
      <c r="F184" s="23">
        <v>46072.633333333331</v>
      </c>
      <c r="G184" s="8" t="s">
        <v>1045</v>
      </c>
      <c r="H184" s="23">
        <v>46077</v>
      </c>
      <c r="I184" s="23">
        <v>46072.633333333331</v>
      </c>
      <c r="J184" s="10">
        <v>73.09</v>
      </c>
      <c r="K184" s="10">
        <v>0</v>
      </c>
      <c r="L184" s="24">
        <v>0</v>
      </c>
      <c r="M184" s="10">
        <v>73.09</v>
      </c>
    </row>
    <row r="185" spans="1:13" x14ac:dyDescent="0.25">
      <c r="A185" s="12" t="str">
        <f t="shared" si="4"/>
        <v>11FERNANDO GONÇALVES DE SOUZARCB46097,4173611111</v>
      </c>
      <c r="B185" s="12" t="str">
        <f t="shared" si="5"/>
        <v>Março</v>
      </c>
      <c r="C185" s="8" t="s">
        <v>398</v>
      </c>
      <c r="D185" s="8" t="s">
        <v>664</v>
      </c>
      <c r="E185" s="8" t="s">
        <v>1443</v>
      </c>
      <c r="F185" s="23">
        <v>46097.417361111111</v>
      </c>
      <c r="G185" s="8" t="s">
        <v>1045</v>
      </c>
      <c r="H185" s="23">
        <v>46100</v>
      </c>
      <c r="I185" s="23">
        <v>46097.417361111111</v>
      </c>
      <c r="J185" s="10">
        <v>11</v>
      </c>
      <c r="K185" s="10">
        <v>0</v>
      </c>
      <c r="L185" s="24">
        <v>0</v>
      </c>
      <c r="M185" s="10">
        <v>11</v>
      </c>
    </row>
    <row r="186" spans="1:13" x14ac:dyDescent="0.25">
      <c r="A186" s="12" t="str">
        <f t="shared" si="4"/>
        <v>11HIGOR RODNEY CIMINI DA COSTANSE46085</v>
      </c>
      <c r="B186" s="12" t="str">
        <f t="shared" si="5"/>
        <v>Abril</v>
      </c>
      <c r="C186" s="8" t="s">
        <v>398</v>
      </c>
      <c r="D186" s="8" t="s">
        <v>1354</v>
      </c>
      <c r="E186" s="8" t="s">
        <v>85</v>
      </c>
      <c r="F186" s="23">
        <v>46085</v>
      </c>
      <c r="G186" s="8" t="s">
        <v>665</v>
      </c>
      <c r="H186" s="23">
        <v>46118</v>
      </c>
      <c r="I186" s="23">
        <v>46087</v>
      </c>
      <c r="J186" s="10">
        <v>10950</v>
      </c>
      <c r="K186" s="10">
        <v>0</v>
      </c>
      <c r="L186" s="24">
        <v>0</v>
      </c>
      <c r="M186" s="10">
        <v>10512</v>
      </c>
    </row>
    <row r="187" spans="1:13" x14ac:dyDescent="0.25">
      <c r="A187" s="12" t="str">
        <f t="shared" si="4"/>
        <v>11VALDECI TONIMRCB46121,3861111111</v>
      </c>
      <c r="B187" s="12" t="str">
        <f t="shared" si="5"/>
        <v>Abril</v>
      </c>
      <c r="C187" s="8" t="s">
        <v>398</v>
      </c>
      <c r="D187" s="8" t="s">
        <v>664</v>
      </c>
      <c r="E187" s="8" t="s">
        <v>193</v>
      </c>
      <c r="F187" s="23">
        <v>46121.386111111111</v>
      </c>
      <c r="G187" s="8" t="s">
        <v>1045</v>
      </c>
      <c r="H187" s="23">
        <v>46126</v>
      </c>
      <c r="I187" s="23">
        <v>46121.386111111111</v>
      </c>
      <c r="J187" s="10">
        <v>50</v>
      </c>
      <c r="K187" s="10">
        <v>0</v>
      </c>
      <c r="L187" s="24">
        <v>0</v>
      </c>
      <c r="M187" s="10">
        <v>50</v>
      </c>
    </row>
    <row r="188" spans="1:13" x14ac:dyDescent="0.25">
      <c r="A188" s="12" t="str">
        <f t="shared" si="4"/>
        <v>11FERNANDA SANTOS SOARESRCB46121,5868055556</v>
      </c>
      <c r="B188" s="12" t="str">
        <f t="shared" si="5"/>
        <v>Abril</v>
      </c>
      <c r="C188" s="8" t="s">
        <v>398</v>
      </c>
      <c r="D188" s="8" t="s">
        <v>664</v>
      </c>
      <c r="E188" s="8" t="s">
        <v>68</v>
      </c>
      <c r="F188" s="23">
        <v>46121.586805555555</v>
      </c>
      <c r="G188" s="8" t="s">
        <v>1045</v>
      </c>
      <c r="H188" s="23">
        <v>46126</v>
      </c>
      <c r="I188" s="23">
        <v>46121.586805555555</v>
      </c>
      <c r="J188" s="10">
        <v>70</v>
      </c>
      <c r="K188" s="10">
        <v>0</v>
      </c>
      <c r="L188" s="24">
        <v>0</v>
      </c>
      <c r="M188" s="10">
        <v>70</v>
      </c>
    </row>
    <row r="189" spans="1:13" x14ac:dyDescent="0.25">
      <c r="A189" s="12" t="str">
        <f t="shared" si="4"/>
        <v>11ANTONIO SILVA DE SOUSARCB46122,3729166667</v>
      </c>
      <c r="B189" s="12" t="str">
        <f t="shared" si="5"/>
        <v>Abril</v>
      </c>
      <c r="C189" s="8" t="s">
        <v>398</v>
      </c>
      <c r="D189" s="8" t="s">
        <v>664</v>
      </c>
      <c r="E189" s="8" t="s">
        <v>20</v>
      </c>
      <c r="F189" s="23">
        <v>46122.372916666667</v>
      </c>
      <c r="G189" s="8" t="s">
        <v>1045</v>
      </c>
      <c r="H189" s="23">
        <v>46127</v>
      </c>
      <c r="I189" s="23">
        <v>46122.372916666667</v>
      </c>
      <c r="J189" s="10">
        <v>95</v>
      </c>
      <c r="K189" s="10">
        <v>0</v>
      </c>
      <c r="L189" s="24">
        <v>0</v>
      </c>
      <c r="M189" s="10">
        <v>95</v>
      </c>
    </row>
    <row r="190" spans="1:13" x14ac:dyDescent="0.25">
      <c r="A190" s="12" t="str">
        <f t="shared" si="4"/>
        <v>11DANIELA CHAVES MARIANORCB46141,3611111111</v>
      </c>
      <c r="B190" s="12" t="str">
        <f t="shared" si="5"/>
        <v>Maio</v>
      </c>
      <c r="C190" s="8" t="s">
        <v>398</v>
      </c>
      <c r="D190" s="8" t="s">
        <v>664</v>
      </c>
      <c r="E190" s="8" t="s">
        <v>47</v>
      </c>
      <c r="F190" s="23">
        <v>46141.361111111109</v>
      </c>
      <c r="G190" s="8" t="s">
        <v>1045</v>
      </c>
      <c r="H190" s="23">
        <v>46147</v>
      </c>
      <c r="I190" s="23">
        <v>46141.361111111109</v>
      </c>
      <c r="J190" s="10">
        <v>70</v>
      </c>
      <c r="K190" s="10">
        <v>0</v>
      </c>
      <c r="L190" s="24">
        <v>0</v>
      </c>
      <c r="M190" s="10">
        <v>70</v>
      </c>
    </row>
    <row r="191" spans="1:13" x14ac:dyDescent="0.25">
      <c r="A191" s="12" t="str">
        <f t="shared" si="4"/>
        <v>11JESLEY WILLIAM MIRANDA DE SOUZARCB46154,3715277778</v>
      </c>
      <c r="B191" s="12" t="str">
        <f t="shared" si="5"/>
        <v>Maio</v>
      </c>
      <c r="C191" s="8" t="s">
        <v>398</v>
      </c>
      <c r="D191" s="8" t="s">
        <v>664</v>
      </c>
      <c r="E191" s="8" t="s">
        <v>90</v>
      </c>
      <c r="F191" s="23">
        <v>46154.371527777781</v>
      </c>
      <c r="G191" s="8" t="s">
        <v>1045</v>
      </c>
      <c r="H191" s="23">
        <v>46157</v>
      </c>
      <c r="I191" s="23">
        <v>46154.371527777781</v>
      </c>
      <c r="J191" s="10">
        <v>120</v>
      </c>
      <c r="K191" s="10">
        <v>0</v>
      </c>
      <c r="L191" s="24">
        <v>0</v>
      </c>
      <c r="M191" s="10">
        <v>120</v>
      </c>
    </row>
    <row r="192" spans="1:13" x14ac:dyDescent="0.25">
      <c r="A192" s="12" t="str">
        <f t="shared" si="4"/>
        <v>11WESLLEY FRANCO CALVISRCB46154,3701388889</v>
      </c>
      <c r="B192" s="12" t="str">
        <f t="shared" si="5"/>
        <v>Maio</v>
      </c>
      <c r="C192" s="8" t="s">
        <v>398</v>
      </c>
      <c r="D192" s="8" t="s">
        <v>664</v>
      </c>
      <c r="E192" s="8" t="s">
        <v>202</v>
      </c>
      <c r="F192" s="23">
        <v>46154.370138888888</v>
      </c>
      <c r="G192" s="8" t="s">
        <v>1045</v>
      </c>
      <c r="H192" s="23">
        <v>46157</v>
      </c>
      <c r="I192" s="23">
        <v>46154.370138888888</v>
      </c>
      <c r="J192" s="10">
        <v>60</v>
      </c>
      <c r="K192" s="10">
        <v>0</v>
      </c>
      <c r="L192" s="24">
        <v>0</v>
      </c>
      <c r="M192" s="10">
        <v>60</v>
      </c>
    </row>
    <row r="193" spans="1:13" x14ac:dyDescent="0.25">
      <c r="A193" s="12" t="str">
        <f t="shared" si="4"/>
        <v>11RAFAEL RODRIGUESRCB46160,6006944444</v>
      </c>
      <c r="B193" s="12" t="str">
        <f t="shared" si="5"/>
        <v>Maio</v>
      </c>
      <c r="C193" s="8" t="s">
        <v>398</v>
      </c>
      <c r="D193" s="8" t="s">
        <v>664</v>
      </c>
      <c r="E193" s="8" t="s">
        <v>161</v>
      </c>
      <c r="F193" s="23">
        <v>46160.600694444445</v>
      </c>
      <c r="G193" s="8" t="s">
        <v>1045</v>
      </c>
      <c r="H193" s="23">
        <v>46163</v>
      </c>
      <c r="I193" s="23">
        <v>46160.600694444445</v>
      </c>
      <c r="J193" s="10">
        <v>100</v>
      </c>
      <c r="K193" s="10">
        <v>0</v>
      </c>
      <c r="L193" s="24">
        <v>0</v>
      </c>
      <c r="M193" s="10">
        <v>100</v>
      </c>
    </row>
    <row r="194" spans="1:13" x14ac:dyDescent="0.25">
      <c r="A194" s="12" t="str">
        <f t="shared" ref="A194:A257" si="6">$C194&amp;$E194&amp;$G194&amp;$F194</f>
        <v>11CORREIOS AGUA BRANCARCB46169,4743055556</v>
      </c>
      <c r="B194" s="12" t="str">
        <f t="shared" si="5"/>
        <v>Junho</v>
      </c>
      <c r="C194" s="8" t="s">
        <v>398</v>
      </c>
      <c r="D194" s="8" t="s">
        <v>664</v>
      </c>
      <c r="E194" s="8" t="s">
        <v>45</v>
      </c>
      <c r="F194" s="23">
        <v>46169.474305555559</v>
      </c>
      <c r="G194" s="8" t="s">
        <v>1045</v>
      </c>
      <c r="H194" s="23">
        <v>46174</v>
      </c>
      <c r="I194" s="23">
        <v>46169.474305555559</v>
      </c>
      <c r="J194" s="10">
        <v>84.29</v>
      </c>
      <c r="K194" s="10">
        <v>0</v>
      </c>
      <c r="L194" s="24">
        <v>0</v>
      </c>
      <c r="M194" s="10">
        <v>84.29</v>
      </c>
    </row>
    <row r="195" spans="1:13" x14ac:dyDescent="0.25">
      <c r="A195" s="12" t="str">
        <f t="shared" si="6"/>
        <v>11RODOLFO GUILHERME BERNARDES NORBERTORCB46175,5006944444</v>
      </c>
      <c r="B195" s="12" t="str">
        <f t="shared" ref="B195:B258" si="7">PROPER(TEXT($H195,"MMMM"))</f>
        <v>Junho</v>
      </c>
      <c r="C195" s="8" t="s">
        <v>398</v>
      </c>
      <c r="D195" s="8" t="s">
        <v>664</v>
      </c>
      <c r="E195" s="8" t="s">
        <v>171</v>
      </c>
      <c r="F195" s="23">
        <v>46175.500694444447</v>
      </c>
      <c r="G195" s="8" t="s">
        <v>1045</v>
      </c>
      <c r="H195" s="23">
        <v>46178</v>
      </c>
      <c r="I195" s="23">
        <v>46175.500694444447</v>
      </c>
      <c r="J195" s="10">
        <v>100</v>
      </c>
      <c r="K195" s="10">
        <v>0</v>
      </c>
      <c r="L195" s="24">
        <v>0</v>
      </c>
      <c r="M195" s="10">
        <v>100</v>
      </c>
    </row>
    <row r="196" spans="1:13" x14ac:dyDescent="0.25">
      <c r="A196" s="12" t="str">
        <f t="shared" si="6"/>
        <v>11PAULO RICARDO SILVARCB46209,3770833333</v>
      </c>
      <c r="B196" s="12" t="str">
        <f t="shared" si="7"/>
        <v>Julho</v>
      </c>
      <c r="C196" s="8" t="s">
        <v>398</v>
      </c>
      <c r="D196" s="8" t="s">
        <v>664</v>
      </c>
      <c r="E196" s="8" t="s">
        <v>153</v>
      </c>
      <c r="F196" s="23">
        <v>46209.377083333333</v>
      </c>
      <c r="G196" s="8" t="s">
        <v>1045</v>
      </c>
      <c r="H196" s="23">
        <v>46212</v>
      </c>
      <c r="I196" s="23">
        <v>46209.377083333333</v>
      </c>
      <c r="J196" s="10">
        <v>15.8</v>
      </c>
      <c r="K196" s="10">
        <v>0</v>
      </c>
      <c r="L196" s="24">
        <v>0</v>
      </c>
      <c r="M196" s="10">
        <v>15.8</v>
      </c>
    </row>
    <row r="197" spans="1:13" x14ac:dyDescent="0.25">
      <c r="A197" s="12" t="str">
        <f t="shared" si="6"/>
        <v>11LEANDRO CARVALHO SILVARCB46226,2381944444</v>
      </c>
      <c r="B197" s="12" t="str">
        <f t="shared" si="7"/>
        <v>Julho</v>
      </c>
      <c r="C197" s="8" t="s">
        <v>398</v>
      </c>
      <c r="D197" s="8" t="s">
        <v>664</v>
      </c>
      <c r="E197" s="8" t="s">
        <v>107</v>
      </c>
      <c r="F197" s="23">
        <v>46226.238194444442</v>
      </c>
      <c r="G197" s="8" t="s">
        <v>1045</v>
      </c>
      <c r="H197" s="23">
        <v>46232</v>
      </c>
      <c r="I197" s="23">
        <v>46226.238194444442</v>
      </c>
      <c r="J197" s="10">
        <v>200</v>
      </c>
      <c r="K197" s="10">
        <v>0</v>
      </c>
      <c r="L197" s="24">
        <v>0</v>
      </c>
      <c r="M197" s="10">
        <v>200</v>
      </c>
    </row>
    <row r="198" spans="1:13" x14ac:dyDescent="0.25">
      <c r="A198" s="12" t="str">
        <f t="shared" si="6"/>
        <v>11RODRIGO CORREARCB46227,24375</v>
      </c>
      <c r="B198" s="12" t="str">
        <f t="shared" si="7"/>
        <v>Julho</v>
      </c>
      <c r="C198" s="8" t="s">
        <v>398</v>
      </c>
      <c r="D198" s="8" t="s">
        <v>664</v>
      </c>
      <c r="E198" s="8" t="s">
        <v>172</v>
      </c>
      <c r="F198" s="23">
        <v>46227.243750000001</v>
      </c>
      <c r="G198" s="8" t="s">
        <v>1045</v>
      </c>
      <c r="H198" s="23">
        <v>46232</v>
      </c>
      <c r="I198" s="23">
        <v>46227.243750000001</v>
      </c>
      <c r="J198" s="10">
        <v>109.9</v>
      </c>
      <c r="K198" s="10">
        <v>0</v>
      </c>
      <c r="L198" s="24">
        <v>0</v>
      </c>
      <c r="M198" s="10">
        <v>109.9</v>
      </c>
    </row>
    <row r="199" spans="1:13" x14ac:dyDescent="0.25">
      <c r="A199" s="12" t="str">
        <f t="shared" si="6"/>
        <v>11PAULO SILAS GOMES SOARESRCB46232,3041666667</v>
      </c>
      <c r="B199" s="12" t="str">
        <f t="shared" si="7"/>
        <v>Agosto</v>
      </c>
      <c r="C199" s="8" t="s">
        <v>398</v>
      </c>
      <c r="D199" s="8" t="s">
        <v>664</v>
      </c>
      <c r="E199" s="8" t="s">
        <v>154</v>
      </c>
      <c r="F199" s="23">
        <v>46232.304166666669</v>
      </c>
      <c r="G199" s="8" t="s">
        <v>1045</v>
      </c>
      <c r="H199" s="23">
        <v>46237</v>
      </c>
      <c r="I199" s="23">
        <v>46232.304166666669</v>
      </c>
      <c r="J199" s="10">
        <v>246</v>
      </c>
      <c r="K199" s="10">
        <v>0</v>
      </c>
      <c r="L199" s="24">
        <v>0</v>
      </c>
      <c r="M199" s="10">
        <v>246</v>
      </c>
    </row>
    <row r="200" spans="1:13" x14ac:dyDescent="0.25">
      <c r="A200" s="12" t="str">
        <f t="shared" si="6"/>
        <v>11TIAGO FERNANDO DOS SANTOS SILVARCB46238,3770833333</v>
      </c>
      <c r="B200" s="12" t="str">
        <f t="shared" si="7"/>
        <v>Agosto</v>
      </c>
      <c r="C200" s="8" t="s">
        <v>398</v>
      </c>
      <c r="D200" s="8" t="s">
        <v>664</v>
      </c>
      <c r="E200" s="8" t="s">
        <v>188</v>
      </c>
      <c r="F200" s="23">
        <v>46238.377083333333</v>
      </c>
      <c r="G200" s="8" t="s">
        <v>1045</v>
      </c>
      <c r="H200" s="23">
        <v>46241</v>
      </c>
      <c r="I200" s="23">
        <v>46238.377083333333</v>
      </c>
      <c r="J200" s="10">
        <v>250</v>
      </c>
      <c r="K200" s="10">
        <v>0</v>
      </c>
      <c r="L200" s="24">
        <v>0</v>
      </c>
      <c r="M200" s="10">
        <v>250</v>
      </c>
    </row>
    <row r="201" spans="1:13" x14ac:dyDescent="0.25">
      <c r="A201" s="12" t="str">
        <f t="shared" si="6"/>
        <v>11MAYNARTE SERVICOS DE SERRALHERIA E CONSERVACAO LIMITADANSE46232</v>
      </c>
      <c r="B201" s="12" t="str">
        <f t="shared" si="7"/>
        <v>Agosto</v>
      </c>
      <c r="C201" s="8" t="s">
        <v>398</v>
      </c>
      <c r="D201" s="8" t="s">
        <v>1354</v>
      </c>
      <c r="E201" s="8" t="s">
        <v>124</v>
      </c>
      <c r="F201" s="23">
        <v>46232</v>
      </c>
      <c r="G201" s="8" t="s">
        <v>665</v>
      </c>
      <c r="H201" s="23">
        <v>46264</v>
      </c>
      <c r="I201" s="23">
        <v>46234</v>
      </c>
      <c r="J201" s="10">
        <v>450</v>
      </c>
      <c r="K201" s="10">
        <v>0</v>
      </c>
      <c r="L201" s="24">
        <v>0</v>
      </c>
      <c r="M201" s="10">
        <v>427.5</v>
      </c>
    </row>
    <row r="202" spans="1:13" x14ac:dyDescent="0.25">
      <c r="A202" s="12" t="str">
        <f t="shared" si="6"/>
        <v>11CAMPOS VEICULOS LTDA - PRIME AUTO CENTERNFE46247</v>
      </c>
      <c r="B202" s="12" t="str">
        <f t="shared" si="7"/>
        <v>Setembro</v>
      </c>
      <c r="C202" s="8" t="s">
        <v>398</v>
      </c>
      <c r="D202" s="8" t="s">
        <v>664</v>
      </c>
      <c r="E202" s="8" t="s">
        <v>35</v>
      </c>
      <c r="F202" s="23">
        <v>46247</v>
      </c>
      <c r="G202" s="8" t="s">
        <v>380</v>
      </c>
      <c r="H202" s="23">
        <v>46272</v>
      </c>
      <c r="I202" s="23">
        <v>46252</v>
      </c>
      <c r="J202" s="10">
        <v>9453.4</v>
      </c>
      <c r="K202" s="10">
        <v>0</v>
      </c>
      <c r="L202" s="24">
        <v>0</v>
      </c>
      <c r="M202" s="10">
        <v>9453.4</v>
      </c>
    </row>
    <row r="203" spans="1:13" x14ac:dyDescent="0.25">
      <c r="A203" s="12" t="str">
        <f t="shared" si="6"/>
        <v>11ANA PAULA DE ALMEIDA ARAUJORCB46279,6805555556</v>
      </c>
      <c r="B203" s="12" t="str">
        <f t="shared" si="7"/>
        <v>Setembro</v>
      </c>
      <c r="C203" s="8" t="s">
        <v>398</v>
      </c>
      <c r="D203" s="8" t="s">
        <v>664</v>
      </c>
      <c r="E203" s="8" t="s">
        <v>12</v>
      </c>
      <c r="F203" s="23">
        <v>46279.680555555555</v>
      </c>
      <c r="G203" s="8" t="s">
        <v>1045</v>
      </c>
      <c r="H203" s="23">
        <v>46282</v>
      </c>
      <c r="I203" s="23">
        <v>46279.680555555555</v>
      </c>
      <c r="J203" s="10">
        <v>71.69</v>
      </c>
      <c r="K203" s="10">
        <v>0</v>
      </c>
      <c r="L203" s="24">
        <v>0</v>
      </c>
      <c r="M203" s="10">
        <v>71.69</v>
      </c>
    </row>
    <row r="204" spans="1:13" x14ac:dyDescent="0.25">
      <c r="A204" s="12" t="str">
        <f t="shared" si="6"/>
        <v>11MARAJO NAVEGACAO COMERCIO E TRANSPORTE DE PASSAGEIROS LTDARCB46288,6736111111</v>
      </c>
      <c r="B204" s="12" t="str">
        <f t="shared" si="7"/>
        <v>Setembro</v>
      </c>
      <c r="C204" s="8" t="s">
        <v>398</v>
      </c>
      <c r="D204" s="8" t="s">
        <v>664</v>
      </c>
      <c r="E204" s="8" t="s">
        <v>118</v>
      </c>
      <c r="F204" s="23">
        <v>46288.673611111109</v>
      </c>
      <c r="G204" s="8" t="s">
        <v>1045</v>
      </c>
      <c r="H204" s="23">
        <v>46293</v>
      </c>
      <c r="I204" s="23">
        <v>46288.673611111109</v>
      </c>
      <c r="J204" s="10">
        <v>1404</v>
      </c>
      <c r="K204" s="10">
        <v>0</v>
      </c>
      <c r="L204" s="24">
        <v>0</v>
      </c>
      <c r="M204" s="10">
        <v>1404</v>
      </c>
    </row>
    <row r="205" spans="1:13" x14ac:dyDescent="0.25">
      <c r="A205" s="12" t="str">
        <f t="shared" si="6"/>
        <v>11MAGNO APARECIDO DE JESUSRCB46296,4652777778</v>
      </c>
      <c r="B205" s="12" t="str">
        <f t="shared" si="7"/>
        <v>Outubro</v>
      </c>
      <c r="C205" s="8" t="s">
        <v>398</v>
      </c>
      <c r="D205" s="8" t="s">
        <v>664</v>
      </c>
      <c r="E205" s="8" t="s">
        <v>115</v>
      </c>
      <c r="F205" s="23">
        <v>46296.465277777781</v>
      </c>
      <c r="G205" s="8" t="s">
        <v>1045</v>
      </c>
      <c r="H205" s="23">
        <v>46301</v>
      </c>
      <c r="I205" s="23">
        <v>46296.465277777781</v>
      </c>
      <c r="J205" s="10">
        <v>49.56</v>
      </c>
      <c r="K205" s="10">
        <v>0</v>
      </c>
      <c r="L205" s="24">
        <v>0</v>
      </c>
      <c r="M205" s="10">
        <v>49.56</v>
      </c>
    </row>
    <row r="206" spans="1:13" x14ac:dyDescent="0.25">
      <c r="A206" s="12" t="str">
        <f t="shared" si="6"/>
        <v>11ANDERSON LUIS FROES DE JESUSRCB46296,3118055556</v>
      </c>
      <c r="B206" s="12" t="str">
        <f t="shared" si="7"/>
        <v>Outubro</v>
      </c>
      <c r="C206" s="8" t="s">
        <v>398</v>
      </c>
      <c r="D206" s="8" t="s">
        <v>664</v>
      </c>
      <c r="E206" s="8" t="s">
        <v>13</v>
      </c>
      <c r="F206" s="23">
        <v>46296.311805555553</v>
      </c>
      <c r="G206" s="8" t="s">
        <v>1045</v>
      </c>
      <c r="H206" s="23">
        <v>46301</v>
      </c>
      <c r="I206" s="23">
        <v>46296.311805555553</v>
      </c>
      <c r="J206" s="10">
        <v>114</v>
      </c>
      <c r="K206" s="10">
        <v>0</v>
      </c>
      <c r="L206" s="24">
        <v>0</v>
      </c>
      <c r="M206" s="10">
        <v>114</v>
      </c>
    </row>
    <row r="207" spans="1:13" x14ac:dyDescent="0.25">
      <c r="A207" s="12" t="str">
        <f t="shared" si="6"/>
        <v>1106520220149WANDERLEI GOMES DE OLIVEIRABL46076,6694444444</v>
      </c>
      <c r="B207" s="12" t="str">
        <f t="shared" si="7"/>
        <v>Março</v>
      </c>
      <c r="C207" s="8" t="s">
        <v>1919</v>
      </c>
      <c r="D207" s="8" t="s">
        <v>769</v>
      </c>
      <c r="E207" s="8" t="s">
        <v>1920</v>
      </c>
      <c r="F207" s="23">
        <v>46076.669444444444</v>
      </c>
      <c r="G207" s="8" t="s">
        <v>1463</v>
      </c>
      <c r="H207" s="23">
        <v>46106</v>
      </c>
      <c r="I207" s="23">
        <v>46076.669444444444</v>
      </c>
      <c r="J207" s="10">
        <v>15073.96</v>
      </c>
      <c r="K207" s="10">
        <v>0</v>
      </c>
      <c r="L207" s="24">
        <v>0</v>
      </c>
      <c r="M207" s="10">
        <v>15073.96</v>
      </c>
    </row>
    <row r="208" spans="1:13" x14ac:dyDescent="0.25">
      <c r="A208" s="12" t="str">
        <f t="shared" si="6"/>
        <v>1110120240064WILLIAM DE JESUS BOMFIMDEP46006,7881944444</v>
      </c>
      <c r="B208" s="12" t="str">
        <f t="shared" si="7"/>
        <v>Janeiro</v>
      </c>
      <c r="C208" s="8" t="s">
        <v>1573</v>
      </c>
      <c r="D208" s="8" t="s">
        <v>664</v>
      </c>
      <c r="E208" s="8" t="s">
        <v>1574</v>
      </c>
      <c r="F208" s="23">
        <v>46006.788194444445</v>
      </c>
      <c r="G208" s="8" t="s">
        <v>1043</v>
      </c>
      <c r="H208" s="23">
        <v>46038</v>
      </c>
      <c r="I208" s="23">
        <v>46006.788194444445</v>
      </c>
      <c r="J208" s="10">
        <v>4200</v>
      </c>
      <c r="K208" s="10">
        <v>0</v>
      </c>
      <c r="L208" s="24">
        <v>0</v>
      </c>
      <c r="M208" s="10">
        <v>4200</v>
      </c>
    </row>
    <row r="209" spans="1:13" x14ac:dyDescent="0.25">
      <c r="A209" s="12" t="str">
        <f t="shared" si="6"/>
        <v>1110120240064JOSE ANSELMO SILVA DE OLIVEIRA JUNIORDEP46006,8</v>
      </c>
      <c r="B209" s="12" t="str">
        <f t="shared" si="7"/>
        <v>Janeiro</v>
      </c>
      <c r="C209" s="8" t="s">
        <v>1573</v>
      </c>
      <c r="D209" s="8" t="s">
        <v>664</v>
      </c>
      <c r="E209" s="8" t="s">
        <v>1579</v>
      </c>
      <c r="F209" s="23">
        <v>46006.8</v>
      </c>
      <c r="G209" s="8" t="s">
        <v>1043</v>
      </c>
      <c r="H209" s="23">
        <v>46038</v>
      </c>
      <c r="I209" s="23">
        <v>46006.8</v>
      </c>
      <c r="J209" s="10">
        <v>2400</v>
      </c>
      <c r="K209" s="10">
        <v>0</v>
      </c>
      <c r="L209" s="24">
        <v>0</v>
      </c>
      <c r="M209" s="10">
        <v>2400</v>
      </c>
    </row>
    <row r="210" spans="1:13" x14ac:dyDescent="0.25">
      <c r="A210" s="12" t="str">
        <f t="shared" si="6"/>
        <v>1110120240064WILLIAM DE JESUS BOMFIMDEP46006,7881944444</v>
      </c>
      <c r="B210" s="12" t="str">
        <f t="shared" si="7"/>
        <v>Fevereiro</v>
      </c>
      <c r="C210" s="8" t="s">
        <v>1573</v>
      </c>
      <c r="D210" s="8" t="s">
        <v>664</v>
      </c>
      <c r="E210" s="8" t="s">
        <v>1574</v>
      </c>
      <c r="F210" s="23">
        <v>46006.788194444445</v>
      </c>
      <c r="G210" s="8" t="s">
        <v>1043</v>
      </c>
      <c r="H210" s="23">
        <v>46066</v>
      </c>
      <c r="I210" s="23">
        <v>46006.788194444445</v>
      </c>
      <c r="J210" s="10">
        <v>4200</v>
      </c>
      <c r="K210" s="10">
        <v>0</v>
      </c>
      <c r="L210" s="24">
        <v>0</v>
      </c>
      <c r="M210" s="10">
        <v>4200</v>
      </c>
    </row>
    <row r="211" spans="1:13" x14ac:dyDescent="0.25">
      <c r="A211" s="12" t="str">
        <f t="shared" si="6"/>
        <v>1110120240064JOSE ANSELMO SILVA DE OLIVEIRA JUNIORDEP46006,8</v>
      </c>
      <c r="B211" s="12" t="str">
        <f t="shared" si="7"/>
        <v>Fevereiro</v>
      </c>
      <c r="C211" s="8" t="s">
        <v>1573</v>
      </c>
      <c r="D211" s="8" t="s">
        <v>664</v>
      </c>
      <c r="E211" s="8" t="s">
        <v>1579</v>
      </c>
      <c r="F211" s="23">
        <v>46006.8</v>
      </c>
      <c r="G211" s="8" t="s">
        <v>1043</v>
      </c>
      <c r="H211" s="23">
        <v>46066</v>
      </c>
      <c r="I211" s="23">
        <v>46006.8</v>
      </c>
      <c r="J211" s="10">
        <v>2400</v>
      </c>
      <c r="K211" s="10">
        <v>0</v>
      </c>
      <c r="L211" s="24">
        <v>0</v>
      </c>
      <c r="M211" s="10">
        <v>2400</v>
      </c>
    </row>
    <row r="212" spans="1:13" x14ac:dyDescent="0.25">
      <c r="A212" s="12" t="str">
        <f t="shared" si="6"/>
        <v>1110120240064WILLIAM DE JESUS BOMFIMDEP46006,7881944444</v>
      </c>
      <c r="B212" s="12" t="str">
        <f t="shared" si="7"/>
        <v>Março</v>
      </c>
      <c r="C212" s="8" t="s">
        <v>1573</v>
      </c>
      <c r="D212" s="8" t="s">
        <v>664</v>
      </c>
      <c r="E212" s="8" t="s">
        <v>1574</v>
      </c>
      <c r="F212" s="23">
        <v>46006.788194444445</v>
      </c>
      <c r="G212" s="8" t="s">
        <v>1043</v>
      </c>
      <c r="H212" s="23">
        <v>46099</v>
      </c>
      <c r="I212" s="23">
        <v>46006.788194444445</v>
      </c>
      <c r="J212" s="10">
        <v>4200</v>
      </c>
      <c r="K212" s="10">
        <v>0</v>
      </c>
      <c r="L212" s="24">
        <v>0</v>
      </c>
      <c r="M212" s="10">
        <v>4200</v>
      </c>
    </row>
    <row r="213" spans="1:13" x14ac:dyDescent="0.25">
      <c r="A213" s="12" t="str">
        <f t="shared" si="6"/>
        <v>1110120240064JOSE ANSELMO SILVA DE OLIVEIRA JUNIORDEP46006,8</v>
      </c>
      <c r="B213" s="12" t="str">
        <f t="shared" si="7"/>
        <v>Março</v>
      </c>
      <c r="C213" s="8" t="s">
        <v>1573</v>
      </c>
      <c r="D213" s="8" t="s">
        <v>664</v>
      </c>
      <c r="E213" s="8" t="s">
        <v>1579</v>
      </c>
      <c r="F213" s="23">
        <v>46006.8</v>
      </c>
      <c r="G213" s="8" t="s">
        <v>1043</v>
      </c>
      <c r="H213" s="23">
        <v>46099</v>
      </c>
      <c r="I213" s="23">
        <v>46006.8</v>
      </c>
      <c r="J213" s="10">
        <v>2400</v>
      </c>
      <c r="K213" s="10">
        <v>0</v>
      </c>
      <c r="L213" s="24">
        <v>0</v>
      </c>
      <c r="M213" s="10">
        <v>2400</v>
      </c>
    </row>
    <row r="214" spans="1:13" x14ac:dyDescent="0.25">
      <c r="A214" s="12" t="str">
        <f t="shared" si="6"/>
        <v>1110120240064WILLIAM DE JESUS BOMFIMDEP46006,7881944444</v>
      </c>
      <c r="B214" s="12" t="str">
        <f t="shared" si="7"/>
        <v>Abril</v>
      </c>
      <c r="C214" s="8" t="s">
        <v>1573</v>
      </c>
      <c r="D214" s="8" t="s">
        <v>664</v>
      </c>
      <c r="E214" s="8" t="s">
        <v>1574</v>
      </c>
      <c r="F214" s="23">
        <v>46006.788194444445</v>
      </c>
      <c r="G214" s="8" t="s">
        <v>1043</v>
      </c>
      <c r="H214" s="23">
        <v>46129</v>
      </c>
      <c r="I214" s="23">
        <v>46006.788194444445</v>
      </c>
      <c r="J214" s="10">
        <v>4200</v>
      </c>
      <c r="K214" s="10">
        <v>0</v>
      </c>
      <c r="L214" s="24">
        <v>0</v>
      </c>
      <c r="M214" s="10">
        <v>4200</v>
      </c>
    </row>
    <row r="215" spans="1:13" x14ac:dyDescent="0.25">
      <c r="A215" s="12" t="str">
        <f t="shared" si="6"/>
        <v>1110120240064JOSE ANSELMO SILVA DE OLIVEIRA JUNIORDEP46006,8</v>
      </c>
      <c r="B215" s="12" t="str">
        <f t="shared" si="7"/>
        <v>Abril</v>
      </c>
      <c r="C215" s="8" t="s">
        <v>1573</v>
      </c>
      <c r="D215" s="8" t="s">
        <v>664</v>
      </c>
      <c r="E215" s="8" t="s">
        <v>1579</v>
      </c>
      <c r="F215" s="23">
        <v>46006.8</v>
      </c>
      <c r="G215" s="8" t="s">
        <v>1043</v>
      </c>
      <c r="H215" s="23">
        <v>46129</v>
      </c>
      <c r="I215" s="23">
        <v>46006.8</v>
      </c>
      <c r="J215" s="10">
        <v>2400</v>
      </c>
      <c r="K215" s="10">
        <v>0</v>
      </c>
      <c r="L215" s="24">
        <v>0</v>
      </c>
      <c r="M215" s="10">
        <v>2400</v>
      </c>
    </row>
    <row r="216" spans="1:13" x14ac:dyDescent="0.25">
      <c r="A216" s="12" t="str">
        <f t="shared" si="6"/>
        <v>1110120240064WILLIAM DE JESUS BOMFIMDEP46006,7881944444</v>
      </c>
      <c r="B216" s="12" t="str">
        <f t="shared" si="7"/>
        <v>Maio</v>
      </c>
      <c r="C216" s="8" t="s">
        <v>1573</v>
      </c>
      <c r="D216" s="8" t="s">
        <v>664</v>
      </c>
      <c r="E216" s="8" t="s">
        <v>1574</v>
      </c>
      <c r="F216" s="23">
        <v>46006.788194444445</v>
      </c>
      <c r="G216" s="8" t="s">
        <v>1043</v>
      </c>
      <c r="H216" s="23">
        <v>46160</v>
      </c>
      <c r="I216" s="23">
        <v>46006.788194444445</v>
      </c>
      <c r="J216" s="10">
        <v>4200</v>
      </c>
      <c r="K216" s="10">
        <v>0</v>
      </c>
      <c r="L216" s="24">
        <v>0</v>
      </c>
      <c r="M216" s="10">
        <v>4200</v>
      </c>
    </row>
    <row r="217" spans="1:13" x14ac:dyDescent="0.25">
      <c r="A217" s="12" t="str">
        <f t="shared" si="6"/>
        <v>1110120240064JOSE ANSELMO SILVA DE OLIVEIRA JUNIORDEP46006,8</v>
      </c>
      <c r="B217" s="12" t="str">
        <f t="shared" si="7"/>
        <v>Maio</v>
      </c>
      <c r="C217" s="8" t="s">
        <v>1573</v>
      </c>
      <c r="D217" s="8" t="s">
        <v>664</v>
      </c>
      <c r="E217" s="8" t="s">
        <v>1579</v>
      </c>
      <c r="F217" s="23">
        <v>46006.8</v>
      </c>
      <c r="G217" s="8" t="s">
        <v>1043</v>
      </c>
      <c r="H217" s="23">
        <v>46160</v>
      </c>
      <c r="I217" s="23">
        <v>46006.8</v>
      </c>
      <c r="J217" s="10">
        <v>2400</v>
      </c>
      <c r="K217" s="10">
        <v>0</v>
      </c>
      <c r="L217" s="24">
        <v>0</v>
      </c>
      <c r="M217" s="10">
        <v>2400</v>
      </c>
    </row>
    <row r="218" spans="1:13" x14ac:dyDescent="0.25">
      <c r="A218" s="12" t="str">
        <f t="shared" si="6"/>
        <v>1110120240064WILLIAM DE JESUS BOMFIMDEP46006,7881944444</v>
      </c>
      <c r="B218" s="12" t="str">
        <f t="shared" si="7"/>
        <v>Junho</v>
      </c>
      <c r="C218" s="8" t="s">
        <v>1573</v>
      </c>
      <c r="D218" s="8" t="s">
        <v>664</v>
      </c>
      <c r="E218" s="8" t="s">
        <v>1574</v>
      </c>
      <c r="F218" s="23">
        <v>46006.788194444445</v>
      </c>
      <c r="G218" s="8" t="s">
        <v>1043</v>
      </c>
      <c r="H218" s="23">
        <v>46191</v>
      </c>
      <c r="I218" s="23">
        <v>46006.788194444445</v>
      </c>
      <c r="J218" s="10">
        <v>4200</v>
      </c>
      <c r="K218" s="10">
        <v>0</v>
      </c>
      <c r="L218" s="24">
        <v>0</v>
      </c>
      <c r="M218" s="10">
        <v>4200</v>
      </c>
    </row>
    <row r="219" spans="1:13" x14ac:dyDescent="0.25">
      <c r="A219" s="12" t="str">
        <f t="shared" si="6"/>
        <v>1110120240064JOSE ANSELMO SILVA DE OLIVEIRA JUNIORDEP46006,8</v>
      </c>
      <c r="B219" s="12" t="str">
        <f t="shared" si="7"/>
        <v>Junho</v>
      </c>
      <c r="C219" s="8" t="s">
        <v>1573</v>
      </c>
      <c r="D219" s="8" t="s">
        <v>664</v>
      </c>
      <c r="E219" s="8" t="s">
        <v>1579</v>
      </c>
      <c r="F219" s="23">
        <v>46006.8</v>
      </c>
      <c r="G219" s="8" t="s">
        <v>1043</v>
      </c>
      <c r="H219" s="23">
        <v>46191</v>
      </c>
      <c r="I219" s="23">
        <v>46006.8</v>
      </c>
      <c r="J219" s="10">
        <v>2400</v>
      </c>
      <c r="K219" s="10">
        <v>0</v>
      </c>
      <c r="L219" s="24">
        <v>0</v>
      </c>
      <c r="M219" s="10">
        <v>2400</v>
      </c>
    </row>
    <row r="220" spans="1:13" x14ac:dyDescent="0.25">
      <c r="A220" s="12" t="str">
        <f t="shared" si="6"/>
        <v>1110120240064WILLIAM DE JESUS BOMFIMDEP46006,7881944444</v>
      </c>
      <c r="B220" s="12" t="str">
        <f t="shared" si="7"/>
        <v>Julho</v>
      </c>
      <c r="C220" s="8" t="s">
        <v>1573</v>
      </c>
      <c r="D220" s="8" t="s">
        <v>664</v>
      </c>
      <c r="E220" s="8" t="s">
        <v>1574</v>
      </c>
      <c r="F220" s="23">
        <v>46006.788194444445</v>
      </c>
      <c r="G220" s="8" t="s">
        <v>1043</v>
      </c>
      <c r="H220" s="23">
        <v>46220</v>
      </c>
      <c r="I220" s="23">
        <v>46006.788194444445</v>
      </c>
      <c r="J220" s="10">
        <v>4200</v>
      </c>
      <c r="K220" s="10">
        <v>0</v>
      </c>
      <c r="L220" s="24">
        <v>0</v>
      </c>
      <c r="M220" s="10">
        <v>4200</v>
      </c>
    </row>
    <row r="221" spans="1:13" x14ac:dyDescent="0.25">
      <c r="A221" s="12" t="str">
        <f t="shared" si="6"/>
        <v>1110120240064JOSE ANSELMO SILVA DE OLIVEIRA JUNIORDEP46006,8</v>
      </c>
      <c r="B221" s="12" t="str">
        <f t="shared" si="7"/>
        <v>Julho</v>
      </c>
      <c r="C221" s="8" t="s">
        <v>1573</v>
      </c>
      <c r="D221" s="8" t="s">
        <v>664</v>
      </c>
      <c r="E221" s="8" t="s">
        <v>1579</v>
      </c>
      <c r="F221" s="23">
        <v>46006.8</v>
      </c>
      <c r="G221" s="8" t="s">
        <v>1043</v>
      </c>
      <c r="H221" s="23">
        <v>46220</v>
      </c>
      <c r="I221" s="23">
        <v>46006.8</v>
      </c>
      <c r="J221" s="10">
        <v>2400</v>
      </c>
      <c r="K221" s="10">
        <v>0</v>
      </c>
      <c r="L221" s="24">
        <v>0</v>
      </c>
      <c r="M221" s="10">
        <v>2400</v>
      </c>
    </row>
    <row r="222" spans="1:13" x14ac:dyDescent="0.25">
      <c r="A222" s="12" t="str">
        <f t="shared" si="6"/>
        <v>1110120240064WILLIAM DE JESUS BOMFIMDEP46006,7881944444</v>
      </c>
      <c r="B222" s="12" t="str">
        <f t="shared" si="7"/>
        <v>Agosto</v>
      </c>
      <c r="C222" s="8" t="s">
        <v>1573</v>
      </c>
      <c r="D222" s="8" t="s">
        <v>664</v>
      </c>
      <c r="E222" s="8" t="s">
        <v>1574</v>
      </c>
      <c r="F222" s="23">
        <v>46006.788194444445</v>
      </c>
      <c r="G222" s="8" t="s">
        <v>1043</v>
      </c>
      <c r="H222" s="23">
        <v>46252</v>
      </c>
      <c r="I222" s="23">
        <v>46006.788194444445</v>
      </c>
      <c r="J222" s="10">
        <v>4200</v>
      </c>
      <c r="K222" s="10">
        <v>0</v>
      </c>
      <c r="L222" s="24">
        <v>0</v>
      </c>
      <c r="M222" s="10">
        <v>4200</v>
      </c>
    </row>
    <row r="223" spans="1:13" x14ac:dyDescent="0.25">
      <c r="A223" s="12" t="str">
        <f t="shared" si="6"/>
        <v>1110120240064JOSE ANSELMO SILVA DE OLIVEIRA JUNIORDEP46006,8</v>
      </c>
      <c r="B223" s="12" t="str">
        <f t="shared" si="7"/>
        <v>Agosto</v>
      </c>
      <c r="C223" s="8" t="s">
        <v>1573</v>
      </c>
      <c r="D223" s="8" t="s">
        <v>664</v>
      </c>
      <c r="E223" s="8" t="s">
        <v>1579</v>
      </c>
      <c r="F223" s="23">
        <v>46006.8</v>
      </c>
      <c r="G223" s="8" t="s">
        <v>1043</v>
      </c>
      <c r="H223" s="23">
        <v>46252</v>
      </c>
      <c r="I223" s="23">
        <v>46006.8</v>
      </c>
      <c r="J223" s="10">
        <v>2400</v>
      </c>
      <c r="K223" s="10">
        <v>0</v>
      </c>
      <c r="L223" s="24">
        <v>0</v>
      </c>
      <c r="M223" s="10">
        <v>2400</v>
      </c>
    </row>
    <row r="224" spans="1:13" x14ac:dyDescent="0.25">
      <c r="A224" s="12" t="str">
        <f t="shared" si="6"/>
        <v>1110120240064WILLIAM DE JESUS BOMFIMDEP46006,7881944444</v>
      </c>
      <c r="B224" s="12" t="str">
        <f t="shared" si="7"/>
        <v>Setembro</v>
      </c>
      <c r="C224" s="8" t="s">
        <v>1573</v>
      </c>
      <c r="D224" s="8" t="s">
        <v>664</v>
      </c>
      <c r="E224" s="8" t="s">
        <v>1574</v>
      </c>
      <c r="F224" s="23">
        <v>46006.788194444445</v>
      </c>
      <c r="G224" s="8" t="s">
        <v>1043</v>
      </c>
      <c r="H224" s="23">
        <v>46283</v>
      </c>
      <c r="I224" s="23">
        <v>46006.788194444445</v>
      </c>
      <c r="J224" s="10">
        <v>4200</v>
      </c>
      <c r="K224" s="10">
        <v>0</v>
      </c>
      <c r="L224" s="24">
        <v>0</v>
      </c>
      <c r="M224" s="10">
        <v>4200</v>
      </c>
    </row>
    <row r="225" spans="1:13" x14ac:dyDescent="0.25">
      <c r="A225" s="12" t="str">
        <f t="shared" si="6"/>
        <v>1110120240064JOSE ANSELMO SILVA DE OLIVEIRA JUNIORDEP46006,8</v>
      </c>
      <c r="B225" s="12" t="str">
        <f t="shared" si="7"/>
        <v>Setembro</v>
      </c>
      <c r="C225" s="8" t="s">
        <v>1573</v>
      </c>
      <c r="D225" s="8" t="s">
        <v>664</v>
      </c>
      <c r="E225" s="8" t="s">
        <v>1579</v>
      </c>
      <c r="F225" s="23">
        <v>46006.8</v>
      </c>
      <c r="G225" s="8" t="s">
        <v>1043</v>
      </c>
      <c r="H225" s="23">
        <v>46283</v>
      </c>
      <c r="I225" s="23">
        <v>46006.8</v>
      </c>
      <c r="J225" s="10">
        <v>2400</v>
      </c>
      <c r="K225" s="10">
        <v>0</v>
      </c>
      <c r="L225" s="24">
        <v>0</v>
      </c>
      <c r="M225" s="10">
        <v>2400</v>
      </c>
    </row>
    <row r="226" spans="1:13" x14ac:dyDescent="0.25">
      <c r="A226" s="12" t="str">
        <f t="shared" si="6"/>
        <v>11134RM FRANCO EMPREENDIMENTOS LTDANFE46149</v>
      </c>
      <c r="B226" s="12" t="str">
        <f t="shared" si="7"/>
        <v>Junho</v>
      </c>
      <c r="C226" s="8" t="s">
        <v>400</v>
      </c>
      <c r="D226" s="8" t="s">
        <v>664</v>
      </c>
      <c r="E226" s="8" t="s">
        <v>168</v>
      </c>
      <c r="F226" s="23">
        <v>46149</v>
      </c>
      <c r="G226" s="8" t="s">
        <v>380</v>
      </c>
      <c r="H226" s="23">
        <v>46179</v>
      </c>
      <c r="I226" s="23">
        <v>46149</v>
      </c>
      <c r="J226" s="10">
        <v>1021.44</v>
      </c>
      <c r="K226" s="10">
        <v>0</v>
      </c>
      <c r="L226" s="24">
        <v>0</v>
      </c>
      <c r="M226" s="10">
        <v>1021.44</v>
      </c>
    </row>
    <row r="227" spans="1:13" x14ac:dyDescent="0.25">
      <c r="A227" s="12" t="str">
        <f t="shared" si="6"/>
        <v>1116BATERLAY LTDANFE46155</v>
      </c>
      <c r="B227" s="12" t="str">
        <f t="shared" si="7"/>
        <v>Junho</v>
      </c>
      <c r="C227" s="8" t="s">
        <v>401</v>
      </c>
      <c r="D227" s="8" t="s">
        <v>664</v>
      </c>
      <c r="E227" s="8" t="s">
        <v>25</v>
      </c>
      <c r="F227" s="23">
        <v>46155</v>
      </c>
      <c r="G227" s="8" t="s">
        <v>380</v>
      </c>
      <c r="H227" s="23">
        <v>46184</v>
      </c>
      <c r="I227" s="23">
        <v>46155</v>
      </c>
      <c r="J227" s="10">
        <v>1148</v>
      </c>
      <c r="K227" s="10">
        <v>0</v>
      </c>
      <c r="L227" s="24">
        <v>0</v>
      </c>
      <c r="M227" s="10">
        <v>1148</v>
      </c>
    </row>
    <row r="228" spans="1:13" x14ac:dyDescent="0.25">
      <c r="A228" s="12" t="str">
        <f t="shared" si="6"/>
        <v>112ANDRE LUIZ MAYERNSE46086</v>
      </c>
      <c r="B228" s="12" t="str">
        <f t="shared" si="7"/>
        <v>Março</v>
      </c>
      <c r="C228" s="8" t="s">
        <v>682</v>
      </c>
      <c r="D228" s="8" t="s">
        <v>664</v>
      </c>
      <c r="E228" s="8" t="s">
        <v>16</v>
      </c>
      <c r="F228" s="23">
        <v>46086</v>
      </c>
      <c r="G228" s="8" t="s">
        <v>665</v>
      </c>
      <c r="H228" s="23">
        <v>46101</v>
      </c>
      <c r="I228" s="23">
        <v>46086</v>
      </c>
      <c r="J228" s="10">
        <v>600</v>
      </c>
      <c r="K228" s="10">
        <v>0</v>
      </c>
      <c r="L228" s="24">
        <v>0</v>
      </c>
      <c r="M228" s="10">
        <v>600</v>
      </c>
    </row>
    <row r="229" spans="1:13" x14ac:dyDescent="0.25">
      <c r="A229" s="12" t="str">
        <f t="shared" si="6"/>
        <v>112RONICAR REPARACAO AUTOMOTIVA LTDANSE46252</v>
      </c>
      <c r="B229" s="12" t="str">
        <f t="shared" si="7"/>
        <v>Setembro</v>
      </c>
      <c r="C229" s="8" t="s">
        <v>682</v>
      </c>
      <c r="D229" s="8" t="s">
        <v>1354</v>
      </c>
      <c r="E229" s="8" t="s">
        <v>174</v>
      </c>
      <c r="F229" s="23">
        <v>46252</v>
      </c>
      <c r="G229" s="8" t="s">
        <v>665</v>
      </c>
      <c r="H229" s="23">
        <v>46282</v>
      </c>
      <c r="I229" s="23">
        <v>46252</v>
      </c>
      <c r="J229" s="10">
        <v>1170</v>
      </c>
      <c r="K229" s="10">
        <v>0</v>
      </c>
      <c r="L229" s="24">
        <v>0</v>
      </c>
      <c r="M229" s="10">
        <v>1170</v>
      </c>
    </row>
    <row r="230" spans="1:13" x14ac:dyDescent="0.25">
      <c r="A230" s="12" t="str">
        <f t="shared" si="6"/>
        <v>1128AVANSAT TECNOLOGIAS E SERVS EM SEGURANCA LTDANFS46210</v>
      </c>
      <c r="B230" s="12" t="str">
        <f t="shared" si="7"/>
        <v>Agosto</v>
      </c>
      <c r="C230" s="8" t="s">
        <v>615</v>
      </c>
      <c r="D230" s="8" t="s">
        <v>1354</v>
      </c>
      <c r="E230" s="8" t="s">
        <v>24</v>
      </c>
      <c r="F230" s="23">
        <v>46210</v>
      </c>
      <c r="G230" s="8" t="s">
        <v>614</v>
      </c>
      <c r="H230" s="23">
        <v>46240</v>
      </c>
      <c r="I230" s="23">
        <v>46210</v>
      </c>
      <c r="J230" s="10">
        <v>11929.32</v>
      </c>
      <c r="K230" s="10">
        <v>0</v>
      </c>
      <c r="L230" s="24">
        <v>0</v>
      </c>
      <c r="M230" s="10">
        <v>11929.32</v>
      </c>
    </row>
    <row r="231" spans="1:13" x14ac:dyDescent="0.25">
      <c r="A231" s="12" t="str">
        <f t="shared" si="6"/>
        <v>1129AVANSAT TECNOLOGIAS E SERVS EM SEGURANCA LTDANFS46210</v>
      </c>
      <c r="B231" s="12" t="str">
        <f t="shared" si="7"/>
        <v>Agosto</v>
      </c>
      <c r="C231" s="8" t="s">
        <v>616</v>
      </c>
      <c r="D231" s="8" t="s">
        <v>1354</v>
      </c>
      <c r="E231" s="8" t="s">
        <v>24</v>
      </c>
      <c r="F231" s="23">
        <v>46210</v>
      </c>
      <c r="G231" s="8" t="s">
        <v>614</v>
      </c>
      <c r="H231" s="23">
        <v>46240</v>
      </c>
      <c r="I231" s="23">
        <v>46211</v>
      </c>
      <c r="J231" s="10">
        <v>4319.25</v>
      </c>
      <c r="K231" s="10">
        <v>0</v>
      </c>
      <c r="L231" s="24">
        <v>0</v>
      </c>
      <c r="M231" s="10">
        <v>4053.61</v>
      </c>
    </row>
    <row r="232" spans="1:13" x14ac:dyDescent="0.25">
      <c r="A232" s="12" t="str">
        <f t="shared" si="6"/>
        <v>1129-1708-87MINISTERIO DA FAZENDAim46225,5729166667</v>
      </c>
      <c r="B232" s="12" t="str">
        <f t="shared" si="7"/>
        <v>Agosto</v>
      </c>
      <c r="C232" s="8" t="s">
        <v>2987</v>
      </c>
      <c r="D232" s="8" t="s">
        <v>664</v>
      </c>
      <c r="E232" s="8" t="s">
        <v>1503</v>
      </c>
      <c r="F232" s="23">
        <v>46225.572916666664</v>
      </c>
      <c r="G232" s="8" t="s">
        <v>1248</v>
      </c>
      <c r="H232" s="23">
        <v>46254</v>
      </c>
      <c r="I232" s="23">
        <v>46225.572916666664</v>
      </c>
      <c r="J232" s="10">
        <v>64.790000000000006</v>
      </c>
      <c r="K232" s="10">
        <v>0</v>
      </c>
      <c r="L232" s="24">
        <v>0</v>
      </c>
      <c r="M232" s="10">
        <v>64.790000000000006</v>
      </c>
    </row>
    <row r="233" spans="1:13" x14ac:dyDescent="0.25">
      <c r="A233" s="12" t="str">
        <f t="shared" si="6"/>
        <v>1129-5952-87MINISTERIO DA FAZENDAIM46225,5743055556</v>
      </c>
      <c r="B233" s="12" t="str">
        <f t="shared" si="7"/>
        <v>Agosto</v>
      </c>
      <c r="C233" s="8" t="s">
        <v>3000</v>
      </c>
      <c r="D233" s="8" t="s">
        <v>664</v>
      </c>
      <c r="E233" s="8" t="s">
        <v>1503</v>
      </c>
      <c r="F233" s="23">
        <v>46225.574305555558</v>
      </c>
      <c r="G233" s="8" t="s">
        <v>1142</v>
      </c>
      <c r="H233" s="23">
        <v>46254</v>
      </c>
      <c r="I233" s="23">
        <v>46225.574305555558</v>
      </c>
      <c r="J233" s="10">
        <v>200.85</v>
      </c>
      <c r="K233" s="10">
        <v>0</v>
      </c>
      <c r="L233" s="24">
        <v>0</v>
      </c>
      <c r="M233" s="10">
        <v>200.85</v>
      </c>
    </row>
    <row r="234" spans="1:13" x14ac:dyDescent="0.25">
      <c r="A234" s="12" t="str">
        <f t="shared" si="6"/>
        <v>1134ROCHA POMBO ANDRADE E CAPETTI ADVOGADOS (FERNANDO CARNEIRO)NSE46092</v>
      </c>
      <c r="B234" s="12" t="str">
        <f t="shared" si="7"/>
        <v>Abril</v>
      </c>
      <c r="C234" s="8" t="s">
        <v>683</v>
      </c>
      <c r="D234" s="8" t="s">
        <v>664</v>
      </c>
      <c r="E234" s="8" t="s">
        <v>169</v>
      </c>
      <c r="F234" s="23">
        <v>46092</v>
      </c>
      <c r="G234" s="8" t="s">
        <v>665</v>
      </c>
      <c r="H234" s="23">
        <v>46132</v>
      </c>
      <c r="I234" s="23">
        <v>46092</v>
      </c>
      <c r="J234" s="10">
        <v>1400</v>
      </c>
      <c r="K234" s="10">
        <v>0</v>
      </c>
      <c r="L234" s="24">
        <v>0</v>
      </c>
      <c r="M234" s="10">
        <v>1313.9</v>
      </c>
    </row>
    <row r="235" spans="1:13" x14ac:dyDescent="0.25">
      <c r="A235" s="12" t="str">
        <f t="shared" si="6"/>
        <v>1134-1708-87MINISTERIO DA FAZENDAIM46098,5326388889</v>
      </c>
      <c r="B235" s="12" t="str">
        <f t="shared" si="7"/>
        <v>Abril</v>
      </c>
      <c r="C235" s="8" t="s">
        <v>2232</v>
      </c>
      <c r="D235" s="8" t="s">
        <v>664</v>
      </c>
      <c r="E235" s="8" t="s">
        <v>1503</v>
      </c>
      <c r="F235" s="23">
        <v>46098.532638888886</v>
      </c>
      <c r="G235" s="8" t="s">
        <v>1142</v>
      </c>
      <c r="H235" s="23">
        <v>46132</v>
      </c>
      <c r="I235" s="23">
        <v>46098.532638888886</v>
      </c>
      <c r="J235" s="10">
        <v>21</v>
      </c>
      <c r="K235" s="10">
        <v>0</v>
      </c>
      <c r="L235" s="24">
        <v>0</v>
      </c>
      <c r="M235" s="10">
        <v>21</v>
      </c>
    </row>
    <row r="236" spans="1:13" x14ac:dyDescent="0.25">
      <c r="A236" s="12" t="str">
        <f t="shared" si="6"/>
        <v>1134-5952-87MINISTERIO DA FAZENDAIM46098,5340277778</v>
      </c>
      <c r="B236" s="12" t="str">
        <f t="shared" si="7"/>
        <v>Abril</v>
      </c>
      <c r="C236" s="8" t="s">
        <v>2233</v>
      </c>
      <c r="D236" s="8" t="s">
        <v>664</v>
      </c>
      <c r="E236" s="8" t="s">
        <v>1503</v>
      </c>
      <c r="F236" s="23">
        <v>46098.53402777778</v>
      </c>
      <c r="G236" s="8" t="s">
        <v>1142</v>
      </c>
      <c r="H236" s="23">
        <v>46132</v>
      </c>
      <c r="I236" s="23">
        <v>46098.53402777778</v>
      </c>
      <c r="J236" s="10">
        <v>65.099999999999994</v>
      </c>
      <c r="K236" s="10">
        <v>0</v>
      </c>
      <c r="L236" s="24">
        <v>0</v>
      </c>
      <c r="M236" s="10">
        <v>65.099999999999994</v>
      </c>
    </row>
    <row r="237" spans="1:13" x14ac:dyDescent="0.25">
      <c r="A237" s="12" t="str">
        <f t="shared" si="6"/>
        <v>114ZAMBALDI AUTO CENTER LTDANFS46182</v>
      </c>
      <c r="B237" s="12" t="str">
        <f t="shared" si="7"/>
        <v>Julho</v>
      </c>
      <c r="C237" s="8" t="s">
        <v>617</v>
      </c>
      <c r="D237" s="8" t="s">
        <v>1354</v>
      </c>
      <c r="E237" s="8" t="s">
        <v>204</v>
      </c>
      <c r="F237" s="23">
        <v>46182</v>
      </c>
      <c r="G237" s="8" t="s">
        <v>614</v>
      </c>
      <c r="H237" s="23">
        <v>46209</v>
      </c>
      <c r="I237" s="23">
        <v>46184</v>
      </c>
      <c r="J237" s="10">
        <v>120</v>
      </c>
      <c r="K237" s="10">
        <v>0</v>
      </c>
      <c r="L237" s="24">
        <v>0</v>
      </c>
      <c r="M237" s="10">
        <v>117.6</v>
      </c>
    </row>
    <row r="238" spans="1:13" x14ac:dyDescent="0.25">
      <c r="A238" s="12" t="str">
        <f t="shared" si="6"/>
        <v>11428OCP EXAMES OCUPACIONAIS LTDANSE46252</v>
      </c>
      <c r="B238" s="12" t="str">
        <f t="shared" si="7"/>
        <v>Outubro</v>
      </c>
      <c r="C238" s="8" t="s">
        <v>685</v>
      </c>
      <c r="D238" s="8" t="s">
        <v>664</v>
      </c>
      <c r="E238" s="8" t="s">
        <v>140</v>
      </c>
      <c r="F238" s="23">
        <v>46252</v>
      </c>
      <c r="G238" s="8" t="s">
        <v>665</v>
      </c>
      <c r="H238" s="23">
        <v>46301</v>
      </c>
      <c r="I238" s="23">
        <v>46254</v>
      </c>
      <c r="J238" s="10">
        <v>4675.7299999999996</v>
      </c>
      <c r="K238" s="10">
        <v>0</v>
      </c>
      <c r="L238" s="24">
        <v>0</v>
      </c>
      <c r="M238" s="10">
        <v>4388.17</v>
      </c>
    </row>
    <row r="239" spans="1:13" x14ac:dyDescent="0.25">
      <c r="A239" s="12" t="str">
        <f t="shared" si="6"/>
        <v>11428-1708-87MINISTERIO DA FAZENDAIM46259,51875</v>
      </c>
      <c r="B239" s="12" t="str">
        <f t="shared" si="7"/>
        <v>Setembro</v>
      </c>
      <c r="C239" s="8" t="s">
        <v>3126</v>
      </c>
      <c r="D239" s="8" t="s">
        <v>664</v>
      </c>
      <c r="E239" s="8" t="s">
        <v>1503</v>
      </c>
      <c r="F239" s="23">
        <v>46259.518750000003</v>
      </c>
      <c r="G239" s="8" t="s">
        <v>1142</v>
      </c>
      <c r="H239" s="23">
        <v>46285</v>
      </c>
      <c r="I239" s="23">
        <v>46259.518750000003</v>
      </c>
      <c r="J239" s="10">
        <v>70.14</v>
      </c>
      <c r="K239" s="10">
        <v>0</v>
      </c>
      <c r="L239" s="24">
        <v>0</v>
      </c>
      <c r="M239" s="10">
        <v>70.14</v>
      </c>
    </row>
    <row r="240" spans="1:13" x14ac:dyDescent="0.25">
      <c r="A240" s="12" t="str">
        <f t="shared" si="6"/>
        <v>11428-5952-87MINISTERIO DA FAZENDAIM46259,5222222222</v>
      </c>
      <c r="B240" s="12" t="str">
        <f t="shared" si="7"/>
        <v>Setembro</v>
      </c>
      <c r="C240" s="8" t="s">
        <v>3127</v>
      </c>
      <c r="D240" s="8" t="s">
        <v>664</v>
      </c>
      <c r="E240" s="8" t="s">
        <v>1503</v>
      </c>
      <c r="F240" s="23">
        <v>46259.522222222222</v>
      </c>
      <c r="G240" s="8" t="s">
        <v>1142</v>
      </c>
      <c r="H240" s="23">
        <v>46285</v>
      </c>
      <c r="I240" s="23">
        <v>46259.522222222222</v>
      </c>
      <c r="J240" s="10">
        <v>217.42</v>
      </c>
      <c r="K240" s="10">
        <v>0</v>
      </c>
      <c r="L240" s="24">
        <v>0</v>
      </c>
      <c r="M240" s="10">
        <v>217.42</v>
      </c>
    </row>
    <row r="241" spans="1:13" x14ac:dyDescent="0.25">
      <c r="A241" s="12" t="str">
        <f t="shared" si="6"/>
        <v>115OFICINA DO LOIRO PECAS E SERVICOS LTDANSE46167</v>
      </c>
      <c r="B241" s="12" t="str">
        <f t="shared" si="7"/>
        <v>Maio</v>
      </c>
      <c r="C241" s="8" t="s">
        <v>686</v>
      </c>
      <c r="D241" s="8" t="s">
        <v>1354</v>
      </c>
      <c r="E241" s="8" t="s">
        <v>143</v>
      </c>
      <c r="F241" s="23">
        <v>46167</v>
      </c>
      <c r="G241" s="8" t="s">
        <v>665</v>
      </c>
      <c r="H241" s="23">
        <v>46171</v>
      </c>
      <c r="I241" s="23">
        <v>46168</v>
      </c>
      <c r="J241" s="10">
        <v>100</v>
      </c>
      <c r="K241" s="10">
        <v>0</v>
      </c>
      <c r="L241" s="24">
        <v>0</v>
      </c>
      <c r="M241" s="10">
        <v>96.23</v>
      </c>
    </row>
    <row r="242" spans="1:13" x14ac:dyDescent="0.25">
      <c r="A242" s="12" t="str">
        <f t="shared" si="6"/>
        <v>1156OCP EXAMES OCUPACIONAIS LTDANSE46010</v>
      </c>
      <c r="B242" s="12" t="str">
        <f t="shared" si="7"/>
        <v>Fevereiro</v>
      </c>
      <c r="C242" s="8" t="s">
        <v>1696</v>
      </c>
      <c r="D242" s="8" t="s">
        <v>664</v>
      </c>
      <c r="E242" s="8" t="s">
        <v>140</v>
      </c>
      <c r="F242" s="23">
        <v>46010</v>
      </c>
      <c r="G242" s="8" t="s">
        <v>665</v>
      </c>
      <c r="H242" s="23">
        <v>46059</v>
      </c>
      <c r="I242" s="23">
        <v>46014</v>
      </c>
      <c r="J242" s="10">
        <v>653.91999999999996</v>
      </c>
      <c r="K242" s="10">
        <v>0</v>
      </c>
      <c r="L242" s="24">
        <v>0</v>
      </c>
      <c r="M242" s="10">
        <v>623.51</v>
      </c>
    </row>
    <row r="243" spans="1:13" x14ac:dyDescent="0.25">
      <c r="A243" s="12" t="str">
        <f t="shared" si="6"/>
        <v>1156-5952-87MINISTERIO DA FAZENDAIM46031,6597222222</v>
      </c>
      <c r="B243" s="12" t="str">
        <f t="shared" si="7"/>
        <v>Janeiro</v>
      </c>
      <c r="C243" s="8" t="s">
        <v>1502</v>
      </c>
      <c r="D243" s="8" t="s">
        <v>664</v>
      </c>
      <c r="E243" s="8" t="s">
        <v>1503</v>
      </c>
      <c r="F243" s="23">
        <v>46031.659722222219</v>
      </c>
      <c r="G243" s="8" t="s">
        <v>1142</v>
      </c>
      <c r="H243" s="23">
        <v>46042</v>
      </c>
      <c r="I243" s="23">
        <v>46031.659722222219</v>
      </c>
      <c r="J243" s="10">
        <v>30.41</v>
      </c>
      <c r="K243" s="10">
        <v>0</v>
      </c>
      <c r="L243" s="24">
        <v>0</v>
      </c>
      <c r="M243" s="10">
        <v>30.41</v>
      </c>
    </row>
    <row r="244" spans="1:13" x14ac:dyDescent="0.25">
      <c r="A244" s="12" t="str">
        <f t="shared" si="6"/>
        <v>1157OCP EXAMES OCUPACIONAIS LTDANSE46010</v>
      </c>
      <c r="B244" s="12" t="str">
        <f t="shared" si="7"/>
        <v>Fevereiro</v>
      </c>
      <c r="C244" s="8" t="s">
        <v>1697</v>
      </c>
      <c r="D244" s="8" t="s">
        <v>664</v>
      </c>
      <c r="E244" s="8" t="s">
        <v>140</v>
      </c>
      <c r="F244" s="23">
        <v>46010</v>
      </c>
      <c r="G244" s="8" t="s">
        <v>665</v>
      </c>
      <c r="H244" s="23">
        <v>46059</v>
      </c>
      <c r="I244" s="23">
        <v>46010</v>
      </c>
      <c r="J244" s="10">
        <v>5058.28</v>
      </c>
      <c r="K244" s="10">
        <v>0</v>
      </c>
      <c r="L244" s="24">
        <v>0</v>
      </c>
      <c r="M244" s="10">
        <v>4747.2</v>
      </c>
    </row>
    <row r="245" spans="1:13" x14ac:dyDescent="0.25">
      <c r="A245" s="12" t="str">
        <f t="shared" si="6"/>
        <v>1157-1708-87MINISTERIO DA FAZENDAIM46010,6826388889</v>
      </c>
      <c r="B245" s="12" t="str">
        <f t="shared" si="7"/>
        <v>Janeiro</v>
      </c>
      <c r="C245" s="8" t="s">
        <v>1504</v>
      </c>
      <c r="D245" s="8" t="s">
        <v>664</v>
      </c>
      <c r="E245" s="8" t="s">
        <v>1503</v>
      </c>
      <c r="F245" s="23">
        <v>46010.682638888888</v>
      </c>
      <c r="G245" s="8" t="s">
        <v>1142</v>
      </c>
      <c r="H245" s="23">
        <v>46042</v>
      </c>
      <c r="I245" s="23">
        <v>46010.682638888888</v>
      </c>
      <c r="J245" s="10">
        <v>75.87</v>
      </c>
      <c r="K245" s="10">
        <v>0</v>
      </c>
      <c r="L245" s="24">
        <v>0</v>
      </c>
      <c r="M245" s="10">
        <v>75.87</v>
      </c>
    </row>
    <row r="246" spans="1:13" x14ac:dyDescent="0.25">
      <c r="A246" s="12" t="str">
        <f t="shared" si="6"/>
        <v>1157-5952-87MINISTERIO DA FAZENDAIM46010,6847222222</v>
      </c>
      <c r="B246" s="12" t="str">
        <f t="shared" si="7"/>
        <v>Janeiro</v>
      </c>
      <c r="C246" s="8" t="s">
        <v>1505</v>
      </c>
      <c r="D246" s="8" t="s">
        <v>664</v>
      </c>
      <c r="E246" s="8" t="s">
        <v>1503</v>
      </c>
      <c r="F246" s="23">
        <v>46010.68472222222</v>
      </c>
      <c r="G246" s="8" t="s">
        <v>1142</v>
      </c>
      <c r="H246" s="23">
        <v>46042</v>
      </c>
      <c r="I246" s="23">
        <v>46010.68472222222</v>
      </c>
      <c r="J246" s="10">
        <v>235.21</v>
      </c>
      <c r="K246" s="10">
        <v>0</v>
      </c>
      <c r="L246" s="24">
        <v>0</v>
      </c>
      <c r="M246" s="10">
        <v>235.21</v>
      </c>
    </row>
    <row r="247" spans="1:13" x14ac:dyDescent="0.25">
      <c r="A247" s="12" t="str">
        <f t="shared" si="6"/>
        <v>117MECANICA CRISTO REI LTDANSE46234</v>
      </c>
      <c r="B247" s="12" t="str">
        <f t="shared" si="7"/>
        <v>Agosto</v>
      </c>
      <c r="C247" s="8" t="s">
        <v>687</v>
      </c>
      <c r="D247" s="8" t="s">
        <v>1354</v>
      </c>
      <c r="E247" s="8" t="s">
        <v>125</v>
      </c>
      <c r="F247" s="23">
        <v>46234</v>
      </c>
      <c r="G247" s="8" t="s">
        <v>665</v>
      </c>
      <c r="H247" s="23">
        <v>46265</v>
      </c>
      <c r="I247" s="23">
        <v>46245</v>
      </c>
      <c r="J247" s="10">
        <v>1176</v>
      </c>
      <c r="K247" s="10">
        <v>0</v>
      </c>
      <c r="L247" s="24">
        <v>0</v>
      </c>
      <c r="M247" s="10">
        <v>1176</v>
      </c>
    </row>
    <row r="248" spans="1:13" x14ac:dyDescent="0.25">
      <c r="A248" s="12" t="str">
        <f t="shared" si="6"/>
        <v>1199MINAS MAQUINAS SA | NOVA LIMANSE46154</v>
      </c>
      <c r="B248" s="12" t="str">
        <f t="shared" si="7"/>
        <v>Junho</v>
      </c>
      <c r="C248" s="8" t="s">
        <v>688</v>
      </c>
      <c r="D248" s="8" t="s">
        <v>2574</v>
      </c>
      <c r="E248" s="8" t="s">
        <v>133</v>
      </c>
      <c r="F248" s="23">
        <v>46154</v>
      </c>
      <c r="G248" s="8" t="s">
        <v>665</v>
      </c>
      <c r="H248" s="23">
        <v>46184</v>
      </c>
      <c r="I248" s="23">
        <v>46155</v>
      </c>
      <c r="J248" s="10">
        <v>695.25</v>
      </c>
      <c r="K248" s="10">
        <v>0</v>
      </c>
      <c r="L248" s="24">
        <v>0</v>
      </c>
      <c r="M248" s="10">
        <v>695.25</v>
      </c>
    </row>
    <row r="249" spans="1:13" x14ac:dyDescent="0.25">
      <c r="A249" s="12" t="str">
        <f t="shared" si="6"/>
        <v>1199MINAS MAQUINAS SA | NOVA LIMANSE46154</v>
      </c>
      <c r="B249" s="12" t="str">
        <f t="shared" si="7"/>
        <v>Julho</v>
      </c>
      <c r="C249" s="8" t="s">
        <v>688</v>
      </c>
      <c r="D249" s="8" t="s">
        <v>2574</v>
      </c>
      <c r="E249" s="8" t="s">
        <v>133</v>
      </c>
      <c r="F249" s="23">
        <v>46154</v>
      </c>
      <c r="G249" s="8" t="s">
        <v>665</v>
      </c>
      <c r="H249" s="23">
        <v>46214</v>
      </c>
      <c r="I249" s="23">
        <v>46155</v>
      </c>
      <c r="J249" s="10">
        <v>695.25</v>
      </c>
      <c r="K249" s="10">
        <v>0</v>
      </c>
      <c r="L249" s="24">
        <v>0</v>
      </c>
      <c r="M249" s="10">
        <v>695.25</v>
      </c>
    </row>
    <row r="250" spans="1:13" x14ac:dyDescent="0.25">
      <c r="A250" s="12" t="str">
        <f t="shared" si="6"/>
        <v>12OTAVIO OLIVEIRA ALVESRCB46030,5847222222</v>
      </c>
      <c r="B250" s="12" t="str">
        <f t="shared" si="7"/>
        <v>Janeiro</v>
      </c>
      <c r="C250" s="8" t="s">
        <v>689</v>
      </c>
      <c r="D250" s="8" t="s">
        <v>664</v>
      </c>
      <c r="E250" s="8" t="s">
        <v>1457</v>
      </c>
      <c r="F250" s="23">
        <v>46030.584722222222</v>
      </c>
      <c r="G250" s="8" t="s">
        <v>1045</v>
      </c>
      <c r="H250" s="23">
        <v>46035</v>
      </c>
      <c r="I250" s="23">
        <v>46030.584722222222</v>
      </c>
      <c r="J250" s="10">
        <v>20</v>
      </c>
      <c r="K250" s="10">
        <v>0</v>
      </c>
      <c r="L250" s="24">
        <v>0</v>
      </c>
      <c r="M250" s="10">
        <v>20</v>
      </c>
    </row>
    <row r="251" spans="1:13" x14ac:dyDescent="0.25">
      <c r="A251" s="12" t="str">
        <f t="shared" si="6"/>
        <v>12GABRIEL MOUTINHO ALBINORCB46049,3993055556</v>
      </c>
      <c r="B251" s="12" t="str">
        <f t="shared" si="7"/>
        <v>Janeiro</v>
      </c>
      <c r="C251" s="8" t="s">
        <v>689</v>
      </c>
      <c r="D251" s="8" t="s">
        <v>664</v>
      </c>
      <c r="E251" s="8" t="s">
        <v>73</v>
      </c>
      <c r="F251" s="23">
        <v>46049.399305555555</v>
      </c>
      <c r="G251" s="8" t="s">
        <v>1045</v>
      </c>
      <c r="H251" s="23">
        <v>46052</v>
      </c>
      <c r="I251" s="23">
        <v>46049.399305555555</v>
      </c>
      <c r="J251" s="10">
        <v>50</v>
      </c>
      <c r="K251" s="10">
        <v>0</v>
      </c>
      <c r="L251" s="24">
        <v>0</v>
      </c>
      <c r="M251" s="10">
        <v>50</v>
      </c>
    </row>
    <row r="252" spans="1:13" x14ac:dyDescent="0.25">
      <c r="A252" s="12" t="str">
        <f t="shared" si="6"/>
        <v>12EDILSON RIBEIRO DA SILVARCB46052,3965277778</v>
      </c>
      <c r="B252" s="12" t="str">
        <f t="shared" si="7"/>
        <v>Fevereiro</v>
      </c>
      <c r="C252" s="8" t="s">
        <v>689</v>
      </c>
      <c r="D252" s="8" t="s">
        <v>664</v>
      </c>
      <c r="E252" s="8" t="s">
        <v>56</v>
      </c>
      <c r="F252" s="23">
        <v>46052.396527777775</v>
      </c>
      <c r="G252" s="8" t="s">
        <v>1045</v>
      </c>
      <c r="H252" s="23">
        <v>46057</v>
      </c>
      <c r="I252" s="23">
        <v>46052.396527777775</v>
      </c>
      <c r="J252" s="10">
        <v>144</v>
      </c>
      <c r="K252" s="10">
        <v>0</v>
      </c>
      <c r="L252" s="24">
        <v>0</v>
      </c>
      <c r="M252" s="10">
        <v>144</v>
      </c>
    </row>
    <row r="253" spans="1:13" x14ac:dyDescent="0.25">
      <c r="A253" s="12" t="str">
        <f t="shared" si="6"/>
        <v>12VITOR SOUZA SILVARCB46056,675</v>
      </c>
      <c r="B253" s="12" t="str">
        <f t="shared" si="7"/>
        <v>Fevereiro</v>
      </c>
      <c r="C253" s="8" t="s">
        <v>689</v>
      </c>
      <c r="D253" s="8" t="s">
        <v>664</v>
      </c>
      <c r="E253" s="8" t="s">
        <v>199</v>
      </c>
      <c r="F253" s="23">
        <v>46056.675000000003</v>
      </c>
      <c r="G253" s="8" t="s">
        <v>1045</v>
      </c>
      <c r="H253" s="23">
        <v>46059</v>
      </c>
      <c r="I253" s="23">
        <v>46056.675000000003</v>
      </c>
      <c r="J253" s="10">
        <v>33.4</v>
      </c>
      <c r="K253" s="10">
        <v>0</v>
      </c>
      <c r="L253" s="24">
        <v>0</v>
      </c>
      <c r="M253" s="10">
        <v>33.4</v>
      </c>
    </row>
    <row r="254" spans="1:13" x14ac:dyDescent="0.25">
      <c r="A254" s="12" t="str">
        <f t="shared" si="6"/>
        <v>12ZAMBALDI AUTO CENTER LTDANSE46035</v>
      </c>
      <c r="B254" s="12" t="str">
        <f t="shared" si="7"/>
        <v>Fevereiro</v>
      </c>
      <c r="C254" s="8" t="s">
        <v>689</v>
      </c>
      <c r="D254" s="8" t="s">
        <v>1354</v>
      </c>
      <c r="E254" s="8" t="s">
        <v>204</v>
      </c>
      <c r="F254" s="23">
        <v>46035</v>
      </c>
      <c r="G254" s="8" t="s">
        <v>665</v>
      </c>
      <c r="H254" s="23">
        <v>46064</v>
      </c>
      <c r="I254" s="23">
        <v>46036</v>
      </c>
      <c r="J254" s="10">
        <v>978</v>
      </c>
      <c r="K254" s="10">
        <v>0</v>
      </c>
      <c r="L254" s="24">
        <v>0</v>
      </c>
      <c r="M254" s="10">
        <v>978</v>
      </c>
    </row>
    <row r="255" spans="1:13" x14ac:dyDescent="0.25">
      <c r="A255" s="12" t="str">
        <f t="shared" si="6"/>
        <v>12VANDIEGO MARQUES DA SILVA SANTOSRCB46072,6215277778</v>
      </c>
      <c r="B255" s="12" t="str">
        <f t="shared" si="7"/>
        <v>Fevereiro</v>
      </c>
      <c r="C255" s="8" t="s">
        <v>689</v>
      </c>
      <c r="D255" s="8" t="s">
        <v>664</v>
      </c>
      <c r="E255" s="8" t="s">
        <v>194</v>
      </c>
      <c r="F255" s="23">
        <v>46072.621527777781</v>
      </c>
      <c r="G255" s="8" t="s">
        <v>1045</v>
      </c>
      <c r="H255" s="23">
        <v>46077</v>
      </c>
      <c r="I255" s="23">
        <v>46072.621527777781</v>
      </c>
      <c r="J255" s="10">
        <v>50</v>
      </c>
      <c r="K255" s="10">
        <v>0</v>
      </c>
      <c r="L255" s="24">
        <v>0</v>
      </c>
      <c r="M255" s="10">
        <v>50</v>
      </c>
    </row>
    <row r="256" spans="1:13" x14ac:dyDescent="0.25">
      <c r="A256" s="12" t="str">
        <f t="shared" si="6"/>
        <v>12WALACE ROCHA DE SOUZARCB46073,5972222222</v>
      </c>
      <c r="B256" s="12" t="str">
        <f t="shared" si="7"/>
        <v>Fevereiro</v>
      </c>
      <c r="C256" s="8" t="s">
        <v>689</v>
      </c>
      <c r="D256" s="8" t="s">
        <v>664</v>
      </c>
      <c r="E256" s="8" t="s">
        <v>200</v>
      </c>
      <c r="F256" s="23">
        <v>46073.597222222219</v>
      </c>
      <c r="G256" s="8" t="s">
        <v>1045</v>
      </c>
      <c r="H256" s="23">
        <v>46078</v>
      </c>
      <c r="I256" s="23">
        <v>46073.597222222219</v>
      </c>
      <c r="J256" s="10">
        <v>284</v>
      </c>
      <c r="K256" s="10">
        <v>0</v>
      </c>
      <c r="L256" s="24">
        <v>0</v>
      </c>
      <c r="M256" s="10">
        <v>284</v>
      </c>
    </row>
    <row r="257" spans="1:13" x14ac:dyDescent="0.25">
      <c r="A257" s="12" t="str">
        <f t="shared" si="6"/>
        <v>12VALDECI TONIMRCB46135,3777777778</v>
      </c>
      <c r="B257" s="12" t="str">
        <f t="shared" si="7"/>
        <v>Abril</v>
      </c>
      <c r="C257" s="8" t="s">
        <v>689</v>
      </c>
      <c r="D257" s="8" t="s">
        <v>664</v>
      </c>
      <c r="E257" s="8" t="s">
        <v>193</v>
      </c>
      <c r="F257" s="23">
        <v>46135.37777777778</v>
      </c>
      <c r="G257" s="8" t="s">
        <v>1045</v>
      </c>
      <c r="H257" s="23">
        <v>46140</v>
      </c>
      <c r="I257" s="23">
        <v>46135.37777777778</v>
      </c>
      <c r="J257" s="10">
        <v>29.63</v>
      </c>
      <c r="K257" s="10">
        <v>0</v>
      </c>
      <c r="L257" s="24">
        <v>0</v>
      </c>
      <c r="M257" s="10">
        <v>29.63</v>
      </c>
    </row>
    <row r="258" spans="1:13" x14ac:dyDescent="0.25">
      <c r="A258" s="12" t="str">
        <f t="shared" ref="A258:A321" si="8">$C258&amp;$E258&amp;$G258&amp;$F258</f>
        <v>12ANTONIO SILVA DE SOUSARCB46142,3576388889</v>
      </c>
      <c r="B258" s="12" t="str">
        <f t="shared" si="7"/>
        <v>Maio</v>
      </c>
      <c r="C258" s="8" t="s">
        <v>689</v>
      </c>
      <c r="D258" s="8" t="s">
        <v>664</v>
      </c>
      <c r="E258" s="8" t="s">
        <v>20</v>
      </c>
      <c r="F258" s="23">
        <v>46142.357638888891</v>
      </c>
      <c r="G258" s="8" t="s">
        <v>1045</v>
      </c>
      <c r="H258" s="23">
        <v>46148</v>
      </c>
      <c r="I258" s="23">
        <v>46142.357638888891</v>
      </c>
      <c r="J258" s="10">
        <v>66</v>
      </c>
      <c r="K258" s="10">
        <v>0</v>
      </c>
      <c r="L258" s="24">
        <v>0</v>
      </c>
      <c r="M258" s="10">
        <v>66</v>
      </c>
    </row>
    <row r="259" spans="1:13" x14ac:dyDescent="0.25">
      <c r="A259" s="12" t="str">
        <f t="shared" si="8"/>
        <v>12FERNANDO GONÇALVES DE SOUZARCB46146,4388888889</v>
      </c>
      <c r="B259" s="12" t="str">
        <f t="shared" ref="B259:B322" si="9">PROPER(TEXT($H259,"MMMM"))</f>
        <v>Maio</v>
      </c>
      <c r="C259" s="8" t="s">
        <v>689</v>
      </c>
      <c r="D259" s="8" t="s">
        <v>664</v>
      </c>
      <c r="E259" s="8" t="s">
        <v>1443</v>
      </c>
      <c r="F259" s="23">
        <v>46146.438888888886</v>
      </c>
      <c r="G259" s="8" t="s">
        <v>1045</v>
      </c>
      <c r="H259" s="23">
        <v>46149</v>
      </c>
      <c r="I259" s="23">
        <v>46146.438888888886</v>
      </c>
      <c r="J259" s="10">
        <v>11</v>
      </c>
      <c r="K259" s="10">
        <v>0</v>
      </c>
      <c r="L259" s="24">
        <v>0</v>
      </c>
      <c r="M259" s="10">
        <v>11</v>
      </c>
    </row>
    <row r="260" spans="1:13" x14ac:dyDescent="0.25">
      <c r="A260" s="12" t="str">
        <f t="shared" si="8"/>
        <v>12FERNANDA SANTOS SOARESRCB46146,3784722222</v>
      </c>
      <c r="B260" s="12" t="str">
        <f t="shared" si="9"/>
        <v>Maio</v>
      </c>
      <c r="C260" s="8" t="s">
        <v>689</v>
      </c>
      <c r="D260" s="8" t="s">
        <v>664</v>
      </c>
      <c r="E260" s="8" t="s">
        <v>68</v>
      </c>
      <c r="F260" s="23">
        <v>46146.378472222219</v>
      </c>
      <c r="G260" s="8" t="s">
        <v>1045</v>
      </c>
      <c r="H260" s="23">
        <v>46149</v>
      </c>
      <c r="I260" s="23">
        <v>46146.378472222219</v>
      </c>
      <c r="J260" s="10">
        <v>20</v>
      </c>
      <c r="K260" s="10">
        <v>0</v>
      </c>
      <c r="L260" s="24">
        <v>0</v>
      </c>
      <c r="M260" s="10">
        <v>20</v>
      </c>
    </row>
    <row r="261" spans="1:13" x14ac:dyDescent="0.25">
      <c r="A261" s="12" t="str">
        <f t="shared" si="8"/>
        <v>12DANIELA CHAVES MARIANORCB46150,6069444444</v>
      </c>
      <c r="B261" s="12" t="str">
        <f t="shared" si="9"/>
        <v>Maio</v>
      </c>
      <c r="C261" s="8" t="s">
        <v>689</v>
      </c>
      <c r="D261" s="8" t="s">
        <v>664</v>
      </c>
      <c r="E261" s="8" t="s">
        <v>47</v>
      </c>
      <c r="F261" s="23">
        <v>46150.606944444444</v>
      </c>
      <c r="G261" s="8" t="s">
        <v>1045</v>
      </c>
      <c r="H261" s="23">
        <v>46155</v>
      </c>
      <c r="I261" s="23">
        <v>46150.606944444444</v>
      </c>
      <c r="J261" s="10">
        <v>120</v>
      </c>
      <c r="K261" s="10">
        <v>0</v>
      </c>
      <c r="L261" s="24">
        <v>0</v>
      </c>
      <c r="M261" s="10">
        <v>120</v>
      </c>
    </row>
    <row r="262" spans="1:13" x14ac:dyDescent="0.25">
      <c r="A262" s="12" t="str">
        <f t="shared" si="8"/>
        <v>12WESLLEY FRANCO CALVISRCB46155,4118055556</v>
      </c>
      <c r="B262" s="12" t="str">
        <f t="shared" si="9"/>
        <v>Maio</v>
      </c>
      <c r="C262" s="8" t="s">
        <v>689</v>
      </c>
      <c r="D262" s="8" t="s">
        <v>664</v>
      </c>
      <c r="E262" s="8" t="s">
        <v>202</v>
      </c>
      <c r="F262" s="23">
        <v>46155.411805555559</v>
      </c>
      <c r="G262" s="8" t="s">
        <v>1045</v>
      </c>
      <c r="H262" s="23">
        <v>46160</v>
      </c>
      <c r="I262" s="23">
        <v>46155.411805555559</v>
      </c>
      <c r="J262" s="10">
        <v>20</v>
      </c>
      <c r="K262" s="10">
        <v>0</v>
      </c>
      <c r="L262" s="24">
        <v>0</v>
      </c>
      <c r="M262" s="10">
        <v>20</v>
      </c>
    </row>
    <row r="263" spans="1:13" x14ac:dyDescent="0.25">
      <c r="A263" s="12" t="str">
        <f t="shared" si="8"/>
        <v>12JESLEY WILLIAM MIRANDA DE SOUZARCB46184,43125</v>
      </c>
      <c r="B263" s="12" t="str">
        <f t="shared" si="9"/>
        <v>Junho</v>
      </c>
      <c r="C263" s="8" t="s">
        <v>689</v>
      </c>
      <c r="D263" s="8" t="s">
        <v>664</v>
      </c>
      <c r="E263" s="8" t="s">
        <v>90</v>
      </c>
      <c r="F263" s="23">
        <v>46184.431250000001</v>
      </c>
      <c r="G263" s="8" t="s">
        <v>1045</v>
      </c>
      <c r="H263" s="23">
        <v>46189</v>
      </c>
      <c r="I263" s="23">
        <v>46184.431250000001</v>
      </c>
      <c r="J263" s="10">
        <v>120</v>
      </c>
      <c r="K263" s="10">
        <v>0</v>
      </c>
      <c r="L263" s="24">
        <v>0</v>
      </c>
      <c r="M263" s="10">
        <v>120</v>
      </c>
    </row>
    <row r="264" spans="1:13" x14ac:dyDescent="0.25">
      <c r="A264" s="12" t="str">
        <f t="shared" si="8"/>
        <v>12RAFAEL RODRIGUESRCB46190,375</v>
      </c>
      <c r="B264" s="12" t="str">
        <f t="shared" si="9"/>
        <v>Junho</v>
      </c>
      <c r="C264" s="8" t="s">
        <v>689</v>
      </c>
      <c r="D264" s="8" t="s">
        <v>664</v>
      </c>
      <c r="E264" s="8" t="s">
        <v>161</v>
      </c>
      <c r="F264" s="23">
        <v>46190.375</v>
      </c>
      <c r="G264" s="8" t="s">
        <v>1045</v>
      </c>
      <c r="H264" s="23">
        <v>46195</v>
      </c>
      <c r="I264" s="23">
        <v>46190.375</v>
      </c>
      <c r="J264" s="10">
        <v>100</v>
      </c>
      <c r="K264" s="10">
        <v>0</v>
      </c>
      <c r="L264" s="24">
        <v>0</v>
      </c>
      <c r="M264" s="10">
        <v>100</v>
      </c>
    </row>
    <row r="265" spans="1:13" x14ac:dyDescent="0.25">
      <c r="A265" s="12" t="str">
        <f t="shared" si="8"/>
        <v>12RODOLFO GUILHERME BERNARDES NORBERTORCB46195,6104166667</v>
      </c>
      <c r="B265" s="12" t="str">
        <f t="shared" si="9"/>
        <v>Junho</v>
      </c>
      <c r="C265" s="8" t="s">
        <v>689</v>
      </c>
      <c r="D265" s="8" t="s">
        <v>664</v>
      </c>
      <c r="E265" s="8" t="s">
        <v>171</v>
      </c>
      <c r="F265" s="23">
        <v>46195.61041666667</v>
      </c>
      <c r="G265" s="8" t="s">
        <v>1045</v>
      </c>
      <c r="H265" s="23">
        <v>46198</v>
      </c>
      <c r="I265" s="23">
        <v>46195.61041666667</v>
      </c>
      <c r="J265" s="10">
        <v>100</v>
      </c>
      <c r="K265" s="10">
        <v>0</v>
      </c>
      <c r="L265" s="24">
        <v>0</v>
      </c>
      <c r="M265" s="10">
        <v>100</v>
      </c>
    </row>
    <row r="266" spans="1:13" x14ac:dyDescent="0.25">
      <c r="A266" s="12" t="str">
        <f t="shared" si="8"/>
        <v>12CORREIOS AGUA BRANCARCB46199,3798611111</v>
      </c>
      <c r="B266" s="12" t="str">
        <f t="shared" si="9"/>
        <v>Julho</v>
      </c>
      <c r="C266" s="8" t="s">
        <v>689</v>
      </c>
      <c r="D266" s="8" t="s">
        <v>664</v>
      </c>
      <c r="E266" s="8" t="s">
        <v>45</v>
      </c>
      <c r="F266" s="23">
        <v>46199.379861111112</v>
      </c>
      <c r="G266" s="8" t="s">
        <v>1045</v>
      </c>
      <c r="H266" s="23">
        <v>46205</v>
      </c>
      <c r="I266" s="23">
        <v>46199.379861111112</v>
      </c>
      <c r="J266" s="10">
        <v>39.700000000000003</v>
      </c>
      <c r="K266" s="10">
        <v>0</v>
      </c>
      <c r="L266" s="24">
        <v>0</v>
      </c>
      <c r="M266" s="10">
        <v>39.700000000000003</v>
      </c>
    </row>
    <row r="267" spans="1:13" x14ac:dyDescent="0.25">
      <c r="A267" s="12" t="str">
        <f t="shared" si="8"/>
        <v>12PAULO RICARDO SILVARCB46223,4319444444</v>
      </c>
      <c r="B267" s="12" t="str">
        <f t="shared" si="9"/>
        <v>Julho</v>
      </c>
      <c r="C267" s="8" t="s">
        <v>689</v>
      </c>
      <c r="D267" s="8" t="s">
        <v>664</v>
      </c>
      <c r="E267" s="8" t="s">
        <v>153</v>
      </c>
      <c r="F267" s="23">
        <v>46223.431944444441</v>
      </c>
      <c r="G267" s="8" t="s">
        <v>1045</v>
      </c>
      <c r="H267" s="23">
        <v>46226</v>
      </c>
      <c r="I267" s="23">
        <v>46223.431944444441</v>
      </c>
      <c r="J267" s="10">
        <v>26.8</v>
      </c>
      <c r="K267" s="10">
        <v>0</v>
      </c>
      <c r="L267" s="24">
        <v>0</v>
      </c>
      <c r="M267" s="10">
        <v>26.8</v>
      </c>
    </row>
    <row r="268" spans="1:13" x14ac:dyDescent="0.25">
      <c r="A268" s="12" t="str">
        <f t="shared" si="8"/>
        <v>12LEANDRO CARVALHO SILVARCB46227,3895833333</v>
      </c>
      <c r="B268" s="12" t="str">
        <f t="shared" si="9"/>
        <v>Julho</v>
      </c>
      <c r="C268" s="8" t="s">
        <v>689</v>
      </c>
      <c r="D268" s="8" t="s">
        <v>664</v>
      </c>
      <c r="E268" s="8" t="s">
        <v>107</v>
      </c>
      <c r="F268" s="23">
        <v>46227.38958333333</v>
      </c>
      <c r="G268" s="8" t="s">
        <v>1045</v>
      </c>
      <c r="H268" s="23">
        <v>46233</v>
      </c>
      <c r="I268" s="23">
        <v>46227.38958333333</v>
      </c>
      <c r="J268" s="10">
        <v>15</v>
      </c>
      <c r="K268" s="10">
        <v>0</v>
      </c>
      <c r="L268" s="24">
        <v>0</v>
      </c>
      <c r="M268" s="10">
        <v>15</v>
      </c>
    </row>
    <row r="269" spans="1:13" x14ac:dyDescent="0.25">
      <c r="A269" s="12" t="str">
        <f t="shared" si="8"/>
        <v>12RODRIGO CORREARCB46233,3958333333</v>
      </c>
      <c r="B269" s="12" t="str">
        <f t="shared" si="9"/>
        <v>Agosto</v>
      </c>
      <c r="C269" s="8" t="s">
        <v>689</v>
      </c>
      <c r="D269" s="8" t="s">
        <v>664</v>
      </c>
      <c r="E269" s="8" t="s">
        <v>172</v>
      </c>
      <c r="F269" s="23">
        <v>46233.395833333336</v>
      </c>
      <c r="G269" s="8" t="s">
        <v>1045</v>
      </c>
      <c r="H269" s="23">
        <v>46238</v>
      </c>
      <c r="I269" s="23">
        <v>46233.395833333336</v>
      </c>
      <c r="J269" s="10">
        <v>78.790000000000006</v>
      </c>
      <c r="K269" s="10">
        <v>0</v>
      </c>
      <c r="L269" s="24">
        <v>0</v>
      </c>
      <c r="M269" s="10">
        <v>78.790000000000006</v>
      </c>
    </row>
    <row r="270" spans="1:13" x14ac:dyDescent="0.25">
      <c r="A270" s="12" t="str">
        <f t="shared" si="8"/>
        <v>12TIAGO FERNANDO DOS SANTOS SILVArcb46261,2555555556</v>
      </c>
      <c r="B270" s="12" t="str">
        <f t="shared" si="9"/>
        <v>Setembro</v>
      </c>
      <c r="C270" s="8" t="s">
        <v>689</v>
      </c>
      <c r="D270" s="8" t="s">
        <v>664</v>
      </c>
      <c r="E270" s="8" t="s">
        <v>188</v>
      </c>
      <c r="F270" s="23">
        <v>46261.255555555559</v>
      </c>
      <c r="G270" s="8" t="s">
        <v>1423</v>
      </c>
      <c r="H270" s="23">
        <v>46267</v>
      </c>
      <c r="I270" s="23">
        <v>46261.255555555559</v>
      </c>
      <c r="J270" s="10">
        <v>680</v>
      </c>
      <c r="K270" s="10">
        <v>0</v>
      </c>
      <c r="L270" s="24">
        <v>0</v>
      </c>
      <c r="M270" s="10">
        <v>680</v>
      </c>
    </row>
    <row r="271" spans="1:13" x14ac:dyDescent="0.25">
      <c r="A271" s="12" t="str">
        <f t="shared" si="8"/>
        <v>12PAULO SILAS GOMES SOARESRCB46280,4180555556</v>
      </c>
      <c r="B271" s="12" t="str">
        <f t="shared" si="9"/>
        <v>Setembro</v>
      </c>
      <c r="C271" s="8" t="s">
        <v>689</v>
      </c>
      <c r="D271" s="8" t="s">
        <v>664</v>
      </c>
      <c r="E271" s="8" t="s">
        <v>154</v>
      </c>
      <c r="F271" s="23">
        <v>46280.418055555558</v>
      </c>
      <c r="G271" s="8" t="s">
        <v>1045</v>
      </c>
      <c r="H271" s="23">
        <v>46283</v>
      </c>
      <c r="I271" s="23">
        <v>46280.418055555558</v>
      </c>
      <c r="J271" s="10">
        <v>263.68</v>
      </c>
      <c r="K271" s="10">
        <v>0</v>
      </c>
      <c r="L271" s="24">
        <v>0</v>
      </c>
      <c r="M271" s="10">
        <v>263.68</v>
      </c>
    </row>
    <row r="272" spans="1:13" x14ac:dyDescent="0.25">
      <c r="A272" s="12" t="str">
        <f t="shared" si="8"/>
        <v>12ANA PAULA DE ALMEIDA ARAUJORCB46293,6298611111</v>
      </c>
      <c r="B272" s="12" t="str">
        <f t="shared" si="9"/>
        <v>Outubro</v>
      </c>
      <c r="C272" s="8" t="s">
        <v>689</v>
      </c>
      <c r="D272" s="8" t="s">
        <v>664</v>
      </c>
      <c r="E272" s="8" t="s">
        <v>12</v>
      </c>
      <c r="F272" s="23">
        <v>46293.629861111112</v>
      </c>
      <c r="G272" s="8" t="s">
        <v>1045</v>
      </c>
      <c r="H272" s="23">
        <v>46296</v>
      </c>
      <c r="I272" s="23">
        <v>46293.629861111112</v>
      </c>
      <c r="J272" s="10">
        <v>10</v>
      </c>
      <c r="K272" s="10">
        <v>0</v>
      </c>
      <c r="L272" s="24">
        <v>0</v>
      </c>
      <c r="M272" s="10">
        <v>10</v>
      </c>
    </row>
    <row r="273" spans="1:13" x14ac:dyDescent="0.25">
      <c r="A273" s="12" t="str">
        <f t="shared" si="8"/>
        <v>120CERTIFICAR INSPECAO VEICULAR LTDANSE46078</v>
      </c>
      <c r="B273" s="12" t="str">
        <f t="shared" si="9"/>
        <v>Fevereiro</v>
      </c>
      <c r="C273" s="8" t="s">
        <v>690</v>
      </c>
      <c r="D273" s="8" t="s">
        <v>1354</v>
      </c>
      <c r="E273" s="8" t="s">
        <v>42</v>
      </c>
      <c r="F273" s="23">
        <v>46078</v>
      </c>
      <c r="G273" s="8" t="s">
        <v>665</v>
      </c>
      <c r="H273" s="23">
        <v>46081</v>
      </c>
      <c r="I273" s="23">
        <v>46079</v>
      </c>
      <c r="J273" s="10">
        <v>4480</v>
      </c>
      <c r="K273" s="10">
        <v>0</v>
      </c>
      <c r="L273" s="24">
        <v>0</v>
      </c>
      <c r="M273" s="10">
        <v>4480</v>
      </c>
    </row>
    <row r="274" spans="1:13" x14ac:dyDescent="0.25">
      <c r="A274" s="12" t="str">
        <f t="shared" si="8"/>
        <v>1200PATRICIA SOARES GERVASIONFE46059</v>
      </c>
      <c r="B274" s="12" t="str">
        <f t="shared" si="9"/>
        <v>Março</v>
      </c>
      <c r="C274" s="8" t="s">
        <v>402</v>
      </c>
      <c r="D274" s="8" t="s">
        <v>664</v>
      </c>
      <c r="E274" s="8" t="s">
        <v>149</v>
      </c>
      <c r="F274" s="23">
        <v>46059</v>
      </c>
      <c r="G274" s="8" t="s">
        <v>380</v>
      </c>
      <c r="H274" s="23">
        <v>46087</v>
      </c>
      <c r="I274" s="23">
        <v>46062</v>
      </c>
      <c r="J274" s="10">
        <v>2883.75</v>
      </c>
      <c r="K274" s="10">
        <v>0</v>
      </c>
      <c r="L274" s="24">
        <v>0</v>
      </c>
      <c r="M274" s="10">
        <v>2883.75</v>
      </c>
    </row>
    <row r="275" spans="1:13" x14ac:dyDescent="0.25">
      <c r="A275" s="12" t="str">
        <f t="shared" si="8"/>
        <v>1202PATRICIA SOARES GERVASIONFE46059</v>
      </c>
      <c r="B275" s="12" t="str">
        <f t="shared" si="9"/>
        <v>Março</v>
      </c>
      <c r="C275" s="8" t="s">
        <v>403</v>
      </c>
      <c r="D275" s="8" t="s">
        <v>664</v>
      </c>
      <c r="E275" s="8" t="s">
        <v>149</v>
      </c>
      <c r="F275" s="23">
        <v>46059</v>
      </c>
      <c r="G275" s="8" t="s">
        <v>380</v>
      </c>
      <c r="H275" s="23">
        <v>46087</v>
      </c>
      <c r="I275" s="23">
        <v>46062</v>
      </c>
      <c r="J275" s="10">
        <v>333.4</v>
      </c>
      <c r="K275" s="10">
        <v>0</v>
      </c>
      <c r="L275" s="24">
        <v>0</v>
      </c>
      <c r="M275" s="10">
        <v>333.4</v>
      </c>
    </row>
    <row r="276" spans="1:13" x14ac:dyDescent="0.25">
      <c r="A276" s="12" t="str">
        <f t="shared" si="8"/>
        <v>12026-87HENRIQUE GALAMBA RODRIGUES DOS ANJOSDEP46005,5541666667</v>
      </c>
      <c r="B276" s="12" t="str">
        <f t="shared" si="9"/>
        <v>Janeiro</v>
      </c>
      <c r="C276" s="8" t="s">
        <v>1378</v>
      </c>
      <c r="D276" s="8" t="s">
        <v>664</v>
      </c>
      <c r="E276" s="8" t="s">
        <v>84</v>
      </c>
      <c r="F276" s="23">
        <v>46005.554166666669</v>
      </c>
      <c r="G276" s="8" t="s">
        <v>1043</v>
      </c>
      <c r="H276" s="23">
        <v>46028</v>
      </c>
      <c r="I276" s="23">
        <v>46005.554166666669</v>
      </c>
      <c r="J276" s="10">
        <v>3000</v>
      </c>
      <c r="K276" s="10">
        <v>0</v>
      </c>
      <c r="L276" s="24">
        <v>0</v>
      </c>
      <c r="M276" s="10">
        <v>3000</v>
      </c>
    </row>
    <row r="277" spans="1:13" x14ac:dyDescent="0.25">
      <c r="A277" s="12" t="str">
        <f t="shared" si="8"/>
        <v>12026-87SECRETARIA DE ESTADO DA FAZENDA DE MINAS GERAISIM46055,56875</v>
      </c>
      <c r="B277" s="12" t="str">
        <f t="shared" si="9"/>
        <v>Fevereiro</v>
      </c>
      <c r="C277" s="8" t="s">
        <v>1378</v>
      </c>
      <c r="D277" s="8" t="s">
        <v>664</v>
      </c>
      <c r="E277" s="8" t="s">
        <v>1454</v>
      </c>
      <c r="F277" s="23">
        <v>46055.568749999999</v>
      </c>
      <c r="G277" s="8" t="s">
        <v>1142</v>
      </c>
      <c r="H277" s="23">
        <v>46062</v>
      </c>
      <c r="I277" s="23">
        <v>46055.568749999999</v>
      </c>
      <c r="J277" s="10">
        <v>1687.66</v>
      </c>
      <c r="K277" s="10">
        <v>0</v>
      </c>
      <c r="L277" s="24">
        <v>0</v>
      </c>
      <c r="M277" s="10">
        <v>1687.66</v>
      </c>
    </row>
    <row r="278" spans="1:13" x14ac:dyDescent="0.25">
      <c r="A278" s="12" t="str">
        <f t="shared" si="8"/>
        <v>122025-87SECRETARIA DE ESTADO DA FAZENDA DE MINAS GERAISIM46028,6958333333</v>
      </c>
      <c r="B278" s="12" t="str">
        <f t="shared" si="9"/>
        <v>Janeiro</v>
      </c>
      <c r="C278" s="8" t="s">
        <v>1453</v>
      </c>
      <c r="D278" s="8" t="s">
        <v>664</v>
      </c>
      <c r="E278" s="8" t="s">
        <v>1454</v>
      </c>
      <c r="F278" s="23">
        <v>46028.695833333331</v>
      </c>
      <c r="G278" s="8" t="s">
        <v>1142</v>
      </c>
      <c r="H278" s="23">
        <v>46030</v>
      </c>
      <c r="I278" s="23">
        <v>46028.695833333331</v>
      </c>
      <c r="J278" s="10">
        <v>151.22999999999999</v>
      </c>
      <c r="K278" s="10">
        <v>0</v>
      </c>
      <c r="L278" s="24">
        <v>0</v>
      </c>
      <c r="M278" s="10">
        <v>151.22999999999999</v>
      </c>
    </row>
    <row r="279" spans="1:13" x14ac:dyDescent="0.25">
      <c r="A279" s="12" t="str">
        <f t="shared" si="8"/>
        <v>122382026PREFEITURA MUNICIPAL DE CONTAGEMIM46083,3791666667</v>
      </c>
      <c r="B279" s="12" t="str">
        <f t="shared" si="9"/>
        <v>Março</v>
      </c>
      <c r="C279" s="8" t="s">
        <v>2002</v>
      </c>
      <c r="D279" s="8" t="s">
        <v>1354</v>
      </c>
      <c r="E279" s="8" t="s">
        <v>1470</v>
      </c>
      <c r="F279" s="23">
        <v>46083.379166666666</v>
      </c>
      <c r="G279" s="8" t="s">
        <v>1142</v>
      </c>
      <c r="H279" s="23">
        <v>46091</v>
      </c>
      <c r="I279" s="23">
        <v>46083.379166666666</v>
      </c>
      <c r="J279" s="10">
        <v>479.59</v>
      </c>
      <c r="K279" s="10">
        <v>0</v>
      </c>
      <c r="L279" s="24">
        <v>0</v>
      </c>
      <c r="M279" s="10">
        <v>479.59</v>
      </c>
    </row>
    <row r="280" spans="1:13" x14ac:dyDescent="0.25">
      <c r="A280" s="12" t="str">
        <f t="shared" si="8"/>
        <v>1225PATRICIA SOARES GERVASIONFE46106</v>
      </c>
      <c r="B280" s="12" t="str">
        <f t="shared" si="9"/>
        <v>Maio</v>
      </c>
      <c r="C280" s="8" t="s">
        <v>404</v>
      </c>
      <c r="D280" s="8" t="s">
        <v>664</v>
      </c>
      <c r="E280" s="8" t="s">
        <v>149</v>
      </c>
      <c r="F280" s="23">
        <v>46106</v>
      </c>
      <c r="G280" s="8" t="s">
        <v>380</v>
      </c>
      <c r="H280" s="23">
        <v>46148</v>
      </c>
      <c r="I280" s="23">
        <v>46111</v>
      </c>
      <c r="J280" s="10">
        <v>1365.6</v>
      </c>
      <c r="K280" s="10">
        <v>0</v>
      </c>
      <c r="L280" s="24">
        <v>0</v>
      </c>
      <c r="M280" s="10">
        <v>1365.6</v>
      </c>
    </row>
    <row r="281" spans="1:13" x14ac:dyDescent="0.25">
      <c r="A281" s="12" t="str">
        <f t="shared" si="8"/>
        <v>123JESSICA STEFANE DA COSTA LIMANSE46185</v>
      </c>
      <c r="B281" s="12" t="str">
        <f t="shared" si="9"/>
        <v>Julho</v>
      </c>
      <c r="C281" s="8" t="s">
        <v>692</v>
      </c>
      <c r="D281" s="8" t="s">
        <v>1354</v>
      </c>
      <c r="E281" s="8" t="s">
        <v>92</v>
      </c>
      <c r="F281" s="23">
        <v>46185</v>
      </c>
      <c r="G281" s="8" t="s">
        <v>665</v>
      </c>
      <c r="H281" s="23">
        <v>46209</v>
      </c>
      <c r="I281" s="23">
        <v>46189</v>
      </c>
      <c r="J281" s="10">
        <v>600</v>
      </c>
      <c r="K281" s="10">
        <v>0</v>
      </c>
      <c r="L281" s="24">
        <v>0</v>
      </c>
      <c r="M281" s="10">
        <v>600</v>
      </c>
    </row>
    <row r="282" spans="1:13" x14ac:dyDescent="0.25">
      <c r="A282" s="12" t="str">
        <f t="shared" si="8"/>
        <v>123MGS PRINTERNSE46199</v>
      </c>
      <c r="B282" s="12" t="str">
        <f t="shared" si="9"/>
        <v>Agosto</v>
      </c>
      <c r="C282" s="8" t="s">
        <v>692</v>
      </c>
      <c r="D282" s="8" t="s">
        <v>664</v>
      </c>
      <c r="E282" s="8" t="s">
        <v>128</v>
      </c>
      <c r="F282" s="23">
        <v>46199</v>
      </c>
      <c r="G282" s="8" t="s">
        <v>665</v>
      </c>
      <c r="H282" s="23">
        <v>46240</v>
      </c>
      <c r="I282" s="23">
        <v>46199</v>
      </c>
      <c r="J282" s="10">
        <v>372.65</v>
      </c>
      <c r="K282" s="10">
        <v>0</v>
      </c>
      <c r="L282" s="24">
        <v>0</v>
      </c>
      <c r="M282" s="10">
        <v>372.65</v>
      </c>
    </row>
    <row r="283" spans="1:13" x14ac:dyDescent="0.25">
      <c r="A283" s="12" t="str">
        <f t="shared" si="8"/>
        <v>1234AVANSAT TECNOLOGIAS E SERVS EM SEGURANCA LTDANSE46241</v>
      </c>
      <c r="B283" s="12" t="str">
        <f t="shared" si="9"/>
        <v>Setembro</v>
      </c>
      <c r="C283" s="8" t="s">
        <v>693</v>
      </c>
      <c r="D283" s="8" t="s">
        <v>1354</v>
      </c>
      <c r="E283" s="8" t="s">
        <v>24</v>
      </c>
      <c r="F283" s="23">
        <v>46241</v>
      </c>
      <c r="G283" s="8" t="s">
        <v>665</v>
      </c>
      <c r="H283" s="23">
        <v>46271</v>
      </c>
      <c r="I283" s="23">
        <v>46245</v>
      </c>
      <c r="J283" s="10">
        <v>11929.32</v>
      </c>
      <c r="K283" s="10">
        <v>0</v>
      </c>
      <c r="L283" s="24">
        <v>0</v>
      </c>
      <c r="M283" s="10">
        <v>11929.32</v>
      </c>
    </row>
    <row r="284" spans="1:13" x14ac:dyDescent="0.25">
      <c r="A284" s="12" t="str">
        <f t="shared" si="8"/>
        <v>1235AVANSAT TECNOLOGIAS E SERVS EM SEGURANCA LTDANSE46241</v>
      </c>
      <c r="B284" s="12" t="str">
        <f t="shared" si="9"/>
        <v>Setembro</v>
      </c>
      <c r="C284" s="8" t="s">
        <v>694</v>
      </c>
      <c r="D284" s="8" t="s">
        <v>1354</v>
      </c>
      <c r="E284" s="8" t="s">
        <v>24</v>
      </c>
      <c r="F284" s="23">
        <v>46241</v>
      </c>
      <c r="G284" s="8" t="s">
        <v>665</v>
      </c>
      <c r="H284" s="23">
        <v>46271</v>
      </c>
      <c r="I284" s="23">
        <v>46245</v>
      </c>
      <c r="J284" s="10">
        <v>9885</v>
      </c>
      <c r="K284" s="10">
        <v>0</v>
      </c>
      <c r="L284" s="24">
        <v>0</v>
      </c>
      <c r="M284" s="10">
        <v>9277.07</v>
      </c>
    </row>
    <row r="285" spans="1:13" x14ac:dyDescent="0.25">
      <c r="A285" s="12" t="str">
        <f t="shared" si="8"/>
        <v>1235-1708-87MINISTERIO DA FAZENDAIM46254,4520833333</v>
      </c>
      <c r="B285" s="12" t="str">
        <f t="shared" si="9"/>
        <v>Setembro</v>
      </c>
      <c r="C285" s="8" t="s">
        <v>3128</v>
      </c>
      <c r="D285" s="8" t="s">
        <v>664</v>
      </c>
      <c r="E285" s="8" t="s">
        <v>1503</v>
      </c>
      <c r="F285" s="23">
        <v>46254.45208333333</v>
      </c>
      <c r="G285" s="8" t="s">
        <v>1142</v>
      </c>
      <c r="H285" s="23">
        <v>46285</v>
      </c>
      <c r="I285" s="23">
        <v>46254.45208333333</v>
      </c>
      <c r="J285" s="10">
        <v>148.28</v>
      </c>
      <c r="K285" s="10">
        <v>0</v>
      </c>
      <c r="L285" s="24">
        <v>0</v>
      </c>
      <c r="M285" s="10">
        <v>148.28</v>
      </c>
    </row>
    <row r="286" spans="1:13" x14ac:dyDescent="0.25">
      <c r="A286" s="12" t="str">
        <f t="shared" si="8"/>
        <v>1235-5952-87MINISTERIO DA FAZENDAIM46282</v>
      </c>
      <c r="B286" s="12" t="str">
        <f t="shared" si="9"/>
        <v>Setembro</v>
      </c>
      <c r="C286" s="8" t="s">
        <v>3129</v>
      </c>
      <c r="D286" s="8" t="s">
        <v>664</v>
      </c>
      <c r="E286" s="8" t="s">
        <v>1503</v>
      </c>
      <c r="F286" s="23">
        <v>46282</v>
      </c>
      <c r="G286" s="8" t="s">
        <v>1142</v>
      </c>
      <c r="H286" s="23">
        <v>46285</v>
      </c>
      <c r="I286" s="23">
        <v>46282</v>
      </c>
      <c r="J286" s="10">
        <v>459.66</v>
      </c>
      <c r="K286" s="10">
        <v>0</v>
      </c>
      <c r="L286" s="24">
        <v>0</v>
      </c>
      <c r="M286" s="10">
        <v>459.66</v>
      </c>
    </row>
    <row r="287" spans="1:13" x14ac:dyDescent="0.25">
      <c r="A287" s="12" t="str">
        <f t="shared" si="8"/>
        <v>1245PATRICIA SOARES GERVASIONFE46141</v>
      </c>
      <c r="B287" s="12" t="str">
        <f t="shared" si="9"/>
        <v>Junho</v>
      </c>
      <c r="C287" s="8" t="s">
        <v>405</v>
      </c>
      <c r="D287" s="8" t="s">
        <v>664</v>
      </c>
      <c r="E287" s="8" t="s">
        <v>149</v>
      </c>
      <c r="F287" s="23">
        <v>46141</v>
      </c>
      <c r="G287" s="8" t="s">
        <v>380</v>
      </c>
      <c r="H287" s="23">
        <v>46179</v>
      </c>
      <c r="I287" s="23">
        <v>46146</v>
      </c>
      <c r="J287" s="10">
        <v>3306.7</v>
      </c>
      <c r="K287" s="10">
        <v>0</v>
      </c>
      <c r="L287" s="24">
        <v>0</v>
      </c>
      <c r="M287" s="10">
        <v>3306.7</v>
      </c>
    </row>
    <row r="288" spans="1:13" x14ac:dyDescent="0.25">
      <c r="A288" s="12" t="str">
        <f t="shared" si="8"/>
        <v>1250MINAS MAQUINAS SA | NOVA LIMANSE46157</v>
      </c>
      <c r="B288" s="12" t="str">
        <f t="shared" si="9"/>
        <v>Junho</v>
      </c>
      <c r="C288" s="8" t="s">
        <v>695</v>
      </c>
      <c r="D288" s="8" t="s">
        <v>1354</v>
      </c>
      <c r="E288" s="8" t="s">
        <v>133</v>
      </c>
      <c r="F288" s="23">
        <v>46157</v>
      </c>
      <c r="G288" s="8" t="s">
        <v>665</v>
      </c>
      <c r="H288" s="23">
        <v>46187</v>
      </c>
      <c r="I288" s="23">
        <v>46160</v>
      </c>
      <c r="J288" s="10">
        <v>437.75</v>
      </c>
      <c r="K288" s="10">
        <v>0</v>
      </c>
      <c r="L288" s="24">
        <v>0</v>
      </c>
      <c r="M288" s="10">
        <v>437.75</v>
      </c>
    </row>
    <row r="289" spans="1:13" x14ac:dyDescent="0.25">
      <c r="A289" s="12" t="str">
        <f t="shared" si="8"/>
        <v>1250MINAS MAQUINAS SA | NOVA LIMANSE46157</v>
      </c>
      <c r="B289" s="12" t="str">
        <f t="shared" si="9"/>
        <v>Julho</v>
      </c>
      <c r="C289" s="8" t="s">
        <v>695</v>
      </c>
      <c r="D289" s="8" t="s">
        <v>1354</v>
      </c>
      <c r="E289" s="8" t="s">
        <v>133</v>
      </c>
      <c r="F289" s="23">
        <v>46157</v>
      </c>
      <c r="G289" s="8" t="s">
        <v>665</v>
      </c>
      <c r="H289" s="23">
        <v>46217</v>
      </c>
      <c r="I289" s="23">
        <v>46160</v>
      </c>
      <c r="J289" s="10">
        <v>437.75</v>
      </c>
      <c r="K289" s="10">
        <v>0</v>
      </c>
      <c r="L289" s="24">
        <v>0</v>
      </c>
      <c r="M289" s="10">
        <v>437.75</v>
      </c>
    </row>
    <row r="290" spans="1:13" x14ac:dyDescent="0.25">
      <c r="A290" s="12" t="str">
        <f t="shared" si="8"/>
        <v>126OFICINA DO LOIRO PECAS E SERVICOS LTDANSE46176</v>
      </c>
      <c r="B290" s="12" t="str">
        <f t="shared" si="9"/>
        <v>Julho</v>
      </c>
      <c r="C290" s="8" t="s">
        <v>696</v>
      </c>
      <c r="D290" s="8" t="s">
        <v>1354</v>
      </c>
      <c r="E290" s="8" t="s">
        <v>143</v>
      </c>
      <c r="F290" s="23">
        <v>46176</v>
      </c>
      <c r="G290" s="8" t="s">
        <v>665</v>
      </c>
      <c r="H290" s="23">
        <v>46206</v>
      </c>
      <c r="I290" s="23">
        <v>46176</v>
      </c>
      <c r="J290" s="10">
        <v>200</v>
      </c>
      <c r="K290" s="10">
        <v>0</v>
      </c>
      <c r="L290" s="24">
        <v>0</v>
      </c>
      <c r="M290" s="10">
        <v>192.46</v>
      </c>
    </row>
    <row r="291" spans="1:13" x14ac:dyDescent="0.25">
      <c r="A291" s="12" t="str">
        <f t="shared" si="8"/>
        <v>1268RC TRUCK CENTER S/ANSE46259</v>
      </c>
      <c r="B291" s="12" t="str">
        <f t="shared" si="9"/>
        <v>Outubro</v>
      </c>
      <c r="C291" s="8" t="s">
        <v>698</v>
      </c>
      <c r="D291" s="8" t="s">
        <v>1354</v>
      </c>
      <c r="E291" s="8" t="s">
        <v>164</v>
      </c>
      <c r="F291" s="23">
        <v>46259</v>
      </c>
      <c r="G291" s="8" t="s">
        <v>665</v>
      </c>
      <c r="H291" s="23">
        <v>46301</v>
      </c>
      <c r="I291" s="23">
        <v>46266</v>
      </c>
      <c r="J291" s="10">
        <v>1863.36</v>
      </c>
      <c r="K291" s="10">
        <v>0</v>
      </c>
      <c r="L291" s="24">
        <v>0</v>
      </c>
      <c r="M291" s="10">
        <v>1788.83</v>
      </c>
    </row>
    <row r="292" spans="1:13" x14ac:dyDescent="0.25">
      <c r="A292" s="12" t="str">
        <f t="shared" si="8"/>
        <v>127GSC AUTO CENTER E PECAS LTDANSE46104</v>
      </c>
      <c r="B292" s="12" t="str">
        <f t="shared" si="9"/>
        <v>Abril</v>
      </c>
      <c r="C292" s="8" t="s">
        <v>699</v>
      </c>
      <c r="D292" s="8" t="s">
        <v>1354</v>
      </c>
      <c r="E292" s="8" t="s">
        <v>77</v>
      </c>
      <c r="F292" s="23">
        <v>46104</v>
      </c>
      <c r="G292" s="8" t="s">
        <v>665</v>
      </c>
      <c r="H292" s="23">
        <v>46134</v>
      </c>
      <c r="I292" s="23">
        <v>46108</v>
      </c>
      <c r="J292" s="10">
        <v>340</v>
      </c>
      <c r="K292" s="10">
        <v>0</v>
      </c>
      <c r="L292" s="24">
        <v>0</v>
      </c>
      <c r="M292" s="10">
        <v>340</v>
      </c>
    </row>
    <row r="293" spans="1:13" x14ac:dyDescent="0.25">
      <c r="A293" s="12" t="str">
        <f t="shared" si="8"/>
        <v>127OFICINA DO LOIRO PECAS E SERVICOS LTDANSE46176</v>
      </c>
      <c r="B293" s="12" t="str">
        <f t="shared" si="9"/>
        <v>Julho</v>
      </c>
      <c r="C293" s="8" t="s">
        <v>699</v>
      </c>
      <c r="D293" s="8" t="s">
        <v>1354</v>
      </c>
      <c r="E293" s="8" t="s">
        <v>143</v>
      </c>
      <c r="F293" s="23">
        <v>46176</v>
      </c>
      <c r="G293" s="8" t="s">
        <v>665</v>
      </c>
      <c r="H293" s="23">
        <v>46206</v>
      </c>
      <c r="I293" s="23">
        <v>46176</v>
      </c>
      <c r="J293" s="10">
        <v>440</v>
      </c>
      <c r="K293" s="10">
        <v>0</v>
      </c>
      <c r="L293" s="24">
        <v>0</v>
      </c>
      <c r="M293" s="10">
        <v>423.41</v>
      </c>
    </row>
    <row r="294" spans="1:13" x14ac:dyDescent="0.25">
      <c r="A294" s="12" t="str">
        <f t="shared" si="8"/>
        <v>1271ROCHA POMBO ANDRADE E CAPETTI ADVOGADOS (FERNANDO CARNEIRO)NSE46118</v>
      </c>
      <c r="B294" s="12" t="str">
        <f t="shared" si="9"/>
        <v>Abril</v>
      </c>
      <c r="C294" s="8" t="s">
        <v>700</v>
      </c>
      <c r="D294" s="8" t="s">
        <v>664</v>
      </c>
      <c r="E294" s="8" t="s">
        <v>169</v>
      </c>
      <c r="F294" s="23">
        <v>46118</v>
      </c>
      <c r="G294" s="8" t="s">
        <v>665</v>
      </c>
      <c r="H294" s="23">
        <v>46132</v>
      </c>
      <c r="I294" s="23">
        <v>46118</v>
      </c>
      <c r="J294" s="10">
        <v>10000</v>
      </c>
      <c r="K294" s="10">
        <v>0</v>
      </c>
      <c r="L294" s="24">
        <v>0</v>
      </c>
      <c r="M294" s="10">
        <v>9385</v>
      </c>
    </row>
    <row r="295" spans="1:13" x14ac:dyDescent="0.25">
      <c r="A295" s="12" t="str">
        <f t="shared" si="8"/>
        <v>1271-1708-87MINISTERIO DA FAZENDAIM46126,4270833333</v>
      </c>
      <c r="B295" s="12" t="str">
        <f t="shared" si="9"/>
        <v>Maio</v>
      </c>
      <c r="C295" s="8" t="s">
        <v>2423</v>
      </c>
      <c r="D295" s="8" t="s">
        <v>664</v>
      </c>
      <c r="E295" s="8" t="s">
        <v>1503</v>
      </c>
      <c r="F295" s="23">
        <v>46126.427083333336</v>
      </c>
      <c r="G295" s="8" t="s">
        <v>1142</v>
      </c>
      <c r="H295" s="23">
        <v>46162</v>
      </c>
      <c r="I295" s="23">
        <v>46126.427083333336</v>
      </c>
      <c r="J295" s="10">
        <v>150</v>
      </c>
      <c r="K295" s="10">
        <v>0</v>
      </c>
      <c r="L295" s="24">
        <v>0</v>
      </c>
      <c r="M295" s="10">
        <v>150</v>
      </c>
    </row>
    <row r="296" spans="1:13" x14ac:dyDescent="0.25">
      <c r="A296" s="12" t="str">
        <f t="shared" si="8"/>
        <v>1271-5952-87MINISTERIO DA FAZENDAIM46126,4291666667</v>
      </c>
      <c r="B296" s="12" t="str">
        <f t="shared" si="9"/>
        <v>Maio</v>
      </c>
      <c r="C296" s="8" t="s">
        <v>2424</v>
      </c>
      <c r="D296" s="8" t="s">
        <v>664</v>
      </c>
      <c r="E296" s="8" t="s">
        <v>1503</v>
      </c>
      <c r="F296" s="23">
        <v>46126.429166666669</v>
      </c>
      <c r="G296" s="8" t="s">
        <v>1142</v>
      </c>
      <c r="H296" s="23">
        <v>46162</v>
      </c>
      <c r="I296" s="23">
        <v>46126.429166666669</v>
      </c>
      <c r="J296" s="10">
        <v>465</v>
      </c>
      <c r="K296" s="10">
        <v>0</v>
      </c>
      <c r="L296" s="24">
        <v>0</v>
      </c>
      <c r="M296" s="10">
        <v>465</v>
      </c>
    </row>
    <row r="297" spans="1:13" x14ac:dyDescent="0.25">
      <c r="A297" s="12" t="str">
        <f t="shared" si="8"/>
        <v>1278MINAS MAQUINAS SA | NOVA LIMANSE46162</v>
      </c>
      <c r="B297" s="12" t="str">
        <f t="shared" si="9"/>
        <v>Junho</v>
      </c>
      <c r="C297" s="8" t="s">
        <v>701</v>
      </c>
      <c r="D297" s="8" t="s">
        <v>1354</v>
      </c>
      <c r="E297" s="8" t="s">
        <v>133</v>
      </c>
      <c r="F297" s="23">
        <v>46162</v>
      </c>
      <c r="G297" s="8" t="s">
        <v>665</v>
      </c>
      <c r="H297" s="23">
        <v>46192</v>
      </c>
      <c r="I297" s="23">
        <v>46163</v>
      </c>
      <c r="J297" s="10">
        <v>909.84</v>
      </c>
      <c r="K297" s="10">
        <v>0</v>
      </c>
      <c r="L297" s="24">
        <v>0</v>
      </c>
      <c r="M297" s="10">
        <v>909.84</v>
      </c>
    </row>
    <row r="298" spans="1:13" x14ac:dyDescent="0.25">
      <c r="A298" s="12" t="str">
        <f t="shared" si="8"/>
        <v>1278MINAS MAQUINAS SA | NOVA LIMANSE46162</v>
      </c>
      <c r="B298" s="12" t="str">
        <f t="shared" si="9"/>
        <v>Julho</v>
      </c>
      <c r="C298" s="8" t="s">
        <v>701</v>
      </c>
      <c r="D298" s="8" t="s">
        <v>1354</v>
      </c>
      <c r="E298" s="8" t="s">
        <v>133</v>
      </c>
      <c r="F298" s="23">
        <v>46162</v>
      </c>
      <c r="G298" s="8" t="s">
        <v>665</v>
      </c>
      <c r="H298" s="23">
        <v>46222</v>
      </c>
      <c r="I298" s="23">
        <v>46163</v>
      </c>
      <c r="J298" s="10">
        <v>909.83</v>
      </c>
      <c r="K298" s="10">
        <v>0</v>
      </c>
      <c r="L298" s="24">
        <v>0</v>
      </c>
      <c r="M298" s="10">
        <v>909.83</v>
      </c>
    </row>
    <row r="299" spans="1:13" x14ac:dyDescent="0.25">
      <c r="A299" s="12" t="str">
        <f t="shared" si="8"/>
        <v>1278MINAS MAQUINAS SA | NOVA LIMANSE46162</v>
      </c>
      <c r="B299" s="12" t="str">
        <f t="shared" si="9"/>
        <v>Agosto</v>
      </c>
      <c r="C299" s="8" t="s">
        <v>701</v>
      </c>
      <c r="D299" s="8" t="s">
        <v>1354</v>
      </c>
      <c r="E299" s="8" t="s">
        <v>133</v>
      </c>
      <c r="F299" s="23">
        <v>46162</v>
      </c>
      <c r="G299" s="8" t="s">
        <v>665</v>
      </c>
      <c r="H299" s="23">
        <v>46252</v>
      </c>
      <c r="I299" s="23">
        <v>46163</v>
      </c>
      <c r="J299" s="10">
        <v>909.83</v>
      </c>
      <c r="K299" s="10">
        <v>0</v>
      </c>
      <c r="L299" s="24">
        <v>0</v>
      </c>
      <c r="M299" s="10">
        <v>909.83</v>
      </c>
    </row>
    <row r="300" spans="1:13" x14ac:dyDescent="0.25">
      <c r="A300" s="12" t="str">
        <f t="shared" si="8"/>
        <v>12797OCUPACIONAL MEDICINA DO TRABALHO LTDANSE46118</v>
      </c>
      <c r="B300" s="12" t="str">
        <f t="shared" si="9"/>
        <v>Junho</v>
      </c>
      <c r="C300" s="8" t="s">
        <v>702</v>
      </c>
      <c r="D300" s="8" t="s">
        <v>664</v>
      </c>
      <c r="E300" s="8" t="s">
        <v>142</v>
      </c>
      <c r="F300" s="23">
        <v>46118</v>
      </c>
      <c r="G300" s="8" t="s">
        <v>665</v>
      </c>
      <c r="H300" s="23">
        <v>46179</v>
      </c>
      <c r="I300" s="23">
        <v>46118</v>
      </c>
      <c r="J300" s="10">
        <v>610</v>
      </c>
      <c r="K300" s="10">
        <v>0</v>
      </c>
      <c r="L300" s="24">
        <v>0</v>
      </c>
      <c r="M300" s="10">
        <v>581.63</v>
      </c>
    </row>
    <row r="301" spans="1:13" x14ac:dyDescent="0.25">
      <c r="A301" s="12" t="str">
        <f t="shared" si="8"/>
        <v>12797-5952-87MINISTERIO DA FAZENDAIM46126,4347222222</v>
      </c>
      <c r="B301" s="12" t="str">
        <f t="shared" si="9"/>
        <v>Maio</v>
      </c>
      <c r="C301" s="8" t="s">
        <v>2425</v>
      </c>
      <c r="D301" s="8" t="s">
        <v>664</v>
      </c>
      <c r="E301" s="8" t="s">
        <v>1503</v>
      </c>
      <c r="F301" s="23">
        <v>46126.43472222222</v>
      </c>
      <c r="G301" s="8" t="s">
        <v>1142</v>
      </c>
      <c r="H301" s="23">
        <v>46162</v>
      </c>
      <c r="I301" s="23">
        <v>46126.43472222222</v>
      </c>
      <c r="J301" s="10">
        <v>28.37</v>
      </c>
      <c r="K301" s="10">
        <v>0</v>
      </c>
      <c r="L301" s="24">
        <v>0</v>
      </c>
      <c r="M301" s="10">
        <v>28.37</v>
      </c>
    </row>
    <row r="302" spans="1:13" x14ac:dyDescent="0.25">
      <c r="A302" s="12" t="str">
        <f t="shared" si="8"/>
        <v>12798OCUPACIONAL MEDICINA DO TRABALHO LTDANSE46118</v>
      </c>
      <c r="B302" s="12" t="str">
        <f t="shared" si="9"/>
        <v>Junho</v>
      </c>
      <c r="C302" s="8" t="s">
        <v>703</v>
      </c>
      <c r="D302" s="8" t="s">
        <v>664</v>
      </c>
      <c r="E302" s="8" t="s">
        <v>142</v>
      </c>
      <c r="F302" s="23">
        <v>46118</v>
      </c>
      <c r="G302" s="8" t="s">
        <v>665</v>
      </c>
      <c r="H302" s="23">
        <v>46179</v>
      </c>
      <c r="I302" s="23">
        <v>46118</v>
      </c>
      <c r="J302" s="10">
        <v>610</v>
      </c>
      <c r="K302" s="10">
        <v>0</v>
      </c>
      <c r="L302" s="24">
        <v>0</v>
      </c>
      <c r="M302" s="10">
        <v>581.63</v>
      </c>
    </row>
    <row r="303" spans="1:13" x14ac:dyDescent="0.25">
      <c r="A303" s="12" t="str">
        <f t="shared" si="8"/>
        <v>12798-5952-87MINISTERIO DA FAZENDAIM46126,7173611111</v>
      </c>
      <c r="B303" s="12" t="str">
        <f t="shared" si="9"/>
        <v>Maio</v>
      </c>
      <c r="C303" s="8" t="s">
        <v>2426</v>
      </c>
      <c r="D303" s="8" t="s">
        <v>664</v>
      </c>
      <c r="E303" s="8" t="s">
        <v>1503</v>
      </c>
      <c r="F303" s="23">
        <v>46126.717361111114</v>
      </c>
      <c r="G303" s="8" t="s">
        <v>1142</v>
      </c>
      <c r="H303" s="23">
        <v>46162</v>
      </c>
      <c r="I303" s="23">
        <v>46126.717361111114</v>
      </c>
      <c r="J303" s="10">
        <v>28.37</v>
      </c>
      <c r="K303" s="10">
        <v>0</v>
      </c>
      <c r="L303" s="24">
        <v>0</v>
      </c>
      <c r="M303" s="10">
        <v>28.37</v>
      </c>
    </row>
    <row r="304" spans="1:13" x14ac:dyDescent="0.25">
      <c r="A304" s="12" t="str">
        <f t="shared" si="8"/>
        <v>128GSC AUTO CENTER E PECAS LTDANSE46104</v>
      </c>
      <c r="B304" s="12" t="str">
        <f t="shared" si="9"/>
        <v>Abril</v>
      </c>
      <c r="C304" s="8" t="s">
        <v>704</v>
      </c>
      <c r="D304" s="8" t="s">
        <v>1354</v>
      </c>
      <c r="E304" s="8" t="s">
        <v>77</v>
      </c>
      <c r="F304" s="23">
        <v>46104</v>
      </c>
      <c r="G304" s="8" t="s">
        <v>665</v>
      </c>
      <c r="H304" s="23">
        <v>46135</v>
      </c>
      <c r="I304" s="23">
        <v>46108</v>
      </c>
      <c r="J304" s="10">
        <v>140</v>
      </c>
      <c r="K304" s="10">
        <v>0</v>
      </c>
      <c r="L304" s="24">
        <v>0</v>
      </c>
      <c r="M304" s="10">
        <v>140</v>
      </c>
    </row>
    <row r="305" spans="1:13" x14ac:dyDescent="0.25">
      <c r="A305" s="12" t="str">
        <f t="shared" si="8"/>
        <v>13OTAVIO OLIVEIRA ALVESRCB46056,3888888889</v>
      </c>
      <c r="B305" s="12" t="str">
        <f t="shared" si="9"/>
        <v>Fevereiro</v>
      </c>
      <c r="C305" s="8" t="s">
        <v>705</v>
      </c>
      <c r="D305" s="8" t="s">
        <v>664</v>
      </c>
      <c r="E305" s="8" t="s">
        <v>1457</v>
      </c>
      <c r="F305" s="23">
        <v>46056.388888888891</v>
      </c>
      <c r="G305" s="8" t="s">
        <v>1045</v>
      </c>
      <c r="H305" s="23">
        <v>46059</v>
      </c>
      <c r="I305" s="23">
        <v>46056.388888888891</v>
      </c>
      <c r="J305" s="10">
        <v>120</v>
      </c>
      <c r="K305" s="10">
        <v>0</v>
      </c>
      <c r="L305" s="24">
        <v>0</v>
      </c>
      <c r="M305" s="10">
        <v>120</v>
      </c>
    </row>
    <row r="306" spans="1:13" x14ac:dyDescent="0.25">
      <c r="A306" s="12" t="str">
        <f t="shared" si="8"/>
        <v>13EDILSON RIBEIRO DA SILVARCB46056,45</v>
      </c>
      <c r="B306" s="12" t="str">
        <f t="shared" si="9"/>
        <v>Fevereiro</v>
      </c>
      <c r="C306" s="8" t="s">
        <v>705</v>
      </c>
      <c r="D306" s="8" t="s">
        <v>664</v>
      </c>
      <c r="E306" s="8" t="s">
        <v>56</v>
      </c>
      <c r="F306" s="23">
        <v>46056.45</v>
      </c>
      <c r="G306" s="8" t="s">
        <v>1045</v>
      </c>
      <c r="H306" s="23">
        <v>46059</v>
      </c>
      <c r="I306" s="23">
        <v>46056.45</v>
      </c>
      <c r="J306" s="10">
        <v>26.56</v>
      </c>
      <c r="K306" s="10">
        <v>0</v>
      </c>
      <c r="L306" s="24">
        <v>0</v>
      </c>
      <c r="M306" s="10">
        <v>26.56</v>
      </c>
    </row>
    <row r="307" spans="1:13" x14ac:dyDescent="0.25">
      <c r="A307" s="12" t="str">
        <f t="shared" si="8"/>
        <v>13GABRIEL MOUTINHO ALBINORCB46057,4020833333</v>
      </c>
      <c r="B307" s="12" t="str">
        <f t="shared" si="9"/>
        <v>Fevereiro</v>
      </c>
      <c r="C307" s="8" t="s">
        <v>705</v>
      </c>
      <c r="D307" s="8" t="s">
        <v>664</v>
      </c>
      <c r="E307" s="8" t="s">
        <v>73</v>
      </c>
      <c r="F307" s="23">
        <v>46057.402083333334</v>
      </c>
      <c r="G307" s="8" t="s">
        <v>1045</v>
      </c>
      <c r="H307" s="23">
        <v>46062</v>
      </c>
      <c r="I307" s="23">
        <v>46057.402083333334</v>
      </c>
      <c r="J307" s="10">
        <v>30</v>
      </c>
      <c r="K307" s="10">
        <v>0</v>
      </c>
      <c r="L307" s="24">
        <v>0</v>
      </c>
      <c r="M307" s="10">
        <v>30</v>
      </c>
    </row>
    <row r="308" spans="1:13" x14ac:dyDescent="0.25">
      <c r="A308" s="12" t="str">
        <f t="shared" si="8"/>
        <v>13VITOR SOUZA SILVARCB46063,4229166667</v>
      </c>
      <c r="B308" s="12" t="str">
        <f t="shared" si="9"/>
        <v>Fevereiro</v>
      </c>
      <c r="C308" s="8" t="s">
        <v>705</v>
      </c>
      <c r="D308" s="8" t="s">
        <v>664</v>
      </c>
      <c r="E308" s="8" t="s">
        <v>199</v>
      </c>
      <c r="F308" s="23">
        <v>46063.42291666667</v>
      </c>
      <c r="G308" s="8" t="s">
        <v>1045</v>
      </c>
      <c r="H308" s="23">
        <v>46066</v>
      </c>
      <c r="I308" s="23">
        <v>46063.42291666667</v>
      </c>
      <c r="J308" s="10">
        <v>14</v>
      </c>
      <c r="K308" s="10">
        <v>0</v>
      </c>
      <c r="L308" s="24">
        <v>0</v>
      </c>
      <c r="M308" s="10">
        <v>14</v>
      </c>
    </row>
    <row r="309" spans="1:13" x14ac:dyDescent="0.25">
      <c r="A309" s="12" t="str">
        <f t="shared" si="8"/>
        <v>13WALACE ROCHA DE SOUZARCB46076,3736111111</v>
      </c>
      <c r="B309" s="12" t="str">
        <f t="shared" si="9"/>
        <v>Fevereiro</v>
      </c>
      <c r="C309" s="8" t="s">
        <v>705</v>
      </c>
      <c r="D309" s="8" t="s">
        <v>664</v>
      </c>
      <c r="E309" s="8" t="s">
        <v>200</v>
      </c>
      <c r="F309" s="23">
        <v>46076.373611111114</v>
      </c>
      <c r="G309" s="8" t="s">
        <v>1045</v>
      </c>
      <c r="H309" s="23">
        <v>46079</v>
      </c>
      <c r="I309" s="23">
        <v>46076.373611111114</v>
      </c>
      <c r="J309" s="10">
        <v>60.06</v>
      </c>
      <c r="K309" s="10">
        <v>0</v>
      </c>
      <c r="L309" s="24">
        <v>0</v>
      </c>
      <c r="M309" s="10">
        <v>60.06</v>
      </c>
    </row>
    <row r="310" spans="1:13" x14ac:dyDescent="0.25">
      <c r="A310" s="12" t="str">
        <f t="shared" si="8"/>
        <v>13VANDIEGO MARQUES DA SILVA SANTOSRCB46078,4597222222</v>
      </c>
      <c r="B310" s="12" t="str">
        <f t="shared" si="9"/>
        <v>Março</v>
      </c>
      <c r="C310" s="8" t="s">
        <v>705</v>
      </c>
      <c r="D310" s="8" t="s">
        <v>664</v>
      </c>
      <c r="E310" s="8" t="s">
        <v>194</v>
      </c>
      <c r="F310" s="23">
        <v>46078.459722222222</v>
      </c>
      <c r="G310" s="8" t="s">
        <v>1045</v>
      </c>
      <c r="H310" s="23">
        <v>46083</v>
      </c>
      <c r="I310" s="23">
        <v>46078.459722222222</v>
      </c>
      <c r="J310" s="10">
        <v>50</v>
      </c>
      <c r="K310" s="10">
        <v>0</v>
      </c>
      <c r="L310" s="24">
        <v>0</v>
      </c>
      <c r="M310" s="10">
        <v>50</v>
      </c>
    </row>
    <row r="311" spans="1:13" x14ac:dyDescent="0.25">
      <c r="A311" s="12" t="str">
        <f t="shared" si="8"/>
        <v>13HIGOR RODNEY CIMINI DA COSTANSE46120</v>
      </c>
      <c r="B311" s="12" t="str">
        <f t="shared" si="9"/>
        <v>Maio</v>
      </c>
      <c r="C311" s="8" t="s">
        <v>705</v>
      </c>
      <c r="D311" s="8" t="s">
        <v>1354</v>
      </c>
      <c r="E311" s="8" t="s">
        <v>85</v>
      </c>
      <c r="F311" s="23">
        <v>46120</v>
      </c>
      <c r="G311" s="8" t="s">
        <v>665</v>
      </c>
      <c r="H311" s="23">
        <v>46148</v>
      </c>
      <c r="I311" s="23">
        <v>46120</v>
      </c>
      <c r="J311" s="10">
        <v>10380</v>
      </c>
      <c r="K311" s="10">
        <v>0</v>
      </c>
      <c r="L311" s="24">
        <v>0</v>
      </c>
      <c r="M311" s="10">
        <v>10172.4</v>
      </c>
    </row>
    <row r="312" spans="1:13" x14ac:dyDescent="0.25">
      <c r="A312" s="12" t="str">
        <f t="shared" si="8"/>
        <v>13FERNANDA SANTOS SOARESRCB46150,6020833333</v>
      </c>
      <c r="B312" s="12" t="str">
        <f t="shared" si="9"/>
        <v>Maio</v>
      </c>
      <c r="C312" s="8" t="s">
        <v>705</v>
      </c>
      <c r="D312" s="8" t="s">
        <v>664</v>
      </c>
      <c r="E312" s="8" t="s">
        <v>68</v>
      </c>
      <c r="F312" s="23">
        <v>46150.602083333331</v>
      </c>
      <c r="G312" s="8" t="s">
        <v>1045</v>
      </c>
      <c r="H312" s="23">
        <v>46155</v>
      </c>
      <c r="I312" s="23">
        <v>46150.602083333331</v>
      </c>
      <c r="J312" s="10">
        <v>148.85</v>
      </c>
      <c r="K312" s="10">
        <v>0</v>
      </c>
      <c r="L312" s="24">
        <v>0</v>
      </c>
      <c r="M312" s="10">
        <v>148.85</v>
      </c>
    </row>
    <row r="313" spans="1:13" x14ac:dyDescent="0.25">
      <c r="A313" s="12" t="str">
        <f t="shared" si="8"/>
        <v>13FERNANDO GONÇALVES DE SOUZARCB46153,7208333333</v>
      </c>
      <c r="B313" s="12" t="str">
        <f t="shared" si="9"/>
        <v>Maio</v>
      </c>
      <c r="C313" s="8" t="s">
        <v>705</v>
      </c>
      <c r="D313" s="8" t="s">
        <v>664</v>
      </c>
      <c r="E313" s="8" t="s">
        <v>1443</v>
      </c>
      <c r="F313" s="23">
        <v>46153.720833333333</v>
      </c>
      <c r="G313" s="8" t="s">
        <v>1045</v>
      </c>
      <c r="H313" s="23">
        <v>46156</v>
      </c>
      <c r="I313" s="23">
        <v>46153.720833333333</v>
      </c>
      <c r="J313" s="10">
        <v>11</v>
      </c>
      <c r="K313" s="10">
        <v>0</v>
      </c>
      <c r="L313" s="24">
        <v>0</v>
      </c>
      <c r="M313" s="10">
        <v>11</v>
      </c>
    </row>
    <row r="314" spans="1:13" x14ac:dyDescent="0.25">
      <c r="A314" s="12" t="str">
        <f t="shared" si="8"/>
        <v>13DANIELA CHAVES MARIANORCB46164,4951388889</v>
      </c>
      <c r="B314" s="12" t="str">
        <f t="shared" si="9"/>
        <v>Maio</v>
      </c>
      <c r="C314" s="8" t="s">
        <v>705</v>
      </c>
      <c r="D314" s="8" t="s">
        <v>664</v>
      </c>
      <c r="E314" s="8" t="s">
        <v>47</v>
      </c>
      <c r="F314" s="23">
        <v>46164.495138888888</v>
      </c>
      <c r="G314" s="8" t="s">
        <v>1045</v>
      </c>
      <c r="H314" s="23">
        <v>46169</v>
      </c>
      <c r="I314" s="23">
        <v>46164.495138888888</v>
      </c>
      <c r="J314" s="10">
        <v>35</v>
      </c>
      <c r="K314" s="10">
        <v>0</v>
      </c>
      <c r="L314" s="24">
        <v>0</v>
      </c>
      <c r="M314" s="10">
        <v>35</v>
      </c>
    </row>
    <row r="315" spans="1:13" x14ac:dyDescent="0.25">
      <c r="A315" s="12" t="str">
        <f t="shared" si="8"/>
        <v>13VALDECI TONIMRCB46168,3645833333</v>
      </c>
      <c r="B315" s="12" t="str">
        <f t="shared" si="9"/>
        <v>Maio</v>
      </c>
      <c r="C315" s="8" t="s">
        <v>705</v>
      </c>
      <c r="D315" s="8" t="s">
        <v>664</v>
      </c>
      <c r="E315" s="8" t="s">
        <v>193</v>
      </c>
      <c r="F315" s="23">
        <v>46168.364583333336</v>
      </c>
      <c r="G315" s="8" t="s">
        <v>1045</v>
      </c>
      <c r="H315" s="23">
        <v>46171</v>
      </c>
      <c r="I315" s="23">
        <v>46168.364583333336</v>
      </c>
      <c r="J315" s="10">
        <v>19.5</v>
      </c>
      <c r="K315" s="10">
        <v>0</v>
      </c>
      <c r="L315" s="24">
        <v>0</v>
      </c>
      <c r="M315" s="10">
        <v>19.5</v>
      </c>
    </row>
    <row r="316" spans="1:13" x14ac:dyDescent="0.25">
      <c r="A316" s="12" t="str">
        <f t="shared" si="8"/>
        <v>13ANTONIO SILVA DE SOUSARCB46170,4555555556</v>
      </c>
      <c r="B316" s="12" t="str">
        <f t="shared" si="9"/>
        <v>Junho</v>
      </c>
      <c r="C316" s="8" t="s">
        <v>705</v>
      </c>
      <c r="D316" s="8" t="s">
        <v>664</v>
      </c>
      <c r="E316" s="8" t="s">
        <v>20</v>
      </c>
      <c r="F316" s="23">
        <v>46170.455555555556</v>
      </c>
      <c r="G316" s="8" t="s">
        <v>1045</v>
      </c>
      <c r="H316" s="23">
        <v>46175</v>
      </c>
      <c r="I316" s="23">
        <v>46170.455555555556</v>
      </c>
      <c r="J316" s="10">
        <v>66</v>
      </c>
      <c r="K316" s="10">
        <v>0</v>
      </c>
      <c r="L316" s="24">
        <v>0</v>
      </c>
      <c r="M316" s="10">
        <v>66</v>
      </c>
    </row>
    <row r="317" spans="1:13" x14ac:dyDescent="0.25">
      <c r="A317" s="12" t="str">
        <f t="shared" si="8"/>
        <v>13WESLLEY FRANCO CALVISRCB46170,4388888889</v>
      </c>
      <c r="B317" s="12" t="str">
        <f t="shared" si="9"/>
        <v>Junho</v>
      </c>
      <c r="C317" s="8" t="s">
        <v>705</v>
      </c>
      <c r="D317" s="8" t="s">
        <v>664</v>
      </c>
      <c r="E317" s="8" t="s">
        <v>202</v>
      </c>
      <c r="F317" s="23">
        <v>46170.438888888886</v>
      </c>
      <c r="G317" s="8" t="s">
        <v>1045</v>
      </c>
      <c r="H317" s="23">
        <v>46175</v>
      </c>
      <c r="I317" s="23">
        <v>46170.438888888886</v>
      </c>
      <c r="J317" s="10">
        <v>60</v>
      </c>
      <c r="K317" s="10">
        <v>0</v>
      </c>
      <c r="L317" s="24">
        <v>0</v>
      </c>
      <c r="M317" s="10">
        <v>60</v>
      </c>
    </row>
    <row r="318" spans="1:13" x14ac:dyDescent="0.25">
      <c r="A318" s="12" t="str">
        <f t="shared" si="8"/>
        <v>13JESLEY WILLIAM MIRANDA DE SOUZARCB46195,6166666667</v>
      </c>
      <c r="B318" s="12" t="str">
        <f t="shared" si="9"/>
        <v>Junho</v>
      </c>
      <c r="C318" s="8" t="s">
        <v>705</v>
      </c>
      <c r="D318" s="8" t="s">
        <v>664</v>
      </c>
      <c r="E318" s="8" t="s">
        <v>90</v>
      </c>
      <c r="F318" s="23">
        <v>46195.616666666669</v>
      </c>
      <c r="G318" s="8" t="s">
        <v>1045</v>
      </c>
      <c r="H318" s="23">
        <v>46198</v>
      </c>
      <c r="I318" s="23">
        <v>46195.616666666669</v>
      </c>
      <c r="J318" s="10">
        <v>120</v>
      </c>
      <c r="K318" s="10">
        <v>0</v>
      </c>
      <c r="L318" s="24">
        <v>0</v>
      </c>
      <c r="M318" s="10">
        <v>120</v>
      </c>
    </row>
    <row r="319" spans="1:13" x14ac:dyDescent="0.25">
      <c r="A319" s="12" t="str">
        <f t="shared" si="8"/>
        <v>13RAFAEL RODRIGUESRCB46209,3826388889</v>
      </c>
      <c r="B319" s="12" t="str">
        <f t="shared" si="9"/>
        <v>Julho</v>
      </c>
      <c r="C319" s="8" t="s">
        <v>705</v>
      </c>
      <c r="D319" s="8" t="s">
        <v>664</v>
      </c>
      <c r="E319" s="8" t="s">
        <v>161</v>
      </c>
      <c r="F319" s="23">
        <v>46209.382638888892</v>
      </c>
      <c r="G319" s="8" t="s">
        <v>1045</v>
      </c>
      <c r="H319" s="23">
        <v>46212</v>
      </c>
      <c r="I319" s="23">
        <v>46209.382638888892</v>
      </c>
      <c r="J319" s="10">
        <v>100</v>
      </c>
      <c r="K319" s="10">
        <v>0</v>
      </c>
      <c r="L319" s="24">
        <v>0</v>
      </c>
      <c r="M319" s="10">
        <v>100</v>
      </c>
    </row>
    <row r="320" spans="1:13" x14ac:dyDescent="0.25">
      <c r="A320" s="12" t="str">
        <f t="shared" si="8"/>
        <v>13CORREIOS AGUA BRANCARCB46212,3652777778</v>
      </c>
      <c r="B320" s="12" t="str">
        <f t="shared" si="9"/>
        <v>Julho</v>
      </c>
      <c r="C320" s="8" t="s">
        <v>705</v>
      </c>
      <c r="D320" s="8" t="s">
        <v>664</v>
      </c>
      <c r="E320" s="8" t="s">
        <v>45</v>
      </c>
      <c r="F320" s="23">
        <v>46212.365277777775</v>
      </c>
      <c r="G320" s="8" t="s">
        <v>1045</v>
      </c>
      <c r="H320" s="23">
        <v>46218</v>
      </c>
      <c r="I320" s="23">
        <v>46212.365277777775</v>
      </c>
      <c r="J320" s="10">
        <v>158.65</v>
      </c>
      <c r="K320" s="10">
        <v>0</v>
      </c>
      <c r="L320" s="24">
        <v>0</v>
      </c>
      <c r="M320" s="10">
        <v>158.65</v>
      </c>
    </row>
    <row r="321" spans="1:13" x14ac:dyDescent="0.25">
      <c r="A321" s="12" t="str">
        <f t="shared" si="8"/>
        <v>13PAULO RICARDO SILVARCB46230,3986111111</v>
      </c>
      <c r="B321" s="12" t="str">
        <f t="shared" si="9"/>
        <v>Julho</v>
      </c>
      <c r="C321" s="8" t="s">
        <v>705</v>
      </c>
      <c r="D321" s="8" t="s">
        <v>664</v>
      </c>
      <c r="E321" s="8" t="s">
        <v>153</v>
      </c>
      <c r="F321" s="23">
        <v>46230.398611111108</v>
      </c>
      <c r="G321" s="8" t="s">
        <v>1045</v>
      </c>
      <c r="H321" s="23">
        <v>46233</v>
      </c>
      <c r="I321" s="23">
        <v>46230.398611111108</v>
      </c>
      <c r="J321" s="10">
        <v>11</v>
      </c>
      <c r="K321" s="10">
        <v>0</v>
      </c>
      <c r="L321" s="24">
        <v>0</v>
      </c>
      <c r="M321" s="10">
        <v>11</v>
      </c>
    </row>
    <row r="322" spans="1:13" x14ac:dyDescent="0.25">
      <c r="A322" s="12" t="str">
        <f t="shared" ref="A322:A385" si="10">$C322&amp;$E322&amp;$G322&amp;$F322</f>
        <v>13LEANDRO CARVALHO SILVARCB46231,3090277778</v>
      </c>
      <c r="B322" s="12" t="str">
        <f t="shared" si="9"/>
        <v>Julho</v>
      </c>
      <c r="C322" s="8" t="s">
        <v>705</v>
      </c>
      <c r="D322" s="8" t="s">
        <v>664</v>
      </c>
      <c r="E322" s="8" t="s">
        <v>107</v>
      </c>
      <c r="F322" s="23">
        <v>46231.309027777781</v>
      </c>
      <c r="G322" s="8" t="s">
        <v>1045</v>
      </c>
      <c r="H322" s="23">
        <v>46234</v>
      </c>
      <c r="I322" s="23">
        <v>46231.309027777781</v>
      </c>
      <c r="J322" s="10">
        <v>107.63</v>
      </c>
      <c r="K322" s="10">
        <v>0</v>
      </c>
      <c r="L322" s="24">
        <v>0</v>
      </c>
      <c r="M322" s="10">
        <v>107.63</v>
      </c>
    </row>
    <row r="323" spans="1:13" x14ac:dyDescent="0.25">
      <c r="A323" s="12" t="str">
        <f t="shared" si="10"/>
        <v>13RODOLFO GUILHERME BERNARDES NORBERTORCB46231,3118055556</v>
      </c>
      <c r="B323" s="12" t="str">
        <f t="shared" ref="B323:B386" si="11">PROPER(TEXT($H323,"MMMM"))</f>
        <v>Julho</v>
      </c>
      <c r="C323" s="8" t="s">
        <v>705</v>
      </c>
      <c r="D323" s="8" t="s">
        <v>664</v>
      </c>
      <c r="E323" s="8" t="s">
        <v>171</v>
      </c>
      <c r="F323" s="23">
        <v>46231.311805555553</v>
      </c>
      <c r="G323" s="8" t="s">
        <v>1045</v>
      </c>
      <c r="H323" s="23">
        <v>46234</v>
      </c>
      <c r="I323" s="23">
        <v>46231.311805555553</v>
      </c>
      <c r="J323" s="10">
        <v>100</v>
      </c>
      <c r="K323" s="10">
        <v>0</v>
      </c>
      <c r="L323" s="24">
        <v>0</v>
      </c>
      <c r="M323" s="10">
        <v>100</v>
      </c>
    </row>
    <row r="324" spans="1:13" x14ac:dyDescent="0.25">
      <c r="A324" s="12" t="str">
        <f t="shared" si="10"/>
        <v>13RODRIGO CORREARCB46234,3583333333</v>
      </c>
      <c r="B324" s="12" t="str">
        <f t="shared" si="11"/>
        <v>Agosto</v>
      </c>
      <c r="C324" s="8" t="s">
        <v>705</v>
      </c>
      <c r="D324" s="8" t="s">
        <v>664</v>
      </c>
      <c r="E324" s="8" t="s">
        <v>172</v>
      </c>
      <c r="F324" s="23">
        <v>46234.35833333333</v>
      </c>
      <c r="G324" s="8" t="s">
        <v>1045</v>
      </c>
      <c r="H324" s="23">
        <v>46239</v>
      </c>
      <c r="I324" s="23">
        <v>46234.35833333333</v>
      </c>
      <c r="J324" s="10">
        <v>120</v>
      </c>
      <c r="K324" s="10">
        <v>0</v>
      </c>
      <c r="L324" s="24">
        <v>0</v>
      </c>
      <c r="M324" s="10">
        <v>120</v>
      </c>
    </row>
    <row r="325" spans="1:13" x14ac:dyDescent="0.25">
      <c r="A325" s="12" t="str">
        <f t="shared" si="10"/>
        <v>13ANA PAULA DE ALMEIDA ARAUJORCB46296,68125</v>
      </c>
      <c r="B325" s="12" t="str">
        <f t="shared" si="11"/>
        <v>Outubro</v>
      </c>
      <c r="C325" s="8" t="s">
        <v>705</v>
      </c>
      <c r="D325" s="8" t="s">
        <v>664</v>
      </c>
      <c r="E325" s="8" t="s">
        <v>12</v>
      </c>
      <c r="F325" s="23">
        <v>46296.681250000001</v>
      </c>
      <c r="G325" s="8" t="s">
        <v>1045</v>
      </c>
      <c r="H325" s="23">
        <v>46301</v>
      </c>
      <c r="I325" s="23">
        <v>46296.681250000001</v>
      </c>
      <c r="J325" s="10">
        <v>40</v>
      </c>
      <c r="K325" s="10">
        <v>0</v>
      </c>
      <c r="L325" s="24">
        <v>0</v>
      </c>
      <c r="M325" s="10">
        <v>40</v>
      </c>
    </row>
    <row r="326" spans="1:13" x14ac:dyDescent="0.25">
      <c r="A326" s="12" t="str">
        <f t="shared" si="10"/>
        <v>1314087TRUCKS COM. E TEC. DE RASTREAD. COMUNICAÇÕES LTDANSE45999</v>
      </c>
      <c r="B326" s="12" t="str">
        <f t="shared" si="11"/>
        <v>Janeiro</v>
      </c>
      <c r="C326" s="8" t="s">
        <v>1381</v>
      </c>
      <c r="D326" s="8" t="s">
        <v>1354</v>
      </c>
      <c r="E326" s="8" t="s">
        <v>191</v>
      </c>
      <c r="F326" s="23">
        <v>45999</v>
      </c>
      <c r="G326" s="8" t="s">
        <v>665</v>
      </c>
      <c r="H326" s="23">
        <v>46028</v>
      </c>
      <c r="I326" s="23">
        <v>46001</v>
      </c>
      <c r="J326" s="10">
        <v>1479.93</v>
      </c>
      <c r="K326" s="10">
        <v>0</v>
      </c>
      <c r="L326" s="24">
        <v>0</v>
      </c>
      <c r="M326" s="10">
        <v>1479.93</v>
      </c>
    </row>
    <row r="327" spans="1:13" x14ac:dyDescent="0.25">
      <c r="A327" s="12" t="str">
        <f t="shared" si="10"/>
        <v>1318AVANSAT TECNOLOGIAS E SERVS EM SEGURANCA LTDANSE46269</v>
      </c>
      <c r="B327" s="12" t="str">
        <f t="shared" si="11"/>
        <v>Outubro</v>
      </c>
      <c r="C327" s="8" t="s">
        <v>706</v>
      </c>
      <c r="D327" s="8" t="s">
        <v>1354</v>
      </c>
      <c r="E327" s="8" t="s">
        <v>24</v>
      </c>
      <c r="F327" s="23">
        <v>46269</v>
      </c>
      <c r="G327" s="8" t="s">
        <v>665</v>
      </c>
      <c r="H327" s="23">
        <v>46301</v>
      </c>
      <c r="I327" s="23">
        <v>46273</v>
      </c>
      <c r="J327" s="10">
        <v>11929.32</v>
      </c>
      <c r="K327" s="10">
        <v>0</v>
      </c>
      <c r="L327" s="24">
        <v>0</v>
      </c>
      <c r="M327" s="10">
        <v>11929.32</v>
      </c>
    </row>
    <row r="328" spans="1:13" x14ac:dyDescent="0.25">
      <c r="A328" s="12" t="str">
        <f t="shared" si="10"/>
        <v>132OFICINA DO LOIRO PECAS E SERVICOS LTDANFS46181</v>
      </c>
      <c r="B328" s="12" t="str">
        <f t="shared" si="11"/>
        <v>Julho</v>
      </c>
      <c r="C328" s="8" t="s">
        <v>618</v>
      </c>
      <c r="D328" s="8" t="s">
        <v>1354</v>
      </c>
      <c r="E328" s="8" t="s">
        <v>143</v>
      </c>
      <c r="F328" s="23">
        <v>46181</v>
      </c>
      <c r="G328" s="8" t="s">
        <v>614</v>
      </c>
      <c r="H328" s="23">
        <v>46211</v>
      </c>
      <c r="I328" s="23">
        <v>46183</v>
      </c>
      <c r="J328" s="10">
        <v>220</v>
      </c>
      <c r="K328" s="10">
        <v>0</v>
      </c>
      <c r="L328" s="24">
        <v>0</v>
      </c>
      <c r="M328" s="10">
        <v>211.71</v>
      </c>
    </row>
    <row r="329" spans="1:13" x14ac:dyDescent="0.25">
      <c r="A329" s="12" t="str">
        <f t="shared" si="10"/>
        <v>132MECANICA CRISTO REI LTDANSE46241</v>
      </c>
      <c r="B329" s="12" t="str">
        <f t="shared" si="11"/>
        <v>Setembro</v>
      </c>
      <c r="C329" s="8" t="s">
        <v>618</v>
      </c>
      <c r="D329" s="8" t="s">
        <v>1354</v>
      </c>
      <c r="E329" s="8" t="s">
        <v>125</v>
      </c>
      <c r="F329" s="23">
        <v>46241</v>
      </c>
      <c r="G329" s="8" t="s">
        <v>665</v>
      </c>
      <c r="H329" s="23">
        <v>46271</v>
      </c>
      <c r="I329" s="23">
        <v>46245</v>
      </c>
      <c r="J329" s="10">
        <v>550</v>
      </c>
      <c r="K329" s="10">
        <v>0</v>
      </c>
      <c r="L329" s="24">
        <v>0</v>
      </c>
      <c r="M329" s="10">
        <v>550</v>
      </c>
    </row>
    <row r="330" spans="1:13" x14ac:dyDescent="0.25">
      <c r="A330" s="12" t="str">
        <f t="shared" si="10"/>
        <v>1320AVANSAT TECNOLOGIAS E SERVS EM SEGURANCA LTDANSE46269</v>
      </c>
      <c r="B330" s="12" t="str">
        <f t="shared" si="11"/>
        <v>Outubro</v>
      </c>
      <c r="C330" s="8" t="s">
        <v>707</v>
      </c>
      <c r="D330" s="8" t="s">
        <v>1354</v>
      </c>
      <c r="E330" s="8" t="s">
        <v>24</v>
      </c>
      <c r="F330" s="23">
        <v>46269</v>
      </c>
      <c r="G330" s="8" t="s">
        <v>665</v>
      </c>
      <c r="H330" s="23">
        <v>46301</v>
      </c>
      <c r="I330" s="23">
        <v>46273</v>
      </c>
      <c r="J330" s="10">
        <v>15679.65</v>
      </c>
      <c r="K330" s="10">
        <v>0</v>
      </c>
      <c r="L330" s="24">
        <v>0</v>
      </c>
      <c r="M330" s="10">
        <v>14715.35</v>
      </c>
    </row>
    <row r="331" spans="1:13" x14ac:dyDescent="0.25">
      <c r="A331" s="12" t="str">
        <f t="shared" si="10"/>
        <v>1321PATRICIA SOARES GERVASIONFE46212</v>
      </c>
      <c r="B331" s="12" t="str">
        <f t="shared" si="11"/>
        <v>Setembro</v>
      </c>
      <c r="C331" s="8" t="s">
        <v>406</v>
      </c>
      <c r="D331" s="8" t="s">
        <v>664</v>
      </c>
      <c r="E331" s="8" t="s">
        <v>149</v>
      </c>
      <c r="F331" s="23">
        <v>46212</v>
      </c>
      <c r="G331" s="8" t="s">
        <v>380</v>
      </c>
      <c r="H331" s="23">
        <v>46271</v>
      </c>
      <c r="I331" s="23">
        <v>46213</v>
      </c>
      <c r="J331" s="10">
        <v>3152.9</v>
      </c>
      <c r="K331" s="10">
        <v>0</v>
      </c>
      <c r="L331" s="24">
        <v>0</v>
      </c>
      <c r="M331" s="10">
        <v>3152.9</v>
      </c>
    </row>
    <row r="332" spans="1:13" x14ac:dyDescent="0.25">
      <c r="A332" s="12" t="str">
        <f t="shared" si="10"/>
        <v>134BETIM TACOGRAFO LTDANSE46038</v>
      </c>
      <c r="B332" s="12" t="str">
        <f t="shared" si="11"/>
        <v>Janeiro</v>
      </c>
      <c r="C332" s="8" t="s">
        <v>708</v>
      </c>
      <c r="D332" s="8" t="s">
        <v>1354</v>
      </c>
      <c r="E332" s="8" t="s">
        <v>26</v>
      </c>
      <c r="F332" s="23">
        <v>46038</v>
      </c>
      <c r="G332" s="8" t="s">
        <v>665</v>
      </c>
      <c r="H332" s="23">
        <v>46045</v>
      </c>
      <c r="I332" s="23">
        <v>46041</v>
      </c>
      <c r="J332" s="10">
        <v>80</v>
      </c>
      <c r="K332" s="10">
        <v>0</v>
      </c>
      <c r="L332" s="24">
        <v>0</v>
      </c>
      <c r="M332" s="10">
        <v>80</v>
      </c>
    </row>
    <row r="333" spans="1:13" x14ac:dyDescent="0.25">
      <c r="A333" s="12" t="str">
        <f t="shared" si="10"/>
        <v>134BH ACESSORIOS E PECAS LTDANSE46184</v>
      </c>
      <c r="B333" s="12" t="str">
        <f t="shared" si="11"/>
        <v>Julho</v>
      </c>
      <c r="C333" s="8" t="s">
        <v>708</v>
      </c>
      <c r="D333" s="8" t="s">
        <v>1354</v>
      </c>
      <c r="E333" s="8" t="s">
        <v>27</v>
      </c>
      <c r="F333" s="23">
        <v>46184</v>
      </c>
      <c r="G333" s="8" t="s">
        <v>665</v>
      </c>
      <c r="H333" s="23">
        <v>46209</v>
      </c>
      <c r="I333" s="23">
        <v>46188</v>
      </c>
      <c r="J333" s="10">
        <v>150</v>
      </c>
      <c r="K333" s="10">
        <v>0</v>
      </c>
      <c r="L333" s="24">
        <v>0</v>
      </c>
      <c r="M333" s="10">
        <v>150</v>
      </c>
    </row>
    <row r="334" spans="1:13" x14ac:dyDescent="0.25">
      <c r="A334" s="12" t="str">
        <f t="shared" si="10"/>
        <v>136OFICINA DO LOIRO PECAS E SERVICOS LTDANSE46184</v>
      </c>
      <c r="B334" s="12" t="str">
        <f t="shared" si="11"/>
        <v>Julho</v>
      </c>
      <c r="C334" s="8" t="s">
        <v>709</v>
      </c>
      <c r="D334" s="8" t="s">
        <v>1354</v>
      </c>
      <c r="E334" s="8" t="s">
        <v>143</v>
      </c>
      <c r="F334" s="23">
        <v>46184</v>
      </c>
      <c r="G334" s="8" t="s">
        <v>665</v>
      </c>
      <c r="H334" s="23">
        <v>46214</v>
      </c>
      <c r="I334" s="23">
        <v>46188</v>
      </c>
      <c r="J334" s="10">
        <v>905</v>
      </c>
      <c r="K334" s="10">
        <v>0</v>
      </c>
      <c r="L334" s="24">
        <v>0</v>
      </c>
      <c r="M334" s="10">
        <v>870.88</v>
      </c>
    </row>
    <row r="335" spans="1:13" x14ac:dyDescent="0.25">
      <c r="A335" s="12" t="str">
        <f t="shared" si="10"/>
        <v>136OFICINA DO LOIRO PECAS E SERVICOS LTDANSE46184</v>
      </c>
      <c r="B335" s="12" t="str">
        <f t="shared" si="11"/>
        <v>Agosto</v>
      </c>
      <c r="C335" s="8" t="s">
        <v>709</v>
      </c>
      <c r="D335" s="8" t="s">
        <v>1354</v>
      </c>
      <c r="E335" s="8" t="s">
        <v>143</v>
      </c>
      <c r="F335" s="23">
        <v>46184</v>
      </c>
      <c r="G335" s="8" t="s">
        <v>665</v>
      </c>
      <c r="H335" s="23">
        <v>46245</v>
      </c>
      <c r="I335" s="23">
        <v>46188</v>
      </c>
      <c r="J335" s="10">
        <v>905</v>
      </c>
      <c r="K335" s="10">
        <v>0</v>
      </c>
      <c r="L335" s="24">
        <v>0</v>
      </c>
      <c r="M335" s="10">
        <v>870.88</v>
      </c>
    </row>
    <row r="336" spans="1:13" x14ac:dyDescent="0.25">
      <c r="A336" s="12" t="str">
        <f t="shared" si="10"/>
        <v>136211GW PNEUS LTDANFE46097</v>
      </c>
      <c r="B336" s="12" t="str">
        <f t="shared" si="11"/>
        <v>Maio</v>
      </c>
      <c r="C336" s="8" t="s">
        <v>407</v>
      </c>
      <c r="D336" s="8" t="s">
        <v>2378</v>
      </c>
      <c r="E336" s="8" t="s">
        <v>80</v>
      </c>
      <c r="F336" s="23">
        <v>46097</v>
      </c>
      <c r="G336" s="8" t="s">
        <v>380</v>
      </c>
      <c r="H336" s="23">
        <v>46148</v>
      </c>
      <c r="I336" s="23">
        <v>46100</v>
      </c>
      <c r="J336" s="10">
        <v>4090</v>
      </c>
      <c r="K336" s="10">
        <v>0</v>
      </c>
      <c r="L336" s="24">
        <v>0</v>
      </c>
      <c r="M336" s="10">
        <v>4090</v>
      </c>
    </row>
    <row r="337" spans="1:13" x14ac:dyDescent="0.25">
      <c r="A337" s="12" t="str">
        <f t="shared" si="10"/>
        <v>136211GW PNEUS LTDANFE46097</v>
      </c>
      <c r="B337" s="12" t="str">
        <f t="shared" si="11"/>
        <v>Junho</v>
      </c>
      <c r="C337" s="8" t="s">
        <v>407</v>
      </c>
      <c r="D337" s="8" t="s">
        <v>2378</v>
      </c>
      <c r="E337" s="8" t="s">
        <v>80</v>
      </c>
      <c r="F337" s="23">
        <v>46097</v>
      </c>
      <c r="G337" s="8" t="s">
        <v>380</v>
      </c>
      <c r="H337" s="23">
        <v>46179</v>
      </c>
      <c r="I337" s="23">
        <v>46100</v>
      </c>
      <c r="J337" s="10">
        <v>4090</v>
      </c>
      <c r="K337" s="10">
        <v>0</v>
      </c>
      <c r="L337" s="24">
        <v>0</v>
      </c>
      <c r="M337" s="10">
        <v>4090</v>
      </c>
    </row>
    <row r="338" spans="1:13" x14ac:dyDescent="0.25">
      <c r="A338" s="12" t="str">
        <f t="shared" si="10"/>
        <v>136211GW PNEUS LTDANFE46097</v>
      </c>
      <c r="B338" s="12" t="str">
        <f t="shared" si="11"/>
        <v>Julho</v>
      </c>
      <c r="C338" s="8" t="s">
        <v>407</v>
      </c>
      <c r="D338" s="8" t="s">
        <v>2378</v>
      </c>
      <c r="E338" s="8" t="s">
        <v>80</v>
      </c>
      <c r="F338" s="23">
        <v>46097</v>
      </c>
      <c r="G338" s="8" t="s">
        <v>380</v>
      </c>
      <c r="H338" s="23">
        <v>46209</v>
      </c>
      <c r="I338" s="23">
        <v>46100</v>
      </c>
      <c r="J338" s="10">
        <v>4090</v>
      </c>
      <c r="K338" s="10">
        <v>0</v>
      </c>
      <c r="L338" s="24">
        <v>0</v>
      </c>
      <c r="M338" s="10">
        <v>4090</v>
      </c>
    </row>
    <row r="339" spans="1:13" x14ac:dyDescent="0.25">
      <c r="A339" s="12" t="str">
        <f t="shared" si="10"/>
        <v>136578GW PNEUS LTDANFE46139</v>
      </c>
      <c r="B339" s="12" t="str">
        <f t="shared" si="11"/>
        <v>Junho</v>
      </c>
      <c r="C339" s="8" t="s">
        <v>409</v>
      </c>
      <c r="D339" s="8" t="s">
        <v>2378</v>
      </c>
      <c r="E339" s="8" t="s">
        <v>80</v>
      </c>
      <c r="F339" s="23">
        <v>46139</v>
      </c>
      <c r="G339" s="8" t="s">
        <v>380</v>
      </c>
      <c r="H339" s="23">
        <v>46179</v>
      </c>
      <c r="I339" s="23">
        <v>46142</v>
      </c>
      <c r="J339" s="10">
        <v>4278</v>
      </c>
      <c r="K339" s="10">
        <v>0</v>
      </c>
      <c r="L339" s="24">
        <v>0</v>
      </c>
      <c r="M339" s="10">
        <v>4278</v>
      </c>
    </row>
    <row r="340" spans="1:13" x14ac:dyDescent="0.25">
      <c r="A340" s="12" t="str">
        <f t="shared" si="10"/>
        <v>136578GW PNEUS LTDANFE46139</v>
      </c>
      <c r="B340" s="12" t="str">
        <f t="shared" si="11"/>
        <v>Julho</v>
      </c>
      <c r="C340" s="8" t="s">
        <v>409</v>
      </c>
      <c r="D340" s="8" t="s">
        <v>2378</v>
      </c>
      <c r="E340" s="8" t="s">
        <v>80</v>
      </c>
      <c r="F340" s="23">
        <v>46139</v>
      </c>
      <c r="G340" s="8" t="s">
        <v>380</v>
      </c>
      <c r="H340" s="23">
        <v>46209</v>
      </c>
      <c r="I340" s="23">
        <v>46142</v>
      </c>
      <c r="J340" s="10">
        <v>4278</v>
      </c>
      <c r="K340" s="10">
        <v>0</v>
      </c>
      <c r="L340" s="24">
        <v>0</v>
      </c>
      <c r="M340" s="10">
        <v>4278</v>
      </c>
    </row>
    <row r="341" spans="1:13" x14ac:dyDescent="0.25">
      <c r="A341" s="12" t="str">
        <f t="shared" si="10"/>
        <v>136578GW PNEUS LTDANFE46139</v>
      </c>
      <c r="B341" s="12" t="str">
        <f t="shared" si="11"/>
        <v>Agosto</v>
      </c>
      <c r="C341" s="8" t="s">
        <v>409</v>
      </c>
      <c r="D341" s="8" t="s">
        <v>2378</v>
      </c>
      <c r="E341" s="8" t="s">
        <v>80</v>
      </c>
      <c r="F341" s="23">
        <v>46139</v>
      </c>
      <c r="G341" s="8" t="s">
        <v>380</v>
      </c>
      <c r="H341" s="23">
        <v>46240</v>
      </c>
      <c r="I341" s="23">
        <v>46142</v>
      </c>
      <c r="J341" s="10">
        <v>4278</v>
      </c>
      <c r="K341" s="10">
        <v>0</v>
      </c>
      <c r="L341" s="24">
        <v>0</v>
      </c>
      <c r="M341" s="10">
        <v>4278</v>
      </c>
    </row>
    <row r="342" spans="1:13" x14ac:dyDescent="0.25">
      <c r="A342" s="12" t="str">
        <f t="shared" si="10"/>
        <v>137OFICINA DO LOIRO PECAS E SERVICOS LTDANSE46184</v>
      </c>
      <c r="B342" s="12" t="str">
        <f t="shared" si="11"/>
        <v>Julho</v>
      </c>
      <c r="C342" s="8" t="s">
        <v>710</v>
      </c>
      <c r="D342" s="8" t="s">
        <v>1354</v>
      </c>
      <c r="E342" s="8" t="s">
        <v>143</v>
      </c>
      <c r="F342" s="23">
        <v>46184</v>
      </c>
      <c r="G342" s="8" t="s">
        <v>665</v>
      </c>
      <c r="H342" s="23">
        <v>46214</v>
      </c>
      <c r="I342" s="23">
        <v>46188</v>
      </c>
      <c r="J342" s="10">
        <v>885</v>
      </c>
      <c r="K342" s="10">
        <v>0</v>
      </c>
      <c r="L342" s="24">
        <v>0</v>
      </c>
      <c r="M342" s="10">
        <v>851.63</v>
      </c>
    </row>
    <row r="343" spans="1:13" x14ac:dyDescent="0.25">
      <c r="A343" s="12" t="str">
        <f t="shared" si="10"/>
        <v>137OFICINA DO LOIRO PECAS E SERVICOS LTDANSE46184</v>
      </c>
      <c r="B343" s="12" t="str">
        <f t="shared" si="11"/>
        <v>Agosto</v>
      </c>
      <c r="C343" s="8" t="s">
        <v>710</v>
      </c>
      <c r="D343" s="8" t="s">
        <v>1354</v>
      </c>
      <c r="E343" s="8" t="s">
        <v>143</v>
      </c>
      <c r="F343" s="23">
        <v>46184</v>
      </c>
      <c r="G343" s="8" t="s">
        <v>665</v>
      </c>
      <c r="H343" s="23">
        <v>46245</v>
      </c>
      <c r="I343" s="23">
        <v>46188</v>
      </c>
      <c r="J343" s="10">
        <v>885</v>
      </c>
      <c r="K343" s="10">
        <v>0</v>
      </c>
      <c r="L343" s="24">
        <v>0</v>
      </c>
      <c r="M343" s="10">
        <v>851.64</v>
      </c>
    </row>
    <row r="344" spans="1:13" x14ac:dyDescent="0.25">
      <c r="A344" s="12" t="str">
        <f t="shared" si="10"/>
        <v>1376ROCHA POMBO ANDRADE E CAPETTI ADVOGADOS (FERNANDO CARNEIRO)NSE46135</v>
      </c>
      <c r="B344" s="12" t="str">
        <f t="shared" si="11"/>
        <v>Maio</v>
      </c>
      <c r="C344" s="8" t="s">
        <v>712</v>
      </c>
      <c r="D344" s="8" t="s">
        <v>664</v>
      </c>
      <c r="E344" s="8" t="s">
        <v>169</v>
      </c>
      <c r="F344" s="23">
        <v>46135</v>
      </c>
      <c r="G344" s="8" t="s">
        <v>665</v>
      </c>
      <c r="H344" s="23">
        <v>46162</v>
      </c>
      <c r="I344" s="23">
        <v>46135</v>
      </c>
      <c r="J344" s="10">
        <v>1400</v>
      </c>
      <c r="K344" s="10">
        <v>0</v>
      </c>
      <c r="L344" s="24">
        <v>0</v>
      </c>
      <c r="M344" s="10">
        <v>1313.9</v>
      </c>
    </row>
    <row r="345" spans="1:13" x14ac:dyDescent="0.25">
      <c r="A345" s="12" t="str">
        <f t="shared" si="10"/>
        <v>1376-1708-87MINISTERIO DA FAZENDAIM46148,4847222222</v>
      </c>
      <c r="B345" s="12" t="str">
        <f t="shared" si="11"/>
        <v>Maio</v>
      </c>
      <c r="C345" s="8" t="s">
        <v>2427</v>
      </c>
      <c r="D345" s="8" t="s">
        <v>664</v>
      </c>
      <c r="E345" s="8" t="s">
        <v>1503</v>
      </c>
      <c r="F345" s="23">
        <v>46148.484722222223</v>
      </c>
      <c r="G345" s="8" t="s">
        <v>1142</v>
      </c>
      <c r="H345" s="23">
        <v>46162</v>
      </c>
      <c r="I345" s="23">
        <v>46148.484722222223</v>
      </c>
      <c r="J345" s="10">
        <v>21</v>
      </c>
      <c r="K345" s="10">
        <v>0</v>
      </c>
      <c r="L345" s="24">
        <v>0</v>
      </c>
      <c r="M345" s="10">
        <v>21</v>
      </c>
    </row>
    <row r="346" spans="1:13" x14ac:dyDescent="0.25">
      <c r="A346" s="12" t="str">
        <f t="shared" si="10"/>
        <v>1376-5952-87MINISTERIO DA FAZENDAIM46148,4854166667</v>
      </c>
      <c r="B346" s="12" t="str">
        <f t="shared" si="11"/>
        <v>Maio</v>
      </c>
      <c r="C346" s="8" t="s">
        <v>2428</v>
      </c>
      <c r="D346" s="8" t="s">
        <v>664</v>
      </c>
      <c r="E346" s="8" t="s">
        <v>1503</v>
      </c>
      <c r="F346" s="23">
        <v>46148.48541666667</v>
      </c>
      <c r="G346" s="8" t="s">
        <v>1142</v>
      </c>
      <c r="H346" s="23">
        <v>46162</v>
      </c>
      <c r="I346" s="23">
        <v>46148.48541666667</v>
      </c>
      <c r="J346" s="10">
        <v>65.099999999999994</v>
      </c>
      <c r="K346" s="10">
        <v>0</v>
      </c>
      <c r="L346" s="24">
        <v>0</v>
      </c>
      <c r="M346" s="10">
        <v>65.099999999999994</v>
      </c>
    </row>
    <row r="347" spans="1:13" x14ac:dyDescent="0.25">
      <c r="A347" s="12" t="str">
        <f t="shared" si="10"/>
        <v>138ZAMBALDI AUTO CENTER LTDANSE46216</v>
      </c>
      <c r="B347" s="12" t="str">
        <f t="shared" si="11"/>
        <v>Agosto</v>
      </c>
      <c r="C347" s="8" t="s">
        <v>713</v>
      </c>
      <c r="D347" s="8" t="s">
        <v>1354</v>
      </c>
      <c r="E347" s="8" t="s">
        <v>204</v>
      </c>
      <c r="F347" s="23">
        <v>46216</v>
      </c>
      <c r="G347" s="8" t="s">
        <v>665</v>
      </c>
      <c r="H347" s="23">
        <v>46247</v>
      </c>
      <c r="I347" s="23">
        <v>46219</v>
      </c>
      <c r="J347" s="10">
        <v>345</v>
      </c>
      <c r="K347" s="10">
        <v>0</v>
      </c>
      <c r="L347" s="24">
        <v>0</v>
      </c>
      <c r="M347" s="10">
        <v>338.1</v>
      </c>
    </row>
    <row r="348" spans="1:13" x14ac:dyDescent="0.25">
      <c r="A348" s="12" t="str">
        <f t="shared" si="10"/>
        <v>138290RG PNEUS LTDANFE45957</v>
      </c>
      <c r="B348" s="12" t="str">
        <f t="shared" si="11"/>
        <v>Janeiro</v>
      </c>
      <c r="C348" s="8" t="s">
        <v>1590</v>
      </c>
      <c r="D348" s="8" t="s">
        <v>1591</v>
      </c>
      <c r="E348" s="8" t="s">
        <v>167</v>
      </c>
      <c r="F348" s="23">
        <v>45957</v>
      </c>
      <c r="G348" s="8" t="s">
        <v>380</v>
      </c>
      <c r="H348" s="23">
        <v>46041</v>
      </c>
      <c r="I348" s="23">
        <v>45965</v>
      </c>
      <c r="J348" s="10">
        <v>1160.6600000000001</v>
      </c>
      <c r="K348" s="10">
        <v>0</v>
      </c>
      <c r="L348" s="24">
        <v>0</v>
      </c>
      <c r="M348" s="10">
        <v>1160.6600000000001</v>
      </c>
    </row>
    <row r="349" spans="1:13" x14ac:dyDescent="0.25">
      <c r="A349" s="12" t="str">
        <f t="shared" si="10"/>
        <v>1393AVANSAT TECNOLOGIAS E SERVS EM SEGURANCA LTDAFT45994</v>
      </c>
      <c r="B349" s="12" t="str">
        <f t="shared" si="11"/>
        <v>Janeiro</v>
      </c>
      <c r="C349" s="8" t="s">
        <v>1391</v>
      </c>
      <c r="D349" s="8" t="s">
        <v>1354</v>
      </c>
      <c r="E349" s="8" t="s">
        <v>24</v>
      </c>
      <c r="F349" s="23">
        <v>45994</v>
      </c>
      <c r="G349" s="8" t="s">
        <v>232</v>
      </c>
      <c r="H349" s="23">
        <v>46028</v>
      </c>
      <c r="I349" s="23">
        <v>45995</v>
      </c>
      <c r="J349" s="10">
        <v>59176.89</v>
      </c>
      <c r="K349" s="10">
        <v>0</v>
      </c>
      <c r="L349" s="24">
        <v>0</v>
      </c>
      <c r="M349" s="10">
        <v>59176.89</v>
      </c>
    </row>
    <row r="350" spans="1:13" x14ac:dyDescent="0.25">
      <c r="A350" s="12" t="str">
        <f t="shared" si="10"/>
        <v>14MGS PRINTERNSE45986</v>
      </c>
      <c r="B350" s="12" t="str">
        <f t="shared" si="11"/>
        <v>Janeiro</v>
      </c>
      <c r="C350" s="8" t="s">
        <v>714</v>
      </c>
      <c r="D350" s="8" t="s">
        <v>664</v>
      </c>
      <c r="E350" s="8" t="s">
        <v>128</v>
      </c>
      <c r="F350" s="23">
        <v>45986</v>
      </c>
      <c r="G350" s="8" t="s">
        <v>665</v>
      </c>
      <c r="H350" s="23">
        <v>46028</v>
      </c>
      <c r="I350" s="23">
        <v>45987</v>
      </c>
      <c r="J350" s="10">
        <v>446.55</v>
      </c>
      <c r="K350" s="10">
        <v>0</v>
      </c>
      <c r="L350" s="24">
        <v>0</v>
      </c>
      <c r="M350" s="10">
        <v>446.55</v>
      </c>
    </row>
    <row r="351" spans="1:13" x14ac:dyDescent="0.25">
      <c r="A351" s="12" t="str">
        <f t="shared" si="10"/>
        <v>14GUSTAVO HENRIQUE DE SOUZA BARBOSARCB46034,44375</v>
      </c>
      <c r="B351" s="12" t="str">
        <f t="shared" si="11"/>
        <v>Janeiro</v>
      </c>
      <c r="C351" s="8" t="s">
        <v>714</v>
      </c>
      <c r="D351" s="8" t="s">
        <v>664</v>
      </c>
      <c r="E351" s="8" t="s">
        <v>79</v>
      </c>
      <c r="F351" s="23">
        <v>46034.443749999999</v>
      </c>
      <c r="G351" s="8" t="s">
        <v>1045</v>
      </c>
      <c r="H351" s="23">
        <v>46037</v>
      </c>
      <c r="I351" s="23">
        <v>46034.443749999999</v>
      </c>
      <c r="J351" s="10">
        <v>70</v>
      </c>
      <c r="K351" s="10">
        <v>0</v>
      </c>
      <c r="L351" s="24">
        <v>0</v>
      </c>
      <c r="M351" s="10">
        <v>70</v>
      </c>
    </row>
    <row r="352" spans="1:13" x14ac:dyDescent="0.25">
      <c r="A352" s="12" t="str">
        <f t="shared" si="10"/>
        <v>14EDILSON RIBEIRO DA SILVARCB46063,6784722222</v>
      </c>
      <c r="B352" s="12" t="str">
        <f t="shared" si="11"/>
        <v>Fevereiro</v>
      </c>
      <c r="C352" s="8" t="s">
        <v>714</v>
      </c>
      <c r="D352" s="8" t="s">
        <v>664</v>
      </c>
      <c r="E352" s="8" t="s">
        <v>56</v>
      </c>
      <c r="F352" s="23">
        <v>46063.678472222222</v>
      </c>
      <c r="G352" s="8" t="s">
        <v>1045</v>
      </c>
      <c r="H352" s="23">
        <v>46066</v>
      </c>
      <c r="I352" s="23">
        <v>46063.678472222222</v>
      </c>
      <c r="J352" s="10">
        <v>70</v>
      </c>
      <c r="K352" s="10">
        <v>0</v>
      </c>
      <c r="L352" s="24">
        <v>0</v>
      </c>
      <c r="M352" s="10">
        <v>70</v>
      </c>
    </row>
    <row r="353" spans="1:13" x14ac:dyDescent="0.25">
      <c r="A353" s="12" t="str">
        <f t="shared" si="10"/>
        <v>14ZAMBALDI AUTO CENTER LTDANSE46036</v>
      </c>
      <c r="B353" s="12" t="str">
        <f t="shared" si="11"/>
        <v>Fevereiro</v>
      </c>
      <c r="C353" s="8" t="s">
        <v>714</v>
      </c>
      <c r="D353" s="8" t="s">
        <v>1354</v>
      </c>
      <c r="E353" s="8" t="s">
        <v>204</v>
      </c>
      <c r="F353" s="23">
        <v>46036</v>
      </c>
      <c r="G353" s="8" t="s">
        <v>665</v>
      </c>
      <c r="H353" s="23">
        <v>46067</v>
      </c>
      <c r="I353" s="23">
        <v>46037</v>
      </c>
      <c r="J353" s="10">
        <v>150</v>
      </c>
      <c r="K353" s="10">
        <v>0</v>
      </c>
      <c r="L353" s="24">
        <v>0</v>
      </c>
      <c r="M353" s="10">
        <v>150</v>
      </c>
    </row>
    <row r="354" spans="1:13" x14ac:dyDescent="0.25">
      <c r="A354" s="12" t="str">
        <f t="shared" si="10"/>
        <v>14VITOR SOUZA SILVARCB46077,4361111111</v>
      </c>
      <c r="B354" s="12" t="str">
        <f t="shared" si="11"/>
        <v>Fevereiro</v>
      </c>
      <c r="C354" s="8" t="s">
        <v>714</v>
      </c>
      <c r="D354" s="8" t="s">
        <v>664</v>
      </c>
      <c r="E354" s="8" t="s">
        <v>199</v>
      </c>
      <c r="F354" s="23">
        <v>46077.436111111114</v>
      </c>
      <c r="G354" s="8" t="s">
        <v>1045</v>
      </c>
      <c r="H354" s="23">
        <v>46080</v>
      </c>
      <c r="I354" s="23">
        <v>46077.436111111114</v>
      </c>
      <c r="J354" s="10">
        <v>32.200000000000003</v>
      </c>
      <c r="K354" s="10">
        <v>0</v>
      </c>
      <c r="L354" s="24">
        <v>0</v>
      </c>
      <c r="M354" s="10">
        <v>32.200000000000003</v>
      </c>
    </row>
    <row r="355" spans="1:13" x14ac:dyDescent="0.25">
      <c r="A355" s="12" t="str">
        <f t="shared" si="10"/>
        <v>14WALACE ROCHA DE SOUZARCB46085,525</v>
      </c>
      <c r="B355" s="12" t="str">
        <f t="shared" si="11"/>
        <v>Março</v>
      </c>
      <c r="C355" s="8" t="s">
        <v>714</v>
      </c>
      <c r="D355" s="8" t="s">
        <v>664</v>
      </c>
      <c r="E355" s="8" t="s">
        <v>200</v>
      </c>
      <c r="F355" s="23">
        <v>46085.525000000001</v>
      </c>
      <c r="G355" s="8" t="s">
        <v>1045</v>
      </c>
      <c r="H355" s="23">
        <v>46091</v>
      </c>
      <c r="I355" s="23">
        <v>46085.525000000001</v>
      </c>
      <c r="J355" s="10">
        <v>40</v>
      </c>
      <c r="K355" s="10">
        <v>0</v>
      </c>
      <c r="L355" s="24">
        <v>0</v>
      </c>
      <c r="M355" s="10">
        <v>40</v>
      </c>
    </row>
    <row r="356" spans="1:13" x14ac:dyDescent="0.25">
      <c r="A356" s="12" t="str">
        <f t="shared" si="10"/>
        <v>14GABRIEL MOUTINHO ALBINORCB46090,4006944444</v>
      </c>
      <c r="B356" s="12" t="str">
        <f t="shared" si="11"/>
        <v>Março</v>
      </c>
      <c r="C356" s="8" t="s">
        <v>714</v>
      </c>
      <c r="D356" s="8" t="s">
        <v>664</v>
      </c>
      <c r="E356" s="8" t="s">
        <v>73</v>
      </c>
      <c r="F356" s="23">
        <v>46090.400694444441</v>
      </c>
      <c r="G356" s="8" t="s">
        <v>1045</v>
      </c>
      <c r="H356" s="23">
        <v>46093</v>
      </c>
      <c r="I356" s="23">
        <v>46090.400694444441</v>
      </c>
      <c r="J356" s="10">
        <v>395</v>
      </c>
      <c r="K356" s="10">
        <v>0</v>
      </c>
      <c r="L356" s="24">
        <v>0</v>
      </c>
      <c r="M356" s="10">
        <v>395</v>
      </c>
    </row>
    <row r="357" spans="1:13" x14ac:dyDescent="0.25">
      <c r="A357" s="12" t="str">
        <f t="shared" si="10"/>
        <v>14VANDIEGO MARQUES DA SILVA SANTOSRCB46097,6708333333</v>
      </c>
      <c r="B357" s="12" t="str">
        <f t="shared" si="11"/>
        <v>Março</v>
      </c>
      <c r="C357" s="8" t="s">
        <v>714</v>
      </c>
      <c r="D357" s="8" t="s">
        <v>664</v>
      </c>
      <c r="E357" s="8" t="s">
        <v>194</v>
      </c>
      <c r="F357" s="23">
        <v>46097.67083333333</v>
      </c>
      <c r="G357" s="8" t="s">
        <v>1045</v>
      </c>
      <c r="H357" s="23">
        <v>46100</v>
      </c>
      <c r="I357" s="23">
        <v>46097.67083333333</v>
      </c>
      <c r="J357" s="10">
        <v>60</v>
      </c>
      <c r="K357" s="10">
        <v>0</v>
      </c>
      <c r="L357" s="24">
        <v>0</v>
      </c>
      <c r="M357" s="10">
        <v>60</v>
      </c>
    </row>
    <row r="358" spans="1:13" x14ac:dyDescent="0.25">
      <c r="A358" s="12" t="str">
        <f t="shared" si="10"/>
        <v>14OTAVIO OLIVEIRA ALVESRCB46105,6215277778</v>
      </c>
      <c r="B358" s="12" t="str">
        <f t="shared" si="11"/>
        <v>Março</v>
      </c>
      <c r="C358" s="8" t="s">
        <v>714</v>
      </c>
      <c r="D358" s="8" t="s">
        <v>664</v>
      </c>
      <c r="E358" s="8" t="s">
        <v>1457</v>
      </c>
      <c r="F358" s="23">
        <v>46105.621527777781</v>
      </c>
      <c r="G358" s="8" t="s">
        <v>1045</v>
      </c>
      <c r="H358" s="23">
        <v>46108</v>
      </c>
      <c r="I358" s="23">
        <v>46105.621527777781</v>
      </c>
      <c r="J358" s="10">
        <v>320</v>
      </c>
      <c r="K358" s="10">
        <v>0</v>
      </c>
      <c r="L358" s="24">
        <v>0</v>
      </c>
      <c r="M358" s="10">
        <v>320</v>
      </c>
    </row>
    <row r="359" spans="1:13" x14ac:dyDescent="0.25">
      <c r="A359" s="12" t="str">
        <f t="shared" si="10"/>
        <v>14FERNANDA SANTOS SOARESRCB46156,5826388889</v>
      </c>
      <c r="B359" s="12" t="str">
        <f t="shared" si="11"/>
        <v>Maio</v>
      </c>
      <c r="C359" s="8" t="s">
        <v>714</v>
      </c>
      <c r="D359" s="8" t="s">
        <v>664</v>
      </c>
      <c r="E359" s="8" t="s">
        <v>68</v>
      </c>
      <c r="F359" s="23">
        <v>46156.582638888889</v>
      </c>
      <c r="G359" s="8" t="s">
        <v>1045</v>
      </c>
      <c r="H359" s="23">
        <v>46161</v>
      </c>
      <c r="I359" s="23">
        <v>46156.582638888889</v>
      </c>
      <c r="J359" s="10">
        <v>60.1</v>
      </c>
      <c r="K359" s="10">
        <v>0</v>
      </c>
      <c r="L359" s="24">
        <v>0</v>
      </c>
      <c r="M359" s="10">
        <v>60.1</v>
      </c>
    </row>
    <row r="360" spans="1:13" x14ac:dyDescent="0.25">
      <c r="A360" s="12" t="str">
        <f t="shared" si="10"/>
        <v>14VALDECI TONIMRCB46170,4395833333</v>
      </c>
      <c r="B360" s="12" t="str">
        <f t="shared" si="11"/>
        <v>Junho</v>
      </c>
      <c r="C360" s="8" t="s">
        <v>714</v>
      </c>
      <c r="D360" s="8" t="s">
        <v>664</v>
      </c>
      <c r="E360" s="8" t="s">
        <v>193</v>
      </c>
      <c r="F360" s="23">
        <v>46170.439583333333</v>
      </c>
      <c r="G360" s="8" t="s">
        <v>1045</v>
      </c>
      <c r="H360" s="23">
        <v>46175</v>
      </c>
      <c r="I360" s="23">
        <v>46170.439583333333</v>
      </c>
      <c r="J360" s="10">
        <v>50</v>
      </c>
      <c r="K360" s="10">
        <v>0</v>
      </c>
      <c r="L360" s="24">
        <v>0</v>
      </c>
      <c r="M360" s="10">
        <v>50</v>
      </c>
    </row>
    <row r="361" spans="1:13" x14ac:dyDescent="0.25">
      <c r="A361" s="12" t="str">
        <f t="shared" si="10"/>
        <v>14ANTONIO SILVA DE SOUSARCB46171,48125</v>
      </c>
      <c r="B361" s="12" t="str">
        <f t="shared" si="11"/>
        <v>Junho</v>
      </c>
      <c r="C361" s="8" t="s">
        <v>714</v>
      </c>
      <c r="D361" s="8" t="s">
        <v>664</v>
      </c>
      <c r="E361" s="8" t="s">
        <v>20</v>
      </c>
      <c r="F361" s="23">
        <v>46171.481249999997</v>
      </c>
      <c r="G361" s="8" t="s">
        <v>1045</v>
      </c>
      <c r="H361" s="23">
        <v>46176</v>
      </c>
      <c r="I361" s="23">
        <v>46171.481249999997</v>
      </c>
      <c r="J361" s="10">
        <v>100</v>
      </c>
      <c r="K361" s="10">
        <v>0</v>
      </c>
      <c r="L361" s="24">
        <v>0</v>
      </c>
      <c r="M361" s="10">
        <v>100</v>
      </c>
    </row>
    <row r="362" spans="1:13" x14ac:dyDescent="0.25">
      <c r="A362" s="12" t="str">
        <f t="shared" si="10"/>
        <v>14DANIELA CHAVES MARIANORCB46175,4944444444</v>
      </c>
      <c r="B362" s="12" t="str">
        <f t="shared" si="11"/>
        <v>Junho</v>
      </c>
      <c r="C362" s="8" t="s">
        <v>714</v>
      </c>
      <c r="D362" s="8" t="s">
        <v>664</v>
      </c>
      <c r="E362" s="8" t="s">
        <v>47</v>
      </c>
      <c r="F362" s="23">
        <v>46175.494444444441</v>
      </c>
      <c r="G362" s="8" t="s">
        <v>1045</v>
      </c>
      <c r="H362" s="23">
        <v>46178</v>
      </c>
      <c r="I362" s="23">
        <v>46175.494444444441</v>
      </c>
      <c r="J362" s="10">
        <v>19.2</v>
      </c>
      <c r="K362" s="10">
        <v>0</v>
      </c>
      <c r="L362" s="24">
        <v>0</v>
      </c>
      <c r="M362" s="10">
        <v>19.2</v>
      </c>
    </row>
    <row r="363" spans="1:13" x14ac:dyDescent="0.25">
      <c r="A363" s="12" t="str">
        <f t="shared" si="10"/>
        <v>14WESLLEY FRANCO CALVISRCB46196,4784722222</v>
      </c>
      <c r="B363" s="12" t="str">
        <f t="shared" si="11"/>
        <v>Junho</v>
      </c>
      <c r="C363" s="8" t="s">
        <v>714</v>
      </c>
      <c r="D363" s="8" t="s">
        <v>664</v>
      </c>
      <c r="E363" s="8" t="s">
        <v>202</v>
      </c>
      <c r="F363" s="23">
        <v>46196.478472222225</v>
      </c>
      <c r="G363" s="8" t="s">
        <v>1045</v>
      </c>
      <c r="H363" s="23">
        <v>46199</v>
      </c>
      <c r="I363" s="23">
        <v>46196.478472222225</v>
      </c>
      <c r="J363" s="10">
        <v>163.1</v>
      </c>
      <c r="K363" s="10">
        <v>0</v>
      </c>
      <c r="L363" s="24">
        <v>0</v>
      </c>
      <c r="M363" s="10">
        <v>163.1</v>
      </c>
    </row>
    <row r="364" spans="1:13" x14ac:dyDescent="0.25">
      <c r="A364" s="12" t="str">
        <f t="shared" si="10"/>
        <v>14JESLEY WILLIAM MIRANDA DE SOUZArcb46209,3819444444</v>
      </c>
      <c r="B364" s="12" t="str">
        <f t="shared" si="11"/>
        <v>Julho</v>
      </c>
      <c r="C364" s="8" t="s">
        <v>714</v>
      </c>
      <c r="D364" s="8" t="s">
        <v>664</v>
      </c>
      <c r="E364" s="8" t="s">
        <v>90</v>
      </c>
      <c r="F364" s="23">
        <v>46209.381944444445</v>
      </c>
      <c r="G364" s="8" t="s">
        <v>1423</v>
      </c>
      <c r="H364" s="23">
        <v>46212</v>
      </c>
      <c r="I364" s="23">
        <v>46209.381944444445</v>
      </c>
      <c r="J364" s="10">
        <v>120</v>
      </c>
      <c r="K364" s="10">
        <v>0</v>
      </c>
      <c r="L364" s="24">
        <v>0</v>
      </c>
      <c r="M364" s="10">
        <v>120</v>
      </c>
    </row>
    <row r="365" spans="1:13" x14ac:dyDescent="0.25">
      <c r="A365" s="12" t="str">
        <f t="shared" si="10"/>
        <v>14CORREIOS AGUA BRANCARCB46217,4354166667</v>
      </c>
      <c r="B365" s="12" t="str">
        <f t="shared" si="11"/>
        <v>Julho</v>
      </c>
      <c r="C365" s="8" t="s">
        <v>714</v>
      </c>
      <c r="D365" s="8" t="s">
        <v>664</v>
      </c>
      <c r="E365" s="8" t="s">
        <v>45</v>
      </c>
      <c r="F365" s="23">
        <v>46217.435416666667</v>
      </c>
      <c r="G365" s="8" t="s">
        <v>1045</v>
      </c>
      <c r="H365" s="23">
        <v>46220</v>
      </c>
      <c r="I365" s="23">
        <v>46217.435416666667</v>
      </c>
      <c r="J365" s="10">
        <v>43</v>
      </c>
      <c r="K365" s="10">
        <v>0</v>
      </c>
      <c r="L365" s="24">
        <v>0</v>
      </c>
      <c r="M365" s="10">
        <v>43</v>
      </c>
    </row>
    <row r="366" spans="1:13" x14ac:dyDescent="0.25">
      <c r="A366" s="12" t="str">
        <f t="shared" si="10"/>
        <v>14RAFAEL RODRIGUESRCB46224,3770833333</v>
      </c>
      <c r="B366" s="12" t="str">
        <f t="shared" si="11"/>
        <v>Julho</v>
      </c>
      <c r="C366" s="8" t="s">
        <v>714</v>
      </c>
      <c r="D366" s="8" t="s">
        <v>664</v>
      </c>
      <c r="E366" s="8" t="s">
        <v>161</v>
      </c>
      <c r="F366" s="23">
        <v>46224.377083333333</v>
      </c>
      <c r="G366" s="8" t="s">
        <v>1045</v>
      </c>
      <c r="H366" s="23">
        <v>46227</v>
      </c>
      <c r="I366" s="23">
        <v>46224.377083333333</v>
      </c>
      <c r="J366" s="10">
        <v>100</v>
      </c>
      <c r="K366" s="10">
        <v>0</v>
      </c>
      <c r="L366" s="24">
        <v>0</v>
      </c>
      <c r="M366" s="10">
        <v>100</v>
      </c>
    </row>
    <row r="367" spans="1:13" x14ac:dyDescent="0.25">
      <c r="A367" s="12" t="str">
        <f t="shared" si="10"/>
        <v>14RODOLFO GUILHERME BERNARDES NORBERTORCB46244,4298611111</v>
      </c>
      <c r="B367" s="12" t="str">
        <f t="shared" si="11"/>
        <v>Agosto</v>
      </c>
      <c r="C367" s="8" t="s">
        <v>714</v>
      </c>
      <c r="D367" s="8" t="s">
        <v>664</v>
      </c>
      <c r="E367" s="8" t="s">
        <v>171</v>
      </c>
      <c r="F367" s="23">
        <v>46244.429861111108</v>
      </c>
      <c r="G367" s="8" t="s">
        <v>1045</v>
      </c>
      <c r="H367" s="23">
        <v>46247</v>
      </c>
      <c r="I367" s="23">
        <v>46244.429861111108</v>
      </c>
      <c r="J367" s="10">
        <v>100</v>
      </c>
      <c r="K367" s="10">
        <v>0</v>
      </c>
      <c r="L367" s="24">
        <v>0</v>
      </c>
      <c r="M367" s="10">
        <v>100</v>
      </c>
    </row>
    <row r="368" spans="1:13" x14ac:dyDescent="0.25">
      <c r="A368" s="12" t="str">
        <f t="shared" si="10"/>
        <v>14RODRIGO CORREARCB46286,6201388889</v>
      </c>
      <c r="B368" s="12" t="str">
        <f t="shared" si="11"/>
        <v>Setembro</v>
      </c>
      <c r="C368" s="8" t="s">
        <v>714</v>
      </c>
      <c r="D368" s="8" t="s">
        <v>664</v>
      </c>
      <c r="E368" s="8" t="s">
        <v>172</v>
      </c>
      <c r="F368" s="23">
        <v>46286.620138888888</v>
      </c>
      <c r="G368" s="8" t="s">
        <v>1045</v>
      </c>
      <c r="H368" s="23">
        <v>46289</v>
      </c>
      <c r="I368" s="23">
        <v>46286.620138888888</v>
      </c>
      <c r="J368" s="10">
        <v>60</v>
      </c>
      <c r="K368" s="10">
        <v>0</v>
      </c>
      <c r="L368" s="24">
        <v>0</v>
      </c>
      <c r="M368" s="10">
        <v>60</v>
      </c>
    </row>
    <row r="369" spans="1:13" x14ac:dyDescent="0.25">
      <c r="A369" s="12" t="str">
        <f t="shared" si="10"/>
        <v>141RC TRUCK CENTER S/ANSE46090</v>
      </c>
      <c r="B369" s="12" t="str">
        <f t="shared" si="11"/>
        <v>Abril</v>
      </c>
      <c r="C369" s="8" t="s">
        <v>715</v>
      </c>
      <c r="D369" s="8" t="s">
        <v>1354</v>
      </c>
      <c r="E369" s="8" t="s">
        <v>164</v>
      </c>
      <c r="F369" s="23">
        <v>46090</v>
      </c>
      <c r="G369" s="8" t="s">
        <v>665</v>
      </c>
      <c r="H369" s="23">
        <v>46120</v>
      </c>
      <c r="I369" s="23">
        <v>46093</v>
      </c>
      <c r="J369" s="10">
        <v>561</v>
      </c>
      <c r="K369" s="10">
        <v>0</v>
      </c>
      <c r="L369" s="24">
        <v>0</v>
      </c>
      <c r="M369" s="10">
        <v>538.55999999999995</v>
      </c>
    </row>
    <row r="370" spans="1:13" x14ac:dyDescent="0.25">
      <c r="A370" s="12" t="str">
        <f t="shared" si="10"/>
        <v>14129844BTT TELECOMUNICACOES S.A.FT46008</v>
      </c>
      <c r="B370" s="12" t="str">
        <f t="shared" si="11"/>
        <v>Janeiro</v>
      </c>
      <c r="C370" s="8" t="s">
        <v>1476</v>
      </c>
      <c r="D370" s="8" t="s">
        <v>1400</v>
      </c>
      <c r="E370" s="8" t="s">
        <v>33</v>
      </c>
      <c r="F370" s="23">
        <v>46008</v>
      </c>
      <c r="G370" s="8" t="s">
        <v>232</v>
      </c>
      <c r="H370" s="23">
        <v>46032</v>
      </c>
      <c r="I370" s="23">
        <v>46014</v>
      </c>
      <c r="J370" s="10">
        <v>199</v>
      </c>
      <c r="K370" s="10">
        <v>0</v>
      </c>
      <c r="L370" s="24">
        <v>0</v>
      </c>
      <c r="M370" s="10">
        <v>199</v>
      </c>
    </row>
    <row r="371" spans="1:13" x14ac:dyDescent="0.25">
      <c r="A371" s="12" t="str">
        <f t="shared" si="10"/>
        <v>1414OFICINA DO LOIRO PECAS E SERVICOS LTDANFE46168</v>
      </c>
      <c r="B371" s="12" t="str">
        <f t="shared" si="11"/>
        <v>Maio</v>
      </c>
      <c r="C371" s="8" t="s">
        <v>411</v>
      </c>
      <c r="D371" s="8" t="s">
        <v>664</v>
      </c>
      <c r="E371" s="8" t="s">
        <v>143</v>
      </c>
      <c r="F371" s="23">
        <v>46168</v>
      </c>
      <c r="G371" s="8" t="s">
        <v>380</v>
      </c>
      <c r="H371" s="23">
        <v>46171</v>
      </c>
      <c r="I371" s="23">
        <v>46168</v>
      </c>
      <c r="J371" s="10">
        <v>250</v>
      </c>
      <c r="K371" s="10">
        <v>0</v>
      </c>
      <c r="L371" s="24">
        <v>0</v>
      </c>
      <c r="M371" s="10">
        <v>250</v>
      </c>
    </row>
    <row r="372" spans="1:13" x14ac:dyDescent="0.25">
      <c r="A372" s="12" t="str">
        <f t="shared" si="10"/>
        <v>14192260BTT TELECOMUNICACOES S.A.FT46014</v>
      </c>
      <c r="B372" s="12" t="str">
        <f t="shared" si="11"/>
        <v>Março</v>
      </c>
      <c r="C372" s="8" t="s">
        <v>231</v>
      </c>
      <c r="D372" s="8" t="s">
        <v>1400</v>
      </c>
      <c r="E372" s="8" t="s">
        <v>33</v>
      </c>
      <c r="F372" s="23">
        <v>46014</v>
      </c>
      <c r="G372" s="8" t="s">
        <v>232</v>
      </c>
      <c r="H372" s="23">
        <v>46091</v>
      </c>
      <c r="I372" s="23">
        <v>46076</v>
      </c>
      <c r="J372" s="10">
        <v>199</v>
      </c>
      <c r="K372" s="10">
        <v>0</v>
      </c>
      <c r="L372" s="24">
        <v>0</v>
      </c>
      <c r="M372" s="10">
        <v>199</v>
      </c>
    </row>
    <row r="373" spans="1:13" x14ac:dyDescent="0.25">
      <c r="A373" s="12" t="str">
        <f t="shared" si="10"/>
        <v>14192261BTT TELECOMUNICACOES S.A.FT46099</v>
      </c>
      <c r="B373" s="12" t="str">
        <f t="shared" si="11"/>
        <v>Abril</v>
      </c>
      <c r="C373" s="8" t="s">
        <v>235</v>
      </c>
      <c r="D373" s="8" t="s">
        <v>1400</v>
      </c>
      <c r="E373" s="8" t="s">
        <v>33</v>
      </c>
      <c r="F373" s="23">
        <v>46099</v>
      </c>
      <c r="G373" s="8" t="s">
        <v>232</v>
      </c>
      <c r="H373" s="23">
        <v>46122</v>
      </c>
      <c r="I373" s="23">
        <v>46099</v>
      </c>
      <c r="J373" s="10">
        <v>199</v>
      </c>
      <c r="K373" s="10">
        <v>0</v>
      </c>
      <c r="L373" s="24">
        <v>0</v>
      </c>
      <c r="M373" s="10">
        <v>199</v>
      </c>
    </row>
    <row r="374" spans="1:13" x14ac:dyDescent="0.25">
      <c r="A374" s="12" t="str">
        <f t="shared" si="10"/>
        <v>14192262BTT TELECOMUNICACOES S.A.FT46014</v>
      </c>
      <c r="B374" s="12" t="str">
        <f t="shared" si="11"/>
        <v>Maio</v>
      </c>
      <c r="C374" s="8" t="s">
        <v>236</v>
      </c>
      <c r="D374" s="8" t="s">
        <v>1400</v>
      </c>
      <c r="E374" s="8" t="s">
        <v>33</v>
      </c>
      <c r="F374" s="23">
        <v>46014</v>
      </c>
      <c r="G374" s="8" t="s">
        <v>232</v>
      </c>
      <c r="H374" s="23">
        <v>46152</v>
      </c>
      <c r="I374" s="23">
        <v>46134</v>
      </c>
      <c r="J374" s="10">
        <v>199</v>
      </c>
      <c r="K374" s="10">
        <v>0</v>
      </c>
      <c r="L374" s="24">
        <v>0</v>
      </c>
      <c r="M374" s="10">
        <v>199</v>
      </c>
    </row>
    <row r="375" spans="1:13" x14ac:dyDescent="0.25">
      <c r="A375" s="12" t="str">
        <f t="shared" si="10"/>
        <v>142HAMILTON AUTO SOCORRO LTDANSE46069</v>
      </c>
      <c r="B375" s="12" t="str">
        <f t="shared" si="11"/>
        <v>Fevereiro</v>
      </c>
      <c r="C375" s="8" t="s">
        <v>716</v>
      </c>
      <c r="D375" s="8" t="s">
        <v>1354</v>
      </c>
      <c r="E375" s="8" t="s">
        <v>717</v>
      </c>
      <c r="F375" s="23">
        <v>46069</v>
      </c>
      <c r="G375" s="8" t="s">
        <v>665</v>
      </c>
      <c r="H375" s="23">
        <v>46073</v>
      </c>
      <c r="I375" s="23">
        <v>46071</v>
      </c>
      <c r="J375" s="10">
        <v>1150</v>
      </c>
      <c r="K375" s="10">
        <v>0</v>
      </c>
      <c r="L375" s="24">
        <v>0</v>
      </c>
      <c r="M375" s="10">
        <v>1150</v>
      </c>
    </row>
    <row r="376" spans="1:13" x14ac:dyDescent="0.25">
      <c r="A376" s="12" t="str">
        <f t="shared" si="10"/>
        <v>142ANDRE LUIZ MAYERNSE46113</v>
      </c>
      <c r="B376" s="12" t="str">
        <f t="shared" si="11"/>
        <v>Abril</v>
      </c>
      <c r="C376" s="8" t="s">
        <v>716</v>
      </c>
      <c r="D376" s="8" t="s">
        <v>664</v>
      </c>
      <c r="E376" s="8" t="s">
        <v>16</v>
      </c>
      <c r="F376" s="23">
        <v>46113</v>
      </c>
      <c r="G376" s="8" t="s">
        <v>665</v>
      </c>
      <c r="H376" s="23">
        <v>46132</v>
      </c>
      <c r="I376" s="23">
        <v>46113</v>
      </c>
      <c r="J376" s="10">
        <v>1750</v>
      </c>
      <c r="K376" s="10">
        <v>0</v>
      </c>
      <c r="L376" s="24">
        <v>0</v>
      </c>
      <c r="M376" s="10">
        <v>1750</v>
      </c>
    </row>
    <row r="377" spans="1:13" x14ac:dyDescent="0.25">
      <c r="A377" s="12" t="str">
        <f t="shared" si="10"/>
        <v>1420AVANSAT TECNOLOGIAS E SERVS EM SEGURANCA LTDAFT46029</v>
      </c>
      <c r="B377" s="12" t="str">
        <f t="shared" si="11"/>
        <v>Fevereiro</v>
      </c>
      <c r="C377" s="8" t="s">
        <v>237</v>
      </c>
      <c r="D377" s="8" t="s">
        <v>1354</v>
      </c>
      <c r="E377" s="8" t="s">
        <v>24</v>
      </c>
      <c r="F377" s="23">
        <v>46029</v>
      </c>
      <c r="G377" s="8" t="s">
        <v>232</v>
      </c>
      <c r="H377" s="23">
        <v>46059</v>
      </c>
      <c r="I377" s="23">
        <v>46030</v>
      </c>
      <c r="J377" s="10">
        <v>59176.89</v>
      </c>
      <c r="K377" s="10">
        <v>0</v>
      </c>
      <c r="L377" s="24">
        <v>0</v>
      </c>
      <c r="M377" s="10">
        <v>59176.89</v>
      </c>
    </row>
    <row r="378" spans="1:13" x14ac:dyDescent="0.25">
      <c r="A378" s="12" t="str">
        <f t="shared" si="10"/>
        <v>1422PREVCENTER MANUTENCAO LTDANSE46216</v>
      </c>
      <c r="B378" s="12" t="str">
        <f t="shared" si="11"/>
        <v>Agosto</v>
      </c>
      <c r="C378" s="8" t="s">
        <v>719</v>
      </c>
      <c r="D378" s="8" t="s">
        <v>1354</v>
      </c>
      <c r="E378" s="8" t="s">
        <v>159</v>
      </c>
      <c r="F378" s="23">
        <v>46216</v>
      </c>
      <c r="G378" s="8" t="s">
        <v>665</v>
      </c>
      <c r="H378" s="23">
        <v>46246</v>
      </c>
      <c r="I378" s="23">
        <v>46217</v>
      </c>
      <c r="J378" s="10">
        <v>580</v>
      </c>
      <c r="K378" s="10">
        <v>0</v>
      </c>
      <c r="L378" s="24">
        <v>0</v>
      </c>
      <c r="M378" s="10">
        <v>580</v>
      </c>
    </row>
    <row r="379" spans="1:13" x14ac:dyDescent="0.25">
      <c r="A379" s="12" t="str">
        <f t="shared" si="10"/>
        <v>1422PREVCENTER MANUTENCAO LTDANSE46216</v>
      </c>
      <c r="B379" s="12" t="str">
        <f t="shared" si="11"/>
        <v>Setembro</v>
      </c>
      <c r="C379" s="8" t="s">
        <v>719</v>
      </c>
      <c r="D379" s="8" t="s">
        <v>1354</v>
      </c>
      <c r="E379" s="8" t="s">
        <v>159</v>
      </c>
      <c r="F379" s="23">
        <v>46216</v>
      </c>
      <c r="G379" s="8" t="s">
        <v>665</v>
      </c>
      <c r="H379" s="23">
        <v>46276</v>
      </c>
      <c r="I379" s="23">
        <v>46217</v>
      </c>
      <c r="J379" s="10">
        <v>580</v>
      </c>
      <c r="K379" s="10">
        <v>0</v>
      </c>
      <c r="L379" s="24">
        <v>0</v>
      </c>
      <c r="M379" s="10">
        <v>580</v>
      </c>
    </row>
    <row r="380" spans="1:13" x14ac:dyDescent="0.25">
      <c r="A380" s="12" t="str">
        <f t="shared" si="10"/>
        <v>1423OFICINA DO LOIRO PECAS E SERVICOS LTDANFE46176</v>
      </c>
      <c r="B380" s="12" t="str">
        <f t="shared" si="11"/>
        <v>Julho</v>
      </c>
      <c r="C380" s="8" t="s">
        <v>413</v>
      </c>
      <c r="D380" s="8" t="s">
        <v>664</v>
      </c>
      <c r="E380" s="8" t="s">
        <v>143</v>
      </c>
      <c r="F380" s="23">
        <v>46176</v>
      </c>
      <c r="G380" s="8" t="s">
        <v>380</v>
      </c>
      <c r="H380" s="23">
        <v>46206</v>
      </c>
      <c r="I380" s="23">
        <v>46176</v>
      </c>
      <c r="J380" s="10">
        <v>120</v>
      </c>
      <c r="K380" s="10">
        <v>0</v>
      </c>
      <c r="L380" s="24">
        <v>0</v>
      </c>
      <c r="M380" s="10">
        <v>120</v>
      </c>
    </row>
    <row r="381" spans="1:13" x14ac:dyDescent="0.25">
      <c r="A381" s="12" t="str">
        <f t="shared" si="10"/>
        <v>1432OFICINA DO LOIRO PECAS E SERVICOS LTDANFE46184</v>
      </c>
      <c r="B381" s="12" t="str">
        <f t="shared" si="11"/>
        <v>Julho</v>
      </c>
      <c r="C381" s="8" t="s">
        <v>414</v>
      </c>
      <c r="D381" s="8" t="s">
        <v>664</v>
      </c>
      <c r="E381" s="8" t="s">
        <v>143</v>
      </c>
      <c r="F381" s="23">
        <v>46184</v>
      </c>
      <c r="G381" s="8" t="s">
        <v>380</v>
      </c>
      <c r="H381" s="23">
        <v>46214</v>
      </c>
      <c r="I381" s="23">
        <v>46188</v>
      </c>
      <c r="J381" s="10">
        <v>1305</v>
      </c>
      <c r="K381" s="10">
        <v>0</v>
      </c>
      <c r="L381" s="24">
        <v>0</v>
      </c>
      <c r="M381" s="10">
        <v>1305</v>
      </c>
    </row>
    <row r="382" spans="1:13" x14ac:dyDescent="0.25">
      <c r="A382" s="12" t="str">
        <f t="shared" si="10"/>
        <v>1432OFICINA DO LOIRO PECAS E SERVICOS LTDANFE46184</v>
      </c>
      <c r="B382" s="12" t="str">
        <f t="shared" si="11"/>
        <v>Agosto</v>
      </c>
      <c r="C382" s="8" t="s">
        <v>414</v>
      </c>
      <c r="D382" s="8" t="s">
        <v>664</v>
      </c>
      <c r="E382" s="8" t="s">
        <v>143</v>
      </c>
      <c r="F382" s="23">
        <v>46184</v>
      </c>
      <c r="G382" s="8" t="s">
        <v>380</v>
      </c>
      <c r="H382" s="23">
        <v>46245</v>
      </c>
      <c r="I382" s="23">
        <v>46188</v>
      </c>
      <c r="J382" s="10">
        <v>1305</v>
      </c>
      <c r="K382" s="10">
        <v>0</v>
      </c>
      <c r="L382" s="24">
        <v>0</v>
      </c>
      <c r="M382" s="10">
        <v>1305</v>
      </c>
    </row>
    <row r="383" spans="1:13" x14ac:dyDescent="0.25">
      <c r="A383" s="12" t="str">
        <f t="shared" si="10"/>
        <v>1433OFICINA DO LOIRO PECAS E SERVICOS LTDANFE46184</v>
      </c>
      <c r="B383" s="12" t="str">
        <f t="shared" si="11"/>
        <v>Julho</v>
      </c>
      <c r="C383" s="8" t="s">
        <v>415</v>
      </c>
      <c r="D383" s="8" t="s">
        <v>664</v>
      </c>
      <c r="E383" s="8" t="s">
        <v>143</v>
      </c>
      <c r="F383" s="23">
        <v>46184</v>
      </c>
      <c r="G383" s="8" t="s">
        <v>380</v>
      </c>
      <c r="H383" s="23">
        <v>46214</v>
      </c>
      <c r="I383" s="23">
        <v>46188</v>
      </c>
      <c r="J383" s="10">
        <v>1207.5</v>
      </c>
      <c r="K383" s="10">
        <v>0</v>
      </c>
      <c r="L383" s="24">
        <v>0</v>
      </c>
      <c r="M383" s="10">
        <v>1207.5</v>
      </c>
    </row>
    <row r="384" spans="1:13" x14ac:dyDescent="0.25">
      <c r="A384" s="12" t="str">
        <f t="shared" si="10"/>
        <v>1433OFICINA DO LOIRO PECAS E SERVICOS LTDANFE46184</v>
      </c>
      <c r="B384" s="12" t="str">
        <f t="shared" si="11"/>
        <v>Agosto</v>
      </c>
      <c r="C384" s="8" t="s">
        <v>415</v>
      </c>
      <c r="D384" s="8" t="s">
        <v>664</v>
      </c>
      <c r="E384" s="8" t="s">
        <v>143</v>
      </c>
      <c r="F384" s="23">
        <v>46184</v>
      </c>
      <c r="G384" s="8" t="s">
        <v>380</v>
      </c>
      <c r="H384" s="23">
        <v>46245</v>
      </c>
      <c r="I384" s="23">
        <v>46188</v>
      </c>
      <c r="J384" s="10">
        <v>1207.5</v>
      </c>
      <c r="K384" s="10">
        <v>0</v>
      </c>
      <c r="L384" s="24">
        <v>0</v>
      </c>
      <c r="M384" s="10">
        <v>1207.5</v>
      </c>
    </row>
    <row r="385" spans="1:13" x14ac:dyDescent="0.25">
      <c r="A385" s="12" t="str">
        <f t="shared" si="10"/>
        <v>14366382BTT TELECOMUNICACOES S.A.FT46170</v>
      </c>
      <c r="B385" s="12" t="str">
        <f t="shared" si="11"/>
        <v>Junho</v>
      </c>
      <c r="C385" s="8" t="s">
        <v>242</v>
      </c>
      <c r="D385" s="8" t="s">
        <v>1400</v>
      </c>
      <c r="E385" s="8" t="s">
        <v>33</v>
      </c>
      <c r="F385" s="23">
        <v>46170</v>
      </c>
      <c r="G385" s="8" t="s">
        <v>232</v>
      </c>
      <c r="H385" s="23">
        <v>46183</v>
      </c>
      <c r="I385" s="23">
        <v>46170</v>
      </c>
      <c r="J385" s="10">
        <v>199</v>
      </c>
      <c r="K385" s="10">
        <v>0</v>
      </c>
      <c r="L385" s="24">
        <v>0</v>
      </c>
      <c r="M385" s="10">
        <v>199</v>
      </c>
    </row>
    <row r="386" spans="1:13" x14ac:dyDescent="0.25">
      <c r="A386" s="12" t="str">
        <f t="shared" ref="A386:A449" si="12">$C386&amp;$E386&amp;$G386&amp;$F386</f>
        <v>1438OFICINA DO LOIRO PECAS E SERVICOS LTDANFE46198</v>
      </c>
      <c r="B386" s="12" t="str">
        <f t="shared" si="11"/>
        <v>Julho</v>
      </c>
      <c r="C386" s="8" t="s">
        <v>416</v>
      </c>
      <c r="D386" s="8" t="s">
        <v>664</v>
      </c>
      <c r="E386" s="8" t="s">
        <v>143</v>
      </c>
      <c r="F386" s="23">
        <v>46198</v>
      </c>
      <c r="G386" s="8" t="s">
        <v>380</v>
      </c>
      <c r="H386" s="23">
        <v>46228</v>
      </c>
      <c r="I386" s="23">
        <v>46198</v>
      </c>
      <c r="J386" s="10">
        <v>415</v>
      </c>
      <c r="K386" s="10">
        <v>0</v>
      </c>
      <c r="L386" s="24">
        <v>0</v>
      </c>
      <c r="M386" s="10">
        <v>415</v>
      </c>
    </row>
    <row r="387" spans="1:13" x14ac:dyDescent="0.25">
      <c r="A387" s="12" t="str">
        <f t="shared" si="12"/>
        <v>144MGS PRINTERNSE46227</v>
      </c>
      <c r="B387" s="12" t="str">
        <f t="shared" ref="B387:B450" si="13">PROPER(TEXT($H387,"MMMM"))</f>
        <v>Setembro</v>
      </c>
      <c r="C387" s="8" t="s">
        <v>720</v>
      </c>
      <c r="D387" s="8" t="s">
        <v>664</v>
      </c>
      <c r="E387" s="8" t="s">
        <v>128</v>
      </c>
      <c r="F387" s="23">
        <v>46227</v>
      </c>
      <c r="G387" s="8" t="s">
        <v>665</v>
      </c>
      <c r="H387" s="23">
        <v>46272</v>
      </c>
      <c r="I387" s="23">
        <v>46230</v>
      </c>
      <c r="J387" s="10">
        <v>413.6</v>
      </c>
      <c r="K387" s="10">
        <v>0</v>
      </c>
      <c r="L387" s="24">
        <v>0</v>
      </c>
      <c r="M387" s="10">
        <v>413.6</v>
      </c>
    </row>
    <row r="388" spans="1:13" x14ac:dyDescent="0.25">
      <c r="A388" s="12" t="str">
        <f t="shared" si="12"/>
        <v>1443AVANSAT TECNOLOGIAS E SERVS EM SEGURANCA LTDAFT46063</v>
      </c>
      <c r="B388" s="12" t="str">
        <f t="shared" si="13"/>
        <v>Março</v>
      </c>
      <c r="C388" s="8" t="s">
        <v>243</v>
      </c>
      <c r="D388" s="8" t="s">
        <v>1354</v>
      </c>
      <c r="E388" s="8" t="s">
        <v>24</v>
      </c>
      <c r="F388" s="23">
        <v>46063</v>
      </c>
      <c r="G388" s="8" t="s">
        <v>232</v>
      </c>
      <c r="H388" s="23">
        <v>46087</v>
      </c>
      <c r="I388" s="23">
        <v>46064</v>
      </c>
      <c r="J388" s="10">
        <v>59176.89</v>
      </c>
      <c r="K388" s="10">
        <v>0</v>
      </c>
      <c r="L388" s="24">
        <v>0</v>
      </c>
      <c r="M388" s="10">
        <v>59176.89</v>
      </c>
    </row>
    <row r="389" spans="1:13" x14ac:dyDescent="0.25">
      <c r="A389" s="12" t="str">
        <f t="shared" si="12"/>
        <v>14446105BTT TELECOMUNICACOES S.A.FT46031</v>
      </c>
      <c r="B389" s="12" t="str">
        <f t="shared" si="13"/>
        <v>Julho</v>
      </c>
      <c r="C389" s="8" t="s">
        <v>244</v>
      </c>
      <c r="D389" s="8" t="s">
        <v>1400</v>
      </c>
      <c r="E389" s="8" t="s">
        <v>33</v>
      </c>
      <c r="F389" s="23">
        <v>46031</v>
      </c>
      <c r="G389" s="8" t="s">
        <v>232</v>
      </c>
      <c r="H389" s="23">
        <v>46213</v>
      </c>
      <c r="I389" s="23">
        <v>46196</v>
      </c>
      <c r="J389" s="10">
        <v>199</v>
      </c>
      <c r="K389" s="10">
        <v>0</v>
      </c>
      <c r="L389" s="24">
        <v>0</v>
      </c>
      <c r="M389" s="10">
        <v>199</v>
      </c>
    </row>
    <row r="390" spans="1:13" x14ac:dyDescent="0.25">
      <c r="A390" s="12" t="str">
        <f t="shared" si="12"/>
        <v>1445445DOCUSIGN BRASIL SOLUCOES EM TECNOLOGIA LTDANFS46156</v>
      </c>
      <c r="B390" s="12" t="str">
        <f t="shared" si="13"/>
        <v>Junho</v>
      </c>
      <c r="C390" s="8" t="s">
        <v>619</v>
      </c>
      <c r="D390" s="8" t="s">
        <v>1400</v>
      </c>
      <c r="E390" s="8" t="s">
        <v>54</v>
      </c>
      <c r="F390" s="23">
        <v>46156</v>
      </c>
      <c r="G390" s="8" t="s">
        <v>614</v>
      </c>
      <c r="H390" s="23">
        <v>46202</v>
      </c>
      <c r="I390" s="23">
        <v>46204</v>
      </c>
      <c r="J390" s="10">
        <v>307.69</v>
      </c>
      <c r="K390" s="10">
        <v>0</v>
      </c>
      <c r="L390" s="24">
        <v>0.4</v>
      </c>
      <c r="M390" s="10">
        <v>314.24</v>
      </c>
    </row>
    <row r="391" spans="1:13" x14ac:dyDescent="0.25">
      <c r="A391" s="12" t="str">
        <f t="shared" si="12"/>
        <v>1445447DOCUSIGN BRASIL SOLUCOES EM TECNOLOGIA LTDANFS46156</v>
      </c>
      <c r="B391" s="12" t="str">
        <f t="shared" si="13"/>
        <v>Junho</v>
      </c>
      <c r="C391" s="8" t="s">
        <v>620</v>
      </c>
      <c r="D391" s="8" t="s">
        <v>1400</v>
      </c>
      <c r="E391" s="8" t="s">
        <v>54</v>
      </c>
      <c r="F391" s="23">
        <v>46156</v>
      </c>
      <c r="G391" s="8" t="s">
        <v>614</v>
      </c>
      <c r="H391" s="23">
        <v>46202</v>
      </c>
      <c r="I391" s="23">
        <v>46204</v>
      </c>
      <c r="J391" s="10">
        <v>52.31</v>
      </c>
      <c r="K391" s="10">
        <v>0</v>
      </c>
      <c r="L391" s="24">
        <v>0.08</v>
      </c>
      <c r="M391" s="10">
        <v>53.43</v>
      </c>
    </row>
    <row r="392" spans="1:13" x14ac:dyDescent="0.25">
      <c r="A392" s="12" t="str">
        <f t="shared" si="12"/>
        <v>1449758TRUCKS COM. E TEC. DE RASTREAD. COMUNICAÇÕES LTDANSE46039</v>
      </c>
      <c r="B392" s="12" t="str">
        <f t="shared" si="13"/>
        <v>Fevereiro</v>
      </c>
      <c r="C392" s="8" t="s">
        <v>721</v>
      </c>
      <c r="D392" s="8" t="s">
        <v>1354</v>
      </c>
      <c r="E392" s="8" t="s">
        <v>191</v>
      </c>
      <c r="F392" s="23">
        <v>46039</v>
      </c>
      <c r="G392" s="8" t="s">
        <v>665</v>
      </c>
      <c r="H392" s="23">
        <v>46069</v>
      </c>
      <c r="I392" s="23">
        <v>46041</v>
      </c>
      <c r="J392" s="10">
        <v>1479.18</v>
      </c>
      <c r="K392" s="10">
        <v>0</v>
      </c>
      <c r="L392" s="24">
        <v>0</v>
      </c>
      <c r="M392" s="10">
        <v>1479.18</v>
      </c>
    </row>
    <row r="393" spans="1:13" x14ac:dyDescent="0.25">
      <c r="A393" s="12" t="str">
        <f t="shared" si="12"/>
        <v>145CAMPOS VEICULOS LTDA - PRIME AUTO CENTERNSE46017</v>
      </c>
      <c r="B393" s="12" t="str">
        <f t="shared" si="13"/>
        <v>Janeiro</v>
      </c>
      <c r="C393" s="8" t="s">
        <v>724</v>
      </c>
      <c r="D393" s="8" t="s">
        <v>1354</v>
      </c>
      <c r="E393" s="8" t="s">
        <v>35</v>
      </c>
      <c r="F393" s="23">
        <v>46017</v>
      </c>
      <c r="G393" s="8" t="s">
        <v>665</v>
      </c>
      <c r="H393" s="23">
        <v>46048</v>
      </c>
      <c r="I393" s="23">
        <v>46027</v>
      </c>
      <c r="J393" s="10">
        <v>1000</v>
      </c>
      <c r="K393" s="10">
        <v>0</v>
      </c>
      <c r="L393" s="24">
        <v>0</v>
      </c>
      <c r="M393" s="10">
        <v>960</v>
      </c>
    </row>
    <row r="394" spans="1:13" x14ac:dyDescent="0.25">
      <c r="A394" s="12" t="str">
        <f t="shared" si="12"/>
        <v>146PAULA CHRISTINA PINTO GOULARTNSE46244</v>
      </c>
      <c r="B394" s="12" t="str">
        <f t="shared" si="13"/>
        <v>Setembro</v>
      </c>
      <c r="C394" s="8" t="s">
        <v>725</v>
      </c>
      <c r="D394" s="8" t="s">
        <v>1354</v>
      </c>
      <c r="E394" s="8" t="s">
        <v>150</v>
      </c>
      <c r="F394" s="23">
        <v>46244</v>
      </c>
      <c r="G394" s="8" t="s">
        <v>665</v>
      </c>
      <c r="H394" s="23">
        <v>46275</v>
      </c>
      <c r="I394" s="23">
        <v>46255</v>
      </c>
      <c r="J394" s="10">
        <v>5000</v>
      </c>
      <c r="K394" s="10">
        <v>0</v>
      </c>
      <c r="L394" s="24">
        <v>0</v>
      </c>
      <c r="M394" s="10">
        <v>5000</v>
      </c>
    </row>
    <row r="395" spans="1:13" x14ac:dyDescent="0.25">
      <c r="A395" s="12" t="str">
        <f t="shared" si="12"/>
        <v>1460024DOCUSIGN BRASIL SOLUCOES EM TECNOLOGIA LTDANFS46181</v>
      </c>
      <c r="B395" s="12" t="str">
        <f t="shared" si="13"/>
        <v>Junho</v>
      </c>
      <c r="C395" s="8" t="s">
        <v>621</v>
      </c>
      <c r="D395" s="8" t="s">
        <v>1400</v>
      </c>
      <c r="E395" s="8" t="s">
        <v>54</v>
      </c>
      <c r="F395" s="23">
        <v>46181</v>
      </c>
      <c r="G395" s="8" t="s">
        <v>614</v>
      </c>
      <c r="H395" s="23">
        <v>46202</v>
      </c>
      <c r="I395" s="23">
        <v>46204</v>
      </c>
      <c r="J395" s="10">
        <v>307.69</v>
      </c>
      <c r="K395" s="10">
        <v>0</v>
      </c>
      <c r="L395" s="24">
        <v>0.3</v>
      </c>
      <c r="M395" s="10">
        <v>314.14</v>
      </c>
    </row>
    <row r="396" spans="1:13" x14ac:dyDescent="0.25">
      <c r="A396" s="12" t="str">
        <f t="shared" si="12"/>
        <v>1460028DOCUSIGN BRASIL SOLUCOES EM TECNOLOGIA LTDANFS46181</v>
      </c>
      <c r="B396" s="12" t="str">
        <f t="shared" si="13"/>
        <v>Junho</v>
      </c>
      <c r="C396" s="8" t="s">
        <v>622</v>
      </c>
      <c r="D396" s="8" t="s">
        <v>1400</v>
      </c>
      <c r="E396" s="8" t="s">
        <v>54</v>
      </c>
      <c r="F396" s="23">
        <v>46181</v>
      </c>
      <c r="G396" s="8" t="s">
        <v>614</v>
      </c>
      <c r="H396" s="23">
        <v>46202</v>
      </c>
      <c r="I396" s="23">
        <v>46204</v>
      </c>
      <c r="J396" s="10">
        <v>52.31</v>
      </c>
      <c r="K396" s="10">
        <v>0</v>
      </c>
      <c r="L396" s="24">
        <v>0.06</v>
      </c>
      <c r="M396" s="10">
        <v>53.41</v>
      </c>
    </row>
    <row r="397" spans="1:13" x14ac:dyDescent="0.25">
      <c r="A397" s="12" t="str">
        <f t="shared" si="12"/>
        <v>1466AVANSAT TECNOLOGIAS E SERVS EM SEGURANCA LTDAFT46085</v>
      </c>
      <c r="B397" s="12" t="str">
        <f t="shared" si="13"/>
        <v>Abril</v>
      </c>
      <c r="C397" s="8" t="s">
        <v>245</v>
      </c>
      <c r="D397" s="8" t="s">
        <v>1354</v>
      </c>
      <c r="E397" s="8" t="s">
        <v>24</v>
      </c>
      <c r="F397" s="23">
        <v>46085</v>
      </c>
      <c r="G397" s="8" t="s">
        <v>232</v>
      </c>
      <c r="H397" s="23">
        <v>46118</v>
      </c>
      <c r="I397" s="23">
        <v>46087</v>
      </c>
      <c r="J397" s="10">
        <v>59176.89</v>
      </c>
      <c r="K397" s="10">
        <v>0</v>
      </c>
      <c r="L397" s="24">
        <v>0</v>
      </c>
      <c r="M397" s="10">
        <v>59176.89</v>
      </c>
    </row>
    <row r="398" spans="1:13" x14ac:dyDescent="0.25">
      <c r="A398" s="12" t="str">
        <f t="shared" si="12"/>
        <v>1468ROCHA POMBO ANDRADE E CAPETTI ADVOGADOS (FERNANDO CARNEIRO)NSE46150</v>
      </c>
      <c r="B398" s="12" t="str">
        <f t="shared" si="13"/>
        <v>Junho</v>
      </c>
      <c r="C398" s="8" t="s">
        <v>727</v>
      </c>
      <c r="D398" s="8" t="s">
        <v>664</v>
      </c>
      <c r="E398" s="8" t="s">
        <v>169</v>
      </c>
      <c r="F398" s="23">
        <v>46150</v>
      </c>
      <c r="G398" s="8" t="s">
        <v>665</v>
      </c>
      <c r="H398" s="23">
        <v>46193</v>
      </c>
      <c r="I398" s="23">
        <v>46150</v>
      </c>
      <c r="J398" s="10">
        <v>1400</v>
      </c>
      <c r="K398" s="10">
        <v>0</v>
      </c>
      <c r="L398" s="24">
        <v>0</v>
      </c>
      <c r="M398" s="10">
        <v>1313.9</v>
      </c>
    </row>
    <row r="399" spans="1:13" x14ac:dyDescent="0.25">
      <c r="A399" s="12" t="str">
        <f t="shared" si="12"/>
        <v>1468-1708-87MINISTERIO DA FAZENDAIM46160,5291666667</v>
      </c>
      <c r="B399" s="12" t="str">
        <f t="shared" si="13"/>
        <v>Junho</v>
      </c>
      <c r="C399" s="8" t="s">
        <v>2582</v>
      </c>
      <c r="D399" s="8" t="s">
        <v>664</v>
      </c>
      <c r="E399" s="8" t="s">
        <v>1503</v>
      </c>
      <c r="F399" s="23">
        <v>46160.529166666667</v>
      </c>
      <c r="G399" s="8" t="s">
        <v>1142</v>
      </c>
      <c r="H399" s="23">
        <v>46193</v>
      </c>
      <c r="I399" s="23">
        <v>46160.529166666667</v>
      </c>
      <c r="J399" s="10">
        <v>21</v>
      </c>
      <c r="K399" s="10">
        <v>0</v>
      </c>
      <c r="L399" s="24">
        <v>0</v>
      </c>
      <c r="M399" s="10">
        <v>21</v>
      </c>
    </row>
    <row r="400" spans="1:13" x14ac:dyDescent="0.25">
      <c r="A400" s="12" t="str">
        <f t="shared" si="12"/>
        <v>1468-5952-87MINISTERIO DA FAZENDAIM46160,5298611111</v>
      </c>
      <c r="B400" s="12" t="str">
        <f t="shared" si="13"/>
        <v>Junho</v>
      </c>
      <c r="C400" s="8" t="s">
        <v>2583</v>
      </c>
      <c r="D400" s="8" t="s">
        <v>664</v>
      </c>
      <c r="E400" s="8" t="s">
        <v>1503</v>
      </c>
      <c r="F400" s="23">
        <v>46160.529861111114</v>
      </c>
      <c r="G400" s="8" t="s">
        <v>1142</v>
      </c>
      <c r="H400" s="23">
        <v>46193</v>
      </c>
      <c r="I400" s="23">
        <v>46160.529861111114</v>
      </c>
      <c r="J400" s="10">
        <v>65.099999999999994</v>
      </c>
      <c r="K400" s="10">
        <v>0</v>
      </c>
      <c r="L400" s="24">
        <v>0</v>
      </c>
      <c r="M400" s="10">
        <v>65.099999999999994</v>
      </c>
    </row>
    <row r="401" spans="1:13" x14ac:dyDescent="0.25">
      <c r="A401" s="12" t="str">
        <f t="shared" si="12"/>
        <v>1478329DOCUSIGN BRASIL SOLUCOES EM TECNOLOGIA LTDANFS46211</v>
      </c>
      <c r="B401" s="12" t="str">
        <f t="shared" si="13"/>
        <v>Julho</v>
      </c>
      <c r="C401" s="8" t="s">
        <v>623</v>
      </c>
      <c r="D401" s="8" t="s">
        <v>1400</v>
      </c>
      <c r="E401" s="8" t="s">
        <v>54</v>
      </c>
      <c r="F401" s="23">
        <v>46211</v>
      </c>
      <c r="G401" s="8" t="s">
        <v>614</v>
      </c>
      <c r="H401" s="23">
        <v>46225</v>
      </c>
      <c r="I401" s="23">
        <v>46219</v>
      </c>
      <c r="J401" s="10">
        <v>307.69</v>
      </c>
      <c r="K401" s="10">
        <v>0</v>
      </c>
      <c r="L401" s="24">
        <v>0</v>
      </c>
      <c r="M401" s="10">
        <v>307.69</v>
      </c>
    </row>
    <row r="402" spans="1:13" x14ac:dyDescent="0.25">
      <c r="A402" s="12" t="str">
        <f t="shared" si="12"/>
        <v>1478332DOCUSIGN BRASIL SOLUCOES EM TECNOLOGIA LTDANFS46211</v>
      </c>
      <c r="B402" s="12" t="str">
        <f t="shared" si="13"/>
        <v>Julho</v>
      </c>
      <c r="C402" s="8" t="s">
        <v>624</v>
      </c>
      <c r="D402" s="8" t="s">
        <v>1400</v>
      </c>
      <c r="E402" s="8" t="s">
        <v>54</v>
      </c>
      <c r="F402" s="23">
        <v>46211</v>
      </c>
      <c r="G402" s="8" t="s">
        <v>614</v>
      </c>
      <c r="H402" s="23">
        <v>46225</v>
      </c>
      <c r="I402" s="23">
        <v>46219</v>
      </c>
      <c r="J402" s="10">
        <v>52.31</v>
      </c>
      <c r="K402" s="10">
        <v>0</v>
      </c>
      <c r="L402" s="24">
        <v>0</v>
      </c>
      <c r="M402" s="10">
        <v>52.31</v>
      </c>
    </row>
    <row r="403" spans="1:13" x14ac:dyDescent="0.25">
      <c r="A403" s="12" t="str">
        <f t="shared" si="12"/>
        <v>14784VIA TRUCK COMERCIO E SERVICOS LTDANFE46198</v>
      </c>
      <c r="B403" s="12" t="str">
        <f t="shared" si="13"/>
        <v>Julho</v>
      </c>
      <c r="C403" s="8" t="s">
        <v>417</v>
      </c>
      <c r="D403" s="8" t="s">
        <v>664</v>
      </c>
      <c r="E403" s="8" t="s">
        <v>195</v>
      </c>
      <c r="F403" s="23">
        <v>46198</v>
      </c>
      <c r="G403" s="8" t="s">
        <v>380</v>
      </c>
      <c r="H403" s="23">
        <v>46228</v>
      </c>
      <c r="I403" s="23">
        <v>46199</v>
      </c>
      <c r="J403" s="10">
        <v>817.4</v>
      </c>
      <c r="K403" s="10">
        <v>0</v>
      </c>
      <c r="L403" s="24">
        <v>0</v>
      </c>
      <c r="M403" s="10">
        <v>817.4</v>
      </c>
    </row>
    <row r="404" spans="1:13" x14ac:dyDescent="0.25">
      <c r="A404" s="12" t="str">
        <f t="shared" si="12"/>
        <v>148BH ACESSORIOS E PECAS LTDANFS46203</v>
      </c>
      <c r="B404" s="12" t="str">
        <f t="shared" si="13"/>
        <v>Julho</v>
      </c>
      <c r="C404" s="8" t="s">
        <v>625</v>
      </c>
      <c r="D404" s="8" t="s">
        <v>1354</v>
      </c>
      <c r="E404" s="8" t="s">
        <v>27</v>
      </c>
      <c r="F404" s="23">
        <v>46203</v>
      </c>
      <c r="G404" s="8" t="s">
        <v>614</v>
      </c>
      <c r="H404" s="23">
        <v>46217</v>
      </c>
      <c r="I404" s="23">
        <v>46203</v>
      </c>
      <c r="J404" s="10">
        <v>80</v>
      </c>
      <c r="K404" s="10">
        <v>0</v>
      </c>
      <c r="L404" s="24">
        <v>0</v>
      </c>
      <c r="M404" s="10">
        <v>77.33</v>
      </c>
    </row>
    <row r="405" spans="1:13" x14ac:dyDescent="0.25">
      <c r="A405" s="12" t="str">
        <f t="shared" si="12"/>
        <v>14803VIA TRUCK COMERCIO E SERVICOS LTDANFE46218</v>
      </c>
      <c r="B405" s="12" t="str">
        <f t="shared" si="13"/>
        <v>Agosto</v>
      </c>
      <c r="C405" s="8" t="s">
        <v>419</v>
      </c>
      <c r="D405" s="8" t="s">
        <v>664</v>
      </c>
      <c r="E405" s="8" t="s">
        <v>195</v>
      </c>
      <c r="F405" s="23">
        <v>46218</v>
      </c>
      <c r="G405" s="8" t="s">
        <v>380</v>
      </c>
      <c r="H405" s="23">
        <v>46248</v>
      </c>
      <c r="I405" s="23">
        <v>46220</v>
      </c>
      <c r="J405" s="10">
        <v>767</v>
      </c>
      <c r="K405" s="10">
        <v>0</v>
      </c>
      <c r="L405" s="24">
        <v>0</v>
      </c>
      <c r="M405" s="10">
        <v>767</v>
      </c>
    </row>
    <row r="406" spans="1:13" x14ac:dyDescent="0.25">
      <c r="A406" s="12" t="str">
        <f t="shared" si="12"/>
        <v>14804VIA TRUCK COMERCIO E SERVICOS LTDANFE46218</v>
      </c>
      <c r="B406" s="12" t="str">
        <f t="shared" si="13"/>
        <v>Agosto</v>
      </c>
      <c r="C406" s="8" t="s">
        <v>420</v>
      </c>
      <c r="D406" s="8" t="s">
        <v>664</v>
      </c>
      <c r="E406" s="8" t="s">
        <v>195</v>
      </c>
      <c r="F406" s="23">
        <v>46218</v>
      </c>
      <c r="G406" s="8" t="s">
        <v>380</v>
      </c>
      <c r="H406" s="23">
        <v>46248</v>
      </c>
      <c r="I406" s="23">
        <v>46220</v>
      </c>
      <c r="J406" s="10">
        <v>549.79999999999995</v>
      </c>
      <c r="K406" s="10">
        <v>0</v>
      </c>
      <c r="L406" s="24">
        <v>0</v>
      </c>
      <c r="M406" s="10">
        <v>549.79999999999995</v>
      </c>
    </row>
    <row r="407" spans="1:13" x14ac:dyDescent="0.25">
      <c r="A407" s="12" t="str">
        <f t="shared" si="12"/>
        <v>1486122TRUCKS COM. E TEC. DE RASTREAD. COMUNICAÇÕES LTDANSE46066</v>
      </c>
      <c r="B407" s="12" t="str">
        <f t="shared" si="13"/>
        <v>Março</v>
      </c>
      <c r="C407" s="8" t="s">
        <v>728</v>
      </c>
      <c r="D407" s="8" t="s">
        <v>1354</v>
      </c>
      <c r="E407" s="8" t="s">
        <v>191</v>
      </c>
      <c r="F407" s="23">
        <v>46066</v>
      </c>
      <c r="G407" s="8" t="s">
        <v>665</v>
      </c>
      <c r="H407" s="23">
        <v>46087</v>
      </c>
      <c r="I407" s="23">
        <v>46066</v>
      </c>
      <c r="J407" s="10">
        <v>1477.83</v>
      </c>
      <c r="K407" s="10">
        <v>0</v>
      </c>
      <c r="L407" s="24">
        <v>0</v>
      </c>
      <c r="M407" s="10">
        <v>1477.83</v>
      </c>
    </row>
    <row r="408" spans="1:13" x14ac:dyDescent="0.25">
      <c r="A408" s="12" t="str">
        <f t="shared" si="12"/>
        <v>1487AVANSAT TECNOLOGIAS E SERVS EM SEGURANCA LTDAFT46119</v>
      </c>
      <c r="B408" s="12" t="str">
        <f t="shared" si="13"/>
        <v>Maio</v>
      </c>
      <c r="C408" s="8" t="s">
        <v>246</v>
      </c>
      <c r="D408" s="8" t="s">
        <v>1354</v>
      </c>
      <c r="E408" s="8" t="s">
        <v>24</v>
      </c>
      <c r="F408" s="23">
        <v>46119</v>
      </c>
      <c r="G408" s="8" t="s">
        <v>232</v>
      </c>
      <c r="H408" s="23">
        <v>46148</v>
      </c>
      <c r="I408" s="23">
        <v>46120</v>
      </c>
      <c r="J408" s="10">
        <v>59176.89</v>
      </c>
      <c r="K408" s="10">
        <v>0</v>
      </c>
      <c r="L408" s="24">
        <v>0</v>
      </c>
      <c r="M408" s="10">
        <v>59176.89</v>
      </c>
    </row>
    <row r="409" spans="1:13" x14ac:dyDescent="0.25">
      <c r="A409" s="12" t="str">
        <f t="shared" si="12"/>
        <v>14897VIA TRUCK COMERCIO E SERVICOS LTDANFE46266</v>
      </c>
      <c r="B409" s="12" t="str">
        <f t="shared" si="13"/>
        <v>Outubro</v>
      </c>
      <c r="C409" s="8" t="s">
        <v>421</v>
      </c>
      <c r="D409" s="8" t="s">
        <v>664</v>
      </c>
      <c r="E409" s="8" t="s">
        <v>195</v>
      </c>
      <c r="F409" s="23">
        <v>46266</v>
      </c>
      <c r="G409" s="8" t="s">
        <v>380</v>
      </c>
      <c r="H409" s="23">
        <v>46296</v>
      </c>
      <c r="I409" s="23">
        <v>46273</v>
      </c>
      <c r="J409" s="10">
        <v>46</v>
      </c>
      <c r="K409" s="10">
        <v>0</v>
      </c>
      <c r="L409" s="24">
        <v>0</v>
      </c>
      <c r="M409" s="10">
        <v>46</v>
      </c>
    </row>
    <row r="410" spans="1:13" x14ac:dyDescent="0.25">
      <c r="A410" s="12" t="str">
        <f t="shared" si="12"/>
        <v>14898VIA TRUCK COMERCIO E SERVICOS LTDANFE46266</v>
      </c>
      <c r="B410" s="12" t="str">
        <f t="shared" si="13"/>
        <v>Outubro</v>
      </c>
      <c r="C410" s="8" t="s">
        <v>422</v>
      </c>
      <c r="D410" s="8" t="s">
        <v>664</v>
      </c>
      <c r="E410" s="8" t="s">
        <v>195</v>
      </c>
      <c r="F410" s="23">
        <v>46266</v>
      </c>
      <c r="G410" s="8" t="s">
        <v>380</v>
      </c>
      <c r="H410" s="23">
        <v>46296</v>
      </c>
      <c r="I410" s="23">
        <v>46273</v>
      </c>
      <c r="J410" s="10">
        <v>449.4</v>
      </c>
      <c r="K410" s="10">
        <v>0</v>
      </c>
      <c r="L410" s="24">
        <v>0</v>
      </c>
      <c r="M410" s="10">
        <v>449.4</v>
      </c>
    </row>
    <row r="411" spans="1:13" x14ac:dyDescent="0.25">
      <c r="A411" s="12" t="str">
        <f t="shared" si="12"/>
        <v>15FRANCISCO MARCIO CESAR DE MATOSRCB46029,4319444444</v>
      </c>
      <c r="B411" s="12" t="str">
        <f t="shared" si="13"/>
        <v>Janeiro</v>
      </c>
      <c r="C411" s="8" t="s">
        <v>729</v>
      </c>
      <c r="D411" s="8" t="s">
        <v>664</v>
      </c>
      <c r="E411" s="8" t="s">
        <v>72</v>
      </c>
      <c r="F411" s="23">
        <v>46029.431944444441</v>
      </c>
      <c r="G411" s="8" t="s">
        <v>1045</v>
      </c>
      <c r="H411" s="23">
        <v>46034</v>
      </c>
      <c r="I411" s="23">
        <v>46029.431944444441</v>
      </c>
      <c r="J411" s="10">
        <v>60</v>
      </c>
      <c r="K411" s="10">
        <v>0</v>
      </c>
      <c r="L411" s="24">
        <v>0</v>
      </c>
      <c r="M411" s="10">
        <v>60</v>
      </c>
    </row>
    <row r="412" spans="1:13" x14ac:dyDescent="0.25">
      <c r="A412" s="12" t="str">
        <f t="shared" si="12"/>
        <v>15GUSTAVO HENRIQUE DE SOUZA BARBOSARCB46043,4159722222</v>
      </c>
      <c r="B412" s="12" t="str">
        <f t="shared" si="13"/>
        <v>Janeiro</v>
      </c>
      <c r="C412" s="8" t="s">
        <v>729</v>
      </c>
      <c r="D412" s="8" t="s">
        <v>664</v>
      </c>
      <c r="E412" s="8" t="s">
        <v>79</v>
      </c>
      <c r="F412" s="23">
        <v>46043.415972222225</v>
      </c>
      <c r="G412" s="8" t="s">
        <v>1045</v>
      </c>
      <c r="H412" s="23">
        <v>46048</v>
      </c>
      <c r="I412" s="23">
        <v>46043.415972222225</v>
      </c>
      <c r="J412" s="10">
        <v>112</v>
      </c>
      <c r="K412" s="10">
        <v>0</v>
      </c>
      <c r="L412" s="24">
        <v>0</v>
      </c>
      <c r="M412" s="10">
        <v>112</v>
      </c>
    </row>
    <row r="413" spans="1:13" x14ac:dyDescent="0.25">
      <c r="A413" s="12" t="str">
        <f t="shared" si="12"/>
        <v>15EDILSON RIBEIRO DA SILVARCB46066,5805555556</v>
      </c>
      <c r="B413" s="12" t="str">
        <f t="shared" si="13"/>
        <v>Fevereiro</v>
      </c>
      <c r="C413" s="8" t="s">
        <v>729</v>
      </c>
      <c r="D413" s="8" t="s">
        <v>664</v>
      </c>
      <c r="E413" s="8" t="s">
        <v>56</v>
      </c>
      <c r="F413" s="23">
        <v>46066.580555555556</v>
      </c>
      <c r="G413" s="8" t="s">
        <v>1045</v>
      </c>
      <c r="H413" s="23">
        <v>46071</v>
      </c>
      <c r="I413" s="23">
        <v>46066.580555555556</v>
      </c>
      <c r="J413" s="10">
        <v>60</v>
      </c>
      <c r="K413" s="10">
        <v>0</v>
      </c>
      <c r="L413" s="24">
        <v>0</v>
      </c>
      <c r="M413" s="10">
        <v>60</v>
      </c>
    </row>
    <row r="414" spans="1:13" x14ac:dyDescent="0.25">
      <c r="A414" s="12" t="str">
        <f t="shared" si="12"/>
        <v>15ZAMBALDI AUTO CENTER LTDANSE46042</v>
      </c>
      <c r="B414" s="12" t="str">
        <f t="shared" si="13"/>
        <v>Fevereiro</v>
      </c>
      <c r="C414" s="8" t="s">
        <v>729</v>
      </c>
      <c r="D414" s="8" t="s">
        <v>1354</v>
      </c>
      <c r="E414" s="8" t="s">
        <v>204</v>
      </c>
      <c r="F414" s="23">
        <v>46042</v>
      </c>
      <c r="G414" s="8" t="s">
        <v>665</v>
      </c>
      <c r="H414" s="23">
        <v>46073</v>
      </c>
      <c r="I414" s="23">
        <v>46042</v>
      </c>
      <c r="J414" s="10">
        <v>1050</v>
      </c>
      <c r="K414" s="10">
        <v>0</v>
      </c>
      <c r="L414" s="24">
        <v>0</v>
      </c>
      <c r="M414" s="10">
        <v>1050</v>
      </c>
    </row>
    <row r="415" spans="1:13" x14ac:dyDescent="0.25">
      <c r="A415" s="12" t="str">
        <f t="shared" si="12"/>
        <v>15VITOR SOUZA SILVARCB46078,59375</v>
      </c>
      <c r="B415" s="12" t="str">
        <f t="shared" si="13"/>
        <v>Março</v>
      </c>
      <c r="C415" s="8" t="s">
        <v>729</v>
      </c>
      <c r="D415" s="8" t="s">
        <v>664</v>
      </c>
      <c r="E415" s="8" t="s">
        <v>199</v>
      </c>
      <c r="F415" s="23">
        <v>46078.59375</v>
      </c>
      <c r="G415" s="8" t="s">
        <v>1045</v>
      </c>
      <c r="H415" s="23">
        <v>46083</v>
      </c>
      <c r="I415" s="23">
        <v>46078.59375</v>
      </c>
      <c r="J415" s="10">
        <v>101.5</v>
      </c>
      <c r="K415" s="10">
        <v>0</v>
      </c>
      <c r="L415" s="24">
        <v>0</v>
      </c>
      <c r="M415" s="10">
        <v>101.5</v>
      </c>
    </row>
    <row r="416" spans="1:13" x14ac:dyDescent="0.25">
      <c r="A416" s="12" t="str">
        <f t="shared" si="12"/>
        <v>15GABRIEL MOUTINHO ALBINORCB46091,3881944444</v>
      </c>
      <c r="B416" s="12" t="str">
        <f t="shared" si="13"/>
        <v>Março</v>
      </c>
      <c r="C416" s="8" t="s">
        <v>729</v>
      </c>
      <c r="D416" s="8" t="s">
        <v>664</v>
      </c>
      <c r="E416" s="8" t="s">
        <v>73</v>
      </c>
      <c r="F416" s="23">
        <v>46091.388194444444</v>
      </c>
      <c r="G416" s="8" t="s">
        <v>1045</v>
      </c>
      <c r="H416" s="23">
        <v>46094</v>
      </c>
      <c r="I416" s="23">
        <v>46091.388194444444</v>
      </c>
      <c r="J416" s="10">
        <v>210</v>
      </c>
      <c r="K416" s="10">
        <v>0</v>
      </c>
      <c r="L416" s="24">
        <v>0</v>
      </c>
      <c r="M416" s="10">
        <v>210</v>
      </c>
    </row>
    <row r="417" spans="1:13" x14ac:dyDescent="0.25">
      <c r="A417" s="12" t="str">
        <f t="shared" si="12"/>
        <v>15WALACE ROCHA DE SOUZARCB46094,6354166667</v>
      </c>
      <c r="B417" s="12" t="str">
        <f t="shared" si="13"/>
        <v>Março</v>
      </c>
      <c r="C417" s="8" t="s">
        <v>729</v>
      </c>
      <c r="D417" s="8" t="s">
        <v>664</v>
      </c>
      <c r="E417" s="8" t="s">
        <v>200</v>
      </c>
      <c r="F417" s="23">
        <v>46094.635416666664</v>
      </c>
      <c r="G417" s="8" t="s">
        <v>1045</v>
      </c>
      <c r="H417" s="23">
        <v>46099</v>
      </c>
      <c r="I417" s="23">
        <v>46094.635416666664</v>
      </c>
      <c r="J417" s="10">
        <v>70.87</v>
      </c>
      <c r="K417" s="10">
        <v>0</v>
      </c>
      <c r="L417" s="24">
        <v>0</v>
      </c>
      <c r="M417" s="10">
        <v>70.87</v>
      </c>
    </row>
    <row r="418" spans="1:13" x14ac:dyDescent="0.25">
      <c r="A418" s="12" t="str">
        <f t="shared" si="12"/>
        <v>15MECANICA CRISTO REI LTDANSE46071</v>
      </c>
      <c r="B418" s="12" t="str">
        <f t="shared" si="13"/>
        <v>Março</v>
      </c>
      <c r="C418" s="8" t="s">
        <v>729</v>
      </c>
      <c r="D418" s="8" t="s">
        <v>1354</v>
      </c>
      <c r="E418" s="8" t="s">
        <v>125</v>
      </c>
      <c r="F418" s="23">
        <v>46071</v>
      </c>
      <c r="G418" s="8" t="s">
        <v>665</v>
      </c>
      <c r="H418" s="23">
        <v>46101</v>
      </c>
      <c r="I418" s="23">
        <v>46079</v>
      </c>
      <c r="J418" s="10">
        <v>280</v>
      </c>
      <c r="K418" s="10">
        <v>0</v>
      </c>
      <c r="L418" s="24">
        <v>0</v>
      </c>
      <c r="M418" s="10">
        <v>270.48</v>
      </c>
    </row>
    <row r="419" spans="1:13" x14ac:dyDescent="0.25">
      <c r="A419" s="12" t="str">
        <f t="shared" si="12"/>
        <v>15VANDIEGO MARQUES DA SILVA SANTOSRCB46101,6222222222</v>
      </c>
      <c r="B419" s="12" t="str">
        <f t="shared" si="13"/>
        <v>Março</v>
      </c>
      <c r="C419" s="8" t="s">
        <v>729</v>
      </c>
      <c r="D419" s="8" t="s">
        <v>664</v>
      </c>
      <c r="E419" s="8" t="s">
        <v>194</v>
      </c>
      <c r="F419" s="23">
        <v>46101.62222222222</v>
      </c>
      <c r="G419" s="8" t="s">
        <v>1045</v>
      </c>
      <c r="H419" s="23">
        <v>46106</v>
      </c>
      <c r="I419" s="23">
        <v>46101.62222222222</v>
      </c>
      <c r="J419" s="10">
        <v>60</v>
      </c>
      <c r="K419" s="10">
        <v>0</v>
      </c>
      <c r="L419" s="24">
        <v>0</v>
      </c>
      <c r="M419" s="10">
        <v>60</v>
      </c>
    </row>
    <row r="420" spans="1:13" x14ac:dyDescent="0.25">
      <c r="A420" s="12" t="str">
        <f t="shared" si="12"/>
        <v>15ANTONIO ALCIDES AFONSONSE46120</v>
      </c>
      <c r="B420" s="12" t="str">
        <f t="shared" si="13"/>
        <v>Maio</v>
      </c>
      <c r="C420" s="8" t="s">
        <v>729</v>
      </c>
      <c r="D420" s="8" t="s">
        <v>1354</v>
      </c>
      <c r="E420" s="8" t="s">
        <v>18</v>
      </c>
      <c r="F420" s="23">
        <v>46120</v>
      </c>
      <c r="G420" s="8" t="s">
        <v>665</v>
      </c>
      <c r="H420" s="23">
        <v>46148</v>
      </c>
      <c r="I420" s="23">
        <v>46121</v>
      </c>
      <c r="J420" s="10">
        <v>350</v>
      </c>
      <c r="K420" s="10">
        <v>0</v>
      </c>
      <c r="L420" s="24">
        <v>0</v>
      </c>
      <c r="M420" s="10">
        <v>350</v>
      </c>
    </row>
    <row r="421" spans="1:13" x14ac:dyDescent="0.25">
      <c r="A421" s="12" t="str">
        <f t="shared" si="12"/>
        <v>15CAMPOS VEICULOS LTDA - PRIME AUTO CENTERNSE46126</v>
      </c>
      <c r="B421" s="12" t="str">
        <f t="shared" si="13"/>
        <v>Maio</v>
      </c>
      <c r="C421" s="8" t="s">
        <v>729</v>
      </c>
      <c r="D421" s="8" t="s">
        <v>1354</v>
      </c>
      <c r="E421" s="8" t="s">
        <v>35</v>
      </c>
      <c r="F421" s="23">
        <v>46126</v>
      </c>
      <c r="G421" s="8" t="s">
        <v>665</v>
      </c>
      <c r="H421" s="23">
        <v>46157</v>
      </c>
      <c r="I421" s="23">
        <v>46141</v>
      </c>
      <c r="J421" s="10">
        <v>2150</v>
      </c>
      <c r="K421" s="10">
        <v>0</v>
      </c>
      <c r="L421" s="24">
        <v>0</v>
      </c>
      <c r="M421" s="10">
        <v>2064</v>
      </c>
    </row>
    <row r="422" spans="1:13" x14ac:dyDescent="0.25">
      <c r="A422" s="12" t="str">
        <f t="shared" si="12"/>
        <v>15FERNANDA SANTOS SOARESRCB46164,6625</v>
      </c>
      <c r="B422" s="12" t="str">
        <f t="shared" si="13"/>
        <v>Maio</v>
      </c>
      <c r="C422" s="8" t="s">
        <v>729</v>
      </c>
      <c r="D422" s="8" t="s">
        <v>664</v>
      </c>
      <c r="E422" s="8" t="s">
        <v>68</v>
      </c>
      <c r="F422" s="23">
        <v>46164.662499999999</v>
      </c>
      <c r="G422" s="8" t="s">
        <v>1045</v>
      </c>
      <c r="H422" s="23">
        <v>46169</v>
      </c>
      <c r="I422" s="23">
        <v>46164.662499999999</v>
      </c>
      <c r="J422" s="10">
        <v>39.9</v>
      </c>
      <c r="K422" s="10">
        <v>0</v>
      </c>
      <c r="L422" s="24">
        <v>0</v>
      </c>
      <c r="M422" s="10">
        <v>39.9</v>
      </c>
    </row>
    <row r="423" spans="1:13" x14ac:dyDescent="0.25">
      <c r="A423" s="12" t="str">
        <f t="shared" si="12"/>
        <v>15ANTONIO SILVA DE SOUSARCB46174,40625</v>
      </c>
      <c r="B423" s="12" t="str">
        <f t="shared" si="13"/>
        <v>Junho</v>
      </c>
      <c r="C423" s="8" t="s">
        <v>729</v>
      </c>
      <c r="D423" s="8" t="s">
        <v>664</v>
      </c>
      <c r="E423" s="8" t="s">
        <v>20</v>
      </c>
      <c r="F423" s="23">
        <v>46174.40625</v>
      </c>
      <c r="G423" s="8" t="s">
        <v>1045</v>
      </c>
      <c r="H423" s="23">
        <v>46178</v>
      </c>
      <c r="I423" s="23">
        <v>46174.40625</v>
      </c>
      <c r="J423" s="10">
        <v>95</v>
      </c>
      <c r="K423" s="10">
        <v>0</v>
      </c>
      <c r="L423" s="24">
        <v>0</v>
      </c>
      <c r="M423" s="10">
        <v>95</v>
      </c>
    </row>
    <row r="424" spans="1:13" x14ac:dyDescent="0.25">
      <c r="A424" s="12" t="str">
        <f t="shared" si="12"/>
        <v>15HIGOR RODNEY CIMINI DA COSTANSE46147</v>
      </c>
      <c r="B424" s="12" t="str">
        <f t="shared" si="13"/>
        <v>Junho</v>
      </c>
      <c r="C424" s="8" t="s">
        <v>729</v>
      </c>
      <c r="D424" s="8" t="s">
        <v>1354</v>
      </c>
      <c r="E424" s="8" t="s">
        <v>85</v>
      </c>
      <c r="F424" s="23">
        <v>46147</v>
      </c>
      <c r="G424" s="8" t="s">
        <v>665</v>
      </c>
      <c r="H424" s="23">
        <v>46181</v>
      </c>
      <c r="I424" s="23">
        <v>46153</v>
      </c>
      <c r="J424" s="10">
        <v>10200</v>
      </c>
      <c r="K424" s="10">
        <v>0</v>
      </c>
      <c r="L424" s="24">
        <v>0</v>
      </c>
      <c r="M424" s="10">
        <v>9996</v>
      </c>
    </row>
    <row r="425" spans="1:13" x14ac:dyDescent="0.25">
      <c r="A425" s="12" t="str">
        <f t="shared" si="12"/>
        <v>15DANIELA CHAVES MARIANORCB46190,4583333333</v>
      </c>
      <c r="B425" s="12" t="str">
        <f t="shared" si="13"/>
        <v>Junho</v>
      </c>
      <c r="C425" s="8" t="s">
        <v>729</v>
      </c>
      <c r="D425" s="8" t="s">
        <v>664</v>
      </c>
      <c r="E425" s="8" t="s">
        <v>47</v>
      </c>
      <c r="F425" s="23">
        <v>46190.458333333336</v>
      </c>
      <c r="G425" s="8" t="s">
        <v>1045</v>
      </c>
      <c r="H425" s="23">
        <v>46195</v>
      </c>
      <c r="I425" s="23">
        <v>46190.458333333336</v>
      </c>
      <c r="J425" s="10">
        <v>115</v>
      </c>
      <c r="K425" s="10">
        <v>0</v>
      </c>
      <c r="L425" s="24">
        <v>0</v>
      </c>
      <c r="M425" s="10">
        <v>115</v>
      </c>
    </row>
    <row r="426" spans="1:13" x14ac:dyDescent="0.25">
      <c r="A426" s="12" t="str">
        <f t="shared" si="12"/>
        <v>15JESLEY WILLIAM MIRANDA DE SOUZARCB46218,3909722222</v>
      </c>
      <c r="B426" s="12" t="str">
        <f t="shared" si="13"/>
        <v>Julho</v>
      </c>
      <c r="C426" s="8" t="s">
        <v>729</v>
      </c>
      <c r="D426" s="8" t="s">
        <v>664</v>
      </c>
      <c r="E426" s="8" t="s">
        <v>90</v>
      </c>
      <c r="F426" s="23">
        <v>46218.390972222223</v>
      </c>
      <c r="G426" s="8" t="s">
        <v>1045</v>
      </c>
      <c r="H426" s="23">
        <v>46223</v>
      </c>
      <c r="I426" s="23">
        <v>46218.390972222223</v>
      </c>
      <c r="J426" s="10">
        <v>120</v>
      </c>
      <c r="K426" s="10">
        <v>0</v>
      </c>
      <c r="L426" s="24">
        <v>0</v>
      </c>
      <c r="M426" s="10">
        <v>120</v>
      </c>
    </row>
    <row r="427" spans="1:13" x14ac:dyDescent="0.25">
      <c r="A427" s="12" t="str">
        <f t="shared" si="12"/>
        <v>15CORREIOS AGUA BRANCARCB46219,4333333333</v>
      </c>
      <c r="B427" s="12" t="str">
        <f t="shared" si="13"/>
        <v>Julho</v>
      </c>
      <c r="C427" s="8" t="s">
        <v>729</v>
      </c>
      <c r="D427" s="8" t="s">
        <v>664</v>
      </c>
      <c r="E427" s="8" t="s">
        <v>45</v>
      </c>
      <c r="F427" s="23">
        <v>46219.433333333334</v>
      </c>
      <c r="G427" s="8" t="s">
        <v>1045</v>
      </c>
      <c r="H427" s="23">
        <v>46224</v>
      </c>
      <c r="I427" s="23">
        <v>46219.433333333334</v>
      </c>
      <c r="J427" s="10">
        <v>229.58</v>
      </c>
      <c r="K427" s="10">
        <v>0</v>
      </c>
      <c r="L427" s="24">
        <v>0</v>
      </c>
      <c r="M427" s="10">
        <v>229.58</v>
      </c>
    </row>
    <row r="428" spans="1:13" x14ac:dyDescent="0.25">
      <c r="A428" s="12" t="str">
        <f t="shared" si="12"/>
        <v>15VALDECI TONIMRCB46220,3708333333</v>
      </c>
      <c r="B428" s="12" t="str">
        <f t="shared" si="13"/>
        <v>Julho</v>
      </c>
      <c r="C428" s="8" t="s">
        <v>729</v>
      </c>
      <c r="D428" s="8" t="s">
        <v>664</v>
      </c>
      <c r="E428" s="8" t="s">
        <v>193</v>
      </c>
      <c r="F428" s="23">
        <v>46220.370833333334</v>
      </c>
      <c r="G428" s="8" t="s">
        <v>1045</v>
      </c>
      <c r="H428" s="23">
        <v>46225</v>
      </c>
      <c r="I428" s="23">
        <v>46220.370833333334</v>
      </c>
      <c r="J428" s="10">
        <v>97</v>
      </c>
      <c r="K428" s="10">
        <v>0</v>
      </c>
      <c r="L428" s="24">
        <v>0</v>
      </c>
      <c r="M428" s="10">
        <v>97</v>
      </c>
    </row>
    <row r="429" spans="1:13" x14ac:dyDescent="0.25">
      <c r="A429" s="12" t="str">
        <f t="shared" si="12"/>
        <v>15WESLLEY FRANCO CALVISRCB46231,4909722222</v>
      </c>
      <c r="B429" s="12" t="str">
        <f t="shared" si="13"/>
        <v>Julho</v>
      </c>
      <c r="C429" s="8" t="s">
        <v>729</v>
      </c>
      <c r="D429" s="8" t="s">
        <v>664</v>
      </c>
      <c r="E429" s="8" t="s">
        <v>202</v>
      </c>
      <c r="F429" s="23">
        <v>46231.490972222222</v>
      </c>
      <c r="G429" s="8" t="s">
        <v>1045</v>
      </c>
      <c r="H429" s="23">
        <v>46234</v>
      </c>
      <c r="I429" s="23">
        <v>46231.490972222222</v>
      </c>
      <c r="J429" s="10">
        <v>60</v>
      </c>
      <c r="K429" s="10">
        <v>0</v>
      </c>
      <c r="L429" s="24">
        <v>0</v>
      </c>
      <c r="M429" s="10">
        <v>60</v>
      </c>
    </row>
    <row r="430" spans="1:13" x14ac:dyDescent="0.25">
      <c r="A430" s="12" t="str">
        <f t="shared" si="12"/>
        <v>15RAFAEL RODRIGUESRCB46238,3694444444</v>
      </c>
      <c r="B430" s="12" t="str">
        <f t="shared" si="13"/>
        <v>Agosto</v>
      </c>
      <c r="C430" s="8" t="s">
        <v>729</v>
      </c>
      <c r="D430" s="8" t="s">
        <v>664</v>
      </c>
      <c r="E430" s="8" t="s">
        <v>161</v>
      </c>
      <c r="F430" s="23">
        <v>46238.369444444441</v>
      </c>
      <c r="G430" s="8" t="s">
        <v>1045</v>
      </c>
      <c r="H430" s="23">
        <v>46241</v>
      </c>
      <c r="I430" s="23">
        <v>46238.369444444441</v>
      </c>
      <c r="J430" s="10">
        <v>100</v>
      </c>
      <c r="K430" s="10">
        <v>0</v>
      </c>
      <c r="L430" s="24">
        <v>0</v>
      </c>
      <c r="M430" s="10">
        <v>100</v>
      </c>
    </row>
    <row r="431" spans="1:13" x14ac:dyDescent="0.25">
      <c r="A431" s="12" t="str">
        <f t="shared" si="12"/>
        <v>15ANTONIO CARLOS DA COSTARCB46280,4208333333</v>
      </c>
      <c r="B431" s="12" t="str">
        <f t="shared" si="13"/>
        <v>Setembro</v>
      </c>
      <c r="C431" s="8" t="s">
        <v>729</v>
      </c>
      <c r="D431" s="8" t="s">
        <v>664</v>
      </c>
      <c r="E431" s="8" t="s">
        <v>19</v>
      </c>
      <c r="F431" s="23">
        <v>46280.42083333333</v>
      </c>
      <c r="G431" s="8" t="s">
        <v>1045</v>
      </c>
      <c r="H431" s="23">
        <v>46283</v>
      </c>
      <c r="I431" s="23">
        <v>46280.42083333333</v>
      </c>
      <c r="J431" s="10">
        <v>204.67</v>
      </c>
      <c r="K431" s="10">
        <v>0</v>
      </c>
      <c r="L431" s="24">
        <v>0</v>
      </c>
      <c r="M431" s="10">
        <v>204.67</v>
      </c>
    </row>
    <row r="432" spans="1:13" x14ac:dyDescent="0.25">
      <c r="A432" s="12" t="str">
        <f t="shared" si="12"/>
        <v>15CARLOS ANTONIO PINTORCB46284,3701388889</v>
      </c>
      <c r="B432" s="12" t="str">
        <f t="shared" si="13"/>
        <v>Setembro</v>
      </c>
      <c r="C432" s="8" t="s">
        <v>729</v>
      </c>
      <c r="D432" s="8" t="s">
        <v>664</v>
      </c>
      <c r="E432" s="8" t="s">
        <v>36</v>
      </c>
      <c r="F432" s="23">
        <v>46284.370138888888</v>
      </c>
      <c r="G432" s="8" t="s">
        <v>1045</v>
      </c>
      <c r="H432" s="23">
        <v>46289</v>
      </c>
      <c r="I432" s="23">
        <v>46284.370138888888</v>
      </c>
      <c r="J432" s="10">
        <v>191.3</v>
      </c>
      <c r="K432" s="10">
        <v>0</v>
      </c>
      <c r="L432" s="24">
        <v>0</v>
      </c>
      <c r="M432" s="10">
        <v>191.3</v>
      </c>
    </row>
    <row r="433" spans="1:13" x14ac:dyDescent="0.25">
      <c r="A433" s="12" t="str">
        <f t="shared" si="12"/>
        <v>150CERCEAU TRANSPORTE E TURISMO LTDANSE46214</v>
      </c>
      <c r="B433" s="12" t="str">
        <f t="shared" si="13"/>
        <v>Julho</v>
      </c>
      <c r="C433" s="8" t="s">
        <v>730</v>
      </c>
      <c r="D433" s="8" t="s">
        <v>1354</v>
      </c>
      <c r="E433" s="8" t="s">
        <v>41</v>
      </c>
      <c r="F433" s="23">
        <v>46214</v>
      </c>
      <c r="G433" s="8" t="s">
        <v>665</v>
      </c>
      <c r="H433" s="23">
        <v>46216</v>
      </c>
      <c r="I433" s="23">
        <v>46214</v>
      </c>
      <c r="J433" s="10">
        <v>1100</v>
      </c>
      <c r="K433" s="10">
        <v>0</v>
      </c>
      <c r="L433" s="24">
        <v>0</v>
      </c>
      <c r="M433" s="10">
        <v>1100</v>
      </c>
    </row>
    <row r="434" spans="1:13" x14ac:dyDescent="0.25">
      <c r="A434" s="12" t="str">
        <f t="shared" si="12"/>
        <v>1500993DOCUSIGN BRASIL SOLUCOES EM TECNOLOGIA LTDANFS46247</v>
      </c>
      <c r="B434" s="12" t="str">
        <f t="shared" si="13"/>
        <v>Agosto</v>
      </c>
      <c r="C434" s="8" t="s">
        <v>626</v>
      </c>
      <c r="D434" s="8" t="s">
        <v>1400</v>
      </c>
      <c r="E434" s="8" t="s">
        <v>54</v>
      </c>
      <c r="F434" s="23">
        <v>46247</v>
      </c>
      <c r="G434" s="8" t="s">
        <v>614</v>
      </c>
      <c r="H434" s="23">
        <v>46260</v>
      </c>
      <c r="I434" s="23">
        <v>46253</v>
      </c>
      <c r="J434" s="10">
        <v>307.69</v>
      </c>
      <c r="K434" s="10">
        <v>0</v>
      </c>
      <c r="L434" s="24">
        <v>0</v>
      </c>
      <c r="M434" s="10">
        <v>307.69</v>
      </c>
    </row>
    <row r="435" spans="1:13" x14ac:dyDescent="0.25">
      <c r="A435" s="12" t="str">
        <f t="shared" si="12"/>
        <v>1500996DOCUSIGN BRASIL SOLUCOES EM TECNOLOGIA LTDANFS46247</v>
      </c>
      <c r="B435" s="12" t="str">
        <f t="shared" si="13"/>
        <v>Agosto</v>
      </c>
      <c r="C435" s="8" t="s">
        <v>627</v>
      </c>
      <c r="D435" s="8" t="s">
        <v>1400</v>
      </c>
      <c r="E435" s="8" t="s">
        <v>54</v>
      </c>
      <c r="F435" s="23">
        <v>46247</v>
      </c>
      <c r="G435" s="8" t="s">
        <v>614</v>
      </c>
      <c r="H435" s="23">
        <v>46260</v>
      </c>
      <c r="I435" s="23">
        <v>46253</v>
      </c>
      <c r="J435" s="10">
        <v>52.31</v>
      </c>
      <c r="K435" s="10">
        <v>0</v>
      </c>
      <c r="L435" s="24">
        <v>0</v>
      </c>
      <c r="M435" s="10">
        <v>52.31</v>
      </c>
    </row>
    <row r="436" spans="1:13" x14ac:dyDescent="0.25">
      <c r="A436" s="12" t="str">
        <f t="shared" si="12"/>
        <v>1503AVANSAT TECNOLOGIAS E SERVS EM SEGURANCA LTDAFT46148</v>
      </c>
      <c r="B436" s="12" t="str">
        <f t="shared" si="13"/>
        <v>Junho</v>
      </c>
      <c r="C436" s="8" t="s">
        <v>247</v>
      </c>
      <c r="D436" s="8" t="s">
        <v>1354</v>
      </c>
      <c r="E436" s="8" t="s">
        <v>24</v>
      </c>
      <c r="F436" s="23">
        <v>46148</v>
      </c>
      <c r="G436" s="8" t="s">
        <v>232</v>
      </c>
      <c r="H436" s="23">
        <v>46179</v>
      </c>
      <c r="I436" s="23">
        <v>46153</v>
      </c>
      <c r="J436" s="10">
        <v>59176.89</v>
      </c>
      <c r="K436" s="10">
        <v>0</v>
      </c>
      <c r="L436" s="24">
        <v>0</v>
      </c>
      <c r="M436" s="10">
        <v>59176.89</v>
      </c>
    </row>
    <row r="437" spans="1:13" x14ac:dyDescent="0.25">
      <c r="A437" s="12" t="str">
        <f t="shared" si="12"/>
        <v>1515691DOCUSIGN BRASIL SOLUCOES EM TECNOLOGIA LTDANFS46274</v>
      </c>
      <c r="B437" s="12" t="str">
        <f t="shared" si="13"/>
        <v>Setembro</v>
      </c>
      <c r="C437" s="8" t="s">
        <v>628</v>
      </c>
      <c r="D437" s="8" t="s">
        <v>1400</v>
      </c>
      <c r="E437" s="8" t="s">
        <v>54</v>
      </c>
      <c r="F437" s="23">
        <v>46274</v>
      </c>
      <c r="G437" s="8" t="s">
        <v>614</v>
      </c>
      <c r="H437" s="23">
        <v>46287</v>
      </c>
      <c r="I437" s="23">
        <v>46279</v>
      </c>
      <c r="J437" s="10">
        <v>307.69</v>
      </c>
      <c r="K437" s="10">
        <v>0</v>
      </c>
      <c r="L437" s="24">
        <v>0</v>
      </c>
      <c r="M437" s="10">
        <v>307.69</v>
      </c>
    </row>
    <row r="438" spans="1:13" x14ac:dyDescent="0.25">
      <c r="A438" s="12" t="str">
        <f t="shared" si="12"/>
        <v>1515695DOCUSIGN BRASIL SOLUCOES EM TECNOLOGIA LTDANFS46274</v>
      </c>
      <c r="B438" s="12" t="str">
        <f t="shared" si="13"/>
        <v>Setembro</v>
      </c>
      <c r="C438" s="8" t="s">
        <v>629</v>
      </c>
      <c r="D438" s="8" t="s">
        <v>1400</v>
      </c>
      <c r="E438" s="8" t="s">
        <v>54</v>
      </c>
      <c r="F438" s="23">
        <v>46274</v>
      </c>
      <c r="G438" s="8" t="s">
        <v>614</v>
      </c>
      <c r="H438" s="23">
        <v>46287</v>
      </c>
      <c r="I438" s="23">
        <v>46279</v>
      </c>
      <c r="J438" s="10">
        <v>52.31</v>
      </c>
      <c r="K438" s="10">
        <v>0</v>
      </c>
      <c r="L438" s="24">
        <v>0</v>
      </c>
      <c r="M438" s="10">
        <v>52.31</v>
      </c>
    </row>
    <row r="439" spans="1:13" x14ac:dyDescent="0.25">
      <c r="A439" s="12" t="str">
        <f t="shared" si="12"/>
        <v>1521964TRUCKS COM. E TEC. DE RASTREAD. COMUNICAÇÕES LTDANSE46092</v>
      </c>
      <c r="B439" s="12" t="str">
        <f t="shared" si="13"/>
        <v>Abril</v>
      </c>
      <c r="C439" s="8" t="s">
        <v>733</v>
      </c>
      <c r="D439" s="8" t="s">
        <v>1354</v>
      </c>
      <c r="E439" s="8" t="s">
        <v>191</v>
      </c>
      <c r="F439" s="23">
        <v>46092</v>
      </c>
      <c r="G439" s="8" t="s">
        <v>665</v>
      </c>
      <c r="H439" s="23">
        <v>46118</v>
      </c>
      <c r="I439" s="23">
        <v>46093</v>
      </c>
      <c r="J439" s="10">
        <v>1477.08</v>
      </c>
      <c r="K439" s="10">
        <v>0</v>
      </c>
      <c r="L439" s="24">
        <v>0</v>
      </c>
      <c r="M439" s="10">
        <v>1477.08</v>
      </c>
    </row>
    <row r="440" spans="1:13" x14ac:dyDescent="0.25">
      <c r="A440" s="12" t="str">
        <f t="shared" si="12"/>
        <v>1531AVANSAT TECNOLOGIAS E SERVS EM SEGURANCA LTDAFT46178</v>
      </c>
      <c r="B440" s="12" t="str">
        <f t="shared" si="13"/>
        <v>Julho</v>
      </c>
      <c r="C440" s="8" t="s">
        <v>248</v>
      </c>
      <c r="D440" s="8" t="s">
        <v>1354</v>
      </c>
      <c r="E440" s="8" t="s">
        <v>24</v>
      </c>
      <c r="F440" s="23">
        <v>46178</v>
      </c>
      <c r="G440" s="8" t="s">
        <v>232</v>
      </c>
      <c r="H440" s="23">
        <v>46209</v>
      </c>
      <c r="I440" s="23">
        <v>46182</v>
      </c>
      <c r="J440" s="10">
        <v>59176.89</v>
      </c>
      <c r="K440" s="10">
        <v>0</v>
      </c>
      <c r="L440" s="24">
        <v>0</v>
      </c>
      <c r="M440" s="10">
        <v>59176.89</v>
      </c>
    </row>
    <row r="441" spans="1:13" x14ac:dyDescent="0.25">
      <c r="A441" s="12" t="str">
        <f t="shared" si="12"/>
        <v>1531PREVCENTER MANUTENCAO LTDANSE46219</v>
      </c>
      <c r="B441" s="12" t="str">
        <f t="shared" si="13"/>
        <v>Agosto</v>
      </c>
      <c r="C441" s="8" t="s">
        <v>248</v>
      </c>
      <c r="D441" s="8" t="s">
        <v>1400</v>
      </c>
      <c r="E441" s="8" t="s">
        <v>159</v>
      </c>
      <c r="F441" s="23">
        <v>46219</v>
      </c>
      <c r="G441" s="8" t="s">
        <v>665</v>
      </c>
      <c r="H441" s="23">
        <v>46249</v>
      </c>
      <c r="I441" s="23">
        <v>46239</v>
      </c>
      <c r="J441" s="10">
        <v>483.33</v>
      </c>
      <c r="K441" s="10">
        <v>0</v>
      </c>
      <c r="L441" s="24">
        <v>0</v>
      </c>
      <c r="M441" s="10">
        <v>483.33</v>
      </c>
    </row>
    <row r="442" spans="1:13" x14ac:dyDescent="0.25">
      <c r="A442" s="12" t="str">
        <f t="shared" si="12"/>
        <v>1531PREVCENTER MANUTENCAO LTDANSE46219</v>
      </c>
      <c r="B442" s="12" t="str">
        <f t="shared" si="13"/>
        <v>Setembro</v>
      </c>
      <c r="C442" s="8" t="s">
        <v>248</v>
      </c>
      <c r="D442" s="8" t="s">
        <v>1400</v>
      </c>
      <c r="E442" s="8" t="s">
        <v>159</v>
      </c>
      <c r="F442" s="23">
        <v>46219</v>
      </c>
      <c r="G442" s="8" t="s">
        <v>665</v>
      </c>
      <c r="H442" s="23">
        <v>46279</v>
      </c>
      <c r="I442" s="23">
        <v>46239</v>
      </c>
      <c r="J442" s="10">
        <v>483.33</v>
      </c>
      <c r="K442" s="10">
        <v>0</v>
      </c>
      <c r="L442" s="24">
        <v>0</v>
      </c>
      <c r="M442" s="10">
        <v>483.33</v>
      </c>
    </row>
    <row r="443" spans="1:13" x14ac:dyDescent="0.25">
      <c r="A443" s="12" t="str">
        <f t="shared" si="12"/>
        <v>154OFICINA DO LOIRO PECAS E SERVICOS LTDANFS46198</v>
      </c>
      <c r="B443" s="12" t="str">
        <f t="shared" si="13"/>
        <v>Julho</v>
      </c>
      <c r="C443" s="8" t="s">
        <v>630</v>
      </c>
      <c r="D443" s="8" t="s">
        <v>1354</v>
      </c>
      <c r="E443" s="8" t="s">
        <v>143</v>
      </c>
      <c r="F443" s="23">
        <v>46198</v>
      </c>
      <c r="G443" s="8" t="s">
        <v>614</v>
      </c>
      <c r="H443" s="23">
        <v>46228</v>
      </c>
      <c r="I443" s="23">
        <v>46198</v>
      </c>
      <c r="J443" s="10">
        <v>620</v>
      </c>
      <c r="K443" s="10">
        <v>0</v>
      </c>
      <c r="L443" s="24">
        <v>0</v>
      </c>
      <c r="M443" s="10">
        <v>596.63</v>
      </c>
    </row>
    <row r="444" spans="1:13" x14ac:dyDescent="0.25">
      <c r="A444" s="12" t="str">
        <f t="shared" si="12"/>
        <v>1558LL BATERIAS E AUTO-ELETRICA LTDANSE45996</v>
      </c>
      <c r="B444" s="12" t="str">
        <f t="shared" si="13"/>
        <v>Janeiro</v>
      </c>
      <c r="C444" s="8" t="s">
        <v>249</v>
      </c>
      <c r="D444" s="8" t="s">
        <v>1354</v>
      </c>
      <c r="E444" s="8" t="s">
        <v>111</v>
      </c>
      <c r="F444" s="23">
        <v>45996</v>
      </c>
      <c r="G444" s="8" t="s">
        <v>665</v>
      </c>
      <c r="H444" s="23">
        <v>46026</v>
      </c>
      <c r="I444" s="23">
        <v>45999</v>
      </c>
      <c r="J444" s="10">
        <v>430</v>
      </c>
      <c r="K444" s="10">
        <v>0</v>
      </c>
      <c r="L444" s="24">
        <v>0</v>
      </c>
      <c r="M444" s="10">
        <v>413.7</v>
      </c>
    </row>
    <row r="445" spans="1:13" x14ac:dyDescent="0.25">
      <c r="A445" s="12" t="str">
        <f t="shared" si="12"/>
        <v>1558AVANSAT TECNOLOGIAS E SERVS EM SEGURANCA LTDAFT46210</v>
      </c>
      <c r="B445" s="12" t="str">
        <f t="shared" si="13"/>
        <v>Agosto</v>
      </c>
      <c r="C445" s="8" t="s">
        <v>249</v>
      </c>
      <c r="D445" s="8" t="s">
        <v>1354</v>
      </c>
      <c r="E445" s="8" t="s">
        <v>24</v>
      </c>
      <c r="F445" s="23">
        <v>46210</v>
      </c>
      <c r="G445" s="8" t="s">
        <v>232</v>
      </c>
      <c r="H445" s="23">
        <v>46240</v>
      </c>
      <c r="I445" s="23">
        <v>46210</v>
      </c>
      <c r="J445" s="10">
        <v>59176.89</v>
      </c>
      <c r="K445" s="10">
        <v>0</v>
      </c>
      <c r="L445" s="24">
        <v>0</v>
      </c>
      <c r="M445" s="10">
        <v>59176.89</v>
      </c>
    </row>
    <row r="446" spans="1:13" x14ac:dyDescent="0.25">
      <c r="A446" s="12" t="str">
        <f t="shared" si="12"/>
        <v>1558567TRUCKS COM. E TEC. DE RASTREAD. COMUNICAÇÕES LTDANSE46127</v>
      </c>
      <c r="B446" s="12" t="str">
        <f t="shared" si="13"/>
        <v>Maio</v>
      </c>
      <c r="C446" s="8" t="s">
        <v>734</v>
      </c>
      <c r="D446" s="8" t="s">
        <v>1354</v>
      </c>
      <c r="E446" s="8" t="s">
        <v>191</v>
      </c>
      <c r="F446" s="23">
        <v>46127</v>
      </c>
      <c r="G446" s="8" t="s">
        <v>665</v>
      </c>
      <c r="H446" s="23">
        <v>46148</v>
      </c>
      <c r="I446" s="23">
        <v>46128</v>
      </c>
      <c r="J446" s="10">
        <v>1615.49</v>
      </c>
      <c r="K446" s="10">
        <v>0</v>
      </c>
      <c r="L446" s="24">
        <v>0</v>
      </c>
      <c r="M446" s="10">
        <v>1615.49</v>
      </c>
    </row>
    <row r="447" spans="1:13" x14ac:dyDescent="0.25">
      <c r="A447" s="12" t="str">
        <f t="shared" si="12"/>
        <v>15632OCUPACIONAL MEDICINA DO TRABALHO LTDANSE46136</v>
      </c>
      <c r="B447" s="12" t="str">
        <f t="shared" si="13"/>
        <v>Junho</v>
      </c>
      <c r="C447" s="8" t="s">
        <v>735</v>
      </c>
      <c r="D447" s="8" t="s">
        <v>664</v>
      </c>
      <c r="E447" s="8" t="s">
        <v>142</v>
      </c>
      <c r="F447" s="23">
        <v>46136</v>
      </c>
      <c r="G447" s="8" t="s">
        <v>665</v>
      </c>
      <c r="H447" s="23">
        <v>46179</v>
      </c>
      <c r="I447" s="23">
        <v>46139</v>
      </c>
      <c r="J447" s="10">
        <v>658.8</v>
      </c>
      <c r="K447" s="10">
        <v>0</v>
      </c>
      <c r="L447" s="24">
        <v>0</v>
      </c>
      <c r="M447" s="10">
        <v>628.16999999999996</v>
      </c>
    </row>
    <row r="448" spans="1:13" x14ac:dyDescent="0.25">
      <c r="A448" s="12" t="str">
        <f t="shared" si="12"/>
        <v>15632-5952-87MINISTERIO DA FAZENDAIM46142,6125</v>
      </c>
      <c r="B448" s="12" t="str">
        <f t="shared" si="13"/>
        <v>Maio</v>
      </c>
      <c r="C448" s="8" t="s">
        <v>2429</v>
      </c>
      <c r="D448" s="8" t="s">
        <v>664</v>
      </c>
      <c r="E448" s="8" t="s">
        <v>1503</v>
      </c>
      <c r="F448" s="23">
        <v>46142.612500000003</v>
      </c>
      <c r="G448" s="8" t="s">
        <v>1142</v>
      </c>
      <c r="H448" s="23">
        <v>46162</v>
      </c>
      <c r="I448" s="23">
        <v>46142.612500000003</v>
      </c>
      <c r="J448" s="10">
        <v>30.63</v>
      </c>
      <c r="K448" s="10">
        <v>0</v>
      </c>
      <c r="L448" s="24">
        <v>0</v>
      </c>
      <c r="M448" s="10">
        <v>30.63</v>
      </c>
    </row>
    <row r="449" spans="1:13" x14ac:dyDescent="0.25">
      <c r="A449" s="12" t="str">
        <f t="shared" si="12"/>
        <v>15633OCUPACIONAL MEDICINA DO TRABALHO LTDANSE46136</v>
      </c>
      <c r="B449" s="12" t="str">
        <f t="shared" si="13"/>
        <v>Junho</v>
      </c>
      <c r="C449" s="8" t="s">
        <v>736</v>
      </c>
      <c r="D449" s="8" t="s">
        <v>664</v>
      </c>
      <c r="E449" s="8" t="s">
        <v>142</v>
      </c>
      <c r="F449" s="23">
        <v>46136</v>
      </c>
      <c r="G449" s="8" t="s">
        <v>665</v>
      </c>
      <c r="H449" s="23">
        <v>46179</v>
      </c>
      <c r="I449" s="23">
        <v>46139</v>
      </c>
      <c r="J449" s="10">
        <v>658.8</v>
      </c>
      <c r="K449" s="10">
        <v>0</v>
      </c>
      <c r="L449" s="24">
        <v>0</v>
      </c>
      <c r="M449" s="10">
        <v>628.16999999999996</v>
      </c>
    </row>
    <row r="450" spans="1:13" x14ac:dyDescent="0.25">
      <c r="A450" s="12" t="str">
        <f t="shared" ref="A450:A513" si="14">$C450&amp;$E450&amp;$G450&amp;$F450</f>
        <v>15633-5952-87MINISTERIO DA FAZENDAIM46142,61875</v>
      </c>
      <c r="B450" s="12" t="str">
        <f t="shared" si="13"/>
        <v>Maio</v>
      </c>
      <c r="C450" s="8" t="s">
        <v>2430</v>
      </c>
      <c r="D450" s="8" t="s">
        <v>664</v>
      </c>
      <c r="E450" s="8" t="s">
        <v>1503</v>
      </c>
      <c r="F450" s="23">
        <v>46142.618750000001</v>
      </c>
      <c r="G450" s="8" t="s">
        <v>1142</v>
      </c>
      <c r="H450" s="23">
        <v>46162</v>
      </c>
      <c r="I450" s="23">
        <v>46142.618750000001</v>
      </c>
      <c r="J450" s="10">
        <v>30.63</v>
      </c>
      <c r="K450" s="10">
        <v>0</v>
      </c>
      <c r="L450" s="24">
        <v>0</v>
      </c>
      <c r="M450" s="10">
        <v>30.63</v>
      </c>
    </row>
    <row r="451" spans="1:13" x14ac:dyDescent="0.25">
      <c r="A451" s="12" t="str">
        <f t="shared" si="14"/>
        <v>1574MANFERRARI SERVICE LTDANSE46105</v>
      </c>
      <c r="B451" s="12" t="str">
        <f t="shared" ref="B451:B514" si="15">PROPER(TEXT($H451,"MMMM"))</f>
        <v>Maio</v>
      </c>
      <c r="C451" s="8" t="s">
        <v>737</v>
      </c>
      <c r="D451" s="8" t="s">
        <v>1354</v>
      </c>
      <c r="E451" s="8" t="s">
        <v>117</v>
      </c>
      <c r="F451" s="23">
        <v>46105</v>
      </c>
      <c r="G451" s="8" t="s">
        <v>665</v>
      </c>
      <c r="H451" s="23">
        <v>46148</v>
      </c>
      <c r="I451" s="23">
        <v>46105</v>
      </c>
      <c r="J451" s="10">
        <v>200</v>
      </c>
      <c r="K451" s="10">
        <v>0</v>
      </c>
      <c r="L451" s="24">
        <v>0</v>
      </c>
      <c r="M451" s="10">
        <v>196</v>
      </c>
    </row>
    <row r="452" spans="1:13" x14ac:dyDescent="0.25">
      <c r="A452" s="12" t="str">
        <f t="shared" si="14"/>
        <v>158BH ACESSORIOS E PECAS LTDANSE46217</v>
      </c>
      <c r="B452" s="12" t="str">
        <f t="shared" si="15"/>
        <v>Agosto</v>
      </c>
      <c r="C452" s="8" t="s">
        <v>738</v>
      </c>
      <c r="D452" s="8" t="s">
        <v>1354</v>
      </c>
      <c r="E452" s="8" t="s">
        <v>27</v>
      </c>
      <c r="F452" s="23">
        <v>46217</v>
      </c>
      <c r="G452" s="8" t="s">
        <v>665</v>
      </c>
      <c r="H452" s="23">
        <v>46247</v>
      </c>
      <c r="I452" s="23">
        <v>46239</v>
      </c>
      <c r="J452" s="10">
        <v>80</v>
      </c>
      <c r="K452" s="10">
        <v>0</v>
      </c>
      <c r="L452" s="24">
        <v>0</v>
      </c>
      <c r="M452" s="10">
        <v>77.33</v>
      </c>
    </row>
    <row r="453" spans="1:13" x14ac:dyDescent="0.25">
      <c r="A453" s="12" t="str">
        <f t="shared" si="14"/>
        <v>1580AVANSAT TECNOLOGIAS E SERVS EM SEGURANCA LTDAFT46241</v>
      </c>
      <c r="B453" s="12" t="str">
        <f t="shared" si="15"/>
        <v>Setembro</v>
      </c>
      <c r="C453" s="8" t="s">
        <v>251</v>
      </c>
      <c r="D453" s="8" t="s">
        <v>1354</v>
      </c>
      <c r="E453" s="8" t="s">
        <v>24</v>
      </c>
      <c r="F453" s="23">
        <v>46241</v>
      </c>
      <c r="G453" s="8" t="s">
        <v>232</v>
      </c>
      <c r="H453" s="23">
        <v>46271</v>
      </c>
      <c r="I453" s="23">
        <v>46245</v>
      </c>
      <c r="J453" s="10">
        <v>59176.89</v>
      </c>
      <c r="K453" s="10">
        <v>0</v>
      </c>
      <c r="L453" s="24">
        <v>0</v>
      </c>
      <c r="M453" s="10">
        <v>59176.89</v>
      </c>
    </row>
    <row r="454" spans="1:13" x14ac:dyDescent="0.25">
      <c r="A454" s="12" t="str">
        <f t="shared" si="14"/>
        <v>1581BETIM TACOGRAFO LTDANSE46226</v>
      </c>
      <c r="B454" s="12" t="str">
        <f t="shared" si="15"/>
        <v>Agosto</v>
      </c>
      <c r="C454" s="8" t="s">
        <v>739</v>
      </c>
      <c r="D454" s="8" t="s">
        <v>1354</v>
      </c>
      <c r="E454" s="8" t="s">
        <v>26</v>
      </c>
      <c r="F454" s="23">
        <v>46226</v>
      </c>
      <c r="G454" s="8" t="s">
        <v>665</v>
      </c>
      <c r="H454" s="23">
        <v>46256</v>
      </c>
      <c r="I454" s="23">
        <v>46227</v>
      </c>
      <c r="J454" s="10">
        <v>350</v>
      </c>
      <c r="K454" s="10">
        <v>0</v>
      </c>
      <c r="L454" s="24">
        <v>0</v>
      </c>
      <c r="M454" s="10">
        <v>350</v>
      </c>
    </row>
    <row r="455" spans="1:13" x14ac:dyDescent="0.25">
      <c r="A455" s="12" t="str">
        <f t="shared" si="14"/>
        <v>158566PERICOM COMERCIO DE EQUIPAMENTOS DE SEGURANCA LTDANFE46185</v>
      </c>
      <c r="B455" s="12" t="str">
        <f t="shared" si="15"/>
        <v>Agosto</v>
      </c>
      <c r="C455" s="8" t="s">
        <v>423</v>
      </c>
      <c r="D455" s="8" t="s">
        <v>2378</v>
      </c>
      <c r="E455" s="8" t="s">
        <v>155</v>
      </c>
      <c r="F455" s="23">
        <v>46185</v>
      </c>
      <c r="G455" s="8" t="s">
        <v>380</v>
      </c>
      <c r="H455" s="23">
        <v>46240</v>
      </c>
      <c r="I455" s="23">
        <v>46190</v>
      </c>
      <c r="J455" s="10">
        <v>988.5</v>
      </c>
      <c r="K455" s="10">
        <v>0</v>
      </c>
      <c r="L455" s="24">
        <v>0</v>
      </c>
      <c r="M455" s="10">
        <v>988.5</v>
      </c>
    </row>
    <row r="456" spans="1:13" x14ac:dyDescent="0.25">
      <c r="A456" s="12" t="str">
        <f t="shared" si="14"/>
        <v>1596AVANSAT TECNOLOGIAS E SERVS EM SEGURANCA LTDAFT46269</v>
      </c>
      <c r="B456" s="12" t="str">
        <f t="shared" si="15"/>
        <v>Outubro</v>
      </c>
      <c r="C456" s="8" t="s">
        <v>252</v>
      </c>
      <c r="D456" s="8" t="s">
        <v>1354</v>
      </c>
      <c r="E456" s="8" t="s">
        <v>24</v>
      </c>
      <c r="F456" s="23">
        <v>46269</v>
      </c>
      <c r="G456" s="8" t="s">
        <v>232</v>
      </c>
      <c r="H456" s="23">
        <v>46301</v>
      </c>
      <c r="I456" s="23">
        <v>46273</v>
      </c>
      <c r="J456" s="10">
        <v>59176.89</v>
      </c>
      <c r="K456" s="10">
        <v>0</v>
      </c>
      <c r="L456" s="24">
        <v>0</v>
      </c>
      <c r="M456" s="10">
        <v>59176.89</v>
      </c>
    </row>
    <row r="457" spans="1:13" x14ac:dyDescent="0.25">
      <c r="A457" s="12" t="str">
        <f t="shared" si="14"/>
        <v>16FRANCISCO MARCIO CESAR DE MATOSRCB46048,6465277778</v>
      </c>
      <c r="B457" s="12" t="str">
        <f t="shared" si="15"/>
        <v>Janeiro</v>
      </c>
      <c r="C457" s="8" t="s">
        <v>631</v>
      </c>
      <c r="D457" s="8" t="s">
        <v>664</v>
      </c>
      <c r="E457" s="8" t="s">
        <v>72</v>
      </c>
      <c r="F457" s="23">
        <v>46048.646527777775</v>
      </c>
      <c r="G457" s="8" t="s">
        <v>1045</v>
      </c>
      <c r="H457" s="23">
        <v>46051</v>
      </c>
      <c r="I457" s="23">
        <v>46048.646527777775</v>
      </c>
      <c r="J457" s="10">
        <v>60</v>
      </c>
      <c r="K457" s="10">
        <v>0</v>
      </c>
      <c r="L457" s="24">
        <v>0</v>
      </c>
      <c r="M457" s="10">
        <v>60</v>
      </c>
    </row>
    <row r="458" spans="1:13" x14ac:dyDescent="0.25">
      <c r="A458" s="12" t="str">
        <f t="shared" si="14"/>
        <v>16GUSTAVO HENRIQUE DE SOUZA BARBOSARCB46052,3979166667</v>
      </c>
      <c r="B458" s="12" t="str">
        <f t="shared" si="15"/>
        <v>Fevereiro</v>
      </c>
      <c r="C458" s="8" t="s">
        <v>631</v>
      </c>
      <c r="D458" s="8" t="s">
        <v>664</v>
      </c>
      <c r="E458" s="8" t="s">
        <v>79</v>
      </c>
      <c r="F458" s="23">
        <v>46052.397916666669</v>
      </c>
      <c r="G458" s="8" t="s">
        <v>1045</v>
      </c>
      <c r="H458" s="23">
        <v>46057</v>
      </c>
      <c r="I458" s="23">
        <v>46052.397916666669</v>
      </c>
      <c r="J458" s="10">
        <v>30</v>
      </c>
      <c r="K458" s="10">
        <v>0</v>
      </c>
      <c r="L458" s="24">
        <v>0</v>
      </c>
      <c r="M458" s="10">
        <v>30</v>
      </c>
    </row>
    <row r="459" spans="1:13" x14ac:dyDescent="0.25">
      <c r="A459" s="12" t="str">
        <f t="shared" si="14"/>
        <v>16EDILSON RIBEIRO DA SILVARCB46076,4715277778</v>
      </c>
      <c r="B459" s="12" t="str">
        <f t="shared" si="15"/>
        <v>Fevereiro</v>
      </c>
      <c r="C459" s="8" t="s">
        <v>631</v>
      </c>
      <c r="D459" s="8" t="s">
        <v>664</v>
      </c>
      <c r="E459" s="8" t="s">
        <v>56</v>
      </c>
      <c r="F459" s="23">
        <v>46076.47152777778</v>
      </c>
      <c r="G459" s="8" t="s">
        <v>1045</v>
      </c>
      <c r="H459" s="23">
        <v>46079</v>
      </c>
      <c r="I459" s="23">
        <v>46076.47152777778</v>
      </c>
      <c r="J459" s="10">
        <v>80</v>
      </c>
      <c r="K459" s="10">
        <v>0</v>
      </c>
      <c r="L459" s="24">
        <v>0</v>
      </c>
      <c r="M459" s="10">
        <v>80</v>
      </c>
    </row>
    <row r="460" spans="1:13" x14ac:dyDescent="0.25">
      <c r="A460" s="12" t="str">
        <f t="shared" si="14"/>
        <v>16VITOR SOUZA SILVARCB46079,475</v>
      </c>
      <c r="B460" s="12" t="str">
        <f t="shared" si="15"/>
        <v>Março</v>
      </c>
      <c r="C460" s="8" t="s">
        <v>631</v>
      </c>
      <c r="D460" s="8" t="s">
        <v>664</v>
      </c>
      <c r="E460" s="8" t="s">
        <v>199</v>
      </c>
      <c r="F460" s="23">
        <v>46079.474999999999</v>
      </c>
      <c r="G460" s="8" t="s">
        <v>1045</v>
      </c>
      <c r="H460" s="23">
        <v>46084</v>
      </c>
      <c r="I460" s="23">
        <v>46079.474999999999</v>
      </c>
      <c r="J460" s="10">
        <v>92.75</v>
      </c>
      <c r="K460" s="10">
        <v>0</v>
      </c>
      <c r="L460" s="24">
        <v>0</v>
      </c>
      <c r="M460" s="10">
        <v>92.75</v>
      </c>
    </row>
    <row r="461" spans="1:13" x14ac:dyDescent="0.25">
      <c r="A461" s="12" t="str">
        <f t="shared" si="14"/>
        <v>16GABRIEL MOUTINHO ALBINORCB46094,6375</v>
      </c>
      <c r="B461" s="12" t="str">
        <f t="shared" si="15"/>
        <v>Março</v>
      </c>
      <c r="C461" s="8" t="s">
        <v>631</v>
      </c>
      <c r="D461" s="8" t="s">
        <v>664</v>
      </c>
      <c r="E461" s="8" t="s">
        <v>73</v>
      </c>
      <c r="F461" s="23">
        <v>46094.637499999997</v>
      </c>
      <c r="G461" s="8" t="s">
        <v>1045</v>
      </c>
      <c r="H461" s="23">
        <v>46099</v>
      </c>
      <c r="I461" s="23">
        <v>46094.637499999997</v>
      </c>
      <c r="J461" s="10">
        <v>115</v>
      </c>
      <c r="K461" s="10">
        <v>0</v>
      </c>
      <c r="L461" s="24">
        <v>0</v>
      </c>
      <c r="M461" s="10">
        <v>115</v>
      </c>
    </row>
    <row r="462" spans="1:13" x14ac:dyDescent="0.25">
      <c r="A462" s="12" t="str">
        <f t="shared" si="14"/>
        <v>16MECANICA CRISTO REI LTDANSE46071</v>
      </c>
      <c r="B462" s="12" t="str">
        <f t="shared" si="15"/>
        <v>Março</v>
      </c>
      <c r="C462" s="8" t="s">
        <v>631</v>
      </c>
      <c r="D462" s="8" t="s">
        <v>1354</v>
      </c>
      <c r="E462" s="8" t="s">
        <v>125</v>
      </c>
      <c r="F462" s="23">
        <v>46071</v>
      </c>
      <c r="G462" s="8" t="s">
        <v>665</v>
      </c>
      <c r="H462" s="23">
        <v>46101</v>
      </c>
      <c r="I462" s="23">
        <v>46079</v>
      </c>
      <c r="J462" s="10">
        <v>280</v>
      </c>
      <c r="K462" s="10">
        <v>0</v>
      </c>
      <c r="L462" s="24">
        <v>0</v>
      </c>
      <c r="M462" s="10">
        <v>270.48</v>
      </c>
    </row>
    <row r="463" spans="1:13" x14ac:dyDescent="0.25">
      <c r="A463" s="12" t="str">
        <f t="shared" si="14"/>
        <v>16WALACE ROCHA DE SOUZARCB46105,6208333333</v>
      </c>
      <c r="B463" s="12" t="str">
        <f t="shared" si="15"/>
        <v>Março</v>
      </c>
      <c r="C463" s="8" t="s">
        <v>631</v>
      </c>
      <c r="D463" s="8" t="s">
        <v>664</v>
      </c>
      <c r="E463" s="8" t="s">
        <v>200</v>
      </c>
      <c r="F463" s="23">
        <v>46105.620833333334</v>
      </c>
      <c r="G463" s="8" t="s">
        <v>1045</v>
      </c>
      <c r="H463" s="23">
        <v>46108</v>
      </c>
      <c r="I463" s="23">
        <v>46105.620833333334</v>
      </c>
      <c r="J463" s="10">
        <v>29.7</v>
      </c>
      <c r="K463" s="10">
        <v>0</v>
      </c>
      <c r="L463" s="24">
        <v>0</v>
      </c>
      <c r="M463" s="10">
        <v>29.7</v>
      </c>
    </row>
    <row r="464" spans="1:13" x14ac:dyDescent="0.25">
      <c r="A464" s="12" t="str">
        <f t="shared" si="14"/>
        <v>16VANDIEGO MARQUES DA SILVA SANTOSRCB46107,4201388889</v>
      </c>
      <c r="B464" s="12" t="str">
        <f t="shared" si="15"/>
        <v>Março</v>
      </c>
      <c r="C464" s="8" t="s">
        <v>631</v>
      </c>
      <c r="D464" s="8" t="s">
        <v>664</v>
      </c>
      <c r="E464" s="8" t="s">
        <v>194</v>
      </c>
      <c r="F464" s="23">
        <v>46107.420138888891</v>
      </c>
      <c r="G464" s="8" t="s">
        <v>1045</v>
      </c>
      <c r="H464" s="23">
        <v>46112</v>
      </c>
      <c r="I464" s="23">
        <v>46107.420138888891</v>
      </c>
      <c r="J464" s="10">
        <v>500</v>
      </c>
      <c r="K464" s="10">
        <v>0</v>
      </c>
      <c r="L464" s="24">
        <v>0</v>
      </c>
      <c r="M464" s="10">
        <v>500</v>
      </c>
    </row>
    <row r="465" spans="1:13" x14ac:dyDescent="0.25">
      <c r="A465" s="12" t="str">
        <f t="shared" si="14"/>
        <v>16FERNANDA SANTOS SOARESRCB46167,6027777778</v>
      </c>
      <c r="B465" s="12" t="str">
        <f t="shared" si="15"/>
        <v>Maio</v>
      </c>
      <c r="C465" s="8" t="s">
        <v>631</v>
      </c>
      <c r="D465" s="8" t="s">
        <v>664</v>
      </c>
      <c r="E465" s="8" t="s">
        <v>68</v>
      </c>
      <c r="F465" s="23">
        <v>46167.602777777778</v>
      </c>
      <c r="G465" s="8" t="s">
        <v>1045</v>
      </c>
      <c r="H465" s="23">
        <v>46170</v>
      </c>
      <c r="I465" s="23">
        <v>46167.602777777778</v>
      </c>
      <c r="J465" s="10">
        <v>31.6</v>
      </c>
      <c r="K465" s="10">
        <v>0</v>
      </c>
      <c r="L465" s="24">
        <v>0</v>
      </c>
      <c r="M465" s="10">
        <v>31.6</v>
      </c>
    </row>
    <row r="466" spans="1:13" x14ac:dyDescent="0.25">
      <c r="A466" s="12" t="str">
        <f t="shared" si="14"/>
        <v>16DANIELA CHAVES MARIANORCB46191,4506944444</v>
      </c>
      <c r="B466" s="12" t="str">
        <f t="shared" si="15"/>
        <v>Junho</v>
      </c>
      <c r="C466" s="8" t="s">
        <v>631</v>
      </c>
      <c r="D466" s="8" t="s">
        <v>664</v>
      </c>
      <c r="E466" s="8" t="s">
        <v>47</v>
      </c>
      <c r="F466" s="23">
        <v>46191.450694444444</v>
      </c>
      <c r="G466" s="8" t="s">
        <v>1045</v>
      </c>
      <c r="H466" s="23">
        <v>46196</v>
      </c>
      <c r="I466" s="23">
        <v>46191.450694444444</v>
      </c>
      <c r="J466" s="10">
        <v>115</v>
      </c>
      <c r="K466" s="10">
        <v>0</v>
      </c>
      <c r="L466" s="24">
        <v>0</v>
      </c>
      <c r="M466" s="10">
        <v>115</v>
      </c>
    </row>
    <row r="467" spans="1:13" x14ac:dyDescent="0.25">
      <c r="A467" s="12" t="str">
        <f t="shared" si="14"/>
        <v>1655.833.328. JOSUE MIRANDA DE SOUZANFS46205</v>
      </c>
      <c r="B467" s="12" t="str">
        <f t="shared" si="15"/>
        <v>Julho</v>
      </c>
      <c r="C467" s="8" t="s">
        <v>631</v>
      </c>
      <c r="D467" s="8" t="s">
        <v>1400</v>
      </c>
      <c r="E467" s="8" t="s">
        <v>7</v>
      </c>
      <c r="F467" s="23">
        <v>46205</v>
      </c>
      <c r="G467" s="8" t="s">
        <v>614</v>
      </c>
      <c r="H467" s="23">
        <v>46224</v>
      </c>
      <c r="I467" s="23">
        <v>46220</v>
      </c>
      <c r="J467" s="10">
        <v>1860</v>
      </c>
      <c r="K467" s="10">
        <v>0</v>
      </c>
      <c r="L467" s="24">
        <v>0</v>
      </c>
      <c r="M467" s="10">
        <v>1860</v>
      </c>
    </row>
    <row r="468" spans="1:13" x14ac:dyDescent="0.25">
      <c r="A468" s="12" t="str">
        <f t="shared" si="14"/>
        <v>16WESLLEY FRANCO CALVISRCB46232,3569444444</v>
      </c>
      <c r="B468" s="12" t="str">
        <f t="shared" si="15"/>
        <v>Agosto</v>
      </c>
      <c r="C468" s="8" t="s">
        <v>631</v>
      </c>
      <c r="D468" s="8" t="s">
        <v>664</v>
      </c>
      <c r="E468" s="8" t="s">
        <v>202</v>
      </c>
      <c r="F468" s="23">
        <v>46232.356944444444</v>
      </c>
      <c r="G468" s="8" t="s">
        <v>1045</v>
      </c>
      <c r="H468" s="23">
        <v>46237</v>
      </c>
      <c r="I468" s="23">
        <v>46232.356944444444</v>
      </c>
      <c r="J468" s="10">
        <v>126</v>
      </c>
      <c r="K468" s="10">
        <v>0</v>
      </c>
      <c r="L468" s="24">
        <v>0</v>
      </c>
      <c r="M468" s="10">
        <v>126</v>
      </c>
    </row>
    <row r="469" spans="1:13" x14ac:dyDescent="0.25">
      <c r="A469" s="12" t="str">
        <f t="shared" si="14"/>
        <v>16CORREIOS AGUA BRANCARCB46233,3506944444</v>
      </c>
      <c r="B469" s="12" t="str">
        <f t="shared" si="15"/>
        <v>Agosto</v>
      </c>
      <c r="C469" s="8" t="s">
        <v>631</v>
      </c>
      <c r="D469" s="8" t="s">
        <v>664</v>
      </c>
      <c r="E469" s="8" t="s">
        <v>45</v>
      </c>
      <c r="F469" s="23">
        <v>46233.350694444445</v>
      </c>
      <c r="G469" s="8" t="s">
        <v>1045</v>
      </c>
      <c r="H469" s="23">
        <v>46239</v>
      </c>
      <c r="I469" s="23">
        <v>46233.350694444445</v>
      </c>
      <c r="J469" s="10">
        <v>150.68</v>
      </c>
      <c r="K469" s="10">
        <v>0</v>
      </c>
      <c r="L469" s="24">
        <v>0</v>
      </c>
      <c r="M469" s="10">
        <v>150.68</v>
      </c>
    </row>
    <row r="470" spans="1:13" x14ac:dyDescent="0.25">
      <c r="A470" s="12" t="str">
        <f t="shared" si="14"/>
        <v>16JESLEY WILLIAM MIRANDA DE SOUZARCB46248,4381944444</v>
      </c>
      <c r="B470" s="12" t="str">
        <f t="shared" si="15"/>
        <v>Agosto</v>
      </c>
      <c r="C470" s="8" t="s">
        <v>631</v>
      </c>
      <c r="D470" s="8" t="s">
        <v>664</v>
      </c>
      <c r="E470" s="8" t="s">
        <v>90</v>
      </c>
      <c r="F470" s="23">
        <v>46248.438194444447</v>
      </c>
      <c r="G470" s="8" t="s">
        <v>1045</v>
      </c>
      <c r="H470" s="23">
        <v>46253</v>
      </c>
      <c r="I470" s="23">
        <v>46248.438194444447</v>
      </c>
      <c r="J470" s="10">
        <v>120</v>
      </c>
      <c r="K470" s="10">
        <v>0</v>
      </c>
      <c r="L470" s="24">
        <v>0</v>
      </c>
      <c r="M470" s="10">
        <v>120</v>
      </c>
    </row>
    <row r="471" spans="1:13" x14ac:dyDescent="0.25">
      <c r="A471" s="12" t="str">
        <f t="shared" si="14"/>
        <v>16RAFAEL RODRIGUESRCB46248,4388888889</v>
      </c>
      <c r="B471" s="12" t="str">
        <f t="shared" si="15"/>
        <v>Agosto</v>
      </c>
      <c r="C471" s="8" t="s">
        <v>631</v>
      </c>
      <c r="D471" s="8" t="s">
        <v>664</v>
      </c>
      <c r="E471" s="8" t="s">
        <v>161</v>
      </c>
      <c r="F471" s="23">
        <v>46248.438888888886</v>
      </c>
      <c r="G471" s="8" t="s">
        <v>1045</v>
      </c>
      <c r="H471" s="23">
        <v>46253</v>
      </c>
      <c r="I471" s="23">
        <v>46248.438888888886</v>
      </c>
      <c r="J471" s="10">
        <v>100</v>
      </c>
      <c r="K471" s="10">
        <v>0</v>
      </c>
      <c r="L471" s="24">
        <v>0</v>
      </c>
      <c r="M471" s="10">
        <v>100</v>
      </c>
    </row>
    <row r="472" spans="1:13" x14ac:dyDescent="0.25">
      <c r="A472" s="12" t="str">
        <f t="shared" si="14"/>
        <v>16VALDECI TONIMRCB46281,425</v>
      </c>
      <c r="B472" s="12" t="str">
        <f t="shared" si="15"/>
        <v>Setembro</v>
      </c>
      <c r="C472" s="8" t="s">
        <v>631</v>
      </c>
      <c r="D472" s="8" t="s">
        <v>664</v>
      </c>
      <c r="E472" s="8" t="s">
        <v>193</v>
      </c>
      <c r="F472" s="23">
        <v>46281.425000000003</v>
      </c>
      <c r="G472" s="8" t="s">
        <v>1045</v>
      </c>
      <c r="H472" s="23">
        <v>46286</v>
      </c>
      <c r="I472" s="23">
        <v>46281.425000000003</v>
      </c>
      <c r="J472" s="10">
        <v>68</v>
      </c>
      <c r="K472" s="10">
        <v>0</v>
      </c>
      <c r="L472" s="24">
        <v>0</v>
      </c>
      <c r="M472" s="10">
        <v>68</v>
      </c>
    </row>
    <row r="473" spans="1:13" x14ac:dyDescent="0.25">
      <c r="A473" s="12" t="str">
        <f t="shared" si="14"/>
        <v>160ZAMBALDI AUTO CENTER LTDANSE46245</v>
      </c>
      <c r="B473" s="12" t="str">
        <f t="shared" si="15"/>
        <v>Setembro</v>
      </c>
      <c r="C473" s="8" t="s">
        <v>740</v>
      </c>
      <c r="D473" s="8" t="s">
        <v>1354</v>
      </c>
      <c r="E473" s="8" t="s">
        <v>204</v>
      </c>
      <c r="F473" s="23">
        <v>46245</v>
      </c>
      <c r="G473" s="8" t="s">
        <v>665</v>
      </c>
      <c r="H473" s="23">
        <v>46276</v>
      </c>
      <c r="I473" s="23">
        <v>46248</v>
      </c>
      <c r="J473" s="10">
        <v>120</v>
      </c>
      <c r="K473" s="10">
        <v>0</v>
      </c>
      <c r="L473" s="24">
        <v>0</v>
      </c>
      <c r="M473" s="10">
        <v>117.6</v>
      </c>
    </row>
    <row r="474" spans="1:13" x14ac:dyDescent="0.25">
      <c r="A474" s="12" t="str">
        <f t="shared" si="14"/>
        <v>160136PERICOM COMERCIO DE EQUIPAMENTOS DE SEGURANCA LTDANFE46212</v>
      </c>
      <c r="B474" s="12" t="str">
        <f t="shared" si="15"/>
        <v>Setembro</v>
      </c>
      <c r="C474" s="8" t="s">
        <v>424</v>
      </c>
      <c r="D474" s="8" t="s">
        <v>664</v>
      </c>
      <c r="E474" s="8" t="s">
        <v>155</v>
      </c>
      <c r="F474" s="23">
        <v>46212</v>
      </c>
      <c r="G474" s="8" t="s">
        <v>380</v>
      </c>
      <c r="H474" s="23">
        <v>46271</v>
      </c>
      <c r="I474" s="23">
        <v>46213</v>
      </c>
      <c r="J474" s="10">
        <v>1012.8</v>
      </c>
      <c r="K474" s="10">
        <v>0</v>
      </c>
      <c r="L474" s="24">
        <v>0</v>
      </c>
      <c r="M474" s="10">
        <v>1012.8</v>
      </c>
    </row>
    <row r="475" spans="1:13" x14ac:dyDescent="0.25">
      <c r="A475" s="12" t="str">
        <f t="shared" si="14"/>
        <v>1609679TRUCKS COM. E TEC. DE RASTREAD. COMUNICAÇÕES LTDANSE46155</v>
      </c>
      <c r="B475" s="12" t="str">
        <f t="shared" si="15"/>
        <v>Junho</v>
      </c>
      <c r="C475" s="8" t="s">
        <v>741</v>
      </c>
      <c r="D475" s="8" t="s">
        <v>1354</v>
      </c>
      <c r="E475" s="8" t="s">
        <v>191</v>
      </c>
      <c r="F475" s="23">
        <v>46155</v>
      </c>
      <c r="G475" s="8" t="s">
        <v>665</v>
      </c>
      <c r="H475" s="23">
        <v>46179</v>
      </c>
      <c r="I475" s="23">
        <v>46157</v>
      </c>
      <c r="J475" s="10">
        <v>1616.09</v>
      </c>
      <c r="K475" s="10">
        <v>0</v>
      </c>
      <c r="L475" s="24">
        <v>0</v>
      </c>
      <c r="M475" s="10">
        <v>1616.09</v>
      </c>
    </row>
    <row r="476" spans="1:13" x14ac:dyDescent="0.25">
      <c r="A476" s="12" t="str">
        <f t="shared" si="14"/>
        <v>161710PERICOM COMERCIO DE EQUIPAMENTOS DE SEGURANCA LTDANFE46239</v>
      </c>
      <c r="B476" s="12" t="str">
        <f t="shared" si="15"/>
        <v>Outubro</v>
      </c>
      <c r="C476" s="8" t="s">
        <v>425</v>
      </c>
      <c r="D476" s="8" t="s">
        <v>664</v>
      </c>
      <c r="E476" s="8" t="s">
        <v>155</v>
      </c>
      <c r="F476" s="23">
        <v>46239</v>
      </c>
      <c r="G476" s="8" t="s">
        <v>380</v>
      </c>
      <c r="H476" s="23">
        <v>46301</v>
      </c>
      <c r="I476" s="23">
        <v>46239</v>
      </c>
      <c r="J476" s="10">
        <v>1202.7</v>
      </c>
      <c r="K476" s="10">
        <v>0</v>
      </c>
      <c r="L476" s="24">
        <v>0</v>
      </c>
      <c r="M476" s="10">
        <v>1202.7</v>
      </c>
    </row>
    <row r="477" spans="1:13" x14ac:dyDescent="0.25">
      <c r="A477" s="12" t="str">
        <f t="shared" si="14"/>
        <v>1618OFICINA DO RENATONFE46240</v>
      </c>
      <c r="B477" s="12" t="str">
        <f t="shared" si="15"/>
        <v>Setembro</v>
      </c>
      <c r="C477" s="8" t="s">
        <v>426</v>
      </c>
      <c r="D477" s="8" t="s">
        <v>1400</v>
      </c>
      <c r="E477" s="8" t="s">
        <v>144</v>
      </c>
      <c r="F477" s="23">
        <v>46240</v>
      </c>
      <c r="G477" s="8" t="s">
        <v>380</v>
      </c>
      <c r="H477" s="23">
        <v>46271</v>
      </c>
      <c r="I477" s="23">
        <v>46245</v>
      </c>
      <c r="J477" s="10">
        <v>400</v>
      </c>
      <c r="K477" s="10">
        <v>0</v>
      </c>
      <c r="L477" s="24">
        <v>0</v>
      </c>
      <c r="M477" s="10">
        <v>400</v>
      </c>
    </row>
    <row r="478" spans="1:13" x14ac:dyDescent="0.25">
      <c r="A478" s="12" t="str">
        <f t="shared" si="14"/>
        <v>1647065TRUCKS COM. E TEC. DE RASTREAD. COMUNICAÇÕES LTDANSE46182</v>
      </c>
      <c r="B478" s="12" t="str">
        <f t="shared" si="15"/>
        <v>Julho</v>
      </c>
      <c r="C478" s="8" t="s">
        <v>742</v>
      </c>
      <c r="D478" s="8" t="s">
        <v>1354</v>
      </c>
      <c r="E478" s="8" t="s">
        <v>191</v>
      </c>
      <c r="F478" s="23">
        <v>46182</v>
      </c>
      <c r="G478" s="8" t="s">
        <v>665</v>
      </c>
      <c r="H478" s="23">
        <v>46209</v>
      </c>
      <c r="I478" s="23">
        <v>46183</v>
      </c>
      <c r="J478" s="10">
        <v>1613.54</v>
      </c>
      <c r="K478" s="10">
        <v>0</v>
      </c>
      <c r="L478" s="24">
        <v>0</v>
      </c>
      <c r="M478" s="10">
        <v>1613.54</v>
      </c>
    </row>
    <row r="479" spans="1:13" x14ac:dyDescent="0.25">
      <c r="A479" s="12" t="str">
        <f t="shared" si="14"/>
        <v>167MGS PRINTERNSE46259</v>
      </c>
      <c r="B479" s="12" t="str">
        <f t="shared" si="15"/>
        <v>Outubro</v>
      </c>
      <c r="C479" s="8" t="s">
        <v>743</v>
      </c>
      <c r="D479" s="8" t="s">
        <v>664</v>
      </c>
      <c r="E479" s="8" t="s">
        <v>128</v>
      </c>
      <c r="F479" s="23">
        <v>46259</v>
      </c>
      <c r="G479" s="8" t="s">
        <v>665</v>
      </c>
      <c r="H479" s="23">
        <v>46301</v>
      </c>
      <c r="I479" s="23">
        <v>46262</v>
      </c>
      <c r="J479" s="10">
        <v>424.75</v>
      </c>
      <c r="K479" s="10">
        <v>0</v>
      </c>
      <c r="L479" s="24">
        <v>0</v>
      </c>
      <c r="M479" s="10">
        <v>424.75</v>
      </c>
    </row>
    <row r="480" spans="1:13" x14ac:dyDescent="0.25">
      <c r="A480" s="12" t="str">
        <f t="shared" si="14"/>
        <v>16788MASTERCELL COMERCIO DE ELETRONICOS LTDANFE46159</v>
      </c>
      <c r="B480" s="12" t="str">
        <f t="shared" si="15"/>
        <v>Junho</v>
      </c>
      <c r="C480" s="8" t="s">
        <v>429</v>
      </c>
      <c r="D480" s="8" t="s">
        <v>824</v>
      </c>
      <c r="E480" s="8" t="s">
        <v>123</v>
      </c>
      <c r="F480" s="23">
        <v>46159</v>
      </c>
      <c r="G480" s="8" t="s">
        <v>380</v>
      </c>
      <c r="H480" s="23">
        <v>46195</v>
      </c>
      <c r="I480" s="23">
        <v>46185</v>
      </c>
      <c r="J480" s="10">
        <v>213.66</v>
      </c>
      <c r="K480" s="10">
        <v>0</v>
      </c>
      <c r="L480" s="24">
        <v>0</v>
      </c>
      <c r="M480" s="10">
        <v>213.66</v>
      </c>
    </row>
    <row r="481" spans="1:13" x14ac:dyDescent="0.25">
      <c r="A481" s="12" t="str">
        <f t="shared" si="14"/>
        <v>16788MASTERCELL COMERCIO DE ELETRONICOS LTDANFE46159</v>
      </c>
      <c r="B481" s="12" t="str">
        <f t="shared" si="15"/>
        <v>Julho</v>
      </c>
      <c r="C481" s="8" t="s">
        <v>429</v>
      </c>
      <c r="D481" s="8" t="s">
        <v>824</v>
      </c>
      <c r="E481" s="8" t="s">
        <v>123</v>
      </c>
      <c r="F481" s="23">
        <v>46159</v>
      </c>
      <c r="G481" s="8" t="s">
        <v>380</v>
      </c>
      <c r="H481" s="23">
        <v>46223</v>
      </c>
      <c r="I481" s="23">
        <v>46185</v>
      </c>
      <c r="J481" s="10">
        <v>213.66</v>
      </c>
      <c r="K481" s="10">
        <v>0</v>
      </c>
      <c r="L481" s="24">
        <v>0</v>
      </c>
      <c r="M481" s="10">
        <v>213.66</v>
      </c>
    </row>
    <row r="482" spans="1:13" x14ac:dyDescent="0.25">
      <c r="A482" s="12" t="str">
        <f t="shared" si="14"/>
        <v>16788MASTERCELL COMERCIO DE ELETRONICOS LTDANFE46159</v>
      </c>
      <c r="B482" s="12" t="str">
        <f t="shared" si="15"/>
        <v>Agosto</v>
      </c>
      <c r="C482" s="8" t="s">
        <v>429</v>
      </c>
      <c r="D482" s="8" t="s">
        <v>824</v>
      </c>
      <c r="E482" s="8" t="s">
        <v>123</v>
      </c>
      <c r="F482" s="23">
        <v>46159</v>
      </c>
      <c r="G482" s="8" t="s">
        <v>380</v>
      </c>
      <c r="H482" s="23">
        <v>46254</v>
      </c>
      <c r="I482" s="23">
        <v>46185</v>
      </c>
      <c r="J482" s="10">
        <v>213.66</v>
      </c>
      <c r="K482" s="10">
        <v>0</v>
      </c>
      <c r="L482" s="24">
        <v>0</v>
      </c>
      <c r="M482" s="10">
        <v>213.66</v>
      </c>
    </row>
    <row r="483" spans="1:13" x14ac:dyDescent="0.25">
      <c r="A483" s="12" t="str">
        <f t="shared" si="14"/>
        <v>168182VIA S/ANFE45971</v>
      </c>
      <c r="B483" s="12" t="str">
        <f t="shared" si="15"/>
        <v>Janeiro</v>
      </c>
      <c r="C483" s="8" t="s">
        <v>1604</v>
      </c>
      <c r="D483" s="8" t="s">
        <v>1400</v>
      </c>
      <c r="E483" s="8" t="s">
        <v>1603</v>
      </c>
      <c r="F483" s="23">
        <v>45971</v>
      </c>
      <c r="G483" s="8" t="s">
        <v>380</v>
      </c>
      <c r="H483" s="23">
        <v>46040</v>
      </c>
      <c r="I483" s="23">
        <v>45972</v>
      </c>
      <c r="J483" s="10">
        <v>981.11</v>
      </c>
      <c r="K483" s="10">
        <v>0</v>
      </c>
      <c r="L483" s="24">
        <v>0</v>
      </c>
      <c r="M483" s="10">
        <v>981.11</v>
      </c>
    </row>
    <row r="484" spans="1:13" x14ac:dyDescent="0.25">
      <c r="A484" s="12" t="str">
        <f t="shared" si="14"/>
        <v>168182VIA S/ANFE45971</v>
      </c>
      <c r="B484" s="12" t="str">
        <f t="shared" si="15"/>
        <v>Fevereiro</v>
      </c>
      <c r="C484" s="8" t="s">
        <v>1604</v>
      </c>
      <c r="D484" s="8" t="s">
        <v>1400</v>
      </c>
      <c r="E484" s="8" t="s">
        <v>1603</v>
      </c>
      <c r="F484" s="23">
        <v>45971</v>
      </c>
      <c r="G484" s="8" t="s">
        <v>380</v>
      </c>
      <c r="H484" s="23">
        <v>46071</v>
      </c>
      <c r="I484" s="23">
        <v>45972</v>
      </c>
      <c r="J484" s="10">
        <v>981.11</v>
      </c>
      <c r="K484" s="10">
        <v>0</v>
      </c>
      <c r="L484" s="24">
        <v>0</v>
      </c>
      <c r="M484" s="10">
        <v>981.11</v>
      </c>
    </row>
    <row r="485" spans="1:13" x14ac:dyDescent="0.25">
      <c r="A485" s="12" t="str">
        <f t="shared" si="14"/>
        <v>1684727TRUCKS COM. E TEC. DE RASTREAD. COMUNICAÇÕES LTDANSE46212</v>
      </c>
      <c r="B485" s="12" t="str">
        <f t="shared" si="15"/>
        <v>Agosto</v>
      </c>
      <c r="C485" s="8" t="s">
        <v>744</v>
      </c>
      <c r="D485" s="8" t="s">
        <v>1354</v>
      </c>
      <c r="E485" s="8" t="s">
        <v>191</v>
      </c>
      <c r="F485" s="23">
        <v>46212</v>
      </c>
      <c r="G485" s="8" t="s">
        <v>665</v>
      </c>
      <c r="H485" s="23">
        <v>46240</v>
      </c>
      <c r="I485" s="23">
        <v>46213</v>
      </c>
      <c r="J485" s="10">
        <v>1613.09</v>
      </c>
      <c r="K485" s="10">
        <v>0</v>
      </c>
      <c r="L485" s="24">
        <v>0</v>
      </c>
      <c r="M485" s="10">
        <v>1613.09</v>
      </c>
    </row>
    <row r="486" spans="1:13" x14ac:dyDescent="0.25">
      <c r="A486" s="12" t="str">
        <f t="shared" si="14"/>
        <v>1685ROCHA POMBO ANDRADE E CAPETTI ADVOGADOS (FERNANDO CARNEIRO)NSE46188</v>
      </c>
      <c r="B486" s="12" t="str">
        <f t="shared" si="15"/>
        <v>Julho</v>
      </c>
      <c r="C486" s="8" t="s">
        <v>745</v>
      </c>
      <c r="D486" s="8" t="s">
        <v>664</v>
      </c>
      <c r="E486" s="8" t="s">
        <v>169</v>
      </c>
      <c r="F486" s="23">
        <v>46188</v>
      </c>
      <c r="G486" s="8" t="s">
        <v>665</v>
      </c>
      <c r="H486" s="23">
        <v>46223</v>
      </c>
      <c r="I486" s="23">
        <v>46188</v>
      </c>
      <c r="J486" s="10">
        <v>1400</v>
      </c>
      <c r="K486" s="10">
        <v>0</v>
      </c>
      <c r="L486" s="24">
        <v>0</v>
      </c>
      <c r="M486" s="10">
        <v>1313.9</v>
      </c>
    </row>
    <row r="487" spans="1:13" x14ac:dyDescent="0.25">
      <c r="A487" s="12" t="str">
        <f t="shared" si="14"/>
        <v>1685-1708-87MINISTERIO DA FAZENDAIM46189,4659722222</v>
      </c>
      <c r="B487" s="12" t="str">
        <f t="shared" si="15"/>
        <v>Julho</v>
      </c>
      <c r="C487" s="8" t="s">
        <v>2769</v>
      </c>
      <c r="D487" s="8" t="s">
        <v>664</v>
      </c>
      <c r="E487" s="8" t="s">
        <v>1503</v>
      </c>
      <c r="F487" s="23">
        <v>46189.46597222222</v>
      </c>
      <c r="G487" s="8" t="s">
        <v>1142</v>
      </c>
      <c r="H487" s="23">
        <v>46223</v>
      </c>
      <c r="I487" s="23">
        <v>46189.46597222222</v>
      </c>
      <c r="J487" s="10">
        <v>21</v>
      </c>
      <c r="K487" s="10">
        <v>0</v>
      </c>
      <c r="L487" s="24">
        <v>0</v>
      </c>
      <c r="M487" s="10">
        <v>21</v>
      </c>
    </row>
    <row r="488" spans="1:13" x14ac:dyDescent="0.25">
      <c r="A488" s="12" t="str">
        <f t="shared" si="14"/>
        <v>1685-5952-87MINISTERIO DA FAZENDAIM46189,4673611111</v>
      </c>
      <c r="B488" s="12" t="str">
        <f t="shared" si="15"/>
        <v>Julho</v>
      </c>
      <c r="C488" s="8" t="s">
        <v>2770</v>
      </c>
      <c r="D488" s="8" t="s">
        <v>664</v>
      </c>
      <c r="E488" s="8" t="s">
        <v>1503</v>
      </c>
      <c r="F488" s="23">
        <v>46189.467361111114</v>
      </c>
      <c r="G488" s="8" t="s">
        <v>1142</v>
      </c>
      <c r="H488" s="23">
        <v>46223</v>
      </c>
      <c r="I488" s="23">
        <v>46189.467361111114</v>
      </c>
      <c r="J488" s="10">
        <v>65.099999999999994</v>
      </c>
      <c r="K488" s="10">
        <v>0</v>
      </c>
      <c r="L488" s="24">
        <v>0</v>
      </c>
      <c r="M488" s="10">
        <v>65.099999999999994</v>
      </c>
    </row>
    <row r="489" spans="1:13" x14ac:dyDescent="0.25">
      <c r="A489" s="12" t="str">
        <f t="shared" si="14"/>
        <v>17FRANCISCO MARCIO CESAR DE MATOSRCB46055,4875</v>
      </c>
      <c r="B489" s="12" t="str">
        <f t="shared" si="15"/>
        <v>Fevereiro</v>
      </c>
      <c r="C489" s="8" t="s">
        <v>632</v>
      </c>
      <c r="D489" s="8" t="s">
        <v>664</v>
      </c>
      <c r="E489" s="8" t="s">
        <v>72</v>
      </c>
      <c r="F489" s="23">
        <v>46055.487500000003</v>
      </c>
      <c r="G489" s="8" t="s">
        <v>1045</v>
      </c>
      <c r="H489" s="23">
        <v>46058</v>
      </c>
      <c r="I489" s="23">
        <v>46055.487500000003</v>
      </c>
      <c r="J489" s="10">
        <v>60</v>
      </c>
      <c r="K489" s="10">
        <v>0</v>
      </c>
      <c r="L489" s="24">
        <v>0</v>
      </c>
      <c r="M489" s="10">
        <v>60</v>
      </c>
    </row>
    <row r="490" spans="1:13" x14ac:dyDescent="0.25">
      <c r="A490" s="12" t="str">
        <f t="shared" si="14"/>
        <v>17GUSTAVO HENRIQUE DE SOUZA BARBOSARCB46062,4319444444</v>
      </c>
      <c r="B490" s="12" t="str">
        <f t="shared" si="15"/>
        <v>Fevereiro</v>
      </c>
      <c r="C490" s="8" t="s">
        <v>632</v>
      </c>
      <c r="D490" s="8" t="s">
        <v>664</v>
      </c>
      <c r="E490" s="8" t="s">
        <v>79</v>
      </c>
      <c r="F490" s="23">
        <v>46062.431944444441</v>
      </c>
      <c r="G490" s="8" t="s">
        <v>1045</v>
      </c>
      <c r="H490" s="23">
        <v>46065</v>
      </c>
      <c r="I490" s="23">
        <v>46062.431944444441</v>
      </c>
      <c r="J490" s="10">
        <v>200</v>
      </c>
      <c r="K490" s="10">
        <v>0</v>
      </c>
      <c r="L490" s="24">
        <v>0</v>
      </c>
      <c r="M490" s="10">
        <v>200</v>
      </c>
    </row>
    <row r="491" spans="1:13" x14ac:dyDescent="0.25">
      <c r="A491" s="12" t="str">
        <f t="shared" si="14"/>
        <v>17VITOR SOUZA SILVARCB46085,6763888889</v>
      </c>
      <c r="B491" s="12" t="str">
        <f t="shared" si="15"/>
        <v>Março</v>
      </c>
      <c r="C491" s="8" t="s">
        <v>632</v>
      </c>
      <c r="D491" s="8" t="s">
        <v>664</v>
      </c>
      <c r="E491" s="8" t="s">
        <v>199</v>
      </c>
      <c r="F491" s="23">
        <v>46085.676388888889</v>
      </c>
      <c r="G491" s="8" t="s">
        <v>1045</v>
      </c>
      <c r="H491" s="23">
        <v>46091</v>
      </c>
      <c r="I491" s="23">
        <v>46085.676388888889</v>
      </c>
      <c r="J491" s="10">
        <v>31</v>
      </c>
      <c r="K491" s="10">
        <v>0</v>
      </c>
      <c r="L491" s="24">
        <v>0</v>
      </c>
      <c r="M491" s="10">
        <v>31</v>
      </c>
    </row>
    <row r="492" spans="1:13" x14ac:dyDescent="0.25">
      <c r="A492" s="12" t="str">
        <f t="shared" si="14"/>
        <v>17EDILSON RIBEIRO DA SILVARCB46091,3902777778</v>
      </c>
      <c r="B492" s="12" t="str">
        <f t="shared" si="15"/>
        <v>Março</v>
      </c>
      <c r="C492" s="8" t="s">
        <v>632</v>
      </c>
      <c r="D492" s="8" t="s">
        <v>664</v>
      </c>
      <c r="E492" s="8" t="s">
        <v>56</v>
      </c>
      <c r="F492" s="23">
        <v>46091.390277777777</v>
      </c>
      <c r="G492" s="8" t="s">
        <v>1045</v>
      </c>
      <c r="H492" s="23">
        <v>46094</v>
      </c>
      <c r="I492" s="23">
        <v>46091.390277777777</v>
      </c>
      <c r="J492" s="10">
        <v>70</v>
      </c>
      <c r="K492" s="10">
        <v>0</v>
      </c>
      <c r="L492" s="24">
        <v>0</v>
      </c>
      <c r="M492" s="10">
        <v>70</v>
      </c>
    </row>
    <row r="493" spans="1:13" x14ac:dyDescent="0.25">
      <c r="A493" s="12" t="str">
        <f t="shared" si="14"/>
        <v>17GABRIEL MOUTINHO ALBINORCB46100,7291666667</v>
      </c>
      <c r="B493" s="12" t="str">
        <f t="shared" si="15"/>
        <v>Março</v>
      </c>
      <c r="C493" s="8" t="s">
        <v>632</v>
      </c>
      <c r="D493" s="8" t="s">
        <v>664</v>
      </c>
      <c r="E493" s="8" t="s">
        <v>73</v>
      </c>
      <c r="F493" s="23">
        <v>46100.729166666664</v>
      </c>
      <c r="G493" s="8" t="s">
        <v>1045</v>
      </c>
      <c r="H493" s="23">
        <v>46105</v>
      </c>
      <c r="I493" s="23">
        <v>46100.729166666664</v>
      </c>
      <c r="J493" s="10">
        <v>300</v>
      </c>
      <c r="K493" s="10">
        <v>0</v>
      </c>
      <c r="L493" s="24">
        <v>0</v>
      </c>
      <c r="M493" s="10">
        <v>300</v>
      </c>
    </row>
    <row r="494" spans="1:13" x14ac:dyDescent="0.25">
      <c r="A494" s="12" t="str">
        <f t="shared" si="14"/>
        <v>17WALACE ROCHA DE SOUZARCB46107,6083333333</v>
      </c>
      <c r="B494" s="12" t="str">
        <f t="shared" si="15"/>
        <v>Março</v>
      </c>
      <c r="C494" s="8" t="s">
        <v>632</v>
      </c>
      <c r="D494" s="8" t="s">
        <v>664</v>
      </c>
      <c r="E494" s="8" t="s">
        <v>200</v>
      </c>
      <c r="F494" s="23">
        <v>46107.60833333333</v>
      </c>
      <c r="G494" s="8" t="s">
        <v>1045</v>
      </c>
      <c r="H494" s="23">
        <v>46112</v>
      </c>
      <c r="I494" s="23">
        <v>46107.60833333333</v>
      </c>
      <c r="J494" s="10">
        <v>369.21</v>
      </c>
      <c r="K494" s="10">
        <v>0</v>
      </c>
      <c r="L494" s="24">
        <v>0</v>
      </c>
      <c r="M494" s="10">
        <v>369.21</v>
      </c>
    </row>
    <row r="495" spans="1:13" x14ac:dyDescent="0.25">
      <c r="A495" s="12" t="str">
        <f t="shared" si="14"/>
        <v>17VANDIEGO MARQUES DA SILVA SANTOSRCB46120,3868055556</v>
      </c>
      <c r="B495" s="12" t="str">
        <f t="shared" si="15"/>
        <v>Abril</v>
      </c>
      <c r="C495" s="8" t="s">
        <v>632</v>
      </c>
      <c r="D495" s="8" t="s">
        <v>664</v>
      </c>
      <c r="E495" s="8" t="s">
        <v>194</v>
      </c>
      <c r="F495" s="23">
        <v>46120.386805555558</v>
      </c>
      <c r="G495" s="8" t="s">
        <v>1045</v>
      </c>
      <c r="H495" s="23">
        <v>46125</v>
      </c>
      <c r="I495" s="23">
        <v>46120.386805555558</v>
      </c>
      <c r="J495" s="10">
        <v>60</v>
      </c>
      <c r="K495" s="10">
        <v>0</v>
      </c>
      <c r="L495" s="24">
        <v>0</v>
      </c>
      <c r="M495" s="10">
        <v>60</v>
      </c>
    </row>
    <row r="496" spans="1:13" x14ac:dyDescent="0.25">
      <c r="A496" s="12" t="str">
        <f t="shared" si="14"/>
        <v>17FERNANDA SANTOS SOARESRCB46170,6944444444</v>
      </c>
      <c r="B496" s="12" t="str">
        <f t="shared" si="15"/>
        <v>Junho</v>
      </c>
      <c r="C496" s="8" t="s">
        <v>632</v>
      </c>
      <c r="D496" s="8" t="s">
        <v>664</v>
      </c>
      <c r="E496" s="8" t="s">
        <v>68</v>
      </c>
      <c r="F496" s="23">
        <v>46170.694444444445</v>
      </c>
      <c r="G496" s="8" t="s">
        <v>1045</v>
      </c>
      <c r="H496" s="23">
        <v>46175</v>
      </c>
      <c r="I496" s="23">
        <v>46170.694444444445</v>
      </c>
      <c r="J496" s="10">
        <v>217</v>
      </c>
      <c r="K496" s="10">
        <v>0</v>
      </c>
      <c r="L496" s="24">
        <v>0</v>
      </c>
      <c r="M496" s="10">
        <v>217</v>
      </c>
    </row>
    <row r="497" spans="1:13" x14ac:dyDescent="0.25">
      <c r="A497" s="12" t="str">
        <f t="shared" si="14"/>
        <v>17DANIELA CHAVES MARIANORCB46195,6090277778</v>
      </c>
      <c r="B497" s="12" t="str">
        <f t="shared" si="15"/>
        <v>Junho</v>
      </c>
      <c r="C497" s="8" t="s">
        <v>632</v>
      </c>
      <c r="D497" s="8" t="s">
        <v>664</v>
      </c>
      <c r="E497" s="8" t="s">
        <v>47</v>
      </c>
      <c r="F497" s="23">
        <v>46195.609027777777</v>
      </c>
      <c r="G497" s="8" t="s">
        <v>1045</v>
      </c>
      <c r="H497" s="23">
        <v>46198</v>
      </c>
      <c r="I497" s="23">
        <v>46195.609027777777</v>
      </c>
      <c r="J497" s="10">
        <v>60</v>
      </c>
      <c r="K497" s="10">
        <v>0</v>
      </c>
      <c r="L497" s="24">
        <v>0</v>
      </c>
      <c r="M497" s="10">
        <v>60</v>
      </c>
    </row>
    <row r="498" spans="1:13" x14ac:dyDescent="0.25">
      <c r="A498" s="12" t="str">
        <f t="shared" si="14"/>
        <v>17HIGOR RODNEY CIMINI DA COSTANFS46181</v>
      </c>
      <c r="B498" s="12" t="str">
        <f t="shared" si="15"/>
        <v>Julho</v>
      </c>
      <c r="C498" s="8" t="s">
        <v>632</v>
      </c>
      <c r="D498" s="8" t="s">
        <v>1354</v>
      </c>
      <c r="E498" s="8" t="s">
        <v>85</v>
      </c>
      <c r="F498" s="23">
        <v>46181</v>
      </c>
      <c r="G498" s="8" t="s">
        <v>614</v>
      </c>
      <c r="H498" s="23">
        <v>46209</v>
      </c>
      <c r="I498" s="23">
        <v>46181</v>
      </c>
      <c r="J498" s="10">
        <v>7590</v>
      </c>
      <c r="K498" s="10">
        <v>0</v>
      </c>
      <c r="L498" s="24">
        <v>0</v>
      </c>
      <c r="M498" s="10">
        <v>7438.2</v>
      </c>
    </row>
    <row r="499" spans="1:13" x14ac:dyDescent="0.25">
      <c r="A499" s="12" t="str">
        <f t="shared" si="14"/>
        <v>17CORREIOS AGUA BRANCARCB46248,4361111111</v>
      </c>
      <c r="B499" s="12" t="str">
        <f t="shared" si="15"/>
        <v>Agosto</v>
      </c>
      <c r="C499" s="8" t="s">
        <v>632</v>
      </c>
      <c r="D499" s="8" t="s">
        <v>664</v>
      </c>
      <c r="E499" s="8" t="s">
        <v>45</v>
      </c>
      <c r="F499" s="23">
        <v>46248.436111111114</v>
      </c>
      <c r="G499" s="8" t="s">
        <v>1045</v>
      </c>
      <c r="H499" s="23">
        <v>46253</v>
      </c>
      <c r="I499" s="23">
        <v>46248.436111111114</v>
      </c>
      <c r="J499" s="10">
        <v>60.1</v>
      </c>
      <c r="K499" s="10">
        <v>0</v>
      </c>
      <c r="L499" s="24">
        <v>0</v>
      </c>
      <c r="M499" s="10">
        <v>60.1</v>
      </c>
    </row>
    <row r="500" spans="1:13" x14ac:dyDescent="0.25">
      <c r="A500" s="12" t="str">
        <f t="shared" si="14"/>
        <v>17WESLLEY FRANCO CALVISRCB46254,3604166667</v>
      </c>
      <c r="B500" s="12" t="str">
        <f t="shared" si="15"/>
        <v>Agosto</v>
      </c>
      <c r="C500" s="8" t="s">
        <v>632</v>
      </c>
      <c r="D500" s="8" t="s">
        <v>664</v>
      </c>
      <c r="E500" s="8" t="s">
        <v>202</v>
      </c>
      <c r="F500" s="23">
        <v>46254.36041666667</v>
      </c>
      <c r="G500" s="8" t="s">
        <v>1045</v>
      </c>
      <c r="H500" s="23">
        <v>46259</v>
      </c>
      <c r="I500" s="23">
        <v>46254.36041666667</v>
      </c>
      <c r="J500" s="10">
        <v>60</v>
      </c>
      <c r="K500" s="10">
        <v>0</v>
      </c>
      <c r="L500" s="24">
        <v>0</v>
      </c>
      <c r="M500" s="10">
        <v>60</v>
      </c>
    </row>
    <row r="501" spans="1:13" x14ac:dyDescent="0.25">
      <c r="A501" s="12" t="str">
        <f t="shared" si="14"/>
        <v>17RAFAEL RODRIGUESRCB46279,3833333333</v>
      </c>
      <c r="B501" s="12" t="str">
        <f t="shared" si="15"/>
        <v>Setembro</v>
      </c>
      <c r="C501" s="8" t="s">
        <v>632</v>
      </c>
      <c r="D501" s="8" t="s">
        <v>664</v>
      </c>
      <c r="E501" s="8" t="s">
        <v>161</v>
      </c>
      <c r="F501" s="23">
        <v>46279.383333333331</v>
      </c>
      <c r="G501" s="8" t="s">
        <v>1045</v>
      </c>
      <c r="H501" s="23">
        <v>46282</v>
      </c>
      <c r="I501" s="23">
        <v>46279.383333333331</v>
      </c>
      <c r="J501" s="10">
        <v>120</v>
      </c>
      <c r="K501" s="10">
        <v>0</v>
      </c>
      <c r="L501" s="24">
        <v>0</v>
      </c>
      <c r="M501" s="10">
        <v>120</v>
      </c>
    </row>
    <row r="502" spans="1:13" x14ac:dyDescent="0.25">
      <c r="A502" s="12" t="str">
        <f t="shared" si="14"/>
        <v>17JESLEY WILLIAM MIRANDA DE SOUZARCB46282,3145833333</v>
      </c>
      <c r="B502" s="12" t="str">
        <f t="shared" si="15"/>
        <v>Setembro</v>
      </c>
      <c r="C502" s="8" t="s">
        <v>632</v>
      </c>
      <c r="D502" s="8" t="s">
        <v>664</v>
      </c>
      <c r="E502" s="8" t="s">
        <v>90</v>
      </c>
      <c r="F502" s="23">
        <v>46282.314583333333</v>
      </c>
      <c r="G502" s="8" t="s">
        <v>1045</v>
      </c>
      <c r="H502" s="23">
        <v>46287</v>
      </c>
      <c r="I502" s="23">
        <v>46282.314583333333</v>
      </c>
      <c r="J502" s="10">
        <v>7.5</v>
      </c>
      <c r="K502" s="10">
        <v>0</v>
      </c>
      <c r="L502" s="24">
        <v>0</v>
      </c>
      <c r="M502" s="10">
        <v>7.5</v>
      </c>
    </row>
    <row r="503" spans="1:13" x14ac:dyDescent="0.25">
      <c r="A503" s="12" t="str">
        <f t="shared" si="14"/>
        <v>17210679BTT TELECOMUNICACOES S.A.FT46079</v>
      </c>
      <c r="B503" s="12" t="str">
        <f t="shared" si="15"/>
        <v>Agosto</v>
      </c>
      <c r="C503" s="8" t="s">
        <v>253</v>
      </c>
      <c r="D503" s="8" t="s">
        <v>1400</v>
      </c>
      <c r="E503" s="8" t="s">
        <v>33</v>
      </c>
      <c r="F503" s="23">
        <v>46079</v>
      </c>
      <c r="G503" s="8" t="s">
        <v>232</v>
      </c>
      <c r="H503" s="23">
        <v>46244</v>
      </c>
      <c r="I503" s="23">
        <v>46223</v>
      </c>
      <c r="J503" s="10">
        <v>199</v>
      </c>
      <c r="K503" s="10">
        <v>0</v>
      </c>
      <c r="L503" s="24">
        <v>0</v>
      </c>
      <c r="M503" s="10">
        <v>199</v>
      </c>
    </row>
    <row r="504" spans="1:13" x14ac:dyDescent="0.25">
      <c r="A504" s="12" t="str">
        <f t="shared" si="14"/>
        <v>1723539TRUCKS COM. E TEC. DE RASTREAD. COMUNICAÇÕES LTDANSE46246</v>
      </c>
      <c r="B504" s="12" t="str">
        <f t="shared" si="15"/>
        <v>Setembro</v>
      </c>
      <c r="C504" s="8" t="s">
        <v>747</v>
      </c>
      <c r="D504" s="8" t="s">
        <v>1354</v>
      </c>
      <c r="E504" s="8" t="s">
        <v>191</v>
      </c>
      <c r="F504" s="23">
        <v>46246</v>
      </c>
      <c r="G504" s="8" t="s">
        <v>665</v>
      </c>
      <c r="H504" s="23">
        <v>46271</v>
      </c>
      <c r="I504" s="23">
        <v>46252</v>
      </c>
      <c r="J504" s="10">
        <v>1615.79</v>
      </c>
      <c r="K504" s="10">
        <v>0</v>
      </c>
      <c r="L504" s="24">
        <v>0</v>
      </c>
      <c r="M504" s="10">
        <v>1615.79</v>
      </c>
    </row>
    <row r="505" spans="1:13" x14ac:dyDescent="0.25">
      <c r="A505" s="12" t="str">
        <f t="shared" si="14"/>
        <v>1726MINAS MAQUINAS SA | DIVINOPOLISNSE46265</v>
      </c>
      <c r="B505" s="12" t="str">
        <f t="shared" si="15"/>
        <v>Setembro</v>
      </c>
      <c r="C505" s="8" t="s">
        <v>748</v>
      </c>
      <c r="D505" s="8" t="s">
        <v>1354</v>
      </c>
      <c r="E505" s="8" t="s">
        <v>208</v>
      </c>
      <c r="F505" s="23">
        <v>46265</v>
      </c>
      <c r="G505" s="8" t="s">
        <v>665</v>
      </c>
      <c r="H505" s="23">
        <v>46295</v>
      </c>
      <c r="I505" s="23">
        <v>46266</v>
      </c>
      <c r="J505" s="10">
        <v>585</v>
      </c>
      <c r="K505" s="10">
        <v>0</v>
      </c>
      <c r="L505" s="24">
        <v>0</v>
      </c>
      <c r="M505" s="10">
        <v>585</v>
      </c>
    </row>
    <row r="506" spans="1:13" x14ac:dyDescent="0.25">
      <c r="A506" s="12" t="str">
        <f t="shared" si="14"/>
        <v>173476GRUPO CASAS BAHIA SANFE45897</v>
      </c>
      <c r="B506" s="12" t="str">
        <f t="shared" si="15"/>
        <v>Janeiro</v>
      </c>
      <c r="C506" s="8" t="s">
        <v>1605</v>
      </c>
      <c r="D506" s="8" t="s">
        <v>1400</v>
      </c>
      <c r="E506" s="8" t="s">
        <v>76</v>
      </c>
      <c r="F506" s="23">
        <v>45897</v>
      </c>
      <c r="G506" s="8" t="s">
        <v>380</v>
      </c>
      <c r="H506" s="23">
        <v>46040</v>
      </c>
      <c r="I506" s="23">
        <v>45901</v>
      </c>
      <c r="J506" s="10">
        <v>1196.4000000000001</v>
      </c>
      <c r="K506" s="10">
        <v>0</v>
      </c>
      <c r="L506" s="24">
        <v>0</v>
      </c>
      <c r="M506" s="10">
        <v>1196.4000000000001</v>
      </c>
    </row>
    <row r="507" spans="1:13" x14ac:dyDescent="0.25">
      <c r="A507" s="12" t="str">
        <f t="shared" si="14"/>
        <v>173477GRUPO CASAS BAHIA SANFE45897</v>
      </c>
      <c r="B507" s="12" t="str">
        <f t="shared" si="15"/>
        <v>Janeiro</v>
      </c>
      <c r="C507" s="8" t="s">
        <v>1606</v>
      </c>
      <c r="D507" s="8" t="s">
        <v>1400</v>
      </c>
      <c r="E507" s="8" t="s">
        <v>76</v>
      </c>
      <c r="F507" s="23">
        <v>45897</v>
      </c>
      <c r="G507" s="8" t="s">
        <v>380</v>
      </c>
      <c r="H507" s="23">
        <v>46040</v>
      </c>
      <c r="I507" s="23">
        <v>45901</v>
      </c>
      <c r="J507" s="10">
        <v>1196.4000000000001</v>
      </c>
      <c r="K507" s="10">
        <v>0</v>
      </c>
      <c r="L507" s="24">
        <v>0</v>
      </c>
      <c r="M507" s="10">
        <v>1196.4000000000001</v>
      </c>
    </row>
    <row r="508" spans="1:13" x14ac:dyDescent="0.25">
      <c r="A508" s="12" t="str">
        <f t="shared" si="14"/>
        <v>17503180BTT TELECOMUNICACOES S.A.FT46119</v>
      </c>
      <c r="B508" s="12" t="str">
        <f t="shared" si="15"/>
        <v>Setembro</v>
      </c>
      <c r="C508" s="8" t="s">
        <v>254</v>
      </c>
      <c r="D508" s="8" t="s">
        <v>1400</v>
      </c>
      <c r="E508" s="8" t="s">
        <v>33</v>
      </c>
      <c r="F508" s="23">
        <v>46119</v>
      </c>
      <c r="G508" s="8" t="s">
        <v>232</v>
      </c>
      <c r="H508" s="23">
        <v>46275</v>
      </c>
      <c r="I508" s="23">
        <v>46258</v>
      </c>
      <c r="J508" s="10">
        <v>199</v>
      </c>
      <c r="K508" s="10">
        <v>0</v>
      </c>
      <c r="L508" s="24">
        <v>0</v>
      </c>
      <c r="M508" s="10">
        <v>199</v>
      </c>
    </row>
    <row r="509" spans="1:13" x14ac:dyDescent="0.25">
      <c r="A509" s="12" t="str">
        <f t="shared" si="14"/>
        <v>1763318TRUCKS COM. E TEC. DE RASTREAD. COMUNICAÇÕES LTDANSE46279</v>
      </c>
      <c r="B509" s="12" t="str">
        <f t="shared" si="15"/>
        <v>Outubro</v>
      </c>
      <c r="C509" s="8" t="s">
        <v>751</v>
      </c>
      <c r="D509" s="8" t="s">
        <v>1354</v>
      </c>
      <c r="E509" s="8" t="s">
        <v>191</v>
      </c>
      <c r="F509" s="23">
        <v>46279</v>
      </c>
      <c r="G509" s="8" t="s">
        <v>665</v>
      </c>
      <c r="H509" s="23">
        <v>46301</v>
      </c>
      <c r="I509" s="23">
        <v>46280</v>
      </c>
      <c r="J509" s="10">
        <v>1614.59</v>
      </c>
      <c r="K509" s="10">
        <v>0</v>
      </c>
      <c r="L509" s="24">
        <v>0</v>
      </c>
      <c r="M509" s="10">
        <v>1614.59</v>
      </c>
    </row>
    <row r="510" spans="1:13" x14ac:dyDescent="0.25">
      <c r="A510" s="12" t="str">
        <f t="shared" si="14"/>
        <v>1779MINAS MAQUINAS SA | NOVA LIMANSE46213</v>
      </c>
      <c r="B510" s="12" t="str">
        <f t="shared" si="15"/>
        <v>Agosto</v>
      </c>
      <c r="C510" s="8" t="s">
        <v>752</v>
      </c>
      <c r="D510" s="8" t="s">
        <v>1354</v>
      </c>
      <c r="E510" s="8" t="s">
        <v>133</v>
      </c>
      <c r="F510" s="23">
        <v>46213</v>
      </c>
      <c r="G510" s="8" t="s">
        <v>665</v>
      </c>
      <c r="H510" s="23">
        <v>46243</v>
      </c>
      <c r="I510" s="23">
        <v>46217</v>
      </c>
      <c r="J510" s="10">
        <v>437.75</v>
      </c>
      <c r="K510" s="10">
        <v>0</v>
      </c>
      <c r="L510" s="24">
        <v>0</v>
      </c>
      <c r="M510" s="10">
        <v>437.75</v>
      </c>
    </row>
    <row r="511" spans="1:13" x14ac:dyDescent="0.25">
      <c r="A511" s="12" t="str">
        <f t="shared" si="14"/>
        <v>1779MINAS MAQUINAS SA | NOVA LIMANSE46213</v>
      </c>
      <c r="B511" s="12" t="str">
        <f t="shared" si="15"/>
        <v>Setembro</v>
      </c>
      <c r="C511" s="8" t="s">
        <v>752</v>
      </c>
      <c r="D511" s="8" t="s">
        <v>1354</v>
      </c>
      <c r="E511" s="8" t="s">
        <v>133</v>
      </c>
      <c r="F511" s="23">
        <v>46213</v>
      </c>
      <c r="G511" s="8" t="s">
        <v>665</v>
      </c>
      <c r="H511" s="23">
        <v>46273</v>
      </c>
      <c r="I511" s="23">
        <v>46217</v>
      </c>
      <c r="J511" s="10">
        <v>437.75</v>
      </c>
      <c r="K511" s="10">
        <v>0</v>
      </c>
      <c r="L511" s="24">
        <v>0</v>
      </c>
      <c r="M511" s="10">
        <v>437.75</v>
      </c>
    </row>
    <row r="512" spans="1:13" x14ac:dyDescent="0.25">
      <c r="A512" s="12" t="str">
        <f t="shared" si="14"/>
        <v>179ZAMBALDI AUTO CENTER LTDANFE46216</v>
      </c>
      <c r="B512" s="12" t="str">
        <f t="shared" si="15"/>
        <v>Agosto</v>
      </c>
      <c r="C512" s="8" t="s">
        <v>430</v>
      </c>
      <c r="D512" s="8" t="s">
        <v>664</v>
      </c>
      <c r="E512" s="8" t="s">
        <v>204</v>
      </c>
      <c r="F512" s="23">
        <v>46216</v>
      </c>
      <c r="G512" s="8" t="s">
        <v>380</v>
      </c>
      <c r="H512" s="23">
        <v>46247</v>
      </c>
      <c r="I512" s="23">
        <v>46219</v>
      </c>
      <c r="J512" s="10">
        <v>825</v>
      </c>
      <c r="K512" s="10">
        <v>0</v>
      </c>
      <c r="L512" s="24">
        <v>0</v>
      </c>
      <c r="M512" s="10">
        <v>825</v>
      </c>
    </row>
    <row r="513" spans="1:13" x14ac:dyDescent="0.25">
      <c r="A513" s="12" t="str">
        <f t="shared" si="14"/>
        <v>18FRANCISCO MARCIO CESAR DE MATOSRCB46063,6791666667</v>
      </c>
      <c r="B513" s="12" t="str">
        <f t="shared" si="15"/>
        <v>Fevereiro</v>
      </c>
      <c r="C513" s="8" t="s">
        <v>634</v>
      </c>
      <c r="D513" s="8" t="s">
        <v>664</v>
      </c>
      <c r="E513" s="8" t="s">
        <v>72</v>
      </c>
      <c r="F513" s="23">
        <v>46063.679166666669</v>
      </c>
      <c r="G513" s="8" t="s">
        <v>1045</v>
      </c>
      <c r="H513" s="23">
        <v>46066</v>
      </c>
      <c r="I513" s="23">
        <v>46063.679166666669</v>
      </c>
      <c r="J513" s="10">
        <v>60</v>
      </c>
      <c r="K513" s="10">
        <v>0</v>
      </c>
      <c r="L513" s="24">
        <v>0</v>
      </c>
      <c r="M513" s="10">
        <v>60</v>
      </c>
    </row>
    <row r="514" spans="1:13" x14ac:dyDescent="0.25">
      <c r="A514" s="12" t="str">
        <f t="shared" ref="A514:A577" si="16">$C514&amp;$E514&amp;$G514&amp;$F514</f>
        <v>18GUSTAVO HENRIQUE DE SOUZA BARBOSARCB46072,6194444444</v>
      </c>
      <c r="B514" s="12" t="str">
        <f t="shared" si="15"/>
        <v>Fevereiro</v>
      </c>
      <c r="C514" s="8" t="s">
        <v>634</v>
      </c>
      <c r="D514" s="8" t="s">
        <v>664</v>
      </c>
      <c r="E514" s="8" t="s">
        <v>79</v>
      </c>
      <c r="F514" s="23">
        <v>46072.619444444441</v>
      </c>
      <c r="G514" s="8" t="s">
        <v>1045</v>
      </c>
      <c r="H514" s="23">
        <v>46077</v>
      </c>
      <c r="I514" s="23">
        <v>46072.619444444441</v>
      </c>
      <c r="J514" s="10">
        <v>63.9</v>
      </c>
      <c r="K514" s="10">
        <v>0</v>
      </c>
      <c r="L514" s="24">
        <v>0</v>
      </c>
      <c r="M514" s="10">
        <v>63.9</v>
      </c>
    </row>
    <row r="515" spans="1:13" x14ac:dyDescent="0.25">
      <c r="A515" s="12" t="str">
        <f t="shared" si="16"/>
        <v>18VITOR SOUZA SILVARCB46090,4583333333</v>
      </c>
      <c r="B515" s="12" t="str">
        <f t="shared" ref="B515:B578" si="17">PROPER(TEXT($H515,"MMMM"))</f>
        <v>Março</v>
      </c>
      <c r="C515" s="8" t="s">
        <v>634</v>
      </c>
      <c r="D515" s="8" t="s">
        <v>664</v>
      </c>
      <c r="E515" s="8" t="s">
        <v>199</v>
      </c>
      <c r="F515" s="23">
        <v>46090.458333333336</v>
      </c>
      <c r="G515" s="8" t="s">
        <v>1045</v>
      </c>
      <c r="H515" s="23">
        <v>46093</v>
      </c>
      <c r="I515" s="23">
        <v>46090.458333333336</v>
      </c>
      <c r="J515" s="10">
        <v>5</v>
      </c>
      <c r="K515" s="10">
        <v>0</v>
      </c>
      <c r="L515" s="24">
        <v>0</v>
      </c>
      <c r="M515" s="10">
        <v>5</v>
      </c>
    </row>
    <row r="516" spans="1:13" x14ac:dyDescent="0.25">
      <c r="A516" s="12" t="str">
        <f t="shared" si="16"/>
        <v>18EDILSON RIBEIRO DA SILVARCB46092,60625</v>
      </c>
      <c r="B516" s="12" t="str">
        <f t="shared" si="17"/>
        <v>Março</v>
      </c>
      <c r="C516" s="8" t="s">
        <v>634</v>
      </c>
      <c r="D516" s="8" t="s">
        <v>664</v>
      </c>
      <c r="E516" s="8" t="s">
        <v>56</v>
      </c>
      <c r="F516" s="23">
        <v>46092.606249999997</v>
      </c>
      <c r="G516" s="8" t="s">
        <v>1045</v>
      </c>
      <c r="H516" s="23">
        <v>46097</v>
      </c>
      <c r="I516" s="23">
        <v>46092.606249999997</v>
      </c>
      <c r="J516" s="10">
        <v>60</v>
      </c>
      <c r="K516" s="10">
        <v>0</v>
      </c>
      <c r="L516" s="24">
        <v>0</v>
      </c>
      <c r="M516" s="10">
        <v>60</v>
      </c>
    </row>
    <row r="517" spans="1:13" x14ac:dyDescent="0.25">
      <c r="A517" s="12" t="str">
        <f t="shared" si="16"/>
        <v>18Andre Leonardo de AlmeidaRCB46092,5805555556</v>
      </c>
      <c r="B517" s="12" t="str">
        <f t="shared" si="17"/>
        <v>Março</v>
      </c>
      <c r="C517" s="8" t="s">
        <v>634</v>
      </c>
      <c r="D517" s="8" t="s">
        <v>664</v>
      </c>
      <c r="E517" s="8" t="s">
        <v>2016</v>
      </c>
      <c r="F517" s="23">
        <v>46092.580555555556</v>
      </c>
      <c r="G517" s="8" t="s">
        <v>1045</v>
      </c>
      <c r="H517" s="23">
        <v>46097</v>
      </c>
      <c r="I517" s="23">
        <v>46092.580555555556</v>
      </c>
      <c r="J517" s="10">
        <v>1200</v>
      </c>
      <c r="K517" s="10">
        <v>0</v>
      </c>
      <c r="L517" s="24">
        <v>0</v>
      </c>
      <c r="M517" s="10">
        <v>1200</v>
      </c>
    </row>
    <row r="518" spans="1:13" x14ac:dyDescent="0.25">
      <c r="A518" s="12" t="str">
        <f t="shared" si="16"/>
        <v>18GABRIEL MOUTINHO ALBINORCB46101,5041666667</v>
      </c>
      <c r="B518" s="12" t="str">
        <f t="shared" si="17"/>
        <v>Março</v>
      </c>
      <c r="C518" s="8" t="s">
        <v>634</v>
      </c>
      <c r="D518" s="8" t="s">
        <v>664</v>
      </c>
      <c r="E518" s="8" t="s">
        <v>73</v>
      </c>
      <c r="F518" s="23">
        <v>46101.504166666666</v>
      </c>
      <c r="G518" s="8" t="s">
        <v>1045</v>
      </c>
      <c r="H518" s="23">
        <v>46106</v>
      </c>
      <c r="I518" s="23">
        <v>46101.504166666666</v>
      </c>
      <c r="J518" s="10">
        <v>80</v>
      </c>
      <c r="K518" s="10">
        <v>0</v>
      </c>
      <c r="L518" s="24">
        <v>0</v>
      </c>
      <c r="M518" s="10">
        <v>80</v>
      </c>
    </row>
    <row r="519" spans="1:13" x14ac:dyDescent="0.25">
      <c r="A519" s="12" t="str">
        <f t="shared" si="16"/>
        <v>18KAIO CESAR DE CARVALHORCB46104,3673611111</v>
      </c>
      <c r="B519" s="12" t="str">
        <f t="shared" si="17"/>
        <v>Março</v>
      </c>
      <c r="C519" s="8" t="s">
        <v>634</v>
      </c>
      <c r="D519" s="8" t="s">
        <v>664</v>
      </c>
      <c r="E519" s="8" t="s">
        <v>103</v>
      </c>
      <c r="F519" s="23">
        <v>46104.367361111108</v>
      </c>
      <c r="G519" s="8" t="s">
        <v>1045</v>
      </c>
      <c r="H519" s="23">
        <v>46108</v>
      </c>
      <c r="I519" s="23">
        <v>46104.367361111108</v>
      </c>
      <c r="J519" s="10">
        <v>180</v>
      </c>
      <c r="K519" s="10">
        <v>0</v>
      </c>
      <c r="L519" s="24">
        <v>0</v>
      </c>
      <c r="M519" s="10">
        <v>180</v>
      </c>
    </row>
    <row r="520" spans="1:13" x14ac:dyDescent="0.25">
      <c r="A520" s="12" t="str">
        <f t="shared" si="16"/>
        <v>18WALACE ROCHA DE SOUZARCB46108,5993055556</v>
      </c>
      <c r="B520" s="12" t="str">
        <f t="shared" si="17"/>
        <v>Abril</v>
      </c>
      <c r="C520" s="8" t="s">
        <v>634</v>
      </c>
      <c r="D520" s="8" t="s">
        <v>664</v>
      </c>
      <c r="E520" s="8" t="s">
        <v>200</v>
      </c>
      <c r="F520" s="23">
        <v>46108.599305555559</v>
      </c>
      <c r="G520" s="8" t="s">
        <v>1045</v>
      </c>
      <c r="H520" s="23">
        <v>46113</v>
      </c>
      <c r="I520" s="23">
        <v>46108.599305555559</v>
      </c>
      <c r="J520" s="10">
        <v>357.8</v>
      </c>
      <c r="K520" s="10">
        <v>0</v>
      </c>
      <c r="L520" s="24">
        <v>0</v>
      </c>
      <c r="M520" s="10">
        <v>357.8</v>
      </c>
    </row>
    <row r="521" spans="1:13" x14ac:dyDescent="0.25">
      <c r="A521" s="12" t="str">
        <f t="shared" si="16"/>
        <v>18VANDIEGO MARQUES DA SILVA SANTOSRCB46135,3784722222</v>
      </c>
      <c r="B521" s="12" t="str">
        <f t="shared" si="17"/>
        <v>Abril</v>
      </c>
      <c r="C521" s="8" t="s">
        <v>634</v>
      </c>
      <c r="D521" s="8" t="s">
        <v>664</v>
      </c>
      <c r="E521" s="8" t="s">
        <v>194</v>
      </c>
      <c r="F521" s="23">
        <v>46135.378472222219</v>
      </c>
      <c r="G521" s="8" t="s">
        <v>1045</v>
      </c>
      <c r="H521" s="23">
        <v>46140</v>
      </c>
      <c r="I521" s="23">
        <v>46135.378472222219</v>
      </c>
      <c r="J521" s="10">
        <v>60</v>
      </c>
      <c r="K521" s="10">
        <v>0</v>
      </c>
      <c r="L521" s="24">
        <v>0</v>
      </c>
      <c r="M521" s="10">
        <v>60</v>
      </c>
    </row>
    <row r="522" spans="1:13" x14ac:dyDescent="0.25">
      <c r="A522" s="12" t="str">
        <f t="shared" si="16"/>
        <v>18FERNANDA SANTOS SOARESRCB46191,45</v>
      </c>
      <c r="B522" s="12" t="str">
        <f t="shared" si="17"/>
        <v>Junho</v>
      </c>
      <c r="C522" s="8" t="s">
        <v>634</v>
      </c>
      <c r="D522" s="8" t="s">
        <v>664</v>
      </c>
      <c r="E522" s="8" t="s">
        <v>68</v>
      </c>
      <c r="F522" s="23">
        <v>46191.45</v>
      </c>
      <c r="G522" s="8" t="s">
        <v>1045</v>
      </c>
      <c r="H522" s="23">
        <v>46196</v>
      </c>
      <c r="I522" s="23">
        <v>46191.45</v>
      </c>
      <c r="J522" s="10">
        <v>820.87</v>
      </c>
      <c r="K522" s="10">
        <v>0</v>
      </c>
      <c r="L522" s="24">
        <v>0</v>
      </c>
      <c r="M522" s="10">
        <v>820.87</v>
      </c>
    </row>
    <row r="523" spans="1:13" x14ac:dyDescent="0.25">
      <c r="A523" s="12" t="str">
        <f t="shared" si="16"/>
        <v>18DANIELA CHAVES MARIANORCB46196,4763888889</v>
      </c>
      <c r="B523" s="12" t="str">
        <f t="shared" si="17"/>
        <v>Junho</v>
      </c>
      <c r="C523" s="8" t="s">
        <v>634</v>
      </c>
      <c r="D523" s="8" t="s">
        <v>664</v>
      </c>
      <c r="E523" s="8" t="s">
        <v>47</v>
      </c>
      <c r="F523" s="23">
        <v>46196.476388888892</v>
      </c>
      <c r="G523" s="8" t="s">
        <v>1045</v>
      </c>
      <c r="H523" s="23">
        <v>46199</v>
      </c>
      <c r="I523" s="23">
        <v>46196.476388888892</v>
      </c>
      <c r="J523" s="10">
        <v>80</v>
      </c>
      <c r="K523" s="10">
        <v>0</v>
      </c>
      <c r="L523" s="24">
        <v>0</v>
      </c>
      <c r="M523" s="10">
        <v>80</v>
      </c>
    </row>
    <row r="524" spans="1:13" x14ac:dyDescent="0.25">
      <c r="A524" s="12" t="str">
        <f t="shared" si="16"/>
        <v>18HIGOR RODNEY CIMINI DA COSTANFS46209</v>
      </c>
      <c r="B524" s="12" t="str">
        <f t="shared" si="17"/>
        <v>Agosto</v>
      </c>
      <c r="C524" s="8" t="s">
        <v>634</v>
      </c>
      <c r="D524" s="8" t="s">
        <v>1354</v>
      </c>
      <c r="E524" s="8" t="s">
        <v>85</v>
      </c>
      <c r="F524" s="23">
        <v>46209</v>
      </c>
      <c r="G524" s="8" t="s">
        <v>614</v>
      </c>
      <c r="H524" s="23">
        <v>46240</v>
      </c>
      <c r="I524" s="23">
        <v>46210</v>
      </c>
      <c r="J524" s="10">
        <v>10790</v>
      </c>
      <c r="K524" s="10">
        <v>0</v>
      </c>
      <c r="L524" s="24">
        <v>0</v>
      </c>
      <c r="M524" s="10">
        <v>10573.12</v>
      </c>
    </row>
    <row r="525" spans="1:13" x14ac:dyDescent="0.25">
      <c r="A525" s="12" t="str">
        <f t="shared" si="16"/>
        <v>18WESLLEY FRANCO CALVISRCB46275,2486111111</v>
      </c>
      <c r="B525" s="12" t="str">
        <f t="shared" si="17"/>
        <v>Setembro</v>
      </c>
      <c r="C525" s="8" t="s">
        <v>634</v>
      </c>
      <c r="D525" s="8" t="s">
        <v>664</v>
      </c>
      <c r="E525" s="8" t="s">
        <v>202</v>
      </c>
      <c r="F525" s="23">
        <v>46275.248611111114</v>
      </c>
      <c r="G525" s="8" t="s">
        <v>1045</v>
      </c>
      <c r="H525" s="23">
        <v>46280</v>
      </c>
      <c r="I525" s="23">
        <v>46275.248611111114</v>
      </c>
      <c r="J525" s="10">
        <v>70</v>
      </c>
      <c r="K525" s="10">
        <v>0</v>
      </c>
      <c r="L525" s="24">
        <v>0</v>
      </c>
      <c r="M525" s="10">
        <v>70</v>
      </c>
    </row>
    <row r="526" spans="1:13" x14ac:dyDescent="0.25">
      <c r="A526" s="12" t="str">
        <f t="shared" si="16"/>
        <v>18RAFAEL RODRIGUESRCB46297,4125</v>
      </c>
      <c r="B526" s="12" t="str">
        <f t="shared" si="17"/>
        <v>Outubro</v>
      </c>
      <c r="C526" s="8" t="s">
        <v>634</v>
      </c>
      <c r="D526" s="8" t="s">
        <v>664</v>
      </c>
      <c r="E526" s="8" t="s">
        <v>161</v>
      </c>
      <c r="F526" s="23">
        <v>46297.412499999999</v>
      </c>
      <c r="G526" s="8" t="s">
        <v>1045</v>
      </c>
      <c r="H526" s="23">
        <v>46302</v>
      </c>
      <c r="I526" s="23">
        <v>46297.412499999999</v>
      </c>
      <c r="J526" s="10">
        <v>120</v>
      </c>
      <c r="K526" s="10">
        <v>0</v>
      </c>
      <c r="L526" s="24">
        <v>0</v>
      </c>
      <c r="M526" s="10">
        <v>120</v>
      </c>
    </row>
    <row r="527" spans="1:13" x14ac:dyDescent="0.25">
      <c r="A527" s="12" t="str">
        <f t="shared" si="16"/>
        <v>183MICHELOTTO COMERCIO E REPRESENTACOES LTDANFE46153</v>
      </c>
      <c r="B527" s="12" t="str">
        <f t="shared" si="17"/>
        <v>Maio</v>
      </c>
      <c r="C527" s="8" t="s">
        <v>431</v>
      </c>
      <c r="D527" s="8" t="s">
        <v>664</v>
      </c>
      <c r="E527" s="8" t="s">
        <v>130</v>
      </c>
      <c r="F527" s="23">
        <v>46153</v>
      </c>
      <c r="G527" s="8" t="s">
        <v>380</v>
      </c>
      <c r="H527" s="23">
        <v>46155</v>
      </c>
      <c r="I527" s="23">
        <v>46153</v>
      </c>
      <c r="J527" s="10">
        <v>980</v>
      </c>
      <c r="K527" s="10">
        <v>0</v>
      </c>
      <c r="L527" s="24">
        <v>0</v>
      </c>
      <c r="M527" s="10">
        <v>980</v>
      </c>
    </row>
    <row r="528" spans="1:13" x14ac:dyDescent="0.25">
      <c r="A528" s="12" t="str">
        <f t="shared" si="16"/>
        <v>1831MINAS MAQUINAS SA | NOVA LIMANSE46220</v>
      </c>
      <c r="B528" s="12" t="str">
        <f t="shared" si="17"/>
        <v>Agosto</v>
      </c>
      <c r="C528" s="8" t="s">
        <v>754</v>
      </c>
      <c r="D528" s="8" t="s">
        <v>1354</v>
      </c>
      <c r="E528" s="8" t="s">
        <v>133</v>
      </c>
      <c r="F528" s="23">
        <v>46220</v>
      </c>
      <c r="G528" s="8" t="s">
        <v>665</v>
      </c>
      <c r="H528" s="23">
        <v>46250</v>
      </c>
      <c r="I528" s="23">
        <v>46220</v>
      </c>
      <c r="J528" s="10">
        <v>334.75</v>
      </c>
      <c r="K528" s="10">
        <v>0</v>
      </c>
      <c r="L528" s="24">
        <v>0</v>
      </c>
      <c r="M528" s="10">
        <v>334.75</v>
      </c>
    </row>
    <row r="529" spans="1:13" x14ac:dyDescent="0.25">
      <c r="A529" s="12" t="str">
        <f t="shared" si="16"/>
        <v>1831MINAS MAQUINAS SA | NOVA LIMANSE46220</v>
      </c>
      <c r="B529" s="12" t="str">
        <f t="shared" si="17"/>
        <v>Setembro</v>
      </c>
      <c r="C529" s="8" t="s">
        <v>754</v>
      </c>
      <c r="D529" s="8" t="s">
        <v>1354</v>
      </c>
      <c r="E529" s="8" t="s">
        <v>133</v>
      </c>
      <c r="F529" s="23">
        <v>46220</v>
      </c>
      <c r="G529" s="8" t="s">
        <v>665</v>
      </c>
      <c r="H529" s="23">
        <v>46280</v>
      </c>
      <c r="I529" s="23">
        <v>46220</v>
      </c>
      <c r="J529" s="10">
        <v>334.75</v>
      </c>
      <c r="K529" s="10">
        <v>0</v>
      </c>
      <c r="L529" s="24">
        <v>0</v>
      </c>
      <c r="M529" s="10">
        <v>334.75</v>
      </c>
    </row>
    <row r="530" spans="1:13" x14ac:dyDescent="0.25">
      <c r="A530" s="12" t="str">
        <f t="shared" si="16"/>
        <v>1832MINAS MAQUINAS SA | NOVA LIMANFS46220</v>
      </c>
      <c r="B530" s="12" t="str">
        <f t="shared" si="17"/>
        <v>Agosto</v>
      </c>
      <c r="C530" s="8" t="s">
        <v>635</v>
      </c>
      <c r="D530" s="8" t="s">
        <v>1354</v>
      </c>
      <c r="E530" s="8" t="s">
        <v>133</v>
      </c>
      <c r="F530" s="23">
        <v>46220</v>
      </c>
      <c r="G530" s="8" t="s">
        <v>614</v>
      </c>
      <c r="H530" s="23">
        <v>46250</v>
      </c>
      <c r="I530" s="23">
        <v>46220</v>
      </c>
      <c r="J530" s="10">
        <v>437.75</v>
      </c>
      <c r="K530" s="10">
        <v>0</v>
      </c>
      <c r="L530" s="24">
        <v>0</v>
      </c>
      <c r="M530" s="10">
        <v>437.75</v>
      </c>
    </row>
    <row r="531" spans="1:13" x14ac:dyDescent="0.25">
      <c r="A531" s="12" t="str">
        <f t="shared" si="16"/>
        <v>1832MINAS MAQUINAS SA | NOVA LIMANFS46220</v>
      </c>
      <c r="B531" s="12" t="str">
        <f t="shared" si="17"/>
        <v>Setembro</v>
      </c>
      <c r="C531" s="8" t="s">
        <v>635</v>
      </c>
      <c r="D531" s="8" t="s">
        <v>1354</v>
      </c>
      <c r="E531" s="8" t="s">
        <v>133</v>
      </c>
      <c r="F531" s="23">
        <v>46220</v>
      </c>
      <c r="G531" s="8" t="s">
        <v>614</v>
      </c>
      <c r="H531" s="23">
        <v>46280</v>
      </c>
      <c r="I531" s="23">
        <v>46220</v>
      </c>
      <c r="J531" s="10">
        <v>437.75</v>
      </c>
      <c r="K531" s="10">
        <v>0</v>
      </c>
      <c r="L531" s="24">
        <v>0</v>
      </c>
      <c r="M531" s="10">
        <v>437.75</v>
      </c>
    </row>
    <row r="532" spans="1:13" x14ac:dyDescent="0.25">
      <c r="A532" s="12" t="str">
        <f t="shared" si="16"/>
        <v>183264MINAS MAQUINAS SA | JUIZ DE FORANFE46031</v>
      </c>
      <c r="B532" s="12" t="str">
        <f t="shared" si="17"/>
        <v>Fevereiro</v>
      </c>
      <c r="C532" s="8" t="s">
        <v>433</v>
      </c>
      <c r="D532" s="8" t="s">
        <v>1400</v>
      </c>
      <c r="E532" s="8" t="s">
        <v>132</v>
      </c>
      <c r="F532" s="23">
        <v>46031</v>
      </c>
      <c r="G532" s="8" t="s">
        <v>380</v>
      </c>
      <c r="H532" s="23">
        <v>46061</v>
      </c>
      <c r="I532" s="23">
        <v>46035</v>
      </c>
      <c r="J532" s="10">
        <v>2526.91</v>
      </c>
      <c r="K532" s="10">
        <v>0</v>
      </c>
      <c r="L532" s="24">
        <v>0</v>
      </c>
      <c r="M532" s="10">
        <v>2526.91</v>
      </c>
    </row>
    <row r="533" spans="1:13" x14ac:dyDescent="0.25">
      <c r="A533" s="12" t="str">
        <f t="shared" si="16"/>
        <v>1853ROCHA POMBO ANDRADE E CAPETTI ADVOGADOS (FERNANDO CARNEIRO)NSE46211</v>
      </c>
      <c r="B533" s="12" t="str">
        <f t="shared" si="17"/>
        <v>Agosto</v>
      </c>
      <c r="C533" s="8" t="s">
        <v>755</v>
      </c>
      <c r="D533" s="8" t="s">
        <v>664</v>
      </c>
      <c r="E533" s="8" t="s">
        <v>169</v>
      </c>
      <c r="F533" s="23">
        <v>46211</v>
      </c>
      <c r="G533" s="8" t="s">
        <v>665</v>
      </c>
      <c r="H533" s="23">
        <v>46260</v>
      </c>
      <c r="I533" s="23">
        <v>46211</v>
      </c>
      <c r="J533" s="10">
        <v>1400</v>
      </c>
      <c r="K533" s="10">
        <v>0</v>
      </c>
      <c r="L533" s="24">
        <v>0</v>
      </c>
      <c r="M533" s="10">
        <v>1313.9</v>
      </c>
    </row>
    <row r="534" spans="1:13" x14ac:dyDescent="0.25">
      <c r="A534" s="12" t="str">
        <f t="shared" si="16"/>
        <v>1853-1708-87MINISTERIO DA FAZENDAim46216,7083333333</v>
      </c>
      <c r="B534" s="12" t="str">
        <f t="shared" si="17"/>
        <v>Agosto</v>
      </c>
      <c r="C534" s="8" t="s">
        <v>2988</v>
      </c>
      <c r="D534" s="8" t="s">
        <v>664</v>
      </c>
      <c r="E534" s="8" t="s">
        <v>1503</v>
      </c>
      <c r="F534" s="23">
        <v>46216.708333333336</v>
      </c>
      <c r="G534" s="8" t="s">
        <v>1248</v>
      </c>
      <c r="H534" s="23">
        <v>46254</v>
      </c>
      <c r="I534" s="23">
        <v>46216.708333333336</v>
      </c>
      <c r="J534" s="10">
        <v>21</v>
      </c>
      <c r="K534" s="10">
        <v>0</v>
      </c>
      <c r="L534" s="24">
        <v>0</v>
      </c>
      <c r="M534" s="10">
        <v>21</v>
      </c>
    </row>
    <row r="535" spans="1:13" x14ac:dyDescent="0.25">
      <c r="A535" s="12" t="str">
        <f t="shared" si="16"/>
        <v>1853-5952-87MINISTERIO DA FAZENDAIM46216,7097222222</v>
      </c>
      <c r="B535" s="12" t="str">
        <f t="shared" si="17"/>
        <v>Agosto</v>
      </c>
      <c r="C535" s="8" t="s">
        <v>3001</v>
      </c>
      <c r="D535" s="8" t="s">
        <v>664</v>
      </c>
      <c r="E535" s="8" t="s">
        <v>1503</v>
      </c>
      <c r="F535" s="23">
        <v>46216.709722222222</v>
      </c>
      <c r="G535" s="8" t="s">
        <v>1142</v>
      </c>
      <c r="H535" s="23">
        <v>46254</v>
      </c>
      <c r="I535" s="23">
        <v>46216.709722222222</v>
      </c>
      <c r="J535" s="10">
        <v>65.099999999999994</v>
      </c>
      <c r="K535" s="10">
        <v>0</v>
      </c>
      <c r="L535" s="24">
        <v>0</v>
      </c>
      <c r="M535" s="10">
        <v>65.099999999999994</v>
      </c>
    </row>
    <row r="536" spans="1:13" x14ac:dyDescent="0.25">
      <c r="A536" s="12" t="str">
        <f t="shared" si="16"/>
        <v>18623OCP EXAMES OCUPACIONAIS LTDANSE45987</v>
      </c>
      <c r="B536" s="12" t="str">
        <f t="shared" si="17"/>
        <v>Janeiro</v>
      </c>
      <c r="C536" s="8" t="s">
        <v>1404</v>
      </c>
      <c r="D536" s="8" t="s">
        <v>664</v>
      </c>
      <c r="E536" s="8" t="s">
        <v>140</v>
      </c>
      <c r="F536" s="23">
        <v>45987</v>
      </c>
      <c r="G536" s="8" t="s">
        <v>665</v>
      </c>
      <c r="H536" s="23">
        <v>46028</v>
      </c>
      <c r="I536" s="23">
        <v>45992</v>
      </c>
      <c r="J536" s="10">
        <v>653.91999999999996</v>
      </c>
      <c r="K536" s="10">
        <v>0</v>
      </c>
      <c r="L536" s="24">
        <v>0</v>
      </c>
      <c r="M536" s="10">
        <v>623.51</v>
      </c>
    </row>
    <row r="537" spans="1:13" x14ac:dyDescent="0.25">
      <c r="A537" s="12" t="str">
        <f t="shared" si="16"/>
        <v>18624OCP EXAMES OCUPACIONAIS LTDANSE45987</v>
      </c>
      <c r="B537" s="12" t="str">
        <f t="shared" si="17"/>
        <v>Janeiro</v>
      </c>
      <c r="C537" s="8" t="s">
        <v>436</v>
      </c>
      <c r="D537" s="8" t="s">
        <v>664</v>
      </c>
      <c r="E537" s="8" t="s">
        <v>140</v>
      </c>
      <c r="F537" s="23">
        <v>45987</v>
      </c>
      <c r="G537" s="8" t="s">
        <v>665</v>
      </c>
      <c r="H537" s="23">
        <v>46028</v>
      </c>
      <c r="I537" s="23">
        <v>45992</v>
      </c>
      <c r="J537" s="10">
        <v>4131.0200000000004</v>
      </c>
      <c r="K537" s="10">
        <v>0</v>
      </c>
      <c r="L537" s="24">
        <v>0</v>
      </c>
      <c r="M537" s="10">
        <v>3876.96</v>
      </c>
    </row>
    <row r="538" spans="1:13" x14ac:dyDescent="0.25">
      <c r="A538" s="12" t="str">
        <f t="shared" si="16"/>
        <v>18624BATERLAY LTDANFE46197</v>
      </c>
      <c r="B538" s="12" t="str">
        <f t="shared" si="17"/>
        <v>Agosto</v>
      </c>
      <c r="C538" s="8" t="s">
        <v>436</v>
      </c>
      <c r="D538" s="8" t="s">
        <v>664</v>
      </c>
      <c r="E538" s="8" t="s">
        <v>25</v>
      </c>
      <c r="F538" s="23">
        <v>46197</v>
      </c>
      <c r="G538" s="8" t="s">
        <v>380</v>
      </c>
      <c r="H538" s="23">
        <v>46240</v>
      </c>
      <c r="I538" s="23">
        <v>46212</v>
      </c>
      <c r="J538" s="10">
        <v>618</v>
      </c>
      <c r="K538" s="10">
        <v>0</v>
      </c>
      <c r="L538" s="24">
        <v>0</v>
      </c>
      <c r="M538" s="10">
        <v>618</v>
      </c>
    </row>
    <row r="539" spans="1:13" x14ac:dyDescent="0.25">
      <c r="A539" s="12" t="str">
        <f t="shared" si="16"/>
        <v>1889MINAS MAQUINAS SA | NOVA LIMANSE46230</v>
      </c>
      <c r="B539" s="12" t="str">
        <f t="shared" si="17"/>
        <v>Agosto</v>
      </c>
      <c r="C539" s="8" t="s">
        <v>757</v>
      </c>
      <c r="D539" s="8" t="s">
        <v>1354</v>
      </c>
      <c r="E539" s="8" t="s">
        <v>133</v>
      </c>
      <c r="F539" s="23">
        <v>46230</v>
      </c>
      <c r="G539" s="8" t="s">
        <v>665</v>
      </c>
      <c r="H539" s="23">
        <v>46260</v>
      </c>
      <c r="I539" s="23">
        <v>46231</v>
      </c>
      <c r="J539" s="10">
        <v>669.5</v>
      </c>
      <c r="K539" s="10">
        <v>0</v>
      </c>
      <c r="L539" s="24">
        <v>0</v>
      </c>
      <c r="M539" s="10">
        <v>669.5</v>
      </c>
    </row>
    <row r="540" spans="1:13" x14ac:dyDescent="0.25">
      <c r="A540" s="12" t="str">
        <f t="shared" si="16"/>
        <v>1889MINAS MAQUINAS SA | NOVA LIMANSE46230</v>
      </c>
      <c r="B540" s="12" t="str">
        <f t="shared" si="17"/>
        <v>Setembro</v>
      </c>
      <c r="C540" s="8" t="s">
        <v>757</v>
      </c>
      <c r="D540" s="8" t="s">
        <v>1354</v>
      </c>
      <c r="E540" s="8" t="s">
        <v>133</v>
      </c>
      <c r="F540" s="23">
        <v>46230</v>
      </c>
      <c r="G540" s="8" t="s">
        <v>665</v>
      </c>
      <c r="H540" s="23">
        <v>46290</v>
      </c>
      <c r="I540" s="23">
        <v>46231</v>
      </c>
      <c r="J540" s="10">
        <v>669.5</v>
      </c>
      <c r="K540" s="10">
        <v>0</v>
      </c>
      <c r="L540" s="24">
        <v>0</v>
      </c>
      <c r="M540" s="10">
        <v>669.5</v>
      </c>
    </row>
    <row r="541" spans="1:13" x14ac:dyDescent="0.25">
      <c r="A541" s="12" t="str">
        <f t="shared" si="16"/>
        <v>189462MINAS MAQUINAS SA | JUIZ DE FORANFE46213</v>
      </c>
      <c r="B541" s="12" t="str">
        <f t="shared" si="17"/>
        <v>Agosto</v>
      </c>
      <c r="C541" s="8" t="s">
        <v>437</v>
      </c>
      <c r="D541" s="8" t="s">
        <v>1400</v>
      </c>
      <c r="E541" s="8" t="s">
        <v>132</v>
      </c>
      <c r="F541" s="23">
        <v>46213</v>
      </c>
      <c r="G541" s="8" t="s">
        <v>380</v>
      </c>
      <c r="H541" s="23">
        <v>46243</v>
      </c>
      <c r="I541" s="23">
        <v>46217</v>
      </c>
      <c r="J541" s="10">
        <v>2296.77</v>
      </c>
      <c r="K541" s="10">
        <v>0</v>
      </c>
      <c r="L541" s="24">
        <v>0</v>
      </c>
      <c r="M541" s="10">
        <v>2296.77</v>
      </c>
    </row>
    <row r="542" spans="1:13" x14ac:dyDescent="0.25">
      <c r="A542" s="12" t="str">
        <f t="shared" si="16"/>
        <v>189462MINAS MAQUINAS SA | JUIZ DE FORANFE46213</v>
      </c>
      <c r="B542" s="12" t="str">
        <f t="shared" si="17"/>
        <v>Setembro</v>
      </c>
      <c r="C542" s="8" t="s">
        <v>437</v>
      </c>
      <c r="D542" s="8" t="s">
        <v>1400</v>
      </c>
      <c r="E542" s="8" t="s">
        <v>132</v>
      </c>
      <c r="F542" s="23">
        <v>46213</v>
      </c>
      <c r="G542" s="8" t="s">
        <v>380</v>
      </c>
      <c r="H542" s="23">
        <v>46273</v>
      </c>
      <c r="I542" s="23">
        <v>46217</v>
      </c>
      <c r="J542" s="10">
        <v>2296.7600000000002</v>
      </c>
      <c r="K542" s="10">
        <v>0</v>
      </c>
      <c r="L542" s="24">
        <v>0</v>
      </c>
      <c r="M542" s="10">
        <v>2296.7600000000002</v>
      </c>
    </row>
    <row r="543" spans="1:13" x14ac:dyDescent="0.25">
      <c r="A543" s="12" t="str">
        <f t="shared" si="16"/>
        <v>1896MINAS MAQUINAS SA | NOVA LIMANSE46230</v>
      </c>
      <c r="B543" s="12" t="str">
        <f t="shared" si="17"/>
        <v>Agosto</v>
      </c>
      <c r="C543" s="8" t="s">
        <v>758</v>
      </c>
      <c r="D543" s="8" t="s">
        <v>1354</v>
      </c>
      <c r="E543" s="8" t="s">
        <v>133</v>
      </c>
      <c r="F543" s="23">
        <v>46230</v>
      </c>
      <c r="G543" s="8" t="s">
        <v>665</v>
      </c>
      <c r="H543" s="23">
        <v>46260</v>
      </c>
      <c r="I543" s="23">
        <v>46232</v>
      </c>
      <c r="J543" s="10">
        <v>634.75</v>
      </c>
      <c r="K543" s="10">
        <v>0</v>
      </c>
      <c r="L543" s="24">
        <v>0</v>
      </c>
      <c r="M543" s="10">
        <v>634.75</v>
      </c>
    </row>
    <row r="544" spans="1:13" x14ac:dyDescent="0.25">
      <c r="A544" s="12" t="str">
        <f t="shared" si="16"/>
        <v>1896MINAS MAQUINAS SA | NOVA LIMANSE46230</v>
      </c>
      <c r="B544" s="12" t="str">
        <f t="shared" si="17"/>
        <v>Setembro</v>
      </c>
      <c r="C544" s="8" t="s">
        <v>758</v>
      </c>
      <c r="D544" s="8" t="s">
        <v>1354</v>
      </c>
      <c r="E544" s="8" t="s">
        <v>133</v>
      </c>
      <c r="F544" s="23">
        <v>46230</v>
      </c>
      <c r="G544" s="8" t="s">
        <v>665</v>
      </c>
      <c r="H544" s="23">
        <v>46290</v>
      </c>
      <c r="I544" s="23">
        <v>46232</v>
      </c>
      <c r="J544" s="10">
        <v>634.75</v>
      </c>
      <c r="K544" s="10">
        <v>0</v>
      </c>
      <c r="L544" s="24">
        <v>0</v>
      </c>
      <c r="M544" s="10">
        <v>634.75</v>
      </c>
    </row>
    <row r="545" spans="1:13" x14ac:dyDescent="0.25">
      <c r="A545" s="12" t="str">
        <f t="shared" si="16"/>
        <v>1897MINAS MAQUINAS SA | NOVA LIMANSE46230</v>
      </c>
      <c r="B545" s="12" t="str">
        <f t="shared" si="17"/>
        <v>Agosto</v>
      </c>
      <c r="C545" s="8" t="s">
        <v>759</v>
      </c>
      <c r="D545" s="8" t="s">
        <v>1354</v>
      </c>
      <c r="E545" s="8" t="s">
        <v>133</v>
      </c>
      <c r="F545" s="23">
        <v>46230</v>
      </c>
      <c r="G545" s="8" t="s">
        <v>665</v>
      </c>
      <c r="H545" s="23">
        <v>46260</v>
      </c>
      <c r="I545" s="23">
        <v>46232</v>
      </c>
      <c r="J545" s="10">
        <v>377.67</v>
      </c>
      <c r="K545" s="10">
        <v>0</v>
      </c>
      <c r="L545" s="24">
        <v>0</v>
      </c>
      <c r="M545" s="10">
        <v>377.67</v>
      </c>
    </row>
    <row r="546" spans="1:13" x14ac:dyDescent="0.25">
      <c r="A546" s="12" t="str">
        <f t="shared" si="16"/>
        <v>1897MINAS MAQUINAS SA | NOVA LIMANSE46230</v>
      </c>
      <c r="B546" s="12" t="str">
        <f t="shared" si="17"/>
        <v>Setembro</v>
      </c>
      <c r="C546" s="8" t="s">
        <v>759</v>
      </c>
      <c r="D546" s="8" t="s">
        <v>1354</v>
      </c>
      <c r="E546" s="8" t="s">
        <v>133</v>
      </c>
      <c r="F546" s="23">
        <v>46230</v>
      </c>
      <c r="G546" s="8" t="s">
        <v>665</v>
      </c>
      <c r="H546" s="23">
        <v>46290</v>
      </c>
      <c r="I546" s="23">
        <v>46232</v>
      </c>
      <c r="J546" s="10">
        <v>377.67</v>
      </c>
      <c r="K546" s="10">
        <v>0</v>
      </c>
      <c r="L546" s="24">
        <v>0</v>
      </c>
      <c r="M546" s="10">
        <v>377.67</v>
      </c>
    </row>
    <row r="547" spans="1:13" x14ac:dyDescent="0.25">
      <c r="A547" s="12" t="str">
        <f t="shared" si="16"/>
        <v>1898MINAS MAQUINAS SA | NOVA LIMANSE46230</v>
      </c>
      <c r="B547" s="12" t="str">
        <f t="shared" si="17"/>
        <v>Agosto</v>
      </c>
      <c r="C547" s="8" t="s">
        <v>760</v>
      </c>
      <c r="D547" s="8" t="s">
        <v>1354</v>
      </c>
      <c r="E547" s="8" t="s">
        <v>133</v>
      </c>
      <c r="F547" s="23">
        <v>46230</v>
      </c>
      <c r="G547" s="8" t="s">
        <v>665</v>
      </c>
      <c r="H547" s="23">
        <v>46260</v>
      </c>
      <c r="I547" s="23">
        <v>46232</v>
      </c>
      <c r="J547" s="10">
        <v>770.5</v>
      </c>
      <c r="K547" s="10">
        <v>0</v>
      </c>
      <c r="L547" s="24">
        <v>0</v>
      </c>
      <c r="M547" s="10">
        <v>770.5</v>
      </c>
    </row>
    <row r="548" spans="1:13" x14ac:dyDescent="0.25">
      <c r="A548" s="12" t="str">
        <f t="shared" si="16"/>
        <v>1898MINAS MAQUINAS SA | NOVA LIMANSE46230</v>
      </c>
      <c r="B548" s="12" t="str">
        <f t="shared" si="17"/>
        <v>Setembro</v>
      </c>
      <c r="C548" s="8" t="s">
        <v>760</v>
      </c>
      <c r="D548" s="8" t="s">
        <v>1354</v>
      </c>
      <c r="E548" s="8" t="s">
        <v>133</v>
      </c>
      <c r="F548" s="23">
        <v>46230</v>
      </c>
      <c r="G548" s="8" t="s">
        <v>665</v>
      </c>
      <c r="H548" s="23">
        <v>46290</v>
      </c>
      <c r="I548" s="23">
        <v>46232</v>
      </c>
      <c r="J548" s="10">
        <v>770.49</v>
      </c>
      <c r="K548" s="10">
        <v>0</v>
      </c>
      <c r="L548" s="24">
        <v>0</v>
      </c>
      <c r="M548" s="10">
        <v>770.49</v>
      </c>
    </row>
    <row r="549" spans="1:13" x14ac:dyDescent="0.25">
      <c r="A549" s="12" t="str">
        <f t="shared" si="16"/>
        <v>189831MINAS MAQUINAS SA | JUIZ DE FORANFE46225</v>
      </c>
      <c r="B549" s="12" t="str">
        <f t="shared" si="17"/>
        <v>Agosto</v>
      </c>
      <c r="C549" s="8" t="s">
        <v>438</v>
      </c>
      <c r="D549" s="8" t="s">
        <v>1400</v>
      </c>
      <c r="E549" s="8" t="s">
        <v>132</v>
      </c>
      <c r="F549" s="23">
        <v>46225</v>
      </c>
      <c r="G549" s="8" t="s">
        <v>380</v>
      </c>
      <c r="H549" s="23">
        <v>46255</v>
      </c>
      <c r="I549" s="23">
        <v>46226</v>
      </c>
      <c r="J549" s="10">
        <v>916.2</v>
      </c>
      <c r="K549" s="10">
        <v>0</v>
      </c>
      <c r="L549" s="24">
        <v>0</v>
      </c>
      <c r="M549" s="10">
        <v>916.2</v>
      </c>
    </row>
    <row r="550" spans="1:13" x14ac:dyDescent="0.25">
      <c r="A550" s="12" t="str">
        <f t="shared" si="16"/>
        <v>189831MINAS MAQUINAS SA | JUIZ DE FORANFE46225</v>
      </c>
      <c r="B550" s="12" t="str">
        <f t="shared" si="17"/>
        <v>Setembro</v>
      </c>
      <c r="C550" s="8" t="s">
        <v>438</v>
      </c>
      <c r="D550" s="8" t="s">
        <v>1400</v>
      </c>
      <c r="E550" s="8" t="s">
        <v>132</v>
      </c>
      <c r="F550" s="23">
        <v>46225</v>
      </c>
      <c r="G550" s="8" t="s">
        <v>380</v>
      </c>
      <c r="H550" s="23">
        <v>46285</v>
      </c>
      <c r="I550" s="23">
        <v>46226</v>
      </c>
      <c r="J550" s="10">
        <v>916.19</v>
      </c>
      <c r="K550" s="10">
        <v>0</v>
      </c>
      <c r="L550" s="24">
        <v>0</v>
      </c>
      <c r="M550" s="10">
        <v>916.19</v>
      </c>
    </row>
    <row r="551" spans="1:13" x14ac:dyDescent="0.25">
      <c r="A551" s="12" t="str">
        <f t="shared" si="16"/>
        <v>19ZAMBALDI AUTO CENTER LTDANSE46044</v>
      </c>
      <c r="B551" s="12" t="str">
        <f t="shared" si="17"/>
        <v>Fevereiro</v>
      </c>
      <c r="C551" s="8" t="s">
        <v>761</v>
      </c>
      <c r="D551" s="8" t="s">
        <v>1354</v>
      </c>
      <c r="E551" s="8" t="s">
        <v>204</v>
      </c>
      <c r="F551" s="23">
        <v>46044</v>
      </c>
      <c r="G551" s="8" t="s">
        <v>665</v>
      </c>
      <c r="H551" s="23">
        <v>46075</v>
      </c>
      <c r="I551" s="23">
        <v>46048</v>
      </c>
      <c r="J551" s="10">
        <v>120</v>
      </c>
      <c r="K551" s="10">
        <v>0</v>
      </c>
      <c r="L551" s="24">
        <v>0</v>
      </c>
      <c r="M551" s="10">
        <v>120</v>
      </c>
    </row>
    <row r="552" spans="1:13" x14ac:dyDescent="0.25">
      <c r="A552" s="12" t="str">
        <f t="shared" si="16"/>
        <v>19GUSTAVO HENRIQUE DE SOUZA BARBOSARCB46085,5097222222</v>
      </c>
      <c r="B552" s="12" t="str">
        <f t="shared" si="17"/>
        <v>Março</v>
      </c>
      <c r="C552" s="8" t="s">
        <v>761</v>
      </c>
      <c r="D552" s="8" t="s">
        <v>664</v>
      </c>
      <c r="E552" s="8" t="s">
        <v>79</v>
      </c>
      <c r="F552" s="23">
        <v>46085.509722222225</v>
      </c>
      <c r="G552" s="8" t="s">
        <v>1045</v>
      </c>
      <c r="H552" s="23">
        <v>46091</v>
      </c>
      <c r="I552" s="23">
        <v>46085.509722222225</v>
      </c>
      <c r="J552" s="10">
        <v>88</v>
      </c>
      <c r="K552" s="10">
        <v>0</v>
      </c>
      <c r="L552" s="24">
        <v>0</v>
      </c>
      <c r="M552" s="10">
        <v>88</v>
      </c>
    </row>
    <row r="553" spans="1:13" x14ac:dyDescent="0.25">
      <c r="A553" s="12" t="str">
        <f t="shared" si="16"/>
        <v>19RC TRUCK CENTER S/ANSE46058</v>
      </c>
      <c r="B553" s="12" t="str">
        <f t="shared" si="17"/>
        <v>Março</v>
      </c>
      <c r="C553" s="8" t="s">
        <v>761</v>
      </c>
      <c r="D553" s="8" t="s">
        <v>1354</v>
      </c>
      <c r="E553" s="8" t="s">
        <v>164</v>
      </c>
      <c r="F553" s="23">
        <v>46058</v>
      </c>
      <c r="G553" s="8" t="s">
        <v>665</v>
      </c>
      <c r="H553" s="23">
        <v>46087</v>
      </c>
      <c r="I553" s="23">
        <v>46062</v>
      </c>
      <c r="J553" s="10">
        <v>2452</v>
      </c>
      <c r="K553" s="10">
        <v>0</v>
      </c>
      <c r="L553" s="24">
        <v>0</v>
      </c>
      <c r="M553" s="10">
        <v>2353.92</v>
      </c>
    </row>
    <row r="554" spans="1:13" x14ac:dyDescent="0.25">
      <c r="A554" s="12" t="str">
        <f t="shared" si="16"/>
        <v>19FRANCISCO MARCIO CESAR DE MATOSRCB46097,66875</v>
      </c>
      <c r="B554" s="12" t="str">
        <f t="shared" si="17"/>
        <v>Março</v>
      </c>
      <c r="C554" s="8" t="s">
        <v>761</v>
      </c>
      <c r="D554" s="8" t="s">
        <v>664</v>
      </c>
      <c r="E554" s="8" t="s">
        <v>72</v>
      </c>
      <c r="F554" s="23">
        <v>46097.668749999997</v>
      </c>
      <c r="G554" s="8" t="s">
        <v>1045</v>
      </c>
      <c r="H554" s="23">
        <v>46100</v>
      </c>
      <c r="I554" s="23">
        <v>46097.668749999997</v>
      </c>
      <c r="J554" s="10">
        <v>60</v>
      </c>
      <c r="K554" s="10">
        <v>0</v>
      </c>
      <c r="L554" s="24">
        <v>0</v>
      </c>
      <c r="M554" s="10">
        <v>60</v>
      </c>
    </row>
    <row r="555" spans="1:13" x14ac:dyDescent="0.25">
      <c r="A555" s="12" t="str">
        <f t="shared" si="16"/>
        <v>19EDILSON RIBEIRO DA SILVARCB46097,675</v>
      </c>
      <c r="B555" s="12" t="str">
        <f t="shared" si="17"/>
        <v>Março</v>
      </c>
      <c r="C555" s="8" t="s">
        <v>761</v>
      </c>
      <c r="D555" s="8" t="s">
        <v>664</v>
      </c>
      <c r="E555" s="8" t="s">
        <v>56</v>
      </c>
      <c r="F555" s="23">
        <v>46097.675000000003</v>
      </c>
      <c r="G555" s="8" t="s">
        <v>1045</v>
      </c>
      <c r="H555" s="23">
        <v>46100</v>
      </c>
      <c r="I555" s="23">
        <v>46097.675000000003</v>
      </c>
      <c r="J555" s="10">
        <v>260</v>
      </c>
      <c r="K555" s="10">
        <v>0</v>
      </c>
      <c r="L555" s="24">
        <v>0</v>
      </c>
      <c r="M555" s="10">
        <v>260</v>
      </c>
    </row>
    <row r="556" spans="1:13" x14ac:dyDescent="0.25">
      <c r="A556" s="12" t="str">
        <f t="shared" si="16"/>
        <v>19GABRIEL MOUTINHO ALBINORCB46105,3708333333</v>
      </c>
      <c r="B556" s="12" t="str">
        <f t="shared" si="17"/>
        <v>Março</v>
      </c>
      <c r="C556" s="8" t="s">
        <v>761</v>
      </c>
      <c r="D556" s="8" t="s">
        <v>664</v>
      </c>
      <c r="E556" s="8" t="s">
        <v>73</v>
      </c>
      <c r="F556" s="23">
        <v>46105.370833333334</v>
      </c>
      <c r="G556" s="8" t="s">
        <v>1045</v>
      </c>
      <c r="H556" s="23">
        <v>46108</v>
      </c>
      <c r="I556" s="23">
        <v>46105.370833333334</v>
      </c>
      <c r="J556" s="10">
        <v>300</v>
      </c>
      <c r="K556" s="10">
        <v>0</v>
      </c>
      <c r="L556" s="24">
        <v>0</v>
      </c>
      <c r="M556" s="10">
        <v>300</v>
      </c>
    </row>
    <row r="557" spans="1:13" x14ac:dyDescent="0.25">
      <c r="A557" s="12" t="str">
        <f t="shared" si="16"/>
        <v>19VITOR SOUZA SILVARCB46105,4243055556</v>
      </c>
      <c r="B557" s="12" t="str">
        <f t="shared" si="17"/>
        <v>Março</v>
      </c>
      <c r="C557" s="8" t="s">
        <v>761</v>
      </c>
      <c r="D557" s="8" t="s">
        <v>664</v>
      </c>
      <c r="E557" s="8" t="s">
        <v>199</v>
      </c>
      <c r="F557" s="23">
        <v>46105.424305555556</v>
      </c>
      <c r="G557" s="8" t="s">
        <v>1045</v>
      </c>
      <c r="H557" s="23">
        <v>46108</v>
      </c>
      <c r="I557" s="23">
        <v>46105.424305555556</v>
      </c>
      <c r="J557" s="10">
        <v>18.2</v>
      </c>
      <c r="K557" s="10">
        <v>0</v>
      </c>
      <c r="L557" s="24">
        <v>0</v>
      </c>
      <c r="M557" s="10">
        <v>18.2</v>
      </c>
    </row>
    <row r="558" spans="1:13" x14ac:dyDescent="0.25">
      <c r="A558" s="12" t="str">
        <f t="shared" si="16"/>
        <v>19WALACE ROCHA DE SOUZARCB46120,3819444444</v>
      </c>
      <c r="B558" s="12" t="str">
        <f t="shared" si="17"/>
        <v>Abril</v>
      </c>
      <c r="C558" s="8" t="s">
        <v>761</v>
      </c>
      <c r="D558" s="8" t="s">
        <v>664</v>
      </c>
      <c r="E558" s="8" t="s">
        <v>200</v>
      </c>
      <c r="F558" s="23">
        <v>46120.381944444445</v>
      </c>
      <c r="G558" s="8" t="s">
        <v>1045</v>
      </c>
      <c r="H558" s="23">
        <v>46125</v>
      </c>
      <c r="I558" s="23">
        <v>46120.381944444445</v>
      </c>
      <c r="J558" s="10">
        <v>231.98</v>
      </c>
      <c r="K558" s="10">
        <v>0</v>
      </c>
      <c r="L558" s="24">
        <v>0</v>
      </c>
      <c r="M558" s="10">
        <v>231.98</v>
      </c>
    </row>
    <row r="559" spans="1:13" x14ac:dyDescent="0.25">
      <c r="A559" s="12" t="str">
        <f t="shared" si="16"/>
        <v>19VANDIEGO MARQUES DA SILVA SANTOSRCB46135,4354166667</v>
      </c>
      <c r="B559" s="12" t="str">
        <f t="shared" si="17"/>
        <v>Abril</v>
      </c>
      <c r="C559" s="8" t="s">
        <v>761</v>
      </c>
      <c r="D559" s="8" t="s">
        <v>664</v>
      </c>
      <c r="E559" s="8" t="s">
        <v>194</v>
      </c>
      <c r="F559" s="23">
        <v>46135.435416666667</v>
      </c>
      <c r="G559" s="8" t="s">
        <v>1045</v>
      </c>
      <c r="H559" s="23">
        <v>46140</v>
      </c>
      <c r="I559" s="23">
        <v>46135.435416666667</v>
      </c>
      <c r="J559" s="10">
        <v>60</v>
      </c>
      <c r="K559" s="10">
        <v>0</v>
      </c>
      <c r="L559" s="24">
        <v>0</v>
      </c>
      <c r="M559" s="10">
        <v>60</v>
      </c>
    </row>
    <row r="560" spans="1:13" x14ac:dyDescent="0.25">
      <c r="A560" s="12" t="str">
        <f t="shared" si="16"/>
        <v>19Andre Leonardo de AlmeidaRCB46182,33125</v>
      </c>
      <c r="B560" s="12" t="str">
        <f t="shared" si="17"/>
        <v>Junho</v>
      </c>
      <c r="C560" s="8" t="s">
        <v>761</v>
      </c>
      <c r="D560" s="8" t="s">
        <v>664</v>
      </c>
      <c r="E560" s="8" t="s">
        <v>2016</v>
      </c>
      <c r="F560" s="23">
        <v>46182.331250000003</v>
      </c>
      <c r="G560" s="8" t="s">
        <v>1045</v>
      </c>
      <c r="H560" s="23">
        <v>46185</v>
      </c>
      <c r="I560" s="23">
        <v>46182.331250000003</v>
      </c>
      <c r="J560" s="10">
        <v>1200</v>
      </c>
      <c r="K560" s="10">
        <v>0</v>
      </c>
      <c r="L560" s="24">
        <v>0</v>
      </c>
      <c r="M560" s="10">
        <v>1200</v>
      </c>
    </row>
    <row r="561" spans="1:13" x14ac:dyDescent="0.25">
      <c r="A561" s="12" t="str">
        <f t="shared" si="16"/>
        <v>19KAIO CESAR DE CARVALHORCB46210,6125</v>
      </c>
      <c r="B561" s="12" t="str">
        <f t="shared" si="17"/>
        <v>Julho</v>
      </c>
      <c r="C561" s="8" t="s">
        <v>761</v>
      </c>
      <c r="D561" s="8" t="s">
        <v>664</v>
      </c>
      <c r="E561" s="8" t="s">
        <v>103</v>
      </c>
      <c r="F561" s="23">
        <v>46210.612500000003</v>
      </c>
      <c r="G561" s="8" t="s">
        <v>1045</v>
      </c>
      <c r="H561" s="23">
        <v>46213</v>
      </c>
      <c r="I561" s="23">
        <v>46210.612500000003</v>
      </c>
      <c r="J561" s="10">
        <v>170</v>
      </c>
      <c r="K561" s="10">
        <v>0</v>
      </c>
      <c r="L561" s="24">
        <v>0</v>
      </c>
      <c r="M561" s="10">
        <v>170</v>
      </c>
    </row>
    <row r="562" spans="1:13" x14ac:dyDescent="0.25">
      <c r="A562" s="12" t="str">
        <f t="shared" si="16"/>
        <v>19DANIELA CHAVES MARIANORCB46216,4673611111</v>
      </c>
      <c r="B562" s="12" t="str">
        <f t="shared" si="17"/>
        <v>Julho</v>
      </c>
      <c r="C562" s="8" t="s">
        <v>761</v>
      </c>
      <c r="D562" s="8" t="s">
        <v>664</v>
      </c>
      <c r="E562" s="8" t="s">
        <v>47</v>
      </c>
      <c r="F562" s="23">
        <v>46216.467361111114</v>
      </c>
      <c r="G562" s="8" t="s">
        <v>1045</v>
      </c>
      <c r="H562" s="23">
        <v>46219</v>
      </c>
      <c r="I562" s="23">
        <v>46216.467361111114</v>
      </c>
      <c r="J562" s="10">
        <v>19.2</v>
      </c>
      <c r="K562" s="10">
        <v>0</v>
      </c>
      <c r="L562" s="24">
        <v>0</v>
      </c>
      <c r="M562" s="10">
        <v>19.2</v>
      </c>
    </row>
    <row r="563" spans="1:13" x14ac:dyDescent="0.25">
      <c r="A563" s="12" t="str">
        <f t="shared" si="16"/>
        <v>19FERNANDA SANTOS SOARESRCB46230,3944444444</v>
      </c>
      <c r="B563" s="12" t="str">
        <f t="shared" si="17"/>
        <v>Julho</v>
      </c>
      <c r="C563" s="8" t="s">
        <v>761</v>
      </c>
      <c r="D563" s="8" t="s">
        <v>664</v>
      </c>
      <c r="E563" s="8" t="s">
        <v>68</v>
      </c>
      <c r="F563" s="23">
        <v>46230.394444444442</v>
      </c>
      <c r="G563" s="8" t="s">
        <v>1045</v>
      </c>
      <c r="H563" s="23">
        <v>46233</v>
      </c>
      <c r="I563" s="23">
        <v>46230.394444444442</v>
      </c>
      <c r="J563" s="10">
        <v>234.95</v>
      </c>
      <c r="K563" s="10">
        <v>0</v>
      </c>
      <c r="L563" s="24">
        <v>0</v>
      </c>
      <c r="M563" s="10">
        <v>234.95</v>
      </c>
    </row>
    <row r="564" spans="1:13" x14ac:dyDescent="0.25">
      <c r="A564" s="12" t="str">
        <f t="shared" si="16"/>
        <v>19WESLLEY FRANCO CALVISRCB46282,3097222222</v>
      </c>
      <c r="B564" s="12" t="str">
        <f t="shared" si="17"/>
        <v>Setembro</v>
      </c>
      <c r="C564" s="8" t="s">
        <v>761</v>
      </c>
      <c r="D564" s="8" t="s">
        <v>664</v>
      </c>
      <c r="E564" s="8" t="s">
        <v>202</v>
      </c>
      <c r="F564" s="23">
        <v>46282.30972222222</v>
      </c>
      <c r="G564" s="8" t="s">
        <v>1045</v>
      </c>
      <c r="H564" s="23">
        <v>46287</v>
      </c>
      <c r="I564" s="23">
        <v>46282.30972222222</v>
      </c>
      <c r="J564" s="10">
        <v>60</v>
      </c>
      <c r="K564" s="10">
        <v>0</v>
      </c>
      <c r="L564" s="24">
        <v>0</v>
      </c>
      <c r="M564" s="10">
        <v>60</v>
      </c>
    </row>
    <row r="565" spans="1:13" x14ac:dyDescent="0.25">
      <c r="A565" s="12" t="str">
        <f t="shared" si="16"/>
        <v>190245MINAS MAQUINAS SA | JUIZ DE FORANFE46238</v>
      </c>
      <c r="B565" s="12" t="str">
        <f t="shared" si="17"/>
        <v>Setembro</v>
      </c>
      <c r="C565" s="8" t="s">
        <v>439</v>
      </c>
      <c r="D565" s="8" t="s">
        <v>1400</v>
      </c>
      <c r="E565" s="8" t="s">
        <v>132</v>
      </c>
      <c r="F565" s="23">
        <v>46238</v>
      </c>
      <c r="G565" s="8" t="s">
        <v>380</v>
      </c>
      <c r="H565" s="23">
        <v>46268</v>
      </c>
      <c r="I565" s="23">
        <v>46239</v>
      </c>
      <c r="J565" s="10">
        <v>988.45</v>
      </c>
      <c r="K565" s="10">
        <v>0</v>
      </c>
      <c r="L565" s="24">
        <v>0</v>
      </c>
      <c r="M565" s="10">
        <v>988.45</v>
      </c>
    </row>
    <row r="566" spans="1:13" x14ac:dyDescent="0.25">
      <c r="A566" s="12" t="str">
        <f t="shared" si="16"/>
        <v>19030BATERLAY LTDANFE46254</v>
      </c>
      <c r="B566" s="12" t="str">
        <f t="shared" si="17"/>
        <v>Setembro</v>
      </c>
      <c r="C566" s="8" t="s">
        <v>440</v>
      </c>
      <c r="D566" s="8" t="s">
        <v>664</v>
      </c>
      <c r="E566" s="8" t="s">
        <v>25</v>
      </c>
      <c r="F566" s="23">
        <v>46254</v>
      </c>
      <c r="G566" s="8" t="s">
        <v>380</v>
      </c>
      <c r="H566" s="23">
        <v>46284</v>
      </c>
      <c r="I566" s="23">
        <v>46255</v>
      </c>
      <c r="J566" s="10">
        <v>618</v>
      </c>
      <c r="K566" s="10">
        <v>0</v>
      </c>
      <c r="L566" s="24">
        <v>0</v>
      </c>
      <c r="M566" s="10">
        <v>618</v>
      </c>
    </row>
    <row r="567" spans="1:13" x14ac:dyDescent="0.25">
      <c r="A567" s="12" t="str">
        <f t="shared" si="16"/>
        <v>19031BATERLAY LTDANFE46254</v>
      </c>
      <c r="B567" s="12" t="str">
        <f t="shared" si="17"/>
        <v>Setembro</v>
      </c>
      <c r="C567" s="8" t="s">
        <v>441</v>
      </c>
      <c r="D567" s="8" t="s">
        <v>664</v>
      </c>
      <c r="E567" s="8" t="s">
        <v>25</v>
      </c>
      <c r="F567" s="23">
        <v>46254</v>
      </c>
      <c r="G567" s="8" t="s">
        <v>380</v>
      </c>
      <c r="H567" s="23">
        <v>46284</v>
      </c>
      <c r="I567" s="23">
        <v>46255</v>
      </c>
      <c r="J567" s="10">
        <v>618</v>
      </c>
      <c r="K567" s="10">
        <v>0</v>
      </c>
      <c r="L567" s="24">
        <v>0</v>
      </c>
      <c r="M567" s="10">
        <v>618</v>
      </c>
    </row>
    <row r="568" spans="1:13" x14ac:dyDescent="0.25">
      <c r="A568" s="12" t="str">
        <f t="shared" si="16"/>
        <v>190755AUTO MAIS CLUBE DE BENEFICIOS E PROTECAO VEICULAR DE IBIRITEBL46183,6625</v>
      </c>
      <c r="B568" s="12" t="str">
        <f t="shared" si="17"/>
        <v>Junho</v>
      </c>
      <c r="C568" s="8" t="s">
        <v>2614</v>
      </c>
      <c r="D568" s="8" t="s">
        <v>1354</v>
      </c>
      <c r="E568" s="8" t="s">
        <v>2615</v>
      </c>
      <c r="F568" s="23">
        <v>46183.662499999999</v>
      </c>
      <c r="G568" s="8" t="s">
        <v>1463</v>
      </c>
      <c r="H568" s="23">
        <v>46188</v>
      </c>
      <c r="I568" s="23">
        <v>46183.662499999999</v>
      </c>
      <c r="J568" s="10">
        <v>4833.74</v>
      </c>
      <c r="K568" s="10">
        <v>0</v>
      </c>
      <c r="L568" s="24">
        <v>0</v>
      </c>
      <c r="M568" s="10">
        <v>4833.74</v>
      </c>
    </row>
    <row r="569" spans="1:13" x14ac:dyDescent="0.25">
      <c r="A569" s="12" t="str">
        <f t="shared" si="16"/>
        <v>190796MINAS MAQUINAS SA | JUIZ DE FORANFE46254</v>
      </c>
      <c r="B569" s="12" t="str">
        <f t="shared" si="17"/>
        <v>Setembro</v>
      </c>
      <c r="C569" s="8" t="s">
        <v>442</v>
      </c>
      <c r="D569" s="8" t="s">
        <v>1400</v>
      </c>
      <c r="E569" s="8" t="s">
        <v>132</v>
      </c>
      <c r="F569" s="23">
        <v>46254</v>
      </c>
      <c r="G569" s="8" t="s">
        <v>380</v>
      </c>
      <c r="H569" s="23">
        <v>46284</v>
      </c>
      <c r="I569" s="23">
        <v>46255</v>
      </c>
      <c r="J569" s="10">
        <v>987.71</v>
      </c>
      <c r="K569" s="10">
        <v>0</v>
      </c>
      <c r="L569" s="24">
        <v>0</v>
      </c>
      <c r="M569" s="10">
        <v>987.71</v>
      </c>
    </row>
    <row r="570" spans="1:13" x14ac:dyDescent="0.25">
      <c r="A570" s="12" t="str">
        <f t="shared" si="16"/>
        <v>191085MINAS MAQUINAS SA | JUIZ DE FORANFE46262</v>
      </c>
      <c r="B570" s="12" t="str">
        <f t="shared" si="17"/>
        <v>Setembro</v>
      </c>
      <c r="C570" s="8" t="s">
        <v>443</v>
      </c>
      <c r="D570" s="8" t="s">
        <v>1400</v>
      </c>
      <c r="E570" s="8" t="s">
        <v>132</v>
      </c>
      <c r="F570" s="23">
        <v>46262</v>
      </c>
      <c r="G570" s="8" t="s">
        <v>380</v>
      </c>
      <c r="H570" s="23">
        <v>46292</v>
      </c>
      <c r="I570" s="23">
        <v>46266</v>
      </c>
      <c r="J570" s="10">
        <v>2083.4</v>
      </c>
      <c r="K570" s="10">
        <v>0</v>
      </c>
      <c r="L570" s="24">
        <v>0</v>
      </c>
      <c r="M570" s="10">
        <v>2083.4</v>
      </c>
    </row>
    <row r="571" spans="1:13" x14ac:dyDescent="0.25">
      <c r="A571" s="12" t="str">
        <f t="shared" si="16"/>
        <v>1924MINAS MAQUINAS SA | NOVA LIMANSE46232</v>
      </c>
      <c r="B571" s="12" t="str">
        <f t="shared" si="17"/>
        <v>Agosto</v>
      </c>
      <c r="C571" s="8" t="s">
        <v>763</v>
      </c>
      <c r="D571" s="8" t="s">
        <v>1354</v>
      </c>
      <c r="E571" s="8" t="s">
        <v>133</v>
      </c>
      <c r="F571" s="23">
        <v>46232</v>
      </c>
      <c r="G571" s="8" t="s">
        <v>665</v>
      </c>
      <c r="H571" s="23">
        <v>46262</v>
      </c>
      <c r="I571" s="23">
        <v>46234</v>
      </c>
      <c r="J571" s="10">
        <v>437.75</v>
      </c>
      <c r="K571" s="10">
        <v>0</v>
      </c>
      <c r="L571" s="24">
        <v>0</v>
      </c>
      <c r="M571" s="10">
        <v>437.75</v>
      </c>
    </row>
    <row r="572" spans="1:13" x14ac:dyDescent="0.25">
      <c r="A572" s="12" t="str">
        <f t="shared" si="16"/>
        <v>1924MINAS MAQUINAS SA | NOVA LIMANSE46232</v>
      </c>
      <c r="B572" s="12" t="str">
        <f t="shared" si="17"/>
        <v>Setembro</v>
      </c>
      <c r="C572" s="8" t="s">
        <v>763</v>
      </c>
      <c r="D572" s="8" t="s">
        <v>1354</v>
      </c>
      <c r="E572" s="8" t="s">
        <v>133</v>
      </c>
      <c r="F572" s="23">
        <v>46232</v>
      </c>
      <c r="G572" s="8" t="s">
        <v>665</v>
      </c>
      <c r="H572" s="23">
        <v>46292</v>
      </c>
      <c r="I572" s="23">
        <v>46234</v>
      </c>
      <c r="J572" s="10">
        <v>437.75</v>
      </c>
      <c r="K572" s="10">
        <v>0</v>
      </c>
      <c r="L572" s="24">
        <v>0</v>
      </c>
      <c r="M572" s="10">
        <v>437.75</v>
      </c>
    </row>
    <row r="573" spans="1:13" x14ac:dyDescent="0.25">
      <c r="A573" s="12" t="str">
        <f t="shared" si="16"/>
        <v>1925MINAS MAQUINAS SA | NOVA LIMANSE46232</v>
      </c>
      <c r="B573" s="12" t="str">
        <f t="shared" si="17"/>
        <v>Agosto</v>
      </c>
      <c r="C573" s="8" t="s">
        <v>764</v>
      </c>
      <c r="D573" s="8" t="s">
        <v>1354</v>
      </c>
      <c r="E573" s="8" t="s">
        <v>133</v>
      </c>
      <c r="F573" s="23">
        <v>46232</v>
      </c>
      <c r="G573" s="8" t="s">
        <v>665</v>
      </c>
      <c r="H573" s="23">
        <v>46262</v>
      </c>
      <c r="I573" s="23">
        <v>46234</v>
      </c>
      <c r="J573" s="10">
        <v>643.75</v>
      </c>
      <c r="K573" s="10">
        <v>0</v>
      </c>
      <c r="L573" s="24">
        <v>0</v>
      </c>
      <c r="M573" s="10">
        <v>643.75</v>
      </c>
    </row>
    <row r="574" spans="1:13" x14ac:dyDescent="0.25">
      <c r="A574" s="12" t="str">
        <f t="shared" si="16"/>
        <v>1925MINAS MAQUINAS SA | NOVA LIMANSE46232</v>
      </c>
      <c r="B574" s="12" t="str">
        <f t="shared" si="17"/>
        <v>Setembro</v>
      </c>
      <c r="C574" s="8" t="s">
        <v>764</v>
      </c>
      <c r="D574" s="8" t="s">
        <v>1354</v>
      </c>
      <c r="E574" s="8" t="s">
        <v>133</v>
      </c>
      <c r="F574" s="23">
        <v>46232</v>
      </c>
      <c r="G574" s="8" t="s">
        <v>665</v>
      </c>
      <c r="H574" s="23">
        <v>46292</v>
      </c>
      <c r="I574" s="23">
        <v>46234</v>
      </c>
      <c r="J574" s="10">
        <v>643.75</v>
      </c>
      <c r="K574" s="10">
        <v>0</v>
      </c>
      <c r="L574" s="24">
        <v>0</v>
      </c>
      <c r="M574" s="10">
        <v>643.75</v>
      </c>
    </row>
    <row r="575" spans="1:13" x14ac:dyDescent="0.25">
      <c r="A575" s="12" t="str">
        <f t="shared" si="16"/>
        <v>19318OCUPACIONAL MEDICINA DO TRABALHO LTDANSE46163</v>
      </c>
      <c r="B575" s="12" t="str">
        <f t="shared" si="17"/>
        <v>Julho</v>
      </c>
      <c r="C575" s="8" t="s">
        <v>765</v>
      </c>
      <c r="D575" s="8" t="s">
        <v>664</v>
      </c>
      <c r="E575" s="8" t="s">
        <v>142</v>
      </c>
      <c r="F575" s="23">
        <v>46163</v>
      </c>
      <c r="G575" s="8" t="s">
        <v>665</v>
      </c>
      <c r="H575" s="23">
        <v>46209</v>
      </c>
      <c r="I575" s="23">
        <v>46167</v>
      </c>
      <c r="J575" s="10">
        <v>644.16</v>
      </c>
      <c r="K575" s="10">
        <v>0</v>
      </c>
      <c r="L575" s="24">
        <v>0</v>
      </c>
      <c r="M575" s="10">
        <v>614.21</v>
      </c>
    </row>
    <row r="576" spans="1:13" x14ac:dyDescent="0.25">
      <c r="A576" s="12" t="str">
        <f t="shared" si="16"/>
        <v>19318-5952-87MINISTERIO DA FAZENDAIM46168,5354166667</v>
      </c>
      <c r="B576" s="12" t="str">
        <f t="shared" si="17"/>
        <v>Junho</v>
      </c>
      <c r="C576" s="8" t="s">
        <v>2584</v>
      </c>
      <c r="D576" s="8" t="s">
        <v>664</v>
      </c>
      <c r="E576" s="8" t="s">
        <v>1503</v>
      </c>
      <c r="F576" s="23">
        <v>46168.535416666666</v>
      </c>
      <c r="G576" s="8" t="s">
        <v>1142</v>
      </c>
      <c r="H576" s="23">
        <v>47289</v>
      </c>
      <c r="I576" s="23">
        <v>46168.535416666666</v>
      </c>
      <c r="J576" s="10">
        <v>29.95</v>
      </c>
      <c r="K576" s="10">
        <v>0</v>
      </c>
      <c r="L576" s="24">
        <v>0</v>
      </c>
      <c r="M576" s="10">
        <v>29.95</v>
      </c>
    </row>
    <row r="577" spans="1:13" x14ac:dyDescent="0.25">
      <c r="A577" s="12" t="str">
        <f t="shared" si="16"/>
        <v>19319OCUPACIONAL MEDICINA DO TRABALHO LTDANSE46167</v>
      </c>
      <c r="B577" s="12" t="str">
        <f t="shared" si="17"/>
        <v>Julho</v>
      </c>
      <c r="C577" s="8" t="s">
        <v>766</v>
      </c>
      <c r="D577" s="8" t="s">
        <v>664</v>
      </c>
      <c r="E577" s="8" t="s">
        <v>142</v>
      </c>
      <c r="F577" s="23">
        <v>46167</v>
      </c>
      <c r="G577" s="8" t="s">
        <v>665</v>
      </c>
      <c r="H577" s="23">
        <v>46209</v>
      </c>
      <c r="I577" s="23">
        <v>46167</v>
      </c>
      <c r="J577" s="10">
        <v>644.16</v>
      </c>
      <c r="K577" s="10">
        <v>0</v>
      </c>
      <c r="L577" s="24">
        <v>0</v>
      </c>
      <c r="M577" s="10">
        <v>614.21</v>
      </c>
    </row>
    <row r="578" spans="1:13" x14ac:dyDescent="0.25">
      <c r="A578" s="12" t="str">
        <f t="shared" ref="A578:A641" si="18">$C578&amp;$E578&amp;$G578&amp;$F578</f>
        <v>19319-5952-87MINISTERIO DA FAZENDAim46168,6826388889</v>
      </c>
      <c r="B578" s="12" t="str">
        <f t="shared" si="17"/>
        <v>Junho</v>
      </c>
      <c r="C578" s="8" t="s">
        <v>2585</v>
      </c>
      <c r="D578" s="8" t="s">
        <v>664</v>
      </c>
      <c r="E578" s="8" t="s">
        <v>1503</v>
      </c>
      <c r="F578" s="23">
        <v>46168.682638888888</v>
      </c>
      <c r="G578" s="8" t="s">
        <v>1248</v>
      </c>
      <c r="H578" s="23">
        <v>46193</v>
      </c>
      <c r="I578" s="23">
        <v>46168.682638888888</v>
      </c>
      <c r="J578" s="10">
        <v>29.95</v>
      </c>
      <c r="K578" s="10">
        <v>0</v>
      </c>
      <c r="L578" s="24">
        <v>0</v>
      </c>
      <c r="M578" s="10">
        <v>29.95</v>
      </c>
    </row>
    <row r="579" spans="1:13" x14ac:dyDescent="0.25">
      <c r="A579" s="12" t="str">
        <f t="shared" si="18"/>
        <v>1964MINAS MAQUINAS SA | NOVA LIMANSE46233</v>
      </c>
      <c r="B579" s="12" t="str">
        <f t="shared" ref="B579:B642" si="19">PROPER(TEXT($H579,"MMMM"))</f>
        <v>Agosto</v>
      </c>
      <c r="C579" s="8" t="s">
        <v>767</v>
      </c>
      <c r="D579" s="8" t="s">
        <v>1354</v>
      </c>
      <c r="E579" s="8" t="s">
        <v>133</v>
      </c>
      <c r="F579" s="23">
        <v>46233</v>
      </c>
      <c r="G579" s="8" t="s">
        <v>665</v>
      </c>
      <c r="H579" s="23">
        <v>46263</v>
      </c>
      <c r="I579" s="23">
        <v>46234</v>
      </c>
      <c r="J579" s="10">
        <v>1352.6</v>
      </c>
      <c r="K579" s="10">
        <v>0</v>
      </c>
      <c r="L579" s="24">
        <v>0</v>
      </c>
      <c r="M579" s="10">
        <v>1352.6</v>
      </c>
    </row>
    <row r="580" spans="1:13" x14ac:dyDescent="0.25">
      <c r="A580" s="12" t="str">
        <f t="shared" si="18"/>
        <v>1964MINAS MAQUINAS SA | NOVA LIMANSE46233</v>
      </c>
      <c r="B580" s="12" t="str">
        <f t="shared" si="19"/>
        <v>Setembro</v>
      </c>
      <c r="C580" s="8" t="s">
        <v>767</v>
      </c>
      <c r="D580" s="8" t="s">
        <v>1354</v>
      </c>
      <c r="E580" s="8" t="s">
        <v>133</v>
      </c>
      <c r="F580" s="23">
        <v>46233</v>
      </c>
      <c r="G580" s="8" t="s">
        <v>665</v>
      </c>
      <c r="H580" s="23">
        <v>46293</v>
      </c>
      <c r="I580" s="23">
        <v>46234</v>
      </c>
      <c r="J580" s="10">
        <v>1352.6</v>
      </c>
      <c r="K580" s="10">
        <v>0</v>
      </c>
      <c r="L580" s="24">
        <v>0</v>
      </c>
      <c r="M580" s="10">
        <v>1352.6</v>
      </c>
    </row>
    <row r="581" spans="1:13" x14ac:dyDescent="0.25">
      <c r="A581" s="12" t="str">
        <f t="shared" si="18"/>
        <v>1983MINAS MAQUINAS SA | NOVA LIMANSE46234</v>
      </c>
      <c r="B581" s="12" t="str">
        <f t="shared" si="19"/>
        <v>Agosto</v>
      </c>
      <c r="C581" s="8" t="s">
        <v>768</v>
      </c>
      <c r="D581" s="8" t="s">
        <v>1354</v>
      </c>
      <c r="E581" s="8" t="s">
        <v>133</v>
      </c>
      <c r="F581" s="23">
        <v>46234</v>
      </c>
      <c r="G581" s="8" t="s">
        <v>665</v>
      </c>
      <c r="H581" s="23">
        <v>46264</v>
      </c>
      <c r="I581" s="23">
        <v>46238</v>
      </c>
      <c r="J581" s="10">
        <v>1912.95</v>
      </c>
      <c r="K581" s="10">
        <v>0</v>
      </c>
      <c r="L581" s="24">
        <v>0</v>
      </c>
      <c r="M581" s="10">
        <v>1912.95</v>
      </c>
    </row>
    <row r="582" spans="1:13" x14ac:dyDescent="0.25">
      <c r="A582" s="12" t="str">
        <f t="shared" si="18"/>
        <v>1983MINAS MAQUINAS SA | NOVA LIMANSE46234</v>
      </c>
      <c r="B582" s="12" t="str">
        <f t="shared" si="19"/>
        <v>Setembro</v>
      </c>
      <c r="C582" s="8" t="s">
        <v>768</v>
      </c>
      <c r="D582" s="8" t="s">
        <v>1354</v>
      </c>
      <c r="E582" s="8" t="s">
        <v>133</v>
      </c>
      <c r="F582" s="23">
        <v>46234</v>
      </c>
      <c r="G582" s="8" t="s">
        <v>665</v>
      </c>
      <c r="H582" s="23">
        <v>46294</v>
      </c>
      <c r="I582" s="23">
        <v>46238</v>
      </c>
      <c r="J582" s="10">
        <v>1912.95</v>
      </c>
      <c r="K582" s="10">
        <v>0</v>
      </c>
      <c r="L582" s="24">
        <v>0</v>
      </c>
      <c r="M582" s="10">
        <v>1912.95</v>
      </c>
    </row>
    <row r="583" spans="1:13" x14ac:dyDescent="0.25">
      <c r="A583" s="12" t="str">
        <f t="shared" si="18"/>
        <v>2LUCAS FRANCO DE SOUZARCB46029,6909722222</v>
      </c>
      <c r="B583" s="12" t="str">
        <f t="shared" si="19"/>
        <v>Janeiro</v>
      </c>
      <c r="C583" s="8" t="s">
        <v>769</v>
      </c>
      <c r="D583" s="8" t="s">
        <v>664</v>
      </c>
      <c r="E583" s="8" t="s">
        <v>1450</v>
      </c>
      <c r="F583" s="23">
        <v>46029.690972222219</v>
      </c>
      <c r="G583" s="8" t="s">
        <v>1045</v>
      </c>
      <c r="H583" s="23">
        <v>46034</v>
      </c>
      <c r="I583" s="23">
        <v>46029.690972222219</v>
      </c>
      <c r="J583" s="10">
        <v>114.88</v>
      </c>
      <c r="K583" s="10">
        <v>0</v>
      </c>
      <c r="L583" s="24">
        <v>0</v>
      </c>
      <c r="M583" s="10">
        <v>114.88</v>
      </c>
    </row>
    <row r="584" spans="1:13" x14ac:dyDescent="0.25">
      <c r="A584" s="12" t="str">
        <f t="shared" si="18"/>
        <v>2LIOMAR NUNES LINORCB46030,5826388889</v>
      </c>
      <c r="B584" s="12" t="str">
        <f t="shared" si="19"/>
        <v>Janeiro</v>
      </c>
      <c r="C584" s="8" t="s">
        <v>769</v>
      </c>
      <c r="D584" s="8" t="s">
        <v>664</v>
      </c>
      <c r="E584" s="8" t="s">
        <v>1458</v>
      </c>
      <c r="F584" s="23">
        <v>46030.582638888889</v>
      </c>
      <c r="G584" s="8" t="s">
        <v>1045</v>
      </c>
      <c r="H584" s="23">
        <v>46035</v>
      </c>
      <c r="I584" s="23">
        <v>46030.582638888889</v>
      </c>
      <c r="J584" s="10">
        <v>192.35</v>
      </c>
      <c r="K584" s="10">
        <v>0</v>
      </c>
      <c r="L584" s="24">
        <v>0</v>
      </c>
      <c r="M584" s="10">
        <v>192.35</v>
      </c>
    </row>
    <row r="585" spans="1:13" x14ac:dyDescent="0.25">
      <c r="A585" s="12" t="str">
        <f t="shared" si="18"/>
        <v>2EDIVALDO SOUZA SANTOSRCB46030,5861111111</v>
      </c>
      <c r="B585" s="12" t="str">
        <f t="shared" si="19"/>
        <v>Janeiro</v>
      </c>
      <c r="C585" s="8" t="s">
        <v>769</v>
      </c>
      <c r="D585" s="8" t="s">
        <v>664</v>
      </c>
      <c r="E585" s="8" t="s">
        <v>57</v>
      </c>
      <c r="F585" s="23">
        <v>46030.586111111108</v>
      </c>
      <c r="G585" s="8" t="s">
        <v>1045</v>
      </c>
      <c r="H585" s="23">
        <v>46035</v>
      </c>
      <c r="I585" s="23">
        <v>46030.586111111108</v>
      </c>
      <c r="J585" s="10">
        <v>100</v>
      </c>
      <c r="K585" s="10">
        <v>0</v>
      </c>
      <c r="L585" s="24">
        <v>0</v>
      </c>
      <c r="M585" s="10">
        <v>100</v>
      </c>
    </row>
    <row r="586" spans="1:13" x14ac:dyDescent="0.25">
      <c r="A586" s="12" t="str">
        <f t="shared" si="18"/>
        <v>2WILLIAM FLAVIO DE SOUZARCB46031,3527777778</v>
      </c>
      <c r="B586" s="12" t="str">
        <f t="shared" si="19"/>
        <v>Janeiro</v>
      </c>
      <c r="C586" s="8" t="s">
        <v>769</v>
      </c>
      <c r="D586" s="8" t="s">
        <v>664</v>
      </c>
      <c r="E586" s="8" t="s">
        <v>1459</v>
      </c>
      <c r="F586" s="23">
        <v>46031.352777777778</v>
      </c>
      <c r="G586" s="8" t="s">
        <v>1045</v>
      </c>
      <c r="H586" s="23">
        <v>46036</v>
      </c>
      <c r="I586" s="23">
        <v>46031.352777777778</v>
      </c>
      <c r="J586" s="10">
        <v>25</v>
      </c>
      <c r="K586" s="10">
        <v>0</v>
      </c>
      <c r="L586" s="24">
        <v>0</v>
      </c>
      <c r="M586" s="10">
        <v>25</v>
      </c>
    </row>
    <row r="587" spans="1:13" x14ac:dyDescent="0.25">
      <c r="A587" s="12" t="str">
        <f t="shared" si="18"/>
        <v>2TIAGO RODRIGUES RIBEIRORCB46034,5979166667</v>
      </c>
      <c r="B587" s="12" t="str">
        <f t="shared" si="19"/>
        <v>Janeiro</v>
      </c>
      <c r="C587" s="8" t="s">
        <v>769</v>
      </c>
      <c r="D587" s="8" t="s">
        <v>664</v>
      </c>
      <c r="E587" s="8" t="s">
        <v>1479</v>
      </c>
      <c r="F587" s="23">
        <v>46034.597916666666</v>
      </c>
      <c r="G587" s="8" t="s">
        <v>1045</v>
      </c>
      <c r="H587" s="23">
        <v>46037</v>
      </c>
      <c r="I587" s="23">
        <v>46034.597916666666</v>
      </c>
      <c r="J587" s="10">
        <v>50</v>
      </c>
      <c r="K587" s="10">
        <v>0</v>
      </c>
      <c r="L587" s="24">
        <v>0</v>
      </c>
      <c r="M587" s="10">
        <v>50</v>
      </c>
    </row>
    <row r="588" spans="1:13" x14ac:dyDescent="0.25">
      <c r="A588" s="12" t="str">
        <f t="shared" si="18"/>
        <v>2ILDEON FERREIRA SANTOSRCB46042,6166666667</v>
      </c>
      <c r="B588" s="12" t="str">
        <f t="shared" si="19"/>
        <v>Janeiro</v>
      </c>
      <c r="C588" s="8" t="s">
        <v>769</v>
      </c>
      <c r="D588" s="8" t="s">
        <v>664</v>
      </c>
      <c r="E588" s="8" t="s">
        <v>86</v>
      </c>
      <c r="F588" s="23">
        <v>46042.616666666669</v>
      </c>
      <c r="G588" s="8" t="s">
        <v>1045</v>
      </c>
      <c r="H588" s="23">
        <v>46045</v>
      </c>
      <c r="I588" s="23">
        <v>46042.616666666669</v>
      </c>
      <c r="J588" s="10">
        <v>200</v>
      </c>
      <c r="K588" s="10">
        <v>0</v>
      </c>
      <c r="L588" s="24">
        <v>0</v>
      </c>
      <c r="M588" s="10">
        <v>200</v>
      </c>
    </row>
    <row r="589" spans="1:13" x14ac:dyDescent="0.25">
      <c r="A589" s="12" t="str">
        <f t="shared" si="18"/>
        <v>2ANSELMO A. OLIVEIRARCB46055,475</v>
      </c>
      <c r="B589" s="12" t="str">
        <f t="shared" si="19"/>
        <v>Fevereiro</v>
      </c>
      <c r="C589" s="8" t="s">
        <v>769</v>
      </c>
      <c r="D589" s="8" t="s">
        <v>664</v>
      </c>
      <c r="E589" s="8" t="s">
        <v>1598</v>
      </c>
      <c r="F589" s="23">
        <v>46055.474999999999</v>
      </c>
      <c r="G589" s="8" t="s">
        <v>1045</v>
      </c>
      <c r="H589" s="23">
        <v>46058</v>
      </c>
      <c r="I589" s="23">
        <v>46055.474999999999</v>
      </c>
      <c r="J589" s="10">
        <v>40</v>
      </c>
      <c r="K589" s="10">
        <v>0</v>
      </c>
      <c r="L589" s="24">
        <v>0</v>
      </c>
      <c r="M589" s="10">
        <v>40</v>
      </c>
    </row>
    <row r="590" spans="1:13" x14ac:dyDescent="0.25">
      <c r="A590" s="12" t="str">
        <f t="shared" si="18"/>
        <v>2ANTONIO ALCIDES AFONSORCB46057,6645833333</v>
      </c>
      <c r="B590" s="12" t="str">
        <f t="shared" si="19"/>
        <v>Fevereiro</v>
      </c>
      <c r="C590" s="8" t="s">
        <v>769</v>
      </c>
      <c r="D590" s="8" t="s">
        <v>664</v>
      </c>
      <c r="E590" s="8" t="s">
        <v>18</v>
      </c>
      <c r="F590" s="23">
        <v>46057.664583333331</v>
      </c>
      <c r="G590" s="8" t="s">
        <v>1045</v>
      </c>
      <c r="H590" s="23">
        <v>46062</v>
      </c>
      <c r="I590" s="23">
        <v>46057.664583333331</v>
      </c>
      <c r="J590" s="10">
        <v>50</v>
      </c>
      <c r="K590" s="10">
        <v>0</v>
      </c>
      <c r="L590" s="24">
        <v>0</v>
      </c>
      <c r="M590" s="10">
        <v>50</v>
      </c>
    </row>
    <row r="591" spans="1:13" x14ac:dyDescent="0.25">
      <c r="A591" s="12" t="str">
        <f t="shared" si="18"/>
        <v>2ANDRE GOMES DA SILVARCB46062,7118055556</v>
      </c>
      <c r="B591" s="12" t="str">
        <f t="shared" si="19"/>
        <v>Fevereiro</v>
      </c>
      <c r="C591" s="8" t="s">
        <v>769</v>
      </c>
      <c r="D591" s="8" t="s">
        <v>664</v>
      </c>
      <c r="E591" s="8" t="s">
        <v>14</v>
      </c>
      <c r="F591" s="23">
        <v>46062.711805555555</v>
      </c>
      <c r="G591" s="8" t="s">
        <v>1045</v>
      </c>
      <c r="H591" s="23">
        <v>46065</v>
      </c>
      <c r="I591" s="23">
        <v>46062.711805555555</v>
      </c>
      <c r="J591" s="10">
        <v>28.27</v>
      </c>
      <c r="K591" s="10">
        <v>0</v>
      </c>
      <c r="L591" s="24">
        <v>0</v>
      </c>
      <c r="M591" s="10">
        <v>28.27</v>
      </c>
    </row>
    <row r="592" spans="1:13" x14ac:dyDescent="0.25">
      <c r="A592" s="12" t="str">
        <f t="shared" si="18"/>
        <v>2CAMPOS VEICULOS LTDA - PRIME AUTO CENTERNSE46043</v>
      </c>
      <c r="B592" s="12" t="str">
        <f t="shared" si="19"/>
        <v>Fevereiro</v>
      </c>
      <c r="C592" s="8" t="s">
        <v>769</v>
      </c>
      <c r="D592" s="8" t="s">
        <v>1354</v>
      </c>
      <c r="E592" s="8" t="s">
        <v>35</v>
      </c>
      <c r="F592" s="23">
        <v>46043</v>
      </c>
      <c r="G592" s="8" t="s">
        <v>665</v>
      </c>
      <c r="H592" s="23">
        <v>46076</v>
      </c>
      <c r="I592" s="23">
        <v>46054</v>
      </c>
      <c r="J592" s="10">
        <v>6188</v>
      </c>
      <c r="K592" s="10">
        <v>0</v>
      </c>
      <c r="L592" s="24">
        <v>0</v>
      </c>
      <c r="M592" s="10">
        <v>6188</v>
      </c>
    </row>
    <row r="593" spans="1:13" x14ac:dyDescent="0.25">
      <c r="A593" s="12" t="str">
        <f t="shared" si="18"/>
        <v>2JAMES MICHEL PORTO PIMENTARCB46076,5923611111</v>
      </c>
      <c r="B593" s="12" t="str">
        <f t="shared" si="19"/>
        <v>Fevereiro</v>
      </c>
      <c r="C593" s="8" t="s">
        <v>769</v>
      </c>
      <c r="D593" s="8" t="s">
        <v>664</v>
      </c>
      <c r="E593" s="8" t="s">
        <v>1914</v>
      </c>
      <c r="F593" s="23">
        <v>46076.592361111114</v>
      </c>
      <c r="G593" s="8" t="s">
        <v>1045</v>
      </c>
      <c r="H593" s="23">
        <v>46079</v>
      </c>
      <c r="I593" s="23">
        <v>46076.592361111114</v>
      </c>
      <c r="J593" s="10">
        <v>217.38</v>
      </c>
      <c r="K593" s="10">
        <v>0</v>
      </c>
      <c r="L593" s="24">
        <v>0</v>
      </c>
      <c r="M593" s="10">
        <v>217.38</v>
      </c>
    </row>
    <row r="594" spans="1:13" x14ac:dyDescent="0.25">
      <c r="A594" s="12" t="str">
        <f t="shared" si="18"/>
        <v>2SIMONE DIAS LEANDRORCB46085,5215277778</v>
      </c>
      <c r="B594" s="12" t="str">
        <f t="shared" si="19"/>
        <v>Março</v>
      </c>
      <c r="C594" s="8" t="s">
        <v>769</v>
      </c>
      <c r="D594" s="8" t="s">
        <v>664</v>
      </c>
      <c r="E594" s="8" t="s">
        <v>181</v>
      </c>
      <c r="F594" s="23">
        <v>46085.521527777775</v>
      </c>
      <c r="G594" s="8" t="s">
        <v>1045</v>
      </c>
      <c r="H594" s="23">
        <v>46091</v>
      </c>
      <c r="I594" s="23">
        <v>46085.521527777775</v>
      </c>
      <c r="J594" s="10">
        <v>16.399999999999999</v>
      </c>
      <c r="K594" s="10">
        <v>0</v>
      </c>
      <c r="L594" s="24">
        <v>0</v>
      </c>
      <c r="M594" s="10">
        <v>16.399999999999999</v>
      </c>
    </row>
    <row r="595" spans="1:13" x14ac:dyDescent="0.25">
      <c r="A595" s="12" t="str">
        <f t="shared" si="18"/>
        <v>2CATIA MARIA ALVES MOREIRARCB46085,5048611111</v>
      </c>
      <c r="B595" s="12" t="str">
        <f t="shared" si="19"/>
        <v>Março</v>
      </c>
      <c r="C595" s="8" t="s">
        <v>769</v>
      </c>
      <c r="D595" s="8" t="s">
        <v>664</v>
      </c>
      <c r="E595" s="8" t="s">
        <v>1955</v>
      </c>
      <c r="F595" s="23">
        <v>46085.504861111112</v>
      </c>
      <c r="G595" s="8" t="s">
        <v>1045</v>
      </c>
      <c r="H595" s="23">
        <v>46091</v>
      </c>
      <c r="I595" s="23">
        <v>46085.504861111112</v>
      </c>
      <c r="J595" s="10">
        <v>10.3</v>
      </c>
      <c r="K595" s="10">
        <v>0</v>
      </c>
      <c r="L595" s="24">
        <v>0</v>
      </c>
      <c r="M595" s="10">
        <v>10.3</v>
      </c>
    </row>
    <row r="596" spans="1:13" x14ac:dyDescent="0.25">
      <c r="A596" s="12" t="str">
        <f t="shared" si="18"/>
        <v>2EMILIO LUCAS DA ROCHARCB46086,4923611111</v>
      </c>
      <c r="B596" s="12" t="str">
        <f t="shared" si="19"/>
        <v>Março</v>
      </c>
      <c r="C596" s="8" t="s">
        <v>769</v>
      </c>
      <c r="D596" s="8" t="s">
        <v>664</v>
      </c>
      <c r="E596" s="8" t="s">
        <v>61</v>
      </c>
      <c r="F596" s="23">
        <v>46086.492361111108</v>
      </c>
      <c r="G596" s="8" t="s">
        <v>1045</v>
      </c>
      <c r="H596" s="23">
        <v>46092</v>
      </c>
      <c r="I596" s="23">
        <v>46086.492361111108</v>
      </c>
      <c r="J596" s="10">
        <v>50</v>
      </c>
      <c r="K596" s="10">
        <v>0</v>
      </c>
      <c r="L596" s="24">
        <v>0</v>
      </c>
      <c r="M596" s="10">
        <v>50</v>
      </c>
    </row>
    <row r="597" spans="1:13" x14ac:dyDescent="0.25">
      <c r="A597" s="12" t="str">
        <f t="shared" si="18"/>
        <v>2MAKWELL HERMINIO TAVARESRCB46086,49375</v>
      </c>
      <c r="B597" s="12" t="str">
        <f t="shared" si="19"/>
        <v>Março</v>
      </c>
      <c r="C597" s="8" t="s">
        <v>769</v>
      </c>
      <c r="D597" s="8" t="s">
        <v>664</v>
      </c>
      <c r="E597" s="8" t="s">
        <v>1615</v>
      </c>
      <c r="F597" s="23">
        <v>46086.493750000001</v>
      </c>
      <c r="G597" s="8" t="s">
        <v>1045</v>
      </c>
      <c r="H597" s="23">
        <v>46092</v>
      </c>
      <c r="I597" s="23">
        <v>46086.493750000001</v>
      </c>
      <c r="J597" s="10">
        <v>25</v>
      </c>
      <c r="K597" s="10">
        <v>0</v>
      </c>
      <c r="L597" s="24">
        <v>0</v>
      </c>
      <c r="M597" s="10">
        <v>25</v>
      </c>
    </row>
    <row r="598" spans="1:13" x14ac:dyDescent="0.25">
      <c r="A598" s="12" t="str">
        <f t="shared" si="18"/>
        <v>2ELITON ADRIANO DA SILVARCB46090,4027777778</v>
      </c>
      <c r="B598" s="12" t="str">
        <f t="shared" si="19"/>
        <v>Março</v>
      </c>
      <c r="C598" s="8" t="s">
        <v>769</v>
      </c>
      <c r="D598" s="8" t="s">
        <v>664</v>
      </c>
      <c r="E598" s="8" t="s">
        <v>60</v>
      </c>
      <c r="F598" s="23">
        <v>46090.402777777781</v>
      </c>
      <c r="G598" s="8" t="s">
        <v>1045</v>
      </c>
      <c r="H598" s="23">
        <v>46093</v>
      </c>
      <c r="I598" s="23">
        <v>46090.402777777781</v>
      </c>
      <c r="J598" s="10">
        <v>100</v>
      </c>
      <c r="K598" s="10">
        <v>0</v>
      </c>
      <c r="L598" s="24">
        <v>0</v>
      </c>
      <c r="M598" s="10">
        <v>100</v>
      </c>
    </row>
    <row r="599" spans="1:13" x14ac:dyDescent="0.25">
      <c r="A599" s="12" t="str">
        <f t="shared" si="18"/>
        <v>2DANILO SANTOS BARBOSARCB46091,7472222222</v>
      </c>
      <c r="B599" s="12" t="str">
        <f t="shared" si="19"/>
        <v>Março</v>
      </c>
      <c r="C599" s="8" t="s">
        <v>769</v>
      </c>
      <c r="D599" s="8" t="s">
        <v>664</v>
      </c>
      <c r="E599" s="8" t="s">
        <v>1946</v>
      </c>
      <c r="F599" s="23">
        <v>46091.74722222222</v>
      </c>
      <c r="G599" s="8" t="s">
        <v>1045</v>
      </c>
      <c r="H599" s="23">
        <v>46094</v>
      </c>
      <c r="I599" s="23">
        <v>46091.74722222222</v>
      </c>
      <c r="J599" s="10">
        <v>82.28</v>
      </c>
      <c r="K599" s="10">
        <v>0</v>
      </c>
      <c r="L599" s="24">
        <v>0</v>
      </c>
      <c r="M599" s="10">
        <v>82.28</v>
      </c>
    </row>
    <row r="600" spans="1:13" x14ac:dyDescent="0.25">
      <c r="A600" s="12" t="str">
        <f t="shared" si="18"/>
        <v>2CICERO ISRAEL DOS SANTOSRCB46098,5791666667</v>
      </c>
      <c r="B600" s="12" t="str">
        <f t="shared" si="19"/>
        <v>Março</v>
      </c>
      <c r="C600" s="8" t="s">
        <v>769</v>
      </c>
      <c r="D600" s="8" t="s">
        <v>664</v>
      </c>
      <c r="E600" s="8" t="s">
        <v>43</v>
      </c>
      <c r="F600" s="23">
        <v>46098.57916666667</v>
      </c>
      <c r="G600" s="8" t="s">
        <v>1045</v>
      </c>
      <c r="H600" s="23">
        <v>46101</v>
      </c>
      <c r="I600" s="23">
        <v>46098.57916666667</v>
      </c>
      <c r="J600" s="10">
        <v>219.81</v>
      </c>
      <c r="K600" s="10">
        <v>0</v>
      </c>
      <c r="L600" s="24">
        <v>0</v>
      </c>
      <c r="M600" s="10">
        <v>219.81</v>
      </c>
    </row>
    <row r="601" spans="1:13" x14ac:dyDescent="0.25">
      <c r="A601" s="12" t="str">
        <f t="shared" si="18"/>
        <v>2NICOLAS PEREIRA DE BRITORCB46098,79375</v>
      </c>
      <c r="B601" s="12" t="str">
        <f t="shared" si="19"/>
        <v>Março</v>
      </c>
      <c r="C601" s="8" t="s">
        <v>769</v>
      </c>
      <c r="D601" s="8" t="s">
        <v>664</v>
      </c>
      <c r="E601" s="8" t="s">
        <v>2085</v>
      </c>
      <c r="F601" s="23">
        <v>46098.793749999997</v>
      </c>
      <c r="G601" s="8" t="s">
        <v>1045</v>
      </c>
      <c r="H601" s="23">
        <v>46101</v>
      </c>
      <c r="I601" s="23">
        <v>46098.793749999997</v>
      </c>
      <c r="J601" s="10">
        <v>143.94</v>
      </c>
      <c r="K601" s="10">
        <v>0</v>
      </c>
      <c r="L601" s="24">
        <v>0</v>
      </c>
      <c r="M601" s="10">
        <v>143.94</v>
      </c>
    </row>
    <row r="602" spans="1:13" x14ac:dyDescent="0.25">
      <c r="A602" s="12" t="str">
        <f t="shared" si="18"/>
        <v>2BRUNO LOPES SOARESRCB46106,6048611111</v>
      </c>
      <c r="B602" s="12" t="str">
        <f t="shared" si="19"/>
        <v>Março</v>
      </c>
      <c r="C602" s="8" t="s">
        <v>769</v>
      </c>
      <c r="D602" s="8" t="s">
        <v>664</v>
      </c>
      <c r="E602" s="8" t="s">
        <v>30</v>
      </c>
      <c r="F602" s="23">
        <v>46106.604861111111</v>
      </c>
      <c r="G602" s="8" t="s">
        <v>1045</v>
      </c>
      <c r="H602" s="23">
        <v>46111</v>
      </c>
      <c r="I602" s="23">
        <v>46106.604861111111</v>
      </c>
      <c r="J602" s="10">
        <v>101.2</v>
      </c>
      <c r="K602" s="10">
        <v>0</v>
      </c>
      <c r="L602" s="24">
        <v>0</v>
      </c>
      <c r="M602" s="10">
        <v>101.2</v>
      </c>
    </row>
    <row r="603" spans="1:13" x14ac:dyDescent="0.25">
      <c r="A603" s="12" t="str">
        <f t="shared" si="18"/>
        <v>2PANIFICADORA HALEY LTDARCB46125,6020833333</v>
      </c>
      <c r="B603" s="12" t="str">
        <f t="shared" si="19"/>
        <v>Abril</v>
      </c>
      <c r="C603" s="8" t="s">
        <v>769</v>
      </c>
      <c r="D603" s="8" t="s">
        <v>664</v>
      </c>
      <c r="E603" s="8" t="s">
        <v>2214</v>
      </c>
      <c r="F603" s="23">
        <v>46125.602083333331</v>
      </c>
      <c r="G603" s="8" t="s">
        <v>1045</v>
      </c>
      <c r="H603" s="23">
        <v>46128</v>
      </c>
      <c r="I603" s="23">
        <v>46125.602083333331</v>
      </c>
      <c r="J603" s="10">
        <v>80.87</v>
      </c>
      <c r="K603" s="10">
        <v>0</v>
      </c>
      <c r="L603" s="24">
        <v>0</v>
      </c>
      <c r="M603" s="10">
        <v>80.87</v>
      </c>
    </row>
    <row r="604" spans="1:13" x14ac:dyDescent="0.25">
      <c r="A604" s="12" t="str">
        <f t="shared" si="18"/>
        <v>2PAULO SILAS GOMES SOARESRCB46127,5819444444</v>
      </c>
      <c r="B604" s="12" t="str">
        <f t="shared" si="19"/>
        <v>Abril</v>
      </c>
      <c r="C604" s="8" t="s">
        <v>769</v>
      </c>
      <c r="D604" s="8" t="s">
        <v>664</v>
      </c>
      <c r="E604" s="8" t="s">
        <v>154</v>
      </c>
      <c r="F604" s="23">
        <v>46127.581944444442</v>
      </c>
      <c r="G604" s="8" t="s">
        <v>1045</v>
      </c>
      <c r="H604" s="23">
        <v>46132</v>
      </c>
      <c r="I604" s="23">
        <v>46127.581944444442</v>
      </c>
      <c r="J604" s="10">
        <v>263.68</v>
      </c>
      <c r="K604" s="10">
        <v>0</v>
      </c>
      <c r="L604" s="24">
        <v>0</v>
      </c>
      <c r="M604" s="10">
        <v>263.68</v>
      </c>
    </row>
    <row r="605" spans="1:13" x14ac:dyDescent="0.25">
      <c r="A605" s="12" t="str">
        <f t="shared" si="18"/>
        <v>2LUIZ HENRIQUE CARVALHO DA SILVARCB46146,3770833333</v>
      </c>
      <c r="B605" s="12" t="str">
        <f t="shared" si="19"/>
        <v>Maio</v>
      </c>
      <c r="C605" s="8" t="s">
        <v>769</v>
      </c>
      <c r="D605" s="8" t="s">
        <v>664</v>
      </c>
      <c r="E605" s="8" t="s">
        <v>114</v>
      </c>
      <c r="F605" s="23">
        <v>46146.377083333333</v>
      </c>
      <c r="G605" s="8" t="s">
        <v>1045</v>
      </c>
      <c r="H605" s="23">
        <v>46149</v>
      </c>
      <c r="I605" s="23">
        <v>46146.377083333333</v>
      </c>
      <c r="J605" s="10">
        <v>100</v>
      </c>
      <c r="K605" s="10">
        <v>0</v>
      </c>
      <c r="L605" s="24">
        <v>0</v>
      </c>
      <c r="M605" s="10">
        <v>100</v>
      </c>
    </row>
    <row r="606" spans="1:13" x14ac:dyDescent="0.25">
      <c r="A606" s="12" t="str">
        <f t="shared" si="18"/>
        <v>2MANOEL CALISTO DE FREITASRCB46156,4965277778</v>
      </c>
      <c r="B606" s="12" t="str">
        <f t="shared" si="19"/>
        <v>Maio</v>
      </c>
      <c r="C606" s="8" t="s">
        <v>769</v>
      </c>
      <c r="D606" s="8" t="s">
        <v>664</v>
      </c>
      <c r="E606" s="8" t="s">
        <v>2333</v>
      </c>
      <c r="F606" s="23">
        <v>46156.496527777781</v>
      </c>
      <c r="G606" s="8" t="s">
        <v>1045</v>
      </c>
      <c r="H606" s="23">
        <v>46161</v>
      </c>
      <c r="I606" s="23">
        <v>46156.496527777781</v>
      </c>
      <c r="J606" s="10">
        <v>199</v>
      </c>
      <c r="K606" s="10">
        <v>0</v>
      </c>
      <c r="L606" s="24">
        <v>0</v>
      </c>
      <c r="M606" s="10">
        <v>199</v>
      </c>
    </row>
    <row r="607" spans="1:13" x14ac:dyDescent="0.25">
      <c r="A607" s="12" t="str">
        <f t="shared" si="18"/>
        <v>2GERSON JUNIOR MENDES DIASRCB46163,4625</v>
      </c>
      <c r="B607" s="12" t="str">
        <f t="shared" si="19"/>
        <v>Maio</v>
      </c>
      <c r="C607" s="8" t="s">
        <v>769</v>
      </c>
      <c r="D607" s="8" t="s">
        <v>664</v>
      </c>
      <c r="E607" s="8" t="s">
        <v>2282</v>
      </c>
      <c r="F607" s="23">
        <v>46163.462500000001</v>
      </c>
      <c r="G607" s="8" t="s">
        <v>1045</v>
      </c>
      <c r="H607" s="23">
        <v>46168</v>
      </c>
      <c r="I607" s="23">
        <v>46163.462500000001</v>
      </c>
      <c r="J607" s="10">
        <v>106</v>
      </c>
      <c r="K607" s="10">
        <v>0</v>
      </c>
      <c r="L607" s="24">
        <v>0</v>
      </c>
      <c r="M607" s="10">
        <v>106</v>
      </c>
    </row>
    <row r="608" spans="1:13" x14ac:dyDescent="0.25">
      <c r="A608" s="12" t="str">
        <f t="shared" si="18"/>
        <v>2MARAJO NAVEGACAO COMERCIO E TRANSPORTE DE PASSAGEIROS LTDARCB46169,6597222222</v>
      </c>
      <c r="B608" s="12" t="str">
        <f t="shared" si="19"/>
        <v>Junho</v>
      </c>
      <c r="C608" s="8" t="s">
        <v>769</v>
      </c>
      <c r="D608" s="8" t="s">
        <v>664</v>
      </c>
      <c r="E608" s="8" t="s">
        <v>118</v>
      </c>
      <c r="F608" s="23">
        <v>46169.659722222219</v>
      </c>
      <c r="G608" s="8" t="s">
        <v>1045</v>
      </c>
      <c r="H608" s="23">
        <v>46174</v>
      </c>
      <c r="I608" s="23">
        <v>46169.659722222219</v>
      </c>
      <c r="J608" s="10">
        <v>1716</v>
      </c>
      <c r="K608" s="10">
        <v>0</v>
      </c>
      <c r="L608" s="24">
        <v>0</v>
      </c>
      <c r="M608" s="10">
        <v>1716</v>
      </c>
    </row>
    <row r="609" spans="1:13" x14ac:dyDescent="0.25">
      <c r="A609" s="12" t="str">
        <f t="shared" si="18"/>
        <v>2EXPRESSO TRANSPORTE LTDARCB46169,6583333333</v>
      </c>
      <c r="B609" s="12" t="str">
        <f t="shared" si="19"/>
        <v>Junho</v>
      </c>
      <c r="C609" s="8" t="s">
        <v>769</v>
      </c>
      <c r="D609" s="8" t="s">
        <v>664</v>
      </c>
      <c r="E609" s="8" t="s">
        <v>66</v>
      </c>
      <c r="F609" s="23">
        <v>46169.658333333333</v>
      </c>
      <c r="G609" s="8" t="s">
        <v>1045</v>
      </c>
      <c r="H609" s="23">
        <v>46174</v>
      </c>
      <c r="I609" s="23">
        <v>46169.658333333333</v>
      </c>
      <c r="J609" s="10">
        <v>2184</v>
      </c>
      <c r="K609" s="10">
        <v>0</v>
      </c>
      <c r="L609" s="24">
        <v>0</v>
      </c>
      <c r="M609" s="10">
        <v>2184</v>
      </c>
    </row>
    <row r="610" spans="1:13" x14ac:dyDescent="0.25">
      <c r="A610" s="12" t="str">
        <f t="shared" si="18"/>
        <v>2JEFFERSON DE JESUS FARIASRCB46176,5909722222</v>
      </c>
      <c r="B610" s="12" t="str">
        <f t="shared" si="19"/>
        <v>Junho</v>
      </c>
      <c r="C610" s="8" t="s">
        <v>769</v>
      </c>
      <c r="D610" s="8" t="s">
        <v>664</v>
      </c>
      <c r="E610" s="8" t="s">
        <v>89</v>
      </c>
      <c r="F610" s="23">
        <v>46176.59097222222</v>
      </c>
      <c r="G610" s="8" t="s">
        <v>1045</v>
      </c>
      <c r="H610" s="23">
        <v>46181</v>
      </c>
      <c r="I610" s="23">
        <v>46176.59097222222</v>
      </c>
      <c r="J610" s="10">
        <v>115</v>
      </c>
      <c r="K610" s="10">
        <v>0</v>
      </c>
      <c r="L610" s="24">
        <v>0</v>
      </c>
      <c r="M610" s="10">
        <v>115</v>
      </c>
    </row>
    <row r="611" spans="1:13" x14ac:dyDescent="0.25">
      <c r="A611" s="12" t="str">
        <f t="shared" si="18"/>
        <v>2WEDERSON LUIZ DE OLIVEIRARCB46181,7055555556</v>
      </c>
      <c r="B611" s="12" t="str">
        <f t="shared" si="19"/>
        <v>Junho</v>
      </c>
      <c r="C611" s="8" t="s">
        <v>769</v>
      </c>
      <c r="D611" s="8" t="s">
        <v>664</v>
      </c>
      <c r="E611" s="8" t="s">
        <v>201</v>
      </c>
      <c r="F611" s="23">
        <v>46181.705555555556</v>
      </c>
      <c r="G611" s="8" t="s">
        <v>1045</v>
      </c>
      <c r="H611" s="23">
        <v>46184</v>
      </c>
      <c r="I611" s="23">
        <v>46181.705555555556</v>
      </c>
      <c r="J611" s="10">
        <v>9.8000000000000007</v>
      </c>
      <c r="K611" s="10">
        <v>0</v>
      </c>
      <c r="L611" s="24">
        <v>0</v>
      </c>
      <c r="M611" s="10">
        <v>9.8000000000000007</v>
      </c>
    </row>
    <row r="612" spans="1:13" x14ac:dyDescent="0.25">
      <c r="A612" s="12" t="str">
        <f t="shared" si="18"/>
        <v>2DIOGO BONELA TONHARCB46181,4722222222</v>
      </c>
      <c r="B612" s="12" t="str">
        <f t="shared" si="19"/>
        <v>Junho</v>
      </c>
      <c r="C612" s="8" t="s">
        <v>769</v>
      </c>
      <c r="D612" s="8" t="s">
        <v>664</v>
      </c>
      <c r="E612" s="8" t="s">
        <v>52</v>
      </c>
      <c r="F612" s="23">
        <v>46181.472222222219</v>
      </c>
      <c r="G612" s="8" t="s">
        <v>1045</v>
      </c>
      <c r="H612" s="23">
        <v>46184</v>
      </c>
      <c r="I612" s="23">
        <v>46181.472222222219</v>
      </c>
      <c r="J612" s="10">
        <v>66.400000000000006</v>
      </c>
      <c r="K612" s="10">
        <v>0</v>
      </c>
      <c r="L612" s="24">
        <v>0</v>
      </c>
      <c r="M612" s="10">
        <v>66.400000000000006</v>
      </c>
    </row>
    <row r="613" spans="1:13" x14ac:dyDescent="0.25">
      <c r="A613" s="12" t="str">
        <f t="shared" si="18"/>
        <v>2ENIO FERREIRA RUMASRCB46184,4319444444</v>
      </c>
      <c r="B613" s="12" t="str">
        <f t="shared" si="19"/>
        <v>Junho</v>
      </c>
      <c r="C613" s="8" t="s">
        <v>769</v>
      </c>
      <c r="D613" s="8" t="s">
        <v>664</v>
      </c>
      <c r="E613" s="8" t="s">
        <v>64</v>
      </c>
      <c r="F613" s="23">
        <v>46184.431944444441</v>
      </c>
      <c r="G613" s="8" t="s">
        <v>1045</v>
      </c>
      <c r="H613" s="23">
        <v>46189</v>
      </c>
      <c r="I613" s="23">
        <v>46184.431944444441</v>
      </c>
      <c r="J613" s="10">
        <v>100</v>
      </c>
      <c r="K613" s="10">
        <v>0</v>
      </c>
      <c r="L613" s="24">
        <v>0</v>
      </c>
      <c r="M613" s="10">
        <v>100</v>
      </c>
    </row>
    <row r="614" spans="1:13" x14ac:dyDescent="0.25">
      <c r="A614" s="12" t="str">
        <f t="shared" si="18"/>
        <v>2KATHLEEN KRISLEY AMBROSIO LARARCB46190,4791666667</v>
      </c>
      <c r="B614" s="12" t="str">
        <f t="shared" si="19"/>
        <v>Junho</v>
      </c>
      <c r="C614" s="8" t="s">
        <v>769</v>
      </c>
      <c r="D614" s="8" t="s">
        <v>664</v>
      </c>
      <c r="E614" s="8" t="s">
        <v>104</v>
      </c>
      <c r="F614" s="23">
        <v>46190.479166666664</v>
      </c>
      <c r="G614" s="8" t="s">
        <v>1045</v>
      </c>
      <c r="H614" s="23">
        <v>46195</v>
      </c>
      <c r="I614" s="23">
        <v>46190.479166666664</v>
      </c>
      <c r="J614" s="10">
        <v>389.46</v>
      </c>
      <c r="K614" s="10">
        <v>0</v>
      </c>
      <c r="L614" s="24">
        <v>0</v>
      </c>
      <c r="M614" s="10">
        <v>389.46</v>
      </c>
    </row>
    <row r="615" spans="1:13" x14ac:dyDescent="0.25">
      <c r="A615" s="12" t="str">
        <f t="shared" si="18"/>
        <v>2PAULO RICARDO SILVARCB46195,6020833333</v>
      </c>
      <c r="B615" s="12" t="str">
        <f t="shared" si="19"/>
        <v>Junho</v>
      </c>
      <c r="C615" s="8" t="s">
        <v>769</v>
      </c>
      <c r="D615" s="8" t="s">
        <v>664</v>
      </c>
      <c r="E615" s="8" t="s">
        <v>153</v>
      </c>
      <c r="F615" s="23">
        <v>46195.602083333331</v>
      </c>
      <c r="G615" s="8" t="s">
        <v>1045</v>
      </c>
      <c r="H615" s="23">
        <v>46198</v>
      </c>
      <c r="I615" s="23">
        <v>46195.602083333331</v>
      </c>
      <c r="J615" s="10">
        <v>15.8</v>
      </c>
      <c r="K615" s="10">
        <v>0</v>
      </c>
      <c r="L615" s="24">
        <v>0</v>
      </c>
      <c r="M615" s="10">
        <v>15.8</v>
      </c>
    </row>
    <row r="616" spans="1:13" x14ac:dyDescent="0.25">
      <c r="A616" s="12" t="str">
        <f t="shared" si="18"/>
        <v>2GUSTAVO DE OLIVEIRA SILVARCB46195,6055555556</v>
      </c>
      <c r="B616" s="12" t="str">
        <f t="shared" si="19"/>
        <v>Junho</v>
      </c>
      <c r="C616" s="8" t="s">
        <v>769</v>
      </c>
      <c r="D616" s="8" t="s">
        <v>664</v>
      </c>
      <c r="E616" s="8" t="s">
        <v>78</v>
      </c>
      <c r="F616" s="23">
        <v>46195.605555555558</v>
      </c>
      <c r="G616" s="8" t="s">
        <v>1045</v>
      </c>
      <c r="H616" s="23">
        <v>46198</v>
      </c>
      <c r="I616" s="23">
        <v>46195.605555555558</v>
      </c>
      <c r="J616" s="10">
        <v>37.200000000000003</v>
      </c>
      <c r="K616" s="10">
        <v>0</v>
      </c>
      <c r="L616" s="24">
        <v>0</v>
      </c>
      <c r="M616" s="10">
        <v>37.200000000000003</v>
      </c>
    </row>
    <row r="617" spans="1:13" x14ac:dyDescent="0.25">
      <c r="A617" s="12" t="str">
        <f t="shared" si="18"/>
        <v>2ANGEL JOSUE FERNANDEZ RODRIGUEZRCB46198,5944444444</v>
      </c>
      <c r="B617" s="12" t="str">
        <f t="shared" si="19"/>
        <v>Junho</v>
      </c>
      <c r="C617" s="8" t="s">
        <v>769</v>
      </c>
      <c r="D617" s="8" t="s">
        <v>664</v>
      </c>
      <c r="E617" s="8" t="s">
        <v>17</v>
      </c>
      <c r="F617" s="23">
        <v>46198.594444444447</v>
      </c>
      <c r="G617" s="8" t="s">
        <v>1045</v>
      </c>
      <c r="H617" s="23">
        <v>46203</v>
      </c>
      <c r="I617" s="23">
        <v>46198.594444444447</v>
      </c>
      <c r="J617" s="10">
        <v>80</v>
      </c>
      <c r="K617" s="10">
        <v>0</v>
      </c>
      <c r="L617" s="24">
        <v>0</v>
      </c>
      <c r="M617" s="10">
        <v>80</v>
      </c>
    </row>
    <row r="618" spans="1:13" x14ac:dyDescent="0.25">
      <c r="A618" s="12" t="str">
        <f t="shared" si="18"/>
        <v>2JOSE LUIZ DIAS SANTOSRCB46199,4472222222</v>
      </c>
      <c r="B618" s="12" t="str">
        <f t="shared" si="19"/>
        <v>Julho</v>
      </c>
      <c r="C618" s="8" t="s">
        <v>769</v>
      </c>
      <c r="D618" s="8" t="s">
        <v>664</v>
      </c>
      <c r="E618" s="8" t="s">
        <v>100</v>
      </c>
      <c r="F618" s="23">
        <v>46199.447222222225</v>
      </c>
      <c r="G618" s="8" t="s">
        <v>1045</v>
      </c>
      <c r="H618" s="23">
        <v>46204</v>
      </c>
      <c r="I618" s="23">
        <v>46199.447222222225</v>
      </c>
      <c r="J618" s="10">
        <v>45</v>
      </c>
      <c r="K618" s="10">
        <v>0</v>
      </c>
      <c r="L618" s="24">
        <v>0</v>
      </c>
      <c r="M618" s="10">
        <v>45</v>
      </c>
    </row>
    <row r="619" spans="1:13" x14ac:dyDescent="0.25">
      <c r="A619" s="12" t="str">
        <f t="shared" si="18"/>
        <v>2PERICOM COMERCIO DE EQUIPAMENTOS DE SEGURANCA LTDARCB46203,6277777778</v>
      </c>
      <c r="B619" s="12" t="str">
        <f t="shared" si="19"/>
        <v>Julho</v>
      </c>
      <c r="C619" s="8" t="s">
        <v>769</v>
      </c>
      <c r="D619" s="8" t="s">
        <v>664</v>
      </c>
      <c r="E619" s="8" t="s">
        <v>155</v>
      </c>
      <c r="F619" s="23">
        <v>46203.62777777778</v>
      </c>
      <c r="G619" s="8" t="s">
        <v>1045</v>
      </c>
      <c r="H619" s="23">
        <v>46206</v>
      </c>
      <c r="I619" s="23">
        <v>46203.62777777778</v>
      </c>
      <c r="J619" s="10">
        <v>63.3</v>
      </c>
      <c r="K619" s="10">
        <v>0</v>
      </c>
      <c r="L619" s="24">
        <v>0</v>
      </c>
      <c r="M619" s="10">
        <v>63.3</v>
      </c>
    </row>
    <row r="620" spans="1:13" x14ac:dyDescent="0.25">
      <c r="A620" s="12" t="str">
        <f t="shared" si="18"/>
        <v>2FRANCIELE TEIXEIRA DOS SANTOSRCB46203,3590277778</v>
      </c>
      <c r="B620" s="12" t="str">
        <f t="shared" si="19"/>
        <v>Julho</v>
      </c>
      <c r="C620" s="8" t="s">
        <v>769</v>
      </c>
      <c r="D620" s="8" t="s">
        <v>664</v>
      </c>
      <c r="E620" s="8" t="s">
        <v>71</v>
      </c>
      <c r="F620" s="23">
        <v>46203.359027777777</v>
      </c>
      <c r="G620" s="8" t="s">
        <v>1045</v>
      </c>
      <c r="H620" s="23">
        <v>46209</v>
      </c>
      <c r="I620" s="23">
        <v>46203.359027777777</v>
      </c>
      <c r="J620" s="10">
        <v>812</v>
      </c>
      <c r="K620" s="10">
        <v>0</v>
      </c>
      <c r="L620" s="24">
        <v>0</v>
      </c>
      <c r="M620" s="10">
        <v>812</v>
      </c>
    </row>
    <row r="621" spans="1:13" x14ac:dyDescent="0.25">
      <c r="A621" s="12" t="str">
        <f t="shared" si="18"/>
        <v>2JAIME GOMES PARAGUAIRCB46204,3923611111</v>
      </c>
      <c r="B621" s="12" t="str">
        <f t="shared" si="19"/>
        <v>Julho</v>
      </c>
      <c r="C621" s="8" t="s">
        <v>769</v>
      </c>
      <c r="D621" s="8" t="s">
        <v>664</v>
      </c>
      <c r="E621" s="8" t="s">
        <v>87</v>
      </c>
      <c r="F621" s="23">
        <v>46204.392361111109</v>
      </c>
      <c r="G621" s="8" t="s">
        <v>1045</v>
      </c>
      <c r="H621" s="23">
        <v>46209</v>
      </c>
      <c r="I621" s="23">
        <v>46204.392361111109</v>
      </c>
      <c r="J621" s="10">
        <v>18.2</v>
      </c>
      <c r="K621" s="10">
        <v>0</v>
      </c>
      <c r="L621" s="24">
        <v>0</v>
      </c>
      <c r="M621" s="10">
        <v>18.2</v>
      </c>
    </row>
    <row r="622" spans="1:13" x14ac:dyDescent="0.25">
      <c r="A622" s="12" t="str">
        <f t="shared" si="18"/>
        <v>2ANTONIO CARLOS DA COSTARCB46204,3986111111</v>
      </c>
      <c r="B622" s="12" t="str">
        <f t="shared" si="19"/>
        <v>Julho</v>
      </c>
      <c r="C622" s="8" t="s">
        <v>769</v>
      </c>
      <c r="D622" s="8" t="s">
        <v>664</v>
      </c>
      <c r="E622" s="8" t="s">
        <v>19</v>
      </c>
      <c r="F622" s="23">
        <v>46204.398611111108</v>
      </c>
      <c r="G622" s="8" t="s">
        <v>1045</v>
      </c>
      <c r="H622" s="23">
        <v>46209</v>
      </c>
      <c r="I622" s="23">
        <v>46204.398611111108</v>
      </c>
      <c r="J622" s="10">
        <v>18.2</v>
      </c>
      <c r="K622" s="10">
        <v>0</v>
      </c>
      <c r="L622" s="24">
        <v>0</v>
      </c>
      <c r="M622" s="10">
        <v>18.2</v>
      </c>
    </row>
    <row r="623" spans="1:13" x14ac:dyDescent="0.25">
      <c r="A623" s="12" t="str">
        <f t="shared" si="18"/>
        <v>2RAISSA DE CARVALHO FIORINERCB46204,3916666667</v>
      </c>
      <c r="B623" s="12" t="str">
        <f t="shared" si="19"/>
        <v>Julho</v>
      </c>
      <c r="C623" s="8" t="s">
        <v>769</v>
      </c>
      <c r="D623" s="8" t="s">
        <v>664</v>
      </c>
      <c r="E623" s="8" t="s">
        <v>163</v>
      </c>
      <c r="F623" s="23">
        <v>46204.39166666667</v>
      </c>
      <c r="G623" s="8" t="s">
        <v>1045</v>
      </c>
      <c r="H623" s="23">
        <v>46209</v>
      </c>
      <c r="I623" s="23">
        <v>46204.39166666667</v>
      </c>
      <c r="J623" s="10">
        <v>102.31</v>
      </c>
      <c r="K623" s="10">
        <v>0</v>
      </c>
      <c r="L623" s="24">
        <v>0</v>
      </c>
      <c r="M623" s="10">
        <v>102.31</v>
      </c>
    </row>
    <row r="624" spans="1:13" x14ac:dyDescent="0.25">
      <c r="A624" s="12" t="str">
        <f t="shared" si="18"/>
        <v>2BRUNO RAFAEL PEREIRA COSTARCB46211,3638888889</v>
      </c>
      <c r="B624" s="12" t="str">
        <f t="shared" si="19"/>
        <v>Julho</v>
      </c>
      <c r="C624" s="8" t="s">
        <v>769</v>
      </c>
      <c r="D624" s="8" t="s">
        <v>664</v>
      </c>
      <c r="E624" s="8" t="s">
        <v>31</v>
      </c>
      <c r="F624" s="23">
        <v>46211.363888888889</v>
      </c>
      <c r="G624" s="8" t="s">
        <v>1045</v>
      </c>
      <c r="H624" s="23">
        <v>46218</v>
      </c>
      <c r="I624" s="23">
        <v>46211.363888888889</v>
      </c>
      <c r="J624" s="10">
        <v>15</v>
      </c>
      <c r="K624" s="10">
        <v>0</v>
      </c>
      <c r="L624" s="24">
        <v>0</v>
      </c>
      <c r="M624" s="10">
        <v>15</v>
      </c>
    </row>
    <row r="625" spans="1:13" x14ac:dyDescent="0.25">
      <c r="A625" s="12" t="str">
        <f t="shared" si="18"/>
        <v>2JM MOVE CARGA E DESCARGARCB46216,45625</v>
      </c>
      <c r="B625" s="12" t="str">
        <f t="shared" si="19"/>
        <v>Julho</v>
      </c>
      <c r="C625" s="8" t="s">
        <v>769</v>
      </c>
      <c r="D625" s="8" t="s">
        <v>664</v>
      </c>
      <c r="E625" s="8" t="s">
        <v>93</v>
      </c>
      <c r="F625" s="23">
        <v>46216.456250000003</v>
      </c>
      <c r="G625" s="8" t="s">
        <v>1045</v>
      </c>
      <c r="H625" s="23">
        <v>46219</v>
      </c>
      <c r="I625" s="23">
        <v>46216.456250000003</v>
      </c>
      <c r="J625" s="10">
        <v>72.099999999999994</v>
      </c>
      <c r="K625" s="10">
        <v>0</v>
      </c>
      <c r="L625" s="24">
        <v>0</v>
      </c>
      <c r="M625" s="10">
        <v>72.099999999999994</v>
      </c>
    </row>
    <row r="626" spans="1:13" x14ac:dyDescent="0.25">
      <c r="A626" s="12" t="str">
        <f t="shared" si="18"/>
        <v>2JONAS SILVERIO DE OLIVEIRARCB46217,6777777778</v>
      </c>
      <c r="B626" s="12" t="str">
        <f t="shared" si="19"/>
        <v>Julho</v>
      </c>
      <c r="C626" s="8" t="s">
        <v>769</v>
      </c>
      <c r="D626" s="8" t="s">
        <v>664</v>
      </c>
      <c r="E626" s="8" t="s">
        <v>95</v>
      </c>
      <c r="F626" s="23">
        <v>46217.677777777775</v>
      </c>
      <c r="G626" s="8" t="s">
        <v>1045</v>
      </c>
      <c r="H626" s="23">
        <v>46220</v>
      </c>
      <c r="I626" s="23">
        <v>46217.677777777775</v>
      </c>
      <c r="J626" s="10">
        <v>113.69</v>
      </c>
      <c r="K626" s="10">
        <v>0</v>
      </c>
      <c r="L626" s="24">
        <v>0</v>
      </c>
      <c r="M626" s="10">
        <v>113.69</v>
      </c>
    </row>
    <row r="627" spans="1:13" x14ac:dyDescent="0.25">
      <c r="A627" s="12" t="str">
        <f t="shared" si="18"/>
        <v>2KAIKY LION CANDIDO DE SOUZARCB46217,3180555556</v>
      </c>
      <c r="B627" s="12" t="str">
        <f t="shared" si="19"/>
        <v>Julho</v>
      </c>
      <c r="C627" s="8" t="s">
        <v>769</v>
      </c>
      <c r="D627" s="8" t="s">
        <v>664</v>
      </c>
      <c r="E627" s="8" t="s">
        <v>102</v>
      </c>
      <c r="F627" s="23">
        <v>46217.318055555559</v>
      </c>
      <c r="G627" s="8" t="s">
        <v>1045</v>
      </c>
      <c r="H627" s="23">
        <v>46223</v>
      </c>
      <c r="I627" s="23">
        <v>46217.318055555559</v>
      </c>
      <c r="J627" s="10">
        <v>91.47</v>
      </c>
      <c r="K627" s="10">
        <v>0</v>
      </c>
      <c r="L627" s="24">
        <v>0</v>
      </c>
      <c r="M627" s="10">
        <v>91.47</v>
      </c>
    </row>
    <row r="628" spans="1:13" x14ac:dyDescent="0.25">
      <c r="A628" s="12" t="str">
        <f t="shared" si="18"/>
        <v>2JEAN CARLOS SANTANA RIBEIRORCB46218,6833333333</v>
      </c>
      <c r="B628" s="12" t="str">
        <f t="shared" si="19"/>
        <v>Julho</v>
      </c>
      <c r="C628" s="8" t="s">
        <v>769</v>
      </c>
      <c r="D628" s="8" t="s">
        <v>664</v>
      </c>
      <c r="E628" s="8" t="s">
        <v>88</v>
      </c>
      <c r="F628" s="23">
        <v>46218.683333333334</v>
      </c>
      <c r="G628" s="8" t="s">
        <v>1045</v>
      </c>
      <c r="H628" s="23">
        <v>46223</v>
      </c>
      <c r="I628" s="23">
        <v>46218.683333333334</v>
      </c>
      <c r="J628" s="10">
        <v>85</v>
      </c>
      <c r="K628" s="10">
        <v>0</v>
      </c>
      <c r="L628" s="24">
        <v>0</v>
      </c>
      <c r="M628" s="10">
        <v>85</v>
      </c>
    </row>
    <row r="629" spans="1:13" x14ac:dyDescent="0.25">
      <c r="A629" s="12" t="str">
        <f t="shared" si="18"/>
        <v>2MAIKON FERREIRA DE OLIVEIRA CAMPOSRCB46219,5673611111</v>
      </c>
      <c r="B629" s="12" t="str">
        <f t="shared" si="19"/>
        <v>Julho</v>
      </c>
      <c r="C629" s="8" t="s">
        <v>769</v>
      </c>
      <c r="D629" s="8" t="s">
        <v>664</v>
      </c>
      <c r="E629" s="8" t="s">
        <v>116</v>
      </c>
      <c r="F629" s="23">
        <v>46219.567361111112</v>
      </c>
      <c r="G629" s="8" t="s">
        <v>1045</v>
      </c>
      <c r="H629" s="23">
        <v>46224</v>
      </c>
      <c r="I629" s="23">
        <v>46219.567361111112</v>
      </c>
      <c r="J629" s="10">
        <v>139</v>
      </c>
      <c r="K629" s="10">
        <v>0</v>
      </c>
      <c r="L629" s="24">
        <v>0</v>
      </c>
      <c r="M629" s="10">
        <v>139</v>
      </c>
    </row>
    <row r="630" spans="1:13" x14ac:dyDescent="0.25">
      <c r="A630" s="12" t="str">
        <f t="shared" si="18"/>
        <v>2JESSE BATISTA DA COSTARCB46220,3722222222</v>
      </c>
      <c r="B630" s="12" t="str">
        <f t="shared" si="19"/>
        <v>Julho</v>
      </c>
      <c r="C630" s="8" t="s">
        <v>769</v>
      </c>
      <c r="D630" s="8" t="s">
        <v>664</v>
      </c>
      <c r="E630" s="8" t="s">
        <v>91</v>
      </c>
      <c r="F630" s="23">
        <v>46220.37222222222</v>
      </c>
      <c r="G630" s="8" t="s">
        <v>1045</v>
      </c>
      <c r="H630" s="23">
        <v>46225</v>
      </c>
      <c r="I630" s="23">
        <v>46220.37222222222</v>
      </c>
      <c r="J630" s="10">
        <v>70</v>
      </c>
      <c r="K630" s="10">
        <v>0</v>
      </c>
      <c r="L630" s="24">
        <v>0</v>
      </c>
      <c r="M630" s="10">
        <v>70</v>
      </c>
    </row>
    <row r="631" spans="1:13" x14ac:dyDescent="0.25">
      <c r="A631" s="12" t="str">
        <f t="shared" si="18"/>
        <v>2DANIELLE HEBERT CARVALHO PEREIRARCB46224,3729166667</v>
      </c>
      <c r="B631" s="12" t="str">
        <f t="shared" si="19"/>
        <v>Julho</v>
      </c>
      <c r="C631" s="8" t="s">
        <v>769</v>
      </c>
      <c r="D631" s="8" t="s">
        <v>664</v>
      </c>
      <c r="E631" s="8" t="s">
        <v>48</v>
      </c>
      <c r="F631" s="23">
        <v>46224.372916666667</v>
      </c>
      <c r="G631" s="8" t="s">
        <v>1045</v>
      </c>
      <c r="H631" s="23">
        <v>46227</v>
      </c>
      <c r="I631" s="23">
        <v>46224.372916666667</v>
      </c>
      <c r="J631" s="10">
        <v>45.6</v>
      </c>
      <c r="K631" s="10">
        <v>0</v>
      </c>
      <c r="L631" s="24">
        <v>0</v>
      </c>
      <c r="M631" s="10">
        <v>45.6</v>
      </c>
    </row>
    <row r="632" spans="1:13" x14ac:dyDescent="0.25">
      <c r="A632" s="12" t="str">
        <f t="shared" si="18"/>
        <v>2RODRIGO DE SOUZA MANTOVANIRCB46227,3881944444</v>
      </c>
      <c r="B632" s="12" t="str">
        <f t="shared" si="19"/>
        <v>Julho</v>
      </c>
      <c r="C632" s="8" t="s">
        <v>769</v>
      </c>
      <c r="D632" s="8" t="s">
        <v>664</v>
      </c>
      <c r="E632" s="8" t="s">
        <v>173</v>
      </c>
      <c r="F632" s="23">
        <v>46227.388194444444</v>
      </c>
      <c r="G632" s="8" t="s">
        <v>1045</v>
      </c>
      <c r="H632" s="23">
        <v>46233</v>
      </c>
      <c r="I632" s="23">
        <v>46227.388194444444</v>
      </c>
      <c r="J632" s="10">
        <v>450</v>
      </c>
      <c r="K632" s="10">
        <v>0</v>
      </c>
      <c r="L632" s="24">
        <v>0</v>
      </c>
      <c r="M632" s="10">
        <v>450</v>
      </c>
    </row>
    <row r="633" spans="1:13" x14ac:dyDescent="0.25">
      <c r="A633" s="12" t="str">
        <f t="shared" si="18"/>
        <v>2LUIS FELIPE ALVES DE CASTRO LOPESRCB46231,30625</v>
      </c>
      <c r="B633" s="12" t="str">
        <f t="shared" si="19"/>
        <v>Julho</v>
      </c>
      <c r="C633" s="8" t="s">
        <v>769</v>
      </c>
      <c r="D633" s="8" t="s">
        <v>664</v>
      </c>
      <c r="E633" s="8" t="s">
        <v>113</v>
      </c>
      <c r="F633" s="23">
        <v>46231.306250000001</v>
      </c>
      <c r="G633" s="8" t="s">
        <v>1045</v>
      </c>
      <c r="H633" s="23">
        <v>46234</v>
      </c>
      <c r="I633" s="23">
        <v>46231.306250000001</v>
      </c>
      <c r="J633" s="10">
        <v>260.7</v>
      </c>
      <c r="K633" s="10">
        <v>0</v>
      </c>
      <c r="L633" s="24">
        <v>0</v>
      </c>
      <c r="M633" s="10">
        <v>260.7</v>
      </c>
    </row>
    <row r="634" spans="1:13" x14ac:dyDescent="0.25">
      <c r="A634" s="12" t="str">
        <f t="shared" si="18"/>
        <v>2NELSON HENRIQUE FERNANDES DA COSTARCB46234,6590277778</v>
      </c>
      <c r="B634" s="12" t="str">
        <f t="shared" si="19"/>
        <v>Agosto</v>
      </c>
      <c r="C634" s="8" t="s">
        <v>769</v>
      </c>
      <c r="D634" s="8" t="s">
        <v>664</v>
      </c>
      <c r="E634" s="8" t="s">
        <v>138</v>
      </c>
      <c r="F634" s="23">
        <v>46234.65902777778</v>
      </c>
      <c r="G634" s="8" t="s">
        <v>1045</v>
      </c>
      <c r="H634" s="23">
        <v>46239</v>
      </c>
      <c r="I634" s="23">
        <v>46234.65902777778</v>
      </c>
      <c r="J634" s="10">
        <v>29.38</v>
      </c>
      <c r="K634" s="10">
        <v>0</v>
      </c>
      <c r="L634" s="24">
        <v>0</v>
      </c>
      <c r="M634" s="10">
        <v>29.38</v>
      </c>
    </row>
    <row r="635" spans="1:13" x14ac:dyDescent="0.25">
      <c r="A635" s="12" t="str">
        <f t="shared" si="18"/>
        <v>2ANDERSON LUIS FROES DE JESUSRCB46240,3861111111</v>
      </c>
      <c r="B635" s="12" t="str">
        <f t="shared" si="19"/>
        <v>Agosto</v>
      </c>
      <c r="C635" s="8" t="s">
        <v>769</v>
      </c>
      <c r="D635" s="8" t="s">
        <v>664</v>
      </c>
      <c r="E635" s="8" t="s">
        <v>13</v>
      </c>
      <c r="F635" s="23">
        <v>46240.386111111111</v>
      </c>
      <c r="G635" s="8" t="s">
        <v>1045</v>
      </c>
      <c r="H635" s="23">
        <v>46245</v>
      </c>
      <c r="I635" s="23">
        <v>46240.386111111111</v>
      </c>
      <c r="J635" s="10">
        <v>95</v>
      </c>
      <c r="K635" s="10">
        <v>0</v>
      </c>
      <c r="L635" s="24">
        <v>0</v>
      </c>
      <c r="M635" s="10">
        <v>95</v>
      </c>
    </row>
    <row r="636" spans="1:13" x14ac:dyDescent="0.25">
      <c r="A636" s="12" t="str">
        <f t="shared" si="18"/>
        <v>2JORDIMAR SOARES MARTINSRCB46251,35625</v>
      </c>
      <c r="B636" s="12" t="str">
        <f t="shared" si="19"/>
        <v>Agosto</v>
      </c>
      <c r="C636" s="8" t="s">
        <v>769</v>
      </c>
      <c r="D636" s="8" t="s">
        <v>664</v>
      </c>
      <c r="E636" s="8" t="s">
        <v>96</v>
      </c>
      <c r="F636" s="23">
        <v>46251.356249999997</v>
      </c>
      <c r="G636" s="8" t="s">
        <v>1045</v>
      </c>
      <c r="H636" s="23">
        <v>46254</v>
      </c>
      <c r="I636" s="23">
        <v>46251.356249999997</v>
      </c>
      <c r="J636" s="10">
        <v>13.5</v>
      </c>
      <c r="K636" s="10">
        <v>0</v>
      </c>
      <c r="L636" s="24">
        <v>0</v>
      </c>
      <c r="M636" s="10">
        <v>13.5</v>
      </c>
    </row>
    <row r="637" spans="1:13" x14ac:dyDescent="0.25">
      <c r="A637" s="12" t="str">
        <f t="shared" si="18"/>
        <v>2GEAN CORREA BENFICARCB46252,3347222222</v>
      </c>
      <c r="B637" s="12" t="str">
        <f t="shared" si="19"/>
        <v>Agosto</v>
      </c>
      <c r="C637" s="8" t="s">
        <v>769</v>
      </c>
      <c r="D637" s="8" t="s">
        <v>664</v>
      </c>
      <c r="E637" s="8" t="s">
        <v>74</v>
      </c>
      <c r="F637" s="23">
        <v>46252.334722222222</v>
      </c>
      <c r="G637" s="8" t="s">
        <v>1045</v>
      </c>
      <c r="H637" s="23">
        <v>46255</v>
      </c>
      <c r="I637" s="23">
        <v>46252.334722222222</v>
      </c>
      <c r="J637" s="10">
        <v>240</v>
      </c>
      <c r="K637" s="10">
        <v>0</v>
      </c>
      <c r="L637" s="24">
        <v>0</v>
      </c>
      <c r="M637" s="10">
        <v>240</v>
      </c>
    </row>
    <row r="638" spans="1:13" x14ac:dyDescent="0.25">
      <c r="A638" s="12" t="str">
        <f t="shared" si="18"/>
        <v>2RODRIGO ALVES DA CUNHARCB46260,4493055556</v>
      </c>
      <c r="B638" s="12" t="str">
        <f t="shared" si="19"/>
        <v>Agosto</v>
      </c>
      <c r="C638" s="8" t="s">
        <v>769</v>
      </c>
      <c r="D638" s="8" t="s">
        <v>664</v>
      </c>
      <c r="E638" s="8" t="s">
        <v>213</v>
      </c>
      <c r="F638" s="23">
        <v>46260.449305555558</v>
      </c>
      <c r="G638" s="8" t="s">
        <v>1045</v>
      </c>
      <c r="H638" s="23">
        <v>46265</v>
      </c>
      <c r="I638" s="23">
        <v>46260.449305555558</v>
      </c>
      <c r="J638" s="10">
        <v>24</v>
      </c>
      <c r="K638" s="10">
        <v>0</v>
      </c>
      <c r="L638" s="24">
        <v>0</v>
      </c>
      <c r="M638" s="10">
        <v>24</v>
      </c>
    </row>
    <row r="639" spans="1:13" x14ac:dyDescent="0.25">
      <c r="A639" s="12" t="str">
        <f t="shared" si="18"/>
        <v>2ESAU DE ALMEIDA RAFAELRCB46260,4472222222</v>
      </c>
      <c r="B639" s="12" t="str">
        <f t="shared" si="19"/>
        <v>Agosto</v>
      </c>
      <c r="C639" s="8" t="s">
        <v>769</v>
      </c>
      <c r="D639" s="8" t="s">
        <v>664</v>
      </c>
      <c r="E639" s="8" t="s">
        <v>65</v>
      </c>
      <c r="F639" s="23">
        <v>46260.447222222225</v>
      </c>
      <c r="G639" s="8" t="s">
        <v>1045</v>
      </c>
      <c r="H639" s="23">
        <v>46265</v>
      </c>
      <c r="I639" s="23">
        <v>46260.447222222225</v>
      </c>
      <c r="J639" s="10">
        <v>60</v>
      </c>
      <c r="K639" s="10">
        <v>0</v>
      </c>
      <c r="L639" s="24">
        <v>0</v>
      </c>
      <c r="M639" s="10">
        <v>60</v>
      </c>
    </row>
    <row r="640" spans="1:13" x14ac:dyDescent="0.25">
      <c r="A640" s="12" t="str">
        <f t="shared" si="18"/>
        <v>2JONATHAN PEREIRA SANTOSRCB46266,59375</v>
      </c>
      <c r="B640" s="12" t="str">
        <f t="shared" si="19"/>
        <v>Setembro</v>
      </c>
      <c r="C640" s="8" t="s">
        <v>769</v>
      </c>
      <c r="D640" s="8" t="s">
        <v>664</v>
      </c>
      <c r="E640" s="8" t="s">
        <v>224</v>
      </c>
      <c r="F640" s="23">
        <v>46266.59375</v>
      </c>
      <c r="G640" s="8" t="s">
        <v>1045</v>
      </c>
      <c r="H640" s="23">
        <v>46269</v>
      </c>
      <c r="I640" s="23">
        <v>46266.59375</v>
      </c>
      <c r="J640" s="10">
        <v>100</v>
      </c>
      <c r="K640" s="10">
        <v>0</v>
      </c>
      <c r="L640" s="24">
        <v>0</v>
      </c>
      <c r="M640" s="10">
        <v>100</v>
      </c>
    </row>
    <row r="641" spans="1:13" x14ac:dyDescent="0.25">
      <c r="A641" s="12" t="str">
        <f t="shared" si="18"/>
        <v>2AUTOS ALINHAMENTO LTDARCB46268,34375</v>
      </c>
      <c r="B641" s="12" t="str">
        <f t="shared" si="19"/>
        <v>Setembro</v>
      </c>
      <c r="C641" s="8" t="s">
        <v>769</v>
      </c>
      <c r="D641" s="8" t="s">
        <v>664</v>
      </c>
      <c r="E641" s="8" t="s">
        <v>216</v>
      </c>
      <c r="F641" s="23">
        <v>46268.34375</v>
      </c>
      <c r="G641" s="8" t="s">
        <v>1045</v>
      </c>
      <c r="H641" s="23">
        <v>46273</v>
      </c>
      <c r="I641" s="23">
        <v>46268.34375</v>
      </c>
      <c r="J641" s="10">
        <v>40</v>
      </c>
      <c r="K641" s="10">
        <v>0</v>
      </c>
      <c r="L641" s="24">
        <v>0</v>
      </c>
      <c r="M641" s="10">
        <v>40</v>
      </c>
    </row>
    <row r="642" spans="1:13" x14ac:dyDescent="0.25">
      <c r="A642" s="12" t="str">
        <f t="shared" ref="A642:A705" si="20">$C642&amp;$E642&amp;$G642&amp;$F642</f>
        <v>2DIONIZIO JOSE DE CASSIO PINTONSE46241</v>
      </c>
      <c r="B642" s="12" t="str">
        <f t="shared" si="19"/>
        <v>Setembro</v>
      </c>
      <c r="C642" s="8" t="s">
        <v>769</v>
      </c>
      <c r="D642" s="8" t="s">
        <v>1354</v>
      </c>
      <c r="E642" s="8" t="s">
        <v>53</v>
      </c>
      <c r="F642" s="23">
        <v>46241</v>
      </c>
      <c r="G642" s="8" t="s">
        <v>665</v>
      </c>
      <c r="H642" s="23">
        <v>46272</v>
      </c>
      <c r="I642" s="23">
        <v>46245</v>
      </c>
      <c r="J642" s="10">
        <v>530</v>
      </c>
      <c r="K642" s="10">
        <v>0</v>
      </c>
      <c r="L642" s="24">
        <v>0</v>
      </c>
      <c r="M642" s="10">
        <v>530</v>
      </c>
    </row>
    <row r="643" spans="1:13" x14ac:dyDescent="0.25">
      <c r="A643" s="12" t="str">
        <f t="shared" si="20"/>
        <v>2PADARIA E CONFEITARIA GIRASSOL LTDARCB46274,6340277778</v>
      </c>
      <c r="B643" s="12" t="str">
        <f t="shared" ref="B643:B706" si="21">PROPER(TEXT($H643,"MMMM"))</f>
        <v>Setembro</v>
      </c>
      <c r="C643" s="8" t="s">
        <v>769</v>
      </c>
      <c r="D643" s="8" t="s">
        <v>664</v>
      </c>
      <c r="E643" s="8" t="s">
        <v>220</v>
      </c>
      <c r="F643" s="23">
        <v>46274.634027777778</v>
      </c>
      <c r="G643" s="8" t="s">
        <v>1045</v>
      </c>
      <c r="H643" s="23">
        <v>46279</v>
      </c>
      <c r="I643" s="23">
        <v>46274.634027777778</v>
      </c>
      <c r="J643" s="10">
        <v>77.8</v>
      </c>
      <c r="K643" s="10">
        <v>0</v>
      </c>
      <c r="L643" s="24">
        <v>0</v>
      </c>
      <c r="M643" s="10">
        <v>77.8</v>
      </c>
    </row>
    <row r="644" spans="1:13" x14ac:dyDescent="0.25">
      <c r="A644" s="12" t="str">
        <f t="shared" si="20"/>
        <v>2KETLENY DAIANE RODRIGUES PEREIRARCB46279,4159722222</v>
      </c>
      <c r="B644" s="12" t="str">
        <f t="shared" si="21"/>
        <v>Setembro</v>
      </c>
      <c r="C644" s="8" t="s">
        <v>769</v>
      </c>
      <c r="D644" s="8" t="s">
        <v>664</v>
      </c>
      <c r="E644" s="8" t="s">
        <v>219</v>
      </c>
      <c r="F644" s="23">
        <v>46279.415972222225</v>
      </c>
      <c r="G644" s="8" t="s">
        <v>1045</v>
      </c>
      <c r="H644" s="23">
        <v>46282</v>
      </c>
      <c r="I644" s="23">
        <v>46279.415972222225</v>
      </c>
      <c r="J644" s="10">
        <v>59.89</v>
      </c>
      <c r="K644" s="10">
        <v>0</v>
      </c>
      <c r="L644" s="24">
        <v>0</v>
      </c>
      <c r="M644" s="10">
        <v>59.89</v>
      </c>
    </row>
    <row r="645" spans="1:13" x14ac:dyDescent="0.25">
      <c r="A645" s="12" t="str">
        <f t="shared" si="20"/>
        <v>2DIEGO DA SILVA GOMESRCB46280,8715277778</v>
      </c>
      <c r="B645" s="12" t="str">
        <f t="shared" si="21"/>
        <v>Setembro</v>
      </c>
      <c r="C645" s="8" t="s">
        <v>769</v>
      </c>
      <c r="D645" s="8" t="s">
        <v>664</v>
      </c>
      <c r="E645" s="8" t="s">
        <v>51</v>
      </c>
      <c r="F645" s="23">
        <v>46280.871527777781</v>
      </c>
      <c r="G645" s="8" t="s">
        <v>1045</v>
      </c>
      <c r="H645" s="23">
        <v>46283</v>
      </c>
      <c r="I645" s="23">
        <v>46280.871527777781</v>
      </c>
      <c r="J645" s="10">
        <v>13</v>
      </c>
      <c r="K645" s="10">
        <v>0</v>
      </c>
      <c r="L645" s="24">
        <v>0</v>
      </c>
      <c r="M645" s="10">
        <v>13</v>
      </c>
    </row>
    <row r="646" spans="1:13" x14ac:dyDescent="0.25">
      <c r="A646" s="12" t="str">
        <f t="shared" si="20"/>
        <v>20GUSTAVO HENRIQUE DE SOUZA BARBOSARCB46097,6694444444</v>
      </c>
      <c r="B646" s="12" t="str">
        <f t="shared" si="21"/>
        <v>Março</v>
      </c>
      <c r="C646" s="8" t="s">
        <v>770</v>
      </c>
      <c r="D646" s="8" t="s">
        <v>664</v>
      </c>
      <c r="E646" s="8" t="s">
        <v>79</v>
      </c>
      <c r="F646" s="23">
        <v>46097.669444444444</v>
      </c>
      <c r="G646" s="8" t="s">
        <v>1045</v>
      </c>
      <c r="H646" s="23">
        <v>46100</v>
      </c>
      <c r="I646" s="23">
        <v>46097.669444444444</v>
      </c>
      <c r="J646" s="10">
        <v>131</v>
      </c>
      <c r="K646" s="10">
        <v>0</v>
      </c>
      <c r="L646" s="24">
        <v>0</v>
      </c>
      <c r="M646" s="10">
        <v>131</v>
      </c>
    </row>
    <row r="647" spans="1:13" x14ac:dyDescent="0.25">
      <c r="A647" s="12" t="str">
        <f t="shared" si="20"/>
        <v>20FRANCISCO MARCIO CESAR DE MATOSRCB46101,4895833333</v>
      </c>
      <c r="B647" s="12" t="str">
        <f t="shared" si="21"/>
        <v>Março</v>
      </c>
      <c r="C647" s="8" t="s">
        <v>770</v>
      </c>
      <c r="D647" s="8" t="s">
        <v>664</v>
      </c>
      <c r="E647" s="8" t="s">
        <v>72</v>
      </c>
      <c r="F647" s="23">
        <v>46101.489583333336</v>
      </c>
      <c r="G647" s="8" t="s">
        <v>1045</v>
      </c>
      <c r="H647" s="23">
        <v>46106</v>
      </c>
      <c r="I647" s="23">
        <v>46101.489583333336</v>
      </c>
      <c r="J647" s="10">
        <v>60</v>
      </c>
      <c r="K647" s="10">
        <v>0</v>
      </c>
      <c r="L647" s="24">
        <v>0</v>
      </c>
      <c r="M647" s="10">
        <v>60</v>
      </c>
    </row>
    <row r="648" spans="1:13" x14ac:dyDescent="0.25">
      <c r="A648" s="12" t="str">
        <f t="shared" si="20"/>
        <v>20EDILSON RIBEIRO DA SILVARCB46101,6229166667</v>
      </c>
      <c r="B648" s="12" t="str">
        <f t="shared" si="21"/>
        <v>Março</v>
      </c>
      <c r="C648" s="8" t="s">
        <v>770</v>
      </c>
      <c r="D648" s="8" t="s">
        <v>664</v>
      </c>
      <c r="E648" s="8" t="s">
        <v>56</v>
      </c>
      <c r="F648" s="23">
        <v>46101.622916666667</v>
      </c>
      <c r="G648" s="8" t="s">
        <v>1045</v>
      </c>
      <c r="H648" s="23">
        <v>46106</v>
      </c>
      <c r="I648" s="23">
        <v>46101.622916666667</v>
      </c>
      <c r="J648" s="10">
        <v>120</v>
      </c>
      <c r="K648" s="10">
        <v>0</v>
      </c>
      <c r="L648" s="24">
        <v>0</v>
      </c>
      <c r="M648" s="10">
        <v>120</v>
      </c>
    </row>
    <row r="649" spans="1:13" x14ac:dyDescent="0.25">
      <c r="A649" s="12" t="str">
        <f t="shared" si="20"/>
        <v>20VITOR SOUZA SILVARCB46111,7048611111</v>
      </c>
      <c r="B649" s="12" t="str">
        <f t="shared" si="21"/>
        <v>Abril</v>
      </c>
      <c r="C649" s="8" t="s">
        <v>770</v>
      </c>
      <c r="D649" s="8" t="s">
        <v>664</v>
      </c>
      <c r="E649" s="8" t="s">
        <v>199</v>
      </c>
      <c r="F649" s="23">
        <v>46111.704861111109</v>
      </c>
      <c r="G649" s="8" t="s">
        <v>1045</v>
      </c>
      <c r="H649" s="23">
        <v>46114</v>
      </c>
      <c r="I649" s="23">
        <v>46111.704861111109</v>
      </c>
      <c r="J649" s="10">
        <v>39.200000000000003</v>
      </c>
      <c r="K649" s="10">
        <v>0</v>
      </c>
      <c r="L649" s="24">
        <v>0</v>
      </c>
      <c r="M649" s="10">
        <v>39.200000000000003</v>
      </c>
    </row>
    <row r="650" spans="1:13" x14ac:dyDescent="0.25">
      <c r="A650" s="12" t="str">
        <f t="shared" si="20"/>
        <v>20GABRIEL MOUTINHO ALBINORCB46120,4409722222</v>
      </c>
      <c r="B650" s="12" t="str">
        <f t="shared" si="21"/>
        <v>Abril</v>
      </c>
      <c r="C650" s="8" t="s">
        <v>770</v>
      </c>
      <c r="D650" s="8" t="s">
        <v>664</v>
      </c>
      <c r="E650" s="8" t="s">
        <v>73</v>
      </c>
      <c r="F650" s="23">
        <v>46120.440972222219</v>
      </c>
      <c r="G650" s="8" t="s">
        <v>1045</v>
      </c>
      <c r="H650" s="23">
        <v>46125</v>
      </c>
      <c r="I650" s="23">
        <v>46120.440972222219</v>
      </c>
      <c r="J650" s="10">
        <v>80</v>
      </c>
      <c r="K650" s="10">
        <v>0</v>
      </c>
      <c r="L650" s="24">
        <v>0</v>
      </c>
      <c r="M650" s="10">
        <v>80</v>
      </c>
    </row>
    <row r="651" spans="1:13" x14ac:dyDescent="0.25">
      <c r="A651" s="12" t="str">
        <f t="shared" si="20"/>
        <v>20WALACE ROCHA DE SOUZARCB46121,7118055556</v>
      </c>
      <c r="B651" s="12" t="str">
        <f t="shared" si="21"/>
        <v>Abril</v>
      </c>
      <c r="C651" s="8" t="s">
        <v>770</v>
      </c>
      <c r="D651" s="8" t="s">
        <v>664</v>
      </c>
      <c r="E651" s="8" t="s">
        <v>200</v>
      </c>
      <c r="F651" s="23">
        <v>46121.711805555555</v>
      </c>
      <c r="G651" s="8" t="s">
        <v>1045</v>
      </c>
      <c r="H651" s="23">
        <v>46126</v>
      </c>
      <c r="I651" s="23">
        <v>46121.711805555555</v>
      </c>
      <c r="J651" s="10">
        <v>384</v>
      </c>
      <c r="K651" s="10">
        <v>0</v>
      </c>
      <c r="L651" s="24">
        <v>0</v>
      </c>
      <c r="M651" s="10">
        <v>384</v>
      </c>
    </row>
    <row r="652" spans="1:13" x14ac:dyDescent="0.25">
      <c r="A652" s="12" t="str">
        <f t="shared" si="20"/>
        <v>20VANDIEGO MARQUES DA SILVA SANTOSRCB46160,6013888889</v>
      </c>
      <c r="B652" s="12" t="str">
        <f t="shared" si="21"/>
        <v>Maio</v>
      </c>
      <c r="C652" s="8" t="s">
        <v>770</v>
      </c>
      <c r="D652" s="8" t="s">
        <v>664</v>
      </c>
      <c r="E652" s="8" t="s">
        <v>194</v>
      </c>
      <c r="F652" s="23">
        <v>46160.601388888892</v>
      </c>
      <c r="G652" s="8" t="s">
        <v>1045</v>
      </c>
      <c r="H652" s="23">
        <v>46163</v>
      </c>
      <c r="I652" s="23">
        <v>46160.601388888892</v>
      </c>
      <c r="J652" s="10">
        <v>60</v>
      </c>
      <c r="K652" s="10">
        <v>0</v>
      </c>
      <c r="L652" s="24">
        <v>0</v>
      </c>
      <c r="M652" s="10">
        <v>60</v>
      </c>
    </row>
    <row r="653" spans="1:13" x14ac:dyDescent="0.25">
      <c r="A653" s="12" t="str">
        <f t="shared" si="20"/>
        <v>20ANTONIO ALCIDES AFONSONSE46148</v>
      </c>
      <c r="B653" s="12" t="str">
        <f t="shared" si="21"/>
        <v>Junho</v>
      </c>
      <c r="C653" s="8" t="s">
        <v>770</v>
      </c>
      <c r="D653" s="8" t="s">
        <v>1354</v>
      </c>
      <c r="E653" s="8" t="s">
        <v>18</v>
      </c>
      <c r="F653" s="23">
        <v>46148</v>
      </c>
      <c r="G653" s="8" t="s">
        <v>665</v>
      </c>
      <c r="H653" s="23">
        <v>46179</v>
      </c>
      <c r="I653" s="23">
        <v>46153</v>
      </c>
      <c r="J653" s="10">
        <v>350</v>
      </c>
      <c r="K653" s="10">
        <v>0</v>
      </c>
      <c r="L653" s="24">
        <v>0</v>
      </c>
      <c r="M653" s="10">
        <v>350</v>
      </c>
    </row>
    <row r="654" spans="1:13" x14ac:dyDescent="0.25">
      <c r="A654" s="12" t="str">
        <f t="shared" si="20"/>
        <v>20DANIELA CHAVES MARIANORCB46218,3881944444</v>
      </c>
      <c r="B654" s="12" t="str">
        <f t="shared" si="21"/>
        <v>Julho</v>
      </c>
      <c r="C654" s="8" t="s">
        <v>770</v>
      </c>
      <c r="D654" s="8" t="s">
        <v>664</v>
      </c>
      <c r="E654" s="8" t="s">
        <v>47</v>
      </c>
      <c r="F654" s="23">
        <v>46218.388194444444</v>
      </c>
      <c r="G654" s="8" t="s">
        <v>1045</v>
      </c>
      <c r="H654" s="23">
        <v>46223</v>
      </c>
      <c r="I654" s="23">
        <v>46218.388194444444</v>
      </c>
      <c r="J654" s="10">
        <v>44.9</v>
      </c>
      <c r="K654" s="10">
        <v>0</v>
      </c>
      <c r="L654" s="24">
        <v>0</v>
      </c>
      <c r="M654" s="10">
        <v>44.9</v>
      </c>
    </row>
    <row r="655" spans="1:13" x14ac:dyDescent="0.25">
      <c r="A655" s="12" t="str">
        <f t="shared" si="20"/>
        <v>20FERNANDA SANTOS SOARESRCB46237,6375</v>
      </c>
      <c r="B655" s="12" t="str">
        <f t="shared" si="21"/>
        <v>Agosto</v>
      </c>
      <c r="C655" s="8" t="s">
        <v>770</v>
      </c>
      <c r="D655" s="8" t="s">
        <v>664</v>
      </c>
      <c r="E655" s="8" t="s">
        <v>68</v>
      </c>
      <c r="F655" s="23">
        <v>46237.637499999997</v>
      </c>
      <c r="G655" s="8" t="s">
        <v>1045</v>
      </c>
      <c r="H655" s="23">
        <v>46240</v>
      </c>
      <c r="I655" s="23">
        <v>46237.637499999997</v>
      </c>
      <c r="J655" s="10">
        <v>80</v>
      </c>
      <c r="K655" s="10">
        <v>0</v>
      </c>
      <c r="L655" s="24">
        <v>0</v>
      </c>
      <c r="M655" s="10">
        <v>80</v>
      </c>
    </row>
    <row r="656" spans="1:13" x14ac:dyDescent="0.25">
      <c r="A656" s="12" t="str">
        <f t="shared" si="20"/>
        <v>20PAULO RICARDO SILVARCB46244,4277777778</v>
      </c>
      <c r="B656" s="12" t="str">
        <f t="shared" si="21"/>
        <v>Agosto</v>
      </c>
      <c r="C656" s="8" t="s">
        <v>770</v>
      </c>
      <c r="D656" s="8" t="s">
        <v>664</v>
      </c>
      <c r="E656" s="8" t="s">
        <v>153</v>
      </c>
      <c r="F656" s="23">
        <v>46244.427777777775</v>
      </c>
      <c r="G656" s="8" t="s">
        <v>1045</v>
      </c>
      <c r="H656" s="23">
        <v>46247</v>
      </c>
      <c r="I656" s="23">
        <v>46244.427777777775</v>
      </c>
      <c r="J656" s="10">
        <v>15.8</v>
      </c>
      <c r="K656" s="10">
        <v>0</v>
      </c>
      <c r="L656" s="24">
        <v>0</v>
      </c>
      <c r="M656" s="10">
        <v>15.8</v>
      </c>
    </row>
    <row r="657" spans="1:13" x14ac:dyDescent="0.25">
      <c r="A657" s="12" t="str">
        <f t="shared" si="20"/>
        <v>20CICERO ISRAEL DOS SANTOSRCB46252,3402777778</v>
      </c>
      <c r="B657" s="12" t="str">
        <f t="shared" si="21"/>
        <v>Agosto</v>
      </c>
      <c r="C657" s="8" t="s">
        <v>770</v>
      </c>
      <c r="D657" s="8" t="s">
        <v>664</v>
      </c>
      <c r="E657" s="8" t="s">
        <v>43</v>
      </c>
      <c r="F657" s="23">
        <v>46252.340277777781</v>
      </c>
      <c r="G657" s="8" t="s">
        <v>1045</v>
      </c>
      <c r="H657" s="23">
        <v>46255</v>
      </c>
      <c r="I657" s="23">
        <v>46252.340277777781</v>
      </c>
      <c r="J657" s="10">
        <v>60.1</v>
      </c>
      <c r="K657" s="10">
        <v>0</v>
      </c>
      <c r="L657" s="24">
        <v>0</v>
      </c>
      <c r="M657" s="10">
        <v>60.1</v>
      </c>
    </row>
    <row r="658" spans="1:13" x14ac:dyDescent="0.25">
      <c r="A658" s="12" t="str">
        <f t="shared" si="20"/>
        <v>20CARLOS ANTONIO PINTORCB46254,6277777778</v>
      </c>
      <c r="B658" s="12" t="str">
        <f t="shared" si="21"/>
        <v>Agosto</v>
      </c>
      <c r="C658" s="8" t="s">
        <v>770</v>
      </c>
      <c r="D658" s="8" t="s">
        <v>664</v>
      </c>
      <c r="E658" s="8" t="s">
        <v>36</v>
      </c>
      <c r="F658" s="23">
        <v>46254.62777777778</v>
      </c>
      <c r="G658" s="8" t="s">
        <v>1045</v>
      </c>
      <c r="H658" s="23">
        <v>46259</v>
      </c>
      <c r="I658" s="23">
        <v>46254.62777777778</v>
      </c>
      <c r="J658" s="10">
        <v>156</v>
      </c>
      <c r="K658" s="10">
        <v>0</v>
      </c>
      <c r="L658" s="24">
        <v>0</v>
      </c>
      <c r="M658" s="10">
        <v>156</v>
      </c>
    </row>
    <row r="659" spans="1:13" x14ac:dyDescent="0.25">
      <c r="A659" s="12" t="str">
        <f t="shared" si="20"/>
        <v>20HIGOR RODNEY CIMINI DA COSTANSE46241</v>
      </c>
      <c r="B659" s="12" t="str">
        <f t="shared" si="21"/>
        <v>Setembro</v>
      </c>
      <c r="C659" s="8" t="s">
        <v>770</v>
      </c>
      <c r="D659" s="8" t="s">
        <v>1354</v>
      </c>
      <c r="E659" s="8" t="s">
        <v>85</v>
      </c>
      <c r="F659" s="23">
        <v>46241</v>
      </c>
      <c r="G659" s="8" t="s">
        <v>665</v>
      </c>
      <c r="H659" s="23">
        <v>46273</v>
      </c>
      <c r="I659" s="23">
        <v>46245</v>
      </c>
      <c r="J659" s="10">
        <v>10540</v>
      </c>
      <c r="K659" s="10">
        <v>0</v>
      </c>
      <c r="L659" s="24">
        <v>0</v>
      </c>
      <c r="M659" s="10">
        <v>10328.15</v>
      </c>
    </row>
    <row r="660" spans="1:13" x14ac:dyDescent="0.25">
      <c r="A660" s="12" t="str">
        <f t="shared" si="20"/>
        <v>20Andre Leonardo de AlmeidaRCB46275,2513888889</v>
      </c>
      <c r="B660" s="12" t="str">
        <f t="shared" si="21"/>
        <v>Setembro</v>
      </c>
      <c r="C660" s="8" t="s">
        <v>770</v>
      </c>
      <c r="D660" s="8" t="s">
        <v>664</v>
      </c>
      <c r="E660" s="8" t="s">
        <v>2016</v>
      </c>
      <c r="F660" s="23">
        <v>46275.251388888886</v>
      </c>
      <c r="G660" s="8" t="s">
        <v>1045</v>
      </c>
      <c r="H660" s="23">
        <v>46280</v>
      </c>
      <c r="I660" s="23">
        <v>46275.251388888886</v>
      </c>
      <c r="J660" s="10">
        <v>1200</v>
      </c>
      <c r="K660" s="10">
        <v>0</v>
      </c>
      <c r="L660" s="24">
        <v>0</v>
      </c>
      <c r="M660" s="10">
        <v>1200</v>
      </c>
    </row>
    <row r="661" spans="1:13" x14ac:dyDescent="0.25">
      <c r="A661" s="12" t="str">
        <f t="shared" si="20"/>
        <v>201ANDRE LUIZ MAYERNSE46174</v>
      </c>
      <c r="B661" s="12" t="str">
        <f t="shared" si="21"/>
        <v>Junho</v>
      </c>
      <c r="C661" s="8" t="s">
        <v>771</v>
      </c>
      <c r="D661" s="8" t="s">
        <v>664</v>
      </c>
      <c r="E661" s="8" t="s">
        <v>16</v>
      </c>
      <c r="F661" s="23">
        <v>46174</v>
      </c>
      <c r="G661" s="8" t="s">
        <v>665</v>
      </c>
      <c r="H661" s="23">
        <v>46195</v>
      </c>
      <c r="I661" s="23">
        <v>46174</v>
      </c>
      <c r="J661" s="10">
        <v>450</v>
      </c>
      <c r="K661" s="10">
        <v>0</v>
      </c>
      <c r="L661" s="24">
        <v>0</v>
      </c>
      <c r="M661" s="10">
        <v>450</v>
      </c>
    </row>
    <row r="662" spans="1:13" x14ac:dyDescent="0.25">
      <c r="A662" s="12" t="str">
        <f t="shared" si="20"/>
        <v>2026HENRIQUE GALAMBA RODRIGUES DOS ANJOSRCB46217,4666666667</v>
      </c>
      <c r="B662" s="12" t="str">
        <f t="shared" si="21"/>
        <v>Julho</v>
      </c>
      <c r="C662" s="8" t="s">
        <v>2760</v>
      </c>
      <c r="D662" s="8" t="s">
        <v>664</v>
      </c>
      <c r="E662" s="8" t="s">
        <v>84</v>
      </c>
      <c r="F662" s="23">
        <v>46217.466666666667</v>
      </c>
      <c r="G662" s="8" t="s">
        <v>1045</v>
      </c>
      <c r="H662" s="23">
        <v>46220</v>
      </c>
      <c r="I662" s="23">
        <v>46217.466666666667</v>
      </c>
      <c r="J662" s="10">
        <v>289.89999999999998</v>
      </c>
      <c r="K662" s="10">
        <v>0</v>
      </c>
      <c r="L662" s="24">
        <v>0</v>
      </c>
      <c r="M662" s="10">
        <v>289.89999999999998</v>
      </c>
    </row>
    <row r="663" spans="1:13" x14ac:dyDescent="0.25">
      <c r="A663" s="12" t="str">
        <f t="shared" si="20"/>
        <v>2026/3178AP EXTINTORES DE INCENDIO E EQUIPAMENTOS DE SEGURANCA LTDA.NFS46226</v>
      </c>
      <c r="B663" s="12" t="str">
        <f t="shared" si="21"/>
        <v>Agosto</v>
      </c>
      <c r="C663" s="8" t="s">
        <v>636</v>
      </c>
      <c r="D663" s="8" t="s">
        <v>1354</v>
      </c>
      <c r="E663" s="8" t="s">
        <v>21</v>
      </c>
      <c r="F663" s="23">
        <v>46226</v>
      </c>
      <c r="G663" s="8" t="s">
        <v>614</v>
      </c>
      <c r="H663" s="23">
        <v>46256</v>
      </c>
      <c r="I663" s="23">
        <v>46227</v>
      </c>
      <c r="J663" s="10">
        <v>1710</v>
      </c>
      <c r="K663" s="10">
        <v>0</v>
      </c>
      <c r="L663" s="24">
        <v>0</v>
      </c>
      <c r="M663" s="10">
        <v>1710</v>
      </c>
    </row>
    <row r="664" spans="1:13" x14ac:dyDescent="0.25">
      <c r="A664" s="12" t="str">
        <f t="shared" si="20"/>
        <v>202600000024724MINAS MAQUINAS SA | JUIZ DE FORANSE46213</v>
      </c>
      <c r="B664" s="12" t="str">
        <f t="shared" si="21"/>
        <v>Agosto</v>
      </c>
      <c r="C664" s="8" t="s">
        <v>772</v>
      </c>
      <c r="D664" s="8" t="s">
        <v>1354</v>
      </c>
      <c r="E664" s="8" t="s">
        <v>132</v>
      </c>
      <c r="F664" s="23">
        <v>46213</v>
      </c>
      <c r="G664" s="8" t="s">
        <v>665</v>
      </c>
      <c r="H664" s="23">
        <v>46243</v>
      </c>
      <c r="I664" s="23">
        <v>46217</v>
      </c>
      <c r="J664" s="10">
        <v>663</v>
      </c>
      <c r="K664" s="10">
        <v>0</v>
      </c>
      <c r="L664" s="24">
        <v>0</v>
      </c>
      <c r="M664" s="10">
        <v>663</v>
      </c>
    </row>
    <row r="665" spans="1:13" x14ac:dyDescent="0.25">
      <c r="A665" s="12" t="str">
        <f t="shared" si="20"/>
        <v>202600000024724MINAS MAQUINAS SA | JUIZ DE FORANSE46213</v>
      </c>
      <c r="B665" s="12" t="str">
        <f t="shared" si="21"/>
        <v>Setembro</v>
      </c>
      <c r="C665" s="8" t="s">
        <v>772</v>
      </c>
      <c r="D665" s="8" t="s">
        <v>1354</v>
      </c>
      <c r="E665" s="8" t="s">
        <v>132</v>
      </c>
      <c r="F665" s="23">
        <v>46213</v>
      </c>
      <c r="G665" s="8" t="s">
        <v>665</v>
      </c>
      <c r="H665" s="23">
        <v>46273</v>
      </c>
      <c r="I665" s="23">
        <v>46217</v>
      </c>
      <c r="J665" s="10">
        <v>663</v>
      </c>
      <c r="K665" s="10">
        <v>0</v>
      </c>
      <c r="L665" s="24">
        <v>0</v>
      </c>
      <c r="M665" s="10">
        <v>663</v>
      </c>
    </row>
    <row r="666" spans="1:13" x14ac:dyDescent="0.25">
      <c r="A666" s="12" t="str">
        <f t="shared" si="20"/>
        <v>202600000024767MINAS MAQUINAS SA | JUIZ DE FORANFS46225</v>
      </c>
      <c r="B666" s="12" t="str">
        <f t="shared" si="21"/>
        <v>Agosto</v>
      </c>
      <c r="C666" s="8" t="s">
        <v>638</v>
      </c>
      <c r="D666" s="8" t="s">
        <v>1354</v>
      </c>
      <c r="E666" s="8" t="s">
        <v>132</v>
      </c>
      <c r="F666" s="23">
        <v>46225</v>
      </c>
      <c r="G666" s="8" t="s">
        <v>614</v>
      </c>
      <c r="H666" s="23">
        <v>46255</v>
      </c>
      <c r="I666" s="23">
        <v>46226</v>
      </c>
      <c r="J666" s="10">
        <v>312</v>
      </c>
      <c r="K666" s="10">
        <v>0</v>
      </c>
      <c r="L666" s="24">
        <v>0</v>
      </c>
      <c r="M666" s="10">
        <v>312</v>
      </c>
    </row>
    <row r="667" spans="1:13" x14ac:dyDescent="0.25">
      <c r="A667" s="12" t="str">
        <f t="shared" si="20"/>
        <v>202600000024767MINAS MAQUINAS SA | JUIZ DE FORANFS46225</v>
      </c>
      <c r="B667" s="12" t="str">
        <f t="shared" si="21"/>
        <v>Setembro</v>
      </c>
      <c r="C667" s="8" t="s">
        <v>638</v>
      </c>
      <c r="D667" s="8" t="s">
        <v>1354</v>
      </c>
      <c r="E667" s="8" t="s">
        <v>132</v>
      </c>
      <c r="F667" s="23">
        <v>46225</v>
      </c>
      <c r="G667" s="8" t="s">
        <v>614</v>
      </c>
      <c r="H667" s="23">
        <v>46285</v>
      </c>
      <c r="I667" s="23">
        <v>46226</v>
      </c>
      <c r="J667" s="10">
        <v>312</v>
      </c>
      <c r="K667" s="10">
        <v>0</v>
      </c>
      <c r="L667" s="24">
        <v>0</v>
      </c>
      <c r="M667" s="10">
        <v>312</v>
      </c>
    </row>
    <row r="668" spans="1:13" x14ac:dyDescent="0.25">
      <c r="A668" s="12" t="str">
        <f t="shared" si="20"/>
        <v>202600000024868MINAS MAQUINAS SA | JUIZ DE FORANFS46238</v>
      </c>
      <c r="B668" s="12" t="str">
        <f t="shared" si="21"/>
        <v>Setembro</v>
      </c>
      <c r="C668" s="8" t="s">
        <v>639</v>
      </c>
      <c r="D668" s="8" t="s">
        <v>1354</v>
      </c>
      <c r="E668" s="8" t="s">
        <v>132</v>
      </c>
      <c r="F668" s="23">
        <v>46238</v>
      </c>
      <c r="G668" s="8" t="s">
        <v>614</v>
      </c>
      <c r="H668" s="23">
        <v>46268</v>
      </c>
      <c r="I668" s="23">
        <v>46239</v>
      </c>
      <c r="J668" s="10">
        <v>897</v>
      </c>
      <c r="K668" s="10">
        <v>0</v>
      </c>
      <c r="L668" s="24">
        <v>0</v>
      </c>
      <c r="M668" s="10">
        <v>897</v>
      </c>
    </row>
    <row r="669" spans="1:13" x14ac:dyDescent="0.25">
      <c r="A669" s="12" t="str">
        <f t="shared" si="20"/>
        <v>202600000024965MINAS MAQUINAS SA | JUIZ DE FORANSE46254</v>
      </c>
      <c r="B669" s="12" t="str">
        <f t="shared" si="21"/>
        <v>Setembro</v>
      </c>
      <c r="C669" s="8" t="s">
        <v>773</v>
      </c>
      <c r="D669" s="8" t="s">
        <v>1354</v>
      </c>
      <c r="E669" s="8" t="s">
        <v>132</v>
      </c>
      <c r="F669" s="23">
        <v>46254</v>
      </c>
      <c r="G669" s="8" t="s">
        <v>665</v>
      </c>
      <c r="H669" s="23">
        <v>46284</v>
      </c>
      <c r="I669" s="23">
        <v>46255</v>
      </c>
      <c r="J669" s="10">
        <v>1170</v>
      </c>
      <c r="K669" s="10">
        <v>0</v>
      </c>
      <c r="L669" s="24">
        <v>0</v>
      </c>
      <c r="M669" s="10">
        <v>1170</v>
      </c>
    </row>
    <row r="670" spans="1:13" x14ac:dyDescent="0.25">
      <c r="A670" s="12" t="str">
        <f t="shared" si="20"/>
        <v>20260000025019MINAS MAQUINAS SA | JUIZ DE FORANSE46262</v>
      </c>
      <c r="B670" s="12" t="str">
        <f t="shared" si="21"/>
        <v>Setembro</v>
      </c>
      <c r="C670" s="8" t="s">
        <v>774</v>
      </c>
      <c r="D670" s="8" t="s">
        <v>1354</v>
      </c>
      <c r="E670" s="8" t="s">
        <v>132</v>
      </c>
      <c r="F670" s="23">
        <v>46262</v>
      </c>
      <c r="G670" s="8" t="s">
        <v>665</v>
      </c>
      <c r="H670" s="23">
        <v>46292</v>
      </c>
      <c r="I670" s="23">
        <v>46266</v>
      </c>
      <c r="J670" s="10">
        <v>1092</v>
      </c>
      <c r="K670" s="10">
        <v>0</v>
      </c>
      <c r="L670" s="24">
        <v>0</v>
      </c>
      <c r="M670" s="10">
        <v>1092</v>
      </c>
    </row>
    <row r="671" spans="1:13" x14ac:dyDescent="0.25">
      <c r="A671" s="12" t="str">
        <f t="shared" si="20"/>
        <v>202623PANAMERICANA SUPRIMENTOS PARA INFORMATICA LTDANFE46009</v>
      </c>
      <c r="B671" s="12" t="str">
        <f t="shared" si="21"/>
        <v>Fevereiro</v>
      </c>
      <c r="C671" s="8" t="s">
        <v>1684</v>
      </c>
      <c r="D671" s="8" t="s">
        <v>664</v>
      </c>
      <c r="E671" s="8" t="s">
        <v>147</v>
      </c>
      <c r="F671" s="23">
        <v>46009</v>
      </c>
      <c r="G671" s="8" t="s">
        <v>380</v>
      </c>
      <c r="H671" s="23">
        <v>46059</v>
      </c>
      <c r="I671" s="23">
        <v>46010</v>
      </c>
      <c r="J671" s="10">
        <v>947.9</v>
      </c>
      <c r="K671" s="10">
        <v>0</v>
      </c>
      <c r="L671" s="24">
        <v>0</v>
      </c>
      <c r="M671" s="10">
        <v>947.9</v>
      </c>
    </row>
    <row r="672" spans="1:13" x14ac:dyDescent="0.25">
      <c r="A672" s="12" t="str">
        <f t="shared" si="20"/>
        <v>2038ROCHA POMBO ANDRADE E CAPETTI ADVOGADOS (FERNANDO CARNEIRO)NSE46241</v>
      </c>
      <c r="B672" s="12" t="str">
        <f t="shared" si="21"/>
        <v>Setembro</v>
      </c>
      <c r="C672" s="8" t="s">
        <v>775</v>
      </c>
      <c r="D672" s="8" t="s">
        <v>664</v>
      </c>
      <c r="E672" s="8" t="s">
        <v>169</v>
      </c>
      <c r="F672" s="23">
        <v>46241</v>
      </c>
      <c r="G672" s="8" t="s">
        <v>665</v>
      </c>
      <c r="H672" s="23">
        <v>46285</v>
      </c>
      <c r="I672" s="23">
        <v>46241</v>
      </c>
      <c r="J672" s="10">
        <v>1400</v>
      </c>
      <c r="K672" s="10">
        <v>0</v>
      </c>
      <c r="L672" s="24">
        <v>0</v>
      </c>
      <c r="M672" s="10">
        <v>1313.9</v>
      </c>
    </row>
    <row r="673" spans="1:13" x14ac:dyDescent="0.25">
      <c r="A673" s="12" t="str">
        <f t="shared" si="20"/>
        <v>2038-1708-87MINISTERIO DA FAZENDAIM46248,4236111111</v>
      </c>
      <c r="B673" s="12" t="str">
        <f t="shared" si="21"/>
        <v>Setembro</v>
      </c>
      <c r="C673" s="8" t="s">
        <v>3130</v>
      </c>
      <c r="D673" s="8" t="s">
        <v>664</v>
      </c>
      <c r="E673" s="8" t="s">
        <v>1503</v>
      </c>
      <c r="F673" s="23">
        <v>46248.423611111109</v>
      </c>
      <c r="G673" s="8" t="s">
        <v>1142</v>
      </c>
      <c r="H673" s="23">
        <v>46285</v>
      </c>
      <c r="I673" s="23">
        <v>46248.423611111109</v>
      </c>
      <c r="J673" s="10">
        <v>21</v>
      </c>
      <c r="K673" s="10">
        <v>0</v>
      </c>
      <c r="L673" s="24">
        <v>0</v>
      </c>
      <c r="M673" s="10">
        <v>21</v>
      </c>
    </row>
    <row r="674" spans="1:13" x14ac:dyDescent="0.25">
      <c r="A674" s="12" t="str">
        <f t="shared" si="20"/>
        <v>2038-5952-87MINISTERIO DA FAZENDAIM46248,4256944444</v>
      </c>
      <c r="B674" s="12" t="str">
        <f t="shared" si="21"/>
        <v>Setembro</v>
      </c>
      <c r="C674" s="8" t="s">
        <v>3131</v>
      </c>
      <c r="D674" s="8" t="s">
        <v>664</v>
      </c>
      <c r="E674" s="8" t="s">
        <v>1503</v>
      </c>
      <c r="F674" s="23">
        <v>46248.425694444442</v>
      </c>
      <c r="G674" s="8" t="s">
        <v>1142</v>
      </c>
      <c r="H674" s="23">
        <v>46285</v>
      </c>
      <c r="I674" s="23">
        <v>46248.425694444442</v>
      </c>
      <c r="J674" s="10">
        <v>65.099999999999994</v>
      </c>
      <c r="K674" s="10">
        <v>0</v>
      </c>
      <c r="L674" s="24">
        <v>0</v>
      </c>
      <c r="M674" s="10">
        <v>65.099999999999994</v>
      </c>
    </row>
    <row r="675" spans="1:13" x14ac:dyDescent="0.25">
      <c r="A675" s="12" t="str">
        <f t="shared" si="20"/>
        <v>205156PANAMERICANA SUPRIMENTOS PARA INFORMATICA LTDANFE46077</v>
      </c>
      <c r="B675" s="12" t="str">
        <f t="shared" si="21"/>
        <v>Abril</v>
      </c>
      <c r="C675" s="8" t="s">
        <v>449</v>
      </c>
      <c r="D675" s="8" t="s">
        <v>664</v>
      </c>
      <c r="E675" s="8" t="s">
        <v>147</v>
      </c>
      <c r="F675" s="23">
        <v>46077</v>
      </c>
      <c r="G675" s="8" t="s">
        <v>380</v>
      </c>
      <c r="H675" s="23">
        <v>46118</v>
      </c>
      <c r="I675" s="23">
        <v>46078</v>
      </c>
      <c r="J675" s="10">
        <v>798.98</v>
      </c>
      <c r="K675" s="10">
        <v>0</v>
      </c>
      <c r="L675" s="24">
        <v>0</v>
      </c>
      <c r="M675" s="10">
        <v>798.98</v>
      </c>
    </row>
    <row r="676" spans="1:13" x14ac:dyDescent="0.25">
      <c r="A676" s="12" t="str">
        <f t="shared" si="20"/>
        <v>207202PANAMERICANA SUPRIMENTOS PARA INFORMATICA LTDANFE46120</v>
      </c>
      <c r="B676" s="12" t="str">
        <f t="shared" si="21"/>
        <v>Maio</v>
      </c>
      <c r="C676" s="8" t="s">
        <v>450</v>
      </c>
      <c r="D676" s="8" t="s">
        <v>664</v>
      </c>
      <c r="E676" s="8" t="s">
        <v>147</v>
      </c>
      <c r="F676" s="23">
        <v>46120</v>
      </c>
      <c r="G676" s="8" t="s">
        <v>380</v>
      </c>
      <c r="H676" s="23">
        <v>46157</v>
      </c>
      <c r="I676" s="23">
        <v>46125</v>
      </c>
      <c r="J676" s="10">
        <v>1158.3699999999999</v>
      </c>
      <c r="K676" s="10">
        <v>0</v>
      </c>
      <c r="L676" s="24">
        <v>0</v>
      </c>
      <c r="M676" s="10">
        <v>1158.3699999999999</v>
      </c>
    </row>
    <row r="677" spans="1:13" x14ac:dyDescent="0.25">
      <c r="A677" s="12" t="str">
        <f t="shared" si="20"/>
        <v>2073PRODOESTE VEÍCULOS E SERVIÇOSNSE46203</v>
      </c>
      <c r="B677" s="12" t="str">
        <f t="shared" si="21"/>
        <v>Junho</v>
      </c>
      <c r="C677" s="8" t="s">
        <v>776</v>
      </c>
      <c r="D677" s="8" t="s">
        <v>1354</v>
      </c>
      <c r="E677" s="8" t="s">
        <v>160</v>
      </c>
      <c r="F677" s="23">
        <v>46203</v>
      </c>
      <c r="G677" s="8" t="s">
        <v>665</v>
      </c>
      <c r="H677" s="23">
        <v>46203</v>
      </c>
      <c r="I677" s="23">
        <v>46199.333333333336</v>
      </c>
      <c r="J677" s="10">
        <v>205</v>
      </c>
      <c r="K677" s="10">
        <v>0</v>
      </c>
      <c r="L677" s="24">
        <v>0</v>
      </c>
      <c r="M677" s="10">
        <v>205</v>
      </c>
    </row>
    <row r="678" spans="1:13" x14ac:dyDescent="0.25">
      <c r="A678" s="12" t="str">
        <f t="shared" si="20"/>
        <v>21FRANCISCO MARCIO CESAR DE MATOSRCB46107,6215277778</v>
      </c>
      <c r="B678" s="12" t="str">
        <f t="shared" si="21"/>
        <v>Março</v>
      </c>
      <c r="C678" s="8" t="s">
        <v>777</v>
      </c>
      <c r="D678" s="8" t="s">
        <v>664</v>
      </c>
      <c r="E678" s="8" t="s">
        <v>72</v>
      </c>
      <c r="F678" s="23">
        <v>46107.621527777781</v>
      </c>
      <c r="G678" s="8" t="s">
        <v>1045</v>
      </c>
      <c r="H678" s="23">
        <v>46112</v>
      </c>
      <c r="I678" s="23">
        <v>46107.621527777781</v>
      </c>
      <c r="J678" s="10">
        <v>79.28</v>
      </c>
      <c r="K678" s="10">
        <v>0</v>
      </c>
      <c r="L678" s="24">
        <v>0</v>
      </c>
      <c r="M678" s="10">
        <v>79.28</v>
      </c>
    </row>
    <row r="679" spans="1:13" x14ac:dyDescent="0.25">
      <c r="A679" s="12" t="str">
        <f t="shared" si="20"/>
        <v>21EDILSON RIBEIRO DA SILVARCB46107,6243055556</v>
      </c>
      <c r="B679" s="12" t="str">
        <f t="shared" si="21"/>
        <v>Março</v>
      </c>
      <c r="C679" s="8" t="s">
        <v>777</v>
      </c>
      <c r="D679" s="8" t="s">
        <v>664</v>
      </c>
      <c r="E679" s="8" t="s">
        <v>56</v>
      </c>
      <c r="F679" s="23">
        <v>46107.624305555553</v>
      </c>
      <c r="G679" s="8" t="s">
        <v>1045</v>
      </c>
      <c r="H679" s="23">
        <v>46112</v>
      </c>
      <c r="I679" s="23">
        <v>46107.624305555553</v>
      </c>
      <c r="J679" s="10">
        <v>60</v>
      </c>
      <c r="K679" s="10">
        <v>0</v>
      </c>
      <c r="L679" s="24">
        <v>0</v>
      </c>
      <c r="M679" s="10">
        <v>60</v>
      </c>
    </row>
    <row r="680" spans="1:13" x14ac:dyDescent="0.25">
      <c r="A680" s="12" t="str">
        <f t="shared" si="20"/>
        <v>21JOSE TEIXEIRA DE JESUSRCB46108,6020833333</v>
      </c>
      <c r="B680" s="12" t="str">
        <f t="shared" si="21"/>
        <v>Abril</v>
      </c>
      <c r="C680" s="8" t="s">
        <v>777</v>
      </c>
      <c r="D680" s="8" t="s">
        <v>664</v>
      </c>
      <c r="E680" s="8" t="s">
        <v>2120</v>
      </c>
      <c r="F680" s="23">
        <v>46108.602083333331</v>
      </c>
      <c r="G680" s="8" t="s">
        <v>1045</v>
      </c>
      <c r="H680" s="23">
        <v>46113</v>
      </c>
      <c r="I680" s="23">
        <v>46108.602083333331</v>
      </c>
      <c r="J680" s="10">
        <v>133.19999999999999</v>
      </c>
      <c r="K680" s="10">
        <v>0</v>
      </c>
      <c r="L680" s="24">
        <v>0</v>
      </c>
      <c r="M680" s="10">
        <v>133.19999999999999</v>
      </c>
    </row>
    <row r="681" spans="1:13" x14ac:dyDescent="0.25">
      <c r="A681" s="12" t="str">
        <f t="shared" si="20"/>
        <v>21GUSTAVO HENRIQUE DE SOUZA BARBOSARCB46112,6423611111</v>
      </c>
      <c r="B681" s="12" t="str">
        <f t="shared" si="21"/>
        <v>Abril</v>
      </c>
      <c r="C681" s="8" t="s">
        <v>777</v>
      </c>
      <c r="D681" s="8" t="s">
        <v>664</v>
      </c>
      <c r="E681" s="8" t="s">
        <v>79</v>
      </c>
      <c r="F681" s="23">
        <v>46112.642361111109</v>
      </c>
      <c r="G681" s="8" t="s">
        <v>1045</v>
      </c>
      <c r="H681" s="23">
        <v>46115</v>
      </c>
      <c r="I681" s="23">
        <v>46112.642361111109</v>
      </c>
      <c r="J681" s="10">
        <v>110</v>
      </c>
      <c r="K681" s="10">
        <v>0</v>
      </c>
      <c r="L681" s="24">
        <v>0</v>
      </c>
      <c r="M681" s="10">
        <v>110</v>
      </c>
    </row>
    <row r="682" spans="1:13" x14ac:dyDescent="0.25">
      <c r="A682" s="12" t="str">
        <f t="shared" si="20"/>
        <v>21GABRIEL MOUTINHO ALBINORCB46120,4423611111</v>
      </c>
      <c r="B682" s="12" t="str">
        <f t="shared" si="21"/>
        <v>Abril</v>
      </c>
      <c r="C682" s="8" t="s">
        <v>777</v>
      </c>
      <c r="D682" s="8" t="s">
        <v>664</v>
      </c>
      <c r="E682" s="8" t="s">
        <v>73</v>
      </c>
      <c r="F682" s="23">
        <v>46120.442361111112</v>
      </c>
      <c r="G682" s="8" t="s">
        <v>1045</v>
      </c>
      <c r="H682" s="23">
        <v>46125</v>
      </c>
      <c r="I682" s="23">
        <v>46120.442361111112</v>
      </c>
      <c r="J682" s="10">
        <v>94</v>
      </c>
      <c r="K682" s="10">
        <v>0</v>
      </c>
      <c r="L682" s="24">
        <v>0</v>
      </c>
      <c r="M682" s="10">
        <v>94</v>
      </c>
    </row>
    <row r="683" spans="1:13" x14ac:dyDescent="0.25">
      <c r="A683" s="12" t="str">
        <f t="shared" si="20"/>
        <v>21VITOR SOUZA SILVARCB46121,3875</v>
      </c>
      <c r="B683" s="12" t="str">
        <f t="shared" si="21"/>
        <v>Abril</v>
      </c>
      <c r="C683" s="8" t="s">
        <v>777</v>
      </c>
      <c r="D683" s="8" t="s">
        <v>664</v>
      </c>
      <c r="E683" s="8" t="s">
        <v>199</v>
      </c>
      <c r="F683" s="23">
        <v>46121.387499999997</v>
      </c>
      <c r="G683" s="8" t="s">
        <v>1045</v>
      </c>
      <c r="H683" s="23">
        <v>46126</v>
      </c>
      <c r="I683" s="23">
        <v>46121.387499999997</v>
      </c>
      <c r="J683" s="10">
        <v>30</v>
      </c>
      <c r="K683" s="10">
        <v>0</v>
      </c>
      <c r="L683" s="24">
        <v>0</v>
      </c>
      <c r="M683" s="10">
        <v>30</v>
      </c>
    </row>
    <row r="684" spans="1:13" x14ac:dyDescent="0.25">
      <c r="A684" s="12" t="str">
        <f t="shared" si="20"/>
        <v>21WALACE ROCHA DE SOUZARCB46129,4</v>
      </c>
      <c r="B684" s="12" t="str">
        <f t="shared" si="21"/>
        <v>Abril</v>
      </c>
      <c r="C684" s="8" t="s">
        <v>777</v>
      </c>
      <c r="D684" s="8" t="s">
        <v>664</v>
      </c>
      <c r="E684" s="8" t="s">
        <v>200</v>
      </c>
      <c r="F684" s="23">
        <v>46129.4</v>
      </c>
      <c r="G684" s="8" t="s">
        <v>1045</v>
      </c>
      <c r="H684" s="23">
        <v>46135</v>
      </c>
      <c r="I684" s="23">
        <v>46129.4</v>
      </c>
      <c r="J684" s="10">
        <v>131.01</v>
      </c>
      <c r="K684" s="10">
        <v>0</v>
      </c>
      <c r="L684" s="24">
        <v>0</v>
      </c>
      <c r="M684" s="10">
        <v>131.01</v>
      </c>
    </row>
    <row r="685" spans="1:13" x14ac:dyDescent="0.25">
      <c r="A685" s="12" t="str">
        <f t="shared" si="20"/>
        <v>21MARCELO MARTINS DE OLIVEIRARCB46146,4381944444</v>
      </c>
      <c r="B685" s="12" t="str">
        <f t="shared" si="21"/>
        <v>Maio</v>
      </c>
      <c r="C685" s="8" t="s">
        <v>777</v>
      </c>
      <c r="D685" s="8" t="s">
        <v>664</v>
      </c>
      <c r="E685" s="8" t="s">
        <v>121</v>
      </c>
      <c r="F685" s="23">
        <v>46146.438194444447</v>
      </c>
      <c r="G685" s="8" t="s">
        <v>1045</v>
      </c>
      <c r="H685" s="23">
        <v>46149</v>
      </c>
      <c r="I685" s="23">
        <v>46146.438194444447</v>
      </c>
      <c r="J685" s="10">
        <v>33</v>
      </c>
      <c r="K685" s="10">
        <v>0</v>
      </c>
      <c r="L685" s="24">
        <v>0</v>
      </c>
      <c r="M685" s="10">
        <v>33</v>
      </c>
    </row>
    <row r="686" spans="1:13" x14ac:dyDescent="0.25">
      <c r="A686" s="12" t="str">
        <f t="shared" si="20"/>
        <v>21VANDIEGO MARQUES DA SILVA SANTOSRCB46160,6034722222</v>
      </c>
      <c r="B686" s="12" t="str">
        <f t="shared" si="21"/>
        <v>Maio</v>
      </c>
      <c r="C686" s="8" t="s">
        <v>777</v>
      </c>
      <c r="D686" s="8" t="s">
        <v>664</v>
      </c>
      <c r="E686" s="8" t="s">
        <v>194</v>
      </c>
      <c r="F686" s="23">
        <v>46160.603472222225</v>
      </c>
      <c r="G686" s="8" t="s">
        <v>1045</v>
      </c>
      <c r="H686" s="23">
        <v>46163</v>
      </c>
      <c r="I686" s="23">
        <v>46160.603472222225</v>
      </c>
      <c r="J686" s="10">
        <v>60</v>
      </c>
      <c r="K686" s="10">
        <v>0</v>
      </c>
      <c r="L686" s="24">
        <v>0</v>
      </c>
      <c r="M686" s="10">
        <v>60</v>
      </c>
    </row>
    <row r="687" spans="1:13" x14ac:dyDescent="0.25">
      <c r="A687" s="12" t="str">
        <f t="shared" si="20"/>
        <v>21DANIELA CHAVES MARIANORCB46231,3083333333</v>
      </c>
      <c r="B687" s="12" t="str">
        <f t="shared" si="21"/>
        <v>Julho</v>
      </c>
      <c r="C687" s="8" t="s">
        <v>777</v>
      </c>
      <c r="D687" s="8" t="s">
        <v>664</v>
      </c>
      <c r="E687" s="8" t="s">
        <v>47</v>
      </c>
      <c r="F687" s="23">
        <v>46231.308333333334</v>
      </c>
      <c r="G687" s="8" t="s">
        <v>1045</v>
      </c>
      <c r="H687" s="23">
        <v>46234</v>
      </c>
      <c r="I687" s="23">
        <v>46231.308333333334</v>
      </c>
      <c r="J687" s="10">
        <v>227</v>
      </c>
      <c r="K687" s="10">
        <v>0</v>
      </c>
      <c r="L687" s="24">
        <v>0</v>
      </c>
      <c r="M687" s="10">
        <v>227</v>
      </c>
    </row>
    <row r="688" spans="1:13" x14ac:dyDescent="0.25">
      <c r="A688" s="12" t="str">
        <f t="shared" si="20"/>
        <v>21CICERO ISRAEL DOS SANTOSRCB46296,4597222222</v>
      </c>
      <c r="B688" s="12" t="str">
        <f t="shared" si="21"/>
        <v>Outubro</v>
      </c>
      <c r="C688" s="8" t="s">
        <v>777</v>
      </c>
      <c r="D688" s="8" t="s">
        <v>664</v>
      </c>
      <c r="E688" s="8" t="s">
        <v>43</v>
      </c>
      <c r="F688" s="23">
        <v>46296.459722222222</v>
      </c>
      <c r="G688" s="8" t="s">
        <v>1045</v>
      </c>
      <c r="H688" s="23">
        <v>46301</v>
      </c>
      <c r="I688" s="23">
        <v>46296.459722222222</v>
      </c>
      <c r="J688" s="10">
        <v>35</v>
      </c>
      <c r="K688" s="10">
        <v>0</v>
      </c>
      <c r="L688" s="24">
        <v>0</v>
      </c>
      <c r="M688" s="10">
        <v>35</v>
      </c>
    </row>
    <row r="689" spans="1:13" x14ac:dyDescent="0.25">
      <c r="A689" s="12" t="str">
        <f t="shared" si="20"/>
        <v>21CARLOS ANTONIO PINTORCB46296,4625</v>
      </c>
      <c r="B689" s="12" t="str">
        <f t="shared" si="21"/>
        <v>Outubro</v>
      </c>
      <c r="C689" s="8" t="s">
        <v>777</v>
      </c>
      <c r="D689" s="8" t="s">
        <v>664</v>
      </c>
      <c r="E689" s="8" t="s">
        <v>36</v>
      </c>
      <c r="F689" s="23">
        <v>46296.462500000001</v>
      </c>
      <c r="G689" s="8" t="s">
        <v>1045</v>
      </c>
      <c r="H689" s="23">
        <v>46301</v>
      </c>
      <c r="I689" s="23">
        <v>46296.462500000001</v>
      </c>
      <c r="J689" s="10">
        <v>156</v>
      </c>
      <c r="K689" s="10">
        <v>0</v>
      </c>
      <c r="L689" s="24">
        <v>0</v>
      </c>
      <c r="M689" s="10">
        <v>156</v>
      </c>
    </row>
    <row r="690" spans="1:13" x14ac:dyDescent="0.25">
      <c r="A690" s="12" t="str">
        <f t="shared" si="20"/>
        <v>21HIGOR RODNEY CIMINI DA COSTANSE46273</v>
      </c>
      <c r="B690" s="12" t="str">
        <f t="shared" si="21"/>
        <v>Outubro</v>
      </c>
      <c r="C690" s="8" t="s">
        <v>777</v>
      </c>
      <c r="D690" s="8" t="s">
        <v>1354</v>
      </c>
      <c r="E690" s="8" t="s">
        <v>85</v>
      </c>
      <c r="F690" s="23">
        <v>46273</v>
      </c>
      <c r="G690" s="8" t="s">
        <v>665</v>
      </c>
      <c r="H690" s="23">
        <v>46301</v>
      </c>
      <c r="I690" s="23">
        <v>46273</v>
      </c>
      <c r="J690" s="10">
        <v>11200</v>
      </c>
      <c r="K690" s="10">
        <v>0</v>
      </c>
      <c r="L690" s="24">
        <v>0</v>
      </c>
      <c r="M690" s="10">
        <v>10974.88</v>
      </c>
    </row>
    <row r="691" spans="1:13" x14ac:dyDescent="0.25">
      <c r="A691" s="12" t="str">
        <f t="shared" si="20"/>
        <v>210928PANAMERICANA SUPRIMENTOS PARA INFORMATICA LTDANFE46202</v>
      </c>
      <c r="B691" s="12" t="str">
        <f t="shared" si="21"/>
        <v>Agosto</v>
      </c>
      <c r="C691" s="8" t="s">
        <v>451</v>
      </c>
      <c r="D691" s="8" t="s">
        <v>664</v>
      </c>
      <c r="E691" s="8" t="s">
        <v>147</v>
      </c>
      <c r="F691" s="23">
        <v>46202</v>
      </c>
      <c r="G691" s="8" t="s">
        <v>380</v>
      </c>
      <c r="H691" s="23">
        <v>46240</v>
      </c>
      <c r="I691" s="23">
        <v>46203</v>
      </c>
      <c r="J691" s="10">
        <v>1059.0899999999999</v>
      </c>
      <c r="K691" s="10">
        <v>0</v>
      </c>
      <c r="L691" s="24">
        <v>0</v>
      </c>
      <c r="M691" s="10">
        <v>1059.0899999999999</v>
      </c>
    </row>
    <row r="692" spans="1:13" x14ac:dyDescent="0.25">
      <c r="A692" s="12" t="str">
        <f t="shared" si="20"/>
        <v>21131311GRUPO CASAS BAHIA SANFE46127</v>
      </c>
      <c r="B692" s="12" t="str">
        <f t="shared" si="21"/>
        <v>Junho</v>
      </c>
      <c r="C692" s="8" t="s">
        <v>452</v>
      </c>
      <c r="D692" s="8" t="s">
        <v>1400</v>
      </c>
      <c r="E692" s="8" t="s">
        <v>76</v>
      </c>
      <c r="F692" s="23">
        <v>46127</v>
      </c>
      <c r="G692" s="8" t="s">
        <v>380</v>
      </c>
      <c r="H692" s="23">
        <v>46183</v>
      </c>
      <c r="I692" s="23">
        <v>46161</v>
      </c>
      <c r="J692" s="10">
        <v>665.56</v>
      </c>
      <c r="K692" s="10">
        <v>0</v>
      </c>
      <c r="L692" s="24">
        <v>0</v>
      </c>
      <c r="M692" s="10">
        <v>665.56</v>
      </c>
    </row>
    <row r="693" spans="1:13" x14ac:dyDescent="0.25">
      <c r="A693" s="12" t="str">
        <f t="shared" si="20"/>
        <v>21131311GRUPO CASAS BAHIA SANFE46127</v>
      </c>
      <c r="B693" s="12" t="str">
        <f t="shared" si="21"/>
        <v>Julho</v>
      </c>
      <c r="C693" s="8" t="s">
        <v>452</v>
      </c>
      <c r="D693" s="8" t="s">
        <v>1400</v>
      </c>
      <c r="E693" s="8" t="s">
        <v>76</v>
      </c>
      <c r="F693" s="23">
        <v>46127</v>
      </c>
      <c r="G693" s="8" t="s">
        <v>380</v>
      </c>
      <c r="H693" s="23">
        <v>46213</v>
      </c>
      <c r="I693" s="23">
        <v>46161</v>
      </c>
      <c r="J693" s="10">
        <v>665.56</v>
      </c>
      <c r="K693" s="10">
        <v>0</v>
      </c>
      <c r="L693" s="24">
        <v>0</v>
      </c>
      <c r="M693" s="10">
        <v>665.56</v>
      </c>
    </row>
    <row r="694" spans="1:13" x14ac:dyDescent="0.25">
      <c r="A694" s="12" t="str">
        <f t="shared" si="20"/>
        <v>21131311GRUPO CASAS BAHIA SANFE46127</v>
      </c>
      <c r="B694" s="12" t="str">
        <f t="shared" si="21"/>
        <v>Agosto</v>
      </c>
      <c r="C694" s="8" t="s">
        <v>452</v>
      </c>
      <c r="D694" s="8" t="s">
        <v>1400</v>
      </c>
      <c r="E694" s="8" t="s">
        <v>76</v>
      </c>
      <c r="F694" s="23">
        <v>46127</v>
      </c>
      <c r="G694" s="8" t="s">
        <v>380</v>
      </c>
      <c r="H694" s="23">
        <v>46244</v>
      </c>
      <c r="I694" s="23">
        <v>46161</v>
      </c>
      <c r="J694" s="10">
        <v>665.56</v>
      </c>
      <c r="K694" s="10">
        <v>0</v>
      </c>
      <c r="L694" s="24">
        <v>0</v>
      </c>
      <c r="M694" s="10">
        <v>665.56</v>
      </c>
    </row>
    <row r="695" spans="1:13" x14ac:dyDescent="0.25">
      <c r="A695" s="12" t="str">
        <f t="shared" si="20"/>
        <v>21131311GRUPO CASAS BAHIA SANFE46127</v>
      </c>
      <c r="B695" s="12" t="str">
        <f t="shared" si="21"/>
        <v>Setembro</v>
      </c>
      <c r="C695" s="8" t="s">
        <v>452</v>
      </c>
      <c r="D695" s="8" t="s">
        <v>1400</v>
      </c>
      <c r="E695" s="8" t="s">
        <v>76</v>
      </c>
      <c r="F695" s="23">
        <v>46127</v>
      </c>
      <c r="G695" s="8" t="s">
        <v>380</v>
      </c>
      <c r="H695" s="23">
        <v>46275</v>
      </c>
      <c r="I695" s="23">
        <v>46161</v>
      </c>
      <c r="J695" s="10">
        <v>665.56</v>
      </c>
      <c r="K695" s="10">
        <v>0</v>
      </c>
      <c r="L695" s="24">
        <v>0</v>
      </c>
      <c r="M695" s="10">
        <v>665.56</v>
      </c>
    </row>
    <row r="696" spans="1:13" x14ac:dyDescent="0.25">
      <c r="A696" s="12" t="str">
        <f t="shared" si="20"/>
        <v>21435125GRUPO CASAS BAHIA SANFE46158</v>
      </c>
      <c r="B696" s="12" t="str">
        <f t="shared" si="21"/>
        <v>Junho</v>
      </c>
      <c r="C696" s="8" t="s">
        <v>453</v>
      </c>
      <c r="D696" s="8" t="s">
        <v>1400</v>
      </c>
      <c r="E696" s="8" t="s">
        <v>76</v>
      </c>
      <c r="F696" s="23">
        <v>46158</v>
      </c>
      <c r="G696" s="8" t="s">
        <v>380</v>
      </c>
      <c r="H696" s="23">
        <v>46195</v>
      </c>
      <c r="I696" s="23">
        <v>46185</v>
      </c>
      <c r="J696" s="10">
        <v>167.9</v>
      </c>
      <c r="K696" s="10">
        <v>0</v>
      </c>
      <c r="L696" s="24">
        <v>0</v>
      </c>
      <c r="M696" s="10">
        <v>167.9</v>
      </c>
    </row>
    <row r="697" spans="1:13" x14ac:dyDescent="0.25">
      <c r="A697" s="12" t="str">
        <f t="shared" si="20"/>
        <v>21435125GRUPO CASAS BAHIA SANFE46158</v>
      </c>
      <c r="B697" s="12" t="str">
        <f t="shared" si="21"/>
        <v>Julho</v>
      </c>
      <c r="C697" s="8" t="s">
        <v>453</v>
      </c>
      <c r="D697" s="8" t="s">
        <v>1400</v>
      </c>
      <c r="E697" s="8" t="s">
        <v>76</v>
      </c>
      <c r="F697" s="23">
        <v>46158</v>
      </c>
      <c r="G697" s="8" t="s">
        <v>380</v>
      </c>
      <c r="H697" s="23">
        <v>46223</v>
      </c>
      <c r="I697" s="23">
        <v>46185</v>
      </c>
      <c r="J697" s="10">
        <v>167.9</v>
      </c>
      <c r="K697" s="10">
        <v>0</v>
      </c>
      <c r="L697" s="24">
        <v>0</v>
      </c>
      <c r="M697" s="10">
        <v>167.9</v>
      </c>
    </row>
    <row r="698" spans="1:13" x14ac:dyDescent="0.25">
      <c r="A698" s="12" t="str">
        <f t="shared" si="20"/>
        <v>21435125GRUPO CASAS BAHIA SANFE46158</v>
      </c>
      <c r="B698" s="12" t="str">
        <f t="shared" si="21"/>
        <v>Agosto</v>
      </c>
      <c r="C698" s="8" t="s">
        <v>453</v>
      </c>
      <c r="D698" s="8" t="s">
        <v>1400</v>
      </c>
      <c r="E698" s="8" t="s">
        <v>76</v>
      </c>
      <c r="F698" s="23">
        <v>46158</v>
      </c>
      <c r="G698" s="8" t="s">
        <v>380</v>
      </c>
      <c r="H698" s="23">
        <v>46254</v>
      </c>
      <c r="I698" s="23">
        <v>46185</v>
      </c>
      <c r="J698" s="10">
        <v>167.9</v>
      </c>
      <c r="K698" s="10">
        <v>0</v>
      </c>
      <c r="L698" s="24">
        <v>0</v>
      </c>
      <c r="M698" s="10">
        <v>167.9</v>
      </c>
    </row>
    <row r="699" spans="1:13" x14ac:dyDescent="0.25">
      <c r="A699" s="12" t="str">
        <f t="shared" si="20"/>
        <v>215BH ACESSORIOS E PECAS LTDANSE46267</v>
      </c>
      <c r="B699" s="12" t="str">
        <f t="shared" si="21"/>
        <v>Setembro</v>
      </c>
      <c r="C699" s="8" t="s">
        <v>779</v>
      </c>
      <c r="D699" s="8" t="s">
        <v>1354</v>
      </c>
      <c r="E699" s="8" t="s">
        <v>27</v>
      </c>
      <c r="F699" s="23">
        <v>46267</v>
      </c>
      <c r="G699" s="8" t="s">
        <v>665</v>
      </c>
      <c r="H699" s="23">
        <v>46294</v>
      </c>
      <c r="I699" s="23">
        <v>46268</v>
      </c>
      <c r="J699" s="10">
        <v>150</v>
      </c>
      <c r="K699" s="10">
        <v>0</v>
      </c>
      <c r="L699" s="24">
        <v>0</v>
      </c>
      <c r="M699" s="10">
        <v>144.99</v>
      </c>
    </row>
    <row r="700" spans="1:13" x14ac:dyDescent="0.25">
      <c r="A700" s="12" t="str">
        <f t="shared" si="20"/>
        <v>2163849Cpx Distribuidora S.A.NFE46044</v>
      </c>
      <c r="B700" s="12" t="str">
        <f t="shared" si="21"/>
        <v>Fevereiro</v>
      </c>
      <c r="C700" s="8" t="s">
        <v>454</v>
      </c>
      <c r="D700" s="8" t="s">
        <v>769</v>
      </c>
      <c r="E700" s="8" t="s">
        <v>455</v>
      </c>
      <c r="F700" s="23">
        <v>46044</v>
      </c>
      <c r="G700" s="8" t="s">
        <v>380</v>
      </c>
      <c r="H700" s="23">
        <v>46072</v>
      </c>
      <c r="I700" s="23">
        <v>46051</v>
      </c>
      <c r="J700" s="10">
        <v>1542.72</v>
      </c>
      <c r="K700" s="10">
        <v>0</v>
      </c>
      <c r="L700" s="24">
        <v>0</v>
      </c>
      <c r="M700" s="10">
        <v>1542.72</v>
      </c>
    </row>
    <row r="701" spans="1:13" x14ac:dyDescent="0.25">
      <c r="A701" s="12" t="str">
        <f t="shared" si="20"/>
        <v>2163849Cpx Distribuidora S.A.NFE46044</v>
      </c>
      <c r="B701" s="12" t="str">
        <f t="shared" si="21"/>
        <v>Março</v>
      </c>
      <c r="C701" s="8" t="s">
        <v>454</v>
      </c>
      <c r="D701" s="8" t="s">
        <v>769</v>
      </c>
      <c r="E701" s="8" t="s">
        <v>455</v>
      </c>
      <c r="F701" s="23">
        <v>46044</v>
      </c>
      <c r="G701" s="8" t="s">
        <v>380</v>
      </c>
      <c r="H701" s="23">
        <v>46100</v>
      </c>
      <c r="I701" s="23">
        <v>46051</v>
      </c>
      <c r="J701" s="10">
        <v>1542.72</v>
      </c>
      <c r="K701" s="10">
        <v>0</v>
      </c>
      <c r="L701" s="24">
        <v>0</v>
      </c>
      <c r="M701" s="10">
        <v>1542.72</v>
      </c>
    </row>
    <row r="702" spans="1:13" x14ac:dyDescent="0.25">
      <c r="A702" s="12" t="str">
        <f t="shared" si="20"/>
        <v>2163849Cpx Distribuidora S.A.NFE46044</v>
      </c>
      <c r="B702" s="12" t="str">
        <f t="shared" si="21"/>
        <v>Abril</v>
      </c>
      <c r="C702" s="8" t="s">
        <v>454</v>
      </c>
      <c r="D702" s="8" t="s">
        <v>769</v>
      </c>
      <c r="E702" s="8" t="s">
        <v>455</v>
      </c>
      <c r="F702" s="23">
        <v>46044</v>
      </c>
      <c r="G702" s="8" t="s">
        <v>380</v>
      </c>
      <c r="H702" s="23">
        <v>46128</v>
      </c>
      <c r="I702" s="23">
        <v>46051</v>
      </c>
      <c r="J702" s="10">
        <v>1542.72</v>
      </c>
      <c r="K702" s="10">
        <v>0</v>
      </c>
      <c r="L702" s="24">
        <v>0</v>
      </c>
      <c r="M702" s="10">
        <v>1542.72</v>
      </c>
    </row>
    <row r="703" spans="1:13" x14ac:dyDescent="0.25">
      <c r="A703" s="12" t="str">
        <f t="shared" si="20"/>
        <v>2163849Cpx Distribuidora S.A.NFE46044</v>
      </c>
      <c r="B703" s="12" t="str">
        <f t="shared" si="21"/>
        <v>Maio</v>
      </c>
      <c r="C703" s="8" t="s">
        <v>454</v>
      </c>
      <c r="D703" s="8" t="s">
        <v>769</v>
      </c>
      <c r="E703" s="8" t="s">
        <v>455</v>
      </c>
      <c r="F703" s="23">
        <v>46044</v>
      </c>
      <c r="G703" s="8" t="s">
        <v>380</v>
      </c>
      <c r="H703" s="23">
        <v>46156</v>
      </c>
      <c r="I703" s="23">
        <v>46051</v>
      </c>
      <c r="J703" s="10">
        <v>1542.72</v>
      </c>
      <c r="K703" s="10">
        <v>0</v>
      </c>
      <c r="L703" s="24">
        <v>0</v>
      </c>
      <c r="M703" s="10">
        <v>1542.72</v>
      </c>
    </row>
    <row r="704" spans="1:13" x14ac:dyDescent="0.25">
      <c r="A704" s="12" t="str">
        <f t="shared" si="20"/>
        <v>2163849Cpx Distribuidora S.A.NFE46044</v>
      </c>
      <c r="B704" s="12" t="str">
        <f t="shared" si="21"/>
        <v>Junho</v>
      </c>
      <c r="C704" s="8" t="s">
        <v>454</v>
      </c>
      <c r="D704" s="8" t="s">
        <v>769</v>
      </c>
      <c r="E704" s="8" t="s">
        <v>455</v>
      </c>
      <c r="F704" s="23">
        <v>46044</v>
      </c>
      <c r="G704" s="8" t="s">
        <v>380</v>
      </c>
      <c r="H704" s="23">
        <v>46184</v>
      </c>
      <c r="I704" s="23">
        <v>46051</v>
      </c>
      <c r="J704" s="10">
        <v>1542.72</v>
      </c>
      <c r="K704" s="10">
        <v>0</v>
      </c>
      <c r="L704" s="24">
        <v>0</v>
      </c>
      <c r="M704" s="10">
        <v>1542.72</v>
      </c>
    </row>
    <row r="705" spans="1:13" x14ac:dyDescent="0.25">
      <c r="A705" s="12" t="str">
        <f t="shared" si="20"/>
        <v>2163849Cpx Distribuidora S.A.NFE46044</v>
      </c>
      <c r="B705" s="12" t="str">
        <f t="shared" si="21"/>
        <v>Julho</v>
      </c>
      <c r="C705" s="8" t="s">
        <v>454</v>
      </c>
      <c r="D705" s="8" t="s">
        <v>769</v>
      </c>
      <c r="E705" s="8" t="s">
        <v>455</v>
      </c>
      <c r="F705" s="23">
        <v>46044</v>
      </c>
      <c r="G705" s="8" t="s">
        <v>380</v>
      </c>
      <c r="H705" s="23">
        <v>46212</v>
      </c>
      <c r="I705" s="23">
        <v>46051</v>
      </c>
      <c r="J705" s="10">
        <v>1546.41</v>
      </c>
      <c r="K705" s="10">
        <v>0</v>
      </c>
      <c r="L705" s="24">
        <v>0</v>
      </c>
      <c r="M705" s="10">
        <v>1546.41</v>
      </c>
    </row>
    <row r="706" spans="1:13" x14ac:dyDescent="0.25">
      <c r="A706" s="12" t="str">
        <f t="shared" ref="A706:A769" si="22">$C706&amp;$E706&amp;$G706&amp;$F706</f>
        <v>219RONALDO VAZ DE OLIVEIRANSE46059</v>
      </c>
      <c r="B706" s="12" t="str">
        <f t="shared" si="21"/>
        <v>Fevereiro</v>
      </c>
      <c r="C706" s="8" t="s">
        <v>780</v>
      </c>
      <c r="D706" s="8" t="s">
        <v>1354</v>
      </c>
      <c r="E706" s="8" t="s">
        <v>781</v>
      </c>
      <c r="F706" s="23">
        <v>46059</v>
      </c>
      <c r="G706" s="8" t="s">
        <v>665</v>
      </c>
      <c r="H706" s="23">
        <v>46079</v>
      </c>
      <c r="I706" s="23">
        <v>46079.375</v>
      </c>
      <c r="J706" s="10">
        <v>400</v>
      </c>
      <c r="K706" s="10">
        <v>0</v>
      </c>
      <c r="L706" s="24">
        <v>0</v>
      </c>
      <c r="M706" s="10">
        <v>400</v>
      </c>
    </row>
    <row r="707" spans="1:13" x14ac:dyDescent="0.25">
      <c r="A707" s="12" t="str">
        <f t="shared" si="22"/>
        <v>22FRANCISCO MARCIO CESAR DE MATOSRCB46112,6430555556</v>
      </c>
      <c r="B707" s="12" t="str">
        <f t="shared" ref="B707:B770" si="23">PROPER(TEXT($H707,"MMMM"))</f>
        <v>Abril</v>
      </c>
      <c r="C707" s="8" t="s">
        <v>2141</v>
      </c>
      <c r="D707" s="8" t="s">
        <v>664</v>
      </c>
      <c r="E707" s="8" t="s">
        <v>72</v>
      </c>
      <c r="F707" s="23">
        <v>46112.643055555556</v>
      </c>
      <c r="G707" s="8" t="s">
        <v>1045</v>
      </c>
      <c r="H707" s="23">
        <v>46115</v>
      </c>
      <c r="I707" s="23">
        <v>46112.643055555556</v>
      </c>
      <c r="J707" s="10">
        <v>120</v>
      </c>
      <c r="K707" s="10">
        <v>0</v>
      </c>
      <c r="L707" s="24">
        <v>0</v>
      </c>
      <c r="M707" s="10">
        <v>120</v>
      </c>
    </row>
    <row r="708" spans="1:13" x14ac:dyDescent="0.25">
      <c r="A708" s="12" t="str">
        <f t="shared" si="22"/>
        <v>22EDILSON RIBEIRO DA SILVARCB46112,6409722222</v>
      </c>
      <c r="B708" s="12" t="str">
        <f t="shared" si="23"/>
        <v>Abril</v>
      </c>
      <c r="C708" s="8" t="s">
        <v>2141</v>
      </c>
      <c r="D708" s="8" t="s">
        <v>664</v>
      </c>
      <c r="E708" s="8" t="s">
        <v>56</v>
      </c>
      <c r="F708" s="23">
        <v>46112.640972222223</v>
      </c>
      <c r="G708" s="8" t="s">
        <v>1045</v>
      </c>
      <c r="H708" s="23">
        <v>46115</v>
      </c>
      <c r="I708" s="23">
        <v>46112.640972222223</v>
      </c>
      <c r="J708" s="10">
        <v>120</v>
      </c>
      <c r="K708" s="10">
        <v>0</v>
      </c>
      <c r="L708" s="24">
        <v>0</v>
      </c>
      <c r="M708" s="10">
        <v>120</v>
      </c>
    </row>
    <row r="709" spans="1:13" x14ac:dyDescent="0.25">
      <c r="A709" s="12" t="str">
        <f t="shared" si="22"/>
        <v>22GUSTAVO HENRIQUE DE SOUZA BARBOSARCB46113,39375</v>
      </c>
      <c r="B709" s="12" t="str">
        <f t="shared" si="23"/>
        <v>Abril</v>
      </c>
      <c r="C709" s="8" t="s">
        <v>2141</v>
      </c>
      <c r="D709" s="8" t="s">
        <v>664</v>
      </c>
      <c r="E709" s="8" t="s">
        <v>79</v>
      </c>
      <c r="F709" s="23">
        <v>46113.393750000003</v>
      </c>
      <c r="G709" s="8" t="s">
        <v>1045</v>
      </c>
      <c r="H709" s="23">
        <v>46118</v>
      </c>
      <c r="I709" s="23">
        <v>46113.393750000003</v>
      </c>
      <c r="J709" s="10">
        <v>15</v>
      </c>
      <c r="K709" s="10">
        <v>0</v>
      </c>
      <c r="L709" s="24">
        <v>0</v>
      </c>
      <c r="M709" s="10">
        <v>15</v>
      </c>
    </row>
    <row r="710" spans="1:13" x14ac:dyDescent="0.25">
      <c r="A710" s="12" t="str">
        <f t="shared" si="22"/>
        <v>22GABRIEL MOUTINHO ALBINORCB46121,3854166667</v>
      </c>
      <c r="B710" s="12" t="str">
        <f t="shared" si="23"/>
        <v>Abril</v>
      </c>
      <c r="C710" s="8" t="s">
        <v>2141</v>
      </c>
      <c r="D710" s="8" t="s">
        <v>664</v>
      </c>
      <c r="E710" s="8" t="s">
        <v>73</v>
      </c>
      <c r="F710" s="23">
        <v>46121.385416666664</v>
      </c>
      <c r="G710" s="8" t="s">
        <v>1045</v>
      </c>
      <c r="H710" s="23">
        <v>46126</v>
      </c>
      <c r="I710" s="23">
        <v>46121.385416666664</v>
      </c>
      <c r="J710" s="10">
        <v>130</v>
      </c>
      <c r="K710" s="10">
        <v>0</v>
      </c>
      <c r="L710" s="24">
        <v>0</v>
      </c>
      <c r="M710" s="10">
        <v>130</v>
      </c>
    </row>
    <row r="711" spans="1:13" x14ac:dyDescent="0.25">
      <c r="A711" s="12" t="str">
        <f t="shared" si="22"/>
        <v>22WALACE ROCHA DE SOUZARCB46134,59375</v>
      </c>
      <c r="B711" s="12" t="str">
        <f t="shared" si="23"/>
        <v>Abril</v>
      </c>
      <c r="C711" s="8" t="s">
        <v>2141</v>
      </c>
      <c r="D711" s="8" t="s">
        <v>664</v>
      </c>
      <c r="E711" s="8" t="s">
        <v>200</v>
      </c>
      <c r="F711" s="23">
        <v>46134.59375</v>
      </c>
      <c r="G711" s="8" t="s">
        <v>1045</v>
      </c>
      <c r="H711" s="23">
        <v>46139</v>
      </c>
      <c r="I711" s="23">
        <v>46134.59375</v>
      </c>
      <c r="J711" s="10">
        <v>104.67</v>
      </c>
      <c r="K711" s="10">
        <v>0</v>
      </c>
      <c r="L711" s="24">
        <v>0</v>
      </c>
      <c r="M711" s="10">
        <v>104.67</v>
      </c>
    </row>
    <row r="712" spans="1:13" x14ac:dyDescent="0.25">
      <c r="A712" s="12" t="str">
        <f t="shared" si="22"/>
        <v>22VANDIEGO MARQUES DA SILVA SANTOSRCB46188,6118055556</v>
      </c>
      <c r="B712" s="12" t="str">
        <f t="shared" si="23"/>
        <v>Junho</v>
      </c>
      <c r="C712" s="8" t="s">
        <v>2141</v>
      </c>
      <c r="D712" s="8" t="s">
        <v>664</v>
      </c>
      <c r="E712" s="8" t="s">
        <v>194</v>
      </c>
      <c r="F712" s="23">
        <v>46188.611805555556</v>
      </c>
      <c r="G712" s="8" t="s">
        <v>1045</v>
      </c>
      <c r="H712" s="23">
        <v>46191</v>
      </c>
      <c r="I712" s="23">
        <v>46188.611805555556</v>
      </c>
      <c r="J712" s="10">
        <v>60</v>
      </c>
      <c r="K712" s="10">
        <v>0</v>
      </c>
      <c r="L712" s="24">
        <v>0</v>
      </c>
      <c r="M712" s="10">
        <v>60</v>
      </c>
    </row>
    <row r="713" spans="1:13" x14ac:dyDescent="0.25">
      <c r="A713" s="12" t="str">
        <f t="shared" si="22"/>
        <v>22VITOR SOUZA SILVARCB46196,475</v>
      </c>
      <c r="B713" s="12" t="str">
        <f t="shared" si="23"/>
        <v>Junho</v>
      </c>
      <c r="C713" s="8" t="s">
        <v>2141</v>
      </c>
      <c r="D713" s="8" t="s">
        <v>664</v>
      </c>
      <c r="E713" s="8" t="s">
        <v>199</v>
      </c>
      <c r="F713" s="23">
        <v>46196.474999999999</v>
      </c>
      <c r="G713" s="8" t="s">
        <v>1045</v>
      </c>
      <c r="H713" s="23">
        <v>46199</v>
      </c>
      <c r="I713" s="23">
        <v>46196.474999999999</v>
      </c>
      <c r="J713" s="10">
        <v>20</v>
      </c>
      <c r="K713" s="10">
        <v>0</v>
      </c>
      <c r="L713" s="24">
        <v>0</v>
      </c>
      <c r="M713" s="10">
        <v>20</v>
      </c>
    </row>
    <row r="714" spans="1:13" x14ac:dyDescent="0.25">
      <c r="A714" s="12" t="str">
        <f t="shared" si="22"/>
        <v>22DANIELA CHAVES MARIANORCB46231,3125</v>
      </c>
      <c r="B714" s="12" t="str">
        <f t="shared" si="23"/>
        <v>Julho</v>
      </c>
      <c r="C714" s="8" t="s">
        <v>2141</v>
      </c>
      <c r="D714" s="8" t="s">
        <v>664</v>
      </c>
      <c r="E714" s="8" t="s">
        <v>47</v>
      </c>
      <c r="F714" s="23">
        <v>46231.3125</v>
      </c>
      <c r="G714" s="8" t="s">
        <v>1045</v>
      </c>
      <c r="H714" s="23">
        <v>46234</v>
      </c>
      <c r="I714" s="23">
        <v>46231.3125</v>
      </c>
      <c r="J714" s="10">
        <v>80</v>
      </c>
      <c r="K714" s="10">
        <v>0</v>
      </c>
      <c r="L714" s="24">
        <v>0</v>
      </c>
      <c r="M714" s="10">
        <v>80</v>
      </c>
    </row>
    <row r="715" spans="1:13" x14ac:dyDescent="0.25">
      <c r="A715" s="12" t="str">
        <f t="shared" si="22"/>
        <v>22026-87HENRIQUE GALAMBA RODRIGUES DOS ANJOSDEP46035,7291666667</v>
      </c>
      <c r="B715" s="12" t="str">
        <f t="shared" si="23"/>
        <v>Fevereiro</v>
      </c>
      <c r="C715" s="8" t="s">
        <v>1678</v>
      </c>
      <c r="D715" s="8" t="s">
        <v>664</v>
      </c>
      <c r="E715" s="8" t="s">
        <v>84</v>
      </c>
      <c r="F715" s="23">
        <v>46035.729166666664</v>
      </c>
      <c r="G715" s="8" t="s">
        <v>1043</v>
      </c>
      <c r="H715" s="23">
        <v>46059</v>
      </c>
      <c r="I715" s="23">
        <v>46035.729166666664</v>
      </c>
      <c r="J715" s="10">
        <v>3000</v>
      </c>
      <c r="K715" s="10">
        <v>0</v>
      </c>
      <c r="L715" s="24">
        <v>0</v>
      </c>
      <c r="M715" s="10">
        <v>3000</v>
      </c>
    </row>
    <row r="716" spans="1:13" x14ac:dyDescent="0.25">
      <c r="A716" s="12" t="str">
        <f t="shared" si="22"/>
        <v>2203MANFERRARI SERVICE LTDANSE46132</v>
      </c>
      <c r="B716" s="12" t="str">
        <f t="shared" si="23"/>
        <v>Junho</v>
      </c>
      <c r="C716" s="8" t="s">
        <v>783</v>
      </c>
      <c r="D716" s="8" t="s">
        <v>1354</v>
      </c>
      <c r="E716" s="8" t="s">
        <v>117</v>
      </c>
      <c r="F716" s="23">
        <v>46132</v>
      </c>
      <c r="G716" s="8" t="s">
        <v>665</v>
      </c>
      <c r="H716" s="23">
        <v>46179</v>
      </c>
      <c r="I716" s="23">
        <v>46134</v>
      </c>
      <c r="J716" s="10">
        <v>200</v>
      </c>
      <c r="K716" s="10">
        <v>0</v>
      </c>
      <c r="L716" s="24">
        <v>0</v>
      </c>
      <c r="M716" s="10">
        <v>196</v>
      </c>
    </row>
    <row r="717" spans="1:13" x14ac:dyDescent="0.25">
      <c r="A717" s="12" t="str">
        <f t="shared" si="22"/>
        <v>222247A C FARIAS COM. DE PEÇAS E SERVIÇOS. EIRELI EPPNFE46034</v>
      </c>
      <c r="B717" s="12" t="str">
        <f t="shared" si="23"/>
        <v>Fevereiro</v>
      </c>
      <c r="C717" s="8" t="s">
        <v>459</v>
      </c>
      <c r="D717" s="8" t="s">
        <v>664</v>
      </c>
      <c r="E717" s="8" t="s">
        <v>460</v>
      </c>
      <c r="F717" s="23">
        <v>46034</v>
      </c>
      <c r="G717" s="8" t="s">
        <v>380</v>
      </c>
      <c r="H717" s="23">
        <v>46065</v>
      </c>
      <c r="I717" s="23">
        <v>46034</v>
      </c>
      <c r="J717" s="10">
        <v>1458</v>
      </c>
      <c r="K717" s="10">
        <v>158</v>
      </c>
      <c r="L717" s="24">
        <v>0</v>
      </c>
      <c r="M717" s="10">
        <v>1300</v>
      </c>
    </row>
    <row r="718" spans="1:13" x14ac:dyDescent="0.25">
      <c r="A718" s="12" t="str">
        <f t="shared" si="22"/>
        <v>227BETIM TACOGRAFO LTDANSE46051</v>
      </c>
      <c r="B718" s="12" t="str">
        <f t="shared" si="23"/>
        <v>Fevereiro</v>
      </c>
      <c r="C718" s="8" t="s">
        <v>785</v>
      </c>
      <c r="D718" s="8" t="s">
        <v>1354</v>
      </c>
      <c r="E718" s="8" t="s">
        <v>26</v>
      </c>
      <c r="F718" s="23">
        <v>46051</v>
      </c>
      <c r="G718" s="8" t="s">
        <v>665</v>
      </c>
      <c r="H718" s="23">
        <v>46058</v>
      </c>
      <c r="I718" s="23">
        <v>46052</v>
      </c>
      <c r="J718" s="10">
        <v>80</v>
      </c>
      <c r="K718" s="10">
        <v>0</v>
      </c>
      <c r="L718" s="24">
        <v>0</v>
      </c>
      <c r="M718" s="10">
        <v>80</v>
      </c>
    </row>
    <row r="719" spans="1:13" x14ac:dyDescent="0.25">
      <c r="A719" s="12" t="str">
        <f t="shared" si="22"/>
        <v>227ANDRE LUIZ MAYERNSE46210</v>
      </c>
      <c r="B719" s="12" t="str">
        <f t="shared" si="23"/>
        <v>Julho</v>
      </c>
      <c r="C719" s="8" t="s">
        <v>785</v>
      </c>
      <c r="D719" s="8" t="s">
        <v>664</v>
      </c>
      <c r="E719" s="8" t="s">
        <v>16</v>
      </c>
      <c r="F719" s="23">
        <v>46210</v>
      </c>
      <c r="G719" s="8" t="s">
        <v>665</v>
      </c>
      <c r="H719" s="23">
        <v>46223</v>
      </c>
      <c r="I719" s="23">
        <v>46210</v>
      </c>
      <c r="J719" s="10">
        <v>150</v>
      </c>
      <c r="K719" s="10">
        <v>0</v>
      </c>
      <c r="L719" s="24">
        <v>0</v>
      </c>
      <c r="M719" s="10">
        <v>150</v>
      </c>
    </row>
    <row r="720" spans="1:13" x14ac:dyDescent="0.25">
      <c r="A720" s="12" t="str">
        <f t="shared" si="22"/>
        <v>2273MINAS MAQUINAS SA | NOVA LIMANSE46262</v>
      </c>
      <c r="B720" s="12" t="str">
        <f t="shared" si="23"/>
        <v>Setembro</v>
      </c>
      <c r="C720" s="8" t="s">
        <v>786</v>
      </c>
      <c r="D720" s="8" t="s">
        <v>1400</v>
      </c>
      <c r="E720" s="8" t="s">
        <v>133</v>
      </c>
      <c r="F720" s="23">
        <v>46262</v>
      </c>
      <c r="G720" s="8" t="s">
        <v>665</v>
      </c>
      <c r="H720" s="23">
        <v>46292</v>
      </c>
      <c r="I720" s="23">
        <v>46263</v>
      </c>
      <c r="J720" s="10">
        <v>1189.2</v>
      </c>
      <c r="K720" s="10">
        <v>0</v>
      </c>
      <c r="L720" s="24">
        <v>0</v>
      </c>
      <c r="M720" s="10">
        <v>1189.2</v>
      </c>
    </row>
    <row r="721" spans="1:13" x14ac:dyDescent="0.25">
      <c r="A721" s="12" t="str">
        <f t="shared" si="22"/>
        <v>2274MINAS MAQUINAS SA | NOVA LIMANFS46262</v>
      </c>
      <c r="B721" s="12" t="str">
        <f t="shared" si="23"/>
        <v>Setembro</v>
      </c>
      <c r="C721" s="8" t="s">
        <v>640</v>
      </c>
      <c r="D721" s="8" t="s">
        <v>1354</v>
      </c>
      <c r="E721" s="8" t="s">
        <v>133</v>
      </c>
      <c r="F721" s="23">
        <v>46262</v>
      </c>
      <c r="G721" s="8" t="s">
        <v>614</v>
      </c>
      <c r="H721" s="23">
        <v>46292</v>
      </c>
      <c r="I721" s="23">
        <v>46263</v>
      </c>
      <c r="J721" s="10">
        <v>987.96</v>
      </c>
      <c r="K721" s="10">
        <v>0</v>
      </c>
      <c r="L721" s="24">
        <v>0</v>
      </c>
      <c r="M721" s="10">
        <v>987.96</v>
      </c>
    </row>
    <row r="722" spans="1:13" x14ac:dyDescent="0.25">
      <c r="A722" s="12" t="str">
        <f t="shared" si="22"/>
        <v>2275PRODOESTE VEÍCULOS E SERVIÇOSNSE46230</v>
      </c>
      <c r="B722" s="12" t="str">
        <f t="shared" si="23"/>
        <v>Julho</v>
      </c>
      <c r="C722" s="8" t="s">
        <v>787</v>
      </c>
      <c r="D722" s="8" t="s">
        <v>1354</v>
      </c>
      <c r="E722" s="8" t="s">
        <v>160</v>
      </c>
      <c r="F722" s="23">
        <v>46230</v>
      </c>
      <c r="G722" s="8" t="s">
        <v>665</v>
      </c>
      <c r="H722" s="23">
        <v>46230</v>
      </c>
      <c r="I722" s="23">
        <v>46226.375</v>
      </c>
      <c r="J722" s="10">
        <v>410</v>
      </c>
      <c r="K722" s="10">
        <v>0</v>
      </c>
      <c r="L722" s="24">
        <v>0</v>
      </c>
      <c r="M722" s="10">
        <v>410</v>
      </c>
    </row>
    <row r="723" spans="1:13" x14ac:dyDescent="0.25">
      <c r="A723" s="12" t="str">
        <f t="shared" si="22"/>
        <v>2276MINAS MAQUINAS SA | NOVA LIMANSE46262</v>
      </c>
      <c r="B723" s="12" t="str">
        <f t="shared" si="23"/>
        <v>Setembro</v>
      </c>
      <c r="C723" s="8" t="s">
        <v>788</v>
      </c>
      <c r="D723" s="8" t="s">
        <v>1354</v>
      </c>
      <c r="E723" s="8" t="s">
        <v>133</v>
      </c>
      <c r="F723" s="23">
        <v>46262</v>
      </c>
      <c r="G723" s="8" t="s">
        <v>665</v>
      </c>
      <c r="H723" s="23">
        <v>46292</v>
      </c>
      <c r="I723" s="23">
        <v>46263</v>
      </c>
      <c r="J723" s="10">
        <v>600</v>
      </c>
      <c r="K723" s="10">
        <v>0</v>
      </c>
      <c r="L723" s="24">
        <v>0</v>
      </c>
      <c r="M723" s="10">
        <v>600</v>
      </c>
    </row>
    <row r="724" spans="1:13" x14ac:dyDescent="0.25">
      <c r="A724" s="12" t="str">
        <f t="shared" si="22"/>
        <v>2278MINAS MAQUINAS SA | NOVA LIMANSE46262</v>
      </c>
      <c r="B724" s="12" t="str">
        <f t="shared" si="23"/>
        <v>Setembro</v>
      </c>
      <c r="C724" s="8" t="s">
        <v>789</v>
      </c>
      <c r="D724" s="8" t="s">
        <v>1354</v>
      </c>
      <c r="E724" s="8" t="s">
        <v>133</v>
      </c>
      <c r="F724" s="23">
        <v>46262</v>
      </c>
      <c r="G724" s="8" t="s">
        <v>665</v>
      </c>
      <c r="H724" s="23">
        <v>46292</v>
      </c>
      <c r="I724" s="23">
        <v>46263</v>
      </c>
      <c r="J724" s="10">
        <v>589.20000000000005</v>
      </c>
      <c r="K724" s="10">
        <v>0</v>
      </c>
      <c r="L724" s="24">
        <v>0</v>
      </c>
      <c r="M724" s="10">
        <v>589.20000000000005</v>
      </c>
    </row>
    <row r="725" spans="1:13" x14ac:dyDescent="0.25">
      <c r="A725" s="12" t="str">
        <f t="shared" si="22"/>
        <v>2279MINAS MAQUINAS SA | NOVA LIMANSE46262</v>
      </c>
      <c r="B725" s="12" t="str">
        <f t="shared" si="23"/>
        <v>Setembro</v>
      </c>
      <c r="C725" s="8" t="s">
        <v>790</v>
      </c>
      <c r="D725" s="8" t="s">
        <v>1354</v>
      </c>
      <c r="E725" s="8" t="s">
        <v>133</v>
      </c>
      <c r="F725" s="23">
        <v>46262</v>
      </c>
      <c r="G725" s="8" t="s">
        <v>665</v>
      </c>
      <c r="H725" s="23">
        <v>46292</v>
      </c>
      <c r="I725" s="23">
        <v>46263</v>
      </c>
      <c r="J725" s="10">
        <v>300</v>
      </c>
      <c r="K725" s="10">
        <v>0</v>
      </c>
      <c r="L725" s="24">
        <v>0</v>
      </c>
      <c r="M725" s="10">
        <v>300</v>
      </c>
    </row>
    <row r="726" spans="1:13" x14ac:dyDescent="0.25">
      <c r="A726" s="12" t="str">
        <f t="shared" si="22"/>
        <v>2283GW REFORMADORA LTDANSE46192</v>
      </c>
      <c r="B726" s="12" t="str">
        <f t="shared" si="23"/>
        <v>Julho</v>
      </c>
      <c r="C726" s="8" t="s">
        <v>791</v>
      </c>
      <c r="D726" s="8" t="s">
        <v>1354</v>
      </c>
      <c r="E726" s="8" t="s">
        <v>81</v>
      </c>
      <c r="F726" s="23">
        <v>46192</v>
      </c>
      <c r="G726" s="8" t="s">
        <v>665</v>
      </c>
      <c r="H726" s="23">
        <v>46222</v>
      </c>
      <c r="I726" s="23">
        <v>46199</v>
      </c>
      <c r="J726" s="10">
        <v>3166.67</v>
      </c>
      <c r="K726" s="10">
        <v>0</v>
      </c>
      <c r="L726" s="24">
        <v>0</v>
      </c>
      <c r="M726" s="10">
        <v>3166.67</v>
      </c>
    </row>
    <row r="727" spans="1:13" x14ac:dyDescent="0.25">
      <c r="A727" s="12" t="str">
        <f t="shared" si="22"/>
        <v>2283GW REFORMADORA LTDANSE46192</v>
      </c>
      <c r="B727" s="12" t="str">
        <f t="shared" si="23"/>
        <v>Agosto</v>
      </c>
      <c r="C727" s="8" t="s">
        <v>791</v>
      </c>
      <c r="D727" s="8" t="s">
        <v>1354</v>
      </c>
      <c r="E727" s="8" t="s">
        <v>81</v>
      </c>
      <c r="F727" s="23">
        <v>46192</v>
      </c>
      <c r="G727" s="8" t="s">
        <v>665</v>
      </c>
      <c r="H727" s="23">
        <v>46252</v>
      </c>
      <c r="I727" s="23">
        <v>46199</v>
      </c>
      <c r="J727" s="10">
        <v>3166.66</v>
      </c>
      <c r="K727" s="10">
        <v>0</v>
      </c>
      <c r="L727" s="24">
        <v>0</v>
      </c>
      <c r="M727" s="10">
        <v>3166.66</v>
      </c>
    </row>
    <row r="728" spans="1:13" x14ac:dyDescent="0.25">
      <c r="A728" s="12" t="str">
        <f t="shared" si="22"/>
        <v>2283GW REFORMADORA LTDANSE46192</v>
      </c>
      <c r="B728" s="12" t="str">
        <f t="shared" si="23"/>
        <v>Setembro</v>
      </c>
      <c r="C728" s="8" t="s">
        <v>791</v>
      </c>
      <c r="D728" s="8" t="s">
        <v>1354</v>
      </c>
      <c r="E728" s="8" t="s">
        <v>81</v>
      </c>
      <c r="F728" s="23">
        <v>46192</v>
      </c>
      <c r="G728" s="8" t="s">
        <v>665</v>
      </c>
      <c r="H728" s="23">
        <v>46282</v>
      </c>
      <c r="I728" s="23">
        <v>46199</v>
      </c>
      <c r="J728" s="10">
        <v>3166.67</v>
      </c>
      <c r="K728" s="10">
        <v>0</v>
      </c>
      <c r="L728" s="24">
        <v>0</v>
      </c>
      <c r="M728" s="10">
        <v>3166.67</v>
      </c>
    </row>
    <row r="729" spans="1:13" x14ac:dyDescent="0.25">
      <c r="A729" s="12" t="str">
        <f t="shared" si="22"/>
        <v>23LL BATERIAS E AUTO-ELETRICA LTDANSE46063</v>
      </c>
      <c r="B729" s="12" t="str">
        <f t="shared" si="23"/>
        <v>Março</v>
      </c>
      <c r="C729" s="8" t="s">
        <v>792</v>
      </c>
      <c r="D729" s="8" t="s">
        <v>1354</v>
      </c>
      <c r="E729" s="8" t="s">
        <v>111</v>
      </c>
      <c r="F729" s="23">
        <v>46063</v>
      </c>
      <c r="G729" s="8" t="s">
        <v>665</v>
      </c>
      <c r="H729" s="23">
        <v>46093</v>
      </c>
      <c r="I729" s="23">
        <v>46064</v>
      </c>
      <c r="J729" s="10">
        <v>225</v>
      </c>
      <c r="K729" s="10">
        <v>0</v>
      </c>
      <c r="L729" s="24">
        <v>0</v>
      </c>
      <c r="M729" s="10">
        <v>216.45</v>
      </c>
    </row>
    <row r="730" spans="1:13" x14ac:dyDescent="0.25">
      <c r="A730" s="12" t="str">
        <f t="shared" si="22"/>
        <v>23EDILSON RIBEIRO DA SILVARCB46113,3951388889</v>
      </c>
      <c r="B730" s="12" t="str">
        <f t="shared" si="23"/>
        <v>Abril</v>
      </c>
      <c r="C730" s="8" t="s">
        <v>792</v>
      </c>
      <c r="D730" s="8" t="s">
        <v>664</v>
      </c>
      <c r="E730" s="8" t="s">
        <v>56</v>
      </c>
      <c r="F730" s="23">
        <v>46113.395138888889</v>
      </c>
      <c r="G730" s="8" t="s">
        <v>1045</v>
      </c>
      <c r="H730" s="23">
        <v>46118</v>
      </c>
      <c r="I730" s="23">
        <v>46113.395138888889</v>
      </c>
      <c r="J730" s="10">
        <v>70</v>
      </c>
      <c r="K730" s="10">
        <v>0</v>
      </c>
      <c r="L730" s="24">
        <v>0</v>
      </c>
      <c r="M730" s="10">
        <v>70</v>
      </c>
    </row>
    <row r="731" spans="1:13" x14ac:dyDescent="0.25">
      <c r="A731" s="12" t="str">
        <f t="shared" si="22"/>
        <v>23FRANCISCO MARCIO CESAR DE MATOSRCB46120,3875</v>
      </c>
      <c r="B731" s="12" t="str">
        <f t="shared" si="23"/>
        <v>Abril</v>
      </c>
      <c r="C731" s="8" t="s">
        <v>792</v>
      </c>
      <c r="D731" s="8" t="s">
        <v>664</v>
      </c>
      <c r="E731" s="8" t="s">
        <v>72</v>
      </c>
      <c r="F731" s="23">
        <v>46120.387499999997</v>
      </c>
      <c r="G731" s="8" t="s">
        <v>1045</v>
      </c>
      <c r="H731" s="23">
        <v>46125</v>
      </c>
      <c r="I731" s="23">
        <v>46120.387499999997</v>
      </c>
      <c r="J731" s="10">
        <v>120</v>
      </c>
      <c r="K731" s="10">
        <v>0</v>
      </c>
      <c r="L731" s="24">
        <v>0</v>
      </c>
      <c r="M731" s="10">
        <v>120</v>
      </c>
    </row>
    <row r="732" spans="1:13" x14ac:dyDescent="0.25">
      <c r="A732" s="12" t="str">
        <f t="shared" si="22"/>
        <v>23GABRIEL MOUTINHO ALBINORCB46129,4006944444</v>
      </c>
      <c r="B732" s="12" t="str">
        <f t="shared" si="23"/>
        <v>Abril</v>
      </c>
      <c r="C732" s="8" t="s">
        <v>792</v>
      </c>
      <c r="D732" s="8" t="s">
        <v>664</v>
      </c>
      <c r="E732" s="8" t="s">
        <v>73</v>
      </c>
      <c r="F732" s="23">
        <v>46129.400694444441</v>
      </c>
      <c r="G732" s="8" t="s">
        <v>1045</v>
      </c>
      <c r="H732" s="23">
        <v>46135</v>
      </c>
      <c r="I732" s="23">
        <v>46129.400694444441</v>
      </c>
      <c r="J732" s="10">
        <v>150</v>
      </c>
      <c r="K732" s="10">
        <v>0</v>
      </c>
      <c r="L732" s="24">
        <v>0</v>
      </c>
      <c r="M732" s="10">
        <v>150</v>
      </c>
    </row>
    <row r="733" spans="1:13" x14ac:dyDescent="0.25">
      <c r="A733" s="12" t="str">
        <f t="shared" si="22"/>
        <v>23GUSTAVO HENRIQUE DE SOUZA BARBOSARCB46135,3736111111</v>
      </c>
      <c r="B733" s="12" t="str">
        <f t="shared" si="23"/>
        <v>Abril</v>
      </c>
      <c r="C733" s="8" t="s">
        <v>792</v>
      </c>
      <c r="D733" s="8" t="s">
        <v>664</v>
      </c>
      <c r="E733" s="8" t="s">
        <v>79</v>
      </c>
      <c r="F733" s="23">
        <v>46135.373611111114</v>
      </c>
      <c r="G733" s="8" t="s">
        <v>1045</v>
      </c>
      <c r="H733" s="23">
        <v>46140</v>
      </c>
      <c r="I733" s="23">
        <v>46135.373611111114</v>
      </c>
      <c r="J733" s="10">
        <v>90</v>
      </c>
      <c r="K733" s="10">
        <v>0</v>
      </c>
      <c r="L733" s="24">
        <v>0</v>
      </c>
      <c r="M733" s="10">
        <v>90</v>
      </c>
    </row>
    <row r="734" spans="1:13" x14ac:dyDescent="0.25">
      <c r="A734" s="12" t="str">
        <f t="shared" si="22"/>
        <v>23WALACE ROCHA DE SOUZARCB46142,5958333333</v>
      </c>
      <c r="B734" s="12" t="str">
        <f t="shared" si="23"/>
        <v>Maio</v>
      </c>
      <c r="C734" s="8" t="s">
        <v>792</v>
      </c>
      <c r="D734" s="8" t="s">
        <v>664</v>
      </c>
      <c r="E734" s="8" t="s">
        <v>200</v>
      </c>
      <c r="F734" s="23">
        <v>46142.595833333333</v>
      </c>
      <c r="G734" s="8" t="s">
        <v>1045</v>
      </c>
      <c r="H734" s="23">
        <v>46148</v>
      </c>
      <c r="I734" s="23">
        <v>46142.595833333333</v>
      </c>
      <c r="J734" s="10">
        <v>79.48</v>
      </c>
      <c r="K734" s="10">
        <v>0</v>
      </c>
      <c r="L734" s="24">
        <v>0</v>
      </c>
      <c r="M734" s="10">
        <v>79.48</v>
      </c>
    </row>
    <row r="735" spans="1:13" x14ac:dyDescent="0.25">
      <c r="A735" s="12" t="str">
        <f t="shared" si="22"/>
        <v>23VANDIEGO MARQUES DA SILVA SANTOSRCB46196,4770833333</v>
      </c>
      <c r="B735" s="12" t="str">
        <f t="shared" si="23"/>
        <v>Junho</v>
      </c>
      <c r="C735" s="8" t="s">
        <v>792</v>
      </c>
      <c r="D735" s="8" t="s">
        <v>664</v>
      </c>
      <c r="E735" s="8" t="s">
        <v>194</v>
      </c>
      <c r="F735" s="23">
        <v>46196.477083333331</v>
      </c>
      <c r="G735" s="8" t="s">
        <v>1045</v>
      </c>
      <c r="H735" s="23">
        <v>46199</v>
      </c>
      <c r="I735" s="23">
        <v>46196.477083333331</v>
      </c>
      <c r="J735" s="10">
        <v>90</v>
      </c>
      <c r="K735" s="10">
        <v>0</v>
      </c>
      <c r="L735" s="24">
        <v>0</v>
      </c>
      <c r="M735" s="10">
        <v>90</v>
      </c>
    </row>
    <row r="736" spans="1:13" x14ac:dyDescent="0.25">
      <c r="A736" s="12" t="str">
        <f t="shared" si="22"/>
        <v>23DANIELA CHAVES MARIANORCB46238,3708333333</v>
      </c>
      <c r="B736" s="12" t="str">
        <f t="shared" si="23"/>
        <v>Agosto</v>
      </c>
      <c r="C736" s="8" t="s">
        <v>792</v>
      </c>
      <c r="D736" s="8" t="s">
        <v>664</v>
      </c>
      <c r="E736" s="8" t="s">
        <v>47</v>
      </c>
      <c r="F736" s="23">
        <v>46238.370833333334</v>
      </c>
      <c r="G736" s="8" t="s">
        <v>1045</v>
      </c>
      <c r="H736" s="23">
        <v>46241</v>
      </c>
      <c r="I736" s="23">
        <v>46238.370833333334</v>
      </c>
      <c r="J736" s="10">
        <v>53.8</v>
      </c>
      <c r="K736" s="10">
        <v>0</v>
      </c>
      <c r="L736" s="24">
        <v>0</v>
      </c>
      <c r="M736" s="10">
        <v>53.8</v>
      </c>
    </row>
    <row r="737" spans="1:13" x14ac:dyDescent="0.25">
      <c r="A737" s="12" t="str">
        <f t="shared" si="22"/>
        <v>2343OCP EXAMES OCUPACIONAIS LTDANSE46042</v>
      </c>
      <c r="B737" s="12" t="str">
        <f t="shared" si="23"/>
        <v>Março</v>
      </c>
      <c r="C737" s="8" t="s">
        <v>793</v>
      </c>
      <c r="D737" s="8" t="s">
        <v>664</v>
      </c>
      <c r="E737" s="8" t="s">
        <v>140</v>
      </c>
      <c r="F737" s="23">
        <v>46042</v>
      </c>
      <c r="G737" s="8" t="s">
        <v>665</v>
      </c>
      <c r="H737" s="23">
        <v>46087</v>
      </c>
      <c r="I737" s="23">
        <v>46044</v>
      </c>
      <c r="J737" s="10">
        <v>634.4</v>
      </c>
      <c r="K737" s="10">
        <v>0</v>
      </c>
      <c r="L737" s="24">
        <v>0</v>
      </c>
      <c r="M737" s="10">
        <v>604.91</v>
      </c>
    </row>
    <row r="738" spans="1:13" x14ac:dyDescent="0.25">
      <c r="A738" s="12" t="str">
        <f t="shared" si="22"/>
        <v>2343-5952-87MINISTERIO DA FAZENDAIM46044,6784722222</v>
      </c>
      <c r="B738" s="12" t="str">
        <f t="shared" si="23"/>
        <v>Fevereiro</v>
      </c>
      <c r="C738" s="8" t="s">
        <v>1763</v>
      </c>
      <c r="D738" s="8" t="s">
        <v>664</v>
      </c>
      <c r="E738" s="8" t="s">
        <v>1503</v>
      </c>
      <c r="F738" s="23">
        <v>46044.678472222222</v>
      </c>
      <c r="G738" s="8" t="s">
        <v>1142</v>
      </c>
      <c r="H738" s="23">
        <v>46073</v>
      </c>
      <c r="I738" s="23">
        <v>46044.678472222222</v>
      </c>
      <c r="J738" s="10">
        <v>29.5</v>
      </c>
      <c r="K738" s="10">
        <v>0</v>
      </c>
      <c r="L738" s="24">
        <v>0</v>
      </c>
      <c r="M738" s="10">
        <v>29.5</v>
      </c>
    </row>
    <row r="739" spans="1:13" x14ac:dyDescent="0.25">
      <c r="A739" s="12" t="str">
        <f t="shared" si="22"/>
        <v>2344OCP EXAMES OCUPACIONAIS LTDANSE46042</v>
      </c>
      <c r="B739" s="12" t="str">
        <f t="shared" si="23"/>
        <v>Março</v>
      </c>
      <c r="C739" s="8" t="s">
        <v>794</v>
      </c>
      <c r="D739" s="8" t="s">
        <v>664</v>
      </c>
      <c r="E739" s="8" t="s">
        <v>140</v>
      </c>
      <c r="F739" s="23">
        <v>46042</v>
      </c>
      <c r="G739" s="8" t="s">
        <v>665</v>
      </c>
      <c r="H739" s="23">
        <v>46087</v>
      </c>
      <c r="I739" s="23">
        <v>46086</v>
      </c>
      <c r="J739" s="10">
        <v>2444.8000000000002</v>
      </c>
      <c r="K739" s="10">
        <v>0</v>
      </c>
      <c r="L739" s="24">
        <v>0</v>
      </c>
      <c r="M739" s="10">
        <v>2294.4499999999998</v>
      </c>
    </row>
    <row r="740" spans="1:13" x14ac:dyDescent="0.25">
      <c r="A740" s="12" t="str">
        <f t="shared" si="22"/>
        <v>2344-1708-87MINISTERIO DA FAZENDAIM46044,6520833333</v>
      </c>
      <c r="B740" s="12" t="str">
        <f t="shared" si="23"/>
        <v>Fevereiro</v>
      </c>
      <c r="C740" s="8" t="s">
        <v>1764</v>
      </c>
      <c r="D740" s="8" t="s">
        <v>664</v>
      </c>
      <c r="E740" s="8" t="s">
        <v>1503</v>
      </c>
      <c r="F740" s="23">
        <v>46044.652083333334</v>
      </c>
      <c r="G740" s="8" t="s">
        <v>1142</v>
      </c>
      <c r="H740" s="23">
        <v>46073</v>
      </c>
      <c r="I740" s="23">
        <v>46044.652083333334</v>
      </c>
      <c r="J740" s="10">
        <v>36.67</v>
      </c>
      <c r="K740" s="10">
        <v>0</v>
      </c>
      <c r="L740" s="24">
        <v>0</v>
      </c>
      <c r="M740" s="10">
        <v>36.67</v>
      </c>
    </row>
    <row r="741" spans="1:13" x14ac:dyDescent="0.25">
      <c r="A741" s="12" t="str">
        <f t="shared" si="22"/>
        <v>2344-5952-87MINISTERIO DA FAZENDAIM46044,6576388889</v>
      </c>
      <c r="B741" s="12" t="str">
        <f t="shared" si="23"/>
        <v>Fevereiro</v>
      </c>
      <c r="C741" s="8" t="s">
        <v>1765</v>
      </c>
      <c r="D741" s="8" t="s">
        <v>664</v>
      </c>
      <c r="E741" s="8" t="s">
        <v>1503</v>
      </c>
      <c r="F741" s="23">
        <v>46044.657638888886</v>
      </c>
      <c r="G741" s="8" t="s">
        <v>1142</v>
      </c>
      <c r="H741" s="23">
        <v>46073</v>
      </c>
      <c r="I741" s="23">
        <v>46044.657638888886</v>
      </c>
      <c r="J741" s="10">
        <v>113.68</v>
      </c>
      <c r="K741" s="10">
        <v>0</v>
      </c>
      <c r="L741" s="24">
        <v>0</v>
      </c>
      <c r="M741" s="10">
        <v>113.68</v>
      </c>
    </row>
    <row r="742" spans="1:13" x14ac:dyDescent="0.25">
      <c r="A742" s="12" t="str">
        <f t="shared" si="22"/>
        <v>23645MINAS MAQUINAS SA | JUIZ DE FORANSE46031</v>
      </c>
      <c r="B742" s="12" t="str">
        <f t="shared" si="23"/>
        <v>Fevereiro</v>
      </c>
      <c r="C742" s="8" t="s">
        <v>795</v>
      </c>
      <c r="D742" s="8" t="s">
        <v>1354</v>
      </c>
      <c r="E742" s="8" t="s">
        <v>132</v>
      </c>
      <c r="F742" s="23">
        <v>46031</v>
      </c>
      <c r="G742" s="8" t="s">
        <v>665</v>
      </c>
      <c r="H742" s="23">
        <v>46061</v>
      </c>
      <c r="I742" s="23">
        <v>46035</v>
      </c>
      <c r="J742" s="10">
        <v>999</v>
      </c>
      <c r="K742" s="10">
        <v>0</v>
      </c>
      <c r="L742" s="24">
        <v>0</v>
      </c>
      <c r="M742" s="10">
        <v>999</v>
      </c>
    </row>
    <row r="743" spans="1:13" x14ac:dyDescent="0.25">
      <c r="A743" s="12" t="str">
        <f t="shared" si="22"/>
        <v>237L CASTRO BORRACHARIA MOVEL 24 HRS LTDANSE46267</v>
      </c>
      <c r="B743" s="12" t="str">
        <f t="shared" si="23"/>
        <v>Outubro</v>
      </c>
      <c r="C743" s="8" t="s">
        <v>796</v>
      </c>
      <c r="D743" s="8" t="s">
        <v>1354</v>
      </c>
      <c r="E743" s="8" t="s">
        <v>209</v>
      </c>
      <c r="F743" s="23">
        <v>46267</v>
      </c>
      <c r="G743" s="8" t="s">
        <v>665</v>
      </c>
      <c r="H743" s="23">
        <v>46301</v>
      </c>
      <c r="I743" s="23">
        <v>46268</v>
      </c>
      <c r="J743" s="10">
        <v>815</v>
      </c>
      <c r="K743" s="10">
        <v>0</v>
      </c>
      <c r="L743" s="24">
        <v>0</v>
      </c>
      <c r="M743" s="10">
        <v>815</v>
      </c>
    </row>
    <row r="744" spans="1:13" x14ac:dyDescent="0.25">
      <c r="A744" s="12" t="str">
        <f t="shared" si="22"/>
        <v>2375PREVCENTER REPARACAO E MANUTENCAO LTDANFE45996</v>
      </c>
      <c r="B744" s="12" t="str">
        <f t="shared" si="23"/>
        <v>Janeiro</v>
      </c>
      <c r="C744" s="8" t="s">
        <v>1425</v>
      </c>
      <c r="D744" s="8" t="s">
        <v>664</v>
      </c>
      <c r="E744" s="8" t="s">
        <v>1426</v>
      </c>
      <c r="F744" s="23">
        <v>45996</v>
      </c>
      <c r="G744" s="8" t="s">
        <v>380</v>
      </c>
      <c r="H744" s="23">
        <v>46028</v>
      </c>
      <c r="I744" s="23">
        <v>45999</v>
      </c>
      <c r="J744" s="10">
        <v>4445.09</v>
      </c>
      <c r="K744" s="10">
        <v>0</v>
      </c>
      <c r="L744" s="24">
        <v>0</v>
      </c>
      <c r="M744" s="10">
        <v>4445.09</v>
      </c>
    </row>
    <row r="745" spans="1:13" x14ac:dyDescent="0.25">
      <c r="A745" s="12" t="str">
        <f t="shared" si="22"/>
        <v>23753MINAS MAQUINAS SA | JUIZ DE FORANSE46049</v>
      </c>
      <c r="B745" s="12" t="str">
        <f t="shared" si="23"/>
        <v>Fevereiro</v>
      </c>
      <c r="C745" s="8" t="s">
        <v>798</v>
      </c>
      <c r="D745" s="8" t="s">
        <v>1354</v>
      </c>
      <c r="E745" s="8" t="s">
        <v>132</v>
      </c>
      <c r="F745" s="23">
        <v>46049</v>
      </c>
      <c r="G745" s="8" t="s">
        <v>665</v>
      </c>
      <c r="H745" s="23">
        <v>46079</v>
      </c>
      <c r="I745" s="23">
        <v>46051</v>
      </c>
      <c r="J745" s="10">
        <v>259</v>
      </c>
      <c r="K745" s="10">
        <v>0</v>
      </c>
      <c r="L745" s="24">
        <v>0</v>
      </c>
      <c r="M745" s="10">
        <v>259</v>
      </c>
    </row>
    <row r="746" spans="1:13" x14ac:dyDescent="0.25">
      <c r="A746" s="12" t="str">
        <f t="shared" si="22"/>
        <v>24FRANCISCO MARCIO CESAR DE MATOSRCB46135,3798611111</v>
      </c>
      <c r="B746" s="12" t="str">
        <f t="shared" si="23"/>
        <v>Abril</v>
      </c>
      <c r="C746" s="8" t="s">
        <v>2298</v>
      </c>
      <c r="D746" s="8" t="s">
        <v>664</v>
      </c>
      <c r="E746" s="8" t="s">
        <v>72</v>
      </c>
      <c r="F746" s="23">
        <v>46135.379861111112</v>
      </c>
      <c r="G746" s="8" t="s">
        <v>1045</v>
      </c>
      <c r="H746" s="23">
        <v>46140</v>
      </c>
      <c r="I746" s="23">
        <v>46135.379861111112</v>
      </c>
      <c r="J746" s="10">
        <v>10.99</v>
      </c>
      <c r="K746" s="10">
        <v>0</v>
      </c>
      <c r="L746" s="24">
        <v>0</v>
      </c>
      <c r="M746" s="10">
        <v>10.99</v>
      </c>
    </row>
    <row r="747" spans="1:13" x14ac:dyDescent="0.25">
      <c r="A747" s="12" t="str">
        <f t="shared" si="22"/>
        <v>24WALACE ROCHA DE SOUZARCB46142,61875</v>
      </c>
      <c r="B747" s="12" t="str">
        <f t="shared" si="23"/>
        <v>Maio</v>
      </c>
      <c r="C747" s="8" t="s">
        <v>2298</v>
      </c>
      <c r="D747" s="8" t="s">
        <v>664</v>
      </c>
      <c r="E747" s="8" t="s">
        <v>200</v>
      </c>
      <c r="F747" s="23">
        <v>46142.618750000001</v>
      </c>
      <c r="G747" s="8" t="s">
        <v>1045</v>
      </c>
      <c r="H747" s="23">
        <v>46148</v>
      </c>
      <c r="I747" s="23">
        <v>46142.618750000001</v>
      </c>
      <c r="J747" s="10">
        <v>464</v>
      </c>
      <c r="K747" s="10">
        <v>0</v>
      </c>
      <c r="L747" s="24">
        <v>0</v>
      </c>
      <c r="M747" s="10">
        <v>464</v>
      </c>
    </row>
    <row r="748" spans="1:13" x14ac:dyDescent="0.25">
      <c r="A748" s="12" t="str">
        <f t="shared" si="22"/>
        <v>24EDILSON RIBEIRO DA SILVARCB46146,3805555556</v>
      </c>
      <c r="B748" s="12" t="str">
        <f t="shared" si="23"/>
        <v>Maio</v>
      </c>
      <c r="C748" s="8" t="s">
        <v>2298</v>
      </c>
      <c r="D748" s="8" t="s">
        <v>664</v>
      </c>
      <c r="E748" s="8" t="s">
        <v>56</v>
      </c>
      <c r="F748" s="23">
        <v>46146.380555555559</v>
      </c>
      <c r="G748" s="8" t="s">
        <v>1045</v>
      </c>
      <c r="H748" s="23">
        <v>46149</v>
      </c>
      <c r="I748" s="23">
        <v>46146.380555555559</v>
      </c>
      <c r="J748" s="10">
        <v>23.49</v>
      </c>
      <c r="K748" s="10">
        <v>0</v>
      </c>
      <c r="L748" s="24">
        <v>0</v>
      </c>
      <c r="M748" s="10">
        <v>23.49</v>
      </c>
    </row>
    <row r="749" spans="1:13" x14ac:dyDescent="0.25">
      <c r="A749" s="12" t="str">
        <f t="shared" si="22"/>
        <v>24GUSTAVO HENRIQUE DE SOUZA BARBOSARCB46155,4083333333</v>
      </c>
      <c r="B749" s="12" t="str">
        <f t="shared" si="23"/>
        <v>Maio</v>
      </c>
      <c r="C749" s="8" t="s">
        <v>2298</v>
      </c>
      <c r="D749" s="8" t="s">
        <v>664</v>
      </c>
      <c r="E749" s="8" t="s">
        <v>79</v>
      </c>
      <c r="F749" s="23">
        <v>46155.408333333333</v>
      </c>
      <c r="G749" s="8" t="s">
        <v>1045</v>
      </c>
      <c r="H749" s="23">
        <v>46160</v>
      </c>
      <c r="I749" s="23">
        <v>46155.408333333333</v>
      </c>
      <c r="J749" s="10">
        <v>60</v>
      </c>
      <c r="K749" s="10">
        <v>0</v>
      </c>
      <c r="L749" s="24">
        <v>0</v>
      </c>
      <c r="M749" s="10">
        <v>60</v>
      </c>
    </row>
    <row r="750" spans="1:13" x14ac:dyDescent="0.25">
      <c r="A750" s="12" t="str">
        <f t="shared" si="22"/>
        <v>24GABRIEL MOUTINHO ALBINORCB46160,6027777778</v>
      </c>
      <c r="B750" s="12" t="str">
        <f t="shared" si="23"/>
        <v>Maio</v>
      </c>
      <c r="C750" s="8" t="s">
        <v>2298</v>
      </c>
      <c r="D750" s="8" t="s">
        <v>664</v>
      </c>
      <c r="E750" s="8" t="s">
        <v>73</v>
      </c>
      <c r="F750" s="23">
        <v>46160.602777777778</v>
      </c>
      <c r="G750" s="8" t="s">
        <v>1045</v>
      </c>
      <c r="H750" s="23">
        <v>46163</v>
      </c>
      <c r="I750" s="23">
        <v>46160.602777777778</v>
      </c>
      <c r="J750" s="10">
        <v>250</v>
      </c>
      <c r="K750" s="10">
        <v>0</v>
      </c>
      <c r="L750" s="24">
        <v>0</v>
      </c>
      <c r="M750" s="10">
        <v>250</v>
      </c>
    </row>
    <row r="751" spans="1:13" x14ac:dyDescent="0.25">
      <c r="A751" s="12" t="str">
        <f t="shared" si="22"/>
        <v>24VANDIEGO MARQUES DA SILVA SANTOSRCB46197,58125</v>
      </c>
      <c r="B751" s="12" t="str">
        <f t="shared" si="23"/>
        <v>Junho</v>
      </c>
      <c r="C751" s="8" t="s">
        <v>2298</v>
      </c>
      <c r="D751" s="8" t="s">
        <v>664</v>
      </c>
      <c r="E751" s="8" t="s">
        <v>194</v>
      </c>
      <c r="F751" s="23">
        <v>46197.581250000003</v>
      </c>
      <c r="G751" s="8" t="s">
        <v>1045</v>
      </c>
      <c r="H751" s="23">
        <v>46202</v>
      </c>
      <c r="I751" s="23">
        <v>46197.581250000003</v>
      </c>
      <c r="J751" s="10">
        <v>180</v>
      </c>
      <c r="K751" s="10">
        <v>0</v>
      </c>
      <c r="L751" s="24">
        <v>0</v>
      </c>
      <c r="M751" s="10">
        <v>180</v>
      </c>
    </row>
    <row r="752" spans="1:13" x14ac:dyDescent="0.25">
      <c r="A752" s="12" t="str">
        <f t="shared" si="22"/>
        <v>24DANIELA CHAVES MARIANORCB46260,4430555556</v>
      </c>
      <c r="B752" s="12" t="str">
        <f t="shared" si="23"/>
        <v>Agosto</v>
      </c>
      <c r="C752" s="8" t="s">
        <v>2298</v>
      </c>
      <c r="D752" s="8" t="s">
        <v>664</v>
      </c>
      <c r="E752" s="8" t="s">
        <v>47</v>
      </c>
      <c r="F752" s="23">
        <v>46260.443055555559</v>
      </c>
      <c r="G752" s="8" t="s">
        <v>1045</v>
      </c>
      <c r="H752" s="23">
        <v>46265</v>
      </c>
      <c r="I752" s="23">
        <v>46260.443055555559</v>
      </c>
      <c r="J752" s="10">
        <v>60</v>
      </c>
      <c r="K752" s="10">
        <v>0</v>
      </c>
      <c r="L752" s="24">
        <v>0</v>
      </c>
      <c r="M752" s="10">
        <v>60</v>
      </c>
    </row>
    <row r="753" spans="1:13" x14ac:dyDescent="0.25">
      <c r="A753" s="12" t="str">
        <f t="shared" si="22"/>
        <v>24355OCUPACIONAL MEDICINA DO TRABALHO LTDANSE46195</v>
      </c>
      <c r="B753" s="12" t="str">
        <f t="shared" si="23"/>
        <v>Agosto</v>
      </c>
      <c r="C753" s="8" t="s">
        <v>799</v>
      </c>
      <c r="D753" s="8" t="s">
        <v>664</v>
      </c>
      <c r="E753" s="8" t="s">
        <v>142</v>
      </c>
      <c r="F753" s="23">
        <v>46195</v>
      </c>
      <c r="G753" s="8" t="s">
        <v>665</v>
      </c>
      <c r="H753" s="23">
        <v>46240</v>
      </c>
      <c r="I753" s="23">
        <v>46196</v>
      </c>
      <c r="J753" s="10">
        <v>639.28</v>
      </c>
      <c r="K753" s="10">
        <v>0</v>
      </c>
      <c r="L753" s="24">
        <v>0</v>
      </c>
      <c r="M753" s="10">
        <v>609.54999999999995</v>
      </c>
    </row>
    <row r="754" spans="1:13" x14ac:dyDescent="0.25">
      <c r="A754" s="12" t="str">
        <f t="shared" si="22"/>
        <v>24355-5952-87MINISTERIO DA FAZENDAim46203,6256944444</v>
      </c>
      <c r="B754" s="12" t="str">
        <f t="shared" si="23"/>
        <v>Julho</v>
      </c>
      <c r="C754" s="8" t="s">
        <v>2771</v>
      </c>
      <c r="D754" s="8" t="s">
        <v>664</v>
      </c>
      <c r="E754" s="8" t="s">
        <v>1503</v>
      </c>
      <c r="F754" s="23">
        <v>46203.625694444447</v>
      </c>
      <c r="G754" s="8" t="s">
        <v>1248</v>
      </c>
      <c r="H754" s="23">
        <v>46223</v>
      </c>
      <c r="I754" s="23">
        <v>46203.625694444447</v>
      </c>
      <c r="J754" s="10">
        <v>29.73</v>
      </c>
      <c r="K754" s="10">
        <v>0</v>
      </c>
      <c r="L754" s="24">
        <v>0</v>
      </c>
      <c r="M754" s="10">
        <v>29.73</v>
      </c>
    </row>
    <row r="755" spans="1:13" x14ac:dyDescent="0.25">
      <c r="A755" s="12" t="str">
        <f t="shared" si="22"/>
        <v>24356OCUPACIONAL MEDICINA DO TRABALHO LTDANSE46195</v>
      </c>
      <c r="B755" s="12" t="str">
        <f t="shared" si="23"/>
        <v>Agosto</v>
      </c>
      <c r="C755" s="8" t="s">
        <v>800</v>
      </c>
      <c r="D755" s="8" t="s">
        <v>664</v>
      </c>
      <c r="E755" s="8" t="s">
        <v>142</v>
      </c>
      <c r="F755" s="23">
        <v>46195</v>
      </c>
      <c r="G755" s="8" t="s">
        <v>665</v>
      </c>
      <c r="H755" s="23">
        <v>46240</v>
      </c>
      <c r="I755" s="23">
        <v>46196</v>
      </c>
      <c r="J755" s="10">
        <v>639.28</v>
      </c>
      <c r="K755" s="10">
        <v>0</v>
      </c>
      <c r="L755" s="24">
        <v>0</v>
      </c>
      <c r="M755" s="10">
        <v>609.54999999999995</v>
      </c>
    </row>
    <row r="756" spans="1:13" x14ac:dyDescent="0.25">
      <c r="A756" s="12" t="str">
        <f t="shared" si="22"/>
        <v>24356-5952-87MINISTERIO DA FAZENDAim46203,6277777778</v>
      </c>
      <c r="B756" s="12" t="str">
        <f t="shared" si="23"/>
        <v>Julho</v>
      </c>
      <c r="C756" s="8" t="s">
        <v>2772</v>
      </c>
      <c r="D756" s="8" t="s">
        <v>664</v>
      </c>
      <c r="E756" s="8" t="s">
        <v>1503</v>
      </c>
      <c r="F756" s="23">
        <v>46203.62777777778</v>
      </c>
      <c r="G756" s="8" t="s">
        <v>1248</v>
      </c>
      <c r="H756" s="23">
        <v>46223</v>
      </c>
      <c r="I756" s="23">
        <v>46203.62777777778</v>
      </c>
      <c r="J756" s="10">
        <v>29.73</v>
      </c>
      <c r="K756" s="10">
        <v>0</v>
      </c>
      <c r="L756" s="24">
        <v>0</v>
      </c>
      <c r="M756" s="10">
        <v>29.73</v>
      </c>
    </row>
    <row r="757" spans="1:13" x14ac:dyDescent="0.25">
      <c r="A757" s="12" t="str">
        <f t="shared" si="22"/>
        <v>245ANDRE LUIZ MAYERNSE46244</v>
      </c>
      <c r="B757" s="12" t="str">
        <f t="shared" si="23"/>
        <v>Agosto</v>
      </c>
      <c r="C757" s="8" t="s">
        <v>801</v>
      </c>
      <c r="D757" s="8" t="s">
        <v>664</v>
      </c>
      <c r="E757" s="8" t="s">
        <v>16</v>
      </c>
      <c r="F757" s="23">
        <v>46244</v>
      </c>
      <c r="G757" s="8" t="s">
        <v>665</v>
      </c>
      <c r="H757" s="23">
        <v>46260</v>
      </c>
      <c r="I757" s="23">
        <v>46244</v>
      </c>
      <c r="J757" s="10">
        <v>150</v>
      </c>
      <c r="K757" s="10">
        <v>0</v>
      </c>
      <c r="L757" s="24">
        <v>0</v>
      </c>
      <c r="M757" s="10">
        <v>150</v>
      </c>
    </row>
    <row r="758" spans="1:13" x14ac:dyDescent="0.25">
      <c r="A758" s="12" t="str">
        <f t="shared" si="22"/>
        <v>24757RC TRUCK CENTER S/ANFE46269</v>
      </c>
      <c r="B758" s="12" t="str">
        <f t="shared" si="23"/>
        <v>Outubro</v>
      </c>
      <c r="C758" s="8" t="s">
        <v>464</v>
      </c>
      <c r="D758" s="8" t="s">
        <v>664</v>
      </c>
      <c r="E758" s="8" t="s">
        <v>164</v>
      </c>
      <c r="F758" s="23">
        <v>46269</v>
      </c>
      <c r="G758" s="8" t="s">
        <v>380</v>
      </c>
      <c r="H758" s="23">
        <v>46301</v>
      </c>
      <c r="I758" s="23">
        <v>46273</v>
      </c>
      <c r="J758" s="10">
        <v>780</v>
      </c>
      <c r="K758" s="10">
        <v>0</v>
      </c>
      <c r="L758" s="24">
        <v>0</v>
      </c>
      <c r="M758" s="10">
        <v>780</v>
      </c>
    </row>
    <row r="759" spans="1:13" x14ac:dyDescent="0.25">
      <c r="A759" s="12" t="str">
        <f t="shared" si="22"/>
        <v>248424CENTRO DE INTEGRACAO EMPRESA ESCOLA DE MINAS GERAISFT45996</v>
      </c>
      <c r="B759" s="12" t="str">
        <f t="shared" si="23"/>
        <v>Janeiro</v>
      </c>
      <c r="C759" s="8" t="s">
        <v>1399</v>
      </c>
      <c r="D759" s="8" t="s">
        <v>1400</v>
      </c>
      <c r="E759" s="8" t="s">
        <v>39</v>
      </c>
      <c r="F759" s="23">
        <v>45996</v>
      </c>
      <c r="G759" s="8" t="s">
        <v>232</v>
      </c>
      <c r="H759" s="23">
        <v>46028</v>
      </c>
      <c r="I759" s="23">
        <v>46001</v>
      </c>
      <c r="J759" s="10">
        <v>172</v>
      </c>
      <c r="K759" s="10">
        <v>0</v>
      </c>
      <c r="L759" s="24">
        <v>0</v>
      </c>
      <c r="M759" s="10">
        <v>172</v>
      </c>
    </row>
    <row r="760" spans="1:13" x14ac:dyDescent="0.25">
      <c r="A760" s="12" t="str">
        <f t="shared" si="22"/>
        <v>248425CENTRO DE INTEGRACAO EMPRESA ESCOLA DE MINAS GERAISFT45996</v>
      </c>
      <c r="B760" s="12" t="str">
        <f t="shared" si="23"/>
        <v>Janeiro</v>
      </c>
      <c r="C760" s="8" t="s">
        <v>1401</v>
      </c>
      <c r="D760" s="8" t="s">
        <v>1400</v>
      </c>
      <c r="E760" s="8" t="s">
        <v>39</v>
      </c>
      <c r="F760" s="23">
        <v>45996</v>
      </c>
      <c r="G760" s="8" t="s">
        <v>232</v>
      </c>
      <c r="H760" s="23">
        <v>46028</v>
      </c>
      <c r="I760" s="23">
        <v>46001</v>
      </c>
      <c r="J760" s="10">
        <v>1510</v>
      </c>
      <c r="K760" s="10">
        <v>0</v>
      </c>
      <c r="L760" s="24">
        <v>0</v>
      </c>
      <c r="M760" s="10">
        <v>1510</v>
      </c>
    </row>
    <row r="761" spans="1:13" x14ac:dyDescent="0.25">
      <c r="A761" s="12" t="str">
        <f t="shared" si="22"/>
        <v>25MECANICA CRISTO REI LTDANSE46090</v>
      </c>
      <c r="B761" s="12" t="str">
        <f t="shared" si="23"/>
        <v>Abril</v>
      </c>
      <c r="C761" s="8" t="s">
        <v>802</v>
      </c>
      <c r="D761" s="8" t="s">
        <v>1354</v>
      </c>
      <c r="E761" s="8" t="s">
        <v>125</v>
      </c>
      <c r="F761" s="23">
        <v>46090</v>
      </c>
      <c r="G761" s="8" t="s">
        <v>665</v>
      </c>
      <c r="H761" s="23">
        <v>46120</v>
      </c>
      <c r="I761" s="23">
        <v>46091</v>
      </c>
      <c r="J761" s="10">
        <v>550</v>
      </c>
      <c r="K761" s="10">
        <v>0</v>
      </c>
      <c r="L761" s="24">
        <v>0</v>
      </c>
      <c r="M761" s="10">
        <v>531.29999999999995</v>
      </c>
    </row>
    <row r="762" spans="1:13" x14ac:dyDescent="0.25">
      <c r="A762" s="12" t="str">
        <f t="shared" si="22"/>
        <v>25WALACE ROCHA DE SOUZARCB46149,6930555556</v>
      </c>
      <c r="B762" s="12" t="str">
        <f t="shared" si="23"/>
        <v>Maio</v>
      </c>
      <c r="C762" s="8" t="s">
        <v>802</v>
      </c>
      <c r="D762" s="8" t="s">
        <v>664</v>
      </c>
      <c r="E762" s="8" t="s">
        <v>200</v>
      </c>
      <c r="F762" s="23">
        <v>46149.693055555559</v>
      </c>
      <c r="G762" s="8" t="s">
        <v>1045</v>
      </c>
      <c r="H762" s="23">
        <v>46154</v>
      </c>
      <c r="I762" s="23">
        <v>46149.693055555559</v>
      </c>
      <c r="J762" s="10">
        <v>180.76</v>
      </c>
      <c r="K762" s="10">
        <v>0</v>
      </c>
      <c r="L762" s="24">
        <v>0</v>
      </c>
      <c r="M762" s="10">
        <v>180.76</v>
      </c>
    </row>
    <row r="763" spans="1:13" x14ac:dyDescent="0.25">
      <c r="A763" s="12" t="str">
        <f t="shared" si="22"/>
        <v>25FRANCISCO MARCIO CESAR DE MATOSRCB46154,3694444444</v>
      </c>
      <c r="B763" s="12" t="str">
        <f t="shared" si="23"/>
        <v>Maio</v>
      </c>
      <c r="C763" s="8" t="s">
        <v>802</v>
      </c>
      <c r="D763" s="8" t="s">
        <v>664</v>
      </c>
      <c r="E763" s="8" t="s">
        <v>72</v>
      </c>
      <c r="F763" s="23">
        <v>46154.369444444441</v>
      </c>
      <c r="G763" s="8" t="s">
        <v>1045</v>
      </c>
      <c r="H763" s="23">
        <v>46157</v>
      </c>
      <c r="I763" s="23">
        <v>46154.369444444441</v>
      </c>
      <c r="J763" s="10">
        <v>60</v>
      </c>
      <c r="K763" s="10">
        <v>0</v>
      </c>
      <c r="L763" s="24">
        <v>0</v>
      </c>
      <c r="M763" s="10">
        <v>60</v>
      </c>
    </row>
    <row r="764" spans="1:13" x14ac:dyDescent="0.25">
      <c r="A764" s="12" t="str">
        <f t="shared" si="22"/>
        <v>25EDILSON RIBEIRO DA SILVARCB46155,4076388889</v>
      </c>
      <c r="B764" s="12" t="str">
        <f t="shared" si="23"/>
        <v>Maio</v>
      </c>
      <c r="C764" s="8" t="s">
        <v>802</v>
      </c>
      <c r="D764" s="8" t="s">
        <v>664</v>
      </c>
      <c r="E764" s="8" t="s">
        <v>56</v>
      </c>
      <c r="F764" s="23">
        <v>46155.407638888886</v>
      </c>
      <c r="G764" s="8" t="s">
        <v>1045</v>
      </c>
      <c r="H764" s="23">
        <v>46160</v>
      </c>
      <c r="I764" s="23">
        <v>46155.407638888886</v>
      </c>
      <c r="J764" s="10">
        <v>110</v>
      </c>
      <c r="K764" s="10">
        <v>0</v>
      </c>
      <c r="L764" s="24">
        <v>0</v>
      </c>
      <c r="M764" s="10">
        <v>110</v>
      </c>
    </row>
    <row r="765" spans="1:13" x14ac:dyDescent="0.25">
      <c r="A765" s="12" t="str">
        <f t="shared" si="22"/>
        <v>25GUSTAVO HENRIQUE DE SOUZA BARBOSARCB46168,3652777778</v>
      </c>
      <c r="B765" s="12" t="str">
        <f t="shared" si="23"/>
        <v>Maio</v>
      </c>
      <c r="C765" s="8" t="s">
        <v>802</v>
      </c>
      <c r="D765" s="8" t="s">
        <v>664</v>
      </c>
      <c r="E765" s="8" t="s">
        <v>79</v>
      </c>
      <c r="F765" s="23">
        <v>46168.365277777775</v>
      </c>
      <c r="G765" s="8" t="s">
        <v>1045</v>
      </c>
      <c r="H765" s="23">
        <v>46171</v>
      </c>
      <c r="I765" s="23">
        <v>46168.365277777775</v>
      </c>
      <c r="J765" s="10">
        <v>80</v>
      </c>
      <c r="K765" s="10">
        <v>0</v>
      </c>
      <c r="L765" s="24">
        <v>0</v>
      </c>
      <c r="M765" s="10">
        <v>80</v>
      </c>
    </row>
    <row r="766" spans="1:13" x14ac:dyDescent="0.25">
      <c r="A766" s="12" t="str">
        <f t="shared" si="22"/>
        <v>25GABRIEL MOUTINHO ALBINORCB46175,4979166667</v>
      </c>
      <c r="B766" s="12" t="str">
        <f t="shared" si="23"/>
        <v>Junho</v>
      </c>
      <c r="C766" s="8" t="s">
        <v>802</v>
      </c>
      <c r="D766" s="8" t="s">
        <v>664</v>
      </c>
      <c r="E766" s="8" t="s">
        <v>73</v>
      </c>
      <c r="F766" s="23">
        <v>46175.497916666667</v>
      </c>
      <c r="G766" s="8" t="s">
        <v>1045</v>
      </c>
      <c r="H766" s="23">
        <v>46178</v>
      </c>
      <c r="I766" s="23">
        <v>46175.497916666667</v>
      </c>
      <c r="J766" s="10">
        <v>150</v>
      </c>
      <c r="K766" s="10">
        <v>0</v>
      </c>
      <c r="L766" s="24">
        <v>0</v>
      </c>
      <c r="M766" s="10">
        <v>150</v>
      </c>
    </row>
    <row r="767" spans="1:13" x14ac:dyDescent="0.25">
      <c r="A767" s="12" t="str">
        <f t="shared" si="22"/>
        <v>25VANDIEGO MARQUES DA SILVA SANTOSRCB46210,4451388889</v>
      </c>
      <c r="B767" s="12" t="str">
        <f t="shared" si="23"/>
        <v>Julho</v>
      </c>
      <c r="C767" s="8" t="s">
        <v>802</v>
      </c>
      <c r="D767" s="8" t="s">
        <v>664</v>
      </c>
      <c r="E767" s="8" t="s">
        <v>194</v>
      </c>
      <c r="F767" s="23">
        <v>46210.445138888892</v>
      </c>
      <c r="G767" s="8" t="s">
        <v>1045</v>
      </c>
      <c r="H767" s="23">
        <v>46213</v>
      </c>
      <c r="I767" s="23">
        <v>46210.445138888892</v>
      </c>
      <c r="J767" s="10">
        <v>81.900000000000006</v>
      </c>
      <c r="K767" s="10">
        <v>0</v>
      </c>
      <c r="L767" s="24">
        <v>0</v>
      </c>
      <c r="M767" s="10">
        <v>81.900000000000006</v>
      </c>
    </row>
    <row r="768" spans="1:13" x14ac:dyDescent="0.25">
      <c r="A768" s="12" t="str">
        <f t="shared" si="22"/>
        <v>25FERNANDA SANTOS SOARESRCB46241,6395833333</v>
      </c>
      <c r="B768" s="12" t="str">
        <f t="shared" si="23"/>
        <v>Agosto</v>
      </c>
      <c r="C768" s="8" t="s">
        <v>802</v>
      </c>
      <c r="D768" s="8" t="s">
        <v>664</v>
      </c>
      <c r="E768" s="8" t="s">
        <v>68</v>
      </c>
      <c r="F768" s="23">
        <v>46241.63958333333</v>
      </c>
      <c r="G768" s="8" t="s">
        <v>1045</v>
      </c>
      <c r="H768" s="23">
        <v>46246</v>
      </c>
      <c r="I768" s="23">
        <v>46241.63958333333</v>
      </c>
      <c r="J768" s="10">
        <v>159.72</v>
      </c>
      <c r="K768" s="10">
        <v>0</v>
      </c>
      <c r="L768" s="24">
        <v>0</v>
      </c>
      <c r="M768" s="10">
        <v>159.72</v>
      </c>
    </row>
    <row r="769" spans="1:13" x14ac:dyDescent="0.25">
      <c r="A769" s="12" t="str">
        <f t="shared" si="22"/>
        <v>25PAULO RICARDO SILVARCB46252,3368055556</v>
      </c>
      <c r="B769" s="12" t="str">
        <f t="shared" si="23"/>
        <v>Agosto</v>
      </c>
      <c r="C769" s="8" t="s">
        <v>802</v>
      </c>
      <c r="D769" s="8" t="s">
        <v>664</v>
      </c>
      <c r="E769" s="8" t="s">
        <v>153</v>
      </c>
      <c r="F769" s="23">
        <v>46252.336805555555</v>
      </c>
      <c r="G769" s="8" t="s">
        <v>1045</v>
      </c>
      <c r="H769" s="23">
        <v>46255</v>
      </c>
      <c r="I769" s="23">
        <v>46252.336805555555</v>
      </c>
      <c r="J769" s="10">
        <v>22.8</v>
      </c>
      <c r="K769" s="10">
        <v>0</v>
      </c>
      <c r="L769" s="24">
        <v>0</v>
      </c>
      <c r="M769" s="10">
        <v>22.8</v>
      </c>
    </row>
    <row r="770" spans="1:13" x14ac:dyDescent="0.25">
      <c r="A770" s="12" t="str">
        <f t="shared" ref="A770:A833" si="24">$C770&amp;$E770&amp;$G770&amp;$F770</f>
        <v>25JAIME GOMES PARAGUAIRCB46260,3597222222</v>
      </c>
      <c r="B770" s="12" t="str">
        <f t="shared" si="23"/>
        <v>Agosto</v>
      </c>
      <c r="C770" s="8" t="s">
        <v>802</v>
      </c>
      <c r="D770" s="8" t="s">
        <v>664</v>
      </c>
      <c r="E770" s="8" t="s">
        <v>87</v>
      </c>
      <c r="F770" s="23">
        <v>46260.359722222223</v>
      </c>
      <c r="G770" s="8" t="s">
        <v>1045</v>
      </c>
      <c r="H770" s="23">
        <v>46265</v>
      </c>
      <c r="I770" s="23">
        <v>46260.359722222223</v>
      </c>
      <c r="J770" s="10">
        <v>56.8</v>
      </c>
      <c r="K770" s="10">
        <v>0</v>
      </c>
      <c r="L770" s="24">
        <v>0</v>
      </c>
      <c r="M770" s="10">
        <v>56.8</v>
      </c>
    </row>
    <row r="771" spans="1:13" x14ac:dyDescent="0.25">
      <c r="A771" s="12" t="str">
        <f t="shared" si="24"/>
        <v>25DANIELA CHAVES MARIANORCB46261,4555555556</v>
      </c>
      <c r="B771" s="12" t="str">
        <f t="shared" ref="B771:B834" si="25">PROPER(TEXT($H771,"MMMM"))</f>
        <v>Setembro</v>
      </c>
      <c r="C771" s="8" t="s">
        <v>802</v>
      </c>
      <c r="D771" s="8" t="s">
        <v>664</v>
      </c>
      <c r="E771" s="8" t="s">
        <v>47</v>
      </c>
      <c r="F771" s="23">
        <v>46261.455555555556</v>
      </c>
      <c r="G771" s="8" t="s">
        <v>1045</v>
      </c>
      <c r="H771" s="23">
        <v>46266</v>
      </c>
      <c r="I771" s="23">
        <v>46261.455555555556</v>
      </c>
      <c r="J771" s="10">
        <v>60</v>
      </c>
      <c r="K771" s="10">
        <v>0</v>
      </c>
      <c r="L771" s="24">
        <v>0</v>
      </c>
      <c r="M771" s="10">
        <v>60</v>
      </c>
    </row>
    <row r="772" spans="1:13" x14ac:dyDescent="0.25">
      <c r="A772" s="12" t="str">
        <f t="shared" si="24"/>
        <v>250822CENTRO DE INTEGRACAO EMPRESA ESCOLA DE MINAS GERAISFT46014</v>
      </c>
      <c r="B772" s="12" t="str">
        <f t="shared" si="25"/>
        <v>Fevereiro</v>
      </c>
      <c r="C772" s="8" t="s">
        <v>1693</v>
      </c>
      <c r="D772" s="8" t="s">
        <v>1400</v>
      </c>
      <c r="E772" s="8" t="s">
        <v>39</v>
      </c>
      <c r="F772" s="23">
        <v>46014</v>
      </c>
      <c r="G772" s="8" t="s">
        <v>232</v>
      </c>
      <c r="H772" s="23">
        <v>46059</v>
      </c>
      <c r="I772" s="23">
        <v>46020</v>
      </c>
      <c r="J772" s="10">
        <v>172</v>
      </c>
      <c r="K772" s="10">
        <v>0</v>
      </c>
      <c r="L772" s="24">
        <v>0</v>
      </c>
      <c r="M772" s="10">
        <v>172</v>
      </c>
    </row>
    <row r="773" spans="1:13" x14ac:dyDescent="0.25">
      <c r="A773" s="12" t="str">
        <f t="shared" si="24"/>
        <v>250823CENTRO DE INTEGRACAO EMPRESA ESCOLA DE MINAS GERAISFT46016</v>
      </c>
      <c r="B773" s="12" t="str">
        <f t="shared" si="25"/>
        <v>Fevereiro</v>
      </c>
      <c r="C773" s="8" t="s">
        <v>1694</v>
      </c>
      <c r="D773" s="8" t="s">
        <v>1400</v>
      </c>
      <c r="E773" s="8" t="s">
        <v>39</v>
      </c>
      <c r="F773" s="23">
        <v>46016</v>
      </c>
      <c r="G773" s="8" t="s">
        <v>232</v>
      </c>
      <c r="H773" s="23">
        <v>46059</v>
      </c>
      <c r="I773" s="23">
        <v>46020</v>
      </c>
      <c r="J773" s="10">
        <v>1510</v>
      </c>
      <c r="K773" s="10">
        <v>0</v>
      </c>
      <c r="L773" s="24">
        <v>0</v>
      </c>
      <c r="M773" s="10">
        <v>1510</v>
      </c>
    </row>
    <row r="774" spans="1:13" x14ac:dyDescent="0.25">
      <c r="A774" s="12" t="str">
        <f t="shared" si="24"/>
        <v>253074CENTRO DE INTEGRACAO EMPRESA ESCOLA DE MINAS GERAISFT46056</v>
      </c>
      <c r="B774" s="12" t="str">
        <f t="shared" si="25"/>
        <v>Março</v>
      </c>
      <c r="C774" s="8" t="s">
        <v>256</v>
      </c>
      <c r="D774" s="8" t="s">
        <v>664</v>
      </c>
      <c r="E774" s="8" t="s">
        <v>39</v>
      </c>
      <c r="F774" s="23">
        <v>46056</v>
      </c>
      <c r="G774" s="8" t="s">
        <v>232</v>
      </c>
      <c r="H774" s="23">
        <v>46087</v>
      </c>
      <c r="I774" s="23">
        <v>46086</v>
      </c>
      <c r="J774" s="10">
        <v>172</v>
      </c>
      <c r="K774" s="10">
        <v>0</v>
      </c>
      <c r="L774" s="24">
        <v>0</v>
      </c>
      <c r="M774" s="10">
        <v>172</v>
      </c>
    </row>
    <row r="775" spans="1:13" x14ac:dyDescent="0.25">
      <c r="A775" s="12" t="str">
        <f t="shared" si="24"/>
        <v>253078CENTRO DE INTEGRACAO EMPRESA ESCOLA DE MINAS GERAISFT46056</v>
      </c>
      <c r="B775" s="12" t="str">
        <f t="shared" si="25"/>
        <v>Março</v>
      </c>
      <c r="C775" s="8" t="s">
        <v>258</v>
      </c>
      <c r="D775" s="8" t="s">
        <v>664</v>
      </c>
      <c r="E775" s="8" t="s">
        <v>39</v>
      </c>
      <c r="F775" s="23">
        <v>46056</v>
      </c>
      <c r="G775" s="8" t="s">
        <v>232</v>
      </c>
      <c r="H775" s="23">
        <v>46087</v>
      </c>
      <c r="I775" s="23">
        <v>46086</v>
      </c>
      <c r="J775" s="10">
        <v>1208</v>
      </c>
      <c r="K775" s="10">
        <v>0</v>
      </c>
      <c r="L775" s="24">
        <v>0</v>
      </c>
      <c r="M775" s="10">
        <v>1208</v>
      </c>
    </row>
    <row r="776" spans="1:13" x14ac:dyDescent="0.25">
      <c r="A776" s="12" t="str">
        <f t="shared" si="24"/>
        <v>253302026PREFEITURA MUNICIPAL DE CONTAGEMIM46113,6715277778</v>
      </c>
      <c r="B776" s="12" t="str">
        <f t="shared" si="25"/>
        <v>Abril</v>
      </c>
      <c r="C776" s="8" t="s">
        <v>2210</v>
      </c>
      <c r="D776" s="8" t="s">
        <v>1354</v>
      </c>
      <c r="E776" s="8" t="s">
        <v>1470</v>
      </c>
      <c r="F776" s="23">
        <v>46113.671527777777</v>
      </c>
      <c r="G776" s="8" t="s">
        <v>1142</v>
      </c>
      <c r="H776" s="23">
        <v>46122</v>
      </c>
      <c r="I776" s="23">
        <v>46113.671527777777</v>
      </c>
      <c r="J776" s="10">
        <v>643.96</v>
      </c>
      <c r="K776" s="10">
        <v>0</v>
      </c>
      <c r="L776" s="24">
        <v>0</v>
      </c>
      <c r="M776" s="10">
        <v>643.96</v>
      </c>
    </row>
    <row r="777" spans="1:13" x14ac:dyDescent="0.25">
      <c r="A777" s="12" t="str">
        <f t="shared" si="24"/>
        <v>25370MERCEDES-BENZ CARS &amp; VANS BRASIL LTDANSE45989</v>
      </c>
      <c r="B777" s="12" t="str">
        <f t="shared" si="25"/>
        <v>Janeiro</v>
      </c>
      <c r="C777" s="8" t="s">
        <v>1625</v>
      </c>
      <c r="D777" s="8" t="s">
        <v>664</v>
      </c>
      <c r="E777" s="8" t="s">
        <v>127</v>
      </c>
      <c r="F777" s="23">
        <v>45989</v>
      </c>
      <c r="G777" s="8" t="s">
        <v>665</v>
      </c>
      <c r="H777" s="23">
        <v>46048</v>
      </c>
      <c r="I777" s="23">
        <v>45991</v>
      </c>
      <c r="J777" s="10">
        <v>52824.78</v>
      </c>
      <c r="K777" s="10">
        <v>0</v>
      </c>
      <c r="L777" s="24">
        <v>0</v>
      </c>
      <c r="M777" s="10">
        <v>50368.43</v>
      </c>
    </row>
    <row r="778" spans="1:13" x14ac:dyDescent="0.25">
      <c r="A778" s="12" t="str">
        <f t="shared" si="24"/>
        <v>2538OFICINA DO RENATONSE46240</v>
      </c>
      <c r="B778" s="12" t="str">
        <f t="shared" si="25"/>
        <v>Setembro</v>
      </c>
      <c r="C778" s="8" t="s">
        <v>803</v>
      </c>
      <c r="D778" s="8" t="s">
        <v>1354</v>
      </c>
      <c r="E778" s="8" t="s">
        <v>144</v>
      </c>
      <c r="F778" s="23">
        <v>46240</v>
      </c>
      <c r="G778" s="8" t="s">
        <v>665</v>
      </c>
      <c r="H778" s="23">
        <v>46271</v>
      </c>
      <c r="I778" s="23">
        <v>46245</v>
      </c>
      <c r="J778" s="10">
        <v>150</v>
      </c>
      <c r="K778" s="10">
        <v>0</v>
      </c>
      <c r="L778" s="24">
        <v>0</v>
      </c>
      <c r="M778" s="10">
        <v>150</v>
      </c>
    </row>
    <row r="779" spans="1:13" x14ac:dyDescent="0.25">
      <c r="A779" s="12" t="str">
        <f t="shared" si="24"/>
        <v>259350CENTRO DE INTEGRACAO EMPRESA ESCOLA DE MINAS GERAISFT46139</v>
      </c>
      <c r="B779" s="12" t="str">
        <f t="shared" si="25"/>
        <v>Junho</v>
      </c>
      <c r="C779" s="8" t="s">
        <v>259</v>
      </c>
      <c r="D779" s="8" t="s">
        <v>664</v>
      </c>
      <c r="E779" s="8" t="s">
        <v>39</v>
      </c>
      <c r="F779" s="23">
        <v>46139</v>
      </c>
      <c r="G779" s="8" t="s">
        <v>232</v>
      </c>
      <c r="H779" s="23">
        <v>46179</v>
      </c>
      <c r="I779" s="23">
        <v>46140</v>
      </c>
      <c r="J779" s="10">
        <v>1208</v>
      </c>
      <c r="K779" s="10">
        <v>0</v>
      </c>
      <c r="L779" s="24">
        <v>0</v>
      </c>
      <c r="M779" s="10">
        <v>1208</v>
      </c>
    </row>
    <row r="780" spans="1:13" x14ac:dyDescent="0.25">
      <c r="A780" s="12" t="str">
        <f t="shared" si="24"/>
        <v>26MECANICA CRISTO REI LTDANSE46105</v>
      </c>
      <c r="B780" s="12" t="str">
        <f t="shared" si="25"/>
        <v>Abril</v>
      </c>
      <c r="C780" s="8" t="s">
        <v>805</v>
      </c>
      <c r="D780" s="8" t="s">
        <v>1354</v>
      </c>
      <c r="E780" s="8" t="s">
        <v>125</v>
      </c>
      <c r="F780" s="23">
        <v>46105</v>
      </c>
      <c r="G780" s="8" t="s">
        <v>665</v>
      </c>
      <c r="H780" s="23">
        <v>46136</v>
      </c>
      <c r="I780" s="23">
        <v>46108</v>
      </c>
      <c r="J780" s="10">
        <v>530</v>
      </c>
      <c r="K780" s="10">
        <v>0</v>
      </c>
      <c r="L780" s="24">
        <v>0</v>
      </c>
      <c r="M780" s="10">
        <v>511.98</v>
      </c>
    </row>
    <row r="781" spans="1:13" x14ac:dyDescent="0.25">
      <c r="A781" s="12" t="str">
        <f t="shared" si="24"/>
        <v>26WALACE ROCHA DE SOUZARCB46154,3666666667</v>
      </c>
      <c r="B781" s="12" t="str">
        <f t="shared" si="25"/>
        <v>Maio</v>
      </c>
      <c r="C781" s="8" t="s">
        <v>805</v>
      </c>
      <c r="D781" s="8" t="s">
        <v>664</v>
      </c>
      <c r="E781" s="8" t="s">
        <v>200</v>
      </c>
      <c r="F781" s="23">
        <v>46154.366666666669</v>
      </c>
      <c r="G781" s="8" t="s">
        <v>1045</v>
      </c>
      <c r="H781" s="23">
        <v>46157</v>
      </c>
      <c r="I781" s="23">
        <v>46154.366666666669</v>
      </c>
      <c r="J781" s="10">
        <v>45</v>
      </c>
      <c r="K781" s="10">
        <v>0</v>
      </c>
      <c r="L781" s="24">
        <v>0</v>
      </c>
      <c r="M781" s="10">
        <v>45</v>
      </c>
    </row>
    <row r="782" spans="1:13" x14ac:dyDescent="0.25">
      <c r="A782" s="12" t="str">
        <f t="shared" si="24"/>
        <v>26FRANCISCO MARCIO CESAR DE MATOSRCB46155,4111111111</v>
      </c>
      <c r="B782" s="12" t="str">
        <f t="shared" si="25"/>
        <v>Maio</v>
      </c>
      <c r="C782" s="8" t="s">
        <v>805</v>
      </c>
      <c r="D782" s="8" t="s">
        <v>664</v>
      </c>
      <c r="E782" s="8" t="s">
        <v>72</v>
      </c>
      <c r="F782" s="23">
        <v>46155.411111111112</v>
      </c>
      <c r="G782" s="8" t="s">
        <v>1045</v>
      </c>
      <c r="H782" s="23">
        <v>46160</v>
      </c>
      <c r="I782" s="23">
        <v>46155.411111111112</v>
      </c>
      <c r="J782" s="10">
        <v>12</v>
      </c>
      <c r="K782" s="10">
        <v>0</v>
      </c>
      <c r="L782" s="24">
        <v>0</v>
      </c>
      <c r="M782" s="10">
        <v>12</v>
      </c>
    </row>
    <row r="783" spans="1:13" x14ac:dyDescent="0.25">
      <c r="A783" s="12" t="str">
        <f t="shared" si="24"/>
        <v>26EDILSON RIBEIRO DA SILVARCB46155,4520833333</v>
      </c>
      <c r="B783" s="12" t="str">
        <f t="shared" si="25"/>
        <v>Maio</v>
      </c>
      <c r="C783" s="8" t="s">
        <v>805</v>
      </c>
      <c r="D783" s="8" t="s">
        <v>664</v>
      </c>
      <c r="E783" s="8" t="s">
        <v>56</v>
      </c>
      <c r="F783" s="23">
        <v>46155.45208333333</v>
      </c>
      <c r="G783" s="8" t="s">
        <v>1045</v>
      </c>
      <c r="H783" s="23">
        <v>46160</v>
      </c>
      <c r="I783" s="23">
        <v>46155.45208333333</v>
      </c>
      <c r="J783" s="10">
        <v>70</v>
      </c>
      <c r="K783" s="10">
        <v>0</v>
      </c>
      <c r="L783" s="24">
        <v>0</v>
      </c>
      <c r="M783" s="10">
        <v>70</v>
      </c>
    </row>
    <row r="784" spans="1:13" x14ac:dyDescent="0.25">
      <c r="A784" s="12" t="str">
        <f t="shared" si="24"/>
        <v>26GUSTAVO HENRIQUE DE SOUZA BARBOSARCB46182,4083333333</v>
      </c>
      <c r="B784" s="12" t="str">
        <f t="shared" si="25"/>
        <v>Junho</v>
      </c>
      <c r="C784" s="8" t="s">
        <v>805</v>
      </c>
      <c r="D784" s="8" t="s">
        <v>664</v>
      </c>
      <c r="E784" s="8" t="s">
        <v>79</v>
      </c>
      <c r="F784" s="23">
        <v>46182.408333333333</v>
      </c>
      <c r="G784" s="8" t="s">
        <v>1045</v>
      </c>
      <c r="H784" s="23">
        <v>46185</v>
      </c>
      <c r="I784" s="23">
        <v>46182.408333333333</v>
      </c>
      <c r="J784" s="10">
        <v>65</v>
      </c>
      <c r="K784" s="10">
        <v>0</v>
      </c>
      <c r="L784" s="24">
        <v>0</v>
      </c>
      <c r="M784" s="10">
        <v>65</v>
      </c>
    </row>
    <row r="785" spans="1:13" x14ac:dyDescent="0.25">
      <c r="A785" s="12" t="str">
        <f t="shared" si="24"/>
        <v>26GABRIEL MOUTINHO ALBINORCB46184,4298611111</v>
      </c>
      <c r="B785" s="12" t="str">
        <f t="shared" si="25"/>
        <v>Junho</v>
      </c>
      <c r="C785" s="8" t="s">
        <v>805</v>
      </c>
      <c r="D785" s="8" t="s">
        <v>664</v>
      </c>
      <c r="E785" s="8" t="s">
        <v>73</v>
      </c>
      <c r="F785" s="23">
        <v>46184.429861111108</v>
      </c>
      <c r="G785" s="8" t="s">
        <v>1045</v>
      </c>
      <c r="H785" s="23">
        <v>46189</v>
      </c>
      <c r="I785" s="23">
        <v>46184.429861111108</v>
      </c>
      <c r="J785" s="10">
        <v>80</v>
      </c>
      <c r="K785" s="10">
        <v>0</v>
      </c>
      <c r="L785" s="24">
        <v>0</v>
      </c>
      <c r="M785" s="10">
        <v>80</v>
      </c>
    </row>
    <row r="786" spans="1:13" x14ac:dyDescent="0.25">
      <c r="A786" s="12" t="str">
        <f t="shared" si="24"/>
        <v>26VANDIEGO MARQUES DA SILVA SANTOSRCB46217,6236111111</v>
      </c>
      <c r="B786" s="12" t="str">
        <f t="shared" si="25"/>
        <v>Julho</v>
      </c>
      <c r="C786" s="8" t="s">
        <v>805</v>
      </c>
      <c r="D786" s="8" t="s">
        <v>664</v>
      </c>
      <c r="E786" s="8" t="s">
        <v>194</v>
      </c>
      <c r="F786" s="23">
        <v>46217.623611111114</v>
      </c>
      <c r="G786" s="8" t="s">
        <v>1045</v>
      </c>
      <c r="H786" s="23">
        <v>46220</v>
      </c>
      <c r="I786" s="23">
        <v>46217.623611111114</v>
      </c>
      <c r="J786" s="10">
        <v>24.89</v>
      </c>
      <c r="K786" s="10">
        <v>0</v>
      </c>
      <c r="L786" s="24">
        <v>0</v>
      </c>
      <c r="M786" s="10">
        <v>24.89</v>
      </c>
    </row>
    <row r="787" spans="1:13" x14ac:dyDescent="0.25">
      <c r="A787" s="12" t="str">
        <f t="shared" si="24"/>
        <v>26MARCOS TADEU GOMES FIDELISRCB46220,4416666667</v>
      </c>
      <c r="B787" s="12" t="str">
        <f t="shared" si="25"/>
        <v>Julho</v>
      </c>
      <c r="C787" s="8" t="s">
        <v>805</v>
      </c>
      <c r="D787" s="8" t="s">
        <v>664</v>
      </c>
      <c r="E787" s="8" t="s">
        <v>122</v>
      </c>
      <c r="F787" s="23">
        <v>46220.441666666666</v>
      </c>
      <c r="G787" s="8" t="s">
        <v>1045</v>
      </c>
      <c r="H787" s="23">
        <v>46225</v>
      </c>
      <c r="I787" s="23">
        <v>46220.441666666666</v>
      </c>
      <c r="J787" s="10">
        <v>76</v>
      </c>
      <c r="K787" s="10">
        <v>0</v>
      </c>
      <c r="L787" s="24">
        <v>0</v>
      </c>
      <c r="M787" s="10">
        <v>76</v>
      </c>
    </row>
    <row r="788" spans="1:13" x14ac:dyDescent="0.25">
      <c r="A788" s="12" t="str">
        <f t="shared" si="24"/>
        <v>26FERNANDA SANTOS SOARESrcb46247,3861111111</v>
      </c>
      <c r="B788" s="12" t="str">
        <f t="shared" si="25"/>
        <v>Agosto</v>
      </c>
      <c r="C788" s="8" t="s">
        <v>805</v>
      </c>
      <c r="D788" s="8" t="s">
        <v>664</v>
      </c>
      <c r="E788" s="8" t="s">
        <v>68</v>
      </c>
      <c r="F788" s="23">
        <v>46247.386111111111</v>
      </c>
      <c r="G788" s="8" t="s">
        <v>1423</v>
      </c>
      <c r="H788" s="23">
        <v>46252</v>
      </c>
      <c r="I788" s="23">
        <v>46247.386111111111</v>
      </c>
      <c r="J788" s="10">
        <v>285.89</v>
      </c>
      <c r="K788" s="10">
        <v>0</v>
      </c>
      <c r="L788" s="24">
        <v>0</v>
      </c>
      <c r="M788" s="10">
        <v>285.89</v>
      </c>
    </row>
    <row r="789" spans="1:13" x14ac:dyDescent="0.25">
      <c r="A789" s="12" t="str">
        <f t="shared" si="24"/>
        <v>26JAIME GOMES PARAGUAIRCB46268,3409722222</v>
      </c>
      <c r="B789" s="12" t="str">
        <f t="shared" si="25"/>
        <v>Setembro</v>
      </c>
      <c r="C789" s="8" t="s">
        <v>805</v>
      </c>
      <c r="D789" s="8" t="s">
        <v>664</v>
      </c>
      <c r="E789" s="8" t="s">
        <v>87</v>
      </c>
      <c r="F789" s="23">
        <v>46268.34097222222</v>
      </c>
      <c r="G789" s="8" t="s">
        <v>1045</v>
      </c>
      <c r="H789" s="23">
        <v>46273</v>
      </c>
      <c r="I789" s="23">
        <v>46268.34097222222</v>
      </c>
      <c r="J789" s="10">
        <v>20.6</v>
      </c>
      <c r="K789" s="10">
        <v>0</v>
      </c>
      <c r="L789" s="24">
        <v>0</v>
      </c>
      <c r="M789" s="10">
        <v>20.6</v>
      </c>
    </row>
    <row r="790" spans="1:13" x14ac:dyDescent="0.25">
      <c r="A790" s="12" t="str">
        <f t="shared" si="24"/>
        <v>26DANIELA CHAVES MARIANORCB46269,4388888889</v>
      </c>
      <c r="B790" s="12" t="str">
        <f t="shared" si="25"/>
        <v>Setembro</v>
      </c>
      <c r="C790" s="8" t="s">
        <v>805</v>
      </c>
      <c r="D790" s="8" t="s">
        <v>664</v>
      </c>
      <c r="E790" s="8" t="s">
        <v>47</v>
      </c>
      <c r="F790" s="23">
        <v>46269.438888888886</v>
      </c>
      <c r="G790" s="8" t="s">
        <v>1045</v>
      </c>
      <c r="H790" s="23">
        <v>46274</v>
      </c>
      <c r="I790" s="23">
        <v>46269.438888888886</v>
      </c>
      <c r="J790" s="10">
        <v>119</v>
      </c>
      <c r="K790" s="10">
        <v>0</v>
      </c>
      <c r="L790" s="24">
        <v>0</v>
      </c>
      <c r="M790" s="10">
        <v>119</v>
      </c>
    </row>
    <row r="791" spans="1:13" x14ac:dyDescent="0.25">
      <c r="A791" s="12" t="str">
        <f t="shared" si="24"/>
        <v>26002958GOLDCERT CERTIFICADO DIGITAL EIRELIBL46028,71875</v>
      </c>
      <c r="B791" s="12" t="str">
        <f t="shared" si="25"/>
        <v>Janeiro</v>
      </c>
      <c r="C791" s="8" t="s">
        <v>1461</v>
      </c>
      <c r="D791" s="8" t="s">
        <v>664</v>
      </c>
      <c r="E791" s="8" t="s">
        <v>1462</v>
      </c>
      <c r="F791" s="23">
        <v>46028.71875</v>
      </c>
      <c r="G791" s="8" t="s">
        <v>1463</v>
      </c>
      <c r="H791" s="23">
        <v>46034</v>
      </c>
      <c r="I791" s="23">
        <v>46028.71875</v>
      </c>
      <c r="J791" s="10">
        <v>185</v>
      </c>
      <c r="K791" s="10">
        <v>0</v>
      </c>
      <c r="L791" s="24">
        <v>0</v>
      </c>
      <c r="M791" s="10">
        <v>185</v>
      </c>
    </row>
    <row r="792" spans="1:13" x14ac:dyDescent="0.25">
      <c r="A792" s="12" t="str">
        <f t="shared" si="24"/>
        <v>2608MECANICA CRISTO REI LTDANFE45994</v>
      </c>
      <c r="B792" s="12" t="str">
        <f t="shared" si="25"/>
        <v>Janeiro</v>
      </c>
      <c r="C792" s="8" t="s">
        <v>1351</v>
      </c>
      <c r="D792" s="8" t="s">
        <v>664</v>
      </c>
      <c r="E792" s="8" t="s">
        <v>125</v>
      </c>
      <c r="F792" s="23">
        <v>45994</v>
      </c>
      <c r="G792" s="8" t="s">
        <v>380</v>
      </c>
      <c r="H792" s="23">
        <v>46024</v>
      </c>
      <c r="I792" s="23">
        <v>45995</v>
      </c>
      <c r="J792" s="10">
        <v>1338</v>
      </c>
      <c r="K792" s="10">
        <v>0</v>
      </c>
      <c r="L792" s="24">
        <v>0</v>
      </c>
      <c r="M792" s="10">
        <v>1338</v>
      </c>
    </row>
    <row r="793" spans="1:13" x14ac:dyDescent="0.25">
      <c r="A793" s="12" t="str">
        <f t="shared" si="24"/>
        <v>2609MECANICA CRISTO REI LTDANFE45994</v>
      </c>
      <c r="B793" s="12" t="str">
        <f t="shared" si="25"/>
        <v>Janeiro</v>
      </c>
      <c r="C793" s="8" t="s">
        <v>1352</v>
      </c>
      <c r="D793" s="8" t="s">
        <v>664</v>
      </c>
      <c r="E793" s="8" t="s">
        <v>125</v>
      </c>
      <c r="F793" s="23">
        <v>45994</v>
      </c>
      <c r="G793" s="8" t="s">
        <v>380</v>
      </c>
      <c r="H793" s="23">
        <v>46024</v>
      </c>
      <c r="I793" s="23">
        <v>45995</v>
      </c>
      <c r="J793" s="10">
        <v>1259</v>
      </c>
      <c r="K793" s="10">
        <v>0</v>
      </c>
      <c r="L793" s="24">
        <v>0</v>
      </c>
      <c r="M793" s="10">
        <v>1259</v>
      </c>
    </row>
    <row r="794" spans="1:13" x14ac:dyDescent="0.25">
      <c r="A794" s="12" t="str">
        <f t="shared" si="24"/>
        <v>26096MERCEDES-BENZ CARS &amp; VANS BRASIL LTDANSE46000</v>
      </c>
      <c r="B794" s="12" t="str">
        <f t="shared" si="25"/>
        <v>Janeiro</v>
      </c>
      <c r="C794" s="8" t="s">
        <v>1626</v>
      </c>
      <c r="D794" s="8" t="s">
        <v>664</v>
      </c>
      <c r="E794" s="8" t="s">
        <v>127</v>
      </c>
      <c r="F794" s="23">
        <v>46000</v>
      </c>
      <c r="G794" s="8" t="s">
        <v>665</v>
      </c>
      <c r="H794" s="23">
        <v>46048</v>
      </c>
      <c r="I794" s="23">
        <v>46008</v>
      </c>
      <c r="J794" s="10">
        <v>52824.78</v>
      </c>
      <c r="K794" s="10">
        <v>0</v>
      </c>
      <c r="L794" s="24">
        <v>0</v>
      </c>
      <c r="M794" s="10">
        <v>50368.43</v>
      </c>
    </row>
    <row r="795" spans="1:13" x14ac:dyDescent="0.25">
      <c r="A795" s="12" t="str">
        <f t="shared" si="24"/>
        <v>26096-5952-87MINISTERIO DA FAZENDAIM46009,3833333333</v>
      </c>
      <c r="B795" s="12" t="str">
        <f t="shared" si="25"/>
        <v>Janeiro</v>
      </c>
      <c r="C795" s="8" t="s">
        <v>1506</v>
      </c>
      <c r="D795" s="8" t="s">
        <v>664</v>
      </c>
      <c r="E795" s="8" t="s">
        <v>1503</v>
      </c>
      <c r="F795" s="23">
        <v>46009.383333333331</v>
      </c>
      <c r="G795" s="8" t="s">
        <v>1142</v>
      </c>
      <c r="H795" s="23">
        <v>46042</v>
      </c>
      <c r="I795" s="23">
        <v>46009.383333333331</v>
      </c>
      <c r="J795" s="10">
        <v>2456.35</v>
      </c>
      <c r="K795" s="10">
        <v>0</v>
      </c>
      <c r="L795" s="24">
        <v>0</v>
      </c>
      <c r="M795" s="10">
        <v>2456.35</v>
      </c>
    </row>
    <row r="796" spans="1:13" x14ac:dyDescent="0.25">
      <c r="A796" s="12" t="str">
        <f t="shared" si="24"/>
        <v>26100527919CENTRO DE GESTÃO DE MEIOS DE PAGTOS. S/AFT46145</v>
      </c>
      <c r="B796" s="12" t="str">
        <f t="shared" si="25"/>
        <v>Maio</v>
      </c>
      <c r="C796" s="8" t="s">
        <v>260</v>
      </c>
      <c r="D796" s="8" t="s">
        <v>1354</v>
      </c>
      <c r="E796" s="8" t="s">
        <v>38</v>
      </c>
      <c r="F796" s="23">
        <v>46145</v>
      </c>
      <c r="G796" s="8" t="s">
        <v>232</v>
      </c>
      <c r="H796" s="23">
        <v>46153</v>
      </c>
      <c r="I796" s="23">
        <v>46147</v>
      </c>
      <c r="J796" s="10">
        <v>19961.89</v>
      </c>
      <c r="K796" s="10">
        <v>0</v>
      </c>
      <c r="L796" s="24">
        <v>0</v>
      </c>
      <c r="M796" s="10">
        <v>19961.89</v>
      </c>
    </row>
    <row r="797" spans="1:13" x14ac:dyDescent="0.25">
      <c r="A797" s="12" t="str">
        <f t="shared" si="24"/>
        <v>2611814548CENTRO DE GESTÃO DE MEIOS DE PAGTOS. S/AFT46025</v>
      </c>
      <c r="B797" s="12" t="str">
        <f t="shared" si="25"/>
        <v>Janeiro</v>
      </c>
      <c r="C797" s="8" t="s">
        <v>264</v>
      </c>
      <c r="D797" s="8" t="s">
        <v>1354</v>
      </c>
      <c r="E797" s="8" t="s">
        <v>38</v>
      </c>
      <c r="F797" s="23">
        <v>46025</v>
      </c>
      <c r="G797" s="8" t="s">
        <v>232</v>
      </c>
      <c r="H797" s="23">
        <v>46034</v>
      </c>
      <c r="I797" s="23">
        <v>46029</v>
      </c>
      <c r="J797" s="10">
        <v>23342.83</v>
      </c>
      <c r="K797" s="10">
        <v>0</v>
      </c>
      <c r="L797" s="24">
        <v>0</v>
      </c>
      <c r="M797" s="10">
        <v>23342.83</v>
      </c>
    </row>
    <row r="798" spans="1:13" x14ac:dyDescent="0.25">
      <c r="A798" s="12" t="str">
        <f t="shared" si="24"/>
        <v>26126749495CENTRO DE GESTÃO DE MEIOS DE PAGTOS. S/AFT46176</v>
      </c>
      <c r="B798" s="12" t="str">
        <f t="shared" si="25"/>
        <v>Junho</v>
      </c>
      <c r="C798" s="8" t="s">
        <v>265</v>
      </c>
      <c r="D798" s="8" t="s">
        <v>1354</v>
      </c>
      <c r="E798" s="8" t="s">
        <v>38</v>
      </c>
      <c r="F798" s="23">
        <v>46176</v>
      </c>
      <c r="G798" s="8" t="s">
        <v>232</v>
      </c>
      <c r="H798" s="23">
        <v>46183</v>
      </c>
      <c r="I798" s="23">
        <v>46181</v>
      </c>
      <c r="J798" s="10">
        <v>23373.74</v>
      </c>
      <c r="K798" s="10">
        <v>0</v>
      </c>
      <c r="L798" s="24">
        <v>0</v>
      </c>
      <c r="M798" s="10">
        <v>23373.74</v>
      </c>
    </row>
    <row r="799" spans="1:13" x14ac:dyDescent="0.25">
      <c r="A799" s="12" t="str">
        <f t="shared" si="24"/>
        <v>26150382362CENTRO DE GESTÃO DE MEIOS DE PAGTOS. S/AFT46206</v>
      </c>
      <c r="B799" s="12" t="str">
        <f t="shared" si="25"/>
        <v>Julho</v>
      </c>
      <c r="C799" s="8" t="s">
        <v>266</v>
      </c>
      <c r="D799" s="8" t="s">
        <v>1354</v>
      </c>
      <c r="E799" s="8" t="s">
        <v>38</v>
      </c>
      <c r="F799" s="23">
        <v>46206</v>
      </c>
      <c r="G799" s="8" t="s">
        <v>232</v>
      </c>
      <c r="H799" s="23">
        <v>46213</v>
      </c>
      <c r="I799" s="23">
        <v>46211</v>
      </c>
      <c r="J799" s="10">
        <v>21777.5</v>
      </c>
      <c r="K799" s="10">
        <v>0</v>
      </c>
      <c r="L799" s="24">
        <v>0</v>
      </c>
      <c r="M799" s="10">
        <v>21777.5</v>
      </c>
    </row>
    <row r="800" spans="1:13" x14ac:dyDescent="0.25">
      <c r="A800" s="12" t="str">
        <f t="shared" si="24"/>
        <v>261690CENTRO DE INTEGRACAO EMPRESA ESCOLA DE MINAS GERAISFT46167</v>
      </c>
      <c r="B800" s="12" t="str">
        <f t="shared" si="25"/>
        <v>Julho</v>
      </c>
      <c r="C800" s="8" t="s">
        <v>267</v>
      </c>
      <c r="D800" s="8" t="s">
        <v>664</v>
      </c>
      <c r="E800" s="8" t="s">
        <v>39</v>
      </c>
      <c r="F800" s="23">
        <v>46167</v>
      </c>
      <c r="G800" s="8" t="s">
        <v>232</v>
      </c>
      <c r="H800" s="23">
        <v>46209</v>
      </c>
      <c r="I800" s="23">
        <v>46168</v>
      </c>
      <c r="J800" s="10">
        <v>906</v>
      </c>
      <c r="K800" s="10">
        <v>0</v>
      </c>
      <c r="L800" s="24">
        <v>0</v>
      </c>
      <c r="M800" s="10">
        <v>906</v>
      </c>
    </row>
    <row r="801" spans="1:13" x14ac:dyDescent="0.25">
      <c r="A801" s="12" t="str">
        <f t="shared" si="24"/>
        <v>26171417312CENTRO DE GESTÃO DE MEIOS DE PAGTOS. S/AFT46237</v>
      </c>
      <c r="B801" s="12" t="str">
        <f t="shared" si="25"/>
        <v>Agosto</v>
      </c>
      <c r="C801" s="8" t="s">
        <v>268</v>
      </c>
      <c r="D801" s="8" t="s">
        <v>1354</v>
      </c>
      <c r="E801" s="8" t="s">
        <v>38</v>
      </c>
      <c r="F801" s="23">
        <v>46237</v>
      </c>
      <c r="G801" s="8" t="s">
        <v>232</v>
      </c>
      <c r="H801" s="23">
        <v>46244</v>
      </c>
      <c r="I801" s="23">
        <v>46238</v>
      </c>
      <c r="J801" s="10">
        <v>21191.62</v>
      </c>
      <c r="K801" s="10">
        <v>0</v>
      </c>
      <c r="L801" s="24">
        <v>0</v>
      </c>
      <c r="M801" s="10">
        <v>21191.62</v>
      </c>
    </row>
    <row r="802" spans="1:13" x14ac:dyDescent="0.25">
      <c r="A802" s="12" t="str">
        <f t="shared" si="24"/>
        <v>26192026PREFEITURA MUNICIPAL DE CONTAGEMIM46055,3979166667</v>
      </c>
      <c r="B802" s="12" t="str">
        <f t="shared" si="25"/>
        <v>Fevereiro</v>
      </c>
      <c r="C802" s="8" t="s">
        <v>1746</v>
      </c>
      <c r="D802" s="8" t="s">
        <v>1354</v>
      </c>
      <c r="E802" s="8" t="s">
        <v>1470</v>
      </c>
      <c r="F802" s="23">
        <v>46055.397916666669</v>
      </c>
      <c r="G802" s="8" t="s">
        <v>1142</v>
      </c>
      <c r="H802" s="23">
        <v>46063</v>
      </c>
      <c r="I802" s="23">
        <v>46055.397916666669</v>
      </c>
      <c r="J802" s="10">
        <v>60.4</v>
      </c>
      <c r="K802" s="10">
        <v>0</v>
      </c>
      <c r="L802" s="24">
        <v>0</v>
      </c>
      <c r="M802" s="10">
        <v>60.4</v>
      </c>
    </row>
    <row r="803" spans="1:13" x14ac:dyDescent="0.25">
      <c r="A803" s="12" t="str">
        <f t="shared" si="24"/>
        <v>26197748748CENTRO DE GESTÃO DE MEIOS DE PAGTOS. S/AFT46269</v>
      </c>
      <c r="B803" s="12" t="str">
        <f t="shared" si="25"/>
        <v>Setembro</v>
      </c>
      <c r="C803" s="8" t="s">
        <v>269</v>
      </c>
      <c r="D803" s="8" t="s">
        <v>1354</v>
      </c>
      <c r="E803" s="8" t="s">
        <v>38</v>
      </c>
      <c r="F803" s="23">
        <v>46269</v>
      </c>
      <c r="G803" s="8" t="s">
        <v>232</v>
      </c>
      <c r="H803" s="23">
        <v>46275</v>
      </c>
      <c r="I803" s="23">
        <v>46273</v>
      </c>
      <c r="J803" s="10">
        <v>21735.11</v>
      </c>
      <c r="K803" s="10">
        <v>0</v>
      </c>
      <c r="L803" s="24">
        <v>0</v>
      </c>
      <c r="M803" s="10">
        <v>21735.11</v>
      </c>
    </row>
    <row r="804" spans="1:13" x14ac:dyDescent="0.25">
      <c r="A804" s="12" t="str">
        <f t="shared" si="24"/>
        <v>262ANDRE LUIZ MAYERNSE46268</v>
      </c>
      <c r="B804" s="12" t="str">
        <f t="shared" si="25"/>
        <v>Setembro</v>
      </c>
      <c r="C804" s="8" t="s">
        <v>806</v>
      </c>
      <c r="D804" s="8" t="s">
        <v>664</v>
      </c>
      <c r="E804" s="8" t="s">
        <v>16</v>
      </c>
      <c r="F804" s="23">
        <v>46268</v>
      </c>
      <c r="G804" s="8" t="s">
        <v>665</v>
      </c>
      <c r="H804" s="23">
        <v>46286</v>
      </c>
      <c r="I804" s="23">
        <v>46268</v>
      </c>
      <c r="J804" s="10">
        <v>1600</v>
      </c>
      <c r="K804" s="10">
        <v>0</v>
      </c>
      <c r="L804" s="24">
        <v>0</v>
      </c>
      <c r="M804" s="10">
        <v>1600</v>
      </c>
    </row>
    <row r="805" spans="1:13" x14ac:dyDescent="0.25">
      <c r="A805" s="12" t="str">
        <f t="shared" si="24"/>
        <v>2623MECANICA CRISTO REI LTDANFE46002</v>
      </c>
      <c r="B805" s="12" t="str">
        <f t="shared" si="25"/>
        <v>Janeiro</v>
      </c>
      <c r="C805" s="8" t="s">
        <v>1473</v>
      </c>
      <c r="D805" s="8" t="s">
        <v>664</v>
      </c>
      <c r="E805" s="8" t="s">
        <v>125</v>
      </c>
      <c r="F805" s="23">
        <v>46002</v>
      </c>
      <c r="G805" s="8" t="s">
        <v>380</v>
      </c>
      <c r="H805" s="23">
        <v>46032</v>
      </c>
      <c r="I805" s="23">
        <v>46003</v>
      </c>
      <c r="J805" s="10">
        <v>573</v>
      </c>
      <c r="K805" s="10">
        <v>0</v>
      </c>
      <c r="L805" s="24">
        <v>0</v>
      </c>
      <c r="M805" s="10">
        <v>573</v>
      </c>
    </row>
    <row r="806" spans="1:13" x14ac:dyDescent="0.25">
      <c r="A806" s="12" t="str">
        <f t="shared" si="24"/>
        <v>2631MECANICA CRISTO REI LTDANFE46013</v>
      </c>
      <c r="B806" s="12" t="str">
        <f t="shared" si="25"/>
        <v>Janeiro</v>
      </c>
      <c r="C806" s="8" t="s">
        <v>466</v>
      </c>
      <c r="D806" s="8" t="s">
        <v>664</v>
      </c>
      <c r="E806" s="8" t="s">
        <v>125</v>
      </c>
      <c r="F806" s="23">
        <v>46013</v>
      </c>
      <c r="G806" s="8" t="s">
        <v>380</v>
      </c>
      <c r="H806" s="23">
        <v>46043</v>
      </c>
      <c r="I806" s="23">
        <v>46028</v>
      </c>
      <c r="J806" s="10">
        <v>898</v>
      </c>
      <c r="K806" s="10">
        <v>0</v>
      </c>
      <c r="L806" s="24">
        <v>0</v>
      </c>
      <c r="M806" s="10">
        <v>898</v>
      </c>
    </row>
    <row r="807" spans="1:13" x14ac:dyDescent="0.25">
      <c r="A807" s="12" t="str">
        <f t="shared" si="24"/>
        <v>2632MECANICA CRISTO REI LTDANFE46013</v>
      </c>
      <c r="B807" s="12" t="str">
        <f t="shared" si="25"/>
        <v>Janeiro</v>
      </c>
      <c r="C807" s="8" t="s">
        <v>468</v>
      </c>
      <c r="D807" s="8" t="s">
        <v>664</v>
      </c>
      <c r="E807" s="8" t="s">
        <v>125</v>
      </c>
      <c r="F807" s="23">
        <v>46013</v>
      </c>
      <c r="G807" s="8" t="s">
        <v>380</v>
      </c>
      <c r="H807" s="23">
        <v>46043</v>
      </c>
      <c r="I807" s="23">
        <v>46028</v>
      </c>
      <c r="J807" s="10">
        <v>1338</v>
      </c>
      <c r="K807" s="10">
        <v>0</v>
      </c>
      <c r="L807" s="24">
        <v>0</v>
      </c>
      <c r="M807" s="10">
        <v>1338</v>
      </c>
    </row>
    <row r="808" spans="1:13" x14ac:dyDescent="0.25">
      <c r="A808" s="12" t="str">
        <f t="shared" si="24"/>
        <v>2634155507CENTRO DE GESTÃO DE MEIOS DE PAGTOS. S/AFT46056</v>
      </c>
      <c r="B808" s="12" t="str">
        <f t="shared" si="25"/>
        <v>Fevereiro</v>
      </c>
      <c r="C808" s="8" t="s">
        <v>271</v>
      </c>
      <c r="D808" s="8" t="s">
        <v>1354</v>
      </c>
      <c r="E808" s="8" t="s">
        <v>38</v>
      </c>
      <c r="F808" s="23">
        <v>46056</v>
      </c>
      <c r="G808" s="8" t="s">
        <v>232</v>
      </c>
      <c r="H808" s="23">
        <v>46063</v>
      </c>
      <c r="I808" s="23">
        <v>46059</v>
      </c>
      <c r="J808" s="10">
        <v>22369.45</v>
      </c>
      <c r="K808" s="10">
        <v>0</v>
      </c>
      <c r="L808" s="24">
        <v>0</v>
      </c>
      <c r="M808" s="10">
        <v>22369.45</v>
      </c>
    </row>
    <row r="809" spans="1:13" x14ac:dyDescent="0.25">
      <c r="A809" s="12" t="str">
        <f t="shared" si="24"/>
        <v>263920CENTRO DE INTEGRACAO EMPRESA ESCOLA DE MINAS GERAISFT46204</v>
      </c>
      <c r="B809" s="12" t="str">
        <f t="shared" si="25"/>
        <v>Agosto</v>
      </c>
      <c r="C809" s="8" t="s">
        <v>272</v>
      </c>
      <c r="D809" s="8" t="s">
        <v>664</v>
      </c>
      <c r="E809" s="8" t="s">
        <v>39</v>
      </c>
      <c r="F809" s="23">
        <v>46204</v>
      </c>
      <c r="G809" s="8" t="s">
        <v>232</v>
      </c>
      <c r="H809" s="23">
        <v>46240</v>
      </c>
      <c r="I809" s="23">
        <v>46205</v>
      </c>
      <c r="J809" s="10">
        <v>906</v>
      </c>
      <c r="K809" s="10">
        <v>0</v>
      </c>
      <c r="L809" s="24">
        <v>0</v>
      </c>
      <c r="M809" s="10">
        <v>906</v>
      </c>
    </row>
    <row r="810" spans="1:13" x14ac:dyDescent="0.25">
      <c r="A810" s="12" t="str">
        <f t="shared" si="24"/>
        <v>265556642CENTRO DE GESTÃO DE MEIOS DE PAGTOS. S/AFT46085</v>
      </c>
      <c r="B810" s="12" t="str">
        <f t="shared" si="25"/>
        <v>Março</v>
      </c>
      <c r="C810" s="8" t="s">
        <v>273</v>
      </c>
      <c r="D810" s="8" t="s">
        <v>1354</v>
      </c>
      <c r="E810" s="8" t="s">
        <v>38</v>
      </c>
      <c r="F810" s="23">
        <v>46085</v>
      </c>
      <c r="G810" s="8" t="s">
        <v>232</v>
      </c>
      <c r="H810" s="23">
        <v>46091</v>
      </c>
      <c r="I810" s="23">
        <v>46087</v>
      </c>
      <c r="J810" s="10">
        <v>20819.96</v>
      </c>
      <c r="K810" s="10">
        <v>0</v>
      </c>
      <c r="L810" s="24">
        <v>0</v>
      </c>
      <c r="M810" s="10">
        <v>20819.96</v>
      </c>
    </row>
    <row r="811" spans="1:13" x14ac:dyDescent="0.25">
      <c r="A811" s="12" t="str">
        <f t="shared" si="24"/>
        <v>266314CENTRO DE INTEGRACAO EMPRESA ESCOLA DE MINAS GERAISFT46226</v>
      </c>
      <c r="B811" s="12" t="str">
        <f t="shared" si="25"/>
        <v>Setembro</v>
      </c>
      <c r="C811" s="8" t="s">
        <v>274</v>
      </c>
      <c r="D811" s="8" t="s">
        <v>664</v>
      </c>
      <c r="E811" s="8" t="s">
        <v>39</v>
      </c>
      <c r="F811" s="23">
        <v>46226</v>
      </c>
      <c r="G811" s="8" t="s">
        <v>232</v>
      </c>
      <c r="H811" s="23">
        <v>46271</v>
      </c>
      <c r="I811" s="23">
        <v>46227</v>
      </c>
      <c r="J811" s="10">
        <v>1208</v>
      </c>
      <c r="K811" s="10">
        <v>0</v>
      </c>
      <c r="L811" s="24">
        <v>0</v>
      </c>
      <c r="M811" s="10">
        <v>1208</v>
      </c>
    </row>
    <row r="812" spans="1:13" x14ac:dyDescent="0.25">
      <c r="A812" s="12" t="str">
        <f t="shared" si="24"/>
        <v>26694OCUPACIONAL MEDICINA DO TRABALHO LTDANSE45987</v>
      </c>
      <c r="B812" s="12" t="str">
        <f t="shared" si="25"/>
        <v>Janeiro</v>
      </c>
      <c r="C812" s="8" t="s">
        <v>1403</v>
      </c>
      <c r="D812" s="8" t="s">
        <v>664</v>
      </c>
      <c r="E812" s="8" t="s">
        <v>142</v>
      </c>
      <c r="F812" s="23">
        <v>45987</v>
      </c>
      <c r="G812" s="8" t="s">
        <v>665</v>
      </c>
      <c r="H812" s="23">
        <v>46028</v>
      </c>
      <c r="I812" s="23">
        <v>45992</v>
      </c>
      <c r="J812" s="10">
        <v>653.91999999999996</v>
      </c>
      <c r="K812" s="10">
        <v>0</v>
      </c>
      <c r="L812" s="24">
        <v>0</v>
      </c>
      <c r="M812" s="10">
        <v>623.51</v>
      </c>
    </row>
    <row r="813" spans="1:13" x14ac:dyDescent="0.25">
      <c r="A813" s="12" t="str">
        <f t="shared" si="24"/>
        <v>2678024538CENTRO DE GESTÃO DE MEIOS DE PAGTOS. S/AFT46116</v>
      </c>
      <c r="B813" s="12" t="str">
        <f t="shared" si="25"/>
        <v>Abril</v>
      </c>
      <c r="C813" s="8" t="s">
        <v>275</v>
      </c>
      <c r="D813" s="8" t="s">
        <v>1354</v>
      </c>
      <c r="E813" s="8" t="s">
        <v>38</v>
      </c>
      <c r="F813" s="23">
        <v>46116</v>
      </c>
      <c r="G813" s="8" t="s">
        <v>232</v>
      </c>
      <c r="H813" s="23">
        <v>46122</v>
      </c>
      <c r="I813" s="23">
        <v>46118</v>
      </c>
      <c r="J813" s="10">
        <v>23322.61</v>
      </c>
      <c r="K813" s="10">
        <v>0</v>
      </c>
      <c r="L813" s="24">
        <v>0</v>
      </c>
      <c r="M813" s="10">
        <v>23322.61</v>
      </c>
    </row>
    <row r="814" spans="1:13" x14ac:dyDescent="0.25">
      <c r="A814" s="12" t="str">
        <f t="shared" si="24"/>
        <v>268871CENTRO DE INTEGRACAO EMPRESA ESCOLA DE MINAS GERAISFT46258</v>
      </c>
      <c r="B814" s="12" t="str">
        <f t="shared" si="25"/>
        <v>Outubro</v>
      </c>
      <c r="C814" s="8" t="s">
        <v>276</v>
      </c>
      <c r="D814" s="8" t="s">
        <v>1400</v>
      </c>
      <c r="E814" s="8" t="s">
        <v>39</v>
      </c>
      <c r="F814" s="23">
        <v>46258</v>
      </c>
      <c r="G814" s="8" t="s">
        <v>232</v>
      </c>
      <c r="H814" s="23">
        <v>46301</v>
      </c>
      <c r="I814" s="23">
        <v>46262</v>
      </c>
      <c r="J814" s="10">
        <v>1812</v>
      </c>
      <c r="K814" s="10">
        <v>0</v>
      </c>
      <c r="L814" s="24">
        <v>0</v>
      </c>
      <c r="M814" s="10">
        <v>1812</v>
      </c>
    </row>
    <row r="815" spans="1:13" x14ac:dyDescent="0.25">
      <c r="A815" s="12" t="str">
        <f t="shared" si="24"/>
        <v>2692OCUPACIONAL MEDICINA DO TRABALHO LTDANSE46010</v>
      </c>
      <c r="B815" s="12" t="str">
        <f t="shared" si="25"/>
        <v>Fevereiro</v>
      </c>
      <c r="C815" s="8" t="s">
        <v>1695</v>
      </c>
      <c r="D815" s="8" t="s">
        <v>664</v>
      </c>
      <c r="E815" s="8" t="s">
        <v>142</v>
      </c>
      <c r="F815" s="23">
        <v>46010</v>
      </c>
      <c r="G815" s="8" t="s">
        <v>665</v>
      </c>
      <c r="H815" s="23">
        <v>46059</v>
      </c>
      <c r="I815" s="23">
        <v>46010</v>
      </c>
      <c r="J815" s="10">
        <v>653.91999999999996</v>
      </c>
      <c r="K815" s="10">
        <v>0</v>
      </c>
      <c r="L815" s="24">
        <v>0</v>
      </c>
      <c r="M815" s="10">
        <v>623.51</v>
      </c>
    </row>
    <row r="816" spans="1:13" x14ac:dyDescent="0.25">
      <c r="A816" s="12" t="str">
        <f t="shared" si="24"/>
        <v>2692-5952-87MINISTERIO DA FAZENDAIM46010,6777777778</v>
      </c>
      <c r="B816" s="12" t="str">
        <f t="shared" si="25"/>
        <v>Janeiro</v>
      </c>
      <c r="C816" s="8" t="s">
        <v>1507</v>
      </c>
      <c r="D816" s="8" t="s">
        <v>664</v>
      </c>
      <c r="E816" s="8" t="s">
        <v>1503</v>
      </c>
      <c r="F816" s="23">
        <v>46010.677777777775</v>
      </c>
      <c r="G816" s="8" t="s">
        <v>1142</v>
      </c>
      <c r="H816" s="23">
        <v>46042</v>
      </c>
      <c r="I816" s="23">
        <v>46010.677777777775</v>
      </c>
      <c r="J816" s="10">
        <v>30.41</v>
      </c>
      <c r="K816" s="10">
        <v>0</v>
      </c>
      <c r="L816" s="24">
        <v>0</v>
      </c>
      <c r="M816" s="10">
        <v>30.41</v>
      </c>
    </row>
    <row r="817" spans="1:13" x14ac:dyDescent="0.25">
      <c r="A817" s="12" t="str">
        <f t="shared" si="24"/>
        <v>2695MECANICA CRISTO REI LTDANFE46057</v>
      </c>
      <c r="B817" s="12" t="str">
        <f t="shared" si="25"/>
        <v>Março</v>
      </c>
      <c r="C817" s="8" t="s">
        <v>469</v>
      </c>
      <c r="D817" s="8" t="s">
        <v>664</v>
      </c>
      <c r="E817" s="8" t="s">
        <v>125</v>
      </c>
      <c r="F817" s="23">
        <v>46057</v>
      </c>
      <c r="G817" s="8" t="s">
        <v>380</v>
      </c>
      <c r="H817" s="23">
        <v>46089</v>
      </c>
      <c r="I817" s="23">
        <v>46064</v>
      </c>
      <c r="J817" s="10">
        <v>729.5</v>
      </c>
      <c r="K817" s="10">
        <v>0</v>
      </c>
      <c r="L817" s="24">
        <v>0</v>
      </c>
      <c r="M817" s="10">
        <v>729.5</v>
      </c>
    </row>
    <row r="818" spans="1:13" x14ac:dyDescent="0.25">
      <c r="A818" s="12" t="str">
        <f t="shared" si="24"/>
        <v>2695MECANICA CRISTO REI LTDANFE46057</v>
      </c>
      <c r="B818" s="12" t="str">
        <f t="shared" si="25"/>
        <v>Abril</v>
      </c>
      <c r="C818" s="8" t="s">
        <v>469</v>
      </c>
      <c r="D818" s="8" t="s">
        <v>664</v>
      </c>
      <c r="E818" s="8" t="s">
        <v>125</v>
      </c>
      <c r="F818" s="23">
        <v>46057</v>
      </c>
      <c r="G818" s="8" t="s">
        <v>380</v>
      </c>
      <c r="H818" s="23">
        <v>46120</v>
      </c>
      <c r="I818" s="23">
        <v>46064</v>
      </c>
      <c r="J818" s="10">
        <v>729.5</v>
      </c>
      <c r="K818" s="10">
        <v>0</v>
      </c>
      <c r="L818" s="24">
        <v>0</v>
      </c>
      <c r="M818" s="10">
        <v>729.5</v>
      </c>
    </row>
    <row r="819" spans="1:13" x14ac:dyDescent="0.25">
      <c r="A819" s="12" t="str">
        <f t="shared" si="24"/>
        <v>2698OPENSYSTECH SERVICOS DE MANUTENCAO DE SISTEMAS LTDANSE45994</v>
      </c>
      <c r="B819" s="12" t="str">
        <f t="shared" si="25"/>
        <v>Janeiro</v>
      </c>
      <c r="C819" s="8" t="s">
        <v>1388</v>
      </c>
      <c r="D819" s="8" t="s">
        <v>664</v>
      </c>
      <c r="E819" s="8" t="s">
        <v>145</v>
      </c>
      <c r="F819" s="23">
        <v>45994</v>
      </c>
      <c r="G819" s="8" t="s">
        <v>665</v>
      </c>
      <c r="H819" s="23">
        <v>46028</v>
      </c>
      <c r="I819" s="23">
        <v>46003</v>
      </c>
      <c r="J819" s="10">
        <v>936.1</v>
      </c>
      <c r="K819" s="10">
        <v>0</v>
      </c>
      <c r="L819" s="24">
        <v>0</v>
      </c>
      <c r="M819" s="10">
        <v>936.1</v>
      </c>
    </row>
    <row r="820" spans="1:13" x14ac:dyDescent="0.25">
      <c r="A820" s="12" t="str">
        <f t="shared" si="24"/>
        <v>27WALACE ROCHA DE SOUZARCB46170,7590277778</v>
      </c>
      <c r="B820" s="12" t="str">
        <f t="shared" si="25"/>
        <v>Junho</v>
      </c>
      <c r="C820" s="8" t="s">
        <v>2506</v>
      </c>
      <c r="D820" s="8" t="s">
        <v>664</v>
      </c>
      <c r="E820" s="8" t="s">
        <v>200</v>
      </c>
      <c r="F820" s="23">
        <v>46170.759027777778</v>
      </c>
      <c r="G820" s="8" t="s">
        <v>1045</v>
      </c>
      <c r="H820" s="23">
        <v>46175</v>
      </c>
      <c r="I820" s="23">
        <v>46170.759027777778</v>
      </c>
      <c r="J820" s="10">
        <v>19.690000000000001</v>
      </c>
      <c r="K820" s="10">
        <v>0</v>
      </c>
      <c r="L820" s="24">
        <v>0</v>
      </c>
      <c r="M820" s="10">
        <v>19.690000000000001</v>
      </c>
    </row>
    <row r="821" spans="1:13" x14ac:dyDescent="0.25">
      <c r="A821" s="12" t="str">
        <f t="shared" si="24"/>
        <v>27EDILSON RIBEIRO DA SILVARCB46170,4381944444</v>
      </c>
      <c r="B821" s="12" t="str">
        <f t="shared" si="25"/>
        <v>Junho</v>
      </c>
      <c r="C821" s="8" t="s">
        <v>2506</v>
      </c>
      <c r="D821" s="8" t="s">
        <v>664</v>
      </c>
      <c r="E821" s="8" t="s">
        <v>56</v>
      </c>
      <c r="F821" s="23">
        <v>46170.438194444447</v>
      </c>
      <c r="G821" s="8" t="s">
        <v>1045</v>
      </c>
      <c r="H821" s="23">
        <v>46175</v>
      </c>
      <c r="I821" s="23">
        <v>46170.438194444447</v>
      </c>
      <c r="J821" s="10">
        <v>70</v>
      </c>
      <c r="K821" s="10">
        <v>0</v>
      </c>
      <c r="L821" s="24">
        <v>0</v>
      </c>
      <c r="M821" s="10">
        <v>70</v>
      </c>
    </row>
    <row r="822" spans="1:13" x14ac:dyDescent="0.25">
      <c r="A822" s="12" t="str">
        <f t="shared" si="24"/>
        <v>27FRANCISCO MARCIO CESAR DE MATOSRCB46175,4868055556</v>
      </c>
      <c r="B822" s="12" t="str">
        <f t="shared" si="25"/>
        <v>Junho</v>
      </c>
      <c r="C822" s="8" t="s">
        <v>2506</v>
      </c>
      <c r="D822" s="8" t="s">
        <v>664</v>
      </c>
      <c r="E822" s="8" t="s">
        <v>72</v>
      </c>
      <c r="F822" s="23">
        <v>46175.486805555556</v>
      </c>
      <c r="G822" s="8" t="s">
        <v>1045</v>
      </c>
      <c r="H822" s="23">
        <v>46178</v>
      </c>
      <c r="I822" s="23">
        <v>46175.486805555556</v>
      </c>
      <c r="J822" s="10">
        <v>99.6</v>
      </c>
      <c r="K822" s="10">
        <v>0</v>
      </c>
      <c r="L822" s="24">
        <v>0</v>
      </c>
      <c r="M822" s="10">
        <v>99.6</v>
      </c>
    </row>
    <row r="823" spans="1:13" x14ac:dyDescent="0.25">
      <c r="A823" s="12" t="str">
        <f t="shared" si="24"/>
        <v>27GUSTAVO HENRIQUE DE SOUZA BARBOSARCB46188,6090277778</v>
      </c>
      <c r="B823" s="12" t="str">
        <f t="shared" si="25"/>
        <v>Junho</v>
      </c>
      <c r="C823" s="8" t="s">
        <v>2506</v>
      </c>
      <c r="D823" s="8" t="s">
        <v>664</v>
      </c>
      <c r="E823" s="8" t="s">
        <v>79</v>
      </c>
      <c r="F823" s="23">
        <v>46188.609027777777</v>
      </c>
      <c r="G823" s="8" t="s">
        <v>1045</v>
      </c>
      <c r="H823" s="23">
        <v>46191</v>
      </c>
      <c r="I823" s="23">
        <v>46188.609027777777</v>
      </c>
      <c r="J823" s="10">
        <v>44.5</v>
      </c>
      <c r="K823" s="10">
        <v>0</v>
      </c>
      <c r="L823" s="24">
        <v>0</v>
      </c>
      <c r="M823" s="10">
        <v>44.5</v>
      </c>
    </row>
    <row r="824" spans="1:13" x14ac:dyDescent="0.25">
      <c r="A824" s="12" t="str">
        <f t="shared" si="24"/>
        <v>27GABRIEL MOUTINHO ALBINORCB46190,36875</v>
      </c>
      <c r="B824" s="12" t="str">
        <f t="shared" si="25"/>
        <v>Junho</v>
      </c>
      <c r="C824" s="8" t="s">
        <v>2506</v>
      </c>
      <c r="D824" s="8" t="s">
        <v>664</v>
      </c>
      <c r="E824" s="8" t="s">
        <v>73</v>
      </c>
      <c r="F824" s="23">
        <v>46190.368750000001</v>
      </c>
      <c r="G824" s="8" t="s">
        <v>1045</v>
      </c>
      <c r="H824" s="23">
        <v>46195</v>
      </c>
      <c r="I824" s="23">
        <v>46190.368750000001</v>
      </c>
      <c r="J824" s="10">
        <v>120</v>
      </c>
      <c r="K824" s="10">
        <v>0</v>
      </c>
      <c r="L824" s="24">
        <v>0</v>
      </c>
      <c r="M824" s="10">
        <v>120</v>
      </c>
    </row>
    <row r="825" spans="1:13" x14ac:dyDescent="0.25">
      <c r="A825" s="12" t="str">
        <f t="shared" si="24"/>
        <v>27MARCOS TADEU GOMES FIDELISRCB46225,5597222222</v>
      </c>
      <c r="B825" s="12" t="str">
        <f t="shared" si="25"/>
        <v>Julho</v>
      </c>
      <c r="C825" s="8" t="s">
        <v>2506</v>
      </c>
      <c r="D825" s="8" t="s">
        <v>664</v>
      </c>
      <c r="E825" s="8" t="s">
        <v>122</v>
      </c>
      <c r="F825" s="23">
        <v>46225.55972222222</v>
      </c>
      <c r="G825" s="8" t="s">
        <v>1045</v>
      </c>
      <c r="H825" s="23">
        <v>46230</v>
      </c>
      <c r="I825" s="23">
        <v>46225.55972222222</v>
      </c>
      <c r="J825" s="10">
        <v>238</v>
      </c>
      <c r="K825" s="10">
        <v>0</v>
      </c>
      <c r="L825" s="24">
        <v>0</v>
      </c>
      <c r="M825" s="10">
        <v>238</v>
      </c>
    </row>
    <row r="826" spans="1:13" x14ac:dyDescent="0.25">
      <c r="A826" s="12" t="str">
        <f t="shared" si="24"/>
        <v>27VANDIEGO MARQUES DA SILVA SANTOSRCB46232,3597222222</v>
      </c>
      <c r="B826" s="12" t="str">
        <f t="shared" si="25"/>
        <v>Agosto</v>
      </c>
      <c r="C826" s="8" t="s">
        <v>2506</v>
      </c>
      <c r="D826" s="8" t="s">
        <v>664</v>
      </c>
      <c r="E826" s="8" t="s">
        <v>194</v>
      </c>
      <c r="F826" s="23">
        <v>46232.359722222223</v>
      </c>
      <c r="G826" s="8" t="s">
        <v>1045</v>
      </c>
      <c r="H826" s="23">
        <v>46237</v>
      </c>
      <c r="I826" s="23">
        <v>46232.359722222223</v>
      </c>
      <c r="J826" s="10">
        <v>450</v>
      </c>
      <c r="K826" s="10">
        <v>0</v>
      </c>
      <c r="L826" s="24">
        <v>0</v>
      </c>
      <c r="M826" s="10">
        <v>450</v>
      </c>
    </row>
    <row r="827" spans="1:13" x14ac:dyDescent="0.25">
      <c r="A827" s="12" t="str">
        <f t="shared" si="24"/>
        <v>27DANIELA CHAVES MARIANORCB46274,5736111111</v>
      </c>
      <c r="B827" s="12" t="str">
        <f t="shared" si="25"/>
        <v>Setembro</v>
      </c>
      <c r="C827" s="8" t="s">
        <v>2506</v>
      </c>
      <c r="D827" s="8" t="s">
        <v>664</v>
      </c>
      <c r="E827" s="8" t="s">
        <v>47</v>
      </c>
      <c r="F827" s="23">
        <v>46274.573611111111</v>
      </c>
      <c r="G827" s="8" t="s">
        <v>1045</v>
      </c>
      <c r="H827" s="23">
        <v>46279</v>
      </c>
      <c r="I827" s="23">
        <v>46274.573611111111</v>
      </c>
      <c r="J827" s="10">
        <v>70</v>
      </c>
      <c r="K827" s="10">
        <v>0</v>
      </c>
      <c r="L827" s="24">
        <v>0</v>
      </c>
      <c r="M827" s="10">
        <v>70</v>
      </c>
    </row>
    <row r="828" spans="1:13" x14ac:dyDescent="0.25">
      <c r="A828" s="12" t="str">
        <f t="shared" si="24"/>
        <v>27FERNANDA SANTOS SOARESRCB46287,4138888889</v>
      </c>
      <c r="B828" s="12" t="str">
        <f t="shared" si="25"/>
        <v>Setembro</v>
      </c>
      <c r="C828" s="8" t="s">
        <v>2506</v>
      </c>
      <c r="D828" s="8" t="s">
        <v>664</v>
      </c>
      <c r="E828" s="8" t="s">
        <v>68</v>
      </c>
      <c r="F828" s="23">
        <v>46287.413888888892</v>
      </c>
      <c r="G828" s="8" t="s">
        <v>1045</v>
      </c>
      <c r="H828" s="23">
        <v>46293</v>
      </c>
      <c r="I828" s="23">
        <v>46287.413888888892</v>
      </c>
      <c r="J828" s="10">
        <v>91.11</v>
      </c>
      <c r="K828" s="10">
        <v>0</v>
      </c>
      <c r="L828" s="24">
        <v>0</v>
      </c>
      <c r="M828" s="10">
        <v>91.11</v>
      </c>
    </row>
    <row r="829" spans="1:13" x14ac:dyDescent="0.25">
      <c r="A829" s="12" t="str">
        <f t="shared" si="24"/>
        <v>2702MECANICA CRISTO REI LTDANFE46059</v>
      </c>
      <c r="B829" s="12" t="str">
        <f t="shared" si="25"/>
        <v>Março</v>
      </c>
      <c r="C829" s="8" t="s">
        <v>470</v>
      </c>
      <c r="D829" s="8" t="s">
        <v>664</v>
      </c>
      <c r="E829" s="8" t="s">
        <v>125</v>
      </c>
      <c r="F829" s="23">
        <v>46059</v>
      </c>
      <c r="G829" s="8" t="s">
        <v>380</v>
      </c>
      <c r="H829" s="23">
        <v>46089</v>
      </c>
      <c r="I829" s="23">
        <v>46064</v>
      </c>
      <c r="J829" s="10">
        <v>592</v>
      </c>
      <c r="K829" s="10">
        <v>0</v>
      </c>
      <c r="L829" s="24">
        <v>0</v>
      </c>
      <c r="M829" s="10">
        <v>592</v>
      </c>
    </row>
    <row r="830" spans="1:13" x14ac:dyDescent="0.25">
      <c r="A830" s="12" t="str">
        <f t="shared" si="24"/>
        <v>2702MECANICA CRISTO REI LTDANFE46059</v>
      </c>
      <c r="B830" s="12" t="str">
        <f t="shared" si="25"/>
        <v>Abril</v>
      </c>
      <c r="C830" s="8" t="s">
        <v>470</v>
      </c>
      <c r="D830" s="8" t="s">
        <v>664</v>
      </c>
      <c r="E830" s="8" t="s">
        <v>125</v>
      </c>
      <c r="F830" s="23">
        <v>46059</v>
      </c>
      <c r="G830" s="8" t="s">
        <v>380</v>
      </c>
      <c r="H830" s="23">
        <v>46120</v>
      </c>
      <c r="I830" s="23">
        <v>46064</v>
      </c>
      <c r="J830" s="10">
        <v>592</v>
      </c>
      <c r="K830" s="10">
        <v>0</v>
      </c>
      <c r="L830" s="24">
        <v>0</v>
      </c>
      <c r="M830" s="10">
        <v>592</v>
      </c>
    </row>
    <row r="831" spans="1:13" x14ac:dyDescent="0.25">
      <c r="A831" s="12" t="str">
        <f t="shared" si="24"/>
        <v>2707MECANICA CRISTO REI LTDANFE46071</v>
      </c>
      <c r="B831" s="12" t="str">
        <f t="shared" si="25"/>
        <v>Março</v>
      </c>
      <c r="C831" s="8" t="s">
        <v>471</v>
      </c>
      <c r="D831" s="8" t="s">
        <v>664</v>
      </c>
      <c r="E831" s="8" t="s">
        <v>125</v>
      </c>
      <c r="F831" s="23">
        <v>46071</v>
      </c>
      <c r="G831" s="8" t="s">
        <v>380</v>
      </c>
      <c r="H831" s="23">
        <v>46101</v>
      </c>
      <c r="I831" s="23">
        <v>46079</v>
      </c>
      <c r="J831" s="10">
        <v>386</v>
      </c>
      <c r="K831" s="10">
        <v>0</v>
      </c>
      <c r="L831" s="24">
        <v>0</v>
      </c>
      <c r="M831" s="10">
        <v>386</v>
      </c>
    </row>
    <row r="832" spans="1:13" x14ac:dyDescent="0.25">
      <c r="A832" s="12" t="str">
        <f t="shared" si="24"/>
        <v>2708MECANICA CRISTO REI LTDANFE46071</v>
      </c>
      <c r="B832" s="12" t="str">
        <f t="shared" si="25"/>
        <v>Março</v>
      </c>
      <c r="C832" s="8" t="s">
        <v>472</v>
      </c>
      <c r="D832" s="8" t="s">
        <v>664</v>
      </c>
      <c r="E832" s="8" t="s">
        <v>125</v>
      </c>
      <c r="F832" s="23">
        <v>46071</v>
      </c>
      <c r="G832" s="8" t="s">
        <v>380</v>
      </c>
      <c r="H832" s="23">
        <v>46101</v>
      </c>
      <c r="I832" s="23">
        <v>46079</v>
      </c>
      <c r="J832" s="10">
        <v>386</v>
      </c>
      <c r="K832" s="10">
        <v>0</v>
      </c>
      <c r="L832" s="24">
        <v>0</v>
      </c>
      <c r="M832" s="10">
        <v>386</v>
      </c>
    </row>
    <row r="833" spans="1:13" x14ac:dyDescent="0.25">
      <c r="A833" s="12" t="str">
        <f t="shared" si="24"/>
        <v>2725MECANICA CRISTO REI LTDANFE46090</v>
      </c>
      <c r="B833" s="12" t="str">
        <f t="shared" si="25"/>
        <v>Abril</v>
      </c>
      <c r="C833" s="8" t="s">
        <v>473</v>
      </c>
      <c r="D833" s="8" t="s">
        <v>664</v>
      </c>
      <c r="E833" s="8" t="s">
        <v>125</v>
      </c>
      <c r="F833" s="23">
        <v>46090</v>
      </c>
      <c r="G833" s="8" t="s">
        <v>380</v>
      </c>
      <c r="H833" s="23">
        <v>46120</v>
      </c>
      <c r="I833" s="23">
        <v>46091</v>
      </c>
      <c r="J833" s="10">
        <v>2413.29</v>
      </c>
      <c r="K833" s="10">
        <v>0</v>
      </c>
      <c r="L833" s="24">
        <v>0</v>
      </c>
      <c r="M833" s="10">
        <v>2413.29</v>
      </c>
    </row>
    <row r="834" spans="1:13" x14ac:dyDescent="0.25">
      <c r="A834" s="12" t="str">
        <f t="shared" ref="A834:A897" si="26">$C834&amp;$E834&amp;$G834&amp;$F834</f>
        <v>2729MECANICA CRISTO REI LTDANFE46100</v>
      </c>
      <c r="B834" s="12" t="str">
        <f t="shared" si="25"/>
        <v>Abril</v>
      </c>
      <c r="C834" s="8" t="s">
        <v>474</v>
      </c>
      <c r="D834" s="8" t="s">
        <v>664</v>
      </c>
      <c r="E834" s="8" t="s">
        <v>125</v>
      </c>
      <c r="F834" s="23">
        <v>46100</v>
      </c>
      <c r="G834" s="8" t="s">
        <v>380</v>
      </c>
      <c r="H834" s="23">
        <v>46131</v>
      </c>
      <c r="I834" s="23">
        <v>46119</v>
      </c>
      <c r="J834" s="10">
        <v>816.5</v>
      </c>
      <c r="K834" s="10">
        <v>0</v>
      </c>
      <c r="L834" s="24">
        <v>0</v>
      </c>
      <c r="M834" s="10">
        <v>816.5</v>
      </c>
    </row>
    <row r="835" spans="1:13" x14ac:dyDescent="0.25">
      <c r="A835" s="12" t="str">
        <f t="shared" si="26"/>
        <v>27381MERCEDES-BENZ CARS &amp; VANS BRASIL LTDANSE46043</v>
      </c>
      <c r="B835" s="12" t="str">
        <f t="shared" ref="B835:B898" si="27">PROPER(TEXT($H835,"MMMM"))</f>
        <v>Fevereiro</v>
      </c>
      <c r="C835" s="8" t="s">
        <v>808</v>
      </c>
      <c r="D835" s="8" t="s">
        <v>664</v>
      </c>
      <c r="E835" s="8" t="s">
        <v>127</v>
      </c>
      <c r="F835" s="23">
        <v>46043</v>
      </c>
      <c r="G835" s="8" t="s">
        <v>665</v>
      </c>
      <c r="H835" s="23">
        <v>46078</v>
      </c>
      <c r="I835" s="23">
        <v>46044</v>
      </c>
      <c r="J835" s="10">
        <v>52824.78</v>
      </c>
      <c r="K835" s="10">
        <v>0</v>
      </c>
      <c r="L835" s="24">
        <v>0</v>
      </c>
      <c r="M835" s="10">
        <v>50368.43</v>
      </c>
    </row>
    <row r="836" spans="1:13" x14ac:dyDescent="0.25">
      <c r="A836" s="12" t="str">
        <f t="shared" si="26"/>
        <v>27381-5952-87MINISTERIO DA FAZENDAIM46048,5673611111</v>
      </c>
      <c r="B836" s="12" t="str">
        <f t="shared" si="27"/>
        <v>Fevereiro</v>
      </c>
      <c r="C836" s="8" t="s">
        <v>1766</v>
      </c>
      <c r="D836" s="8" t="s">
        <v>664</v>
      </c>
      <c r="E836" s="8" t="s">
        <v>1503</v>
      </c>
      <c r="F836" s="23">
        <v>46048.567361111112</v>
      </c>
      <c r="G836" s="8" t="s">
        <v>1142</v>
      </c>
      <c r="H836" s="23">
        <v>46073</v>
      </c>
      <c r="I836" s="23">
        <v>46048.567361111112</v>
      </c>
      <c r="J836" s="10">
        <v>2456.35</v>
      </c>
      <c r="K836" s="10">
        <v>0</v>
      </c>
      <c r="L836" s="24">
        <v>0</v>
      </c>
      <c r="M836" s="10">
        <v>2456.35</v>
      </c>
    </row>
    <row r="837" spans="1:13" x14ac:dyDescent="0.25">
      <c r="A837" s="12" t="str">
        <f t="shared" si="26"/>
        <v>275MYRELLE ALVES RIBEIRONSE46127</v>
      </c>
      <c r="B837" s="12" t="str">
        <f t="shared" si="27"/>
        <v>Abril</v>
      </c>
      <c r="C837" s="8" t="s">
        <v>811</v>
      </c>
      <c r="D837" s="8" t="s">
        <v>1354</v>
      </c>
      <c r="E837" s="8" t="s">
        <v>812</v>
      </c>
      <c r="F837" s="23">
        <v>46127</v>
      </c>
      <c r="G837" s="8" t="s">
        <v>665</v>
      </c>
      <c r="H837" s="23">
        <v>46127</v>
      </c>
      <c r="I837" s="23">
        <v>46127</v>
      </c>
      <c r="J837" s="10">
        <v>4700</v>
      </c>
      <c r="K837" s="10">
        <v>0</v>
      </c>
      <c r="L837" s="24">
        <v>0</v>
      </c>
      <c r="M837" s="10">
        <v>4700</v>
      </c>
    </row>
    <row r="838" spans="1:13" x14ac:dyDescent="0.25">
      <c r="A838" s="12" t="str">
        <f t="shared" si="26"/>
        <v>276MINAS MAQUINAS SA | NOVA LIMANSE46055</v>
      </c>
      <c r="B838" s="12" t="str">
        <f t="shared" si="27"/>
        <v>Março</v>
      </c>
      <c r="C838" s="8" t="s">
        <v>814</v>
      </c>
      <c r="D838" s="8" t="s">
        <v>1354</v>
      </c>
      <c r="E838" s="8" t="s">
        <v>133</v>
      </c>
      <c r="F838" s="23">
        <v>46055</v>
      </c>
      <c r="G838" s="8" t="s">
        <v>665</v>
      </c>
      <c r="H838" s="23">
        <v>46085</v>
      </c>
      <c r="I838" s="23">
        <v>46056</v>
      </c>
      <c r="J838" s="10">
        <v>1815.33</v>
      </c>
      <c r="K838" s="10">
        <v>0</v>
      </c>
      <c r="L838" s="24">
        <v>0</v>
      </c>
      <c r="M838" s="10">
        <v>1815.33</v>
      </c>
    </row>
    <row r="839" spans="1:13" x14ac:dyDescent="0.25">
      <c r="A839" s="12" t="str">
        <f t="shared" si="26"/>
        <v>2762MECANICA CRISTO REI LTDANFE46114</v>
      </c>
      <c r="B839" s="12" t="str">
        <f t="shared" si="27"/>
        <v>Maio</v>
      </c>
      <c r="C839" s="8" t="s">
        <v>475</v>
      </c>
      <c r="D839" s="8" t="s">
        <v>664</v>
      </c>
      <c r="E839" s="8" t="s">
        <v>125</v>
      </c>
      <c r="F839" s="23">
        <v>46114</v>
      </c>
      <c r="G839" s="8" t="s">
        <v>380</v>
      </c>
      <c r="H839" s="23">
        <v>46144</v>
      </c>
      <c r="I839" s="23">
        <v>46120</v>
      </c>
      <c r="J839" s="10">
        <v>359.5</v>
      </c>
      <c r="K839" s="10">
        <v>0</v>
      </c>
      <c r="L839" s="24">
        <v>0</v>
      </c>
      <c r="M839" s="10">
        <v>359.5</v>
      </c>
    </row>
    <row r="840" spans="1:13" x14ac:dyDescent="0.25">
      <c r="A840" s="12" t="str">
        <f t="shared" si="26"/>
        <v>2763MECANICA CRISTO REI LTDANFE46114</v>
      </c>
      <c r="B840" s="12" t="str">
        <f t="shared" si="27"/>
        <v>Maio</v>
      </c>
      <c r="C840" s="8" t="s">
        <v>476</v>
      </c>
      <c r="D840" s="8" t="s">
        <v>664</v>
      </c>
      <c r="E840" s="8" t="s">
        <v>125</v>
      </c>
      <c r="F840" s="23">
        <v>46114</v>
      </c>
      <c r="G840" s="8" t="s">
        <v>380</v>
      </c>
      <c r="H840" s="23">
        <v>46144</v>
      </c>
      <c r="I840" s="23">
        <v>46120</v>
      </c>
      <c r="J840" s="10">
        <v>97</v>
      </c>
      <c r="K840" s="10">
        <v>0</v>
      </c>
      <c r="L840" s="24">
        <v>0</v>
      </c>
      <c r="M840" s="10">
        <v>97</v>
      </c>
    </row>
    <row r="841" spans="1:13" x14ac:dyDescent="0.25">
      <c r="A841" s="12" t="str">
        <f t="shared" si="26"/>
        <v>2764MECANICA CRISTO REI LTDANFE46114</v>
      </c>
      <c r="B841" s="12" t="str">
        <f t="shared" si="27"/>
        <v>Maio</v>
      </c>
      <c r="C841" s="8" t="s">
        <v>477</v>
      </c>
      <c r="D841" s="8" t="s">
        <v>664</v>
      </c>
      <c r="E841" s="8" t="s">
        <v>125</v>
      </c>
      <c r="F841" s="23">
        <v>46114</v>
      </c>
      <c r="G841" s="8" t="s">
        <v>380</v>
      </c>
      <c r="H841" s="23">
        <v>46144</v>
      </c>
      <c r="I841" s="23">
        <v>46120</v>
      </c>
      <c r="J841" s="10">
        <v>1419.5</v>
      </c>
      <c r="K841" s="10">
        <v>0</v>
      </c>
      <c r="L841" s="24">
        <v>0</v>
      </c>
      <c r="M841" s="10">
        <v>1419.5</v>
      </c>
    </row>
    <row r="842" spans="1:13" x14ac:dyDescent="0.25">
      <c r="A842" s="12" t="str">
        <f t="shared" si="26"/>
        <v>2772MECANICA CRISTO REI LTDANFE46134</v>
      </c>
      <c r="B842" s="12" t="str">
        <f t="shared" si="27"/>
        <v>Maio</v>
      </c>
      <c r="C842" s="8" t="s">
        <v>478</v>
      </c>
      <c r="D842" s="8" t="s">
        <v>664</v>
      </c>
      <c r="E842" s="8" t="s">
        <v>125</v>
      </c>
      <c r="F842" s="23">
        <v>46134</v>
      </c>
      <c r="G842" s="8" t="s">
        <v>380</v>
      </c>
      <c r="H842" s="23">
        <v>46164</v>
      </c>
      <c r="I842" s="23">
        <v>46139</v>
      </c>
      <c r="J842" s="10">
        <v>358.78</v>
      </c>
      <c r="K842" s="10">
        <v>0</v>
      </c>
      <c r="L842" s="24">
        <v>0</v>
      </c>
      <c r="M842" s="10">
        <v>358.78</v>
      </c>
    </row>
    <row r="843" spans="1:13" x14ac:dyDescent="0.25">
      <c r="A843" s="12" t="str">
        <f t="shared" si="26"/>
        <v>27754MERCEDES-BENZ CARS &amp; VANS BRASIL LTDANSE46062</v>
      </c>
      <c r="B843" s="12" t="str">
        <f t="shared" si="27"/>
        <v>Março</v>
      </c>
      <c r="C843" s="8" t="s">
        <v>815</v>
      </c>
      <c r="D843" s="8" t="s">
        <v>664</v>
      </c>
      <c r="E843" s="8" t="s">
        <v>127</v>
      </c>
      <c r="F843" s="23">
        <v>46062</v>
      </c>
      <c r="G843" s="8" t="s">
        <v>665</v>
      </c>
      <c r="H843" s="23">
        <v>46106</v>
      </c>
      <c r="I843" s="23">
        <v>46064</v>
      </c>
      <c r="J843" s="10">
        <v>52824.78</v>
      </c>
      <c r="K843" s="10">
        <v>0</v>
      </c>
      <c r="L843" s="24">
        <v>0</v>
      </c>
      <c r="M843" s="10">
        <v>50368.43</v>
      </c>
    </row>
    <row r="844" spans="1:13" x14ac:dyDescent="0.25">
      <c r="A844" s="12" t="str">
        <f t="shared" si="26"/>
        <v>27754-5952-87MINISTERIO DA FAZENDAIM46073,6354166667</v>
      </c>
      <c r="B844" s="12" t="str">
        <f t="shared" si="27"/>
        <v>Março</v>
      </c>
      <c r="C844" s="8" t="s">
        <v>2075</v>
      </c>
      <c r="D844" s="8" t="s">
        <v>664</v>
      </c>
      <c r="E844" s="8" t="s">
        <v>1503</v>
      </c>
      <c r="F844" s="23">
        <v>46073.635416666664</v>
      </c>
      <c r="G844" s="8" t="s">
        <v>1142</v>
      </c>
      <c r="H844" s="23">
        <v>46101</v>
      </c>
      <c r="I844" s="23">
        <v>46073.635416666664</v>
      </c>
      <c r="J844" s="10">
        <v>2456.35</v>
      </c>
      <c r="K844" s="10">
        <v>0</v>
      </c>
      <c r="L844" s="24">
        <v>0</v>
      </c>
      <c r="M844" s="10">
        <v>2456.35</v>
      </c>
    </row>
    <row r="845" spans="1:13" x14ac:dyDescent="0.25">
      <c r="A845" s="12" t="str">
        <f t="shared" si="26"/>
        <v>2785RECAPAGEM RECATEC LTDA.NSE46092</v>
      </c>
      <c r="B845" s="12" t="str">
        <f t="shared" si="27"/>
        <v>Abril</v>
      </c>
      <c r="C845" s="8" t="s">
        <v>816</v>
      </c>
      <c r="D845" s="8" t="s">
        <v>1354</v>
      </c>
      <c r="E845" s="8" t="s">
        <v>166</v>
      </c>
      <c r="F845" s="23">
        <v>46092</v>
      </c>
      <c r="G845" s="8" t="s">
        <v>665</v>
      </c>
      <c r="H845" s="23">
        <v>46122</v>
      </c>
      <c r="I845" s="23">
        <v>46093</v>
      </c>
      <c r="J845" s="10">
        <v>3093.33</v>
      </c>
      <c r="K845" s="10">
        <v>0</v>
      </c>
      <c r="L845" s="24">
        <v>0</v>
      </c>
      <c r="M845" s="10">
        <v>3093.33</v>
      </c>
    </row>
    <row r="846" spans="1:13" x14ac:dyDescent="0.25">
      <c r="A846" s="12" t="str">
        <f t="shared" si="26"/>
        <v>2785RECAPAGEM RECATEC LTDA.NSE46092</v>
      </c>
      <c r="B846" s="12" t="str">
        <f t="shared" si="27"/>
        <v>Maio</v>
      </c>
      <c r="C846" s="8" t="s">
        <v>816</v>
      </c>
      <c r="D846" s="8" t="s">
        <v>1354</v>
      </c>
      <c r="E846" s="8" t="s">
        <v>166</v>
      </c>
      <c r="F846" s="23">
        <v>46092</v>
      </c>
      <c r="G846" s="8" t="s">
        <v>665</v>
      </c>
      <c r="H846" s="23">
        <v>46153</v>
      </c>
      <c r="I846" s="23">
        <v>46093</v>
      </c>
      <c r="J846" s="10">
        <v>3093.33</v>
      </c>
      <c r="K846" s="10">
        <v>0</v>
      </c>
      <c r="L846" s="24">
        <v>0</v>
      </c>
      <c r="M846" s="10">
        <v>3093.33</v>
      </c>
    </row>
    <row r="847" spans="1:13" x14ac:dyDescent="0.25">
      <c r="A847" s="12" t="str">
        <f t="shared" si="26"/>
        <v>2785RECAPAGEM RECATEC LTDA.NSE46092</v>
      </c>
      <c r="B847" s="12" t="str">
        <f t="shared" si="27"/>
        <v>Junho</v>
      </c>
      <c r="C847" s="8" t="s">
        <v>816</v>
      </c>
      <c r="D847" s="8" t="s">
        <v>1354</v>
      </c>
      <c r="E847" s="8" t="s">
        <v>166</v>
      </c>
      <c r="F847" s="23">
        <v>46092</v>
      </c>
      <c r="G847" s="8" t="s">
        <v>665</v>
      </c>
      <c r="H847" s="23">
        <v>46182</v>
      </c>
      <c r="I847" s="23">
        <v>46093</v>
      </c>
      <c r="J847" s="10">
        <v>3093.34</v>
      </c>
      <c r="K847" s="10">
        <v>0</v>
      </c>
      <c r="L847" s="24">
        <v>0</v>
      </c>
      <c r="M847" s="10">
        <v>3093.34</v>
      </c>
    </row>
    <row r="848" spans="1:13" x14ac:dyDescent="0.25">
      <c r="A848" s="12" t="str">
        <f t="shared" si="26"/>
        <v>279PREVCENTER MANUTENÇAÕ E COMERCIO LTDANSE46113</v>
      </c>
      <c r="B848" s="12" t="str">
        <f t="shared" si="27"/>
        <v>Maio</v>
      </c>
      <c r="C848" s="8" t="s">
        <v>817</v>
      </c>
      <c r="D848" s="8" t="s">
        <v>1354</v>
      </c>
      <c r="E848" s="8" t="s">
        <v>560</v>
      </c>
      <c r="F848" s="23">
        <v>46113</v>
      </c>
      <c r="G848" s="8" t="s">
        <v>665</v>
      </c>
      <c r="H848" s="23">
        <v>46143</v>
      </c>
      <c r="I848" s="23">
        <v>46121</v>
      </c>
      <c r="J848" s="10">
        <v>6170</v>
      </c>
      <c r="K848" s="10">
        <v>0</v>
      </c>
      <c r="L848" s="24">
        <v>0</v>
      </c>
      <c r="M848" s="10">
        <v>6170</v>
      </c>
    </row>
    <row r="849" spans="1:13" x14ac:dyDescent="0.25">
      <c r="A849" s="12" t="str">
        <f t="shared" si="26"/>
        <v>2790MECANICA CRISTO REI LTDANFE46136</v>
      </c>
      <c r="B849" s="12" t="str">
        <f t="shared" si="27"/>
        <v>Maio</v>
      </c>
      <c r="C849" s="8" t="s">
        <v>479</v>
      </c>
      <c r="D849" s="8" t="s">
        <v>664</v>
      </c>
      <c r="E849" s="8" t="s">
        <v>125</v>
      </c>
      <c r="F849" s="23">
        <v>46136</v>
      </c>
      <c r="G849" s="8" t="s">
        <v>380</v>
      </c>
      <c r="H849" s="23">
        <v>46166</v>
      </c>
      <c r="I849" s="23">
        <v>46147</v>
      </c>
      <c r="J849" s="10">
        <v>1016</v>
      </c>
      <c r="K849" s="10">
        <v>0</v>
      </c>
      <c r="L849" s="24">
        <v>0</v>
      </c>
      <c r="M849" s="10">
        <v>1016</v>
      </c>
    </row>
    <row r="850" spans="1:13" x14ac:dyDescent="0.25">
      <c r="A850" s="12" t="str">
        <f t="shared" si="26"/>
        <v>28EDILSON RIBEIRO DA SILVARCB46171,4979166667</v>
      </c>
      <c r="B850" s="12" t="str">
        <f t="shared" si="27"/>
        <v>Junho</v>
      </c>
      <c r="C850" s="8" t="s">
        <v>641</v>
      </c>
      <c r="D850" s="8" t="s">
        <v>664</v>
      </c>
      <c r="E850" s="8" t="s">
        <v>56</v>
      </c>
      <c r="F850" s="23">
        <v>46171.497916666667</v>
      </c>
      <c r="G850" s="8" t="s">
        <v>1045</v>
      </c>
      <c r="H850" s="23">
        <v>46176</v>
      </c>
      <c r="I850" s="23">
        <v>46171.497916666667</v>
      </c>
      <c r="J850" s="10">
        <v>120</v>
      </c>
      <c r="K850" s="10">
        <v>0</v>
      </c>
      <c r="L850" s="24">
        <v>0</v>
      </c>
      <c r="M850" s="10">
        <v>120</v>
      </c>
    </row>
    <row r="851" spans="1:13" x14ac:dyDescent="0.25">
      <c r="A851" s="12" t="str">
        <f t="shared" si="26"/>
        <v>28FRANCISCO MARCIO CESAR DE MATOSRCB46182,4048611111</v>
      </c>
      <c r="B851" s="12" t="str">
        <f t="shared" si="27"/>
        <v>Junho</v>
      </c>
      <c r="C851" s="8" t="s">
        <v>641</v>
      </c>
      <c r="D851" s="8" t="s">
        <v>664</v>
      </c>
      <c r="E851" s="8" t="s">
        <v>72</v>
      </c>
      <c r="F851" s="23">
        <v>46182.404861111114</v>
      </c>
      <c r="G851" s="8" t="s">
        <v>1045</v>
      </c>
      <c r="H851" s="23">
        <v>46185</v>
      </c>
      <c r="I851" s="23">
        <v>46182.404861111114</v>
      </c>
      <c r="J851" s="10">
        <v>60</v>
      </c>
      <c r="K851" s="10">
        <v>0</v>
      </c>
      <c r="L851" s="24">
        <v>0</v>
      </c>
      <c r="M851" s="10">
        <v>60</v>
      </c>
    </row>
    <row r="852" spans="1:13" x14ac:dyDescent="0.25">
      <c r="A852" s="12" t="str">
        <f t="shared" si="26"/>
        <v>28GABRIEL MOUTINHO ALBINORCB46197,5916666667</v>
      </c>
      <c r="B852" s="12" t="str">
        <f t="shared" si="27"/>
        <v>Junho</v>
      </c>
      <c r="C852" s="8" t="s">
        <v>641</v>
      </c>
      <c r="D852" s="8" t="s">
        <v>664</v>
      </c>
      <c r="E852" s="8" t="s">
        <v>73</v>
      </c>
      <c r="F852" s="23">
        <v>46197.591666666667</v>
      </c>
      <c r="G852" s="8" t="s">
        <v>1045</v>
      </c>
      <c r="H852" s="23">
        <v>46202</v>
      </c>
      <c r="I852" s="23">
        <v>46197.591666666667</v>
      </c>
      <c r="J852" s="10">
        <v>90</v>
      </c>
      <c r="K852" s="10">
        <v>0</v>
      </c>
      <c r="L852" s="24">
        <v>0</v>
      </c>
      <c r="M852" s="10">
        <v>90</v>
      </c>
    </row>
    <row r="853" spans="1:13" x14ac:dyDescent="0.25">
      <c r="A853" s="12" t="str">
        <f t="shared" si="26"/>
        <v>28GUSTAVO HENRIQUE DE SOUZA BARBOSARCB46197,5784722222</v>
      </c>
      <c r="B853" s="12" t="str">
        <f t="shared" si="27"/>
        <v>Junho</v>
      </c>
      <c r="C853" s="8" t="s">
        <v>641</v>
      </c>
      <c r="D853" s="8" t="s">
        <v>664</v>
      </c>
      <c r="E853" s="8" t="s">
        <v>79</v>
      </c>
      <c r="F853" s="23">
        <v>46197.578472222223</v>
      </c>
      <c r="G853" s="8" t="s">
        <v>1045</v>
      </c>
      <c r="H853" s="23">
        <v>46202</v>
      </c>
      <c r="I853" s="23">
        <v>46197.578472222223</v>
      </c>
      <c r="J853" s="10">
        <v>237.5</v>
      </c>
      <c r="K853" s="10">
        <v>0</v>
      </c>
      <c r="L853" s="24">
        <v>0</v>
      </c>
      <c r="M853" s="10">
        <v>237.5</v>
      </c>
    </row>
    <row r="854" spans="1:13" x14ac:dyDescent="0.25">
      <c r="A854" s="12" t="str">
        <f t="shared" si="26"/>
        <v>28WALACE ROCHA DE SOUZARCB46203,5868055556</v>
      </c>
      <c r="B854" s="12" t="str">
        <f t="shared" si="27"/>
        <v>Julho</v>
      </c>
      <c r="C854" s="8" t="s">
        <v>641</v>
      </c>
      <c r="D854" s="8" t="s">
        <v>664</v>
      </c>
      <c r="E854" s="8" t="s">
        <v>200</v>
      </c>
      <c r="F854" s="23">
        <v>46203.586805555555</v>
      </c>
      <c r="G854" s="8" t="s">
        <v>1045</v>
      </c>
      <c r="H854" s="23">
        <v>46206</v>
      </c>
      <c r="I854" s="23">
        <v>46203.586805555555</v>
      </c>
      <c r="J854" s="10">
        <v>205</v>
      </c>
      <c r="K854" s="10">
        <v>0</v>
      </c>
      <c r="L854" s="24">
        <v>0</v>
      </c>
      <c r="M854" s="10">
        <v>205</v>
      </c>
    </row>
    <row r="855" spans="1:13" x14ac:dyDescent="0.25">
      <c r="A855" s="12" t="str">
        <f t="shared" si="26"/>
        <v>28VANDIEGO MARQUES DA SILVA SANTOSRCB46237,3875</v>
      </c>
      <c r="B855" s="12" t="str">
        <f t="shared" si="27"/>
        <v>Agosto</v>
      </c>
      <c r="C855" s="8" t="s">
        <v>641</v>
      </c>
      <c r="D855" s="8" t="s">
        <v>664</v>
      </c>
      <c r="E855" s="8" t="s">
        <v>194</v>
      </c>
      <c r="F855" s="23">
        <v>46237.387499999997</v>
      </c>
      <c r="G855" s="8" t="s">
        <v>1045</v>
      </c>
      <c r="H855" s="23">
        <v>46240</v>
      </c>
      <c r="I855" s="23">
        <v>46237.387499999997</v>
      </c>
      <c r="J855" s="10">
        <v>150</v>
      </c>
      <c r="K855" s="10">
        <v>0</v>
      </c>
      <c r="L855" s="24">
        <v>0</v>
      </c>
      <c r="M855" s="10">
        <v>150</v>
      </c>
    </row>
    <row r="856" spans="1:13" x14ac:dyDescent="0.25">
      <c r="A856" s="12" t="str">
        <f t="shared" si="26"/>
        <v>28FR RODAS COMERCIO E SERVIÇOSNFS46204</v>
      </c>
      <c r="B856" s="12" t="str">
        <f t="shared" si="27"/>
        <v>Agosto</v>
      </c>
      <c r="C856" s="8" t="s">
        <v>641</v>
      </c>
      <c r="D856" s="8" t="s">
        <v>1354</v>
      </c>
      <c r="E856" s="8" t="s">
        <v>70</v>
      </c>
      <c r="F856" s="23">
        <v>46204</v>
      </c>
      <c r="G856" s="8" t="s">
        <v>614</v>
      </c>
      <c r="H856" s="23">
        <v>46235</v>
      </c>
      <c r="I856" s="23">
        <v>46210</v>
      </c>
      <c r="J856" s="10">
        <v>320</v>
      </c>
      <c r="K856" s="10">
        <v>0</v>
      </c>
      <c r="L856" s="24">
        <v>0</v>
      </c>
      <c r="M856" s="10">
        <v>313.12</v>
      </c>
    </row>
    <row r="857" spans="1:13" x14ac:dyDescent="0.25">
      <c r="A857" s="12" t="str">
        <f t="shared" si="26"/>
        <v>28MARCOS TADEU GOMES FIDELISRCB46287,4131944444</v>
      </c>
      <c r="B857" s="12" t="str">
        <f t="shared" si="27"/>
        <v>Setembro</v>
      </c>
      <c r="C857" s="8" t="s">
        <v>641</v>
      </c>
      <c r="D857" s="8" t="s">
        <v>664</v>
      </c>
      <c r="E857" s="8" t="s">
        <v>122</v>
      </c>
      <c r="F857" s="23">
        <v>46287.413194444445</v>
      </c>
      <c r="G857" s="8" t="s">
        <v>1045</v>
      </c>
      <c r="H857" s="23">
        <v>46293</v>
      </c>
      <c r="I857" s="23">
        <v>46287.413194444445</v>
      </c>
      <c r="J857" s="10">
        <v>110</v>
      </c>
      <c r="K857" s="10">
        <v>0</v>
      </c>
      <c r="L857" s="24">
        <v>0</v>
      </c>
      <c r="M857" s="10">
        <v>110</v>
      </c>
    </row>
    <row r="858" spans="1:13" x14ac:dyDescent="0.25">
      <c r="A858" s="12" t="str">
        <f t="shared" si="26"/>
        <v>28FERNANDA SANTOS SOARESRCB46288,4145833333</v>
      </c>
      <c r="B858" s="12" t="str">
        <f t="shared" si="27"/>
        <v>Setembro</v>
      </c>
      <c r="C858" s="8" t="s">
        <v>641</v>
      </c>
      <c r="D858" s="8" t="s">
        <v>664</v>
      </c>
      <c r="E858" s="8" t="s">
        <v>68</v>
      </c>
      <c r="F858" s="23">
        <v>46288.414583333331</v>
      </c>
      <c r="G858" s="8" t="s">
        <v>1045</v>
      </c>
      <c r="H858" s="23">
        <v>46293</v>
      </c>
      <c r="I858" s="23">
        <v>46288.414583333331</v>
      </c>
      <c r="J858" s="10">
        <v>72.8</v>
      </c>
      <c r="K858" s="10">
        <v>0</v>
      </c>
      <c r="L858" s="24">
        <v>0</v>
      </c>
      <c r="M858" s="10">
        <v>72.8</v>
      </c>
    </row>
    <row r="859" spans="1:13" x14ac:dyDescent="0.25">
      <c r="A859" s="12" t="str">
        <f t="shared" si="26"/>
        <v>2805OPENSYSTECH SERVICOS DE MANUTENCAO DE SISTEMAS LTDANFS46031</v>
      </c>
      <c r="B859" s="12" t="str">
        <f t="shared" si="27"/>
        <v>Fevereiro</v>
      </c>
      <c r="C859" s="8" t="s">
        <v>643</v>
      </c>
      <c r="D859" s="8" t="s">
        <v>664</v>
      </c>
      <c r="E859" s="8" t="s">
        <v>145</v>
      </c>
      <c r="F859" s="23">
        <v>46031</v>
      </c>
      <c r="G859" s="8" t="s">
        <v>614</v>
      </c>
      <c r="H859" s="23">
        <v>46059</v>
      </c>
      <c r="I859" s="23">
        <v>46037</v>
      </c>
      <c r="J859" s="10">
        <v>936.1</v>
      </c>
      <c r="K859" s="10">
        <v>0</v>
      </c>
      <c r="L859" s="24">
        <v>0</v>
      </c>
      <c r="M859" s="10">
        <v>936.1</v>
      </c>
    </row>
    <row r="860" spans="1:13" x14ac:dyDescent="0.25">
      <c r="A860" s="12" t="str">
        <f t="shared" si="26"/>
        <v>2807MECANICA CRISTO REI LTDANFE46163</v>
      </c>
      <c r="B860" s="12" t="str">
        <f t="shared" si="27"/>
        <v>Junho</v>
      </c>
      <c r="C860" s="8" t="s">
        <v>480</v>
      </c>
      <c r="D860" s="8" t="s">
        <v>664</v>
      </c>
      <c r="E860" s="8" t="s">
        <v>125</v>
      </c>
      <c r="F860" s="23">
        <v>46163</v>
      </c>
      <c r="G860" s="8" t="s">
        <v>380</v>
      </c>
      <c r="H860" s="23">
        <v>46183</v>
      </c>
      <c r="I860" s="23">
        <v>46163</v>
      </c>
      <c r="J860" s="10">
        <v>1021</v>
      </c>
      <c r="K860" s="10">
        <v>0</v>
      </c>
      <c r="L860" s="24">
        <v>0</v>
      </c>
      <c r="M860" s="10">
        <v>1021</v>
      </c>
    </row>
    <row r="861" spans="1:13" x14ac:dyDescent="0.25">
      <c r="A861" s="12" t="str">
        <f t="shared" si="26"/>
        <v>2808MECANICA CRISTO REI LTDANFE46163</v>
      </c>
      <c r="B861" s="12" t="str">
        <f t="shared" si="27"/>
        <v>Junho</v>
      </c>
      <c r="C861" s="8" t="s">
        <v>481</v>
      </c>
      <c r="D861" s="8" t="s">
        <v>664</v>
      </c>
      <c r="E861" s="8" t="s">
        <v>125</v>
      </c>
      <c r="F861" s="23">
        <v>46163</v>
      </c>
      <c r="G861" s="8" t="s">
        <v>380</v>
      </c>
      <c r="H861" s="23">
        <v>46183</v>
      </c>
      <c r="I861" s="23">
        <v>46163</v>
      </c>
      <c r="J861" s="10">
        <v>506.6</v>
      </c>
      <c r="K861" s="10">
        <v>0</v>
      </c>
      <c r="L861" s="24">
        <v>0</v>
      </c>
      <c r="M861" s="10">
        <v>506.6</v>
      </c>
    </row>
    <row r="862" spans="1:13" x14ac:dyDescent="0.25">
      <c r="A862" s="12" t="str">
        <f t="shared" si="26"/>
        <v>28193OCUPACIONAL MEDICINA DO TRABALHO LTDANSE46224</v>
      </c>
      <c r="B862" s="12" t="str">
        <f t="shared" si="27"/>
        <v>Setembro</v>
      </c>
      <c r="C862" s="8" t="s">
        <v>818</v>
      </c>
      <c r="D862" s="8" t="s">
        <v>664</v>
      </c>
      <c r="E862" s="8" t="s">
        <v>142</v>
      </c>
      <c r="F862" s="23">
        <v>46224</v>
      </c>
      <c r="G862" s="8" t="s">
        <v>665</v>
      </c>
      <c r="H862" s="23">
        <v>46271</v>
      </c>
      <c r="I862" s="23">
        <v>46225</v>
      </c>
      <c r="J862" s="10">
        <v>653.91999999999996</v>
      </c>
      <c r="K862" s="10">
        <v>0</v>
      </c>
      <c r="L862" s="24">
        <v>0</v>
      </c>
      <c r="M862" s="10">
        <v>623.51</v>
      </c>
    </row>
    <row r="863" spans="1:13" x14ac:dyDescent="0.25">
      <c r="A863" s="12" t="str">
        <f t="shared" si="26"/>
        <v>28193-5952-87MINISTERIO DA FAZENDAIM46231,4048611111</v>
      </c>
      <c r="B863" s="12" t="str">
        <f t="shared" si="27"/>
        <v>Agosto</v>
      </c>
      <c r="C863" s="8" t="s">
        <v>3002</v>
      </c>
      <c r="D863" s="8" t="s">
        <v>664</v>
      </c>
      <c r="E863" s="8" t="s">
        <v>1503</v>
      </c>
      <c r="F863" s="23">
        <v>46231.404861111114</v>
      </c>
      <c r="G863" s="8" t="s">
        <v>1142</v>
      </c>
      <c r="H863" s="23">
        <v>46254</v>
      </c>
      <c r="I863" s="23">
        <v>46231.404861111114</v>
      </c>
      <c r="J863" s="10">
        <v>30.41</v>
      </c>
      <c r="K863" s="10">
        <v>0</v>
      </c>
      <c r="L863" s="24">
        <v>0</v>
      </c>
      <c r="M863" s="10">
        <v>30.41</v>
      </c>
    </row>
    <row r="864" spans="1:13" x14ac:dyDescent="0.25">
      <c r="A864" s="12" t="str">
        <f t="shared" si="26"/>
        <v>28194OCUPACIONAL MEDICINA DO TRABALHO LTDANSE46224</v>
      </c>
      <c r="B864" s="12" t="str">
        <f t="shared" si="27"/>
        <v>Setembro</v>
      </c>
      <c r="C864" s="8" t="s">
        <v>819</v>
      </c>
      <c r="D864" s="8" t="s">
        <v>664</v>
      </c>
      <c r="E864" s="8" t="s">
        <v>142</v>
      </c>
      <c r="F864" s="23">
        <v>46224</v>
      </c>
      <c r="G864" s="8" t="s">
        <v>665</v>
      </c>
      <c r="H864" s="23">
        <v>46271</v>
      </c>
      <c r="I864" s="23">
        <v>46225</v>
      </c>
      <c r="J864" s="10">
        <v>653.91999999999996</v>
      </c>
      <c r="K864" s="10">
        <v>0</v>
      </c>
      <c r="L864" s="24">
        <v>0</v>
      </c>
      <c r="M864" s="10">
        <v>623.51</v>
      </c>
    </row>
    <row r="865" spans="1:13" x14ac:dyDescent="0.25">
      <c r="A865" s="12" t="str">
        <f t="shared" si="26"/>
        <v>28194-5952-87MINISTERIO DA FAZENDAIM46231,4076388889</v>
      </c>
      <c r="B865" s="12" t="str">
        <f t="shared" si="27"/>
        <v>Agosto</v>
      </c>
      <c r="C865" s="8" t="s">
        <v>3003</v>
      </c>
      <c r="D865" s="8" t="s">
        <v>664</v>
      </c>
      <c r="E865" s="8" t="s">
        <v>1503</v>
      </c>
      <c r="F865" s="23">
        <v>46231.407638888886</v>
      </c>
      <c r="G865" s="8" t="s">
        <v>1142</v>
      </c>
      <c r="H865" s="23">
        <v>46254</v>
      </c>
      <c r="I865" s="23">
        <v>46231.407638888886</v>
      </c>
      <c r="J865" s="10">
        <v>30.41</v>
      </c>
      <c r="K865" s="10">
        <v>0</v>
      </c>
      <c r="L865" s="24">
        <v>0</v>
      </c>
      <c r="M865" s="10">
        <v>30.41</v>
      </c>
    </row>
    <row r="866" spans="1:13" x14ac:dyDescent="0.25">
      <c r="A866" s="12" t="str">
        <f t="shared" si="26"/>
        <v>2831PREVCENTER REPARACAO E MANUTENCAO LTDANSE45996</v>
      </c>
      <c r="B866" s="12" t="str">
        <f t="shared" si="27"/>
        <v>Janeiro</v>
      </c>
      <c r="C866" s="8" t="s">
        <v>1427</v>
      </c>
      <c r="D866" s="8" t="s">
        <v>1354</v>
      </c>
      <c r="E866" s="8" t="s">
        <v>1426</v>
      </c>
      <c r="F866" s="23">
        <v>45996</v>
      </c>
      <c r="G866" s="8" t="s">
        <v>665</v>
      </c>
      <c r="H866" s="23">
        <v>46028</v>
      </c>
      <c r="I866" s="23">
        <v>45999</v>
      </c>
      <c r="J866" s="10">
        <v>1160</v>
      </c>
      <c r="K866" s="10">
        <v>0</v>
      </c>
      <c r="L866" s="24">
        <v>0</v>
      </c>
      <c r="M866" s="10">
        <v>1160</v>
      </c>
    </row>
    <row r="867" spans="1:13" x14ac:dyDescent="0.25">
      <c r="A867" s="12" t="str">
        <f t="shared" si="26"/>
        <v>285GSC AUTO CENTER E PECAS LTDANSE46185</v>
      </c>
      <c r="B867" s="12" t="str">
        <f t="shared" si="27"/>
        <v>Julho</v>
      </c>
      <c r="C867" s="8" t="s">
        <v>820</v>
      </c>
      <c r="D867" s="8" t="s">
        <v>1354</v>
      </c>
      <c r="E867" s="8" t="s">
        <v>77</v>
      </c>
      <c r="F867" s="23">
        <v>46185</v>
      </c>
      <c r="G867" s="8" t="s">
        <v>665</v>
      </c>
      <c r="H867" s="23">
        <v>46209</v>
      </c>
      <c r="I867" s="23">
        <v>46188</v>
      </c>
      <c r="J867" s="10">
        <v>150</v>
      </c>
      <c r="K867" s="10">
        <v>0</v>
      </c>
      <c r="L867" s="24">
        <v>0</v>
      </c>
      <c r="M867" s="10">
        <v>150</v>
      </c>
    </row>
    <row r="868" spans="1:13" x14ac:dyDescent="0.25">
      <c r="A868" s="12" t="str">
        <f t="shared" si="26"/>
        <v>2853MECANICA CRISTO REI LTDANFE46169</v>
      </c>
      <c r="B868" s="12" t="str">
        <f t="shared" si="27"/>
        <v>Junho</v>
      </c>
      <c r="C868" s="8" t="s">
        <v>482</v>
      </c>
      <c r="D868" s="8" t="s">
        <v>664</v>
      </c>
      <c r="E868" s="8" t="s">
        <v>125</v>
      </c>
      <c r="F868" s="23">
        <v>46169</v>
      </c>
      <c r="G868" s="8" t="s">
        <v>380</v>
      </c>
      <c r="H868" s="23">
        <v>46199</v>
      </c>
      <c r="I868" s="23">
        <v>46176</v>
      </c>
      <c r="J868" s="10">
        <v>460</v>
      </c>
      <c r="K868" s="10">
        <v>0</v>
      </c>
      <c r="L868" s="24">
        <v>0</v>
      </c>
      <c r="M868" s="10">
        <v>460</v>
      </c>
    </row>
    <row r="869" spans="1:13" x14ac:dyDescent="0.25">
      <c r="A869" s="12" t="str">
        <f t="shared" si="26"/>
        <v>2853MANFERRARI SERVICE LTDANSE46168</v>
      </c>
      <c r="B869" s="12" t="str">
        <f t="shared" si="27"/>
        <v>Julho</v>
      </c>
      <c r="C869" s="8" t="s">
        <v>482</v>
      </c>
      <c r="D869" s="8" t="s">
        <v>1354</v>
      </c>
      <c r="E869" s="8" t="s">
        <v>117</v>
      </c>
      <c r="F869" s="23">
        <v>46168</v>
      </c>
      <c r="G869" s="8" t="s">
        <v>665</v>
      </c>
      <c r="H869" s="23">
        <v>46209</v>
      </c>
      <c r="I869" s="23">
        <v>46168</v>
      </c>
      <c r="J869" s="10">
        <v>200</v>
      </c>
      <c r="K869" s="10">
        <v>0</v>
      </c>
      <c r="L869" s="24">
        <v>0</v>
      </c>
      <c r="M869" s="10">
        <v>196</v>
      </c>
    </row>
    <row r="870" spans="1:13" x14ac:dyDescent="0.25">
      <c r="A870" s="12" t="str">
        <f t="shared" si="26"/>
        <v>2856MECANICA CRISTO REI LTDANFE46169</v>
      </c>
      <c r="B870" s="12" t="str">
        <f t="shared" si="27"/>
        <v>Junho</v>
      </c>
      <c r="C870" s="8" t="s">
        <v>483</v>
      </c>
      <c r="D870" s="8" t="s">
        <v>664</v>
      </c>
      <c r="E870" s="8" t="s">
        <v>125</v>
      </c>
      <c r="F870" s="23">
        <v>46169</v>
      </c>
      <c r="G870" s="8" t="s">
        <v>380</v>
      </c>
      <c r="H870" s="23">
        <v>46199</v>
      </c>
      <c r="I870" s="23">
        <v>46176</v>
      </c>
      <c r="J870" s="10">
        <v>330</v>
      </c>
      <c r="K870" s="10">
        <v>0</v>
      </c>
      <c r="L870" s="24">
        <v>0</v>
      </c>
      <c r="M870" s="10">
        <v>330</v>
      </c>
    </row>
    <row r="871" spans="1:13" x14ac:dyDescent="0.25">
      <c r="A871" s="12" t="str">
        <f t="shared" si="26"/>
        <v>28967MERCEDES-BENZ CARS &amp; VANS BRASIL LTDANSE46087</v>
      </c>
      <c r="B871" s="12" t="str">
        <f t="shared" si="27"/>
        <v>Abril</v>
      </c>
      <c r="C871" s="8" t="s">
        <v>821</v>
      </c>
      <c r="D871" s="8" t="s">
        <v>664</v>
      </c>
      <c r="E871" s="8" t="s">
        <v>127</v>
      </c>
      <c r="F871" s="23">
        <v>46087</v>
      </c>
      <c r="G871" s="8" t="s">
        <v>665</v>
      </c>
      <c r="H871" s="23">
        <v>46139</v>
      </c>
      <c r="I871" s="23">
        <v>46093</v>
      </c>
      <c r="J871" s="10">
        <v>52824.78</v>
      </c>
      <c r="K871" s="10">
        <v>0</v>
      </c>
      <c r="L871" s="24">
        <v>0</v>
      </c>
      <c r="M871" s="10">
        <v>50368.43</v>
      </c>
    </row>
    <row r="872" spans="1:13" x14ac:dyDescent="0.25">
      <c r="A872" s="12" t="str">
        <f t="shared" si="26"/>
        <v>28967-5952-87MINISTERIO DA FAZENDAIM46105,675</v>
      </c>
      <c r="B872" s="12" t="str">
        <f t="shared" si="27"/>
        <v>Abril</v>
      </c>
      <c r="C872" s="8" t="s">
        <v>2234</v>
      </c>
      <c r="D872" s="8" t="s">
        <v>664</v>
      </c>
      <c r="E872" s="8" t="s">
        <v>1503</v>
      </c>
      <c r="F872" s="23">
        <v>46105.675000000003</v>
      </c>
      <c r="G872" s="8" t="s">
        <v>1142</v>
      </c>
      <c r="H872" s="23">
        <v>46132</v>
      </c>
      <c r="I872" s="23">
        <v>46105.675000000003</v>
      </c>
      <c r="J872" s="10">
        <v>2456.35</v>
      </c>
      <c r="K872" s="10">
        <v>0</v>
      </c>
      <c r="L872" s="24">
        <v>0</v>
      </c>
      <c r="M872" s="10">
        <v>2456.35</v>
      </c>
    </row>
    <row r="873" spans="1:13" x14ac:dyDescent="0.25">
      <c r="A873" s="12" t="str">
        <f t="shared" si="26"/>
        <v>29EDILSON RIBEIRO DA SILVARCB46188,6111111111</v>
      </c>
      <c r="B873" s="12" t="str">
        <f t="shared" si="27"/>
        <v>Junho</v>
      </c>
      <c r="C873" s="8" t="s">
        <v>484</v>
      </c>
      <c r="D873" s="8" t="s">
        <v>664</v>
      </c>
      <c r="E873" s="8" t="s">
        <v>56</v>
      </c>
      <c r="F873" s="23">
        <v>46188.611111111109</v>
      </c>
      <c r="G873" s="8" t="s">
        <v>1045</v>
      </c>
      <c r="H873" s="23">
        <v>46191</v>
      </c>
      <c r="I873" s="23">
        <v>46188.611111111109</v>
      </c>
      <c r="J873" s="10">
        <v>120</v>
      </c>
      <c r="K873" s="10">
        <v>0</v>
      </c>
      <c r="L873" s="24">
        <v>0</v>
      </c>
      <c r="M873" s="10">
        <v>120</v>
      </c>
    </row>
    <row r="874" spans="1:13" x14ac:dyDescent="0.25">
      <c r="A874" s="12" t="str">
        <f t="shared" si="26"/>
        <v>29FRANCISCO MARCIO CESAR DE MATOSRCB46195,6513888889</v>
      </c>
      <c r="B874" s="12" t="str">
        <f t="shared" si="27"/>
        <v>Junho</v>
      </c>
      <c r="C874" s="8" t="s">
        <v>484</v>
      </c>
      <c r="D874" s="8" t="s">
        <v>664</v>
      </c>
      <c r="E874" s="8" t="s">
        <v>72</v>
      </c>
      <c r="F874" s="23">
        <v>46195.651388888888</v>
      </c>
      <c r="G874" s="8" t="s">
        <v>1045</v>
      </c>
      <c r="H874" s="23">
        <v>46198</v>
      </c>
      <c r="I874" s="23">
        <v>46195.651388888888</v>
      </c>
      <c r="J874" s="10">
        <v>362</v>
      </c>
      <c r="K874" s="10">
        <v>0</v>
      </c>
      <c r="L874" s="24">
        <v>0</v>
      </c>
      <c r="M874" s="10">
        <v>362</v>
      </c>
    </row>
    <row r="875" spans="1:13" x14ac:dyDescent="0.25">
      <c r="A875" s="12" t="str">
        <f t="shared" si="26"/>
        <v>29GABRIEL MOUTINHO ALBINORCB46198,4131944444</v>
      </c>
      <c r="B875" s="12" t="str">
        <f t="shared" si="27"/>
        <v>Junho</v>
      </c>
      <c r="C875" s="8" t="s">
        <v>484</v>
      </c>
      <c r="D875" s="8" t="s">
        <v>664</v>
      </c>
      <c r="E875" s="8" t="s">
        <v>73</v>
      </c>
      <c r="F875" s="23">
        <v>46198.413194444445</v>
      </c>
      <c r="G875" s="8" t="s">
        <v>1045</v>
      </c>
      <c r="H875" s="23">
        <v>46203</v>
      </c>
      <c r="I875" s="23">
        <v>46198.413194444445</v>
      </c>
      <c r="J875" s="10">
        <v>145</v>
      </c>
      <c r="K875" s="10">
        <v>0</v>
      </c>
      <c r="L875" s="24">
        <v>0</v>
      </c>
      <c r="M875" s="10">
        <v>145</v>
      </c>
    </row>
    <row r="876" spans="1:13" x14ac:dyDescent="0.25">
      <c r="A876" s="12" t="str">
        <f t="shared" si="26"/>
        <v>29WALACE ROCHA DE SOUZARCB46220,4465277778</v>
      </c>
      <c r="B876" s="12" t="str">
        <f t="shared" si="27"/>
        <v>Julho</v>
      </c>
      <c r="C876" s="8" t="s">
        <v>484</v>
      </c>
      <c r="D876" s="8" t="s">
        <v>664</v>
      </c>
      <c r="E876" s="8" t="s">
        <v>200</v>
      </c>
      <c r="F876" s="23">
        <v>46220.446527777778</v>
      </c>
      <c r="G876" s="8" t="s">
        <v>1045</v>
      </c>
      <c r="H876" s="23">
        <v>46225</v>
      </c>
      <c r="I876" s="23">
        <v>46220.446527777778</v>
      </c>
      <c r="J876" s="10">
        <v>98.45</v>
      </c>
      <c r="K876" s="10">
        <v>0</v>
      </c>
      <c r="L876" s="24">
        <v>0</v>
      </c>
      <c r="M876" s="10">
        <v>98.45</v>
      </c>
    </row>
    <row r="877" spans="1:13" x14ac:dyDescent="0.25">
      <c r="A877" s="12" t="str">
        <f t="shared" si="26"/>
        <v>29GUSTAVO HENRIQUE DE SOUZA BARBOSARCB46232,3555555556</v>
      </c>
      <c r="B877" s="12" t="str">
        <f t="shared" si="27"/>
        <v>Agosto</v>
      </c>
      <c r="C877" s="8" t="s">
        <v>484</v>
      </c>
      <c r="D877" s="8" t="s">
        <v>664</v>
      </c>
      <c r="E877" s="8" t="s">
        <v>79</v>
      </c>
      <c r="F877" s="23">
        <v>46232.355555555558</v>
      </c>
      <c r="G877" s="8" t="s">
        <v>1045</v>
      </c>
      <c r="H877" s="23">
        <v>46237</v>
      </c>
      <c r="I877" s="23">
        <v>46232.355555555558</v>
      </c>
      <c r="J877" s="10">
        <v>145.6</v>
      </c>
      <c r="K877" s="10">
        <v>0</v>
      </c>
      <c r="L877" s="24">
        <v>0</v>
      </c>
      <c r="M877" s="10">
        <v>145.6</v>
      </c>
    </row>
    <row r="878" spans="1:13" x14ac:dyDescent="0.25">
      <c r="A878" s="12" t="str">
        <f t="shared" si="26"/>
        <v>29VANDIEGO MARQUES DA SILVA SANTOSRCB46251,3569444444</v>
      </c>
      <c r="B878" s="12" t="str">
        <f t="shared" si="27"/>
        <v>Agosto</v>
      </c>
      <c r="C878" s="8" t="s">
        <v>484</v>
      </c>
      <c r="D878" s="8" t="s">
        <v>664</v>
      </c>
      <c r="E878" s="8" t="s">
        <v>194</v>
      </c>
      <c r="F878" s="23">
        <v>46251.356944444444</v>
      </c>
      <c r="G878" s="8" t="s">
        <v>1045</v>
      </c>
      <c r="H878" s="23">
        <v>46254</v>
      </c>
      <c r="I878" s="23">
        <v>46251.356944444444</v>
      </c>
      <c r="J878" s="10">
        <v>120</v>
      </c>
      <c r="K878" s="10">
        <v>0</v>
      </c>
      <c r="L878" s="24">
        <v>0</v>
      </c>
      <c r="M878" s="10">
        <v>120</v>
      </c>
    </row>
    <row r="879" spans="1:13" x14ac:dyDescent="0.25">
      <c r="A879" s="12" t="str">
        <f t="shared" si="26"/>
        <v>29CASA DA SPRINTER LTDANFE46259</v>
      </c>
      <c r="B879" s="12" t="str">
        <f t="shared" si="27"/>
        <v>Setembro</v>
      </c>
      <c r="C879" s="8" t="s">
        <v>484</v>
      </c>
      <c r="D879" s="8" t="s">
        <v>664</v>
      </c>
      <c r="E879" s="8" t="s">
        <v>205</v>
      </c>
      <c r="F879" s="23">
        <v>46259</v>
      </c>
      <c r="G879" s="8" t="s">
        <v>380</v>
      </c>
      <c r="H879" s="23">
        <v>46288</v>
      </c>
      <c r="I879" s="23">
        <v>46261</v>
      </c>
      <c r="J879" s="10">
        <v>1740</v>
      </c>
      <c r="K879" s="10">
        <v>0</v>
      </c>
      <c r="L879" s="24">
        <v>0</v>
      </c>
      <c r="M879" s="10">
        <v>1740</v>
      </c>
    </row>
    <row r="880" spans="1:13" x14ac:dyDescent="0.25">
      <c r="A880" s="12" t="str">
        <f t="shared" si="26"/>
        <v>29MARCOS TADEU GOMES FIDELISRCB46293,6284722222</v>
      </c>
      <c r="B880" s="12" t="str">
        <f t="shared" si="27"/>
        <v>Outubro</v>
      </c>
      <c r="C880" s="8" t="s">
        <v>484</v>
      </c>
      <c r="D880" s="8" t="s">
        <v>664</v>
      </c>
      <c r="E880" s="8" t="s">
        <v>122</v>
      </c>
      <c r="F880" s="23">
        <v>46293.628472222219</v>
      </c>
      <c r="G880" s="8" t="s">
        <v>1045</v>
      </c>
      <c r="H880" s="23">
        <v>46296</v>
      </c>
      <c r="I880" s="23">
        <v>46293.628472222219</v>
      </c>
      <c r="J880" s="10">
        <v>126</v>
      </c>
      <c r="K880" s="10">
        <v>0</v>
      </c>
      <c r="L880" s="24">
        <v>0</v>
      </c>
      <c r="M880" s="10">
        <v>126</v>
      </c>
    </row>
    <row r="881" spans="1:13" x14ac:dyDescent="0.25">
      <c r="A881" s="12" t="str">
        <f t="shared" si="26"/>
        <v>2909OPENSYSTECH SERVICOS DE MANUTENCAO DE SISTEMAS LTDANSE46062</v>
      </c>
      <c r="B881" s="12" t="str">
        <f t="shared" si="27"/>
        <v>Março</v>
      </c>
      <c r="C881" s="8" t="s">
        <v>822</v>
      </c>
      <c r="D881" s="8" t="s">
        <v>664</v>
      </c>
      <c r="E881" s="8" t="s">
        <v>145</v>
      </c>
      <c r="F881" s="23">
        <v>46062</v>
      </c>
      <c r="G881" s="8" t="s">
        <v>665</v>
      </c>
      <c r="H881" s="23">
        <v>46087</v>
      </c>
      <c r="I881" s="23">
        <v>46066</v>
      </c>
      <c r="J881" s="10">
        <v>936.1</v>
      </c>
      <c r="K881" s="10">
        <v>0</v>
      </c>
      <c r="L881" s="24">
        <v>0</v>
      </c>
      <c r="M881" s="10">
        <v>936.1</v>
      </c>
    </row>
    <row r="882" spans="1:13" x14ac:dyDescent="0.25">
      <c r="A882" s="12" t="str">
        <f t="shared" si="26"/>
        <v>2914MECANICA CRISTO REI LTDANFE46225</v>
      </c>
      <c r="B882" s="12" t="str">
        <f t="shared" si="27"/>
        <v>Agosto</v>
      </c>
      <c r="C882" s="8" t="s">
        <v>486</v>
      </c>
      <c r="D882" s="8" t="s">
        <v>664</v>
      </c>
      <c r="E882" s="8" t="s">
        <v>125</v>
      </c>
      <c r="F882" s="23">
        <v>46225</v>
      </c>
      <c r="G882" s="8" t="s">
        <v>380</v>
      </c>
      <c r="H882" s="23">
        <v>46255</v>
      </c>
      <c r="I882" s="23">
        <v>46231</v>
      </c>
      <c r="J882" s="10">
        <v>980</v>
      </c>
      <c r="K882" s="10">
        <v>0</v>
      </c>
      <c r="L882" s="24">
        <v>0</v>
      </c>
      <c r="M882" s="10">
        <v>980</v>
      </c>
    </row>
    <row r="883" spans="1:13" x14ac:dyDescent="0.25">
      <c r="A883" s="12" t="str">
        <f t="shared" si="26"/>
        <v>2927MECANICA CRISTO REI LTDANFE46234</v>
      </c>
      <c r="B883" s="12" t="str">
        <f t="shared" si="27"/>
        <v>Agosto</v>
      </c>
      <c r="C883" s="8" t="s">
        <v>487</v>
      </c>
      <c r="D883" s="8" t="s">
        <v>664</v>
      </c>
      <c r="E883" s="8" t="s">
        <v>125</v>
      </c>
      <c r="F883" s="23">
        <v>46234</v>
      </c>
      <c r="G883" s="8" t="s">
        <v>380</v>
      </c>
      <c r="H883" s="23">
        <v>46265</v>
      </c>
      <c r="I883" s="23">
        <v>46245</v>
      </c>
      <c r="J883" s="10">
        <v>690</v>
      </c>
      <c r="K883" s="10">
        <v>0</v>
      </c>
      <c r="L883" s="24">
        <v>0</v>
      </c>
      <c r="M883" s="10">
        <v>690</v>
      </c>
    </row>
    <row r="884" spans="1:13" x14ac:dyDescent="0.25">
      <c r="A884" s="12" t="str">
        <f t="shared" si="26"/>
        <v>2942MECANICA CRISTO REI LTDANFE46241</v>
      </c>
      <c r="B884" s="12" t="str">
        <f t="shared" si="27"/>
        <v>Setembro</v>
      </c>
      <c r="C884" s="8" t="s">
        <v>488</v>
      </c>
      <c r="D884" s="8" t="s">
        <v>664</v>
      </c>
      <c r="E884" s="8" t="s">
        <v>125</v>
      </c>
      <c r="F884" s="23">
        <v>46241</v>
      </c>
      <c r="G884" s="8" t="s">
        <v>380</v>
      </c>
      <c r="H884" s="23">
        <v>46271</v>
      </c>
      <c r="I884" s="23">
        <v>46245</v>
      </c>
      <c r="J884" s="10">
        <v>460</v>
      </c>
      <c r="K884" s="10">
        <v>0</v>
      </c>
      <c r="L884" s="24">
        <v>0</v>
      </c>
      <c r="M884" s="10">
        <v>460</v>
      </c>
    </row>
    <row r="885" spans="1:13" x14ac:dyDescent="0.25">
      <c r="A885" s="12" t="str">
        <f t="shared" si="26"/>
        <v>3ANTONIO SILVA DE SOUSARCB46030,5819444444</v>
      </c>
      <c r="B885" s="12" t="str">
        <f t="shared" si="27"/>
        <v>Janeiro</v>
      </c>
      <c r="C885" s="8" t="s">
        <v>824</v>
      </c>
      <c r="D885" s="8" t="s">
        <v>664</v>
      </c>
      <c r="E885" s="8" t="s">
        <v>20</v>
      </c>
      <c r="F885" s="23">
        <v>46030.581944444442</v>
      </c>
      <c r="G885" s="8" t="s">
        <v>1045</v>
      </c>
      <c r="H885" s="23">
        <v>46035</v>
      </c>
      <c r="I885" s="23">
        <v>46030.581944444442</v>
      </c>
      <c r="J885" s="10">
        <v>95</v>
      </c>
      <c r="K885" s="10">
        <v>0</v>
      </c>
      <c r="L885" s="24">
        <v>0</v>
      </c>
      <c r="M885" s="10">
        <v>95</v>
      </c>
    </row>
    <row r="886" spans="1:13" x14ac:dyDescent="0.25">
      <c r="A886" s="12" t="str">
        <f t="shared" si="26"/>
        <v>3LIOMAR NUNES LINORCB46030,5840277778</v>
      </c>
      <c r="B886" s="12" t="str">
        <f t="shared" si="27"/>
        <v>Janeiro</v>
      </c>
      <c r="C886" s="8" t="s">
        <v>824</v>
      </c>
      <c r="D886" s="8" t="s">
        <v>664</v>
      </c>
      <c r="E886" s="8" t="s">
        <v>1458</v>
      </c>
      <c r="F886" s="23">
        <v>46030.584027777775</v>
      </c>
      <c r="G886" s="8" t="s">
        <v>1045</v>
      </c>
      <c r="H886" s="23">
        <v>46035</v>
      </c>
      <c r="I886" s="23">
        <v>46030.584027777775</v>
      </c>
      <c r="J886" s="10">
        <v>0.57999999999999996</v>
      </c>
      <c r="K886" s="10">
        <v>0</v>
      </c>
      <c r="L886" s="24">
        <v>0</v>
      </c>
      <c r="M886" s="10">
        <v>0.57999999999999996</v>
      </c>
    </row>
    <row r="887" spans="1:13" x14ac:dyDescent="0.25">
      <c r="A887" s="12" t="str">
        <f t="shared" si="26"/>
        <v>3RYAN CAMPOS OLIVEIRARCB46036,4715277778</v>
      </c>
      <c r="B887" s="12" t="str">
        <f t="shared" si="27"/>
        <v>Janeiro</v>
      </c>
      <c r="C887" s="8" t="s">
        <v>824</v>
      </c>
      <c r="D887" s="8" t="s">
        <v>664</v>
      </c>
      <c r="E887" s="8" t="s">
        <v>1488</v>
      </c>
      <c r="F887" s="23">
        <v>46036.47152777778</v>
      </c>
      <c r="G887" s="8" t="s">
        <v>1045</v>
      </c>
      <c r="H887" s="23">
        <v>46041</v>
      </c>
      <c r="I887" s="23">
        <v>46036.47152777778</v>
      </c>
      <c r="J887" s="10">
        <v>120</v>
      </c>
      <c r="K887" s="10">
        <v>0</v>
      </c>
      <c r="L887" s="24">
        <v>0</v>
      </c>
      <c r="M887" s="10">
        <v>120</v>
      </c>
    </row>
    <row r="888" spans="1:13" x14ac:dyDescent="0.25">
      <c r="A888" s="12" t="str">
        <f t="shared" si="26"/>
        <v>3NIPPON AUTO ELÉTRICARCB46049,3986111111</v>
      </c>
      <c r="B888" s="12" t="str">
        <f t="shared" si="27"/>
        <v>Janeiro</v>
      </c>
      <c r="C888" s="8" t="s">
        <v>824</v>
      </c>
      <c r="D888" s="8" t="s">
        <v>664</v>
      </c>
      <c r="E888" s="8" t="s">
        <v>1630</v>
      </c>
      <c r="F888" s="23">
        <v>46049.398611111108</v>
      </c>
      <c r="G888" s="8" t="s">
        <v>1045</v>
      </c>
      <c r="H888" s="23">
        <v>46052</v>
      </c>
      <c r="I888" s="23">
        <v>46049.398611111108</v>
      </c>
      <c r="J888" s="10">
        <v>60</v>
      </c>
      <c r="K888" s="10">
        <v>0</v>
      </c>
      <c r="L888" s="24">
        <v>0</v>
      </c>
      <c r="M888" s="10">
        <v>60</v>
      </c>
    </row>
    <row r="889" spans="1:13" x14ac:dyDescent="0.25">
      <c r="A889" s="12" t="str">
        <f t="shared" si="26"/>
        <v>3ENERGISA MINAS GERAIS DISTRIBUIDORA DE ENERGIA S.A.RCB46050,6263888889</v>
      </c>
      <c r="B889" s="12" t="str">
        <f t="shared" si="27"/>
        <v>Fevereiro</v>
      </c>
      <c r="C889" s="8" t="s">
        <v>824</v>
      </c>
      <c r="D889" s="8" t="s">
        <v>664</v>
      </c>
      <c r="E889" s="8" t="s">
        <v>62</v>
      </c>
      <c r="F889" s="23">
        <v>46050.626388888886</v>
      </c>
      <c r="G889" s="8" t="s">
        <v>1045</v>
      </c>
      <c r="H889" s="23">
        <v>46055</v>
      </c>
      <c r="I889" s="23">
        <v>46050.626388888886</v>
      </c>
      <c r="J889" s="10">
        <v>161.44</v>
      </c>
      <c r="K889" s="10">
        <v>0</v>
      </c>
      <c r="L889" s="24">
        <v>0</v>
      </c>
      <c r="M889" s="10">
        <v>161.44</v>
      </c>
    </row>
    <row r="890" spans="1:13" x14ac:dyDescent="0.25">
      <c r="A890" s="12" t="str">
        <f t="shared" si="26"/>
        <v>3RAYANE LOPES AMORIMRCB46051,6493055556</v>
      </c>
      <c r="B890" s="12" t="str">
        <f t="shared" si="27"/>
        <v>Fevereiro</v>
      </c>
      <c r="C890" s="8" t="s">
        <v>824</v>
      </c>
      <c r="D890" s="8" t="s">
        <v>664</v>
      </c>
      <c r="E890" s="8" t="s">
        <v>1641</v>
      </c>
      <c r="F890" s="23">
        <v>46051.649305555555</v>
      </c>
      <c r="G890" s="8" t="s">
        <v>1045</v>
      </c>
      <c r="H890" s="23">
        <v>46056</v>
      </c>
      <c r="I890" s="23">
        <v>46051.649305555555</v>
      </c>
      <c r="J890" s="10">
        <v>279.99</v>
      </c>
      <c r="K890" s="10">
        <v>0</v>
      </c>
      <c r="L890" s="24">
        <v>0</v>
      </c>
      <c r="M890" s="10">
        <v>279.99</v>
      </c>
    </row>
    <row r="891" spans="1:13" x14ac:dyDescent="0.25">
      <c r="A891" s="12" t="str">
        <f t="shared" si="26"/>
        <v>3TIAGO RODRIGUES RIBEIRORCB46052,5958333333</v>
      </c>
      <c r="B891" s="12" t="str">
        <f t="shared" si="27"/>
        <v>Fevereiro</v>
      </c>
      <c r="C891" s="8" t="s">
        <v>824</v>
      </c>
      <c r="D891" s="8" t="s">
        <v>664</v>
      </c>
      <c r="E891" s="8" t="s">
        <v>1479</v>
      </c>
      <c r="F891" s="23">
        <v>46052.595833333333</v>
      </c>
      <c r="G891" s="8" t="s">
        <v>1045</v>
      </c>
      <c r="H891" s="23">
        <v>46057</v>
      </c>
      <c r="I891" s="23">
        <v>46052.595833333333</v>
      </c>
      <c r="J891" s="10">
        <v>105</v>
      </c>
      <c r="K891" s="10">
        <v>0</v>
      </c>
      <c r="L891" s="24">
        <v>0</v>
      </c>
      <c r="M891" s="10">
        <v>105</v>
      </c>
    </row>
    <row r="892" spans="1:13" x14ac:dyDescent="0.25">
      <c r="A892" s="12" t="str">
        <f t="shared" si="26"/>
        <v>3ANA PAULA DE ALMEIDA ARAUJORCB46057,6659722222</v>
      </c>
      <c r="B892" s="12" t="str">
        <f t="shared" si="27"/>
        <v>Fevereiro</v>
      </c>
      <c r="C892" s="8" t="s">
        <v>824</v>
      </c>
      <c r="D892" s="8" t="s">
        <v>664</v>
      </c>
      <c r="E892" s="8" t="s">
        <v>12</v>
      </c>
      <c r="F892" s="23">
        <v>46057.665972222225</v>
      </c>
      <c r="G892" s="8" t="s">
        <v>1045</v>
      </c>
      <c r="H892" s="23">
        <v>46062</v>
      </c>
      <c r="I892" s="23">
        <v>46057.665972222225</v>
      </c>
      <c r="J892" s="10">
        <v>5</v>
      </c>
      <c r="K892" s="10">
        <v>0</v>
      </c>
      <c r="L892" s="24">
        <v>0</v>
      </c>
      <c r="M892" s="10">
        <v>5</v>
      </c>
    </row>
    <row r="893" spans="1:13" x14ac:dyDescent="0.25">
      <c r="A893" s="12" t="str">
        <f t="shared" si="26"/>
        <v>3ANDRE GOMES DA SILVARCB46072,6326388889</v>
      </c>
      <c r="B893" s="12" t="str">
        <f t="shared" si="27"/>
        <v>Fevereiro</v>
      </c>
      <c r="C893" s="8" t="s">
        <v>824</v>
      </c>
      <c r="D893" s="8" t="s">
        <v>664</v>
      </c>
      <c r="E893" s="8" t="s">
        <v>14</v>
      </c>
      <c r="F893" s="23">
        <v>46072.632638888892</v>
      </c>
      <c r="G893" s="8" t="s">
        <v>1045</v>
      </c>
      <c r="H893" s="23">
        <v>46077</v>
      </c>
      <c r="I893" s="23">
        <v>46072.632638888892</v>
      </c>
      <c r="J893" s="10">
        <v>72.05</v>
      </c>
      <c r="K893" s="10">
        <v>0</v>
      </c>
      <c r="L893" s="24">
        <v>0</v>
      </c>
      <c r="M893" s="10">
        <v>72.05</v>
      </c>
    </row>
    <row r="894" spans="1:13" x14ac:dyDescent="0.25">
      <c r="A894" s="12" t="str">
        <f t="shared" si="26"/>
        <v>3RODRIGO CORREARCB46085,6527777778</v>
      </c>
      <c r="B894" s="12" t="str">
        <f t="shared" si="27"/>
        <v>Março</v>
      </c>
      <c r="C894" s="8" t="s">
        <v>824</v>
      </c>
      <c r="D894" s="8" t="s">
        <v>664</v>
      </c>
      <c r="E894" s="8" t="s">
        <v>172</v>
      </c>
      <c r="F894" s="23">
        <v>46085.652777777781</v>
      </c>
      <c r="G894" s="8" t="s">
        <v>1045</v>
      </c>
      <c r="H894" s="23">
        <v>46091</v>
      </c>
      <c r="I894" s="23">
        <v>46085.652777777781</v>
      </c>
      <c r="J894" s="10">
        <v>195.9</v>
      </c>
      <c r="K894" s="10">
        <v>0</v>
      </c>
      <c r="L894" s="24">
        <v>0</v>
      </c>
      <c r="M894" s="10">
        <v>195.9</v>
      </c>
    </row>
    <row r="895" spans="1:13" x14ac:dyDescent="0.25">
      <c r="A895" s="12" t="str">
        <f t="shared" si="26"/>
        <v>3ILDEON FERREIRA SANTOSRCB46090,4034722222</v>
      </c>
      <c r="B895" s="12" t="str">
        <f t="shared" si="27"/>
        <v>Março</v>
      </c>
      <c r="C895" s="8" t="s">
        <v>824</v>
      </c>
      <c r="D895" s="8" t="s">
        <v>664</v>
      </c>
      <c r="E895" s="8" t="s">
        <v>86</v>
      </c>
      <c r="F895" s="23">
        <v>46090.40347222222</v>
      </c>
      <c r="G895" s="8" t="s">
        <v>1045</v>
      </c>
      <c r="H895" s="23">
        <v>46093</v>
      </c>
      <c r="I895" s="23">
        <v>46090.40347222222</v>
      </c>
      <c r="J895" s="10">
        <v>100</v>
      </c>
      <c r="K895" s="10">
        <v>0</v>
      </c>
      <c r="L895" s="24">
        <v>0</v>
      </c>
      <c r="M895" s="10">
        <v>100</v>
      </c>
    </row>
    <row r="896" spans="1:13" x14ac:dyDescent="0.25">
      <c r="A896" s="12" t="str">
        <f t="shared" si="26"/>
        <v>3MAKWELL HERMINIO TAVARESRCB46090,4041666667</v>
      </c>
      <c r="B896" s="12" t="str">
        <f t="shared" si="27"/>
        <v>Março</v>
      </c>
      <c r="C896" s="8" t="s">
        <v>824</v>
      </c>
      <c r="D896" s="8" t="s">
        <v>664</v>
      </c>
      <c r="E896" s="8" t="s">
        <v>1615</v>
      </c>
      <c r="F896" s="23">
        <v>46090.404166666667</v>
      </c>
      <c r="G896" s="8" t="s">
        <v>1045</v>
      </c>
      <c r="H896" s="23">
        <v>46093</v>
      </c>
      <c r="I896" s="23">
        <v>46090.404166666667</v>
      </c>
      <c r="J896" s="10">
        <v>100</v>
      </c>
      <c r="K896" s="10">
        <v>0</v>
      </c>
      <c r="L896" s="24">
        <v>0</v>
      </c>
      <c r="M896" s="10">
        <v>100</v>
      </c>
    </row>
    <row r="897" spans="1:13" x14ac:dyDescent="0.25">
      <c r="A897" s="12" t="str">
        <f t="shared" si="26"/>
        <v>3MOISES DA COSTA AZEVEDORCB46111,4375</v>
      </c>
      <c r="B897" s="12" t="str">
        <f t="shared" si="27"/>
        <v>Abril</v>
      </c>
      <c r="C897" s="8" t="s">
        <v>824</v>
      </c>
      <c r="D897" s="8" t="s">
        <v>664</v>
      </c>
      <c r="E897" s="8" t="s">
        <v>134</v>
      </c>
      <c r="F897" s="23">
        <v>46111.4375</v>
      </c>
      <c r="G897" s="8" t="s">
        <v>1045</v>
      </c>
      <c r="H897" s="23">
        <v>46114</v>
      </c>
      <c r="I897" s="23">
        <v>46111.4375</v>
      </c>
      <c r="J897" s="10">
        <v>263.68</v>
      </c>
      <c r="K897" s="10">
        <v>0</v>
      </c>
      <c r="L897" s="24">
        <v>0</v>
      </c>
      <c r="M897" s="10">
        <v>263.68</v>
      </c>
    </row>
    <row r="898" spans="1:13" x14ac:dyDescent="0.25">
      <c r="A898" s="12" t="str">
        <f t="shared" ref="A898:A961" si="28">$C898&amp;$E898&amp;$G898&amp;$F898</f>
        <v>3EDIVALDO SOUZA SANTOSRCB46113,4770833333</v>
      </c>
      <c r="B898" s="12" t="str">
        <f t="shared" si="27"/>
        <v>Abril</v>
      </c>
      <c r="C898" s="8" t="s">
        <v>824</v>
      </c>
      <c r="D898" s="8" t="s">
        <v>664</v>
      </c>
      <c r="E898" s="8" t="s">
        <v>57</v>
      </c>
      <c r="F898" s="23">
        <v>46113.477083333331</v>
      </c>
      <c r="G898" s="8" t="s">
        <v>1045</v>
      </c>
      <c r="H898" s="23">
        <v>46118</v>
      </c>
      <c r="I898" s="23">
        <v>46113.477083333331</v>
      </c>
      <c r="J898" s="10">
        <v>125</v>
      </c>
      <c r="K898" s="10">
        <v>0</v>
      </c>
      <c r="L898" s="24">
        <v>0</v>
      </c>
      <c r="M898" s="10">
        <v>125</v>
      </c>
    </row>
    <row r="899" spans="1:13" x14ac:dyDescent="0.25">
      <c r="A899" s="12" t="str">
        <f t="shared" si="28"/>
        <v>3DIONIZIO JOSE DE CASSIO PINTORCB46135,6659722222</v>
      </c>
      <c r="B899" s="12" t="str">
        <f t="shared" ref="B899:B962" si="29">PROPER(TEXT($H899,"MMMM"))</f>
        <v>Abril</v>
      </c>
      <c r="C899" s="8" t="s">
        <v>824</v>
      </c>
      <c r="D899" s="8" t="s">
        <v>664</v>
      </c>
      <c r="E899" s="8" t="s">
        <v>53</v>
      </c>
      <c r="F899" s="23">
        <v>46135.665972222225</v>
      </c>
      <c r="G899" s="8" t="s">
        <v>1045</v>
      </c>
      <c r="H899" s="23">
        <v>46140</v>
      </c>
      <c r="I899" s="23">
        <v>46135.665972222225</v>
      </c>
      <c r="J899" s="10">
        <v>120</v>
      </c>
      <c r="K899" s="10">
        <v>0</v>
      </c>
      <c r="L899" s="24">
        <v>0</v>
      </c>
      <c r="M899" s="10">
        <v>120</v>
      </c>
    </row>
    <row r="900" spans="1:13" x14ac:dyDescent="0.25">
      <c r="A900" s="12" t="str">
        <f t="shared" si="28"/>
        <v>3EVERTON NATAL DA SILVARCB46139,3784722222</v>
      </c>
      <c r="B900" s="12" t="str">
        <f t="shared" si="29"/>
        <v>Abril</v>
      </c>
      <c r="C900" s="8" t="s">
        <v>824</v>
      </c>
      <c r="D900" s="8" t="s">
        <v>664</v>
      </c>
      <c r="E900" s="8" t="s">
        <v>2306</v>
      </c>
      <c r="F900" s="23">
        <v>46139.378472222219</v>
      </c>
      <c r="G900" s="8" t="s">
        <v>1045</v>
      </c>
      <c r="H900" s="23">
        <v>46142</v>
      </c>
      <c r="I900" s="23">
        <v>46139.378472222219</v>
      </c>
      <c r="J900" s="10">
        <v>100</v>
      </c>
      <c r="K900" s="10">
        <v>0</v>
      </c>
      <c r="L900" s="24">
        <v>0</v>
      </c>
      <c r="M900" s="10">
        <v>100</v>
      </c>
    </row>
    <row r="901" spans="1:13" x14ac:dyDescent="0.25">
      <c r="A901" s="12" t="str">
        <f t="shared" si="28"/>
        <v>3PAULO SILAS GOMES SOARESRCB46140,4395833333</v>
      </c>
      <c r="B901" s="12" t="str">
        <f t="shared" si="29"/>
        <v>Maio</v>
      </c>
      <c r="C901" s="8" t="s">
        <v>824</v>
      </c>
      <c r="D901" s="8" t="s">
        <v>664</v>
      </c>
      <c r="E901" s="8" t="s">
        <v>154</v>
      </c>
      <c r="F901" s="23">
        <v>46140.439583333333</v>
      </c>
      <c r="G901" s="8" t="s">
        <v>1045</v>
      </c>
      <c r="H901" s="23">
        <v>46146</v>
      </c>
      <c r="I901" s="23">
        <v>46140.439583333333</v>
      </c>
      <c r="J901" s="10">
        <v>263.68</v>
      </c>
      <c r="K901" s="10">
        <v>0</v>
      </c>
      <c r="L901" s="24">
        <v>0</v>
      </c>
      <c r="M901" s="10">
        <v>263.68</v>
      </c>
    </row>
    <row r="902" spans="1:13" x14ac:dyDescent="0.25">
      <c r="A902" s="12" t="str">
        <f t="shared" si="28"/>
        <v>3SIMONE DIAS LEANDRORCB46154,3736111111</v>
      </c>
      <c r="B902" s="12" t="str">
        <f t="shared" si="29"/>
        <v>Maio</v>
      </c>
      <c r="C902" s="8" t="s">
        <v>824</v>
      </c>
      <c r="D902" s="8" t="s">
        <v>664</v>
      </c>
      <c r="E902" s="8" t="s">
        <v>181</v>
      </c>
      <c r="F902" s="23">
        <v>46154.373611111114</v>
      </c>
      <c r="G902" s="8" t="s">
        <v>1045</v>
      </c>
      <c r="H902" s="23">
        <v>46157</v>
      </c>
      <c r="I902" s="23">
        <v>46154.373611111114</v>
      </c>
      <c r="J902" s="10">
        <v>19.2</v>
      </c>
      <c r="K902" s="10">
        <v>0</v>
      </c>
      <c r="L902" s="24">
        <v>0</v>
      </c>
      <c r="M902" s="10">
        <v>19.2</v>
      </c>
    </row>
    <row r="903" spans="1:13" x14ac:dyDescent="0.25">
      <c r="A903" s="12" t="str">
        <f t="shared" si="28"/>
        <v>3ELITON ADRIANO DA SILVARCB46164,4902777778</v>
      </c>
      <c r="B903" s="12" t="str">
        <f t="shared" si="29"/>
        <v>Maio</v>
      </c>
      <c r="C903" s="8" t="s">
        <v>824</v>
      </c>
      <c r="D903" s="8" t="s">
        <v>664</v>
      </c>
      <c r="E903" s="8" t="s">
        <v>60</v>
      </c>
      <c r="F903" s="23">
        <v>46164.490277777775</v>
      </c>
      <c r="G903" s="8" t="s">
        <v>1045</v>
      </c>
      <c r="H903" s="23">
        <v>46169</v>
      </c>
      <c r="I903" s="23">
        <v>46164.490277777775</v>
      </c>
      <c r="J903" s="10">
        <v>100</v>
      </c>
      <c r="K903" s="10">
        <v>0</v>
      </c>
      <c r="L903" s="24">
        <v>0</v>
      </c>
      <c r="M903" s="10">
        <v>100</v>
      </c>
    </row>
    <row r="904" spans="1:13" x14ac:dyDescent="0.25">
      <c r="A904" s="12" t="str">
        <f t="shared" si="28"/>
        <v>3NILTON BATISTA DA COSTARCB46172,2916666667</v>
      </c>
      <c r="B904" s="12" t="str">
        <f t="shared" si="29"/>
        <v>Junho</v>
      </c>
      <c r="C904" s="8" t="s">
        <v>824</v>
      </c>
      <c r="D904" s="8" t="s">
        <v>664</v>
      </c>
      <c r="E904" s="8" t="s">
        <v>139</v>
      </c>
      <c r="F904" s="23">
        <v>46172.291666666664</v>
      </c>
      <c r="G904" s="8" t="s">
        <v>1045</v>
      </c>
      <c r="H904" s="23">
        <v>46177</v>
      </c>
      <c r="I904" s="23">
        <v>46172.291666666664</v>
      </c>
      <c r="J904" s="10">
        <v>219.81</v>
      </c>
      <c r="K904" s="10">
        <v>0</v>
      </c>
      <c r="L904" s="24">
        <v>0</v>
      </c>
      <c r="M904" s="10">
        <v>219.81</v>
      </c>
    </row>
    <row r="905" spans="1:13" x14ac:dyDescent="0.25">
      <c r="A905" s="12" t="str">
        <f t="shared" si="28"/>
        <v>3LUIZ HENRIQUE CARVALHO DA SILVARCB46175,4965277778</v>
      </c>
      <c r="B905" s="12" t="str">
        <f t="shared" si="29"/>
        <v>Junho</v>
      </c>
      <c r="C905" s="8" t="s">
        <v>824</v>
      </c>
      <c r="D905" s="8" t="s">
        <v>664</v>
      </c>
      <c r="E905" s="8" t="s">
        <v>114</v>
      </c>
      <c r="F905" s="23">
        <v>46175.496527777781</v>
      </c>
      <c r="G905" s="8" t="s">
        <v>1045</v>
      </c>
      <c r="H905" s="23">
        <v>46178</v>
      </c>
      <c r="I905" s="23">
        <v>46175.496527777781</v>
      </c>
      <c r="J905" s="10">
        <v>100</v>
      </c>
      <c r="K905" s="10">
        <v>0</v>
      </c>
      <c r="L905" s="24">
        <v>0</v>
      </c>
      <c r="M905" s="10">
        <v>100</v>
      </c>
    </row>
    <row r="906" spans="1:13" x14ac:dyDescent="0.25">
      <c r="A906" s="12" t="str">
        <f t="shared" si="28"/>
        <v>3WEDERSON LUIZ DE OLIVEIRARCB46190,5847222222</v>
      </c>
      <c r="B906" s="12" t="str">
        <f t="shared" si="29"/>
        <v>Junho</v>
      </c>
      <c r="C906" s="8" t="s">
        <v>824</v>
      </c>
      <c r="D906" s="8" t="s">
        <v>664</v>
      </c>
      <c r="E906" s="8" t="s">
        <v>201</v>
      </c>
      <c r="F906" s="23">
        <v>46190.584722222222</v>
      </c>
      <c r="G906" s="8" t="s">
        <v>1045</v>
      </c>
      <c r="H906" s="23">
        <v>46195</v>
      </c>
      <c r="I906" s="23">
        <v>46190.584722222222</v>
      </c>
      <c r="J906" s="10">
        <v>18.899999999999999</v>
      </c>
      <c r="K906" s="10">
        <v>0</v>
      </c>
      <c r="L906" s="24">
        <v>0</v>
      </c>
      <c r="M906" s="10">
        <v>18.899999999999999</v>
      </c>
    </row>
    <row r="907" spans="1:13" x14ac:dyDescent="0.25">
      <c r="A907" s="12" t="str">
        <f t="shared" si="28"/>
        <v>3ENIO FERREIRA RUMASRCB46190,3680555556</v>
      </c>
      <c r="B907" s="12" t="str">
        <f t="shared" si="29"/>
        <v>Junho</v>
      </c>
      <c r="C907" s="8" t="s">
        <v>824</v>
      </c>
      <c r="D907" s="8" t="s">
        <v>664</v>
      </c>
      <c r="E907" s="8" t="s">
        <v>64</v>
      </c>
      <c r="F907" s="23">
        <v>46190.368055555555</v>
      </c>
      <c r="G907" s="8" t="s">
        <v>1045</v>
      </c>
      <c r="H907" s="23">
        <v>46195</v>
      </c>
      <c r="I907" s="23">
        <v>46190.368055555555</v>
      </c>
      <c r="J907" s="10">
        <v>100</v>
      </c>
      <c r="K907" s="10">
        <v>0</v>
      </c>
      <c r="L907" s="24">
        <v>0</v>
      </c>
      <c r="M907" s="10">
        <v>100</v>
      </c>
    </row>
    <row r="908" spans="1:13" x14ac:dyDescent="0.25">
      <c r="A908" s="12" t="str">
        <f t="shared" si="28"/>
        <v>3MARAJO NAVEGACAO COMERCIO E TRANSPORTE DE PASSAGEIROS LTDARCB46190,6333333333</v>
      </c>
      <c r="B908" s="12" t="str">
        <f t="shared" si="29"/>
        <v>Junho</v>
      </c>
      <c r="C908" s="8" t="s">
        <v>824</v>
      </c>
      <c r="D908" s="8" t="s">
        <v>664</v>
      </c>
      <c r="E908" s="8" t="s">
        <v>118</v>
      </c>
      <c r="F908" s="23">
        <v>46190.633333333331</v>
      </c>
      <c r="G908" s="8" t="s">
        <v>1045</v>
      </c>
      <c r="H908" s="23">
        <v>46195</v>
      </c>
      <c r="I908" s="23">
        <v>46190.633333333331</v>
      </c>
      <c r="J908" s="10">
        <v>1092</v>
      </c>
      <c r="K908" s="10">
        <v>0</v>
      </c>
      <c r="L908" s="24">
        <v>0</v>
      </c>
      <c r="M908" s="10">
        <v>1092</v>
      </c>
    </row>
    <row r="909" spans="1:13" x14ac:dyDescent="0.25">
      <c r="A909" s="12" t="str">
        <f t="shared" si="28"/>
        <v>3EXPRESSO TRANSPORTE LTDARCB46190,6340277778</v>
      </c>
      <c r="B909" s="12" t="str">
        <f t="shared" si="29"/>
        <v>Junho</v>
      </c>
      <c r="C909" s="8" t="s">
        <v>824</v>
      </c>
      <c r="D909" s="8" t="s">
        <v>664</v>
      </c>
      <c r="E909" s="8" t="s">
        <v>66</v>
      </c>
      <c r="F909" s="23">
        <v>46190.634027777778</v>
      </c>
      <c r="G909" s="8" t="s">
        <v>1045</v>
      </c>
      <c r="H909" s="23">
        <v>46195</v>
      </c>
      <c r="I909" s="23">
        <v>46190.634027777778</v>
      </c>
      <c r="J909" s="10">
        <v>3484</v>
      </c>
      <c r="K909" s="10">
        <v>0</v>
      </c>
      <c r="L909" s="24">
        <v>0</v>
      </c>
      <c r="M909" s="10">
        <v>3484</v>
      </c>
    </row>
    <row r="910" spans="1:13" x14ac:dyDescent="0.25">
      <c r="A910" s="12" t="str">
        <f t="shared" si="28"/>
        <v>3EMILIO LUCAS DA ROCHARCB46198,4111111111</v>
      </c>
      <c r="B910" s="12" t="str">
        <f t="shared" si="29"/>
        <v>Junho</v>
      </c>
      <c r="C910" s="8" t="s">
        <v>824</v>
      </c>
      <c r="D910" s="8" t="s">
        <v>664</v>
      </c>
      <c r="E910" s="8" t="s">
        <v>61</v>
      </c>
      <c r="F910" s="23">
        <v>46198.411111111112</v>
      </c>
      <c r="G910" s="8" t="s">
        <v>1045</v>
      </c>
      <c r="H910" s="23">
        <v>46203</v>
      </c>
      <c r="I910" s="23">
        <v>46198.411111111112</v>
      </c>
      <c r="J910" s="10">
        <v>80</v>
      </c>
      <c r="K910" s="10">
        <v>0</v>
      </c>
      <c r="L910" s="24">
        <v>0</v>
      </c>
      <c r="M910" s="10">
        <v>80</v>
      </c>
    </row>
    <row r="911" spans="1:13" x14ac:dyDescent="0.25">
      <c r="A911" s="12" t="str">
        <f t="shared" si="28"/>
        <v>3RAFAEL RODRIGUES FARIARCB46210,4472222222</v>
      </c>
      <c r="B911" s="12" t="str">
        <f t="shared" si="29"/>
        <v>Julho</v>
      </c>
      <c r="C911" s="8" t="s">
        <v>824</v>
      </c>
      <c r="D911" s="8" t="s">
        <v>664</v>
      </c>
      <c r="E911" s="8" t="s">
        <v>162</v>
      </c>
      <c r="F911" s="23">
        <v>46210.447222222225</v>
      </c>
      <c r="G911" s="8" t="s">
        <v>1045</v>
      </c>
      <c r="H911" s="23">
        <v>46213</v>
      </c>
      <c r="I911" s="23">
        <v>46210.447222222225</v>
      </c>
      <c r="J911" s="10">
        <v>117.3</v>
      </c>
      <c r="K911" s="10">
        <v>0</v>
      </c>
      <c r="L911" s="24">
        <v>0</v>
      </c>
      <c r="M911" s="10">
        <v>117.3</v>
      </c>
    </row>
    <row r="912" spans="1:13" x14ac:dyDescent="0.25">
      <c r="A912" s="12" t="str">
        <f t="shared" si="28"/>
        <v>3JAIME GOMES PARAGUAIRCB46210,4402777778</v>
      </c>
      <c r="B912" s="12" t="str">
        <f t="shared" si="29"/>
        <v>Julho</v>
      </c>
      <c r="C912" s="8" t="s">
        <v>824</v>
      </c>
      <c r="D912" s="8" t="s">
        <v>664</v>
      </c>
      <c r="E912" s="8" t="s">
        <v>87</v>
      </c>
      <c r="F912" s="23">
        <v>46210.44027777778</v>
      </c>
      <c r="G912" s="8" t="s">
        <v>1045</v>
      </c>
      <c r="H912" s="23">
        <v>46213</v>
      </c>
      <c r="I912" s="23">
        <v>46210.44027777778</v>
      </c>
      <c r="J912" s="10">
        <v>59.6</v>
      </c>
      <c r="K912" s="10">
        <v>0</v>
      </c>
      <c r="L912" s="24">
        <v>0</v>
      </c>
      <c r="M912" s="10">
        <v>59.6</v>
      </c>
    </row>
    <row r="913" spans="1:13" x14ac:dyDescent="0.25">
      <c r="A913" s="12" t="str">
        <f t="shared" si="28"/>
        <v>3MAGNO APARECIDO DE JESUSRCB46210,4486111111</v>
      </c>
      <c r="B913" s="12" t="str">
        <f t="shared" si="29"/>
        <v>Julho</v>
      </c>
      <c r="C913" s="8" t="s">
        <v>824</v>
      </c>
      <c r="D913" s="8" t="s">
        <v>664</v>
      </c>
      <c r="E913" s="8" t="s">
        <v>115</v>
      </c>
      <c r="F913" s="23">
        <v>46210.448611111111</v>
      </c>
      <c r="G913" s="8" t="s">
        <v>1045</v>
      </c>
      <c r="H913" s="23">
        <v>46213</v>
      </c>
      <c r="I913" s="23">
        <v>46210.448611111111</v>
      </c>
      <c r="J913" s="10">
        <v>173.5</v>
      </c>
      <c r="K913" s="10">
        <v>0</v>
      </c>
      <c r="L913" s="24">
        <v>0</v>
      </c>
      <c r="M913" s="10">
        <v>173.5</v>
      </c>
    </row>
    <row r="914" spans="1:13" x14ac:dyDescent="0.25">
      <c r="A914" s="12" t="str">
        <f t="shared" si="28"/>
        <v>3ANTONIO CARLOS DA COSTARCB46210,4430555556</v>
      </c>
      <c r="B914" s="12" t="str">
        <f t="shared" si="29"/>
        <v>Julho</v>
      </c>
      <c r="C914" s="8" t="s">
        <v>824</v>
      </c>
      <c r="D914" s="8" t="s">
        <v>664</v>
      </c>
      <c r="E914" s="8" t="s">
        <v>19</v>
      </c>
      <c r="F914" s="23">
        <v>46210.443055555559</v>
      </c>
      <c r="G914" s="8" t="s">
        <v>1045</v>
      </c>
      <c r="H914" s="23">
        <v>46213</v>
      </c>
      <c r="I914" s="23">
        <v>46210.443055555559</v>
      </c>
      <c r="J914" s="10">
        <v>55.44</v>
      </c>
      <c r="K914" s="10">
        <v>0</v>
      </c>
      <c r="L914" s="24">
        <v>0</v>
      </c>
      <c r="M914" s="10">
        <v>55.44</v>
      </c>
    </row>
    <row r="915" spans="1:13" x14ac:dyDescent="0.25">
      <c r="A915" s="12" t="str">
        <f t="shared" si="28"/>
        <v>3RAISSA DE CARVALHO FIORINERCB46210,4395833333</v>
      </c>
      <c r="B915" s="12" t="str">
        <f t="shared" si="29"/>
        <v>Julho</v>
      </c>
      <c r="C915" s="8" t="s">
        <v>824</v>
      </c>
      <c r="D915" s="8" t="s">
        <v>664</v>
      </c>
      <c r="E915" s="8" t="s">
        <v>163</v>
      </c>
      <c r="F915" s="23">
        <v>46210.439583333333</v>
      </c>
      <c r="G915" s="8" t="s">
        <v>1045</v>
      </c>
      <c r="H915" s="23">
        <v>46213</v>
      </c>
      <c r="I915" s="23">
        <v>46210.439583333333</v>
      </c>
      <c r="J915" s="10">
        <v>76</v>
      </c>
      <c r="K915" s="10">
        <v>0</v>
      </c>
      <c r="L915" s="24">
        <v>0</v>
      </c>
      <c r="M915" s="10">
        <v>76</v>
      </c>
    </row>
    <row r="916" spans="1:13" x14ac:dyDescent="0.25">
      <c r="A916" s="12" t="str">
        <f t="shared" si="28"/>
        <v>3PAULO RICARDO SILVARCB46216,4631944444</v>
      </c>
      <c r="B916" s="12" t="str">
        <f t="shared" si="29"/>
        <v>Julho</v>
      </c>
      <c r="C916" s="8" t="s">
        <v>824</v>
      </c>
      <c r="D916" s="8" t="s">
        <v>664</v>
      </c>
      <c r="E916" s="8" t="s">
        <v>153</v>
      </c>
      <c r="F916" s="23">
        <v>46216.463194444441</v>
      </c>
      <c r="G916" s="8" t="s">
        <v>1045</v>
      </c>
      <c r="H916" s="23">
        <v>46219</v>
      </c>
      <c r="I916" s="23">
        <v>46216.463194444441</v>
      </c>
      <c r="J916" s="10">
        <v>11</v>
      </c>
      <c r="K916" s="10">
        <v>0</v>
      </c>
      <c r="L916" s="24">
        <v>0</v>
      </c>
      <c r="M916" s="10">
        <v>11</v>
      </c>
    </row>
    <row r="917" spans="1:13" x14ac:dyDescent="0.25">
      <c r="A917" s="12" t="str">
        <f t="shared" si="28"/>
        <v>3BRUNO RAFAEL PEREIRA COSTARCB46216,4708333333</v>
      </c>
      <c r="B917" s="12" t="str">
        <f t="shared" si="29"/>
        <v>Julho</v>
      </c>
      <c r="C917" s="8" t="s">
        <v>824</v>
      </c>
      <c r="D917" s="8" t="s">
        <v>664</v>
      </c>
      <c r="E917" s="8" t="s">
        <v>31</v>
      </c>
      <c r="F917" s="23">
        <v>46216.470833333333</v>
      </c>
      <c r="G917" s="8" t="s">
        <v>1045</v>
      </c>
      <c r="H917" s="23">
        <v>46219</v>
      </c>
      <c r="I917" s="23">
        <v>46216.470833333333</v>
      </c>
      <c r="J917" s="10">
        <v>64.95</v>
      </c>
      <c r="K917" s="10">
        <v>0</v>
      </c>
      <c r="L917" s="24">
        <v>0</v>
      </c>
      <c r="M917" s="10">
        <v>64.95</v>
      </c>
    </row>
    <row r="918" spans="1:13" x14ac:dyDescent="0.25">
      <c r="A918" s="12" t="str">
        <f t="shared" si="28"/>
        <v>3JEFFERSON DE JESUS FARIASRCB46217,6770833333</v>
      </c>
      <c r="B918" s="12" t="str">
        <f t="shared" si="29"/>
        <v>Julho</v>
      </c>
      <c r="C918" s="8" t="s">
        <v>824</v>
      </c>
      <c r="D918" s="8" t="s">
        <v>664</v>
      </c>
      <c r="E918" s="8" t="s">
        <v>89</v>
      </c>
      <c r="F918" s="23">
        <v>46217.677083333336</v>
      </c>
      <c r="G918" s="8" t="s">
        <v>1045</v>
      </c>
      <c r="H918" s="23">
        <v>46220</v>
      </c>
      <c r="I918" s="23">
        <v>46217.677083333336</v>
      </c>
      <c r="J918" s="10">
        <v>89.64</v>
      </c>
      <c r="K918" s="10">
        <v>0</v>
      </c>
      <c r="L918" s="24">
        <v>0</v>
      </c>
      <c r="M918" s="10">
        <v>89.64</v>
      </c>
    </row>
    <row r="919" spans="1:13" x14ac:dyDescent="0.25">
      <c r="A919" s="12" t="str">
        <f t="shared" si="28"/>
        <v>3PERICOM COMERCIO DE EQUIPAMENTOS DE SEGURANCA LTDARCB46218,6104166667</v>
      </c>
      <c r="B919" s="12" t="str">
        <f t="shared" si="29"/>
        <v>Julho</v>
      </c>
      <c r="C919" s="8" t="s">
        <v>824</v>
      </c>
      <c r="D919" s="8" t="s">
        <v>664</v>
      </c>
      <c r="E919" s="8" t="s">
        <v>155</v>
      </c>
      <c r="F919" s="23">
        <v>46218.61041666667</v>
      </c>
      <c r="G919" s="8" t="s">
        <v>1045</v>
      </c>
      <c r="H919" s="23">
        <v>46223</v>
      </c>
      <c r="I919" s="23">
        <v>46218.61041666667</v>
      </c>
      <c r="J919" s="10">
        <v>107.85</v>
      </c>
      <c r="K919" s="10">
        <v>0</v>
      </c>
      <c r="L919" s="24">
        <v>0</v>
      </c>
      <c r="M919" s="10">
        <v>107.85</v>
      </c>
    </row>
    <row r="920" spans="1:13" x14ac:dyDescent="0.25">
      <c r="A920" s="12" t="str">
        <f t="shared" si="28"/>
        <v>3JEAN CARLOS SANTANA RIBEIRORCB46218,6840277778</v>
      </c>
      <c r="B920" s="12" t="str">
        <f t="shared" si="29"/>
        <v>Julho</v>
      </c>
      <c r="C920" s="8" t="s">
        <v>824</v>
      </c>
      <c r="D920" s="8" t="s">
        <v>664</v>
      </c>
      <c r="E920" s="8" t="s">
        <v>88</v>
      </c>
      <c r="F920" s="23">
        <v>46218.684027777781</v>
      </c>
      <c r="G920" s="8" t="s">
        <v>1045</v>
      </c>
      <c r="H920" s="23">
        <v>46223</v>
      </c>
      <c r="I920" s="23">
        <v>46218.684027777781</v>
      </c>
      <c r="J920" s="10">
        <v>134</v>
      </c>
      <c r="K920" s="10">
        <v>0</v>
      </c>
      <c r="L920" s="24">
        <v>0</v>
      </c>
      <c r="M920" s="10">
        <v>134</v>
      </c>
    </row>
    <row r="921" spans="1:13" x14ac:dyDescent="0.25">
      <c r="A921" s="12" t="str">
        <f t="shared" si="28"/>
        <v>3MAIKON FERREIRA DE OLIVEIRA CAMPOSRCB46219,5680555556</v>
      </c>
      <c r="B921" s="12" t="str">
        <f t="shared" si="29"/>
        <v>Julho</v>
      </c>
      <c r="C921" s="8" t="s">
        <v>824</v>
      </c>
      <c r="D921" s="8" t="s">
        <v>664</v>
      </c>
      <c r="E921" s="8" t="s">
        <v>116</v>
      </c>
      <c r="F921" s="23">
        <v>46219.568055555559</v>
      </c>
      <c r="G921" s="8" t="s">
        <v>1045</v>
      </c>
      <c r="H921" s="23">
        <v>46224</v>
      </c>
      <c r="I921" s="23">
        <v>46219.568055555559</v>
      </c>
      <c r="J921" s="10">
        <v>215</v>
      </c>
      <c r="K921" s="10">
        <v>0</v>
      </c>
      <c r="L921" s="24">
        <v>0</v>
      </c>
      <c r="M921" s="10">
        <v>215</v>
      </c>
    </row>
    <row r="922" spans="1:13" x14ac:dyDescent="0.25">
      <c r="A922" s="12" t="str">
        <f t="shared" si="28"/>
        <v>3KATHLEEN KRISLEY AMBROSIO LARARCB46230,3958333333</v>
      </c>
      <c r="B922" s="12" t="str">
        <f t="shared" si="29"/>
        <v>Julho</v>
      </c>
      <c r="C922" s="8" t="s">
        <v>824</v>
      </c>
      <c r="D922" s="8" t="s">
        <v>664</v>
      </c>
      <c r="E922" s="8" t="s">
        <v>104</v>
      </c>
      <c r="F922" s="23">
        <v>46230.395833333336</v>
      </c>
      <c r="G922" s="8" t="s">
        <v>1045</v>
      </c>
      <c r="H922" s="23">
        <v>46233</v>
      </c>
      <c r="I922" s="23">
        <v>46230.395833333336</v>
      </c>
      <c r="J922" s="10">
        <v>223.01</v>
      </c>
      <c r="K922" s="10">
        <v>0</v>
      </c>
      <c r="L922" s="24">
        <v>0</v>
      </c>
      <c r="M922" s="10">
        <v>223.01</v>
      </c>
    </row>
    <row r="923" spans="1:13" x14ac:dyDescent="0.25">
      <c r="A923" s="12" t="str">
        <f t="shared" si="28"/>
        <v>3RODRIGO DE SOUZA MANTOVANIRCB46234,3909722222</v>
      </c>
      <c r="B923" s="12" t="str">
        <f t="shared" si="29"/>
        <v>Agosto</v>
      </c>
      <c r="C923" s="8" t="s">
        <v>824</v>
      </c>
      <c r="D923" s="8" t="s">
        <v>664</v>
      </c>
      <c r="E923" s="8" t="s">
        <v>173</v>
      </c>
      <c r="F923" s="23">
        <v>46234.390972222223</v>
      </c>
      <c r="G923" s="8" t="s">
        <v>1045</v>
      </c>
      <c r="H923" s="23">
        <v>46239</v>
      </c>
      <c r="I923" s="23">
        <v>46234.390972222223</v>
      </c>
      <c r="J923" s="10">
        <v>1700</v>
      </c>
      <c r="K923" s="10">
        <v>0</v>
      </c>
      <c r="L923" s="24">
        <v>0</v>
      </c>
      <c r="M923" s="10">
        <v>1700</v>
      </c>
    </row>
    <row r="924" spans="1:13" x14ac:dyDescent="0.25">
      <c r="A924" s="12" t="str">
        <f t="shared" si="28"/>
        <v>3ANGEL JOSUE FERNANDEZ RODRIGUEZRCB46244,4305555556</v>
      </c>
      <c r="B924" s="12" t="str">
        <f t="shared" si="29"/>
        <v>Agosto</v>
      </c>
      <c r="C924" s="8" t="s">
        <v>824</v>
      </c>
      <c r="D924" s="8" t="s">
        <v>664</v>
      </c>
      <c r="E924" s="8" t="s">
        <v>17</v>
      </c>
      <c r="F924" s="23">
        <v>46244.430555555555</v>
      </c>
      <c r="G924" s="8" t="s">
        <v>1045</v>
      </c>
      <c r="H924" s="23">
        <v>46247</v>
      </c>
      <c r="I924" s="23">
        <v>46244.430555555555</v>
      </c>
      <c r="J924" s="10">
        <v>160</v>
      </c>
      <c r="K924" s="10">
        <v>0</v>
      </c>
      <c r="L924" s="24">
        <v>0</v>
      </c>
      <c r="M924" s="10">
        <v>160</v>
      </c>
    </row>
    <row r="925" spans="1:13" x14ac:dyDescent="0.25">
      <c r="A925" s="12" t="str">
        <f t="shared" si="28"/>
        <v>3ANDERSON LUIS FROES DE JESUSRCB46248,3340277778</v>
      </c>
      <c r="B925" s="12" t="str">
        <f t="shared" si="29"/>
        <v>Agosto</v>
      </c>
      <c r="C925" s="8" t="s">
        <v>824</v>
      </c>
      <c r="D925" s="8" t="s">
        <v>664</v>
      </c>
      <c r="E925" s="8" t="s">
        <v>13</v>
      </c>
      <c r="F925" s="23">
        <v>46248.334027777775</v>
      </c>
      <c r="G925" s="8" t="s">
        <v>1045</v>
      </c>
      <c r="H925" s="23">
        <v>46253</v>
      </c>
      <c r="I925" s="23">
        <v>46248.334027777775</v>
      </c>
      <c r="J925" s="10">
        <v>116</v>
      </c>
      <c r="K925" s="10">
        <v>0</v>
      </c>
      <c r="L925" s="24">
        <v>0</v>
      </c>
      <c r="M925" s="10">
        <v>116</v>
      </c>
    </row>
    <row r="926" spans="1:13" x14ac:dyDescent="0.25">
      <c r="A926" s="12" t="str">
        <f t="shared" si="28"/>
        <v>3JOSE LUIZ DIAS SANTOSRCB46253,4333333333</v>
      </c>
      <c r="B926" s="12" t="str">
        <f t="shared" si="29"/>
        <v>Agosto</v>
      </c>
      <c r="C926" s="8" t="s">
        <v>824</v>
      </c>
      <c r="D926" s="8" t="s">
        <v>664</v>
      </c>
      <c r="E926" s="8" t="s">
        <v>100</v>
      </c>
      <c r="F926" s="23">
        <v>46253.433333333334</v>
      </c>
      <c r="G926" s="8" t="s">
        <v>1045</v>
      </c>
      <c r="H926" s="23">
        <v>46258</v>
      </c>
      <c r="I926" s="23">
        <v>46253.433333333334</v>
      </c>
      <c r="J926" s="10">
        <v>26.03</v>
      </c>
      <c r="K926" s="10">
        <v>0</v>
      </c>
      <c r="L926" s="24">
        <v>0</v>
      </c>
      <c r="M926" s="10">
        <v>26.03</v>
      </c>
    </row>
    <row r="927" spans="1:13" x14ac:dyDescent="0.25">
      <c r="A927" s="12" t="str">
        <f t="shared" si="28"/>
        <v>3JORDIMAR SOARES MARTINSRCB46260,4465277778</v>
      </c>
      <c r="B927" s="12" t="str">
        <f t="shared" si="29"/>
        <v>Agosto</v>
      </c>
      <c r="C927" s="8" t="s">
        <v>824</v>
      </c>
      <c r="D927" s="8" t="s">
        <v>664</v>
      </c>
      <c r="E927" s="8" t="s">
        <v>96</v>
      </c>
      <c r="F927" s="23">
        <v>46260.446527777778</v>
      </c>
      <c r="G927" s="8" t="s">
        <v>1045</v>
      </c>
      <c r="H927" s="23">
        <v>46265</v>
      </c>
      <c r="I927" s="23">
        <v>46260.446527777778</v>
      </c>
      <c r="J927" s="10">
        <v>46</v>
      </c>
      <c r="K927" s="10">
        <v>0</v>
      </c>
      <c r="L927" s="24">
        <v>0</v>
      </c>
      <c r="M927" s="10">
        <v>46</v>
      </c>
    </row>
    <row r="928" spans="1:13" x14ac:dyDescent="0.25">
      <c r="A928" s="12" t="str">
        <f t="shared" si="28"/>
        <v>3NELSON HENRIQUE FERNANDES DA COSTARCB46265,2798611111</v>
      </c>
      <c r="B928" s="12" t="str">
        <f t="shared" si="29"/>
        <v>Setembro</v>
      </c>
      <c r="C928" s="8" t="s">
        <v>824</v>
      </c>
      <c r="D928" s="8" t="s">
        <v>664</v>
      </c>
      <c r="E928" s="8" t="s">
        <v>138</v>
      </c>
      <c r="F928" s="23">
        <v>46265.279861111114</v>
      </c>
      <c r="G928" s="8" t="s">
        <v>1045</v>
      </c>
      <c r="H928" s="23">
        <v>46268</v>
      </c>
      <c r="I928" s="23">
        <v>46265.279861111114</v>
      </c>
      <c r="J928" s="10">
        <v>20.99</v>
      </c>
      <c r="K928" s="10">
        <v>0</v>
      </c>
      <c r="L928" s="24">
        <v>0</v>
      </c>
      <c r="M928" s="10">
        <v>20.99</v>
      </c>
    </row>
    <row r="929" spans="1:13" x14ac:dyDescent="0.25">
      <c r="A929" s="12" t="str">
        <f t="shared" si="28"/>
        <v>3LUIS FELIPE ALVES DE CASTRO LOPESRCB46282,3138888889</v>
      </c>
      <c r="B929" s="12" t="str">
        <f t="shared" si="29"/>
        <v>Setembro</v>
      </c>
      <c r="C929" s="8" t="s">
        <v>824</v>
      </c>
      <c r="D929" s="8" t="s">
        <v>664</v>
      </c>
      <c r="E929" s="8" t="s">
        <v>113</v>
      </c>
      <c r="F929" s="23">
        <v>46282.313888888886</v>
      </c>
      <c r="G929" s="8" t="s">
        <v>1045</v>
      </c>
      <c r="H929" s="23">
        <v>46287</v>
      </c>
      <c r="I929" s="23">
        <v>46282.313888888886</v>
      </c>
      <c r="J929" s="10">
        <v>39</v>
      </c>
      <c r="K929" s="10">
        <v>0</v>
      </c>
      <c r="L929" s="24">
        <v>0</v>
      </c>
      <c r="M929" s="10">
        <v>39</v>
      </c>
    </row>
    <row r="930" spans="1:13" x14ac:dyDescent="0.25">
      <c r="A930" s="12" t="str">
        <f t="shared" si="28"/>
        <v>3DIEGO DA SILVA GOMESRCB46286,6152777778</v>
      </c>
      <c r="B930" s="12" t="str">
        <f t="shared" si="29"/>
        <v>Setembro</v>
      </c>
      <c r="C930" s="8" t="s">
        <v>824</v>
      </c>
      <c r="D930" s="8" t="s">
        <v>664</v>
      </c>
      <c r="E930" s="8" t="s">
        <v>51</v>
      </c>
      <c r="F930" s="23">
        <v>46286.615277777775</v>
      </c>
      <c r="G930" s="8" t="s">
        <v>1045</v>
      </c>
      <c r="H930" s="23">
        <v>46289</v>
      </c>
      <c r="I930" s="23">
        <v>46286.615277777775</v>
      </c>
      <c r="J930" s="10">
        <v>4.5</v>
      </c>
      <c r="K930" s="10">
        <v>0</v>
      </c>
      <c r="L930" s="24">
        <v>0</v>
      </c>
      <c r="M930" s="10">
        <v>4.5</v>
      </c>
    </row>
    <row r="931" spans="1:13" x14ac:dyDescent="0.25">
      <c r="A931" s="12" t="str">
        <f t="shared" si="28"/>
        <v>3KETLENY DAIANE RODRIGUES PEREIRARCB46291,3833333333</v>
      </c>
      <c r="B931" s="12" t="str">
        <f t="shared" si="29"/>
        <v>Outubro</v>
      </c>
      <c r="C931" s="8" t="s">
        <v>824</v>
      </c>
      <c r="D931" s="8" t="s">
        <v>664</v>
      </c>
      <c r="E931" s="8" t="s">
        <v>219</v>
      </c>
      <c r="F931" s="23">
        <v>46291.383333333331</v>
      </c>
      <c r="G931" s="8" t="s">
        <v>1045</v>
      </c>
      <c r="H931" s="23">
        <v>46296</v>
      </c>
      <c r="I931" s="23">
        <v>46291.383333333331</v>
      </c>
      <c r="J931" s="10">
        <v>317.93</v>
      </c>
      <c r="K931" s="10">
        <v>0</v>
      </c>
      <c r="L931" s="24">
        <v>0</v>
      </c>
      <c r="M931" s="10">
        <v>317.93</v>
      </c>
    </row>
    <row r="932" spans="1:13" x14ac:dyDescent="0.25">
      <c r="A932" s="12" t="str">
        <f t="shared" si="28"/>
        <v>3FRANCIELE TEIXEIRA DOS SANTOSRCB46296,4604166667</v>
      </c>
      <c r="B932" s="12" t="str">
        <f t="shared" si="29"/>
        <v>Outubro</v>
      </c>
      <c r="C932" s="8" t="s">
        <v>824</v>
      </c>
      <c r="D932" s="8" t="s">
        <v>664</v>
      </c>
      <c r="E932" s="8" t="s">
        <v>71</v>
      </c>
      <c r="F932" s="23">
        <v>46296.460416666669</v>
      </c>
      <c r="G932" s="8" t="s">
        <v>1045</v>
      </c>
      <c r="H932" s="23">
        <v>46301</v>
      </c>
      <c r="I932" s="23">
        <v>46296.460416666669</v>
      </c>
      <c r="J932" s="10">
        <v>22.96</v>
      </c>
      <c r="K932" s="10">
        <v>0</v>
      </c>
      <c r="L932" s="24">
        <v>0</v>
      </c>
      <c r="M932" s="10">
        <v>22.96</v>
      </c>
    </row>
    <row r="933" spans="1:13" x14ac:dyDescent="0.25">
      <c r="A933" s="12" t="str">
        <f t="shared" si="28"/>
        <v>3DIONIZIO JOSE DE CASSIO PINTONSE46269</v>
      </c>
      <c r="B933" s="12" t="str">
        <f t="shared" si="29"/>
        <v>Outubro</v>
      </c>
      <c r="C933" s="8" t="s">
        <v>824</v>
      </c>
      <c r="D933" s="8" t="s">
        <v>1354</v>
      </c>
      <c r="E933" s="8" t="s">
        <v>53</v>
      </c>
      <c r="F933" s="23">
        <v>46269</v>
      </c>
      <c r="G933" s="8" t="s">
        <v>665</v>
      </c>
      <c r="H933" s="23">
        <v>46301</v>
      </c>
      <c r="I933" s="23">
        <v>46273</v>
      </c>
      <c r="J933" s="10">
        <v>735</v>
      </c>
      <c r="K933" s="10">
        <v>0</v>
      </c>
      <c r="L933" s="24">
        <v>0</v>
      </c>
      <c r="M933" s="10">
        <v>735</v>
      </c>
    </row>
    <row r="934" spans="1:13" x14ac:dyDescent="0.25">
      <c r="A934" s="12" t="str">
        <f t="shared" si="28"/>
        <v>30JOAO PEDRO ALENCAR PEREIRA COSTANSE46051</v>
      </c>
      <c r="B934" s="12" t="str">
        <f t="shared" si="29"/>
        <v>Janeiro</v>
      </c>
      <c r="C934" s="8" t="s">
        <v>489</v>
      </c>
      <c r="D934" s="8" t="s">
        <v>1354</v>
      </c>
      <c r="E934" s="8" t="s">
        <v>825</v>
      </c>
      <c r="F934" s="23">
        <v>46051</v>
      </c>
      <c r="G934" s="8" t="s">
        <v>665</v>
      </c>
      <c r="H934" s="23">
        <v>46052</v>
      </c>
      <c r="I934" s="23">
        <v>46052</v>
      </c>
      <c r="J934" s="10">
        <v>1700.8</v>
      </c>
      <c r="K934" s="10">
        <v>0</v>
      </c>
      <c r="L934" s="24">
        <v>0</v>
      </c>
      <c r="M934" s="10">
        <v>1700.48</v>
      </c>
    </row>
    <row r="935" spans="1:13" x14ac:dyDescent="0.25">
      <c r="A935" s="12" t="str">
        <f t="shared" si="28"/>
        <v>30MGS PRINTERNSE46010</v>
      </c>
      <c r="B935" s="12" t="str">
        <f t="shared" si="29"/>
        <v>Fevereiro</v>
      </c>
      <c r="C935" s="8" t="s">
        <v>489</v>
      </c>
      <c r="D935" s="8" t="s">
        <v>664</v>
      </c>
      <c r="E935" s="8" t="s">
        <v>128</v>
      </c>
      <c r="F935" s="23">
        <v>46010</v>
      </c>
      <c r="G935" s="8" t="s">
        <v>665</v>
      </c>
      <c r="H935" s="23">
        <v>46059</v>
      </c>
      <c r="I935" s="23">
        <v>46010</v>
      </c>
      <c r="J935" s="10">
        <v>346.85</v>
      </c>
      <c r="K935" s="10">
        <v>0</v>
      </c>
      <c r="L935" s="24">
        <v>0</v>
      </c>
      <c r="M935" s="10">
        <v>346.85</v>
      </c>
    </row>
    <row r="936" spans="1:13" x14ac:dyDescent="0.25">
      <c r="A936" s="12" t="str">
        <f t="shared" si="28"/>
        <v>30EDILSON RIBEIRO DA SILVARCB46195,6152777778</v>
      </c>
      <c r="B936" s="12" t="str">
        <f t="shared" si="29"/>
        <v>Junho</v>
      </c>
      <c r="C936" s="8" t="s">
        <v>489</v>
      </c>
      <c r="D936" s="8" t="s">
        <v>664</v>
      </c>
      <c r="E936" s="8" t="s">
        <v>56</v>
      </c>
      <c r="F936" s="23">
        <v>46195.615277777775</v>
      </c>
      <c r="G936" s="8" t="s">
        <v>1045</v>
      </c>
      <c r="H936" s="23">
        <v>46198</v>
      </c>
      <c r="I936" s="23">
        <v>46195.615277777775</v>
      </c>
      <c r="J936" s="10">
        <v>70</v>
      </c>
      <c r="K936" s="10">
        <v>0</v>
      </c>
      <c r="L936" s="24">
        <v>0</v>
      </c>
      <c r="M936" s="10">
        <v>70</v>
      </c>
    </row>
    <row r="937" spans="1:13" x14ac:dyDescent="0.25">
      <c r="A937" s="12" t="str">
        <f t="shared" si="28"/>
        <v>30GABRIEL MOUTINHO ALBINORCB46209,3798611111</v>
      </c>
      <c r="B937" s="12" t="str">
        <f t="shared" si="29"/>
        <v>Julho</v>
      </c>
      <c r="C937" s="8" t="s">
        <v>489</v>
      </c>
      <c r="D937" s="8" t="s">
        <v>664</v>
      </c>
      <c r="E937" s="8" t="s">
        <v>73</v>
      </c>
      <c r="F937" s="23">
        <v>46209.379861111112</v>
      </c>
      <c r="G937" s="8" t="s">
        <v>1045</v>
      </c>
      <c r="H937" s="23">
        <v>46212</v>
      </c>
      <c r="I937" s="23">
        <v>46209.379861111112</v>
      </c>
      <c r="J937" s="10">
        <v>130</v>
      </c>
      <c r="K937" s="10">
        <v>0</v>
      </c>
      <c r="L937" s="24">
        <v>0</v>
      </c>
      <c r="M937" s="10">
        <v>130</v>
      </c>
    </row>
    <row r="938" spans="1:13" x14ac:dyDescent="0.25">
      <c r="A938" s="12" t="str">
        <f t="shared" si="28"/>
        <v>30FRANCISCO MARCIO CESAR DE MATOSRCB46210,44375</v>
      </c>
      <c r="B938" s="12" t="str">
        <f t="shared" si="29"/>
        <v>Julho</v>
      </c>
      <c r="C938" s="8" t="s">
        <v>489</v>
      </c>
      <c r="D938" s="8" t="s">
        <v>664</v>
      </c>
      <c r="E938" s="8" t="s">
        <v>72</v>
      </c>
      <c r="F938" s="23">
        <v>46210.443749999999</v>
      </c>
      <c r="G938" s="8" t="s">
        <v>1045</v>
      </c>
      <c r="H938" s="23">
        <v>46213</v>
      </c>
      <c r="I938" s="23">
        <v>46210.443749999999</v>
      </c>
      <c r="J938" s="10">
        <v>61.74</v>
      </c>
      <c r="K938" s="10">
        <v>0</v>
      </c>
      <c r="L938" s="24">
        <v>0</v>
      </c>
      <c r="M938" s="10">
        <v>61.74</v>
      </c>
    </row>
    <row r="939" spans="1:13" x14ac:dyDescent="0.25">
      <c r="A939" s="12" t="str">
        <f t="shared" si="28"/>
        <v>30WALACE ROCHA DE SOUZARCB46225,4388888889</v>
      </c>
      <c r="B939" s="12" t="str">
        <f t="shared" si="29"/>
        <v>Julho</v>
      </c>
      <c r="C939" s="8" t="s">
        <v>489</v>
      </c>
      <c r="D939" s="8" t="s">
        <v>664</v>
      </c>
      <c r="E939" s="8" t="s">
        <v>200</v>
      </c>
      <c r="F939" s="23">
        <v>46225.438888888886</v>
      </c>
      <c r="G939" s="8" t="s">
        <v>1045</v>
      </c>
      <c r="H939" s="23">
        <v>46230</v>
      </c>
      <c r="I939" s="23">
        <v>46225.438888888886</v>
      </c>
      <c r="J939" s="10">
        <v>85.07</v>
      </c>
      <c r="K939" s="10">
        <v>0</v>
      </c>
      <c r="L939" s="24">
        <v>0</v>
      </c>
      <c r="M939" s="10">
        <v>85.07</v>
      </c>
    </row>
    <row r="940" spans="1:13" x14ac:dyDescent="0.25">
      <c r="A940" s="12" t="str">
        <f t="shared" si="28"/>
        <v>30GUSTAVO HENRIQUE DE SOUZA BARBOSARCB46237,3861111111</v>
      </c>
      <c r="B940" s="12" t="str">
        <f t="shared" si="29"/>
        <v>Agosto</v>
      </c>
      <c r="C940" s="8" t="s">
        <v>489</v>
      </c>
      <c r="D940" s="8" t="s">
        <v>664</v>
      </c>
      <c r="E940" s="8" t="s">
        <v>79</v>
      </c>
      <c r="F940" s="23">
        <v>46237.386111111111</v>
      </c>
      <c r="G940" s="8" t="s">
        <v>1045</v>
      </c>
      <c r="H940" s="23">
        <v>46240</v>
      </c>
      <c r="I940" s="23">
        <v>46237.386111111111</v>
      </c>
      <c r="J940" s="10">
        <v>3.5</v>
      </c>
      <c r="K940" s="10">
        <v>0</v>
      </c>
      <c r="L940" s="24">
        <v>0</v>
      </c>
      <c r="M940" s="10">
        <v>3.5</v>
      </c>
    </row>
    <row r="941" spans="1:13" x14ac:dyDescent="0.25">
      <c r="A941" s="12" t="str">
        <f t="shared" si="28"/>
        <v>30RODRIGO CORREARCB46254,6284722222</v>
      </c>
      <c r="B941" s="12" t="str">
        <f t="shared" si="29"/>
        <v>Agosto</v>
      </c>
      <c r="C941" s="8" t="s">
        <v>489</v>
      </c>
      <c r="D941" s="8" t="s">
        <v>664</v>
      </c>
      <c r="E941" s="8" t="s">
        <v>172</v>
      </c>
      <c r="F941" s="23">
        <v>46254.628472222219</v>
      </c>
      <c r="G941" s="8" t="s">
        <v>1045</v>
      </c>
      <c r="H941" s="23">
        <v>46259</v>
      </c>
      <c r="I941" s="23">
        <v>46254.628472222219</v>
      </c>
      <c r="J941" s="10">
        <v>32.6</v>
      </c>
      <c r="K941" s="10">
        <v>0</v>
      </c>
      <c r="L941" s="24">
        <v>0</v>
      </c>
      <c r="M941" s="10">
        <v>32.6</v>
      </c>
    </row>
    <row r="942" spans="1:13" x14ac:dyDescent="0.25">
      <c r="A942" s="12" t="str">
        <f t="shared" si="28"/>
        <v>30DANIELLE HEBERT CARVALHO PEREIRARCB46254,6354166667</v>
      </c>
      <c r="B942" s="12" t="str">
        <f t="shared" si="29"/>
        <v>Agosto</v>
      </c>
      <c r="C942" s="8" t="s">
        <v>489</v>
      </c>
      <c r="D942" s="8" t="s">
        <v>664</v>
      </c>
      <c r="E942" s="8" t="s">
        <v>48</v>
      </c>
      <c r="F942" s="23">
        <v>46254.635416666664</v>
      </c>
      <c r="G942" s="8" t="s">
        <v>1045</v>
      </c>
      <c r="H942" s="23">
        <v>46259</v>
      </c>
      <c r="I942" s="23">
        <v>46254.635416666664</v>
      </c>
      <c r="J942" s="10">
        <v>122.37</v>
      </c>
      <c r="K942" s="10">
        <v>0</v>
      </c>
      <c r="L942" s="24">
        <v>0</v>
      </c>
      <c r="M942" s="10">
        <v>122.37</v>
      </c>
    </row>
    <row r="943" spans="1:13" x14ac:dyDescent="0.25">
      <c r="A943" s="12" t="str">
        <f t="shared" si="28"/>
        <v>30RAISSA DE CARVALHO FIORINERCB46254,6340277778</v>
      </c>
      <c r="B943" s="12" t="str">
        <f t="shared" si="29"/>
        <v>Agosto</v>
      </c>
      <c r="C943" s="8" t="s">
        <v>489</v>
      </c>
      <c r="D943" s="8" t="s">
        <v>664</v>
      </c>
      <c r="E943" s="8" t="s">
        <v>163</v>
      </c>
      <c r="F943" s="23">
        <v>46254.634027777778</v>
      </c>
      <c r="G943" s="8" t="s">
        <v>1045</v>
      </c>
      <c r="H943" s="23">
        <v>46259</v>
      </c>
      <c r="I943" s="23">
        <v>46254.634027777778</v>
      </c>
      <c r="J943" s="10">
        <v>52.2</v>
      </c>
      <c r="K943" s="10">
        <v>0</v>
      </c>
      <c r="L943" s="24">
        <v>0</v>
      </c>
      <c r="M943" s="10">
        <v>52.2</v>
      </c>
    </row>
    <row r="944" spans="1:13" x14ac:dyDescent="0.25">
      <c r="A944" s="12" t="str">
        <f t="shared" si="28"/>
        <v>30PAULO RICARDO SILVARCB46258,4673611111</v>
      </c>
      <c r="B944" s="12" t="str">
        <f t="shared" si="29"/>
        <v>Agosto</v>
      </c>
      <c r="C944" s="8" t="s">
        <v>489</v>
      </c>
      <c r="D944" s="8" t="s">
        <v>664</v>
      </c>
      <c r="E944" s="8" t="s">
        <v>153</v>
      </c>
      <c r="F944" s="23">
        <v>46258.467361111114</v>
      </c>
      <c r="G944" s="8" t="s">
        <v>1045</v>
      </c>
      <c r="H944" s="23">
        <v>46261</v>
      </c>
      <c r="I944" s="23">
        <v>46258.467361111114</v>
      </c>
      <c r="J944" s="10">
        <v>26.8</v>
      </c>
      <c r="K944" s="10">
        <v>0</v>
      </c>
      <c r="L944" s="24">
        <v>0</v>
      </c>
      <c r="M944" s="10">
        <v>26.8</v>
      </c>
    </row>
    <row r="945" spans="1:13" x14ac:dyDescent="0.25">
      <c r="A945" s="12" t="str">
        <f t="shared" si="28"/>
        <v>30VANDIEGO MARQUES DA SILVA SANTOSRCB46281,4243055556</v>
      </c>
      <c r="B945" s="12" t="str">
        <f t="shared" si="29"/>
        <v>Setembro</v>
      </c>
      <c r="C945" s="8" t="s">
        <v>489</v>
      </c>
      <c r="D945" s="8" t="s">
        <v>664</v>
      </c>
      <c r="E945" s="8" t="s">
        <v>194</v>
      </c>
      <c r="F945" s="23">
        <v>46281.424305555556</v>
      </c>
      <c r="G945" s="8" t="s">
        <v>1045</v>
      </c>
      <c r="H945" s="23">
        <v>46286</v>
      </c>
      <c r="I945" s="23">
        <v>46281.424305555556</v>
      </c>
      <c r="J945" s="10">
        <v>60</v>
      </c>
      <c r="K945" s="10">
        <v>0</v>
      </c>
      <c r="L945" s="24">
        <v>0</v>
      </c>
      <c r="M945" s="10">
        <v>60</v>
      </c>
    </row>
    <row r="946" spans="1:13" x14ac:dyDescent="0.25">
      <c r="A946" s="12" t="str">
        <f t="shared" si="28"/>
        <v>30DANIELA CHAVES MARIANORCB46286,6208333333</v>
      </c>
      <c r="B946" s="12" t="str">
        <f t="shared" si="29"/>
        <v>Setembro</v>
      </c>
      <c r="C946" s="8" t="s">
        <v>489</v>
      </c>
      <c r="D946" s="8" t="s">
        <v>664</v>
      </c>
      <c r="E946" s="8" t="s">
        <v>47</v>
      </c>
      <c r="F946" s="23">
        <v>46286.620833333334</v>
      </c>
      <c r="G946" s="8" t="s">
        <v>1045</v>
      </c>
      <c r="H946" s="23">
        <v>46289</v>
      </c>
      <c r="I946" s="23">
        <v>46286.620833333334</v>
      </c>
      <c r="J946" s="10">
        <v>80</v>
      </c>
      <c r="K946" s="10">
        <v>0</v>
      </c>
      <c r="L946" s="24">
        <v>0</v>
      </c>
      <c r="M946" s="10">
        <v>80</v>
      </c>
    </row>
    <row r="947" spans="1:13" x14ac:dyDescent="0.25">
      <c r="A947" s="12" t="str">
        <f t="shared" si="28"/>
        <v>30CASA DA SPRINTER LTDANFE46260</v>
      </c>
      <c r="B947" s="12" t="str">
        <f t="shared" si="29"/>
        <v>Setembro</v>
      </c>
      <c r="C947" s="8" t="s">
        <v>489</v>
      </c>
      <c r="D947" s="8" t="s">
        <v>664</v>
      </c>
      <c r="E947" s="8" t="s">
        <v>205</v>
      </c>
      <c r="F947" s="23">
        <v>46260</v>
      </c>
      <c r="G947" s="8" t="s">
        <v>380</v>
      </c>
      <c r="H947" s="23">
        <v>46290</v>
      </c>
      <c r="I947" s="23">
        <v>46261</v>
      </c>
      <c r="J947" s="10">
        <v>1300</v>
      </c>
      <c r="K947" s="10">
        <v>0</v>
      </c>
      <c r="L947" s="24">
        <v>0</v>
      </c>
      <c r="M947" s="10">
        <v>1300</v>
      </c>
    </row>
    <row r="948" spans="1:13" x14ac:dyDescent="0.25">
      <c r="A948" s="12" t="str">
        <f t="shared" si="28"/>
        <v>30MARCOS TADEU GOMES FIDELISRCB46295,6527777778</v>
      </c>
      <c r="B948" s="12" t="str">
        <f t="shared" si="29"/>
        <v>Outubro</v>
      </c>
      <c r="C948" s="8" t="s">
        <v>489</v>
      </c>
      <c r="D948" s="8" t="s">
        <v>664</v>
      </c>
      <c r="E948" s="8" t="s">
        <v>122</v>
      </c>
      <c r="F948" s="23">
        <v>46295.652777777781</v>
      </c>
      <c r="G948" s="8" t="s">
        <v>1045</v>
      </c>
      <c r="H948" s="23">
        <v>46300</v>
      </c>
      <c r="I948" s="23">
        <v>46295.652777777781</v>
      </c>
      <c r="J948" s="10">
        <v>9.51</v>
      </c>
      <c r="K948" s="10">
        <v>0</v>
      </c>
      <c r="L948" s="24">
        <v>0</v>
      </c>
      <c r="M948" s="10">
        <v>9.51</v>
      </c>
    </row>
    <row r="949" spans="1:13" x14ac:dyDescent="0.25">
      <c r="A949" s="12" t="str">
        <f t="shared" si="28"/>
        <v>3009RECAPAGEM RECATEC LTDA.NSE46098</v>
      </c>
      <c r="B949" s="12" t="str">
        <f t="shared" si="29"/>
        <v>Abril</v>
      </c>
      <c r="C949" s="8" t="s">
        <v>827</v>
      </c>
      <c r="D949" s="8" t="s">
        <v>1354</v>
      </c>
      <c r="E949" s="8" t="s">
        <v>166</v>
      </c>
      <c r="F949" s="23">
        <v>46098</v>
      </c>
      <c r="G949" s="8" t="s">
        <v>665</v>
      </c>
      <c r="H949" s="23">
        <v>46128</v>
      </c>
      <c r="I949" s="23">
        <v>46100</v>
      </c>
      <c r="J949" s="10">
        <v>210</v>
      </c>
      <c r="K949" s="10">
        <v>0</v>
      </c>
      <c r="L949" s="24">
        <v>0</v>
      </c>
      <c r="M949" s="10">
        <v>210</v>
      </c>
    </row>
    <row r="950" spans="1:13" x14ac:dyDescent="0.25">
      <c r="A950" s="12" t="str">
        <f t="shared" si="28"/>
        <v>30149MERCEDES-BENZ CARS &amp; VANS BRASIL LTDANSE46121</v>
      </c>
      <c r="B950" s="12" t="str">
        <f t="shared" si="29"/>
        <v>Maio</v>
      </c>
      <c r="C950" s="8" t="s">
        <v>828</v>
      </c>
      <c r="D950" s="8" t="s">
        <v>664</v>
      </c>
      <c r="E950" s="8" t="s">
        <v>127</v>
      </c>
      <c r="F950" s="23">
        <v>46121</v>
      </c>
      <c r="G950" s="8" t="s">
        <v>665</v>
      </c>
      <c r="H950" s="23">
        <v>46167</v>
      </c>
      <c r="I950" s="23">
        <v>46125</v>
      </c>
      <c r="J950" s="10">
        <v>52824.78</v>
      </c>
      <c r="K950" s="10">
        <v>0</v>
      </c>
      <c r="L950" s="24">
        <v>0</v>
      </c>
      <c r="M950" s="10">
        <v>50368.43</v>
      </c>
    </row>
    <row r="951" spans="1:13" x14ac:dyDescent="0.25">
      <c r="A951" s="12" t="str">
        <f t="shared" si="28"/>
        <v>30149-5952-87MINISTERIO DA FAZENDAim46135,6333333333</v>
      </c>
      <c r="B951" s="12" t="str">
        <f t="shared" si="29"/>
        <v>Maio</v>
      </c>
      <c r="C951" s="8" t="s">
        <v>2431</v>
      </c>
      <c r="D951" s="8" t="s">
        <v>664</v>
      </c>
      <c r="E951" s="8" t="s">
        <v>1503</v>
      </c>
      <c r="F951" s="23">
        <v>46135.633333333331</v>
      </c>
      <c r="G951" s="8" t="s">
        <v>1248</v>
      </c>
      <c r="H951" s="23">
        <v>46162</v>
      </c>
      <c r="I951" s="23">
        <v>46135.633333333331</v>
      </c>
      <c r="J951" s="10">
        <v>2456.35</v>
      </c>
      <c r="K951" s="10">
        <v>0</v>
      </c>
      <c r="L951" s="24">
        <v>0</v>
      </c>
      <c r="M951" s="10">
        <v>2456.35</v>
      </c>
    </row>
    <row r="952" spans="1:13" x14ac:dyDescent="0.25">
      <c r="A952" s="12" t="str">
        <f t="shared" si="28"/>
        <v>302AVANSAT TECNOLOGIAS E SERVS EM SEGURANCA LTDANSE45994</v>
      </c>
      <c r="B952" s="12" t="str">
        <f t="shared" si="29"/>
        <v>Janeiro</v>
      </c>
      <c r="C952" s="8" t="s">
        <v>1392</v>
      </c>
      <c r="D952" s="8" t="s">
        <v>1354</v>
      </c>
      <c r="E952" s="8" t="s">
        <v>24</v>
      </c>
      <c r="F952" s="23">
        <v>45994</v>
      </c>
      <c r="G952" s="8" t="s">
        <v>665</v>
      </c>
      <c r="H952" s="23">
        <v>46028</v>
      </c>
      <c r="I952" s="23">
        <v>45995</v>
      </c>
      <c r="J952" s="10">
        <v>11929.32</v>
      </c>
      <c r="K952" s="10">
        <v>0</v>
      </c>
      <c r="L952" s="24">
        <v>0</v>
      </c>
      <c r="M952" s="10">
        <v>11929.32</v>
      </c>
    </row>
    <row r="953" spans="1:13" x14ac:dyDescent="0.25">
      <c r="A953" s="12" t="str">
        <f t="shared" si="28"/>
        <v>3021OPENSYSTECH SERVICOS DE MANUTENCAO DE SISTEMAS LTDANSE46090</v>
      </c>
      <c r="B953" s="12" t="str">
        <f t="shared" si="29"/>
        <v>Abril</v>
      </c>
      <c r="C953" s="8" t="s">
        <v>829</v>
      </c>
      <c r="D953" s="8" t="s">
        <v>664</v>
      </c>
      <c r="E953" s="8" t="s">
        <v>145</v>
      </c>
      <c r="F953" s="23">
        <v>46090</v>
      </c>
      <c r="G953" s="8" t="s">
        <v>665</v>
      </c>
      <c r="H953" s="23">
        <v>46118</v>
      </c>
      <c r="I953" s="23">
        <v>46097</v>
      </c>
      <c r="J953" s="10">
        <v>936.1</v>
      </c>
      <c r="K953" s="10">
        <v>0</v>
      </c>
      <c r="L953" s="24">
        <v>0</v>
      </c>
      <c r="M953" s="10">
        <v>936.1</v>
      </c>
    </row>
    <row r="954" spans="1:13" x14ac:dyDescent="0.25">
      <c r="A954" s="12" t="str">
        <f t="shared" si="28"/>
        <v>303AVANSAT TECNOLOGIAS E SERVS EM SEGURANCA LTDANSE45994</v>
      </c>
      <c r="B954" s="12" t="str">
        <f t="shared" si="29"/>
        <v>Janeiro</v>
      </c>
      <c r="C954" s="8" t="s">
        <v>830</v>
      </c>
      <c r="D954" s="8" t="s">
        <v>1354</v>
      </c>
      <c r="E954" s="8" t="s">
        <v>24</v>
      </c>
      <c r="F954" s="23">
        <v>45994</v>
      </c>
      <c r="G954" s="8" t="s">
        <v>665</v>
      </c>
      <c r="H954" s="23">
        <v>46028</v>
      </c>
      <c r="I954" s="23">
        <v>45995</v>
      </c>
      <c r="J954" s="10">
        <v>11102.65</v>
      </c>
      <c r="K954" s="10">
        <v>0</v>
      </c>
      <c r="L954" s="24">
        <v>0</v>
      </c>
      <c r="M954" s="10">
        <v>10419.83</v>
      </c>
    </row>
    <row r="955" spans="1:13" x14ac:dyDescent="0.25">
      <c r="A955" s="12" t="str">
        <f t="shared" si="28"/>
        <v>303SOLUCOES DIESEL PEQUENOS UTILITARIOS LTDANSE46265</v>
      </c>
      <c r="B955" s="12" t="str">
        <f t="shared" si="29"/>
        <v>Setembro</v>
      </c>
      <c r="C955" s="8" t="s">
        <v>830</v>
      </c>
      <c r="D955" s="8" t="s">
        <v>1354</v>
      </c>
      <c r="E955" s="8" t="s">
        <v>207</v>
      </c>
      <c r="F955" s="23">
        <v>46265</v>
      </c>
      <c r="G955" s="8" t="s">
        <v>665</v>
      </c>
      <c r="H955" s="23">
        <v>46295</v>
      </c>
      <c r="I955" s="23">
        <v>46266</v>
      </c>
      <c r="J955" s="10">
        <v>3095</v>
      </c>
      <c r="K955" s="10">
        <v>0</v>
      </c>
      <c r="L955" s="24">
        <v>0</v>
      </c>
      <c r="M955" s="10">
        <v>3095</v>
      </c>
    </row>
    <row r="956" spans="1:13" x14ac:dyDescent="0.25">
      <c r="A956" s="12" t="str">
        <f t="shared" si="28"/>
        <v>303-1708-87MINISTERIO DA FAZENDAIM46007,4215277778</v>
      </c>
      <c r="B956" s="12" t="str">
        <f t="shared" si="29"/>
        <v>Janeiro</v>
      </c>
      <c r="C956" s="8" t="s">
        <v>1508</v>
      </c>
      <c r="D956" s="8" t="s">
        <v>664</v>
      </c>
      <c r="E956" s="8" t="s">
        <v>1503</v>
      </c>
      <c r="F956" s="23">
        <v>46007.421527777777</v>
      </c>
      <c r="G956" s="8" t="s">
        <v>1142</v>
      </c>
      <c r="H956" s="23">
        <v>46042</v>
      </c>
      <c r="I956" s="23">
        <v>46007.421527777777</v>
      </c>
      <c r="J956" s="10">
        <v>166.54</v>
      </c>
      <c r="K956" s="10">
        <v>0</v>
      </c>
      <c r="L956" s="24">
        <v>0</v>
      </c>
      <c r="M956" s="10">
        <v>166.54</v>
      </c>
    </row>
    <row r="957" spans="1:13" x14ac:dyDescent="0.25">
      <c r="A957" s="12" t="str">
        <f t="shared" si="28"/>
        <v>303-5952-87MINISTERIO DA FAZENDAIM46007,4236111111</v>
      </c>
      <c r="B957" s="12" t="str">
        <f t="shared" si="29"/>
        <v>Janeiro</v>
      </c>
      <c r="C957" s="8" t="s">
        <v>1509</v>
      </c>
      <c r="D957" s="8" t="s">
        <v>664</v>
      </c>
      <c r="E957" s="8" t="s">
        <v>1503</v>
      </c>
      <c r="F957" s="23">
        <v>46007.423611111109</v>
      </c>
      <c r="G957" s="8" t="s">
        <v>1142</v>
      </c>
      <c r="H957" s="23">
        <v>46042</v>
      </c>
      <c r="I957" s="23">
        <v>46007.423611111109</v>
      </c>
      <c r="J957" s="10">
        <v>516.27</v>
      </c>
      <c r="K957" s="10">
        <v>0</v>
      </c>
      <c r="L957" s="24">
        <v>0</v>
      </c>
      <c r="M957" s="10">
        <v>516.27</v>
      </c>
    </row>
    <row r="958" spans="1:13" x14ac:dyDescent="0.25">
      <c r="A958" s="12" t="str">
        <f t="shared" si="28"/>
        <v>304SOLUCOES DIESEL PEQUENOS UTILITARIOS LTDANSE46265</v>
      </c>
      <c r="B958" s="12" t="str">
        <f t="shared" si="29"/>
        <v>Setembro</v>
      </c>
      <c r="C958" s="8" t="s">
        <v>832</v>
      </c>
      <c r="D958" s="8" t="s">
        <v>1354</v>
      </c>
      <c r="E958" s="8" t="s">
        <v>207</v>
      </c>
      <c r="F958" s="23">
        <v>46265</v>
      </c>
      <c r="G958" s="8" t="s">
        <v>665</v>
      </c>
      <c r="H958" s="23">
        <v>46295</v>
      </c>
      <c r="I958" s="23">
        <v>46266</v>
      </c>
      <c r="J958" s="10">
        <v>3442</v>
      </c>
      <c r="K958" s="10">
        <v>0</v>
      </c>
      <c r="L958" s="24">
        <v>0</v>
      </c>
      <c r="M958" s="10">
        <v>3442</v>
      </c>
    </row>
    <row r="959" spans="1:13" x14ac:dyDescent="0.25">
      <c r="A959" s="12" t="str">
        <f t="shared" si="28"/>
        <v>30749OCUPACIONAL MEDICINA DO TRABALHO LTDANSE46252</v>
      </c>
      <c r="B959" s="12" t="str">
        <f t="shared" si="29"/>
        <v>Outubro</v>
      </c>
      <c r="C959" s="8" t="s">
        <v>833</v>
      </c>
      <c r="D959" s="8" t="s">
        <v>664</v>
      </c>
      <c r="E959" s="8" t="s">
        <v>142</v>
      </c>
      <c r="F959" s="23">
        <v>46252</v>
      </c>
      <c r="G959" s="8" t="s">
        <v>665</v>
      </c>
      <c r="H959" s="23">
        <v>46301</v>
      </c>
      <c r="I959" s="23">
        <v>46254</v>
      </c>
      <c r="J959" s="10">
        <v>702.72</v>
      </c>
      <c r="K959" s="10">
        <v>0</v>
      </c>
      <c r="L959" s="24">
        <v>0</v>
      </c>
      <c r="M959" s="10">
        <v>659.5</v>
      </c>
    </row>
    <row r="960" spans="1:13" x14ac:dyDescent="0.25">
      <c r="A960" s="12" t="str">
        <f t="shared" si="28"/>
        <v>30749-1708-87MINISTERIO DA FAZENDAim46259,5152777778</v>
      </c>
      <c r="B960" s="12" t="str">
        <f t="shared" si="29"/>
        <v>Setembro</v>
      </c>
      <c r="C960" s="8" t="s">
        <v>3132</v>
      </c>
      <c r="D960" s="8" t="s">
        <v>664</v>
      </c>
      <c r="E960" s="8" t="s">
        <v>1503</v>
      </c>
      <c r="F960" s="23">
        <v>46259.515277777777</v>
      </c>
      <c r="G960" s="8" t="s">
        <v>1248</v>
      </c>
      <c r="H960" s="23">
        <v>46285</v>
      </c>
      <c r="I960" s="23">
        <v>46259.515277777777</v>
      </c>
      <c r="J960" s="10">
        <v>10.54</v>
      </c>
      <c r="K960" s="10">
        <v>0</v>
      </c>
      <c r="L960" s="24">
        <v>0</v>
      </c>
      <c r="M960" s="10">
        <v>10.54</v>
      </c>
    </row>
    <row r="961" spans="1:13" x14ac:dyDescent="0.25">
      <c r="A961" s="12" t="str">
        <f t="shared" si="28"/>
        <v>30749-5952-87MINISTERIO DA FAZENDAIM46259,5173611111</v>
      </c>
      <c r="B961" s="12" t="str">
        <f t="shared" si="29"/>
        <v>Setembro</v>
      </c>
      <c r="C961" s="8" t="s">
        <v>3133</v>
      </c>
      <c r="D961" s="8" t="s">
        <v>664</v>
      </c>
      <c r="E961" s="8" t="s">
        <v>1503</v>
      </c>
      <c r="F961" s="23">
        <v>46259.517361111109</v>
      </c>
      <c r="G961" s="8" t="s">
        <v>1142</v>
      </c>
      <c r="H961" s="23">
        <v>46285</v>
      </c>
      <c r="I961" s="23">
        <v>46259.517361111109</v>
      </c>
      <c r="J961" s="10">
        <v>32.68</v>
      </c>
      <c r="K961" s="10">
        <v>0</v>
      </c>
      <c r="L961" s="24">
        <v>0</v>
      </c>
      <c r="M961" s="10">
        <v>32.68</v>
      </c>
    </row>
    <row r="962" spans="1:13" x14ac:dyDescent="0.25">
      <c r="A962" s="12" t="str">
        <f t="shared" ref="A962:A1025" si="30">$C962&amp;$E962&amp;$G962&amp;$F962</f>
        <v>30750OCUPACIONAL MEDICINA DO TRABALHO LTDANSE46252</v>
      </c>
      <c r="B962" s="12" t="str">
        <f t="shared" si="29"/>
        <v>Outubro</v>
      </c>
      <c r="C962" s="8" t="s">
        <v>834</v>
      </c>
      <c r="D962" s="8" t="s">
        <v>664</v>
      </c>
      <c r="E962" s="8" t="s">
        <v>142</v>
      </c>
      <c r="F962" s="23">
        <v>46252</v>
      </c>
      <c r="G962" s="8" t="s">
        <v>665</v>
      </c>
      <c r="H962" s="23">
        <v>46301</v>
      </c>
      <c r="I962" s="23">
        <v>46254</v>
      </c>
      <c r="J962" s="10">
        <v>702.72</v>
      </c>
      <c r="K962" s="10">
        <v>0</v>
      </c>
      <c r="L962" s="24">
        <v>0</v>
      </c>
      <c r="M962" s="10">
        <v>659.5</v>
      </c>
    </row>
    <row r="963" spans="1:13" x14ac:dyDescent="0.25">
      <c r="A963" s="12" t="str">
        <f t="shared" si="30"/>
        <v>30750-1708-87MINISTERIO DA FAZENDAIM46259,525</v>
      </c>
      <c r="B963" s="12" t="str">
        <f t="shared" ref="B963:B1026" si="31">PROPER(TEXT($H963,"MMMM"))</f>
        <v>Setembro</v>
      </c>
      <c r="C963" s="8" t="s">
        <v>3134</v>
      </c>
      <c r="D963" s="8" t="s">
        <v>664</v>
      </c>
      <c r="E963" s="8" t="s">
        <v>1503</v>
      </c>
      <c r="F963" s="23">
        <v>46259.525000000001</v>
      </c>
      <c r="G963" s="8" t="s">
        <v>1142</v>
      </c>
      <c r="H963" s="23">
        <v>46285</v>
      </c>
      <c r="I963" s="23">
        <v>46259.525000000001</v>
      </c>
      <c r="J963" s="10">
        <v>10.54</v>
      </c>
      <c r="K963" s="10">
        <v>0</v>
      </c>
      <c r="L963" s="24">
        <v>0</v>
      </c>
      <c r="M963" s="10">
        <v>10.54</v>
      </c>
    </row>
    <row r="964" spans="1:13" x14ac:dyDescent="0.25">
      <c r="A964" s="12" t="str">
        <f t="shared" si="30"/>
        <v>30750-5952-87MINISTERIO DA FAZENDAim46259,5263888889</v>
      </c>
      <c r="B964" s="12" t="str">
        <f t="shared" si="31"/>
        <v>Setembro</v>
      </c>
      <c r="C964" s="8" t="s">
        <v>3135</v>
      </c>
      <c r="D964" s="8" t="s">
        <v>664</v>
      </c>
      <c r="E964" s="8" t="s">
        <v>1503</v>
      </c>
      <c r="F964" s="23">
        <v>46259.526388888888</v>
      </c>
      <c r="G964" s="8" t="s">
        <v>1248</v>
      </c>
      <c r="H964" s="23">
        <v>46285</v>
      </c>
      <c r="I964" s="23">
        <v>46259.526388888888</v>
      </c>
      <c r="J964" s="10">
        <v>32.68</v>
      </c>
      <c r="K964" s="10">
        <v>0</v>
      </c>
      <c r="L964" s="24">
        <v>0</v>
      </c>
      <c r="M964" s="10">
        <v>32.68</v>
      </c>
    </row>
    <row r="965" spans="1:13" x14ac:dyDescent="0.25">
      <c r="A965" s="12" t="str">
        <f t="shared" si="30"/>
        <v>3083631TRUCKS CONTROL - SERVIÇOS DE LOGISTICA LTDANSE45999</v>
      </c>
      <c r="B965" s="12" t="str">
        <f t="shared" si="31"/>
        <v>Janeiro</v>
      </c>
      <c r="C965" s="8" t="s">
        <v>1379</v>
      </c>
      <c r="D965" s="8" t="s">
        <v>1354</v>
      </c>
      <c r="E965" s="8" t="s">
        <v>192</v>
      </c>
      <c r="F965" s="23">
        <v>45999</v>
      </c>
      <c r="G965" s="8" t="s">
        <v>665</v>
      </c>
      <c r="H965" s="23">
        <v>46028</v>
      </c>
      <c r="I965" s="23">
        <v>46001</v>
      </c>
      <c r="J965" s="10">
        <v>8365.89</v>
      </c>
      <c r="K965" s="10">
        <v>0</v>
      </c>
      <c r="L965" s="24">
        <v>0</v>
      </c>
      <c r="M965" s="10">
        <v>8365.89</v>
      </c>
    </row>
    <row r="966" spans="1:13" x14ac:dyDescent="0.25">
      <c r="A966" s="12" t="str">
        <f t="shared" si="30"/>
        <v>31CHARLES DUTRA SOBREIRORCB46029,675</v>
      </c>
      <c r="B966" s="12" t="str">
        <f t="shared" si="31"/>
        <v>Janeiro</v>
      </c>
      <c r="C966" s="8" t="s">
        <v>1447</v>
      </c>
      <c r="D966" s="8" t="s">
        <v>664</v>
      </c>
      <c r="E966" s="8" t="s">
        <v>1448</v>
      </c>
      <c r="F966" s="23">
        <v>46029.675000000003</v>
      </c>
      <c r="G966" s="8" t="s">
        <v>1045</v>
      </c>
      <c r="H966" s="23">
        <v>46034</v>
      </c>
      <c r="I966" s="23">
        <v>46029.675000000003</v>
      </c>
      <c r="J966" s="10">
        <v>123.85</v>
      </c>
      <c r="K966" s="10">
        <v>0</v>
      </c>
      <c r="L966" s="24">
        <v>0</v>
      </c>
      <c r="M966" s="10">
        <v>123.85</v>
      </c>
    </row>
    <row r="967" spans="1:13" x14ac:dyDescent="0.25">
      <c r="A967" s="12" t="str">
        <f t="shared" si="30"/>
        <v>31VITOR SOUZA SILVARCB46125,4479166667</v>
      </c>
      <c r="B967" s="12" t="str">
        <f t="shared" si="31"/>
        <v>Abril</v>
      </c>
      <c r="C967" s="8" t="s">
        <v>1447</v>
      </c>
      <c r="D967" s="8" t="s">
        <v>664</v>
      </c>
      <c r="E967" s="8" t="s">
        <v>199</v>
      </c>
      <c r="F967" s="23">
        <v>46125.447916666664</v>
      </c>
      <c r="G967" s="8" t="s">
        <v>1045</v>
      </c>
      <c r="H967" s="23">
        <v>46128</v>
      </c>
      <c r="I967" s="23">
        <v>46125.447916666664</v>
      </c>
      <c r="J967" s="10">
        <v>60</v>
      </c>
      <c r="K967" s="10">
        <v>0</v>
      </c>
      <c r="L967" s="24">
        <v>0</v>
      </c>
      <c r="M967" s="10">
        <v>60</v>
      </c>
    </row>
    <row r="968" spans="1:13" x14ac:dyDescent="0.25">
      <c r="A968" s="12" t="str">
        <f t="shared" si="30"/>
        <v>31GABRIEL MOUTINHO ALBINORCB46216,46875</v>
      </c>
      <c r="B968" s="12" t="str">
        <f t="shared" si="31"/>
        <v>Julho</v>
      </c>
      <c r="C968" s="8" t="s">
        <v>1447</v>
      </c>
      <c r="D968" s="8" t="s">
        <v>664</v>
      </c>
      <c r="E968" s="8" t="s">
        <v>73</v>
      </c>
      <c r="F968" s="23">
        <v>46216.46875</v>
      </c>
      <c r="G968" s="8" t="s">
        <v>1045</v>
      </c>
      <c r="H968" s="23">
        <v>46219</v>
      </c>
      <c r="I968" s="23">
        <v>46216.46875</v>
      </c>
      <c r="J968" s="10">
        <v>463.21</v>
      </c>
      <c r="K968" s="10">
        <v>0</v>
      </c>
      <c r="L968" s="24">
        <v>0</v>
      </c>
      <c r="M968" s="10">
        <v>463.21</v>
      </c>
    </row>
    <row r="969" spans="1:13" x14ac:dyDescent="0.25">
      <c r="A969" s="12" t="str">
        <f t="shared" si="30"/>
        <v>31EDILSON RIBEIRO DA SILVARCB46217,6201388889</v>
      </c>
      <c r="B969" s="12" t="str">
        <f t="shared" si="31"/>
        <v>Julho</v>
      </c>
      <c r="C969" s="8" t="s">
        <v>1447</v>
      </c>
      <c r="D969" s="8" t="s">
        <v>664</v>
      </c>
      <c r="E969" s="8" t="s">
        <v>56</v>
      </c>
      <c r="F969" s="23">
        <v>46217.620138888888</v>
      </c>
      <c r="G969" s="8" t="s">
        <v>1045</v>
      </c>
      <c r="H969" s="23">
        <v>46220</v>
      </c>
      <c r="I969" s="23">
        <v>46217.620138888888</v>
      </c>
      <c r="J969" s="10">
        <v>26.39</v>
      </c>
      <c r="K969" s="10">
        <v>0</v>
      </c>
      <c r="L969" s="24">
        <v>0</v>
      </c>
      <c r="M969" s="10">
        <v>26.39</v>
      </c>
    </row>
    <row r="970" spans="1:13" x14ac:dyDescent="0.25">
      <c r="A970" s="12" t="str">
        <f t="shared" si="30"/>
        <v>31WALACE ROCHA DE SOUZARCB46231,3104166667</v>
      </c>
      <c r="B970" s="12" t="str">
        <f t="shared" si="31"/>
        <v>Julho</v>
      </c>
      <c r="C970" s="8" t="s">
        <v>1447</v>
      </c>
      <c r="D970" s="8" t="s">
        <v>664</v>
      </c>
      <c r="E970" s="8" t="s">
        <v>200</v>
      </c>
      <c r="F970" s="23">
        <v>46231.310416666667</v>
      </c>
      <c r="G970" s="8" t="s">
        <v>1045</v>
      </c>
      <c r="H970" s="23">
        <v>46234</v>
      </c>
      <c r="I970" s="23">
        <v>46231.310416666667</v>
      </c>
      <c r="J970" s="10">
        <v>126.55</v>
      </c>
      <c r="K970" s="10">
        <v>0</v>
      </c>
      <c r="L970" s="24">
        <v>0</v>
      </c>
      <c r="M970" s="10">
        <v>126.55</v>
      </c>
    </row>
    <row r="971" spans="1:13" x14ac:dyDescent="0.25">
      <c r="A971" s="12" t="str">
        <f t="shared" si="30"/>
        <v>31FRANCISCO MARCIO CESAR DE MATOSRCB46244,4291666667</v>
      </c>
      <c r="B971" s="12" t="str">
        <f t="shared" si="31"/>
        <v>Agosto</v>
      </c>
      <c r="C971" s="8" t="s">
        <v>1447</v>
      </c>
      <c r="D971" s="8" t="s">
        <v>664</v>
      </c>
      <c r="E971" s="8" t="s">
        <v>72</v>
      </c>
      <c r="F971" s="23">
        <v>46244.429166666669</v>
      </c>
      <c r="G971" s="8" t="s">
        <v>1045</v>
      </c>
      <c r="H971" s="23">
        <v>46247</v>
      </c>
      <c r="I971" s="23">
        <v>46244.429166666669</v>
      </c>
      <c r="J971" s="10">
        <v>60</v>
      </c>
      <c r="K971" s="10">
        <v>0</v>
      </c>
      <c r="L971" s="24">
        <v>0</v>
      </c>
      <c r="M971" s="10">
        <v>60</v>
      </c>
    </row>
    <row r="972" spans="1:13" x14ac:dyDescent="0.25">
      <c r="A972" s="12" t="str">
        <f t="shared" si="30"/>
        <v>31PAULO RICARDO SILVARCB46265,4215277778</v>
      </c>
      <c r="B972" s="12" t="str">
        <f t="shared" si="31"/>
        <v>Setembro</v>
      </c>
      <c r="C972" s="8" t="s">
        <v>1447</v>
      </c>
      <c r="D972" s="8" t="s">
        <v>664</v>
      </c>
      <c r="E972" s="8" t="s">
        <v>153</v>
      </c>
      <c r="F972" s="23">
        <v>46265.421527777777</v>
      </c>
      <c r="G972" s="8" t="s">
        <v>1045</v>
      </c>
      <c r="H972" s="23">
        <v>46268</v>
      </c>
      <c r="I972" s="23">
        <v>46265.421527777777</v>
      </c>
      <c r="J972" s="10">
        <v>30.4</v>
      </c>
      <c r="K972" s="10">
        <v>0</v>
      </c>
      <c r="L972" s="24">
        <v>0</v>
      </c>
      <c r="M972" s="10">
        <v>30.4</v>
      </c>
    </row>
    <row r="973" spans="1:13" x14ac:dyDescent="0.25">
      <c r="A973" s="12" t="str">
        <f t="shared" si="30"/>
        <v>31GUSTAVO HENRIQUE DE SOUZA BARBOSARCB46286,6423611111</v>
      </c>
      <c r="B973" s="12" t="str">
        <f t="shared" si="31"/>
        <v>Setembro</v>
      </c>
      <c r="C973" s="8" t="s">
        <v>1447</v>
      </c>
      <c r="D973" s="8" t="s">
        <v>664</v>
      </c>
      <c r="E973" s="8" t="s">
        <v>79</v>
      </c>
      <c r="F973" s="23">
        <v>46286.642361111109</v>
      </c>
      <c r="G973" s="8" t="s">
        <v>1045</v>
      </c>
      <c r="H973" s="23">
        <v>46289</v>
      </c>
      <c r="I973" s="23">
        <v>46286.642361111109</v>
      </c>
      <c r="J973" s="10">
        <v>117.5</v>
      </c>
      <c r="K973" s="10">
        <v>0</v>
      </c>
      <c r="L973" s="24">
        <v>0</v>
      </c>
      <c r="M973" s="10">
        <v>117.5</v>
      </c>
    </row>
    <row r="974" spans="1:13" x14ac:dyDescent="0.25">
      <c r="A974" s="12" t="str">
        <f t="shared" si="30"/>
        <v>31DANIELA CHAVES MARIANORCB46289,4590277778</v>
      </c>
      <c r="B974" s="12" t="str">
        <f t="shared" si="31"/>
        <v>Setembro</v>
      </c>
      <c r="C974" s="8" t="s">
        <v>1447</v>
      </c>
      <c r="D974" s="8" t="s">
        <v>664</v>
      </c>
      <c r="E974" s="8" t="s">
        <v>47</v>
      </c>
      <c r="F974" s="23">
        <v>46289.459027777775</v>
      </c>
      <c r="G974" s="8" t="s">
        <v>1045</v>
      </c>
      <c r="H974" s="23">
        <v>46294</v>
      </c>
      <c r="I974" s="23">
        <v>46289.459027777775</v>
      </c>
      <c r="J974" s="10">
        <v>125</v>
      </c>
      <c r="K974" s="10">
        <v>0</v>
      </c>
      <c r="L974" s="24">
        <v>0</v>
      </c>
      <c r="M974" s="10">
        <v>125</v>
      </c>
    </row>
    <row r="975" spans="1:13" x14ac:dyDescent="0.25">
      <c r="A975" s="12" t="str">
        <f t="shared" si="30"/>
        <v>31VANDIEGO MARQUES DA SILVA SANTOSRCB46289,4597222222</v>
      </c>
      <c r="B975" s="12" t="str">
        <f t="shared" si="31"/>
        <v>Setembro</v>
      </c>
      <c r="C975" s="8" t="s">
        <v>1447</v>
      </c>
      <c r="D975" s="8" t="s">
        <v>664</v>
      </c>
      <c r="E975" s="8" t="s">
        <v>194</v>
      </c>
      <c r="F975" s="23">
        <v>46289.459722222222</v>
      </c>
      <c r="G975" s="8" t="s">
        <v>1045</v>
      </c>
      <c r="H975" s="23">
        <v>46294</v>
      </c>
      <c r="I975" s="23">
        <v>46289.459722222222</v>
      </c>
      <c r="J975" s="10">
        <v>60</v>
      </c>
      <c r="K975" s="10">
        <v>0</v>
      </c>
      <c r="L975" s="24">
        <v>0</v>
      </c>
      <c r="M975" s="10">
        <v>60</v>
      </c>
    </row>
    <row r="976" spans="1:13" x14ac:dyDescent="0.25">
      <c r="A976" s="12" t="str">
        <f t="shared" si="30"/>
        <v>31RODRIGO CORREARCB46296,4666666667</v>
      </c>
      <c r="B976" s="12" t="str">
        <f t="shared" si="31"/>
        <v>Outubro</v>
      </c>
      <c r="C976" s="8" t="s">
        <v>1447</v>
      </c>
      <c r="D976" s="8" t="s">
        <v>664</v>
      </c>
      <c r="E976" s="8" t="s">
        <v>172</v>
      </c>
      <c r="F976" s="23">
        <v>46296.466666666667</v>
      </c>
      <c r="G976" s="8" t="s">
        <v>1045</v>
      </c>
      <c r="H976" s="23">
        <v>46301</v>
      </c>
      <c r="I976" s="23">
        <v>46296.466666666667</v>
      </c>
      <c r="J976" s="10">
        <v>140.80000000000001</v>
      </c>
      <c r="K976" s="10">
        <v>0</v>
      </c>
      <c r="L976" s="24">
        <v>0</v>
      </c>
      <c r="M976" s="10">
        <v>140.80000000000001</v>
      </c>
    </row>
    <row r="977" spans="1:13" x14ac:dyDescent="0.25">
      <c r="A977" s="12" t="str">
        <f t="shared" si="30"/>
        <v>31018MERCEDES-BENZ CARS &amp; VANS BRASIL LTDANSE46153</v>
      </c>
      <c r="B977" s="12" t="str">
        <f t="shared" si="31"/>
        <v>Junho</v>
      </c>
      <c r="C977" s="8" t="s">
        <v>835</v>
      </c>
      <c r="D977" s="8" t="s">
        <v>664</v>
      </c>
      <c r="E977" s="8" t="s">
        <v>127</v>
      </c>
      <c r="F977" s="23">
        <v>46153</v>
      </c>
      <c r="G977" s="8" t="s">
        <v>665</v>
      </c>
      <c r="H977" s="23">
        <v>46198</v>
      </c>
      <c r="I977" s="23">
        <v>46160</v>
      </c>
      <c r="J977" s="10">
        <v>52824.78</v>
      </c>
      <c r="K977" s="10">
        <v>0</v>
      </c>
      <c r="L977" s="24">
        <v>0</v>
      </c>
      <c r="M977" s="10">
        <v>50368.43</v>
      </c>
    </row>
    <row r="978" spans="1:13" x14ac:dyDescent="0.25">
      <c r="A978" s="12" t="str">
        <f t="shared" si="30"/>
        <v>31018-5952-87MINISTERIO DA FAZENDAIM46162,6291666667</v>
      </c>
      <c r="B978" s="12" t="str">
        <f t="shared" si="31"/>
        <v>Junho</v>
      </c>
      <c r="C978" s="8" t="s">
        <v>2586</v>
      </c>
      <c r="D978" s="8" t="s">
        <v>664</v>
      </c>
      <c r="E978" s="8" t="s">
        <v>1503</v>
      </c>
      <c r="F978" s="23">
        <v>46162.629166666666</v>
      </c>
      <c r="G978" s="8" t="s">
        <v>1142</v>
      </c>
      <c r="H978" s="23">
        <v>46193</v>
      </c>
      <c r="I978" s="23">
        <v>46162.629166666666</v>
      </c>
      <c r="J978" s="10">
        <v>2456.35</v>
      </c>
      <c r="K978" s="10">
        <v>0</v>
      </c>
      <c r="L978" s="24">
        <v>0</v>
      </c>
      <c r="M978" s="10">
        <v>2456.35</v>
      </c>
    </row>
    <row r="979" spans="1:13" x14ac:dyDescent="0.25">
      <c r="A979" s="12" t="str">
        <f t="shared" si="30"/>
        <v>3125842TRUCKS CONTROL - SERVIÇOS DE LOGISTICA LTDANSE46039</v>
      </c>
      <c r="B979" s="12" t="str">
        <f t="shared" si="31"/>
        <v>Fevereiro</v>
      </c>
      <c r="C979" s="8" t="s">
        <v>836</v>
      </c>
      <c r="D979" s="8" t="s">
        <v>1354</v>
      </c>
      <c r="E979" s="8" t="s">
        <v>192</v>
      </c>
      <c r="F979" s="23">
        <v>46039</v>
      </c>
      <c r="G979" s="8" t="s">
        <v>665</v>
      </c>
      <c r="H979" s="23">
        <v>46069</v>
      </c>
      <c r="I979" s="23">
        <v>46041</v>
      </c>
      <c r="J979" s="10">
        <v>8365.89</v>
      </c>
      <c r="K979" s="10">
        <v>0</v>
      </c>
      <c r="L979" s="24">
        <v>0</v>
      </c>
      <c r="M979" s="10">
        <v>8365.89</v>
      </c>
    </row>
    <row r="980" spans="1:13" x14ac:dyDescent="0.25">
      <c r="A980" s="12" t="str">
        <f t="shared" si="30"/>
        <v>3131OPENSYSTECH SERVICOS DE MANUTENCAO DE SISTEMAS LTDANSE46121</v>
      </c>
      <c r="B980" s="12" t="str">
        <f t="shared" si="31"/>
        <v>Maio</v>
      </c>
      <c r="C980" s="8" t="s">
        <v>838</v>
      </c>
      <c r="D980" s="8" t="s">
        <v>664</v>
      </c>
      <c r="E980" s="8" t="s">
        <v>145</v>
      </c>
      <c r="F980" s="23">
        <v>46121</v>
      </c>
      <c r="G980" s="8" t="s">
        <v>665</v>
      </c>
      <c r="H980" s="23">
        <v>46148</v>
      </c>
      <c r="I980" s="23">
        <v>46125</v>
      </c>
      <c r="J980" s="10">
        <v>936.1</v>
      </c>
      <c r="K980" s="10">
        <v>0</v>
      </c>
      <c r="L980" s="24">
        <v>0</v>
      </c>
      <c r="M980" s="10">
        <v>936.1</v>
      </c>
    </row>
    <row r="981" spans="1:13" x14ac:dyDescent="0.25">
      <c r="A981" s="12" t="str">
        <f t="shared" si="30"/>
        <v>3168757TRUCKS CONTROL - SERVIÇOS DE LOGISTICA LTDANSE46066</v>
      </c>
      <c r="B981" s="12" t="str">
        <f t="shared" si="31"/>
        <v>Março</v>
      </c>
      <c r="C981" s="8" t="s">
        <v>839</v>
      </c>
      <c r="D981" s="8" t="s">
        <v>1354</v>
      </c>
      <c r="E981" s="8" t="s">
        <v>192</v>
      </c>
      <c r="F981" s="23">
        <v>46066</v>
      </c>
      <c r="G981" s="8" t="s">
        <v>665</v>
      </c>
      <c r="H981" s="23">
        <v>46087</v>
      </c>
      <c r="I981" s="23">
        <v>46066</v>
      </c>
      <c r="J981" s="10">
        <v>8365.89</v>
      </c>
      <c r="K981" s="10">
        <v>0</v>
      </c>
      <c r="L981" s="24">
        <v>0</v>
      </c>
      <c r="M981" s="10">
        <v>8365.89</v>
      </c>
    </row>
    <row r="982" spans="1:13" x14ac:dyDescent="0.25">
      <c r="A982" s="12" t="str">
        <f t="shared" si="30"/>
        <v>32PAULO CESAR ALCANTARA SILVA FRAUCHESRCB46031,5944444444</v>
      </c>
      <c r="B982" s="12" t="str">
        <f t="shared" si="31"/>
        <v>Janeiro</v>
      </c>
      <c r="C982" s="8" t="s">
        <v>490</v>
      </c>
      <c r="D982" s="8" t="s">
        <v>664</v>
      </c>
      <c r="E982" s="8" t="s">
        <v>151</v>
      </c>
      <c r="F982" s="23">
        <v>46031.594444444447</v>
      </c>
      <c r="G982" s="8" t="s">
        <v>1045</v>
      </c>
      <c r="H982" s="23">
        <v>46036</v>
      </c>
      <c r="I982" s="23">
        <v>46031.594444444447</v>
      </c>
      <c r="J982" s="10">
        <v>192</v>
      </c>
      <c r="K982" s="10">
        <v>0</v>
      </c>
      <c r="L982" s="24">
        <v>0</v>
      </c>
      <c r="M982" s="10">
        <v>192</v>
      </c>
    </row>
    <row r="983" spans="1:13" x14ac:dyDescent="0.25">
      <c r="A983" s="12" t="str">
        <f t="shared" si="30"/>
        <v>32VITOR SOUZA SILVARCB46127,3659722222</v>
      </c>
      <c r="B983" s="12" t="str">
        <f t="shared" si="31"/>
        <v>Abril</v>
      </c>
      <c r="C983" s="8" t="s">
        <v>490</v>
      </c>
      <c r="D983" s="8" t="s">
        <v>664</v>
      </c>
      <c r="E983" s="8" t="s">
        <v>199</v>
      </c>
      <c r="F983" s="23">
        <v>46127.365972222222</v>
      </c>
      <c r="G983" s="8" t="s">
        <v>1045</v>
      </c>
      <c r="H983" s="23">
        <v>46132</v>
      </c>
      <c r="I983" s="23">
        <v>46127.365972222222</v>
      </c>
      <c r="J983" s="10">
        <v>40</v>
      </c>
      <c r="K983" s="10">
        <v>0</v>
      </c>
      <c r="L983" s="24">
        <v>0</v>
      </c>
      <c r="M983" s="10">
        <v>40</v>
      </c>
    </row>
    <row r="984" spans="1:13" x14ac:dyDescent="0.25">
      <c r="A984" s="12" t="str">
        <f t="shared" si="30"/>
        <v>32GABRIEL MOUTINHO ALBINORCB46218,3895833333</v>
      </c>
      <c r="B984" s="12" t="str">
        <f t="shared" si="31"/>
        <v>Julho</v>
      </c>
      <c r="C984" s="8" t="s">
        <v>490</v>
      </c>
      <c r="D984" s="8" t="s">
        <v>664</v>
      </c>
      <c r="E984" s="8" t="s">
        <v>73</v>
      </c>
      <c r="F984" s="23">
        <v>46218.38958333333</v>
      </c>
      <c r="G984" s="8" t="s">
        <v>1045</v>
      </c>
      <c r="H984" s="23">
        <v>46223</v>
      </c>
      <c r="I984" s="23">
        <v>46218.38958333333</v>
      </c>
      <c r="J984" s="10">
        <v>180</v>
      </c>
      <c r="K984" s="10">
        <v>0</v>
      </c>
      <c r="L984" s="24">
        <v>0</v>
      </c>
      <c r="M984" s="10">
        <v>180</v>
      </c>
    </row>
    <row r="985" spans="1:13" x14ac:dyDescent="0.25">
      <c r="A985" s="12" t="str">
        <f t="shared" si="30"/>
        <v>32EDILSON RIBEIRO DA SILVARCB46232,3541666667</v>
      </c>
      <c r="B985" s="12" t="str">
        <f t="shared" si="31"/>
        <v>Agosto</v>
      </c>
      <c r="C985" s="8" t="s">
        <v>490</v>
      </c>
      <c r="D985" s="8" t="s">
        <v>664</v>
      </c>
      <c r="E985" s="8" t="s">
        <v>56</v>
      </c>
      <c r="F985" s="23">
        <v>46232.354166666664</v>
      </c>
      <c r="G985" s="8" t="s">
        <v>1045</v>
      </c>
      <c r="H985" s="23">
        <v>46237</v>
      </c>
      <c r="I985" s="23">
        <v>46232.354166666664</v>
      </c>
      <c r="J985" s="10">
        <v>300</v>
      </c>
      <c r="K985" s="10">
        <v>0</v>
      </c>
      <c r="L985" s="24">
        <v>0</v>
      </c>
      <c r="M985" s="10">
        <v>300</v>
      </c>
    </row>
    <row r="986" spans="1:13" x14ac:dyDescent="0.25">
      <c r="A986" s="12" t="str">
        <f t="shared" si="30"/>
        <v>32FRANCISCO MARCIO CESAR DE MATOSRCB46251,3583333333</v>
      </c>
      <c r="B986" s="12" t="str">
        <f t="shared" si="31"/>
        <v>Agosto</v>
      </c>
      <c r="C986" s="8" t="s">
        <v>490</v>
      </c>
      <c r="D986" s="8" t="s">
        <v>664</v>
      </c>
      <c r="E986" s="8" t="s">
        <v>72</v>
      </c>
      <c r="F986" s="23">
        <v>46251.35833333333</v>
      </c>
      <c r="G986" s="8" t="s">
        <v>1045</v>
      </c>
      <c r="H986" s="23">
        <v>46254</v>
      </c>
      <c r="I986" s="23">
        <v>46251.35833333333</v>
      </c>
      <c r="J986" s="10">
        <v>31.96</v>
      </c>
      <c r="K986" s="10">
        <v>0</v>
      </c>
      <c r="L986" s="24">
        <v>0</v>
      </c>
      <c r="M986" s="10">
        <v>31.96</v>
      </c>
    </row>
    <row r="987" spans="1:13" x14ac:dyDescent="0.25">
      <c r="A987" s="12" t="str">
        <f t="shared" si="30"/>
        <v>32WALACE ROCHA DE SOUZARCB46265,2784722222</v>
      </c>
      <c r="B987" s="12" t="str">
        <f t="shared" si="31"/>
        <v>Setembro</v>
      </c>
      <c r="C987" s="8" t="s">
        <v>490</v>
      </c>
      <c r="D987" s="8" t="s">
        <v>664</v>
      </c>
      <c r="E987" s="8" t="s">
        <v>200</v>
      </c>
      <c r="F987" s="23">
        <v>46265.27847222222</v>
      </c>
      <c r="G987" s="8" t="s">
        <v>1045</v>
      </c>
      <c r="H987" s="23">
        <v>46268</v>
      </c>
      <c r="I987" s="23">
        <v>46265.27847222222</v>
      </c>
      <c r="J987" s="10">
        <v>48.03</v>
      </c>
      <c r="K987" s="10">
        <v>0</v>
      </c>
      <c r="L987" s="24">
        <v>0</v>
      </c>
      <c r="M987" s="10">
        <v>48.03</v>
      </c>
    </row>
    <row r="988" spans="1:13" x14ac:dyDescent="0.25">
      <c r="A988" s="12" t="str">
        <f t="shared" si="30"/>
        <v>32PAULO RICARDO SILVARCB46273,3805555556</v>
      </c>
      <c r="B988" s="12" t="str">
        <f t="shared" si="31"/>
        <v>Setembro</v>
      </c>
      <c r="C988" s="8" t="s">
        <v>490</v>
      </c>
      <c r="D988" s="8" t="s">
        <v>664</v>
      </c>
      <c r="E988" s="8" t="s">
        <v>153</v>
      </c>
      <c r="F988" s="23">
        <v>46273.380555555559</v>
      </c>
      <c r="G988" s="8" t="s">
        <v>1045</v>
      </c>
      <c r="H988" s="23">
        <v>46276</v>
      </c>
      <c r="I988" s="23">
        <v>46273.380555555559</v>
      </c>
      <c r="J988" s="10">
        <v>11.8</v>
      </c>
      <c r="K988" s="10">
        <v>0</v>
      </c>
      <c r="L988" s="24">
        <v>0</v>
      </c>
      <c r="M988" s="10">
        <v>11.8</v>
      </c>
    </row>
    <row r="989" spans="1:13" x14ac:dyDescent="0.25">
      <c r="A989" s="12" t="str">
        <f t="shared" si="30"/>
        <v>32DANIELA CHAVES MARIANORCB46289,4611111111</v>
      </c>
      <c r="B989" s="12" t="str">
        <f t="shared" si="31"/>
        <v>Setembro</v>
      </c>
      <c r="C989" s="8" t="s">
        <v>490</v>
      </c>
      <c r="D989" s="8" t="s">
        <v>664</v>
      </c>
      <c r="E989" s="8" t="s">
        <v>47</v>
      </c>
      <c r="F989" s="23">
        <v>46289.461111111108</v>
      </c>
      <c r="G989" s="8" t="s">
        <v>1045</v>
      </c>
      <c r="H989" s="23">
        <v>46294</v>
      </c>
      <c r="I989" s="23">
        <v>46289.461111111108</v>
      </c>
      <c r="J989" s="10">
        <v>119</v>
      </c>
      <c r="K989" s="10">
        <v>0</v>
      </c>
      <c r="L989" s="24">
        <v>0</v>
      </c>
      <c r="M989" s="10">
        <v>119</v>
      </c>
    </row>
    <row r="990" spans="1:13" x14ac:dyDescent="0.25">
      <c r="A990" s="12" t="str">
        <f t="shared" si="30"/>
        <v>32VANDIEGO MARQUES DA SILVA SANTOSRCB46293,4708333333</v>
      </c>
      <c r="B990" s="12" t="str">
        <f t="shared" si="31"/>
        <v>Outubro</v>
      </c>
      <c r="C990" s="8" t="s">
        <v>490</v>
      </c>
      <c r="D990" s="8" t="s">
        <v>664</v>
      </c>
      <c r="E990" s="8" t="s">
        <v>194</v>
      </c>
      <c r="F990" s="23">
        <v>46293.470833333333</v>
      </c>
      <c r="G990" s="8" t="s">
        <v>1045</v>
      </c>
      <c r="H990" s="23">
        <v>46296</v>
      </c>
      <c r="I990" s="23">
        <v>46293.470833333333</v>
      </c>
      <c r="J990" s="10">
        <v>70</v>
      </c>
      <c r="K990" s="10">
        <v>0</v>
      </c>
      <c r="L990" s="24">
        <v>0</v>
      </c>
      <c r="M990" s="10">
        <v>70</v>
      </c>
    </row>
    <row r="991" spans="1:13" x14ac:dyDescent="0.25">
      <c r="A991" s="12" t="str">
        <f t="shared" si="30"/>
        <v>32026-87HENRIQUE GALAMBA RODRIGUES DOS ANJOSDEP46065,7368055556</v>
      </c>
      <c r="B991" s="12" t="str">
        <f t="shared" si="31"/>
        <v>Março</v>
      </c>
      <c r="C991" s="8" t="s">
        <v>1958</v>
      </c>
      <c r="D991" s="8" t="s">
        <v>664</v>
      </c>
      <c r="E991" s="8" t="s">
        <v>84</v>
      </c>
      <c r="F991" s="23">
        <v>46065.736805555556</v>
      </c>
      <c r="G991" s="8" t="s">
        <v>1043</v>
      </c>
      <c r="H991" s="23">
        <v>46087</v>
      </c>
      <c r="I991" s="23">
        <v>46065.736805555556</v>
      </c>
      <c r="J991" s="10">
        <v>3000</v>
      </c>
      <c r="K991" s="10">
        <v>0</v>
      </c>
      <c r="L991" s="24">
        <v>0</v>
      </c>
      <c r="M991" s="10">
        <v>3000</v>
      </c>
    </row>
    <row r="992" spans="1:13" x14ac:dyDescent="0.25">
      <c r="A992" s="12" t="str">
        <f t="shared" si="30"/>
        <v>3210329TRUCKS CONTROL - SERVIÇOS DE LOGISTICA LTDANSE46092</v>
      </c>
      <c r="B992" s="12" t="str">
        <f t="shared" si="31"/>
        <v>Abril</v>
      </c>
      <c r="C992" s="8" t="s">
        <v>840</v>
      </c>
      <c r="D992" s="8" t="s">
        <v>1354</v>
      </c>
      <c r="E992" s="8" t="s">
        <v>192</v>
      </c>
      <c r="F992" s="23">
        <v>46092</v>
      </c>
      <c r="G992" s="8" t="s">
        <v>665</v>
      </c>
      <c r="H992" s="23">
        <v>46118</v>
      </c>
      <c r="I992" s="23">
        <v>46093</v>
      </c>
      <c r="J992" s="10">
        <v>8365.89</v>
      </c>
      <c r="K992" s="10">
        <v>0</v>
      </c>
      <c r="L992" s="24">
        <v>0</v>
      </c>
      <c r="M992" s="10">
        <v>8365.89</v>
      </c>
    </row>
    <row r="993" spans="1:13" x14ac:dyDescent="0.25">
      <c r="A993" s="12" t="str">
        <f t="shared" si="30"/>
        <v>32127MERCEDES-BENZ CARS &amp; VANS BRASIL LTDANSE46183</v>
      </c>
      <c r="B993" s="12" t="str">
        <f t="shared" si="31"/>
        <v>Julho</v>
      </c>
      <c r="C993" s="8" t="s">
        <v>841</v>
      </c>
      <c r="D993" s="8" t="s">
        <v>664</v>
      </c>
      <c r="E993" s="8" t="s">
        <v>127</v>
      </c>
      <c r="F993" s="23">
        <v>46183</v>
      </c>
      <c r="G993" s="8" t="s">
        <v>665</v>
      </c>
      <c r="H993" s="23">
        <v>46230</v>
      </c>
      <c r="I993" s="23">
        <v>46185</v>
      </c>
      <c r="J993" s="10">
        <v>52824.78</v>
      </c>
      <c r="K993" s="10">
        <v>0</v>
      </c>
      <c r="L993" s="24">
        <v>0</v>
      </c>
      <c r="M993" s="10">
        <v>50368.43</v>
      </c>
    </row>
    <row r="994" spans="1:13" x14ac:dyDescent="0.25">
      <c r="A994" s="12" t="str">
        <f t="shared" si="30"/>
        <v>32127-5952-87MINISTERIO DA FAZENDAIM46189,3875</v>
      </c>
      <c r="B994" s="12" t="str">
        <f t="shared" si="31"/>
        <v>Julho</v>
      </c>
      <c r="C994" s="8" t="s">
        <v>2773</v>
      </c>
      <c r="D994" s="8" t="s">
        <v>664</v>
      </c>
      <c r="E994" s="8" t="s">
        <v>1503</v>
      </c>
      <c r="F994" s="23">
        <v>46189.387499999997</v>
      </c>
      <c r="G994" s="8" t="s">
        <v>1142</v>
      </c>
      <c r="H994" s="23">
        <v>46223</v>
      </c>
      <c r="I994" s="23">
        <v>46189.387499999997</v>
      </c>
      <c r="J994" s="10">
        <v>2456.35</v>
      </c>
      <c r="K994" s="10">
        <v>0</v>
      </c>
      <c r="L994" s="24">
        <v>0</v>
      </c>
      <c r="M994" s="10">
        <v>2456.35</v>
      </c>
    </row>
    <row r="995" spans="1:13" x14ac:dyDescent="0.25">
      <c r="A995" s="12" t="str">
        <f t="shared" si="30"/>
        <v>3235OPENSYSTECH SERVICOS DE MANUTENCAO DE SISTEMAS LTDANSE46148</v>
      </c>
      <c r="B995" s="12" t="str">
        <f t="shared" si="31"/>
        <v>Junho</v>
      </c>
      <c r="C995" s="8" t="s">
        <v>842</v>
      </c>
      <c r="D995" s="8" t="s">
        <v>664</v>
      </c>
      <c r="E995" s="8" t="s">
        <v>145</v>
      </c>
      <c r="F995" s="23">
        <v>46148</v>
      </c>
      <c r="G995" s="8" t="s">
        <v>665</v>
      </c>
      <c r="H995" s="23">
        <v>46181</v>
      </c>
      <c r="I995" s="23">
        <v>46154</v>
      </c>
      <c r="J995" s="10">
        <v>936.1</v>
      </c>
      <c r="K995" s="10">
        <v>0</v>
      </c>
      <c r="L995" s="24">
        <v>0</v>
      </c>
      <c r="M995" s="10">
        <v>936.1</v>
      </c>
    </row>
    <row r="996" spans="1:13" x14ac:dyDescent="0.25">
      <c r="A996" s="12" t="str">
        <f t="shared" si="30"/>
        <v>3253199TRUCKS CONTROL - SERVIÇOS DE LOGISTICA LTDANSE46127</v>
      </c>
      <c r="B996" s="12" t="str">
        <f t="shared" si="31"/>
        <v>Maio</v>
      </c>
      <c r="C996" s="8" t="s">
        <v>843</v>
      </c>
      <c r="D996" s="8" t="s">
        <v>1354</v>
      </c>
      <c r="E996" s="8" t="s">
        <v>192</v>
      </c>
      <c r="F996" s="23">
        <v>46127</v>
      </c>
      <c r="G996" s="8" t="s">
        <v>665</v>
      </c>
      <c r="H996" s="23">
        <v>46148</v>
      </c>
      <c r="I996" s="23">
        <v>46128</v>
      </c>
      <c r="J996" s="10">
        <v>9137.4699999999993</v>
      </c>
      <c r="K996" s="10">
        <v>0</v>
      </c>
      <c r="L996" s="24">
        <v>0</v>
      </c>
      <c r="M996" s="10">
        <v>9137.4699999999993</v>
      </c>
    </row>
    <row r="997" spans="1:13" x14ac:dyDescent="0.25">
      <c r="A997" s="12" t="str">
        <f t="shared" si="30"/>
        <v>326LAURISNEIDE VIEIRA DA SILVA 02793491306NSE46031</v>
      </c>
      <c r="B997" s="12" t="str">
        <f t="shared" si="31"/>
        <v>Fevereiro</v>
      </c>
      <c r="C997" s="8" t="s">
        <v>844</v>
      </c>
      <c r="D997" s="8" t="s">
        <v>1354</v>
      </c>
      <c r="E997" s="8" t="s">
        <v>845</v>
      </c>
      <c r="F997" s="23">
        <v>46031</v>
      </c>
      <c r="G997" s="8" t="s">
        <v>665</v>
      </c>
      <c r="H997" s="23">
        <v>46059</v>
      </c>
      <c r="I997" s="23">
        <v>46031</v>
      </c>
      <c r="J997" s="10">
        <v>360</v>
      </c>
      <c r="K997" s="10">
        <v>0</v>
      </c>
      <c r="L997" s="24">
        <v>0</v>
      </c>
      <c r="M997" s="10">
        <v>360</v>
      </c>
    </row>
    <row r="998" spans="1:13" x14ac:dyDescent="0.25">
      <c r="A998" s="12" t="str">
        <f t="shared" si="30"/>
        <v>3295GW REFORMADORA LTDANSE46267</v>
      </c>
      <c r="B998" s="12" t="str">
        <f t="shared" si="31"/>
        <v>Outubro</v>
      </c>
      <c r="C998" s="8" t="s">
        <v>847</v>
      </c>
      <c r="D998" s="8" t="s">
        <v>1354</v>
      </c>
      <c r="E998" s="8" t="s">
        <v>81</v>
      </c>
      <c r="F998" s="23">
        <v>46267</v>
      </c>
      <c r="G998" s="8" t="s">
        <v>665</v>
      </c>
      <c r="H998" s="23">
        <v>46297</v>
      </c>
      <c r="I998" s="23">
        <v>46273</v>
      </c>
      <c r="J998" s="10">
        <v>2058.34</v>
      </c>
      <c r="K998" s="10">
        <v>0</v>
      </c>
      <c r="L998" s="24">
        <v>0</v>
      </c>
      <c r="M998" s="10">
        <v>2058.34</v>
      </c>
    </row>
    <row r="999" spans="1:13" x14ac:dyDescent="0.25">
      <c r="A999" s="12" t="str">
        <f t="shared" si="30"/>
        <v>33JOSE PAULEMI NOGUEIRA DA ROCHARCB46091,3888888889</v>
      </c>
      <c r="B999" s="12" t="str">
        <f t="shared" si="31"/>
        <v>Março</v>
      </c>
      <c r="C999" s="8" t="s">
        <v>491</v>
      </c>
      <c r="D999" s="8" t="s">
        <v>664</v>
      </c>
      <c r="E999" s="8" t="s">
        <v>101</v>
      </c>
      <c r="F999" s="23">
        <v>46091.388888888891</v>
      </c>
      <c r="G999" s="8" t="s">
        <v>1045</v>
      </c>
      <c r="H999" s="23">
        <v>46094</v>
      </c>
      <c r="I999" s="23">
        <v>46091.388888888891</v>
      </c>
      <c r="J999" s="10">
        <v>60</v>
      </c>
      <c r="K999" s="10">
        <v>0</v>
      </c>
      <c r="L999" s="24">
        <v>0</v>
      </c>
      <c r="M999" s="10">
        <v>60</v>
      </c>
    </row>
    <row r="1000" spans="1:13" x14ac:dyDescent="0.25">
      <c r="A1000" s="12" t="str">
        <f t="shared" si="30"/>
        <v>33VITOR SOUZA SILVARCB46139,7138888889</v>
      </c>
      <c r="B1000" s="12" t="str">
        <f t="shared" si="31"/>
        <v>Abril</v>
      </c>
      <c r="C1000" s="8" t="s">
        <v>491</v>
      </c>
      <c r="D1000" s="8" t="s">
        <v>664</v>
      </c>
      <c r="E1000" s="8" t="s">
        <v>199</v>
      </c>
      <c r="F1000" s="23">
        <v>46139.713888888888</v>
      </c>
      <c r="G1000" s="8" t="s">
        <v>1045</v>
      </c>
      <c r="H1000" s="23">
        <v>46142</v>
      </c>
      <c r="I1000" s="23">
        <v>46139.713888888888</v>
      </c>
      <c r="J1000" s="10">
        <v>70</v>
      </c>
      <c r="K1000" s="10">
        <v>0</v>
      </c>
      <c r="L1000" s="24">
        <v>0</v>
      </c>
      <c r="M1000" s="10">
        <v>70</v>
      </c>
    </row>
    <row r="1001" spans="1:13" x14ac:dyDescent="0.25">
      <c r="A1001" s="12" t="str">
        <f t="shared" si="30"/>
        <v>33CAM LANTERNAGEM E PINTURA LTDANSE46118</v>
      </c>
      <c r="B1001" s="12" t="str">
        <f t="shared" si="31"/>
        <v>Maio</v>
      </c>
      <c r="C1001" s="8" t="s">
        <v>491</v>
      </c>
      <c r="D1001" s="8" t="s">
        <v>1354</v>
      </c>
      <c r="E1001" s="8" t="s">
        <v>34</v>
      </c>
      <c r="F1001" s="23">
        <v>46118</v>
      </c>
      <c r="G1001" s="8" t="s">
        <v>665</v>
      </c>
      <c r="H1001" s="23">
        <v>46148</v>
      </c>
      <c r="I1001" s="23">
        <v>46121</v>
      </c>
      <c r="J1001" s="10">
        <v>900</v>
      </c>
      <c r="K1001" s="10">
        <v>0</v>
      </c>
      <c r="L1001" s="24">
        <v>0</v>
      </c>
      <c r="M1001" s="10">
        <v>900</v>
      </c>
    </row>
    <row r="1002" spans="1:13" x14ac:dyDescent="0.25">
      <c r="A1002" s="12" t="str">
        <f t="shared" si="30"/>
        <v>33PAULO CESAR ALCANTARA SILVA FRAUCHESRCB46162,4486111111</v>
      </c>
      <c r="B1002" s="12" t="str">
        <f t="shared" si="31"/>
        <v>Maio</v>
      </c>
      <c r="C1002" s="8" t="s">
        <v>491</v>
      </c>
      <c r="D1002" s="8" t="s">
        <v>664</v>
      </c>
      <c r="E1002" s="8" t="s">
        <v>151</v>
      </c>
      <c r="F1002" s="23">
        <v>46162.448611111111</v>
      </c>
      <c r="G1002" s="8" t="s">
        <v>1045</v>
      </c>
      <c r="H1002" s="23">
        <v>46168</v>
      </c>
      <c r="I1002" s="23">
        <v>46162.448611111111</v>
      </c>
      <c r="J1002" s="10">
        <v>47.24</v>
      </c>
      <c r="K1002" s="10">
        <v>0</v>
      </c>
      <c r="L1002" s="24">
        <v>0</v>
      </c>
      <c r="M1002" s="10">
        <v>47.24</v>
      </c>
    </row>
    <row r="1003" spans="1:13" x14ac:dyDescent="0.25">
      <c r="A1003" s="12" t="str">
        <f t="shared" si="30"/>
        <v>33GABRIEL MOUTINHO ALBINORCB46224,3784722222</v>
      </c>
      <c r="B1003" s="12" t="str">
        <f t="shared" si="31"/>
        <v>Julho</v>
      </c>
      <c r="C1003" s="8" t="s">
        <v>491</v>
      </c>
      <c r="D1003" s="8" t="s">
        <v>664</v>
      </c>
      <c r="E1003" s="8" t="s">
        <v>73</v>
      </c>
      <c r="F1003" s="23">
        <v>46224.378472222219</v>
      </c>
      <c r="G1003" s="8" t="s">
        <v>1045</v>
      </c>
      <c r="H1003" s="23">
        <v>46227</v>
      </c>
      <c r="I1003" s="23">
        <v>46224.378472222219</v>
      </c>
      <c r="J1003" s="10">
        <v>120</v>
      </c>
      <c r="K1003" s="10">
        <v>0</v>
      </c>
      <c r="L1003" s="24">
        <v>0</v>
      </c>
      <c r="M1003" s="10">
        <v>120</v>
      </c>
    </row>
    <row r="1004" spans="1:13" x14ac:dyDescent="0.25">
      <c r="A1004" s="12" t="str">
        <f t="shared" si="30"/>
        <v>33EDILSON RIBEIRO DA SILVARCB46240,4097222222</v>
      </c>
      <c r="B1004" s="12" t="str">
        <f t="shared" si="31"/>
        <v>Agosto</v>
      </c>
      <c r="C1004" s="8" t="s">
        <v>491</v>
      </c>
      <c r="D1004" s="8" t="s">
        <v>664</v>
      </c>
      <c r="E1004" s="8" t="s">
        <v>56</v>
      </c>
      <c r="F1004" s="23">
        <v>46240.409722222219</v>
      </c>
      <c r="G1004" s="8" t="s">
        <v>1045</v>
      </c>
      <c r="H1004" s="23">
        <v>46245</v>
      </c>
      <c r="I1004" s="23">
        <v>46240.409722222219</v>
      </c>
      <c r="J1004" s="10">
        <v>238.7</v>
      </c>
      <c r="K1004" s="10">
        <v>0</v>
      </c>
      <c r="L1004" s="24">
        <v>0</v>
      </c>
      <c r="M1004" s="10">
        <v>238.7</v>
      </c>
    </row>
    <row r="1005" spans="1:13" x14ac:dyDescent="0.25">
      <c r="A1005" s="12" t="str">
        <f t="shared" si="30"/>
        <v>33FRANCISCO MARCIO CESAR DE MATOSRCB46260,4479166667</v>
      </c>
      <c r="B1005" s="12" t="str">
        <f t="shared" si="31"/>
        <v>Agosto</v>
      </c>
      <c r="C1005" s="8" t="s">
        <v>491</v>
      </c>
      <c r="D1005" s="8" t="s">
        <v>664</v>
      </c>
      <c r="E1005" s="8" t="s">
        <v>72</v>
      </c>
      <c r="F1005" s="23">
        <v>46260.447916666664</v>
      </c>
      <c r="G1005" s="8" t="s">
        <v>1045</v>
      </c>
      <c r="H1005" s="23">
        <v>46265</v>
      </c>
      <c r="I1005" s="23">
        <v>46260.447916666664</v>
      </c>
      <c r="J1005" s="10">
        <v>362.5</v>
      </c>
      <c r="K1005" s="10">
        <v>0</v>
      </c>
      <c r="L1005" s="24">
        <v>0</v>
      </c>
      <c r="M1005" s="10">
        <v>362.5</v>
      </c>
    </row>
    <row r="1006" spans="1:13" x14ac:dyDescent="0.25">
      <c r="A1006" s="12" t="str">
        <f t="shared" si="30"/>
        <v>33WALACE ROCHA DE SOUZARCB46276,3805555556</v>
      </c>
      <c r="B1006" s="12" t="str">
        <f t="shared" si="31"/>
        <v>Setembro</v>
      </c>
      <c r="C1006" s="8" t="s">
        <v>491</v>
      </c>
      <c r="D1006" s="8" t="s">
        <v>664</v>
      </c>
      <c r="E1006" s="8" t="s">
        <v>200</v>
      </c>
      <c r="F1006" s="23">
        <v>46276.380555555559</v>
      </c>
      <c r="G1006" s="8" t="s">
        <v>1045</v>
      </c>
      <c r="H1006" s="23">
        <v>46282</v>
      </c>
      <c r="I1006" s="23">
        <v>46276.380555555559</v>
      </c>
      <c r="J1006" s="10">
        <v>150</v>
      </c>
      <c r="K1006" s="10">
        <v>0</v>
      </c>
      <c r="L1006" s="24">
        <v>0</v>
      </c>
      <c r="M1006" s="10">
        <v>150</v>
      </c>
    </row>
    <row r="1007" spans="1:13" x14ac:dyDescent="0.25">
      <c r="A1007" s="12" t="str">
        <f t="shared" si="30"/>
        <v>33PAULO RICARDO SILVARCB46279,3930555556</v>
      </c>
      <c r="B1007" s="12" t="str">
        <f t="shared" si="31"/>
        <v>Setembro</v>
      </c>
      <c r="C1007" s="8" t="s">
        <v>491</v>
      </c>
      <c r="D1007" s="8" t="s">
        <v>664</v>
      </c>
      <c r="E1007" s="8" t="s">
        <v>153</v>
      </c>
      <c r="F1007" s="23">
        <v>46279.393055555556</v>
      </c>
      <c r="G1007" s="8" t="s">
        <v>1045</v>
      </c>
      <c r="H1007" s="23">
        <v>46282</v>
      </c>
      <c r="I1007" s="23">
        <v>46279.393055555556</v>
      </c>
      <c r="J1007" s="10">
        <v>22.7</v>
      </c>
      <c r="K1007" s="10">
        <v>0</v>
      </c>
      <c r="L1007" s="24">
        <v>0</v>
      </c>
      <c r="M1007" s="10">
        <v>22.7</v>
      </c>
    </row>
    <row r="1008" spans="1:13" x14ac:dyDescent="0.25">
      <c r="A1008" s="12" t="str">
        <f t="shared" si="30"/>
        <v>330GW REFORMADORA LTDANSE46051</v>
      </c>
      <c r="B1008" s="12" t="str">
        <f t="shared" si="31"/>
        <v>Fevereiro</v>
      </c>
      <c r="C1008" s="8" t="s">
        <v>849</v>
      </c>
      <c r="D1008" s="8" t="s">
        <v>1354</v>
      </c>
      <c r="E1008" s="8" t="s">
        <v>81</v>
      </c>
      <c r="F1008" s="23">
        <v>46051</v>
      </c>
      <c r="G1008" s="8" t="s">
        <v>665</v>
      </c>
      <c r="H1008" s="23">
        <v>46081</v>
      </c>
      <c r="I1008" s="23">
        <v>46054</v>
      </c>
      <c r="J1008" s="10">
        <v>3545.01</v>
      </c>
      <c r="K1008" s="10">
        <v>0</v>
      </c>
      <c r="L1008" s="24">
        <v>0</v>
      </c>
      <c r="M1008" s="10">
        <v>3545.01</v>
      </c>
    </row>
    <row r="1009" spans="1:13" x14ac:dyDescent="0.25">
      <c r="A1009" s="12" t="str">
        <f t="shared" si="30"/>
        <v>330GW REFORMADORA LTDANSE46051</v>
      </c>
      <c r="B1009" s="12" t="str">
        <f t="shared" si="31"/>
        <v>Março</v>
      </c>
      <c r="C1009" s="8" t="s">
        <v>849</v>
      </c>
      <c r="D1009" s="8" t="s">
        <v>1354</v>
      </c>
      <c r="E1009" s="8" t="s">
        <v>81</v>
      </c>
      <c r="F1009" s="23">
        <v>46051</v>
      </c>
      <c r="G1009" s="8" t="s">
        <v>665</v>
      </c>
      <c r="H1009" s="23">
        <v>46111</v>
      </c>
      <c r="I1009" s="23">
        <v>46054</v>
      </c>
      <c r="J1009" s="10">
        <v>3545</v>
      </c>
      <c r="K1009" s="10">
        <v>0</v>
      </c>
      <c r="L1009" s="24">
        <v>0</v>
      </c>
      <c r="M1009" s="10">
        <v>3545</v>
      </c>
    </row>
    <row r="1010" spans="1:13" x14ac:dyDescent="0.25">
      <c r="A1010" s="12" t="str">
        <f t="shared" si="30"/>
        <v>330GW REFORMADORA LTDANSE46051</v>
      </c>
      <c r="B1010" s="12" t="str">
        <f t="shared" si="31"/>
        <v>Abril</v>
      </c>
      <c r="C1010" s="8" t="s">
        <v>849</v>
      </c>
      <c r="D1010" s="8" t="s">
        <v>1354</v>
      </c>
      <c r="E1010" s="8" t="s">
        <v>81</v>
      </c>
      <c r="F1010" s="23">
        <v>46051</v>
      </c>
      <c r="G1010" s="8" t="s">
        <v>665</v>
      </c>
      <c r="H1010" s="23">
        <v>46141</v>
      </c>
      <c r="I1010" s="23">
        <v>46054</v>
      </c>
      <c r="J1010" s="10">
        <v>3544.99</v>
      </c>
      <c r="K1010" s="10">
        <v>0</v>
      </c>
      <c r="L1010" s="24">
        <v>0</v>
      </c>
      <c r="M1010" s="10">
        <v>3544.99</v>
      </c>
    </row>
    <row r="1011" spans="1:13" x14ac:dyDescent="0.25">
      <c r="A1011" s="12" t="str">
        <f t="shared" si="30"/>
        <v>3311036TRUCKS CONTROL - SERVIÇOS DE LOGISTICA LTDANSE46155</v>
      </c>
      <c r="B1011" s="12" t="str">
        <f t="shared" si="31"/>
        <v>Junho</v>
      </c>
      <c r="C1011" s="8" t="s">
        <v>850</v>
      </c>
      <c r="D1011" s="8" t="s">
        <v>1354</v>
      </c>
      <c r="E1011" s="8" t="s">
        <v>192</v>
      </c>
      <c r="F1011" s="23">
        <v>46155</v>
      </c>
      <c r="G1011" s="8" t="s">
        <v>665</v>
      </c>
      <c r="H1011" s="23">
        <v>46179</v>
      </c>
      <c r="I1011" s="23">
        <v>46156</v>
      </c>
      <c r="J1011" s="10">
        <v>9137.4699999999993</v>
      </c>
      <c r="K1011" s="10">
        <v>0</v>
      </c>
      <c r="L1011" s="24">
        <v>0</v>
      </c>
      <c r="M1011" s="10">
        <v>9137.4699999999993</v>
      </c>
    </row>
    <row r="1012" spans="1:13" x14ac:dyDescent="0.25">
      <c r="A1012" s="12" t="str">
        <f t="shared" si="30"/>
        <v>335GSC AUTO CENTER E PECAS LTDANSE46230</v>
      </c>
      <c r="B1012" s="12" t="str">
        <f t="shared" si="31"/>
        <v>Agosto</v>
      </c>
      <c r="C1012" s="8" t="s">
        <v>851</v>
      </c>
      <c r="D1012" s="8" t="s">
        <v>1354</v>
      </c>
      <c r="E1012" s="8" t="s">
        <v>77</v>
      </c>
      <c r="F1012" s="23">
        <v>46230</v>
      </c>
      <c r="G1012" s="8" t="s">
        <v>665</v>
      </c>
      <c r="H1012" s="23">
        <v>46258</v>
      </c>
      <c r="I1012" s="23">
        <v>46255</v>
      </c>
      <c r="J1012" s="10">
        <v>220</v>
      </c>
      <c r="K1012" s="10">
        <v>0</v>
      </c>
      <c r="L1012" s="24">
        <v>0</v>
      </c>
      <c r="M1012" s="10">
        <v>220</v>
      </c>
    </row>
    <row r="1013" spans="1:13" x14ac:dyDescent="0.25">
      <c r="A1013" s="12" t="str">
        <f t="shared" si="30"/>
        <v>3354415TRUCKS CONTROL - SERVIÇOS DE LOGISTICA LTDANSE46182</v>
      </c>
      <c r="B1013" s="12" t="str">
        <f t="shared" si="31"/>
        <v>Julho</v>
      </c>
      <c r="C1013" s="8" t="s">
        <v>852</v>
      </c>
      <c r="D1013" s="8" t="s">
        <v>1354</v>
      </c>
      <c r="E1013" s="8" t="s">
        <v>192</v>
      </c>
      <c r="F1013" s="23">
        <v>46182</v>
      </c>
      <c r="G1013" s="8" t="s">
        <v>665</v>
      </c>
      <c r="H1013" s="23">
        <v>46209</v>
      </c>
      <c r="I1013" s="23">
        <v>46183</v>
      </c>
      <c r="J1013" s="10">
        <v>9137.4699999999993</v>
      </c>
      <c r="K1013" s="10">
        <v>0</v>
      </c>
      <c r="L1013" s="24">
        <v>0</v>
      </c>
      <c r="M1013" s="10">
        <v>9137.4699999999993</v>
      </c>
    </row>
    <row r="1014" spans="1:13" x14ac:dyDescent="0.25">
      <c r="A1014" s="12" t="str">
        <f t="shared" si="30"/>
        <v>33585MINAS MAQUINAS SA | NOVA LIMANFE46049</v>
      </c>
      <c r="B1014" s="12" t="str">
        <f t="shared" si="31"/>
        <v>Fevereiro</v>
      </c>
      <c r="C1014" s="8" t="s">
        <v>492</v>
      </c>
      <c r="D1014" s="8" t="s">
        <v>1400</v>
      </c>
      <c r="E1014" s="8" t="s">
        <v>133</v>
      </c>
      <c r="F1014" s="23">
        <v>46049</v>
      </c>
      <c r="G1014" s="8" t="s">
        <v>380</v>
      </c>
      <c r="H1014" s="23">
        <v>46079</v>
      </c>
      <c r="I1014" s="23">
        <v>46051</v>
      </c>
      <c r="J1014" s="10">
        <v>850</v>
      </c>
      <c r="K1014" s="10">
        <v>0</v>
      </c>
      <c r="L1014" s="24">
        <v>0</v>
      </c>
      <c r="M1014" s="10">
        <v>850</v>
      </c>
    </row>
    <row r="1015" spans="1:13" x14ac:dyDescent="0.25">
      <c r="A1015" s="12" t="str">
        <f t="shared" si="30"/>
        <v>3364OPENSYSTECH SERVICOS DE MANUTENCAO DE SISTEMAS LTDANSE46183</v>
      </c>
      <c r="B1015" s="12" t="str">
        <f t="shared" si="31"/>
        <v>Julho</v>
      </c>
      <c r="C1015" s="8" t="s">
        <v>853</v>
      </c>
      <c r="D1015" s="8" t="s">
        <v>664</v>
      </c>
      <c r="E1015" s="8" t="s">
        <v>145</v>
      </c>
      <c r="F1015" s="23">
        <v>46183</v>
      </c>
      <c r="G1015" s="8" t="s">
        <v>665</v>
      </c>
      <c r="H1015" s="23">
        <v>46209</v>
      </c>
      <c r="I1015" s="23">
        <v>46189</v>
      </c>
      <c r="J1015" s="10">
        <v>936.1</v>
      </c>
      <c r="K1015" s="10">
        <v>0</v>
      </c>
      <c r="L1015" s="24">
        <v>0</v>
      </c>
      <c r="M1015" s="10">
        <v>936.1</v>
      </c>
    </row>
    <row r="1016" spans="1:13" x14ac:dyDescent="0.25">
      <c r="A1016" s="12" t="str">
        <f t="shared" si="30"/>
        <v>3393AP EXTINTORES DE INCENDIO E EQUIPAMENTOS DE SEGURANCA LTDA.NSE46241</v>
      </c>
      <c r="B1016" s="12" t="str">
        <f t="shared" si="31"/>
        <v>Setembro</v>
      </c>
      <c r="C1016" s="8" t="s">
        <v>854</v>
      </c>
      <c r="D1016" s="8" t="s">
        <v>1354</v>
      </c>
      <c r="E1016" s="8" t="s">
        <v>21</v>
      </c>
      <c r="F1016" s="23">
        <v>46241</v>
      </c>
      <c r="G1016" s="8" t="s">
        <v>665</v>
      </c>
      <c r="H1016" s="23">
        <v>46271</v>
      </c>
      <c r="I1016" s="23">
        <v>46245</v>
      </c>
      <c r="J1016" s="10">
        <v>162</v>
      </c>
      <c r="K1016" s="10">
        <v>0</v>
      </c>
      <c r="L1016" s="24">
        <v>0</v>
      </c>
      <c r="M1016" s="10">
        <v>162</v>
      </c>
    </row>
    <row r="1017" spans="1:13" x14ac:dyDescent="0.25">
      <c r="A1017" s="12" t="str">
        <f t="shared" si="30"/>
        <v>33968RC TRUCK CENTER S/ANSE45994</v>
      </c>
      <c r="B1017" s="12" t="str">
        <f t="shared" si="31"/>
        <v>Janeiro</v>
      </c>
      <c r="C1017" s="8" t="s">
        <v>1359</v>
      </c>
      <c r="D1017" s="8" t="s">
        <v>1354</v>
      </c>
      <c r="E1017" s="8" t="s">
        <v>164</v>
      </c>
      <c r="F1017" s="23">
        <v>45994</v>
      </c>
      <c r="G1017" s="8" t="s">
        <v>665</v>
      </c>
      <c r="H1017" s="23">
        <v>46024</v>
      </c>
      <c r="I1017" s="23">
        <v>45995</v>
      </c>
      <c r="J1017" s="10">
        <v>1140</v>
      </c>
      <c r="K1017" s="10">
        <v>0</v>
      </c>
      <c r="L1017" s="24">
        <v>0</v>
      </c>
      <c r="M1017" s="10">
        <v>1094.4000000000001</v>
      </c>
    </row>
    <row r="1018" spans="1:13" x14ac:dyDescent="0.25">
      <c r="A1018" s="12" t="str">
        <f t="shared" si="30"/>
        <v>3397413TRUCKS CONTROL - SERVIÇOS DE LOGISTICA LTDANSE46212</v>
      </c>
      <c r="B1018" s="12" t="str">
        <f t="shared" si="31"/>
        <v>Agosto</v>
      </c>
      <c r="C1018" s="8" t="s">
        <v>855</v>
      </c>
      <c r="D1018" s="8" t="s">
        <v>1354</v>
      </c>
      <c r="E1018" s="8" t="s">
        <v>192</v>
      </c>
      <c r="F1018" s="23">
        <v>46212</v>
      </c>
      <c r="G1018" s="8" t="s">
        <v>665</v>
      </c>
      <c r="H1018" s="23">
        <v>46240</v>
      </c>
      <c r="I1018" s="23">
        <v>46213</v>
      </c>
      <c r="J1018" s="10">
        <v>9137.4699999999993</v>
      </c>
      <c r="K1018" s="10">
        <v>0</v>
      </c>
      <c r="L1018" s="24">
        <v>0</v>
      </c>
      <c r="M1018" s="10">
        <v>9137.4699999999993</v>
      </c>
    </row>
    <row r="1019" spans="1:13" x14ac:dyDescent="0.25">
      <c r="A1019" s="12" t="str">
        <f t="shared" si="30"/>
        <v>34JOSE PAULEMI NOGUEIRA DA ROCHARCB46098,3916666667</v>
      </c>
      <c r="B1019" s="12" t="str">
        <f t="shared" si="31"/>
        <v>Março</v>
      </c>
      <c r="C1019" s="8" t="s">
        <v>495</v>
      </c>
      <c r="D1019" s="8" t="s">
        <v>664</v>
      </c>
      <c r="E1019" s="8" t="s">
        <v>101</v>
      </c>
      <c r="F1019" s="23">
        <v>46098.39166666667</v>
      </c>
      <c r="G1019" s="8" t="s">
        <v>1045</v>
      </c>
      <c r="H1019" s="23">
        <v>46101</v>
      </c>
      <c r="I1019" s="23">
        <v>46098.39166666667</v>
      </c>
      <c r="J1019" s="10">
        <v>263.68</v>
      </c>
      <c r="K1019" s="10">
        <v>0</v>
      </c>
      <c r="L1019" s="24">
        <v>0</v>
      </c>
      <c r="M1019" s="10">
        <v>263.68</v>
      </c>
    </row>
    <row r="1020" spans="1:13" x14ac:dyDescent="0.25">
      <c r="A1020" s="12" t="str">
        <f t="shared" si="30"/>
        <v>34VITOR SOUZA SILVARCB46147,4847222222</v>
      </c>
      <c r="B1020" s="12" t="str">
        <f t="shared" si="31"/>
        <v>Maio</v>
      </c>
      <c r="C1020" s="8" t="s">
        <v>495</v>
      </c>
      <c r="D1020" s="8" t="s">
        <v>664</v>
      </c>
      <c r="E1020" s="8" t="s">
        <v>199</v>
      </c>
      <c r="F1020" s="23">
        <v>46147.484722222223</v>
      </c>
      <c r="G1020" s="8" t="s">
        <v>1045</v>
      </c>
      <c r="H1020" s="23">
        <v>46150</v>
      </c>
      <c r="I1020" s="23">
        <v>46147.484722222223</v>
      </c>
      <c r="J1020" s="10">
        <v>18.440000000000001</v>
      </c>
      <c r="K1020" s="10">
        <v>0</v>
      </c>
      <c r="L1020" s="24">
        <v>0</v>
      </c>
      <c r="M1020" s="10">
        <v>18.440000000000001</v>
      </c>
    </row>
    <row r="1021" spans="1:13" x14ac:dyDescent="0.25">
      <c r="A1021" s="12" t="str">
        <f t="shared" si="30"/>
        <v>34PAULO CESAR ALCANTARA SILVA FRAUCHESRCB46162,4513888889</v>
      </c>
      <c r="B1021" s="12" t="str">
        <f t="shared" si="31"/>
        <v>Maio</v>
      </c>
      <c r="C1021" s="8" t="s">
        <v>495</v>
      </c>
      <c r="D1021" s="8" t="s">
        <v>664</v>
      </c>
      <c r="E1021" s="8" t="s">
        <v>151</v>
      </c>
      <c r="F1021" s="23">
        <v>46162.451388888891</v>
      </c>
      <c r="G1021" s="8" t="s">
        <v>1045</v>
      </c>
      <c r="H1021" s="23">
        <v>46168</v>
      </c>
      <c r="I1021" s="23">
        <v>46162.451388888891</v>
      </c>
      <c r="J1021" s="10">
        <v>47.24</v>
      </c>
      <c r="K1021" s="10">
        <v>0</v>
      </c>
      <c r="L1021" s="24">
        <v>0</v>
      </c>
      <c r="M1021" s="10">
        <v>47.24</v>
      </c>
    </row>
    <row r="1022" spans="1:13" x14ac:dyDescent="0.25">
      <c r="A1022" s="12" t="str">
        <f t="shared" si="30"/>
        <v>34GABRIEL MOUTINHO ALBINORCB46231,4881944444</v>
      </c>
      <c r="B1022" s="12" t="str">
        <f t="shared" si="31"/>
        <v>Julho</v>
      </c>
      <c r="C1022" s="8" t="s">
        <v>495</v>
      </c>
      <c r="D1022" s="8" t="s">
        <v>664</v>
      </c>
      <c r="E1022" s="8" t="s">
        <v>73</v>
      </c>
      <c r="F1022" s="23">
        <v>46231.488194444442</v>
      </c>
      <c r="G1022" s="8" t="s">
        <v>1045</v>
      </c>
      <c r="H1022" s="23">
        <v>46234</v>
      </c>
      <c r="I1022" s="23">
        <v>46231.488194444442</v>
      </c>
      <c r="J1022" s="10">
        <v>150</v>
      </c>
      <c r="K1022" s="10">
        <v>0</v>
      </c>
      <c r="L1022" s="24">
        <v>0</v>
      </c>
      <c r="M1022" s="10">
        <v>150</v>
      </c>
    </row>
    <row r="1023" spans="1:13" x14ac:dyDescent="0.25">
      <c r="A1023" s="12" t="str">
        <f t="shared" si="30"/>
        <v>34EDILSON RIBEIRO DA SILVARCB46258,4756944444</v>
      </c>
      <c r="B1023" s="12" t="str">
        <f t="shared" si="31"/>
        <v>Agosto</v>
      </c>
      <c r="C1023" s="8" t="s">
        <v>495</v>
      </c>
      <c r="D1023" s="8" t="s">
        <v>664</v>
      </c>
      <c r="E1023" s="8" t="s">
        <v>56</v>
      </c>
      <c r="F1023" s="23">
        <v>46258.475694444445</v>
      </c>
      <c r="G1023" s="8" t="s">
        <v>1045</v>
      </c>
      <c r="H1023" s="23">
        <v>46261</v>
      </c>
      <c r="I1023" s="23">
        <v>46258.475694444445</v>
      </c>
      <c r="J1023" s="10">
        <v>70</v>
      </c>
      <c r="K1023" s="10">
        <v>0</v>
      </c>
      <c r="L1023" s="24">
        <v>0</v>
      </c>
      <c r="M1023" s="10">
        <v>70</v>
      </c>
    </row>
    <row r="1024" spans="1:13" x14ac:dyDescent="0.25">
      <c r="A1024" s="12" t="str">
        <f t="shared" si="30"/>
        <v>34FRANCISCO MARCIO CESAR DE MATOSRCB46275,2493055556</v>
      </c>
      <c r="B1024" s="12" t="str">
        <f t="shared" si="31"/>
        <v>Setembro</v>
      </c>
      <c r="C1024" s="8" t="s">
        <v>495</v>
      </c>
      <c r="D1024" s="8" t="s">
        <v>664</v>
      </c>
      <c r="E1024" s="8" t="s">
        <v>72</v>
      </c>
      <c r="F1024" s="23">
        <v>46275.249305555553</v>
      </c>
      <c r="G1024" s="8" t="s">
        <v>1045</v>
      </c>
      <c r="H1024" s="23">
        <v>46280</v>
      </c>
      <c r="I1024" s="23">
        <v>46275.249305555553</v>
      </c>
      <c r="J1024" s="10">
        <v>60</v>
      </c>
      <c r="K1024" s="10">
        <v>0</v>
      </c>
      <c r="L1024" s="24">
        <v>0</v>
      </c>
      <c r="M1024" s="10">
        <v>60</v>
      </c>
    </row>
    <row r="1025" spans="1:13" x14ac:dyDescent="0.25">
      <c r="A1025" s="12" t="str">
        <f t="shared" si="30"/>
        <v>34PAULO RICARDO SILVARCB46286,6159722222</v>
      </c>
      <c r="B1025" s="12" t="str">
        <f t="shared" si="31"/>
        <v>Setembro</v>
      </c>
      <c r="C1025" s="8" t="s">
        <v>495</v>
      </c>
      <c r="D1025" s="8" t="s">
        <v>664</v>
      </c>
      <c r="E1025" s="8" t="s">
        <v>153</v>
      </c>
      <c r="F1025" s="23">
        <v>46286.615972222222</v>
      </c>
      <c r="G1025" s="8" t="s">
        <v>1045</v>
      </c>
      <c r="H1025" s="23">
        <v>46289</v>
      </c>
      <c r="I1025" s="23">
        <v>46286.615972222222</v>
      </c>
      <c r="J1025" s="10">
        <v>38.1</v>
      </c>
      <c r="K1025" s="10">
        <v>0</v>
      </c>
      <c r="L1025" s="24">
        <v>0</v>
      </c>
      <c r="M1025" s="10">
        <v>38.1</v>
      </c>
    </row>
    <row r="1026" spans="1:13" x14ac:dyDescent="0.25">
      <c r="A1026" s="12" t="str">
        <f t="shared" ref="A1026:A1089" si="32">$C1026&amp;$E1026&amp;$G1026&amp;$F1026</f>
        <v>34029MINAS MAQUINAS SA | NOVA LIMANFE46059</v>
      </c>
      <c r="B1026" s="12" t="str">
        <f t="shared" si="31"/>
        <v>Março</v>
      </c>
      <c r="C1026" s="8" t="s">
        <v>496</v>
      </c>
      <c r="D1026" s="8" t="s">
        <v>1400</v>
      </c>
      <c r="E1026" s="8" t="s">
        <v>133</v>
      </c>
      <c r="F1026" s="23">
        <v>46059</v>
      </c>
      <c r="G1026" s="8" t="s">
        <v>380</v>
      </c>
      <c r="H1026" s="23">
        <v>46089</v>
      </c>
      <c r="I1026" s="23">
        <v>46062</v>
      </c>
      <c r="J1026" s="10">
        <v>850</v>
      </c>
      <c r="K1026" s="10">
        <v>0</v>
      </c>
      <c r="L1026" s="24">
        <v>0</v>
      </c>
      <c r="M1026" s="10">
        <v>850</v>
      </c>
    </row>
    <row r="1027" spans="1:13" x14ac:dyDescent="0.25">
      <c r="A1027" s="12" t="str">
        <f t="shared" si="32"/>
        <v>3444044TRUCKS CONTROL - SERVIÇOS DE LOGISTICA LTDANSE46246</v>
      </c>
      <c r="B1027" s="12" t="str">
        <f t="shared" ref="B1027:B1090" si="33">PROPER(TEXT($H1027,"MMMM"))</f>
        <v>Setembro</v>
      </c>
      <c r="C1027" s="8" t="s">
        <v>856</v>
      </c>
      <c r="D1027" s="8" t="s">
        <v>1354</v>
      </c>
      <c r="E1027" s="8" t="s">
        <v>192</v>
      </c>
      <c r="F1027" s="23">
        <v>46246</v>
      </c>
      <c r="G1027" s="8" t="s">
        <v>665</v>
      </c>
      <c r="H1027" s="23">
        <v>46271</v>
      </c>
      <c r="I1027" s="23">
        <v>46252</v>
      </c>
      <c r="J1027" s="10">
        <v>9137.4699999999993</v>
      </c>
      <c r="K1027" s="10">
        <v>0</v>
      </c>
      <c r="L1027" s="24">
        <v>0</v>
      </c>
      <c r="M1027" s="10">
        <v>9137.4699999999993</v>
      </c>
    </row>
    <row r="1028" spans="1:13" x14ac:dyDescent="0.25">
      <c r="A1028" s="12" t="str">
        <f t="shared" si="32"/>
        <v>3448559GOODYEAR DO BRASIL PROD DE BORRACHA LTNFE45989</v>
      </c>
      <c r="B1028" s="12" t="str">
        <f t="shared" si="33"/>
        <v>Janeiro</v>
      </c>
      <c r="C1028" s="8" t="s">
        <v>1629</v>
      </c>
      <c r="D1028" s="8" t="s">
        <v>664</v>
      </c>
      <c r="E1028" s="8" t="s">
        <v>75</v>
      </c>
      <c r="F1028" s="23">
        <v>45989</v>
      </c>
      <c r="G1028" s="8" t="s">
        <v>380</v>
      </c>
      <c r="H1028" s="23">
        <v>46049</v>
      </c>
      <c r="I1028" s="23">
        <v>46008</v>
      </c>
      <c r="J1028" s="10">
        <v>1850.35</v>
      </c>
      <c r="K1028" s="10">
        <v>0</v>
      </c>
      <c r="L1028" s="24">
        <v>0</v>
      </c>
      <c r="M1028" s="10">
        <v>1850.35</v>
      </c>
    </row>
    <row r="1029" spans="1:13" x14ac:dyDescent="0.25">
      <c r="A1029" s="12" t="str">
        <f t="shared" si="32"/>
        <v>3448559GOODYEAR DO BRASIL PROD DE BORRACHA LTNFE45989</v>
      </c>
      <c r="B1029" s="12" t="str">
        <f t="shared" si="33"/>
        <v>Fevereiro</v>
      </c>
      <c r="C1029" s="8" t="s">
        <v>1629</v>
      </c>
      <c r="D1029" s="8" t="s">
        <v>664</v>
      </c>
      <c r="E1029" s="8" t="s">
        <v>75</v>
      </c>
      <c r="F1029" s="23">
        <v>45989</v>
      </c>
      <c r="G1029" s="8" t="s">
        <v>380</v>
      </c>
      <c r="H1029" s="23">
        <v>46079</v>
      </c>
      <c r="I1029" s="23">
        <v>46008</v>
      </c>
      <c r="J1029" s="10">
        <v>1850.41</v>
      </c>
      <c r="K1029" s="10">
        <v>0</v>
      </c>
      <c r="L1029" s="24">
        <v>0</v>
      </c>
      <c r="M1029" s="10">
        <v>1850.41</v>
      </c>
    </row>
    <row r="1030" spans="1:13" x14ac:dyDescent="0.25">
      <c r="A1030" s="12" t="str">
        <f t="shared" si="32"/>
        <v>34646MINAS MAQUINAS SA | NOVA LIMANFE46079</v>
      </c>
      <c r="B1030" s="12" t="str">
        <f t="shared" si="33"/>
        <v>Março</v>
      </c>
      <c r="C1030" s="8" t="s">
        <v>497</v>
      </c>
      <c r="D1030" s="8" t="s">
        <v>1400</v>
      </c>
      <c r="E1030" s="8" t="s">
        <v>133</v>
      </c>
      <c r="F1030" s="23">
        <v>46079</v>
      </c>
      <c r="G1030" s="8" t="s">
        <v>380</v>
      </c>
      <c r="H1030" s="23">
        <v>46109</v>
      </c>
      <c r="I1030" s="23">
        <v>46081</v>
      </c>
      <c r="J1030" s="10">
        <v>4190.67</v>
      </c>
      <c r="K1030" s="10">
        <v>0</v>
      </c>
      <c r="L1030" s="24">
        <v>0</v>
      </c>
      <c r="M1030" s="10">
        <v>4190.67</v>
      </c>
    </row>
    <row r="1031" spans="1:13" x14ac:dyDescent="0.25">
      <c r="A1031" s="12" t="str">
        <f t="shared" si="32"/>
        <v>3478OPENSYSTECH SERVICOS DE MANUTENCAO DE SISTEMAS LTDANSE46216</v>
      </c>
      <c r="B1031" s="12" t="str">
        <f t="shared" si="33"/>
        <v>Agosto</v>
      </c>
      <c r="C1031" s="8" t="s">
        <v>859</v>
      </c>
      <c r="D1031" s="8" t="s">
        <v>664</v>
      </c>
      <c r="E1031" s="8" t="s">
        <v>145</v>
      </c>
      <c r="F1031" s="23">
        <v>46216</v>
      </c>
      <c r="G1031" s="8" t="s">
        <v>665</v>
      </c>
      <c r="H1031" s="23">
        <v>46240</v>
      </c>
      <c r="I1031" s="23">
        <v>46220</v>
      </c>
      <c r="J1031" s="10">
        <v>936.1</v>
      </c>
      <c r="K1031" s="10">
        <v>0</v>
      </c>
      <c r="L1031" s="24">
        <v>0</v>
      </c>
      <c r="M1031" s="10">
        <v>936.1</v>
      </c>
    </row>
    <row r="1032" spans="1:13" x14ac:dyDescent="0.25">
      <c r="A1032" s="12" t="str">
        <f t="shared" si="32"/>
        <v>3490795TRUCKS CONTROL - SERVIÇOS DE LOGISTICA LTDANSE46279</v>
      </c>
      <c r="B1032" s="12" t="str">
        <f t="shared" si="33"/>
        <v>Outubro</v>
      </c>
      <c r="C1032" s="8" t="s">
        <v>860</v>
      </c>
      <c r="D1032" s="8" t="s">
        <v>1354</v>
      </c>
      <c r="E1032" s="8" t="s">
        <v>192</v>
      </c>
      <c r="F1032" s="23">
        <v>46279</v>
      </c>
      <c r="G1032" s="8" t="s">
        <v>665</v>
      </c>
      <c r="H1032" s="23">
        <v>46301</v>
      </c>
      <c r="I1032" s="23">
        <v>46280</v>
      </c>
      <c r="J1032" s="10">
        <v>9137.4699999999993</v>
      </c>
      <c r="K1032" s="10">
        <v>0</v>
      </c>
      <c r="L1032" s="24">
        <v>0</v>
      </c>
      <c r="M1032" s="10">
        <v>9137.4699999999993</v>
      </c>
    </row>
    <row r="1033" spans="1:13" x14ac:dyDescent="0.25">
      <c r="A1033" s="12" t="str">
        <f t="shared" si="32"/>
        <v>34911ROMANY COMERCIO DE VIDROS PARA AUTOS LTDANFE46063</v>
      </c>
      <c r="B1033" s="12" t="str">
        <f t="shared" si="33"/>
        <v>Fevereiro</v>
      </c>
      <c r="C1033" s="8" t="s">
        <v>498</v>
      </c>
      <c r="D1033" s="8" t="s">
        <v>664</v>
      </c>
      <c r="E1033" s="8" t="s">
        <v>499</v>
      </c>
      <c r="F1033" s="23">
        <v>46063</v>
      </c>
      <c r="G1033" s="8" t="s">
        <v>380</v>
      </c>
      <c r="H1033" s="23">
        <v>46070</v>
      </c>
      <c r="I1033" s="23">
        <v>46063</v>
      </c>
      <c r="J1033" s="10">
        <v>750</v>
      </c>
      <c r="K1033" s="10">
        <v>0</v>
      </c>
      <c r="L1033" s="24">
        <v>0</v>
      </c>
      <c r="M1033" s="10">
        <v>750</v>
      </c>
    </row>
    <row r="1034" spans="1:13" x14ac:dyDescent="0.25">
      <c r="A1034" s="12" t="str">
        <f t="shared" si="32"/>
        <v>35LL BATERIAS E AUTO-ELETRICA LTDANSE46090</v>
      </c>
      <c r="B1034" s="12" t="str">
        <f t="shared" si="33"/>
        <v>Abril</v>
      </c>
      <c r="C1034" s="8" t="s">
        <v>502</v>
      </c>
      <c r="D1034" s="8" t="s">
        <v>1354</v>
      </c>
      <c r="E1034" s="8" t="s">
        <v>111</v>
      </c>
      <c r="F1034" s="23">
        <v>46090</v>
      </c>
      <c r="G1034" s="8" t="s">
        <v>665</v>
      </c>
      <c r="H1034" s="23">
        <v>46120</v>
      </c>
      <c r="I1034" s="23">
        <v>46091</v>
      </c>
      <c r="J1034" s="10">
        <v>1060</v>
      </c>
      <c r="K1034" s="10">
        <v>0</v>
      </c>
      <c r="L1034" s="24">
        <v>0</v>
      </c>
      <c r="M1034" s="10">
        <v>1019.4</v>
      </c>
    </row>
    <row r="1035" spans="1:13" x14ac:dyDescent="0.25">
      <c r="A1035" s="12" t="str">
        <f t="shared" si="32"/>
        <v>35VITOR SOUZA SILVARCB46149,6916666667</v>
      </c>
      <c r="B1035" s="12" t="str">
        <f t="shared" si="33"/>
        <v>Maio</v>
      </c>
      <c r="C1035" s="8" t="s">
        <v>502</v>
      </c>
      <c r="D1035" s="8" t="s">
        <v>664</v>
      </c>
      <c r="E1035" s="8" t="s">
        <v>199</v>
      </c>
      <c r="F1035" s="23">
        <v>46149.691666666666</v>
      </c>
      <c r="G1035" s="8" t="s">
        <v>1045</v>
      </c>
      <c r="H1035" s="23">
        <v>46154</v>
      </c>
      <c r="I1035" s="23">
        <v>46149.691666666666</v>
      </c>
      <c r="J1035" s="10">
        <v>19.600000000000001</v>
      </c>
      <c r="K1035" s="10">
        <v>0</v>
      </c>
      <c r="L1035" s="24">
        <v>0</v>
      </c>
      <c r="M1035" s="10">
        <v>19.600000000000001</v>
      </c>
    </row>
    <row r="1036" spans="1:13" x14ac:dyDescent="0.25">
      <c r="A1036" s="12" t="str">
        <f t="shared" si="32"/>
        <v>35PAULO CESAR ALCANTARA SILVA FRAUCHESRCB46176,4472222222</v>
      </c>
      <c r="B1036" s="12" t="str">
        <f t="shared" si="33"/>
        <v>Junho</v>
      </c>
      <c r="C1036" s="8" t="s">
        <v>502</v>
      </c>
      <c r="D1036" s="8" t="s">
        <v>664</v>
      </c>
      <c r="E1036" s="8" t="s">
        <v>151</v>
      </c>
      <c r="F1036" s="23">
        <v>46176.447222222225</v>
      </c>
      <c r="G1036" s="8" t="s">
        <v>1045</v>
      </c>
      <c r="H1036" s="23">
        <v>46181</v>
      </c>
      <c r="I1036" s="23">
        <v>46176.447222222225</v>
      </c>
      <c r="J1036" s="10">
        <v>109.33</v>
      </c>
      <c r="K1036" s="10">
        <v>0</v>
      </c>
      <c r="L1036" s="24">
        <v>0</v>
      </c>
      <c r="M1036" s="10">
        <v>109.33</v>
      </c>
    </row>
    <row r="1037" spans="1:13" x14ac:dyDescent="0.25">
      <c r="A1037" s="12" t="str">
        <f t="shared" si="32"/>
        <v>35JOSE PAULEMI NOGUEIRA DA ROCHARCB46182,4798611111</v>
      </c>
      <c r="B1037" s="12" t="str">
        <f t="shared" si="33"/>
        <v>Junho</v>
      </c>
      <c r="C1037" s="8" t="s">
        <v>502</v>
      </c>
      <c r="D1037" s="8" t="s">
        <v>664</v>
      </c>
      <c r="E1037" s="8" t="s">
        <v>101</v>
      </c>
      <c r="F1037" s="23">
        <v>46182.479861111111</v>
      </c>
      <c r="G1037" s="8" t="s">
        <v>1045</v>
      </c>
      <c r="H1037" s="23">
        <v>46185</v>
      </c>
      <c r="I1037" s="23">
        <v>46182.479861111111</v>
      </c>
      <c r="J1037" s="10">
        <v>263.68</v>
      </c>
      <c r="K1037" s="10">
        <v>0</v>
      </c>
      <c r="L1037" s="24">
        <v>0</v>
      </c>
      <c r="M1037" s="10">
        <v>263.68</v>
      </c>
    </row>
    <row r="1038" spans="1:13" x14ac:dyDescent="0.25">
      <c r="A1038" s="12" t="str">
        <f t="shared" si="32"/>
        <v>35GABRIEL MOUTINHO ALBINORCB46234,3590277778</v>
      </c>
      <c r="B1038" s="12" t="str">
        <f t="shared" si="33"/>
        <v>Agosto</v>
      </c>
      <c r="C1038" s="8" t="s">
        <v>502</v>
      </c>
      <c r="D1038" s="8" t="s">
        <v>664</v>
      </c>
      <c r="E1038" s="8" t="s">
        <v>73</v>
      </c>
      <c r="F1038" s="23">
        <v>46234.359027777777</v>
      </c>
      <c r="G1038" s="8" t="s">
        <v>1045</v>
      </c>
      <c r="H1038" s="23">
        <v>46239</v>
      </c>
      <c r="I1038" s="23">
        <v>46234.359027777777</v>
      </c>
      <c r="J1038" s="10">
        <v>200</v>
      </c>
      <c r="K1038" s="10">
        <v>0</v>
      </c>
      <c r="L1038" s="24">
        <v>0</v>
      </c>
      <c r="M1038" s="10">
        <v>200</v>
      </c>
    </row>
    <row r="1039" spans="1:13" x14ac:dyDescent="0.25">
      <c r="A1039" s="12" t="str">
        <f t="shared" si="32"/>
        <v>35EDILSON RIBEIRO DA SILVARCB46260,4451388889</v>
      </c>
      <c r="B1039" s="12" t="str">
        <f t="shared" si="33"/>
        <v>Agosto</v>
      </c>
      <c r="C1039" s="8" t="s">
        <v>502</v>
      </c>
      <c r="D1039" s="8" t="s">
        <v>664</v>
      </c>
      <c r="E1039" s="8" t="s">
        <v>56</v>
      </c>
      <c r="F1039" s="23">
        <v>46260.445138888892</v>
      </c>
      <c r="G1039" s="8" t="s">
        <v>1045</v>
      </c>
      <c r="H1039" s="23">
        <v>46265</v>
      </c>
      <c r="I1039" s="23">
        <v>46260.445138888892</v>
      </c>
      <c r="J1039" s="10">
        <v>210</v>
      </c>
      <c r="K1039" s="10">
        <v>0</v>
      </c>
      <c r="L1039" s="24">
        <v>0</v>
      </c>
      <c r="M1039" s="10">
        <v>210</v>
      </c>
    </row>
    <row r="1040" spans="1:13" x14ac:dyDescent="0.25">
      <c r="A1040" s="12" t="str">
        <f t="shared" si="32"/>
        <v>35FRANCISCO MARCIO CESAR DE MATOSRCB46286,64375</v>
      </c>
      <c r="B1040" s="12" t="str">
        <f t="shared" si="33"/>
        <v>Setembro</v>
      </c>
      <c r="C1040" s="8" t="s">
        <v>502</v>
      </c>
      <c r="D1040" s="8" t="s">
        <v>664</v>
      </c>
      <c r="E1040" s="8" t="s">
        <v>72</v>
      </c>
      <c r="F1040" s="23">
        <v>46286.643750000003</v>
      </c>
      <c r="G1040" s="8" t="s">
        <v>1045</v>
      </c>
      <c r="H1040" s="23">
        <v>46289</v>
      </c>
      <c r="I1040" s="23">
        <v>46286.643750000003</v>
      </c>
      <c r="J1040" s="10">
        <v>60</v>
      </c>
      <c r="K1040" s="10">
        <v>0</v>
      </c>
      <c r="L1040" s="24">
        <v>0</v>
      </c>
      <c r="M1040" s="10">
        <v>60</v>
      </c>
    </row>
    <row r="1041" spans="1:13" x14ac:dyDescent="0.25">
      <c r="A1041" s="12" t="str">
        <f t="shared" si="32"/>
        <v>35PAULO RICARDO SILVARCB46293,4534722222</v>
      </c>
      <c r="B1041" s="12" t="str">
        <f t="shared" si="33"/>
        <v>Outubro</v>
      </c>
      <c r="C1041" s="8" t="s">
        <v>502</v>
      </c>
      <c r="D1041" s="8" t="s">
        <v>664</v>
      </c>
      <c r="E1041" s="8" t="s">
        <v>153</v>
      </c>
      <c r="F1041" s="23">
        <v>46293.453472222223</v>
      </c>
      <c r="G1041" s="8" t="s">
        <v>1045</v>
      </c>
      <c r="H1041" s="23">
        <v>46296</v>
      </c>
      <c r="I1041" s="23">
        <v>46293.453472222223</v>
      </c>
      <c r="J1041" s="10">
        <v>17.8</v>
      </c>
      <c r="K1041" s="10">
        <v>0</v>
      </c>
      <c r="L1041" s="24">
        <v>0</v>
      </c>
      <c r="M1041" s="10">
        <v>17.8</v>
      </c>
    </row>
    <row r="1042" spans="1:13" x14ac:dyDescent="0.25">
      <c r="A1042" s="12" t="str">
        <f t="shared" si="32"/>
        <v>350RC TRUCK CENTER S/ANSE46119</v>
      </c>
      <c r="B1042" s="12" t="str">
        <f t="shared" si="33"/>
        <v>Maio</v>
      </c>
      <c r="C1042" s="8" t="s">
        <v>861</v>
      </c>
      <c r="D1042" s="8" t="s">
        <v>1354</v>
      </c>
      <c r="E1042" s="8" t="s">
        <v>164</v>
      </c>
      <c r="F1042" s="23">
        <v>46119</v>
      </c>
      <c r="G1042" s="8" t="s">
        <v>665</v>
      </c>
      <c r="H1042" s="23">
        <v>46149</v>
      </c>
      <c r="I1042" s="23">
        <v>46120</v>
      </c>
      <c r="J1042" s="10">
        <v>2481</v>
      </c>
      <c r="K1042" s="10">
        <v>0</v>
      </c>
      <c r="L1042" s="24">
        <v>0</v>
      </c>
      <c r="M1042" s="10">
        <v>2381.7600000000002</v>
      </c>
    </row>
    <row r="1043" spans="1:13" x14ac:dyDescent="0.25">
      <c r="A1043" s="12" t="str">
        <f t="shared" si="32"/>
        <v>3513392GOODYEAR DO BRASIL PROD DE BORRACHA LTNFE46162</v>
      </c>
      <c r="B1043" s="12" t="str">
        <f t="shared" si="33"/>
        <v>Junho</v>
      </c>
      <c r="C1043" s="8" t="s">
        <v>503</v>
      </c>
      <c r="D1043" s="8" t="s">
        <v>664</v>
      </c>
      <c r="E1043" s="8" t="s">
        <v>75</v>
      </c>
      <c r="F1043" s="23">
        <v>46162</v>
      </c>
      <c r="G1043" s="8" t="s">
        <v>380</v>
      </c>
      <c r="H1043" s="23">
        <v>46192</v>
      </c>
      <c r="I1043" s="23">
        <v>46175</v>
      </c>
      <c r="J1043" s="10">
        <v>1490.61</v>
      </c>
      <c r="K1043" s="10">
        <v>0</v>
      </c>
      <c r="L1043" s="24">
        <v>0</v>
      </c>
      <c r="M1043" s="10">
        <v>1490.61</v>
      </c>
    </row>
    <row r="1044" spans="1:13" x14ac:dyDescent="0.25">
      <c r="A1044" s="12" t="str">
        <f t="shared" si="32"/>
        <v>3513392GOODYEAR DO BRASIL PROD DE BORRACHA LTNFE46162</v>
      </c>
      <c r="B1044" s="12" t="str">
        <f t="shared" si="33"/>
        <v>Julho</v>
      </c>
      <c r="C1044" s="8" t="s">
        <v>503</v>
      </c>
      <c r="D1044" s="8" t="s">
        <v>664</v>
      </c>
      <c r="E1044" s="8" t="s">
        <v>75</v>
      </c>
      <c r="F1044" s="23">
        <v>46162</v>
      </c>
      <c r="G1044" s="8" t="s">
        <v>380</v>
      </c>
      <c r="H1044" s="23">
        <v>46222</v>
      </c>
      <c r="I1044" s="23">
        <v>46175</v>
      </c>
      <c r="J1044" s="10">
        <v>1490.61</v>
      </c>
      <c r="K1044" s="10">
        <v>0</v>
      </c>
      <c r="L1044" s="24">
        <v>0</v>
      </c>
      <c r="M1044" s="10">
        <v>1490.61</v>
      </c>
    </row>
    <row r="1045" spans="1:13" x14ac:dyDescent="0.25">
      <c r="A1045" s="12" t="str">
        <f t="shared" si="32"/>
        <v>3513392GOODYEAR DO BRASIL PROD DE BORRACHA LTNFE46162</v>
      </c>
      <c r="B1045" s="12" t="str">
        <f t="shared" si="33"/>
        <v>Agosto</v>
      </c>
      <c r="C1045" s="8" t="s">
        <v>503</v>
      </c>
      <c r="D1045" s="8" t="s">
        <v>664</v>
      </c>
      <c r="E1045" s="8" t="s">
        <v>75</v>
      </c>
      <c r="F1045" s="23">
        <v>46162</v>
      </c>
      <c r="G1045" s="8" t="s">
        <v>380</v>
      </c>
      <c r="H1045" s="23">
        <v>46252</v>
      </c>
      <c r="I1045" s="23">
        <v>46175</v>
      </c>
      <c r="J1045" s="10">
        <v>1490.65</v>
      </c>
      <c r="K1045" s="10">
        <v>0</v>
      </c>
      <c r="L1045" s="24">
        <v>0</v>
      </c>
      <c r="M1045" s="10">
        <v>1490.65</v>
      </c>
    </row>
    <row r="1046" spans="1:13" x14ac:dyDescent="0.25">
      <c r="A1046" s="12" t="str">
        <f t="shared" si="32"/>
        <v>3514160GOODYEAR DO BRASIL PROD DE BORRACHA LTNFE46163</v>
      </c>
      <c r="B1046" s="12" t="str">
        <f t="shared" si="33"/>
        <v>Junho</v>
      </c>
      <c r="C1046" s="8" t="s">
        <v>507</v>
      </c>
      <c r="D1046" s="8" t="s">
        <v>664</v>
      </c>
      <c r="E1046" s="8" t="s">
        <v>75</v>
      </c>
      <c r="F1046" s="23">
        <v>46163</v>
      </c>
      <c r="G1046" s="8" t="s">
        <v>380</v>
      </c>
      <c r="H1046" s="23">
        <v>46193</v>
      </c>
      <c r="I1046" s="23">
        <v>46175</v>
      </c>
      <c r="J1046" s="10">
        <v>1664.61</v>
      </c>
      <c r="K1046" s="10">
        <v>0</v>
      </c>
      <c r="L1046" s="24">
        <v>0</v>
      </c>
      <c r="M1046" s="10">
        <v>1664.61</v>
      </c>
    </row>
    <row r="1047" spans="1:13" x14ac:dyDescent="0.25">
      <c r="A1047" s="12" t="str">
        <f t="shared" si="32"/>
        <v>3514160GOODYEAR DO BRASIL PROD DE BORRACHA LTNFE46163</v>
      </c>
      <c r="B1047" s="12" t="str">
        <f t="shared" si="33"/>
        <v>Julho</v>
      </c>
      <c r="C1047" s="8" t="s">
        <v>507</v>
      </c>
      <c r="D1047" s="8" t="s">
        <v>664</v>
      </c>
      <c r="E1047" s="8" t="s">
        <v>75</v>
      </c>
      <c r="F1047" s="23">
        <v>46163</v>
      </c>
      <c r="G1047" s="8" t="s">
        <v>380</v>
      </c>
      <c r="H1047" s="23">
        <v>46223</v>
      </c>
      <c r="I1047" s="23">
        <v>46175</v>
      </c>
      <c r="J1047" s="10">
        <v>1664.61</v>
      </c>
      <c r="K1047" s="10">
        <v>0</v>
      </c>
      <c r="L1047" s="24">
        <v>0</v>
      </c>
      <c r="M1047" s="10">
        <v>1664.61</v>
      </c>
    </row>
    <row r="1048" spans="1:13" x14ac:dyDescent="0.25">
      <c r="A1048" s="12" t="str">
        <f t="shared" si="32"/>
        <v>3514160GOODYEAR DO BRASIL PROD DE BORRACHA LTNFE46163</v>
      </c>
      <c r="B1048" s="12" t="str">
        <f t="shared" si="33"/>
        <v>Agosto</v>
      </c>
      <c r="C1048" s="8" t="s">
        <v>507</v>
      </c>
      <c r="D1048" s="8" t="s">
        <v>664</v>
      </c>
      <c r="E1048" s="8" t="s">
        <v>75</v>
      </c>
      <c r="F1048" s="23">
        <v>46163</v>
      </c>
      <c r="G1048" s="8" t="s">
        <v>380</v>
      </c>
      <c r="H1048" s="23">
        <v>46253</v>
      </c>
      <c r="I1048" s="23">
        <v>46175</v>
      </c>
      <c r="J1048" s="10">
        <v>1664.66</v>
      </c>
      <c r="K1048" s="10">
        <v>0</v>
      </c>
      <c r="L1048" s="24">
        <v>0</v>
      </c>
      <c r="M1048" s="10">
        <v>1664.66</v>
      </c>
    </row>
    <row r="1049" spans="1:13" x14ac:dyDescent="0.25">
      <c r="A1049" s="12" t="str">
        <f t="shared" si="32"/>
        <v>3515063GOODYEAR DO BRASIL PROD DE BORRACHA LTNFE46166</v>
      </c>
      <c r="B1049" s="12" t="str">
        <f t="shared" si="33"/>
        <v>Junho</v>
      </c>
      <c r="C1049" s="8" t="s">
        <v>508</v>
      </c>
      <c r="D1049" s="8" t="s">
        <v>664</v>
      </c>
      <c r="E1049" s="8" t="s">
        <v>75</v>
      </c>
      <c r="F1049" s="23">
        <v>46166</v>
      </c>
      <c r="G1049" s="8" t="s">
        <v>380</v>
      </c>
      <c r="H1049" s="23">
        <v>46196</v>
      </c>
      <c r="I1049" s="23">
        <v>46175</v>
      </c>
      <c r="J1049" s="10">
        <v>2131.96</v>
      </c>
      <c r="K1049" s="10">
        <v>0</v>
      </c>
      <c r="L1049" s="24">
        <v>0</v>
      </c>
      <c r="M1049" s="10">
        <v>2131.96</v>
      </c>
    </row>
    <row r="1050" spans="1:13" x14ac:dyDescent="0.25">
      <c r="A1050" s="12" t="str">
        <f t="shared" si="32"/>
        <v>3515063GOODYEAR DO BRASIL PROD DE BORRACHA LTNFE46166</v>
      </c>
      <c r="B1050" s="12" t="str">
        <f t="shared" si="33"/>
        <v>Julho</v>
      </c>
      <c r="C1050" s="8" t="s">
        <v>508</v>
      </c>
      <c r="D1050" s="8" t="s">
        <v>664</v>
      </c>
      <c r="E1050" s="8" t="s">
        <v>75</v>
      </c>
      <c r="F1050" s="23">
        <v>46166</v>
      </c>
      <c r="G1050" s="8" t="s">
        <v>380</v>
      </c>
      <c r="H1050" s="23">
        <v>46226</v>
      </c>
      <c r="I1050" s="23">
        <v>46175</v>
      </c>
      <c r="J1050" s="10">
        <v>2131.96</v>
      </c>
      <c r="K1050" s="10">
        <v>0</v>
      </c>
      <c r="L1050" s="24">
        <v>0</v>
      </c>
      <c r="M1050" s="10">
        <v>2131.96</v>
      </c>
    </row>
    <row r="1051" spans="1:13" x14ac:dyDescent="0.25">
      <c r="A1051" s="12" t="str">
        <f t="shared" si="32"/>
        <v>3515063GOODYEAR DO BRASIL PROD DE BORRACHA LTNFE46166</v>
      </c>
      <c r="B1051" s="12" t="str">
        <f t="shared" si="33"/>
        <v>Agosto</v>
      </c>
      <c r="C1051" s="8" t="s">
        <v>508</v>
      </c>
      <c r="D1051" s="8" t="s">
        <v>664</v>
      </c>
      <c r="E1051" s="8" t="s">
        <v>75</v>
      </c>
      <c r="F1051" s="23">
        <v>46166</v>
      </c>
      <c r="G1051" s="8" t="s">
        <v>380</v>
      </c>
      <c r="H1051" s="23">
        <v>46256</v>
      </c>
      <c r="I1051" s="23">
        <v>46175</v>
      </c>
      <c r="J1051" s="10">
        <v>2132.0300000000002</v>
      </c>
      <c r="K1051" s="10">
        <v>0</v>
      </c>
      <c r="L1051" s="24">
        <v>0</v>
      </c>
      <c r="M1051" s="10">
        <v>2132.0300000000002</v>
      </c>
    </row>
    <row r="1052" spans="1:13" x14ac:dyDescent="0.25">
      <c r="A1052" s="12" t="str">
        <f t="shared" si="32"/>
        <v>35252MINAS MAQUINAS SA | NOVA LIMANFE46094</v>
      </c>
      <c r="B1052" s="12" t="str">
        <f t="shared" si="33"/>
        <v>Abril</v>
      </c>
      <c r="C1052" s="8" t="s">
        <v>509</v>
      </c>
      <c r="D1052" s="8" t="s">
        <v>1400</v>
      </c>
      <c r="E1052" s="8" t="s">
        <v>133</v>
      </c>
      <c r="F1052" s="23">
        <v>46094</v>
      </c>
      <c r="G1052" s="8" t="s">
        <v>380</v>
      </c>
      <c r="H1052" s="23">
        <v>46124</v>
      </c>
      <c r="I1052" s="23">
        <v>46100</v>
      </c>
      <c r="J1052" s="10">
        <v>2224.9499999999998</v>
      </c>
      <c r="K1052" s="10">
        <v>0</v>
      </c>
      <c r="L1052" s="24">
        <v>0</v>
      </c>
      <c r="M1052" s="10">
        <v>2224.9499999999998</v>
      </c>
    </row>
    <row r="1053" spans="1:13" x14ac:dyDescent="0.25">
      <c r="A1053" s="12" t="str">
        <f t="shared" si="32"/>
        <v>35253MINAS MAQUINAS SA | NOVA LIMANFE46094</v>
      </c>
      <c r="B1053" s="12" t="str">
        <f t="shared" si="33"/>
        <v>Abril</v>
      </c>
      <c r="C1053" s="8" t="s">
        <v>510</v>
      </c>
      <c r="D1053" s="8" t="s">
        <v>1400</v>
      </c>
      <c r="E1053" s="8" t="s">
        <v>133</v>
      </c>
      <c r="F1053" s="23">
        <v>46094</v>
      </c>
      <c r="G1053" s="8" t="s">
        <v>380</v>
      </c>
      <c r="H1053" s="23">
        <v>46124</v>
      </c>
      <c r="I1053" s="23">
        <v>46100</v>
      </c>
      <c r="J1053" s="10">
        <v>3782.26</v>
      </c>
      <c r="K1053" s="10">
        <v>0</v>
      </c>
      <c r="L1053" s="24">
        <v>0</v>
      </c>
      <c r="M1053" s="10">
        <v>3782.26</v>
      </c>
    </row>
    <row r="1054" spans="1:13" x14ac:dyDescent="0.25">
      <c r="A1054" s="12" t="str">
        <f t="shared" si="32"/>
        <v>35253MINAS MAQUINAS SA | NOVA LIMANFE46094</v>
      </c>
      <c r="B1054" s="12" t="str">
        <f t="shared" si="33"/>
        <v>Maio</v>
      </c>
      <c r="C1054" s="8" t="s">
        <v>510</v>
      </c>
      <c r="D1054" s="8" t="s">
        <v>1400</v>
      </c>
      <c r="E1054" s="8" t="s">
        <v>133</v>
      </c>
      <c r="F1054" s="23">
        <v>46094</v>
      </c>
      <c r="G1054" s="8" t="s">
        <v>380</v>
      </c>
      <c r="H1054" s="23">
        <v>46154</v>
      </c>
      <c r="I1054" s="23">
        <v>46100</v>
      </c>
      <c r="J1054" s="10">
        <v>3782.26</v>
      </c>
      <c r="K1054" s="10">
        <v>0</v>
      </c>
      <c r="L1054" s="24">
        <v>0</v>
      </c>
      <c r="M1054" s="10">
        <v>3782.26</v>
      </c>
    </row>
    <row r="1055" spans="1:13" x14ac:dyDescent="0.25">
      <c r="A1055" s="12" t="str">
        <f t="shared" si="32"/>
        <v>35253MINAS MAQUINAS SA | NOVA LIMANFE46094</v>
      </c>
      <c r="B1055" s="12" t="str">
        <f t="shared" si="33"/>
        <v>Junho</v>
      </c>
      <c r="C1055" s="8" t="s">
        <v>510</v>
      </c>
      <c r="D1055" s="8" t="s">
        <v>1400</v>
      </c>
      <c r="E1055" s="8" t="s">
        <v>133</v>
      </c>
      <c r="F1055" s="23">
        <v>46094</v>
      </c>
      <c r="G1055" s="8" t="s">
        <v>380</v>
      </c>
      <c r="H1055" s="23">
        <v>46184</v>
      </c>
      <c r="I1055" s="23">
        <v>46100</v>
      </c>
      <c r="J1055" s="10">
        <v>3782.25</v>
      </c>
      <c r="K1055" s="10">
        <v>0</v>
      </c>
      <c r="L1055" s="24">
        <v>0</v>
      </c>
      <c r="M1055" s="10">
        <v>3782.25</v>
      </c>
    </row>
    <row r="1056" spans="1:13" x14ac:dyDescent="0.25">
      <c r="A1056" s="12" t="str">
        <f t="shared" si="32"/>
        <v>3539909GOODYEAR DO BRASIL PROD DE BORRACHA LTNFE46226</v>
      </c>
      <c r="B1056" s="12" t="str">
        <f t="shared" si="33"/>
        <v>Agosto</v>
      </c>
      <c r="C1056" s="8" t="s">
        <v>511</v>
      </c>
      <c r="D1056" s="8" t="s">
        <v>664</v>
      </c>
      <c r="E1056" s="8" t="s">
        <v>75</v>
      </c>
      <c r="F1056" s="23">
        <v>46226</v>
      </c>
      <c r="G1056" s="8" t="s">
        <v>380</v>
      </c>
      <c r="H1056" s="23">
        <v>46256</v>
      </c>
      <c r="I1056" s="23">
        <v>46226</v>
      </c>
      <c r="J1056" s="10">
        <v>2668.84</v>
      </c>
      <c r="K1056" s="10">
        <v>0</v>
      </c>
      <c r="L1056" s="24">
        <v>0</v>
      </c>
      <c r="M1056" s="10">
        <v>2668.84</v>
      </c>
    </row>
    <row r="1057" spans="1:13" x14ac:dyDescent="0.25">
      <c r="A1057" s="12" t="str">
        <f t="shared" si="32"/>
        <v>3539909GOODYEAR DO BRASIL PROD DE BORRACHA LTNFE46226</v>
      </c>
      <c r="B1057" s="12" t="str">
        <f t="shared" si="33"/>
        <v>Setembro</v>
      </c>
      <c r="C1057" s="8" t="s">
        <v>511</v>
      </c>
      <c r="D1057" s="8" t="s">
        <v>664</v>
      </c>
      <c r="E1057" s="8" t="s">
        <v>75</v>
      </c>
      <c r="F1057" s="23">
        <v>46226</v>
      </c>
      <c r="G1057" s="8" t="s">
        <v>380</v>
      </c>
      <c r="H1057" s="23">
        <v>46286</v>
      </c>
      <c r="I1057" s="23">
        <v>46226</v>
      </c>
      <c r="J1057" s="10">
        <v>2668.84</v>
      </c>
      <c r="K1057" s="10">
        <v>0</v>
      </c>
      <c r="L1057" s="24">
        <v>0</v>
      </c>
      <c r="M1057" s="10">
        <v>2668.84</v>
      </c>
    </row>
    <row r="1058" spans="1:13" x14ac:dyDescent="0.25">
      <c r="A1058" s="12" t="str">
        <f t="shared" si="32"/>
        <v>3539917GOODYEAR DO BRASIL PROD DE BORRACHA LTNFE46226</v>
      </c>
      <c r="B1058" s="12" t="str">
        <f t="shared" si="33"/>
        <v>Agosto</v>
      </c>
      <c r="C1058" s="8" t="s">
        <v>513</v>
      </c>
      <c r="D1058" s="8" t="s">
        <v>664</v>
      </c>
      <c r="E1058" s="8" t="s">
        <v>75</v>
      </c>
      <c r="F1058" s="23">
        <v>46226</v>
      </c>
      <c r="G1058" s="8" t="s">
        <v>380</v>
      </c>
      <c r="H1058" s="23">
        <v>46256</v>
      </c>
      <c r="I1058" s="23">
        <v>46226</v>
      </c>
      <c r="J1058" s="10">
        <v>2131.98</v>
      </c>
      <c r="K1058" s="10">
        <v>0</v>
      </c>
      <c r="L1058" s="24">
        <v>0</v>
      </c>
      <c r="M1058" s="10">
        <v>2131.98</v>
      </c>
    </row>
    <row r="1059" spans="1:13" x14ac:dyDescent="0.25">
      <c r="A1059" s="12" t="str">
        <f t="shared" si="32"/>
        <v>3539917GOODYEAR DO BRASIL PROD DE BORRACHA LTNFE46226</v>
      </c>
      <c r="B1059" s="12" t="str">
        <f t="shared" si="33"/>
        <v>Setembro</v>
      </c>
      <c r="C1059" s="8" t="s">
        <v>513</v>
      </c>
      <c r="D1059" s="8" t="s">
        <v>664</v>
      </c>
      <c r="E1059" s="8" t="s">
        <v>75</v>
      </c>
      <c r="F1059" s="23">
        <v>46226</v>
      </c>
      <c r="G1059" s="8" t="s">
        <v>380</v>
      </c>
      <c r="H1059" s="23">
        <v>46286</v>
      </c>
      <c r="I1059" s="23">
        <v>46226</v>
      </c>
      <c r="J1059" s="10">
        <v>2131.98</v>
      </c>
      <c r="K1059" s="10">
        <v>0</v>
      </c>
      <c r="L1059" s="24">
        <v>0</v>
      </c>
      <c r="M1059" s="10">
        <v>2131.98</v>
      </c>
    </row>
    <row r="1060" spans="1:13" x14ac:dyDescent="0.25">
      <c r="A1060" s="12" t="str">
        <f t="shared" si="32"/>
        <v>35447.409.392 DIRCEU NUNES JUNIORNFS46258</v>
      </c>
      <c r="B1060" s="12" t="str">
        <f t="shared" si="33"/>
        <v>Setembro</v>
      </c>
      <c r="C1060" s="8" t="s">
        <v>645</v>
      </c>
      <c r="D1060" s="8" t="s">
        <v>1354</v>
      </c>
      <c r="E1060" s="8" t="s">
        <v>206</v>
      </c>
      <c r="F1060" s="23">
        <v>46258</v>
      </c>
      <c r="G1060" s="8" t="s">
        <v>614</v>
      </c>
      <c r="H1060" s="23">
        <v>46275</v>
      </c>
      <c r="I1060" s="23">
        <v>46259</v>
      </c>
      <c r="J1060" s="10">
        <v>450</v>
      </c>
      <c r="K1060" s="10">
        <v>0</v>
      </c>
      <c r="L1060" s="24">
        <v>0</v>
      </c>
      <c r="M1060" s="10">
        <v>450</v>
      </c>
    </row>
    <row r="1061" spans="1:13" x14ac:dyDescent="0.25">
      <c r="A1061" s="12" t="str">
        <f t="shared" si="32"/>
        <v>3541003GOODYEAR DO BRASIL PROD DE BORRACHA LTNFE46228</v>
      </c>
      <c r="B1061" s="12" t="str">
        <f t="shared" si="33"/>
        <v>Agosto</v>
      </c>
      <c r="C1061" s="8" t="s">
        <v>514</v>
      </c>
      <c r="D1061" s="8" t="s">
        <v>664</v>
      </c>
      <c r="E1061" s="8" t="s">
        <v>75</v>
      </c>
      <c r="F1061" s="23">
        <v>46228</v>
      </c>
      <c r="G1061" s="8" t="s">
        <v>380</v>
      </c>
      <c r="H1061" s="23">
        <v>46258</v>
      </c>
      <c r="I1061" s="23">
        <v>46228</v>
      </c>
      <c r="J1061" s="10">
        <v>420.19</v>
      </c>
      <c r="K1061" s="10">
        <v>0</v>
      </c>
      <c r="L1061" s="24">
        <v>0</v>
      </c>
      <c r="M1061" s="10">
        <v>420.19</v>
      </c>
    </row>
    <row r="1062" spans="1:13" x14ac:dyDescent="0.25">
      <c r="A1062" s="12" t="str">
        <f t="shared" si="32"/>
        <v>3541003GOODYEAR DO BRASIL PROD DE BORRACHA LTNFE46228</v>
      </c>
      <c r="B1062" s="12" t="str">
        <f t="shared" si="33"/>
        <v>Setembro</v>
      </c>
      <c r="C1062" s="8" t="s">
        <v>514</v>
      </c>
      <c r="D1062" s="8" t="s">
        <v>664</v>
      </c>
      <c r="E1062" s="8" t="s">
        <v>75</v>
      </c>
      <c r="F1062" s="23">
        <v>46228</v>
      </c>
      <c r="G1062" s="8" t="s">
        <v>380</v>
      </c>
      <c r="H1062" s="23">
        <v>46288</v>
      </c>
      <c r="I1062" s="23">
        <v>46228</v>
      </c>
      <c r="J1062" s="10">
        <v>420.19</v>
      </c>
      <c r="K1062" s="10">
        <v>0</v>
      </c>
      <c r="L1062" s="24">
        <v>0</v>
      </c>
      <c r="M1062" s="10">
        <v>420.19</v>
      </c>
    </row>
    <row r="1063" spans="1:13" x14ac:dyDescent="0.25">
      <c r="A1063" s="12" t="str">
        <f t="shared" si="32"/>
        <v>35547.409.392 DIRCEU NUNES JUNIORNFS46260</v>
      </c>
      <c r="B1063" s="12" t="str">
        <f t="shared" si="33"/>
        <v>Setembro</v>
      </c>
      <c r="C1063" s="8" t="s">
        <v>647</v>
      </c>
      <c r="D1063" s="8" t="s">
        <v>1354</v>
      </c>
      <c r="E1063" s="8" t="s">
        <v>206</v>
      </c>
      <c r="F1063" s="23">
        <v>46260</v>
      </c>
      <c r="G1063" s="8" t="s">
        <v>614</v>
      </c>
      <c r="H1063" s="23">
        <v>46276</v>
      </c>
      <c r="I1063" s="23">
        <v>46261</v>
      </c>
      <c r="J1063" s="10">
        <v>1450</v>
      </c>
      <c r="K1063" s="10">
        <v>0</v>
      </c>
      <c r="L1063" s="24">
        <v>0</v>
      </c>
      <c r="M1063" s="10">
        <v>1450</v>
      </c>
    </row>
    <row r="1064" spans="1:13" x14ac:dyDescent="0.25">
      <c r="A1064" s="12" t="str">
        <f t="shared" si="32"/>
        <v>35647.409.392 DIRCEU NUNES JUNIORNFS46260</v>
      </c>
      <c r="B1064" s="12" t="str">
        <f t="shared" si="33"/>
        <v>Setembro</v>
      </c>
      <c r="C1064" s="8" t="s">
        <v>648</v>
      </c>
      <c r="D1064" s="8" t="s">
        <v>1354</v>
      </c>
      <c r="E1064" s="8" t="s">
        <v>206</v>
      </c>
      <c r="F1064" s="23">
        <v>46260</v>
      </c>
      <c r="G1064" s="8" t="s">
        <v>614</v>
      </c>
      <c r="H1064" s="23">
        <v>46276</v>
      </c>
      <c r="I1064" s="23">
        <v>46261</v>
      </c>
      <c r="J1064" s="10">
        <v>450</v>
      </c>
      <c r="K1064" s="10">
        <v>0</v>
      </c>
      <c r="L1064" s="24">
        <v>0</v>
      </c>
      <c r="M1064" s="10">
        <v>450</v>
      </c>
    </row>
    <row r="1065" spans="1:13" x14ac:dyDescent="0.25">
      <c r="A1065" s="12" t="str">
        <f t="shared" si="32"/>
        <v>35847.409.392 DIRCEU NUNES JUNIORNFS46262</v>
      </c>
      <c r="B1065" s="12" t="str">
        <f t="shared" si="33"/>
        <v>Setembro</v>
      </c>
      <c r="C1065" s="8" t="s">
        <v>649</v>
      </c>
      <c r="D1065" s="8" t="s">
        <v>1354</v>
      </c>
      <c r="E1065" s="8" t="s">
        <v>206</v>
      </c>
      <c r="F1065" s="23">
        <v>46262</v>
      </c>
      <c r="G1065" s="8" t="s">
        <v>614</v>
      </c>
      <c r="H1065" s="23">
        <v>46279</v>
      </c>
      <c r="I1065" s="23">
        <v>46263</v>
      </c>
      <c r="J1065" s="10">
        <v>400</v>
      </c>
      <c r="K1065" s="10">
        <v>0</v>
      </c>
      <c r="L1065" s="24">
        <v>0</v>
      </c>
      <c r="M1065" s="10">
        <v>400</v>
      </c>
    </row>
    <row r="1066" spans="1:13" x14ac:dyDescent="0.25">
      <c r="A1066" s="12" t="str">
        <f t="shared" si="32"/>
        <v>3585MANFERRARI SERVICE LTDANSE46203</v>
      </c>
      <c r="B1066" s="12" t="str">
        <f t="shared" si="33"/>
        <v>Agosto</v>
      </c>
      <c r="C1066" s="8" t="s">
        <v>862</v>
      </c>
      <c r="D1066" s="8" t="s">
        <v>1354</v>
      </c>
      <c r="E1066" s="8" t="s">
        <v>117</v>
      </c>
      <c r="F1066" s="23">
        <v>46203</v>
      </c>
      <c r="G1066" s="8" t="s">
        <v>665</v>
      </c>
      <c r="H1066" s="23">
        <v>46240</v>
      </c>
      <c r="I1066" s="23">
        <v>46203</v>
      </c>
      <c r="J1066" s="10">
        <v>200</v>
      </c>
      <c r="K1066" s="10">
        <v>0</v>
      </c>
      <c r="L1066" s="24">
        <v>0</v>
      </c>
      <c r="M1066" s="10">
        <v>196</v>
      </c>
    </row>
    <row r="1067" spans="1:13" x14ac:dyDescent="0.25">
      <c r="A1067" s="12" t="str">
        <f t="shared" si="32"/>
        <v>3596OPENSYSTECH SERVICOS DE MANUTENCAO DE SISTEMAS LTDANSE46241</v>
      </c>
      <c r="B1067" s="12" t="str">
        <f t="shared" si="33"/>
        <v>Setembro</v>
      </c>
      <c r="C1067" s="8" t="s">
        <v>863</v>
      </c>
      <c r="D1067" s="8" t="s">
        <v>664</v>
      </c>
      <c r="E1067" s="8" t="s">
        <v>145</v>
      </c>
      <c r="F1067" s="23">
        <v>46241</v>
      </c>
      <c r="G1067" s="8" t="s">
        <v>665</v>
      </c>
      <c r="H1067" s="23">
        <v>46273</v>
      </c>
      <c r="I1067" s="23">
        <v>46241</v>
      </c>
      <c r="J1067" s="10">
        <v>936.1</v>
      </c>
      <c r="K1067" s="10">
        <v>0</v>
      </c>
      <c r="L1067" s="24">
        <v>0</v>
      </c>
      <c r="M1067" s="10">
        <v>936.1</v>
      </c>
    </row>
    <row r="1068" spans="1:13" x14ac:dyDescent="0.25">
      <c r="A1068" s="12" t="str">
        <f t="shared" si="32"/>
        <v>36VITOR SOUZA SILVARCB46164,4416666667</v>
      </c>
      <c r="B1068" s="12" t="str">
        <f t="shared" si="33"/>
        <v>Maio</v>
      </c>
      <c r="C1068" s="8" t="s">
        <v>515</v>
      </c>
      <c r="D1068" s="8" t="s">
        <v>664</v>
      </c>
      <c r="E1068" s="8" t="s">
        <v>199</v>
      </c>
      <c r="F1068" s="23">
        <v>46164.441666666666</v>
      </c>
      <c r="G1068" s="8" t="s">
        <v>1045</v>
      </c>
      <c r="H1068" s="23">
        <v>46169</v>
      </c>
      <c r="I1068" s="23">
        <v>46164.441666666666</v>
      </c>
      <c r="J1068" s="10">
        <v>17.5</v>
      </c>
      <c r="K1068" s="10">
        <v>0</v>
      </c>
      <c r="L1068" s="24">
        <v>0</v>
      </c>
      <c r="M1068" s="10">
        <v>17.5</v>
      </c>
    </row>
    <row r="1069" spans="1:13" x14ac:dyDescent="0.25">
      <c r="A1069" s="12" t="str">
        <f t="shared" si="32"/>
        <v>36PAULO CESAR ALCANTARA SILVA FRAUCHESRCB46203,4743055556</v>
      </c>
      <c r="B1069" s="12" t="str">
        <f t="shared" si="33"/>
        <v>Julho</v>
      </c>
      <c r="C1069" s="8" t="s">
        <v>515</v>
      </c>
      <c r="D1069" s="8" t="s">
        <v>664</v>
      </c>
      <c r="E1069" s="8" t="s">
        <v>151</v>
      </c>
      <c r="F1069" s="23">
        <v>46203.474305555559</v>
      </c>
      <c r="G1069" s="8" t="s">
        <v>1045</v>
      </c>
      <c r="H1069" s="23">
        <v>46206</v>
      </c>
      <c r="I1069" s="23">
        <v>46203.474305555559</v>
      </c>
      <c r="J1069" s="10">
        <v>185.67</v>
      </c>
      <c r="K1069" s="10">
        <v>0</v>
      </c>
      <c r="L1069" s="24">
        <v>0</v>
      </c>
      <c r="M1069" s="10">
        <v>185.67</v>
      </c>
    </row>
    <row r="1070" spans="1:13" x14ac:dyDescent="0.25">
      <c r="A1070" s="12" t="str">
        <f t="shared" si="32"/>
        <v>36JOSE PAULEMI NOGUEIRA DA ROCHArcb46224,3847222222</v>
      </c>
      <c r="B1070" s="12" t="str">
        <f t="shared" si="33"/>
        <v>Julho</v>
      </c>
      <c r="C1070" s="8" t="s">
        <v>515</v>
      </c>
      <c r="D1070" s="8" t="s">
        <v>664</v>
      </c>
      <c r="E1070" s="8" t="s">
        <v>101</v>
      </c>
      <c r="F1070" s="23">
        <v>46224.384722222225</v>
      </c>
      <c r="G1070" s="8" t="s">
        <v>1423</v>
      </c>
      <c r="H1070" s="23">
        <v>46227</v>
      </c>
      <c r="I1070" s="23">
        <v>46224.384722222225</v>
      </c>
      <c r="J1070" s="10">
        <v>68</v>
      </c>
      <c r="K1070" s="10">
        <v>0</v>
      </c>
      <c r="L1070" s="24">
        <v>0</v>
      </c>
      <c r="M1070" s="10">
        <v>68</v>
      </c>
    </row>
    <row r="1071" spans="1:13" x14ac:dyDescent="0.25">
      <c r="A1071" s="12" t="str">
        <f t="shared" si="32"/>
        <v>36GABRIEL MOUTINHO ALBINORCB46238,3743055556</v>
      </c>
      <c r="B1071" s="12" t="str">
        <f t="shared" si="33"/>
        <v>Agosto</v>
      </c>
      <c r="C1071" s="8" t="s">
        <v>515</v>
      </c>
      <c r="D1071" s="8" t="s">
        <v>664</v>
      </c>
      <c r="E1071" s="8" t="s">
        <v>73</v>
      </c>
      <c r="F1071" s="23">
        <v>46238.374305555553</v>
      </c>
      <c r="G1071" s="8" t="s">
        <v>1045</v>
      </c>
      <c r="H1071" s="23">
        <v>46241</v>
      </c>
      <c r="I1071" s="23">
        <v>46238.374305555553</v>
      </c>
      <c r="J1071" s="10">
        <v>340</v>
      </c>
      <c r="K1071" s="10">
        <v>0</v>
      </c>
      <c r="L1071" s="24">
        <v>0</v>
      </c>
      <c r="M1071" s="10">
        <v>340</v>
      </c>
    </row>
    <row r="1072" spans="1:13" x14ac:dyDescent="0.25">
      <c r="A1072" s="12" t="str">
        <f t="shared" si="32"/>
        <v>36EDILSON RIBEIRO DA SILVARCB46275,25</v>
      </c>
      <c r="B1072" s="12" t="str">
        <f t="shared" si="33"/>
        <v>Setembro</v>
      </c>
      <c r="C1072" s="8" t="s">
        <v>515</v>
      </c>
      <c r="D1072" s="8" t="s">
        <v>664</v>
      </c>
      <c r="E1072" s="8" t="s">
        <v>56</v>
      </c>
      <c r="F1072" s="23">
        <v>46275.25</v>
      </c>
      <c r="G1072" s="8" t="s">
        <v>1045</v>
      </c>
      <c r="H1072" s="23">
        <v>46280</v>
      </c>
      <c r="I1072" s="23">
        <v>46275.25</v>
      </c>
      <c r="J1072" s="10">
        <v>205.9</v>
      </c>
      <c r="K1072" s="10">
        <v>0</v>
      </c>
      <c r="L1072" s="24">
        <v>0</v>
      </c>
      <c r="M1072" s="10">
        <v>205.9</v>
      </c>
    </row>
    <row r="1073" spans="1:13" x14ac:dyDescent="0.25">
      <c r="A1073" s="12" t="str">
        <f t="shared" si="32"/>
        <v>36FRANCISCO MARCIO CESAR DE MATOSRCB46296,4576388889</v>
      </c>
      <c r="B1073" s="12" t="str">
        <f t="shared" si="33"/>
        <v>Outubro</v>
      </c>
      <c r="C1073" s="8" t="s">
        <v>515</v>
      </c>
      <c r="D1073" s="8" t="s">
        <v>664</v>
      </c>
      <c r="E1073" s="8" t="s">
        <v>72</v>
      </c>
      <c r="F1073" s="23">
        <v>46296.457638888889</v>
      </c>
      <c r="G1073" s="8" t="s">
        <v>1045</v>
      </c>
      <c r="H1073" s="23">
        <v>46301</v>
      </c>
      <c r="I1073" s="23">
        <v>46296.457638888889</v>
      </c>
      <c r="J1073" s="10">
        <v>80</v>
      </c>
      <c r="K1073" s="10">
        <v>0</v>
      </c>
      <c r="L1073" s="24">
        <v>0</v>
      </c>
      <c r="M1073" s="10">
        <v>80</v>
      </c>
    </row>
    <row r="1074" spans="1:13" x14ac:dyDescent="0.25">
      <c r="A1074" s="12" t="str">
        <f t="shared" si="32"/>
        <v>36PAULO RICARDO SILVARCB46300,40625</v>
      </c>
      <c r="B1074" s="12" t="str">
        <f t="shared" si="33"/>
        <v>Outubro</v>
      </c>
      <c r="C1074" s="8" t="s">
        <v>515</v>
      </c>
      <c r="D1074" s="8" t="s">
        <v>664</v>
      </c>
      <c r="E1074" s="8" t="s">
        <v>153</v>
      </c>
      <c r="F1074" s="23">
        <v>46300.40625</v>
      </c>
      <c r="G1074" s="8" t="s">
        <v>1045</v>
      </c>
      <c r="H1074" s="23">
        <v>46303</v>
      </c>
      <c r="I1074" s="23">
        <v>46300.40625</v>
      </c>
      <c r="J1074" s="10">
        <v>47.9</v>
      </c>
      <c r="K1074" s="10">
        <v>0</v>
      </c>
      <c r="L1074" s="24">
        <v>0</v>
      </c>
      <c r="M1074" s="10">
        <v>47.9</v>
      </c>
    </row>
    <row r="1075" spans="1:13" x14ac:dyDescent="0.25">
      <c r="A1075" s="12" t="str">
        <f t="shared" si="32"/>
        <v>36144MINAS MAQUINAS SA | NOVA LIMANFE46120</v>
      </c>
      <c r="B1075" s="12" t="str">
        <f t="shared" si="33"/>
        <v>Maio</v>
      </c>
      <c r="C1075" s="8" t="s">
        <v>516</v>
      </c>
      <c r="D1075" s="8" t="s">
        <v>1400</v>
      </c>
      <c r="E1075" s="8" t="s">
        <v>133</v>
      </c>
      <c r="F1075" s="23">
        <v>46120</v>
      </c>
      <c r="G1075" s="8" t="s">
        <v>380</v>
      </c>
      <c r="H1075" s="23">
        <v>46150</v>
      </c>
      <c r="I1075" s="23">
        <v>46121</v>
      </c>
      <c r="J1075" s="10">
        <v>104.96</v>
      </c>
      <c r="K1075" s="10">
        <v>0</v>
      </c>
      <c r="L1075" s="24">
        <v>0</v>
      </c>
      <c r="M1075" s="10">
        <v>104.96</v>
      </c>
    </row>
    <row r="1076" spans="1:13" x14ac:dyDescent="0.25">
      <c r="A1076" s="12" t="str">
        <f t="shared" si="32"/>
        <v>36347.409.392 DIRCEU NUNES JUNIORNSE46268</v>
      </c>
      <c r="B1076" s="12" t="str">
        <f t="shared" si="33"/>
        <v>Setembro</v>
      </c>
      <c r="C1076" s="8" t="s">
        <v>864</v>
      </c>
      <c r="D1076" s="8" t="s">
        <v>1354</v>
      </c>
      <c r="E1076" s="8" t="s">
        <v>206</v>
      </c>
      <c r="F1076" s="23">
        <v>46268</v>
      </c>
      <c r="G1076" s="8" t="s">
        <v>665</v>
      </c>
      <c r="H1076" s="23">
        <v>46286</v>
      </c>
      <c r="I1076" s="23">
        <v>46273</v>
      </c>
      <c r="J1076" s="10">
        <v>350</v>
      </c>
      <c r="K1076" s="10">
        <v>0</v>
      </c>
      <c r="L1076" s="24">
        <v>0</v>
      </c>
      <c r="M1076" s="10">
        <v>350</v>
      </c>
    </row>
    <row r="1077" spans="1:13" x14ac:dyDescent="0.25">
      <c r="A1077" s="12" t="str">
        <f t="shared" si="32"/>
        <v>367CERTIFICAR INSPECAO VEICULAR LTDANSE46219</v>
      </c>
      <c r="B1077" s="12" t="str">
        <f t="shared" si="33"/>
        <v>Julho</v>
      </c>
      <c r="C1077" s="8" t="s">
        <v>867</v>
      </c>
      <c r="D1077" s="8" t="s">
        <v>1354</v>
      </c>
      <c r="E1077" s="8" t="s">
        <v>42</v>
      </c>
      <c r="F1077" s="23">
        <v>46219</v>
      </c>
      <c r="G1077" s="8" t="s">
        <v>665</v>
      </c>
      <c r="H1077" s="23">
        <v>46223</v>
      </c>
      <c r="I1077" s="23">
        <v>46220</v>
      </c>
      <c r="J1077" s="10">
        <v>640</v>
      </c>
      <c r="K1077" s="10">
        <v>0</v>
      </c>
      <c r="L1077" s="24">
        <v>0</v>
      </c>
      <c r="M1077" s="10">
        <v>640</v>
      </c>
    </row>
    <row r="1078" spans="1:13" x14ac:dyDescent="0.25">
      <c r="A1078" s="12" t="str">
        <f t="shared" si="32"/>
        <v>368EXXCELENCIA CONSULTORIA EM SOLUCOES EMPRESARIAIS LTDANSE46065</v>
      </c>
      <c r="B1078" s="12" t="str">
        <f t="shared" si="33"/>
        <v>Março</v>
      </c>
      <c r="C1078" s="8" t="s">
        <v>868</v>
      </c>
      <c r="D1078" s="8" t="s">
        <v>664</v>
      </c>
      <c r="E1078" s="8" t="s">
        <v>869</v>
      </c>
      <c r="F1078" s="23">
        <v>46065</v>
      </c>
      <c r="G1078" s="8" t="s">
        <v>665</v>
      </c>
      <c r="H1078" s="23">
        <v>46087</v>
      </c>
      <c r="I1078" s="23">
        <v>46086</v>
      </c>
      <c r="J1078" s="10">
        <v>3150</v>
      </c>
      <c r="K1078" s="10">
        <v>0</v>
      </c>
      <c r="L1078" s="24">
        <v>0</v>
      </c>
      <c r="M1078" s="10">
        <v>2956.27</v>
      </c>
    </row>
    <row r="1079" spans="1:13" x14ac:dyDescent="0.25">
      <c r="A1079" s="12" t="str">
        <f t="shared" si="32"/>
        <v>368-1708-87MINISTERIO DA FAZENDAIM46066,5</v>
      </c>
      <c r="B1079" s="12" t="str">
        <f t="shared" si="33"/>
        <v>Março</v>
      </c>
      <c r="C1079" s="8" t="s">
        <v>2076</v>
      </c>
      <c r="D1079" s="8" t="s">
        <v>664</v>
      </c>
      <c r="E1079" s="8" t="s">
        <v>1503</v>
      </c>
      <c r="F1079" s="23">
        <v>46066.5</v>
      </c>
      <c r="G1079" s="8" t="s">
        <v>1142</v>
      </c>
      <c r="H1079" s="23">
        <v>46101</v>
      </c>
      <c r="I1079" s="23">
        <v>46066.5</v>
      </c>
      <c r="J1079" s="10">
        <v>47.25</v>
      </c>
      <c r="K1079" s="10">
        <v>0</v>
      </c>
      <c r="L1079" s="24">
        <v>0</v>
      </c>
      <c r="M1079" s="10">
        <v>47.25</v>
      </c>
    </row>
    <row r="1080" spans="1:13" x14ac:dyDescent="0.25">
      <c r="A1080" s="12" t="str">
        <f t="shared" si="32"/>
        <v>368-5952-87MINISTERIO DA FAZENDAIM46066,5020833333</v>
      </c>
      <c r="B1080" s="12" t="str">
        <f t="shared" si="33"/>
        <v>Março</v>
      </c>
      <c r="C1080" s="8" t="s">
        <v>2077</v>
      </c>
      <c r="D1080" s="8" t="s">
        <v>664</v>
      </c>
      <c r="E1080" s="8" t="s">
        <v>1503</v>
      </c>
      <c r="F1080" s="23">
        <v>46066.502083333333</v>
      </c>
      <c r="G1080" s="8" t="s">
        <v>1142</v>
      </c>
      <c r="H1080" s="23">
        <v>46101</v>
      </c>
      <c r="I1080" s="23">
        <v>46066.502083333333</v>
      </c>
      <c r="J1080" s="10">
        <v>146.47999999999999</v>
      </c>
      <c r="K1080" s="10">
        <v>0</v>
      </c>
      <c r="L1080" s="24">
        <v>0</v>
      </c>
      <c r="M1080" s="10">
        <v>146.47999999999999</v>
      </c>
    </row>
    <row r="1081" spans="1:13" x14ac:dyDescent="0.25">
      <c r="A1081" s="12" t="str">
        <f t="shared" si="32"/>
        <v>37MECANICA CRISTO REI LTDANSE46114</v>
      </c>
      <c r="B1081" s="12" t="str">
        <f t="shared" si="33"/>
        <v>Maio</v>
      </c>
      <c r="C1081" s="8" t="s">
        <v>517</v>
      </c>
      <c r="D1081" s="8" t="s">
        <v>1354</v>
      </c>
      <c r="E1081" s="8" t="s">
        <v>125</v>
      </c>
      <c r="F1081" s="23">
        <v>46114</v>
      </c>
      <c r="G1081" s="8" t="s">
        <v>665</v>
      </c>
      <c r="H1081" s="23">
        <v>46144</v>
      </c>
      <c r="I1081" s="23">
        <v>46120</v>
      </c>
      <c r="J1081" s="10">
        <v>240</v>
      </c>
      <c r="K1081" s="10">
        <v>0</v>
      </c>
      <c r="L1081" s="24">
        <v>0</v>
      </c>
      <c r="M1081" s="10">
        <v>231.84</v>
      </c>
    </row>
    <row r="1082" spans="1:13" x14ac:dyDescent="0.25">
      <c r="A1082" s="12" t="str">
        <f t="shared" si="32"/>
        <v>37VITOR SOUZA SILVARCB46164,4888888889</v>
      </c>
      <c r="B1082" s="12" t="str">
        <f t="shared" si="33"/>
        <v>Maio</v>
      </c>
      <c r="C1082" s="8" t="s">
        <v>517</v>
      </c>
      <c r="D1082" s="8" t="s">
        <v>664</v>
      </c>
      <c r="E1082" s="8" t="s">
        <v>199</v>
      </c>
      <c r="F1082" s="23">
        <v>46164.488888888889</v>
      </c>
      <c r="G1082" s="8" t="s">
        <v>1045</v>
      </c>
      <c r="H1082" s="23">
        <v>46169</v>
      </c>
      <c r="I1082" s="23">
        <v>46164.488888888889</v>
      </c>
      <c r="J1082" s="10">
        <v>200</v>
      </c>
      <c r="K1082" s="10">
        <v>0</v>
      </c>
      <c r="L1082" s="24">
        <v>0</v>
      </c>
      <c r="M1082" s="10">
        <v>200</v>
      </c>
    </row>
    <row r="1083" spans="1:13" x14ac:dyDescent="0.25">
      <c r="A1083" s="12" t="str">
        <f t="shared" si="32"/>
        <v>37JOSE PAULEMI NOGUEIRA DA ROCHARCB46225,4</v>
      </c>
      <c r="B1083" s="12" t="str">
        <f t="shared" si="33"/>
        <v>Julho</v>
      </c>
      <c r="C1083" s="8" t="s">
        <v>517</v>
      </c>
      <c r="D1083" s="8" t="s">
        <v>664</v>
      </c>
      <c r="E1083" s="8" t="s">
        <v>101</v>
      </c>
      <c r="F1083" s="23">
        <v>46225.4</v>
      </c>
      <c r="G1083" s="8" t="s">
        <v>1045</v>
      </c>
      <c r="H1083" s="23">
        <v>46230</v>
      </c>
      <c r="I1083" s="23">
        <v>46225.4</v>
      </c>
      <c r="J1083" s="10">
        <v>246</v>
      </c>
      <c r="K1083" s="10">
        <v>0</v>
      </c>
      <c r="L1083" s="24">
        <v>0</v>
      </c>
      <c r="M1083" s="10">
        <v>246</v>
      </c>
    </row>
    <row r="1084" spans="1:13" x14ac:dyDescent="0.25">
      <c r="A1084" s="12" t="str">
        <f t="shared" si="32"/>
        <v>37EDILSON RIBEIRO DA SILVARCB46286,6444444444</v>
      </c>
      <c r="B1084" s="12" t="str">
        <f t="shared" si="33"/>
        <v>Setembro</v>
      </c>
      <c r="C1084" s="8" t="s">
        <v>517</v>
      </c>
      <c r="D1084" s="8" t="s">
        <v>664</v>
      </c>
      <c r="E1084" s="8" t="s">
        <v>56</v>
      </c>
      <c r="F1084" s="23">
        <v>46286.644444444442</v>
      </c>
      <c r="G1084" s="8" t="s">
        <v>1045</v>
      </c>
      <c r="H1084" s="23">
        <v>46289</v>
      </c>
      <c r="I1084" s="23">
        <v>46286.644444444442</v>
      </c>
      <c r="J1084" s="10">
        <v>74.3</v>
      </c>
      <c r="K1084" s="10">
        <v>0</v>
      </c>
      <c r="L1084" s="24">
        <v>0</v>
      </c>
      <c r="M1084" s="10">
        <v>74.3</v>
      </c>
    </row>
    <row r="1085" spans="1:13" x14ac:dyDescent="0.25">
      <c r="A1085" s="12" t="str">
        <f t="shared" si="32"/>
        <v>3706OPENSYSTECH SERVICOS DE MANUTENCAO DE SISTEMAS LTDANSE46273</v>
      </c>
      <c r="B1085" s="12" t="str">
        <f t="shared" si="33"/>
        <v>Outubro</v>
      </c>
      <c r="C1085" s="8" t="s">
        <v>871</v>
      </c>
      <c r="D1085" s="8" t="s">
        <v>664</v>
      </c>
      <c r="E1085" s="8" t="s">
        <v>145</v>
      </c>
      <c r="F1085" s="23">
        <v>46273</v>
      </c>
      <c r="G1085" s="8" t="s">
        <v>665</v>
      </c>
      <c r="H1085" s="23">
        <v>46301</v>
      </c>
      <c r="I1085" s="23">
        <v>46273</v>
      </c>
      <c r="J1085" s="10">
        <v>936.1</v>
      </c>
      <c r="K1085" s="10">
        <v>0</v>
      </c>
      <c r="L1085" s="24">
        <v>0</v>
      </c>
      <c r="M1085" s="10">
        <v>936.1</v>
      </c>
    </row>
    <row r="1086" spans="1:13" x14ac:dyDescent="0.25">
      <c r="A1086" s="12" t="str">
        <f t="shared" si="32"/>
        <v>37363MINAS MAQUINAS SA | NOVA LIMANFE46154</v>
      </c>
      <c r="B1086" s="12" t="str">
        <f t="shared" si="33"/>
        <v>Junho</v>
      </c>
      <c r="C1086" s="8" t="s">
        <v>518</v>
      </c>
      <c r="D1086" s="8" t="s">
        <v>1400</v>
      </c>
      <c r="E1086" s="8" t="s">
        <v>133</v>
      </c>
      <c r="F1086" s="23">
        <v>46154</v>
      </c>
      <c r="G1086" s="8" t="s">
        <v>380</v>
      </c>
      <c r="H1086" s="23">
        <v>46184</v>
      </c>
      <c r="I1086" s="23">
        <v>46155</v>
      </c>
      <c r="J1086" s="10">
        <v>225.18</v>
      </c>
      <c r="K1086" s="10">
        <v>0</v>
      </c>
      <c r="L1086" s="24">
        <v>0</v>
      </c>
      <c r="M1086" s="10">
        <v>225.18</v>
      </c>
    </row>
    <row r="1087" spans="1:13" x14ac:dyDescent="0.25">
      <c r="A1087" s="12" t="str">
        <f t="shared" si="32"/>
        <v>37377MINAS MAQUINAS SA | NOVA LIMANFE46154</v>
      </c>
      <c r="B1087" s="12" t="str">
        <f t="shared" si="33"/>
        <v>Junho</v>
      </c>
      <c r="C1087" s="8" t="s">
        <v>519</v>
      </c>
      <c r="D1087" s="8" t="s">
        <v>1400</v>
      </c>
      <c r="E1087" s="8" t="s">
        <v>133</v>
      </c>
      <c r="F1087" s="23">
        <v>46154</v>
      </c>
      <c r="G1087" s="8" t="s">
        <v>380</v>
      </c>
      <c r="H1087" s="23">
        <v>46184</v>
      </c>
      <c r="I1087" s="23">
        <v>46155</v>
      </c>
      <c r="J1087" s="10">
        <v>1064.42</v>
      </c>
      <c r="K1087" s="10">
        <v>0</v>
      </c>
      <c r="L1087" s="24">
        <v>0</v>
      </c>
      <c r="M1087" s="10">
        <v>1064.42</v>
      </c>
    </row>
    <row r="1088" spans="1:13" x14ac:dyDescent="0.25">
      <c r="A1088" s="12" t="str">
        <f t="shared" si="32"/>
        <v>37377MINAS MAQUINAS SA | NOVA LIMANFE46154</v>
      </c>
      <c r="B1088" s="12" t="str">
        <f t="shared" si="33"/>
        <v>Julho</v>
      </c>
      <c r="C1088" s="8" t="s">
        <v>519</v>
      </c>
      <c r="D1088" s="8" t="s">
        <v>1400</v>
      </c>
      <c r="E1088" s="8" t="s">
        <v>133</v>
      </c>
      <c r="F1088" s="23">
        <v>46154</v>
      </c>
      <c r="G1088" s="8" t="s">
        <v>380</v>
      </c>
      <c r="H1088" s="23">
        <v>46214</v>
      </c>
      <c r="I1088" s="23">
        <v>46155</v>
      </c>
      <c r="J1088" s="10">
        <v>1064.42</v>
      </c>
      <c r="K1088" s="10">
        <v>0</v>
      </c>
      <c r="L1088" s="24">
        <v>0</v>
      </c>
      <c r="M1088" s="10">
        <v>1064.42</v>
      </c>
    </row>
    <row r="1089" spans="1:13" x14ac:dyDescent="0.25">
      <c r="A1089" s="12" t="str">
        <f t="shared" si="32"/>
        <v>37533MINAS MAQUINAS SA | NOVA LIMANFE46157</v>
      </c>
      <c r="B1089" s="12" t="str">
        <f t="shared" si="33"/>
        <v>Junho</v>
      </c>
      <c r="C1089" s="8" t="s">
        <v>520</v>
      </c>
      <c r="D1089" s="8" t="s">
        <v>1400</v>
      </c>
      <c r="E1089" s="8" t="s">
        <v>133</v>
      </c>
      <c r="F1089" s="23">
        <v>46157</v>
      </c>
      <c r="G1089" s="8" t="s">
        <v>380</v>
      </c>
      <c r="H1089" s="23">
        <v>46187</v>
      </c>
      <c r="I1089" s="23">
        <v>46160</v>
      </c>
      <c r="J1089" s="10">
        <v>798.49</v>
      </c>
      <c r="K1089" s="10">
        <v>0</v>
      </c>
      <c r="L1089" s="24">
        <v>0</v>
      </c>
      <c r="M1089" s="10">
        <v>798.49</v>
      </c>
    </row>
    <row r="1090" spans="1:13" x14ac:dyDescent="0.25">
      <c r="A1090" s="12" t="str">
        <f t="shared" ref="A1090:A1153" si="34">$C1090&amp;$E1090&amp;$G1090&amp;$F1090</f>
        <v>37533MINAS MAQUINAS SA | NOVA LIMANFE46157</v>
      </c>
      <c r="B1090" s="12" t="str">
        <f t="shared" si="33"/>
        <v>Julho</v>
      </c>
      <c r="C1090" s="8" t="s">
        <v>520</v>
      </c>
      <c r="D1090" s="8" t="s">
        <v>1400</v>
      </c>
      <c r="E1090" s="8" t="s">
        <v>133</v>
      </c>
      <c r="F1090" s="23">
        <v>46157</v>
      </c>
      <c r="G1090" s="8" t="s">
        <v>380</v>
      </c>
      <c r="H1090" s="23">
        <v>46217</v>
      </c>
      <c r="I1090" s="23">
        <v>46160</v>
      </c>
      <c r="J1090" s="10">
        <v>798.49</v>
      </c>
      <c r="K1090" s="10">
        <v>0</v>
      </c>
      <c r="L1090" s="24">
        <v>0</v>
      </c>
      <c r="M1090" s="10">
        <v>798.49</v>
      </c>
    </row>
    <row r="1091" spans="1:13" x14ac:dyDescent="0.25">
      <c r="A1091" s="12" t="str">
        <f t="shared" si="34"/>
        <v>37687MINAS MAQUINAS SA | NOVA LIMANFE46162</v>
      </c>
      <c r="B1091" s="12" t="str">
        <f t="shared" ref="B1091:B1154" si="35">PROPER(TEXT($H1091,"MMMM"))</f>
        <v>Junho</v>
      </c>
      <c r="C1091" s="8" t="s">
        <v>521</v>
      </c>
      <c r="D1091" s="8" t="s">
        <v>1400</v>
      </c>
      <c r="E1091" s="8" t="s">
        <v>133</v>
      </c>
      <c r="F1091" s="23">
        <v>46162</v>
      </c>
      <c r="G1091" s="8" t="s">
        <v>380</v>
      </c>
      <c r="H1091" s="23">
        <v>46192</v>
      </c>
      <c r="I1091" s="23">
        <v>46163</v>
      </c>
      <c r="J1091" s="10">
        <v>2789.19</v>
      </c>
      <c r="K1091" s="10">
        <v>0</v>
      </c>
      <c r="L1091" s="24">
        <v>0</v>
      </c>
      <c r="M1091" s="10">
        <v>2789.19</v>
      </c>
    </row>
    <row r="1092" spans="1:13" x14ac:dyDescent="0.25">
      <c r="A1092" s="12" t="str">
        <f t="shared" si="34"/>
        <v>37687MINAS MAQUINAS SA | NOVA LIMANFE46162</v>
      </c>
      <c r="B1092" s="12" t="str">
        <f t="shared" si="35"/>
        <v>Julho</v>
      </c>
      <c r="C1092" s="8" t="s">
        <v>521</v>
      </c>
      <c r="D1092" s="8" t="s">
        <v>1400</v>
      </c>
      <c r="E1092" s="8" t="s">
        <v>133</v>
      </c>
      <c r="F1092" s="23">
        <v>46162</v>
      </c>
      <c r="G1092" s="8" t="s">
        <v>380</v>
      </c>
      <c r="H1092" s="23">
        <v>46222</v>
      </c>
      <c r="I1092" s="23">
        <v>46163</v>
      </c>
      <c r="J1092" s="10">
        <v>2789.19</v>
      </c>
      <c r="K1092" s="10">
        <v>0</v>
      </c>
      <c r="L1092" s="24">
        <v>0</v>
      </c>
      <c r="M1092" s="10">
        <v>2789.19</v>
      </c>
    </row>
    <row r="1093" spans="1:13" x14ac:dyDescent="0.25">
      <c r="A1093" s="12" t="str">
        <f t="shared" si="34"/>
        <v>37687MINAS MAQUINAS SA | NOVA LIMANFE46162</v>
      </c>
      <c r="B1093" s="12" t="str">
        <f t="shared" si="35"/>
        <v>Agosto</v>
      </c>
      <c r="C1093" s="8" t="s">
        <v>521</v>
      </c>
      <c r="D1093" s="8" t="s">
        <v>1400</v>
      </c>
      <c r="E1093" s="8" t="s">
        <v>133</v>
      </c>
      <c r="F1093" s="23">
        <v>46162</v>
      </c>
      <c r="G1093" s="8" t="s">
        <v>380</v>
      </c>
      <c r="H1093" s="23">
        <v>46252</v>
      </c>
      <c r="I1093" s="23">
        <v>46163</v>
      </c>
      <c r="J1093" s="10">
        <v>2789.18</v>
      </c>
      <c r="K1093" s="10">
        <v>0</v>
      </c>
      <c r="L1093" s="24">
        <v>0</v>
      </c>
      <c r="M1093" s="10">
        <v>2789.18</v>
      </c>
    </row>
    <row r="1094" spans="1:13" x14ac:dyDescent="0.25">
      <c r="A1094" s="12" t="str">
        <f t="shared" si="34"/>
        <v>3774MECANICA CRISTO REI LTDANSE45994</v>
      </c>
      <c r="B1094" s="12" t="str">
        <f t="shared" si="35"/>
        <v>Janeiro</v>
      </c>
      <c r="C1094" s="8" t="s">
        <v>1353</v>
      </c>
      <c r="D1094" s="8" t="s">
        <v>1354</v>
      </c>
      <c r="E1094" s="8" t="s">
        <v>125</v>
      </c>
      <c r="F1094" s="23">
        <v>45994</v>
      </c>
      <c r="G1094" s="8" t="s">
        <v>665</v>
      </c>
      <c r="H1094" s="23">
        <v>46024</v>
      </c>
      <c r="I1094" s="23">
        <v>45995</v>
      </c>
      <c r="J1094" s="10">
        <v>430</v>
      </c>
      <c r="K1094" s="10">
        <v>0</v>
      </c>
      <c r="L1094" s="24">
        <v>0</v>
      </c>
      <c r="M1094" s="10">
        <v>415.68</v>
      </c>
    </row>
    <row r="1095" spans="1:13" x14ac:dyDescent="0.25">
      <c r="A1095" s="12" t="str">
        <f t="shared" si="34"/>
        <v>3775MECANICA CRISTO REI LTDANSE45994</v>
      </c>
      <c r="B1095" s="12" t="str">
        <f t="shared" si="35"/>
        <v>Janeiro</v>
      </c>
      <c r="C1095" s="8" t="s">
        <v>1355</v>
      </c>
      <c r="D1095" s="8" t="s">
        <v>1354</v>
      </c>
      <c r="E1095" s="8" t="s">
        <v>125</v>
      </c>
      <c r="F1095" s="23">
        <v>45994</v>
      </c>
      <c r="G1095" s="8" t="s">
        <v>665</v>
      </c>
      <c r="H1095" s="23">
        <v>46024</v>
      </c>
      <c r="I1095" s="23">
        <v>45995</v>
      </c>
      <c r="J1095" s="10">
        <v>830</v>
      </c>
      <c r="K1095" s="10">
        <v>0</v>
      </c>
      <c r="L1095" s="24">
        <v>0</v>
      </c>
      <c r="M1095" s="10">
        <v>802.36</v>
      </c>
    </row>
    <row r="1096" spans="1:13" x14ac:dyDescent="0.25">
      <c r="A1096" s="12" t="str">
        <f t="shared" si="34"/>
        <v>3777MECANICA CRISTO REI LTDANSE46002</v>
      </c>
      <c r="B1096" s="12" t="str">
        <f t="shared" si="35"/>
        <v>Janeiro</v>
      </c>
      <c r="C1096" s="8" t="s">
        <v>1474</v>
      </c>
      <c r="D1096" s="8" t="s">
        <v>1354</v>
      </c>
      <c r="E1096" s="8" t="s">
        <v>125</v>
      </c>
      <c r="F1096" s="23">
        <v>46002</v>
      </c>
      <c r="G1096" s="8" t="s">
        <v>665</v>
      </c>
      <c r="H1096" s="23">
        <v>46032</v>
      </c>
      <c r="I1096" s="23">
        <v>46003</v>
      </c>
      <c r="J1096" s="10">
        <v>1010</v>
      </c>
      <c r="K1096" s="10">
        <v>0</v>
      </c>
      <c r="L1096" s="24">
        <v>0</v>
      </c>
      <c r="M1096" s="10">
        <v>976.37</v>
      </c>
    </row>
    <row r="1097" spans="1:13" x14ac:dyDescent="0.25">
      <c r="A1097" s="12" t="str">
        <f t="shared" si="34"/>
        <v>3780MECANICA CRISTO REI LTDANSE46013</v>
      </c>
      <c r="B1097" s="12" t="str">
        <f t="shared" si="35"/>
        <v>Janeiro</v>
      </c>
      <c r="C1097" s="8" t="s">
        <v>872</v>
      </c>
      <c r="D1097" s="8" t="s">
        <v>1354</v>
      </c>
      <c r="E1097" s="8" t="s">
        <v>125</v>
      </c>
      <c r="F1097" s="23">
        <v>46013</v>
      </c>
      <c r="G1097" s="8" t="s">
        <v>665</v>
      </c>
      <c r="H1097" s="23">
        <v>46043</v>
      </c>
      <c r="I1097" s="23">
        <v>46027</v>
      </c>
      <c r="J1097" s="10">
        <v>490</v>
      </c>
      <c r="K1097" s="10">
        <v>0</v>
      </c>
      <c r="L1097" s="24">
        <v>0</v>
      </c>
      <c r="M1097" s="10">
        <v>473.68</v>
      </c>
    </row>
    <row r="1098" spans="1:13" x14ac:dyDescent="0.25">
      <c r="A1098" s="12" t="str">
        <f t="shared" si="34"/>
        <v>3781MECANICA CRISTO REI LTDANSE46013</v>
      </c>
      <c r="B1098" s="12" t="str">
        <f t="shared" si="35"/>
        <v>Janeiro</v>
      </c>
      <c r="C1098" s="8" t="s">
        <v>873</v>
      </c>
      <c r="D1098" s="8" t="s">
        <v>1354</v>
      </c>
      <c r="E1098" s="8" t="s">
        <v>125</v>
      </c>
      <c r="F1098" s="23">
        <v>46013</v>
      </c>
      <c r="G1098" s="8" t="s">
        <v>665</v>
      </c>
      <c r="H1098" s="23">
        <v>46043</v>
      </c>
      <c r="I1098" s="23">
        <v>46027</v>
      </c>
      <c r="J1098" s="10">
        <v>430</v>
      </c>
      <c r="K1098" s="10">
        <v>0</v>
      </c>
      <c r="L1098" s="24">
        <v>0</v>
      </c>
      <c r="M1098" s="10">
        <v>415.68</v>
      </c>
    </row>
    <row r="1099" spans="1:13" x14ac:dyDescent="0.25">
      <c r="A1099" s="12" t="str">
        <f t="shared" si="34"/>
        <v>38VITOR SOUZA SILVARCB46204,4486111111</v>
      </c>
      <c r="B1099" s="12" t="str">
        <f t="shared" si="35"/>
        <v>Julho</v>
      </c>
      <c r="C1099" s="8" t="s">
        <v>522</v>
      </c>
      <c r="D1099" s="8" t="s">
        <v>664</v>
      </c>
      <c r="E1099" s="8" t="s">
        <v>199</v>
      </c>
      <c r="F1099" s="23">
        <v>46204.448611111111</v>
      </c>
      <c r="G1099" s="8" t="s">
        <v>1045</v>
      </c>
      <c r="H1099" s="23">
        <v>46209</v>
      </c>
      <c r="I1099" s="23">
        <v>46204.448611111111</v>
      </c>
      <c r="J1099" s="10">
        <v>50</v>
      </c>
      <c r="K1099" s="10">
        <v>0</v>
      </c>
      <c r="L1099" s="24">
        <v>0</v>
      </c>
      <c r="M1099" s="10">
        <v>50</v>
      </c>
    </row>
    <row r="1100" spans="1:13" x14ac:dyDescent="0.25">
      <c r="A1100" s="12" t="str">
        <f t="shared" si="34"/>
        <v>38ANTONIO ALCIDES AFONSONFS46209</v>
      </c>
      <c r="B1100" s="12" t="str">
        <f t="shared" si="35"/>
        <v>Agosto</v>
      </c>
      <c r="C1100" s="8" t="s">
        <v>522</v>
      </c>
      <c r="D1100" s="8" t="s">
        <v>1354</v>
      </c>
      <c r="E1100" s="8" t="s">
        <v>18</v>
      </c>
      <c r="F1100" s="23">
        <v>46209</v>
      </c>
      <c r="G1100" s="8" t="s">
        <v>614</v>
      </c>
      <c r="H1100" s="23">
        <v>46240</v>
      </c>
      <c r="I1100" s="23">
        <v>46210</v>
      </c>
      <c r="J1100" s="10">
        <v>350</v>
      </c>
      <c r="K1100" s="10">
        <v>0</v>
      </c>
      <c r="L1100" s="24">
        <v>0</v>
      </c>
      <c r="M1100" s="10">
        <v>350</v>
      </c>
    </row>
    <row r="1101" spans="1:13" x14ac:dyDescent="0.25">
      <c r="A1101" s="12" t="str">
        <f t="shared" si="34"/>
        <v>38JOSE PAULEMI NOGUEIRA DA ROCHARCB46252,3388888889</v>
      </c>
      <c r="B1101" s="12" t="str">
        <f t="shared" si="35"/>
        <v>Agosto</v>
      </c>
      <c r="C1101" s="8" t="s">
        <v>522</v>
      </c>
      <c r="D1101" s="8" t="s">
        <v>664</v>
      </c>
      <c r="E1101" s="8" t="s">
        <v>101</v>
      </c>
      <c r="F1101" s="23">
        <v>46252.338888888888</v>
      </c>
      <c r="G1101" s="8" t="s">
        <v>1045</v>
      </c>
      <c r="H1101" s="23">
        <v>46255</v>
      </c>
      <c r="I1101" s="23">
        <v>46252.338888888888</v>
      </c>
      <c r="J1101" s="10">
        <v>262</v>
      </c>
      <c r="K1101" s="10">
        <v>0</v>
      </c>
      <c r="L1101" s="24">
        <v>0</v>
      </c>
      <c r="M1101" s="10">
        <v>262</v>
      </c>
    </row>
    <row r="1102" spans="1:13" x14ac:dyDescent="0.25">
      <c r="A1102" s="12" t="str">
        <f t="shared" si="34"/>
        <v>38208MANFERRARI SERVICE LTDANSE45986</v>
      </c>
      <c r="B1102" s="12" t="str">
        <f t="shared" si="35"/>
        <v>Janeiro</v>
      </c>
      <c r="C1102" s="8" t="s">
        <v>1380</v>
      </c>
      <c r="D1102" s="8" t="s">
        <v>1354</v>
      </c>
      <c r="E1102" s="8" t="s">
        <v>117</v>
      </c>
      <c r="F1102" s="23">
        <v>45986</v>
      </c>
      <c r="G1102" s="8" t="s">
        <v>665</v>
      </c>
      <c r="H1102" s="23">
        <v>46028</v>
      </c>
      <c r="I1102" s="23">
        <v>45987</v>
      </c>
      <c r="J1102" s="10">
        <v>200</v>
      </c>
      <c r="K1102" s="10">
        <v>0</v>
      </c>
      <c r="L1102" s="24">
        <v>0</v>
      </c>
      <c r="M1102" s="10">
        <v>195</v>
      </c>
    </row>
    <row r="1103" spans="1:13" x14ac:dyDescent="0.25">
      <c r="A1103" s="12" t="str">
        <f t="shared" si="34"/>
        <v>38216MINAS MAQUINAS SA | NOVA LIMANFE46175</v>
      </c>
      <c r="B1103" s="12" t="str">
        <f t="shared" si="35"/>
        <v>Julho</v>
      </c>
      <c r="C1103" s="8" t="s">
        <v>523</v>
      </c>
      <c r="D1103" s="8" t="s">
        <v>1400</v>
      </c>
      <c r="E1103" s="8" t="s">
        <v>133</v>
      </c>
      <c r="F1103" s="23">
        <v>46175</v>
      </c>
      <c r="G1103" s="8" t="s">
        <v>380</v>
      </c>
      <c r="H1103" s="23">
        <v>46205</v>
      </c>
      <c r="I1103" s="23">
        <v>46176</v>
      </c>
      <c r="J1103" s="10">
        <v>225.18</v>
      </c>
      <c r="K1103" s="10">
        <v>0</v>
      </c>
      <c r="L1103" s="24">
        <v>0</v>
      </c>
      <c r="M1103" s="10">
        <v>225.18</v>
      </c>
    </row>
    <row r="1104" spans="1:13" x14ac:dyDescent="0.25">
      <c r="A1104" s="12" t="str">
        <f t="shared" si="34"/>
        <v>3863BH ACESSORIOS E PECAS LTDANFE46203</v>
      </c>
      <c r="B1104" s="12" t="str">
        <f t="shared" si="35"/>
        <v>Julho</v>
      </c>
      <c r="C1104" s="8" t="s">
        <v>524</v>
      </c>
      <c r="D1104" s="8" t="s">
        <v>664</v>
      </c>
      <c r="E1104" s="8" t="s">
        <v>27</v>
      </c>
      <c r="F1104" s="23">
        <v>46203</v>
      </c>
      <c r="G1104" s="8" t="s">
        <v>380</v>
      </c>
      <c r="H1104" s="23">
        <v>46217</v>
      </c>
      <c r="I1104" s="23">
        <v>46204</v>
      </c>
      <c r="J1104" s="10">
        <v>378</v>
      </c>
      <c r="K1104" s="10">
        <v>0</v>
      </c>
      <c r="L1104" s="24">
        <v>0</v>
      </c>
      <c r="M1104" s="10">
        <v>378</v>
      </c>
    </row>
    <row r="1105" spans="1:13" x14ac:dyDescent="0.25">
      <c r="A1105" s="12" t="str">
        <f t="shared" si="34"/>
        <v>3882RECAPAGEM RECATEC LTDA.NSE46120</v>
      </c>
      <c r="B1105" s="12" t="str">
        <f t="shared" si="35"/>
        <v>Maio</v>
      </c>
      <c r="C1105" s="8" t="s">
        <v>874</v>
      </c>
      <c r="D1105" s="8" t="s">
        <v>1354</v>
      </c>
      <c r="E1105" s="8" t="s">
        <v>166</v>
      </c>
      <c r="F1105" s="23">
        <v>46120</v>
      </c>
      <c r="G1105" s="8" t="s">
        <v>665</v>
      </c>
      <c r="H1105" s="23">
        <v>46150</v>
      </c>
      <c r="I1105" s="23">
        <v>46120</v>
      </c>
      <c r="J1105" s="10">
        <v>210</v>
      </c>
      <c r="K1105" s="10">
        <v>0</v>
      </c>
      <c r="L1105" s="24">
        <v>0</v>
      </c>
      <c r="M1105" s="10">
        <v>210</v>
      </c>
    </row>
    <row r="1106" spans="1:13" x14ac:dyDescent="0.25">
      <c r="A1106" s="12" t="str">
        <f t="shared" si="34"/>
        <v>38853MANFERRARI SERVICE LTDANSE46010</v>
      </c>
      <c r="B1106" s="12" t="str">
        <f t="shared" si="35"/>
        <v>Fevereiro</v>
      </c>
      <c r="C1106" s="8" t="s">
        <v>1685</v>
      </c>
      <c r="D1106" s="8" t="s">
        <v>1354</v>
      </c>
      <c r="E1106" s="8" t="s">
        <v>117</v>
      </c>
      <c r="F1106" s="23">
        <v>46010</v>
      </c>
      <c r="G1106" s="8" t="s">
        <v>665</v>
      </c>
      <c r="H1106" s="23">
        <v>46059</v>
      </c>
      <c r="I1106" s="23">
        <v>46010</v>
      </c>
      <c r="J1106" s="10">
        <v>200</v>
      </c>
      <c r="K1106" s="10">
        <v>0</v>
      </c>
      <c r="L1106" s="24">
        <v>0</v>
      </c>
      <c r="M1106" s="10">
        <v>195</v>
      </c>
    </row>
    <row r="1107" spans="1:13" x14ac:dyDescent="0.25">
      <c r="A1107" s="12" t="str">
        <f t="shared" si="34"/>
        <v>38972026DEPARTAMENTO ESTADUAL DE TRANSITO DE PERNAMBUCObl46092,4381944444</v>
      </c>
      <c r="B1107" s="12" t="str">
        <f t="shared" si="35"/>
        <v>Março</v>
      </c>
      <c r="C1107" s="8" t="s">
        <v>2008</v>
      </c>
      <c r="D1107" s="8" t="s">
        <v>664</v>
      </c>
      <c r="E1107" s="8" t="s">
        <v>1724</v>
      </c>
      <c r="F1107" s="23">
        <v>46092.438194444447</v>
      </c>
      <c r="G1107" s="8" t="s">
        <v>1904</v>
      </c>
      <c r="H1107" s="23">
        <v>46092</v>
      </c>
      <c r="I1107" s="23">
        <v>46092.438194444447</v>
      </c>
      <c r="J1107" s="10">
        <v>49.3</v>
      </c>
      <c r="K1107" s="10">
        <v>0</v>
      </c>
      <c r="L1107" s="24">
        <v>0</v>
      </c>
      <c r="M1107" s="10">
        <v>49.3</v>
      </c>
    </row>
    <row r="1108" spans="1:13" x14ac:dyDescent="0.25">
      <c r="A1108" s="12" t="str">
        <f t="shared" si="34"/>
        <v>389726DEPARTAMENTO ESTADUAL DE TRANSITO DE PERNAMBUCObl46140,3958333333</v>
      </c>
      <c r="B1108" s="12" t="str">
        <f t="shared" si="35"/>
        <v>Abril</v>
      </c>
      <c r="C1108" s="8" t="s">
        <v>2309</v>
      </c>
      <c r="D1108" s="8" t="s">
        <v>664</v>
      </c>
      <c r="E1108" s="8" t="s">
        <v>1724</v>
      </c>
      <c r="F1108" s="23">
        <v>46140.395833333336</v>
      </c>
      <c r="G1108" s="8" t="s">
        <v>1904</v>
      </c>
      <c r="H1108" s="23">
        <v>46140</v>
      </c>
      <c r="I1108" s="23">
        <v>46140.395833333336</v>
      </c>
      <c r="J1108" s="10">
        <v>129.63</v>
      </c>
      <c r="K1108" s="10">
        <v>0</v>
      </c>
      <c r="L1108" s="24">
        <v>0</v>
      </c>
      <c r="M1108" s="10">
        <v>129.63</v>
      </c>
    </row>
    <row r="1109" spans="1:13" x14ac:dyDescent="0.25">
      <c r="A1109" s="12" t="str">
        <f t="shared" si="34"/>
        <v>38982026DEPARTAMENTO ESTADUAL DE TRANSITO DE PERNAMBUCOBL46238,4194444444</v>
      </c>
      <c r="B1109" s="12" t="str">
        <f t="shared" si="35"/>
        <v>Dezembro</v>
      </c>
      <c r="C1109" s="8" t="s">
        <v>2887</v>
      </c>
      <c r="D1109" s="8" t="s">
        <v>664</v>
      </c>
      <c r="E1109" s="8" t="s">
        <v>1724</v>
      </c>
      <c r="F1109" s="23">
        <v>46238.419444444444</v>
      </c>
      <c r="G1109" s="8" t="s">
        <v>1463</v>
      </c>
      <c r="H1109" s="23">
        <v>46387</v>
      </c>
      <c r="I1109" s="23">
        <v>46238.419444444444</v>
      </c>
      <c r="J1109" s="10">
        <v>129.63</v>
      </c>
      <c r="K1109" s="10">
        <v>0</v>
      </c>
      <c r="L1109" s="24">
        <v>0</v>
      </c>
      <c r="M1109" s="10">
        <v>129.63</v>
      </c>
    </row>
    <row r="1110" spans="1:13" x14ac:dyDescent="0.25">
      <c r="A1110" s="12" t="str">
        <f t="shared" si="34"/>
        <v>3899BH ACESSORIOS E PECAS LTDANFE46217</v>
      </c>
      <c r="B1110" s="12" t="str">
        <f t="shared" si="35"/>
        <v>Agosto</v>
      </c>
      <c r="C1110" s="8" t="s">
        <v>526</v>
      </c>
      <c r="D1110" s="8" t="s">
        <v>664</v>
      </c>
      <c r="E1110" s="8" t="s">
        <v>27</v>
      </c>
      <c r="F1110" s="23">
        <v>46217</v>
      </c>
      <c r="G1110" s="8" t="s">
        <v>380</v>
      </c>
      <c r="H1110" s="23">
        <v>46247</v>
      </c>
      <c r="I1110" s="23">
        <v>46220</v>
      </c>
      <c r="J1110" s="10">
        <v>378</v>
      </c>
      <c r="K1110" s="10">
        <v>0</v>
      </c>
      <c r="L1110" s="24">
        <v>0</v>
      </c>
      <c r="M1110" s="10">
        <v>378</v>
      </c>
    </row>
    <row r="1111" spans="1:13" x14ac:dyDescent="0.25">
      <c r="A1111" s="12" t="str">
        <f t="shared" si="34"/>
        <v>38992026DEPARTAMENTO ESTADUAL DE TRANSITO DE PERNAMBUCOBL46090,3451388889</v>
      </c>
      <c r="B1111" s="12" t="str">
        <f t="shared" si="35"/>
        <v>Março</v>
      </c>
      <c r="C1111" s="8" t="s">
        <v>1976</v>
      </c>
      <c r="D1111" s="8" t="s">
        <v>664</v>
      </c>
      <c r="E1111" s="8" t="s">
        <v>1724</v>
      </c>
      <c r="F1111" s="23">
        <v>46090.345138888886</v>
      </c>
      <c r="G1111" s="8" t="s">
        <v>1463</v>
      </c>
      <c r="H1111" s="23">
        <v>46090</v>
      </c>
      <c r="I1111" s="23">
        <v>46090.345138888886</v>
      </c>
      <c r="J1111" s="10">
        <v>49.3</v>
      </c>
      <c r="K1111" s="10">
        <v>0</v>
      </c>
      <c r="L1111" s="24">
        <v>0</v>
      </c>
      <c r="M1111" s="10">
        <v>49.3</v>
      </c>
    </row>
    <row r="1112" spans="1:13" x14ac:dyDescent="0.25">
      <c r="A1112" s="12" t="str">
        <f t="shared" si="34"/>
        <v>389926DEPARTAMENTO ESTADUAL DE TRANSITO DE PERNAMBUCObl46140,3868055556</v>
      </c>
      <c r="B1112" s="12" t="str">
        <f t="shared" si="35"/>
        <v>Abril</v>
      </c>
      <c r="C1112" s="8" t="s">
        <v>2310</v>
      </c>
      <c r="D1112" s="8" t="s">
        <v>664</v>
      </c>
      <c r="E1112" s="8" t="s">
        <v>1724</v>
      </c>
      <c r="F1112" s="23">
        <v>46140.386805555558</v>
      </c>
      <c r="G1112" s="8" t="s">
        <v>1904</v>
      </c>
      <c r="H1112" s="23">
        <v>46140</v>
      </c>
      <c r="I1112" s="23">
        <v>46140.386805555558</v>
      </c>
      <c r="J1112" s="10">
        <v>129.63</v>
      </c>
      <c r="K1112" s="10">
        <v>0</v>
      </c>
      <c r="L1112" s="24">
        <v>0</v>
      </c>
      <c r="M1112" s="10">
        <v>129.63</v>
      </c>
    </row>
    <row r="1113" spans="1:13" x14ac:dyDescent="0.25">
      <c r="A1113" s="12" t="str">
        <f t="shared" si="34"/>
        <v>39ZAMBALDI AUTO CENTER LTDANSE46066</v>
      </c>
      <c r="B1113" s="12" t="str">
        <f t="shared" si="35"/>
        <v>Março</v>
      </c>
      <c r="C1113" s="8" t="s">
        <v>527</v>
      </c>
      <c r="D1113" s="8" t="s">
        <v>1354</v>
      </c>
      <c r="E1113" s="8" t="s">
        <v>204</v>
      </c>
      <c r="F1113" s="23">
        <v>46066</v>
      </c>
      <c r="G1113" s="8" t="s">
        <v>665</v>
      </c>
      <c r="H1113" s="23">
        <v>46094</v>
      </c>
      <c r="I1113" s="23">
        <v>46067</v>
      </c>
      <c r="J1113" s="10">
        <v>750</v>
      </c>
      <c r="K1113" s="10">
        <v>0</v>
      </c>
      <c r="L1113" s="24">
        <v>0</v>
      </c>
      <c r="M1113" s="10">
        <v>735</v>
      </c>
    </row>
    <row r="1114" spans="1:13" x14ac:dyDescent="0.25">
      <c r="A1114" s="12" t="str">
        <f t="shared" si="34"/>
        <v>39MECANICA CRISTO REI LTDANSE46120</v>
      </c>
      <c r="B1114" s="12" t="str">
        <f t="shared" si="35"/>
        <v>Maio</v>
      </c>
      <c r="C1114" s="8" t="s">
        <v>527</v>
      </c>
      <c r="D1114" s="8" t="s">
        <v>1354</v>
      </c>
      <c r="E1114" s="8" t="s">
        <v>125</v>
      </c>
      <c r="F1114" s="23">
        <v>46120</v>
      </c>
      <c r="G1114" s="8" t="s">
        <v>665</v>
      </c>
      <c r="H1114" s="23">
        <v>46150</v>
      </c>
      <c r="I1114" s="23">
        <v>46121</v>
      </c>
      <c r="J1114" s="10">
        <v>80</v>
      </c>
      <c r="K1114" s="10">
        <v>0</v>
      </c>
      <c r="L1114" s="24">
        <v>0</v>
      </c>
      <c r="M1114" s="10">
        <v>77.28</v>
      </c>
    </row>
    <row r="1115" spans="1:13" x14ac:dyDescent="0.25">
      <c r="A1115" s="12" t="str">
        <f t="shared" si="34"/>
        <v>39CAM LANTERNAGEM E PINTURA LTDANSE46149</v>
      </c>
      <c r="B1115" s="12" t="str">
        <f t="shared" si="35"/>
        <v>Junho</v>
      </c>
      <c r="C1115" s="8" t="s">
        <v>527</v>
      </c>
      <c r="D1115" s="8" t="s">
        <v>1354</v>
      </c>
      <c r="E1115" s="8" t="s">
        <v>34</v>
      </c>
      <c r="F1115" s="23">
        <v>46149</v>
      </c>
      <c r="G1115" s="8" t="s">
        <v>665</v>
      </c>
      <c r="H1115" s="23">
        <v>46178</v>
      </c>
      <c r="I1115" s="23">
        <v>46163</v>
      </c>
      <c r="J1115" s="10">
        <v>250</v>
      </c>
      <c r="K1115" s="10">
        <v>0</v>
      </c>
      <c r="L1115" s="24">
        <v>0</v>
      </c>
      <c r="M1115" s="10">
        <v>250</v>
      </c>
    </row>
    <row r="1116" spans="1:13" x14ac:dyDescent="0.25">
      <c r="A1116" s="12" t="str">
        <f t="shared" si="34"/>
        <v>39RONICAR REPARACAO AUTOMOTIVA LTDANFE46252</v>
      </c>
      <c r="B1116" s="12" t="str">
        <f t="shared" si="35"/>
        <v>Setembro</v>
      </c>
      <c r="C1116" s="8" t="s">
        <v>527</v>
      </c>
      <c r="D1116" s="8" t="s">
        <v>664</v>
      </c>
      <c r="E1116" s="8" t="s">
        <v>174</v>
      </c>
      <c r="F1116" s="23">
        <v>46252</v>
      </c>
      <c r="G1116" s="8" t="s">
        <v>380</v>
      </c>
      <c r="H1116" s="23">
        <v>46282</v>
      </c>
      <c r="I1116" s="23">
        <v>46252</v>
      </c>
      <c r="J1116" s="10">
        <v>1279.75</v>
      </c>
      <c r="K1116" s="10">
        <v>0</v>
      </c>
      <c r="L1116" s="24">
        <v>0</v>
      </c>
      <c r="M1116" s="10">
        <v>1279.75</v>
      </c>
    </row>
    <row r="1117" spans="1:13" x14ac:dyDescent="0.25">
      <c r="A1117" s="12" t="str">
        <f t="shared" si="34"/>
        <v>39002026DEPARTAMENTO ESTADUAL DE TRANSITO DE PERNAMBUCOBL46076,3993055556</v>
      </c>
      <c r="B1117" s="12" t="str">
        <f t="shared" si="35"/>
        <v>Fevereiro</v>
      </c>
      <c r="C1117" s="8" t="s">
        <v>1902</v>
      </c>
      <c r="D1117" s="8" t="s">
        <v>664</v>
      </c>
      <c r="E1117" s="8" t="s">
        <v>1724</v>
      </c>
      <c r="F1117" s="23">
        <v>46076.399305555555</v>
      </c>
      <c r="G1117" s="8" t="s">
        <v>1463</v>
      </c>
      <c r="H1117" s="23">
        <v>46076</v>
      </c>
      <c r="I1117" s="23">
        <v>46076.399305555555</v>
      </c>
      <c r="J1117" s="10">
        <v>49.3</v>
      </c>
      <c r="K1117" s="10">
        <v>0</v>
      </c>
      <c r="L1117" s="24">
        <v>0</v>
      </c>
      <c r="M1117" s="10">
        <v>49.3</v>
      </c>
    </row>
    <row r="1118" spans="1:13" x14ac:dyDescent="0.25">
      <c r="A1118" s="12" t="str">
        <f t="shared" si="34"/>
        <v>390026DEPARTAMENTO ESTADUAL DE TRANSITO DE PERNAMBUCObl46092,4465277778</v>
      </c>
      <c r="B1118" s="12" t="str">
        <f t="shared" si="35"/>
        <v>Março</v>
      </c>
      <c r="C1118" s="8" t="s">
        <v>2009</v>
      </c>
      <c r="D1118" s="8" t="s">
        <v>664</v>
      </c>
      <c r="E1118" s="8" t="s">
        <v>1724</v>
      </c>
      <c r="F1118" s="23">
        <v>46092.446527777778</v>
      </c>
      <c r="G1118" s="8" t="s">
        <v>1904</v>
      </c>
      <c r="H1118" s="23">
        <v>46092</v>
      </c>
      <c r="I1118" s="23">
        <v>46092.446527777778</v>
      </c>
      <c r="J1118" s="10">
        <v>129.63</v>
      </c>
      <c r="K1118" s="10">
        <v>0</v>
      </c>
      <c r="L1118" s="24">
        <v>0</v>
      </c>
      <c r="M1118" s="10">
        <v>129.63</v>
      </c>
    </row>
    <row r="1119" spans="1:13" x14ac:dyDescent="0.25">
      <c r="A1119" s="12" t="str">
        <f t="shared" si="34"/>
        <v>39012026DEPARTAMENTO ESTADUAL DE TRANSITO DE PERNAMBUCOBL46092,4416666667</v>
      </c>
      <c r="B1119" s="12" t="str">
        <f t="shared" si="35"/>
        <v>Março</v>
      </c>
      <c r="C1119" s="8" t="s">
        <v>2010</v>
      </c>
      <c r="D1119" s="8" t="s">
        <v>664</v>
      </c>
      <c r="E1119" s="8" t="s">
        <v>1724</v>
      </c>
      <c r="F1119" s="23">
        <v>46092.441666666666</v>
      </c>
      <c r="G1119" s="8" t="s">
        <v>1463</v>
      </c>
      <c r="H1119" s="23">
        <v>46092</v>
      </c>
      <c r="I1119" s="23">
        <v>46092.441666666666</v>
      </c>
      <c r="J1119" s="10">
        <v>49.3</v>
      </c>
      <c r="K1119" s="10">
        <v>0</v>
      </c>
      <c r="L1119" s="24">
        <v>0</v>
      </c>
      <c r="M1119" s="10">
        <v>49.3</v>
      </c>
    </row>
    <row r="1120" spans="1:13" x14ac:dyDescent="0.25">
      <c r="A1120" s="12" t="str">
        <f t="shared" si="34"/>
        <v>390126DEPARTAMENTO ESTADUAL DE TRANSITO DE PERNAMBUCObl46140,3965277778</v>
      </c>
      <c r="B1120" s="12" t="str">
        <f t="shared" si="35"/>
        <v>Abril</v>
      </c>
      <c r="C1120" s="8" t="s">
        <v>2311</v>
      </c>
      <c r="D1120" s="8" t="s">
        <v>664</v>
      </c>
      <c r="E1120" s="8" t="s">
        <v>1724</v>
      </c>
      <c r="F1120" s="23">
        <v>46140.396527777775</v>
      </c>
      <c r="G1120" s="8" t="s">
        <v>1904</v>
      </c>
      <c r="H1120" s="23">
        <v>46140</v>
      </c>
      <c r="I1120" s="23">
        <v>46140.396527777775</v>
      </c>
      <c r="J1120" s="10">
        <v>129.63</v>
      </c>
      <c r="K1120" s="10">
        <v>0</v>
      </c>
      <c r="L1120" s="24">
        <v>0</v>
      </c>
      <c r="M1120" s="10">
        <v>129.63</v>
      </c>
    </row>
    <row r="1121" spans="1:13" x14ac:dyDescent="0.25">
      <c r="A1121" s="12" t="str">
        <f t="shared" si="34"/>
        <v>39022026DEPARTAMENTO ESTADUAL DE TRANSITO DE PERNAMBUCObl46076,3979166667</v>
      </c>
      <c r="B1121" s="12" t="str">
        <f t="shared" si="35"/>
        <v>Fevereiro</v>
      </c>
      <c r="C1121" s="8" t="s">
        <v>1903</v>
      </c>
      <c r="D1121" s="8" t="s">
        <v>664</v>
      </c>
      <c r="E1121" s="8" t="s">
        <v>1724</v>
      </c>
      <c r="F1121" s="23">
        <v>46076.397916666669</v>
      </c>
      <c r="G1121" s="8" t="s">
        <v>1904</v>
      </c>
      <c r="H1121" s="23">
        <v>46076</v>
      </c>
      <c r="I1121" s="23">
        <v>46076.397916666669</v>
      </c>
      <c r="J1121" s="10">
        <v>49.3</v>
      </c>
      <c r="K1121" s="10">
        <v>0</v>
      </c>
      <c r="L1121" s="24">
        <v>0</v>
      </c>
      <c r="M1121" s="10">
        <v>49.3</v>
      </c>
    </row>
    <row r="1122" spans="1:13" x14ac:dyDescent="0.25">
      <c r="A1122" s="12" t="str">
        <f t="shared" si="34"/>
        <v>390226DEPARTAMENTO ESTADUAL DE TRANSITO DE PERNAMBUCOBL46092,4479166667</v>
      </c>
      <c r="B1122" s="12" t="str">
        <f t="shared" si="35"/>
        <v>Março</v>
      </c>
      <c r="C1122" s="8" t="s">
        <v>2011</v>
      </c>
      <c r="D1122" s="8" t="s">
        <v>664</v>
      </c>
      <c r="E1122" s="8" t="s">
        <v>1724</v>
      </c>
      <c r="F1122" s="23">
        <v>46092.447916666664</v>
      </c>
      <c r="G1122" s="8" t="s">
        <v>1463</v>
      </c>
      <c r="H1122" s="23">
        <v>46092</v>
      </c>
      <c r="I1122" s="23">
        <v>46092.447916666664</v>
      </c>
      <c r="J1122" s="10">
        <v>129.63</v>
      </c>
      <c r="K1122" s="10">
        <v>0</v>
      </c>
      <c r="L1122" s="24">
        <v>0</v>
      </c>
      <c r="M1122" s="10">
        <v>129.63</v>
      </c>
    </row>
    <row r="1123" spans="1:13" x14ac:dyDescent="0.25">
      <c r="A1123" s="12" t="str">
        <f t="shared" si="34"/>
        <v>39032026DEPARTAMENTO ESTADUAL DE TRANSITO DE PERNAMBUCOBL46090,3479166667</v>
      </c>
      <c r="B1123" s="12" t="str">
        <f t="shared" si="35"/>
        <v>Março</v>
      </c>
      <c r="C1123" s="8" t="s">
        <v>1977</v>
      </c>
      <c r="D1123" s="8" t="s">
        <v>664</v>
      </c>
      <c r="E1123" s="8" t="s">
        <v>1724</v>
      </c>
      <c r="F1123" s="23">
        <v>46090.347916666666</v>
      </c>
      <c r="G1123" s="8" t="s">
        <v>1463</v>
      </c>
      <c r="H1123" s="23">
        <v>46090</v>
      </c>
      <c r="I1123" s="23">
        <v>46090.347916666666</v>
      </c>
      <c r="J1123" s="10">
        <v>49.3</v>
      </c>
      <c r="K1123" s="10">
        <v>0</v>
      </c>
      <c r="L1123" s="24">
        <v>0</v>
      </c>
      <c r="M1123" s="10">
        <v>49.3</v>
      </c>
    </row>
    <row r="1124" spans="1:13" x14ac:dyDescent="0.25">
      <c r="A1124" s="12" t="str">
        <f t="shared" si="34"/>
        <v>390326DEPARTAMENTO ESTADUAL DE TRANSITO DE PERNAMBUCObl46140,3909722222</v>
      </c>
      <c r="B1124" s="12" t="str">
        <f t="shared" si="35"/>
        <v>Abril</v>
      </c>
      <c r="C1124" s="8" t="s">
        <v>2312</v>
      </c>
      <c r="D1124" s="8" t="s">
        <v>664</v>
      </c>
      <c r="E1124" s="8" t="s">
        <v>1724</v>
      </c>
      <c r="F1124" s="23">
        <v>46140.390972222223</v>
      </c>
      <c r="G1124" s="8" t="s">
        <v>1904</v>
      </c>
      <c r="H1124" s="23">
        <v>46140</v>
      </c>
      <c r="I1124" s="23">
        <v>46140.390972222223</v>
      </c>
      <c r="J1124" s="10">
        <v>129.63</v>
      </c>
      <c r="K1124" s="10">
        <v>0</v>
      </c>
      <c r="L1124" s="24">
        <v>0</v>
      </c>
      <c r="M1124" s="10">
        <v>129.63</v>
      </c>
    </row>
    <row r="1125" spans="1:13" x14ac:dyDescent="0.25">
      <c r="A1125" s="12" t="str">
        <f t="shared" si="34"/>
        <v>390572026PREFEITURA MUNICIPAL DE CONTAGEMim46148,4381944444</v>
      </c>
      <c r="B1125" s="12" t="str">
        <f t="shared" si="35"/>
        <v>Maio</v>
      </c>
      <c r="C1125" s="8" t="s">
        <v>2393</v>
      </c>
      <c r="D1125" s="8" t="s">
        <v>1354</v>
      </c>
      <c r="E1125" s="8" t="s">
        <v>1470</v>
      </c>
      <c r="F1125" s="23">
        <v>46148.438194444447</v>
      </c>
      <c r="G1125" s="8" t="s">
        <v>1248</v>
      </c>
      <c r="H1125" s="23">
        <v>46153</v>
      </c>
      <c r="I1125" s="23">
        <v>46148.438194444447</v>
      </c>
      <c r="J1125" s="10">
        <v>498.16</v>
      </c>
      <c r="K1125" s="10">
        <v>0</v>
      </c>
      <c r="L1125" s="24">
        <v>0</v>
      </c>
      <c r="M1125" s="10">
        <v>498.16</v>
      </c>
    </row>
    <row r="1126" spans="1:13" x14ac:dyDescent="0.25">
      <c r="A1126" s="12" t="str">
        <f t="shared" si="34"/>
        <v>39535MINAS MAQUINAS SA | NOVA LIMANFE46211</v>
      </c>
      <c r="B1126" s="12" t="str">
        <f t="shared" si="35"/>
        <v>Agosto</v>
      </c>
      <c r="C1126" s="8" t="s">
        <v>529</v>
      </c>
      <c r="D1126" s="8" t="s">
        <v>1400</v>
      </c>
      <c r="E1126" s="8" t="s">
        <v>133</v>
      </c>
      <c r="F1126" s="23">
        <v>46211</v>
      </c>
      <c r="G1126" s="8" t="s">
        <v>380</v>
      </c>
      <c r="H1126" s="23">
        <v>46241</v>
      </c>
      <c r="I1126" s="23">
        <v>46212</v>
      </c>
      <c r="J1126" s="10">
        <v>2410.4499999999998</v>
      </c>
      <c r="K1126" s="10">
        <v>0</v>
      </c>
      <c r="L1126" s="24">
        <v>0</v>
      </c>
      <c r="M1126" s="10">
        <v>2410.4499999999998</v>
      </c>
    </row>
    <row r="1127" spans="1:13" x14ac:dyDescent="0.25">
      <c r="A1127" s="12" t="str">
        <f t="shared" si="34"/>
        <v>39535MINAS MAQUINAS SA | NOVA LIMANFE46211</v>
      </c>
      <c r="B1127" s="12" t="str">
        <f t="shared" si="35"/>
        <v>Setembro</v>
      </c>
      <c r="C1127" s="8" t="s">
        <v>529</v>
      </c>
      <c r="D1127" s="8" t="s">
        <v>1400</v>
      </c>
      <c r="E1127" s="8" t="s">
        <v>133</v>
      </c>
      <c r="F1127" s="23">
        <v>46211</v>
      </c>
      <c r="G1127" s="8" t="s">
        <v>380</v>
      </c>
      <c r="H1127" s="23">
        <v>46271</v>
      </c>
      <c r="I1127" s="23">
        <v>46212</v>
      </c>
      <c r="J1127" s="10">
        <v>2410.44</v>
      </c>
      <c r="K1127" s="10">
        <v>0</v>
      </c>
      <c r="L1127" s="24">
        <v>0</v>
      </c>
      <c r="M1127" s="10">
        <v>2410.44</v>
      </c>
    </row>
    <row r="1128" spans="1:13" x14ac:dyDescent="0.25">
      <c r="A1128" s="12" t="str">
        <f t="shared" si="34"/>
        <v>39618MINAS MAQUINAS SA | NOVA LIMANFE46213</v>
      </c>
      <c r="B1128" s="12" t="str">
        <f t="shared" si="35"/>
        <v>Agosto</v>
      </c>
      <c r="C1128" s="8" t="s">
        <v>530</v>
      </c>
      <c r="D1128" s="8" t="s">
        <v>1400</v>
      </c>
      <c r="E1128" s="8" t="s">
        <v>133</v>
      </c>
      <c r="F1128" s="23">
        <v>46213</v>
      </c>
      <c r="G1128" s="8" t="s">
        <v>380</v>
      </c>
      <c r="H1128" s="23">
        <v>46243</v>
      </c>
      <c r="I1128" s="23">
        <v>46217</v>
      </c>
      <c r="J1128" s="10">
        <v>801.23</v>
      </c>
      <c r="K1128" s="10">
        <v>0</v>
      </c>
      <c r="L1128" s="24">
        <v>0</v>
      </c>
      <c r="M1128" s="10">
        <v>801.23</v>
      </c>
    </row>
    <row r="1129" spans="1:13" x14ac:dyDescent="0.25">
      <c r="A1129" s="12" t="str">
        <f t="shared" si="34"/>
        <v>39618MINAS MAQUINAS SA | NOVA LIMANFE46213</v>
      </c>
      <c r="B1129" s="12" t="str">
        <f t="shared" si="35"/>
        <v>Setembro</v>
      </c>
      <c r="C1129" s="8" t="s">
        <v>530</v>
      </c>
      <c r="D1129" s="8" t="s">
        <v>1400</v>
      </c>
      <c r="E1129" s="8" t="s">
        <v>133</v>
      </c>
      <c r="F1129" s="23">
        <v>46213</v>
      </c>
      <c r="G1129" s="8" t="s">
        <v>380</v>
      </c>
      <c r="H1129" s="23">
        <v>46273</v>
      </c>
      <c r="I1129" s="23">
        <v>46217</v>
      </c>
      <c r="J1129" s="10">
        <v>801.23</v>
      </c>
      <c r="K1129" s="10">
        <v>0</v>
      </c>
      <c r="L1129" s="24">
        <v>0</v>
      </c>
      <c r="M1129" s="10">
        <v>801.23</v>
      </c>
    </row>
    <row r="1130" spans="1:13" x14ac:dyDescent="0.25">
      <c r="A1130" s="12" t="str">
        <f t="shared" si="34"/>
        <v>39823831VIA VAREJO S/ANFE46158</v>
      </c>
      <c r="B1130" s="12" t="str">
        <f t="shared" si="35"/>
        <v>Junho</v>
      </c>
      <c r="C1130" s="8" t="s">
        <v>531</v>
      </c>
      <c r="D1130" s="8" t="s">
        <v>1400</v>
      </c>
      <c r="E1130" s="8" t="s">
        <v>197</v>
      </c>
      <c r="F1130" s="23">
        <v>46158</v>
      </c>
      <c r="G1130" s="8" t="s">
        <v>380</v>
      </c>
      <c r="H1130" s="23">
        <v>46195</v>
      </c>
      <c r="I1130" s="23">
        <v>46185</v>
      </c>
      <c r="J1130" s="10">
        <v>134.18</v>
      </c>
      <c r="K1130" s="10">
        <v>0</v>
      </c>
      <c r="L1130" s="24">
        <v>0</v>
      </c>
      <c r="M1130" s="10">
        <v>134.18</v>
      </c>
    </row>
    <row r="1131" spans="1:13" x14ac:dyDescent="0.25">
      <c r="A1131" s="12" t="str">
        <f t="shared" si="34"/>
        <v>39823831VIA VAREJO S/ANFE46158</v>
      </c>
      <c r="B1131" s="12" t="str">
        <f t="shared" si="35"/>
        <v>Julho</v>
      </c>
      <c r="C1131" s="8" t="s">
        <v>531</v>
      </c>
      <c r="D1131" s="8" t="s">
        <v>1400</v>
      </c>
      <c r="E1131" s="8" t="s">
        <v>197</v>
      </c>
      <c r="F1131" s="23">
        <v>46158</v>
      </c>
      <c r="G1131" s="8" t="s">
        <v>380</v>
      </c>
      <c r="H1131" s="23">
        <v>46223</v>
      </c>
      <c r="I1131" s="23">
        <v>46185</v>
      </c>
      <c r="J1131" s="10">
        <v>134.18</v>
      </c>
      <c r="K1131" s="10">
        <v>0</v>
      </c>
      <c r="L1131" s="24">
        <v>0</v>
      </c>
      <c r="M1131" s="10">
        <v>134.18</v>
      </c>
    </row>
    <row r="1132" spans="1:13" x14ac:dyDescent="0.25">
      <c r="A1132" s="12" t="str">
        <f t="shared" si="34"/>
        <v>39823831VIA VAREJO S/ANFE46158</v>
      </c>
      <c r="B1132" s="12" t="str">
        <f t="shared" si="35"/>
        <v>Agosto</v>
      </c>
      <c r="C1132" s="8" t="s">
        <v>531</v>
      </c>
      <c r="D1132" s="8" t="s">
        <v>1400</v>
      </c>
      <c r="E1132" s="8" t="s">
        <v>197</v>
      </c>
      <c r="F1132" s="23">
        <v>46158</v>
      </c>
      <c r="G1132" s="8" t="s">
        <v>380</v>
      </c>
      <c r="H1132" s="23">
        <v>46254</v>
      </c>
      <c r="I1132" s="23">
        <v>46185</v>
      </c>
      <c r="J1132" s="10">
        <v>134.18</v>
      </c>
      <c r="K1132" s="10">
        <v>0</v>
      </c>
      <c r="L1132" s="24">
        <v>0</v>
      </c>
      <c r="M1132" s="10">
        <v>134.18</v>
      </c>
    </row>
    <row r="1133" spans="1:13" x14ac:dyDescent="0.25">
      <c r="A1133" s="12" t="str">
        <f t="shared" si="34"/>
        <v>39849MINAS MAQUINAS SA | NOVA LIMANFE46220</v>
      </c>
      <c r="B1133" s="12" t="str">
        <f t="shared" si="35"/>
        <v>Agosto</v>
      </c>
      <c r="C1133" s="8" t="s">
        <v>532</v>
      </c>
      <c r="D1133" s="8" t="s">
        <v>1400</v>
      </c>
      <c r="E1133" s="8" t="s">
        <v>133</v>
      </c>
      <c r="F1133" s="23">
        <v>46220</v>
      </c>
      <c r="G1133" s="8" t="s">
        <v>380</v>
      </c>
      <c r="H1133" s="23">
        <v>46250</v>
      </c>
      <c r="I1133" s="23">
        <v>46220</v>
      </c>
      <c r="J1133" s="10">
        <v>743.1</v>
      </c>
      <c r="K1133" s="10">
        <v>0</v>
      </c>
      <c r="L1133" s="24">
        <v>0</v>
      </c>
      <c r="M1133" s="10">
        <v>743.1</v>
      </c>
    </row>
    <row r="1134" spans="1:13" x14ac:dyDescent="0.25">
      <c r="A1134" s="12" t="str">
        <f t="shared" si="34"/>
        <v>39849MINAS MAQUINAS SA | NOVA LIMANFE46220</v>
      </c>
      <c r="B1134" s="12" t="str">
        <f t="shared" si="35"/>
        <v>Setembro</v>
      </c>
      <c r="C1134" s="8" t="s">
        <v>532</v>
      </c>
      <c r="D1134" s="8" t="s">
        <v>1400</v>
      </c>
      <c r="E1134" s="8" t="s">
        <v>133</v>
      </c>
      <c r="F1134" s="23">
        <v>46220</v>
      </c>
      <c r="G1134" s="8" t="s">
        <v>380</v>
      </c>
      <c r="H1134" s="23">
        <v>46280</v>
      </c>
      <c r="I1134" s="23">
        <v>46220</v>
      </c>
      <c r="J1134" s="10">
        <v>743.1</v>
      </c>
      <c r="K1134" s="10">
        <v>0</v>
      </c>
      <c r="L1134" s="24">
        <v>0</v>
      </c>
      <c r="M1134" s="10">
        <v>743.1</v>
      </c>
    </row>
    <row r="1135" spans="1:13" x14ac:dyDescent="0.25">
      <c r="A1135" s="12" t="str">
        <f t="shared" si="34"/>
        <v>39850MINAS MAQUINAS SA | NOVA LIMANFE46220</v>
      </c>
      <c r="B1135" s="12" t="str">
        <f t="shared" si="35"/>
        <v>Agosto</v>
      </c>
      <c r="C1135" s="8" t="s">
        <v>533</v>
      </c>
      <c r="D1135" s="8" t="s">
        <v>1400</v>
      </c>
      <c r="E1135" s="8" t="s">
        <v>133</v>
      </c>
      <c r="F1135" s="23">
        <v>46220</v>
      </c>
      <c r="G1135" s="8" t="s">
        <v>380</v>
      </c>
      <c r="H1135" s="23">
        <v>46250</v>
      </c>
      <c r="I1135" s="23">
        <v>46220</v>
      </c>
      <c r="J1135" s="10">
        <v>801.23</v>
      </c>
      <c r="K1135" s="10">
        <v>0</v>
      </c>
      <c r="L1135" s="24">
        <v>0</v>
      </c>
      <c r="M1135" s="10">
        <v>801.23</v>
      </c>
    </row>
    <row r="1136" spans="1:13" x14ac:dyDescent="0.25">
      <c r="A1136" s="12" t="str">
        <f t="shared" si="34"/>
        <v>39850MINAS MAQUINAS SA | NOVA LIMANFE46220</v>
      </c>
      <c r="B1136" s="12" t="str">
        <f t="shared" si="35"/>
        <v>Setembro</v>
      </c>
      <c r="C1136" s="8" t="s">
        <v>533</v>
      </c>
      <c r="D1136" s="8" t="s">
        <v>1400</v>
      </c>
      <c r="E1136" s="8" t="s">
        <v>133</v>
      </c>
      <c r="F1136" s="23">
        <v>46220</v>
      </c>
      <c r="G1136" s="8" t="s">
        <v>380</v>
      </c>
      <c r="H1136" s="23">
        <v>46280</v>
      </c>
      <c r="I1136" s="23">
        <v>46220</v>
      </c>
      <c r="J1136" s="10">
        <v>801.23</v>
      </c>
      <c r="K1136" s="10">
        <v>0</v>
      </c>
      <c r="L1136" s="24">
        <v>0</v>
      </c>
      <c r="M1136" s="10">
        <v>801.23</v>
      </c>
    </row>
    <row r="1137" spans="1:13" x14ac:dyDescent="0.25">
      <c r="A1137" s="12" t="str">
        <f t="shared" si="34"/>
        <v>4LAIENE LOPES TEIXEIRARCB46029,4597222222</v>
      </c>
      <c r="B1137" s="12" t="str">
        <f t="shared" si="35"/>
        <v>Janeiro</v>
      </c>
      <c r="C1137" s="8" t="s">
        <v>1451</v>
      </c>
      <c r="D1137" s="8" t="s">
        <v>664</v>
      </c>
      <c r="E1137" s="8" t="s">
        <v>106</v>
      </c>
      <c r="F1137" s="23">
        <v>46029.459722222222</v>
      </c>
      <c r="G1137" s="8" t="s">
        <v>1045</v>
      </c>
      <c r="H1137" s="23">
        <v>46034</v>
      </c>
      <c r="I1137" s="23">
        <v>46029.459722222222</v>
      </c>
      <c r="J1137" s="10">
        <v>221.2</v>
      </c>
      <c r="K1137" s="10">
        <v>0</v>
      </c>
      <c r="L1137" s="24">
        <v>0</v>
      </c>
      <c r="M1137" s="10">
        <v>221.2</v>
      </c>
    </row>
    <row r="1138" spans="1:13" x14ac:dyDescent="0.25">
      <c r="A1138" s="12" t="str">
        <f t="shared" si="34"/>
        <v>4PATRICIA JUSTINA DE ALMEIDARCB46029,4611111111</v>
      </c>
      <c r="B1138" s="12" t="str">
        <f t="shared" si="35"/>
        <v>Janeiro</v>
      </c>
      <c r="C1138" s="8" t="s">
        <v>1451</v>
      </c>
      <c r="D1138" s="8" t="s">
        <v>664</v>
      </c>
      <c r="E1138" s="8" t="s">
        <v>148</v>
      </c>
      <c r="F1138" s="23">
        <v>46029.461111111108</v>
      </c>
      <c r="G1138" s="8" t="s">
        <v>1045</v>
      </c>
      <c r="H1138" s="23">
        <v>46034</v>
      </c>
      <c r="I1138" s="23">
        <v>46029.461111111108</v>
      </c>
      <c r="J1138" s="10">
        <v>470</v>
      </c>
      <c r="K1138" s="10">
        <v>0</v>
      </c>
      <c r="L1138" s="24">
        <v>0</v>
      </c>
      <c r="M1138" s="10">
        <v>470</v>
      </c>
    </row>
    <row r="1139" spans="1:13" x14ac:dyDescent="0.25">
      <c r="A1139" s="12" t="str">
        <f t="shared" si="34"/>
        <v>4JESSE PREIRA LIMARCB46034,4375</v>
      </c>
      <c r="B1139" s="12" t="str">
        <f t="shared" si="35"/>
        <v>Janeiro</v>
      </c>
      <c r="C1139" s="8" t="s">
        <v>1451</v>
      </c>
      <c r="D1139" s="8" t="s">
        <v>664</v>
      </c>
      <c r="E1139" s="8" t="s">
        <v>1478</v>
      </c>
      <c r="F1139" s="23">
        <v>46034.4375</v>
      </c>
      <c r="G1139" s="8" t="s">
        <v>1045</v>
      </c>
      <c r="H1139" s="23">
        <v>46037</v>
      </c>
      <c r="I1139" s="23">
        <v>46034.4375</v>
      </c>
      <c r="J1139" s="10">
        <v>100</v>
      </c>
      <c r="K1139" s="10">
        <v>0</v>
      </c>
      <c r="L1139" s="24">
        <v>0</v>
      </c>
      <c r="M1139" s="10">
        <v>100</v>
      </c>
    </row>
    <row r="1140" spans="1:13" x14ac:dyDescent="0.25">
      <c r="A1140" s="12" t="str">
        <f t="shared" si="34"/>
        <v>4ANTONIO SILVA DE SOUSARCB46038,3645833333</v>
      </c>
      <c r="B1140" s="12" t="str">
        <f t="shared" si="35"/>
        <v>Janeiro</v>
      </c>
      <c r="C1140" s="8" t="s">
        <v>1451</v>
      </c>
      <c r="D1140" s="8" t="s">
        <v>664</v>
      </c>
      <c r="E1140" s="8" t="s">
        <v>20</v>
      </c>
      <c r="F1140" s="23">
        <v>46038.364583333336</v>
      </c>
      <c r="G1140" s="8" t="s">
        <v>1045</v>
      </c>
      <c r="H1140" s="23">
        <v>46043</v>
      </c>
      <c r="I1140" s="23">
        <v>46038.364583333336</v>
      </c>
      <c r="J1140" s="10">
        <v>95</v>
      </c>
      <c r="K1140" s="10">
        <v>0</v>
      </c>
      <c r="L1140" s="24">
        <v>0</v>
      </c>
      <c r="M1140" s="10">
        <v>95</v>
      </c>
    </row>
    <row r="1141" spans="1:13" x14ac:dyDescent="0.25">
      <c r="A1141" s="12" t="str">
        <f t="shared" si="34"/>
        <v>4TIAGO FERNANDO DOS SANTOS SILVARCB46041,4916666667</v>
      </c>
      <c r="B1141" s="12" t="str">
        <f t="shared" si="35"/>
        <v>Janeiro</v>
      </c>
      <c r="C1141" s="8" t="s">
        <v>1451</v>
      </c>
      <c r="D1141" s="8" t="s">
        <v>664</v>
      </c>
      <c r="E1141" s="8" t="s">
        <v>188</v>
      </c>
      <c r="F1141" s="23">
        <v>46041.491666666669</v>
      </c>
      <c r="G1141" s="8" t="s">
        <v>1045</v>
      </c>
      <c r="H1141" s="23">
        <v>46044</v>
      </c>
      <c r="I1141" s="23">
        <v>46041.491666666669</v>
      </c>
      <c r="J1141" s="10">
        <v>400</v>
      </c>
      <c r="K1141" s="10">
        <v>0</v>
      </c>
      <c r="L1141" s="24">
        <v>0</v>
      </c>
      <c r="M1141" s="10">
        <v>400</v>
      </c>
    </row>
    <row r="1142" spans="1:13" x14ac:dyDescent="0.25">
      <c r="A1142" s="12" t="str">
        <f t="shared" si="34"/>
        <v>4NIPPON AUTO ELÉTRICARCB46063,6798611111</v>
      </c>
      <c r="B1142" s="12" t="str">
        <f t="shared" si="35"/>
        <v>Fevereiro</v>
      </c>
      <c r="C1142" s="8" t="s">
        <v>1451</v>
      </c>
      <c r="D1142" s="8" t="s">
        <v>664</v>
      </c>
      <c r="E1142" s="8" t="s">
        <v>1630</v>
      </c>
      <c r="F1142" s="23">
        <v>46063.679861111108</v>
      </c>
      <c r="G1142" s="8" t="s">
        <v>1045</v>
      </c>
      <c r="H1142" s="23">
        <v>46066</v>
      </c>
      <c r="I1142" s="23">
        <v>46063.679861111108</v>
      </c>
      <c r="J1142" s="10">
        <v>30</v>
      </c>
      <c r="K1142" s="10">
        <v>0</v>
      </c>
      <c r="L1142" s="24">
        <v>0</v>
      </c>
      <c r="M1142" s="10">
        <v>30</v>
      </c>
    </row>
    <row r="1143" spans="1:13" x14ac:dyDescent="0.25">
      <c r="A1143" s="12" t="str">
        <f t="shared" si="34"/>
        <v>4RODRIGO CORREARCB46085,6541666667</v>
      </c>
      <c r="B1143" s="12" t="str">
        <f t="shared" si="35"/>
        <v>Março</v>
      </c>
      <c r="C1143" s="8" t="s">
        <v>1451</v>
      </c>
      <c r="D1143" s="8" t="s">
        <v>664</v>
      </c>
      <c r="E1143" s="8" t="s">
        <v>172</v>
      </c>
      <c r="F1143" s="23">
        <v>46085.654166666667</v>
      </c>
      <c r="G1143" s="8" t="s">
        <v>1045</v>
      </c>
      <c r="H1143" s="23">
        <v>46091</v>
      </c>
      <c r="I1143" s="23">
        <v>46085.654166666667</v>
      </c>
      <c r="J1143" s="10">
        <v>55</v>
      </c>
      <c r="K1143" s="10">
        <v>0</v>
      </c>
      <c r="L1143" s="24">
        <v>0</v>
      </c>
      <c r="M1143" s="10">
        <v>55</v>
      </c>
    </row>
    <row r="1144" spans="1:13" x14ac:dyDescent="0.25">
      <c r="A1144" s="12" t="str">
        <f t="shared" si="34"/>
        <v>4MAKWELL HERMINIO TAVARESRCB46100,7277777778</v>
      </c>
      <c r="B1144" s="12" t="str">
        <f t="shared" si="35"/>
        <v>Março</v>
      </c>
      <c r="C1144" s="8" t="s">
        <v>1451</v>
      </c>
      <c r="D1144" s="8" t="s">
        <v>664</v>
      </c>
      <c r="E1144" s="8" t="s">
        <v>1615</v>
      </c>
      <c r="F1144" s="23">
        <v>46100.727777777778</v>
      </c>
      <c r="G1144" s="8" t="s">
        <v>1045</v>
      </c>
      <c r="H1144" s="23">
        <v>46105</v>
      </c>
      <c r="I1144" s="23">
        <v>46100.727777777778</v>
      </c>
      <c r="J1144" s="10">
        <v>100</v>
      </c>
      <c r="K1144" s="10">
        <v>0</v>
      </c>
      <c r="L1144" s="24">
        <v>0</v>
      </c>
      <c r="M1144" s="10">
        <v>100</v>
      </c>
    </row>
    <row r="1145" spans="1:13" x14ac:dyDescent="0.25">
      <c r="A1145" s="12" t="str">
        <f t="shared" si="34"/>
        <v>4ENERGISA MINAS GERAIS DISTRIBUIDORA DE ENERGIA S.A.RCB46107,6895833333</v>
      </c>
      <c r="B1145" s="12" t="str">
        <f t="shared" si="35"/>
        <v>Março</v>
      </c>
      <c r="C1145" s="8" t="s">
        <v>1451</v>
      </c>
      <c r="D1145" s="8" t="s">
        <v>664</v>
      </c>
      <c r="E1145" s="8" t="s">
        <v>62</v>
      </c>
      <c r="F1145" s="23">
        <v>46107.689583333333</v>
      </c>
      <c r="G1145" s="8" t="s">
        <v>1045</v>
      </c>
      <c r="H1145" s="23">
        <v>46112</v>
      </c>
      <c r="I1145" s="23">
        <v>46107.689583333333</v>
      </c>
      <c r="J1145" s="10">
        <v>111.42</v>
      </c>
      <c r="K1145" s="10">
        <v>0</v>
      </c>
      <c r="L1145" s="24">
        <v>0</v>
      </c>
      <c r="M1145" s="10">
        <v>111.42</v>
      </c>
    </row>
    <row r="1146" spans="1:13" x14ac:dyDescent="0.25">
      <c r="A1146" s="12" t="str">
        <f t="shared" si="34"/>
        <v>4ILDEON FERREIRA SANTOSRCB46114,375</v>
      </c>
      <c r="B1146" s="12" t="str">
        <f t="shared" si="35"/>
        <v>Abril</v>
      </c>
      <c r="C1146" s="8" t="s">
        <v>1451</v>
      </c>
      <c r="D1146" s="8" t="s">
        <v>664</v>
      </c>
      <c r="E1146" s="8" t="s">
        <v>86</v>
      </c>
      <c r="F1146" s="23">
        <v>46114.375</v>
      </c>
      <c r="G1146" s="8" t="s">
        <v>1045</v>
      </c>
      <c r="H1146" s="23">
        <v>46119</v>
      </c>
      <c r="I1146" s="23">
        <v>46114.375</v>
      </c>
      <c r="J1146" s="10">
        <v>100</v>
      </c>
      <c r="K1146" s="10">
        <v>0</v>
      </c>
      <c r="L1146" s="24">
        <v>0</v>
      </c>
      <c r="M1146" s="10">
        <v>100</v>
      </c>
    </row>
    <row r="1147" spans="1:13" x14ac:dyDescent="0.25">
      <c r="A1147" s="12" t="str">
        <f t="shared" si="34"/>
        <v>4DIONIZIO JOSE DE CASSIO PINTORCB46140,4361111111</v>
      </c>
      <c r="B1147" s="12" t="str">
        <f t="shared" si="35"/>
        <v>Maio</v>
      </c>
      <c r="C1147" s="8" t="s">
        <v>1451</v>
      </c>
      <c r="D1147" s="8" t="s">
        <v>664</v>
      </c>
      <c r="E1147" s="8" t="s">
        <v>53</v>
      </c>
      <c r="F1147" s="23">
        <v>46140.436111111114</v>
      </c>
      <c r="G1147" s="8" t="s">
        <v>1045</v>
      </c>
      <c r="H1147" s="23">
        <v>46146</v>
      </c>
      <c r="I1147" s="23">
        <v>46140.436111111114</v>
      </c>
      <c r="J1147" s="10">
        <v>140</v>
      </c>
      <c r="K1147" s="10">
        <v>0</v>
      </c>
      <c r="L1147" s="24">
        <v>0</v>
      </c>
      <c r="M1147" s="10">
        <v>140</v>
      </c>
    </row>
    <row r="1148" spans="1:13" x14ac:dyDescent="0.25">
      <c r="A1148" s="12" t="str">
        <f t="shared" si="34"/>
        <v>4MOISES DA COSTA AZEVEDORCB46154,4409722222</v>
      </c>
      <c r="B1148" s="12" t="str">
        <f t="shared" si="35"/>
        <v>Maio</v>
      </c>
      <c r="C1148" s="8" t="s">
        <v>1451</v>
      </c>
      <c r="D1148" s="8" t="s">
        <v>664</v>
      </c>
      <c r="E1148" s="8" t="s">
        <v>134</v>
      </c>
      <c r="F1148" s="23">
        <v>46154.440972222219</v>
      </c>
      <c r="G1148" s="8" t="s">
        <v>1045</v>
      </c>
      <c r="H1148" s="23">
        <v>46157</v>
      </c>
      <c r="I1148" s="23">
        <v>46154.440972222219</v>
      </c>
      <c r="J1148" s="10">
        <v>263.68</v>
      </c>
      <c r="K1148" s="10">
        <v>0</v>
      </c>
      <c r="L1148" s="24">
        <v>0</v>
      </c>
      <c r="M1148" s="10">
        <v>263.68</v>
      </c>
    </row>
    <row r="1149" spans="1:13" x14ac:dyDescent="0.25">
      <c r="A1149" s="12" t="str">
        <f t="shared" si="34"/>
        <v>4ANA PAULA DE ALMEIDA ARAUJORCB46155,4048611111</v>
      </c>
      <c r="B1149" s="12" t="str">
        <f t="shared" si="35"/>
        <v>Maio</v>
      </c>
      <c r="C1149" s="8" t="s">
        <v>1451</v>
      </c>
      <c r="D1149" s="8" t="s">
        <v>664</v>
      </c>
      <c r="E1149" s="8" t="s">
        <v>12</v>
      </c>
      <c r="F1149" s="23">
        <v>46155.404861111114</v>
      </c>
      <c r="G1149" s="8" t="s">
        <v>1045</v>
      </c>
      <c r="H1149" s="23">
        <v>46160</v>
      </c>
      <c r="I1149" s="23">
        <v>46155.404861111114</v>
      </c>
      <c r="J1149" s="10">
        <v>45</v>
      </c>
      <c r="K1149" s="10">
        <v>0</v>
      </c>
      <c r="L1149" s="24">
        <v>0</v>
      </c>
      <c r="M1149" s="10">
        <v>45</v>
      </c>
    </row>
    <row r="1150" spans="1:13" x14ac:dyDescent="0.25">
      <c r="A1150" s="12" t="str">
        <f t="shared" si="34"/>
        <v>4RYAN CAMPOS OLIVEIRARCB46155,4527777778</v>
      </c>
      <c r="B1150" s="12" t="str">
        <f t="shared" si="35"/>
        <v>Maio</v>
      </c>
      <c r="C1150" s="8" t="s">
        <v>1451</v>
      </c>
      <c r="D1150" s="8" t="s">
        <v>664</v>
      </c>
      <c r="E1150" s="8" t="s">
        <v>1488</v>
      </c>
      <c r="F1150" s="23">
        <v>46155.452777777777</v>
      </c>
      <c r="G1150" s="8" t="s">
        <v>1045</v>
      </c>
      <c r="H1150" s="23">
        <v>46160</v>
      </c>
      <c r="I1150" s="23">
        <v>46155.452777777777</v>
      </c>
      <c r="J1150" s="10">
        <v>120</v>
      </c>
      <c r="K1150" s="10">
        <v>0</v>
      </c>
      <c r="L1150" s="24">
        <v>0</v>
      </c>
      <c r="M1150" s="10">
        <v>120</v>
      </c>
    </row>
    <row r="1151" spans="1:13" x14ac:dyDescent="0.25">
      <c r="A1151" s="12" t="str">
        <f t="shared" si="34"/>
        <v>4ANDRE GOMES DA SILVARCB46156,5840277778</v>
      </c>
      <c r="B1151" s="12" t="str">
        <f t="shared" si="35"/>
        <v>Maio</v>
      </c>
      <c r="C1151" s="8" t="s">
        <v>1451</v>
      </c>
      <c r="D1151" s="8" t="s">
        <v>664</v>
      </c>
      <c r="E1151" s="8" t="s">
        <v>14</v>
      </c>
      <c r="F1151" s="23">
        <v>46156.584027777775</v>
      </c>
      <c r="G1151" s="8" t="s">
        <v>1045</v>
      </c>
      <c r="H1151" s="23">
        <v>46161</v>
      </c>
      <c r="I1151" s="23">
        <v>46156.584027777775</v>
      </c>
      <c r="J1151" s="10">
        <v>149</v>
      </c>
      <c r="K1151" s="10">
        <v>0</v>
      </c>
      <c r="L1151" s="24">
        <v>0</v>
      </c>
      <c r="M1151" s="10">
        <v>149</v>
      </c>
    </row>
    <row r="1152" spans="1:13" x14ac:dyDescent="0.25">
      <c r="A1152" s="12" t="str">
        <f t="shared" si="34"/>
        <v>4PAULO SILAS GOMES SOARESRCB46168,48125</v>
      </c>
      <c r="B1152" s="12" t="str">
        <f t="shared" si="35"/>
        <v>Maio</v>
      </c>
      <c r="C1152" s="8" t="s">
        <v>1451</v>
      </c>
      <c r="D1152" s="8" t="s">
        <v>664</v>
      </c>
      <c r="E1152" s="8" t="s">
        <v>154</v>
      </c>
      <c r="F1152" s="23">
        <v>46168.481249999997</v>
      </c>
      <c r="G1152" s="8" t="s">
        <v>1045</v>
      </c>
      <c r="H1152" s="23">
        <v>46171</v>
      </c>
      <c r="I1152" s="23">
        <v>46168.481249999997</v>
      </c>
      <c r="J1152" s="10">
        <v>263.68</v>
      </c>
      <c r="K1152" s="10">
        <v>0</v>
      </c>
      <c r="L1152" s="24">
        <v>0</v>
      </c>
      <c r="M1152" s="10">
        <v>263.68</v>
      </c>
    </row>
    <row r="1153" spans="1:13" x14ac:dyDescent="0.25">
      <c r="A1153" s="12" t="str">
        <f t="shared" si="34"/>
        <v>4NILTON BATISTA DA COSTARCB46172,4548611111</v>
      </c>
      <c r="B1153" s="12" t="str">
        <f t="shared" si="35"/>
        <v>Junho</v>
      </c>
      <c r="C1153" s="8" t="s">
        <v>1451</v>
      </c>
      <c r="D1153" s="8" t="s">
        <v>664</v>
      </c>
      <c r="E1153" s="8" t="s">
        <v>139</v>
      </c>
      <c r="F1153" s="23">
        <v>46172.454861111109</v>
      </c>
      <c r="G1153" s="8" t="s">
        <v>1045</v>
      </c>
      <c r="H1153" s="23">
        <v>46177</v>
      </c>
      <c r="I1153" s="23">
        <v>46172.454861111109</v>
      </c>
      <c r="J1153" s="10">
        <v>26</v>
      </c>
      <c r="K1153" s="10">
        <v>0</v>
      </c>
      <c r="L1153" s="24">
        <v>0</v>
      </c>
      <c r="M1153" s="10">
        <v>26</v>
      </c>
    </row>
    <row r="1154" spans="1:13" x14ac:dyDescent="0.25">
      <c r="A1154" s="12" t="str">
        <f t="shared" ref="A1154:A1217" si="36">$C1154&amp;$E1154&amp;$G1154&amp;$F1154</f>
        <v>4EDIVALDO SOUZA SANTOSRCB46182,4069444444</v>
      </c>
      <c r="B1154" s="12" t="str">
        <f t="shared" si="35"/>
        <v>Junho</v>
      </c>
      <c r="C1154" s="8" t="s">
        <v>1451</v>
      </c>
      <c r="D1154" s="8" t="s">
        <v>664</v>
      </c>
      <c r="E1154" s="8" t="s">
        <v>57</v>
      </c>
      <c r="F1154" s="23">
        <v>46182.406944444447</v>
      </c>
      <c r="G1154" s="8" t="s">
        <v>1045</v>
      </c>
      <c r="H1154" s="23">
        <v>46185</v>
      </c>
      <c r="I1154" s="23">
        <v>46182.406944444447</v>
      </c>
      <c r="J1154" s="10">
        <v>225</v>
      </c>
      <c r="K1154" s="10">
        <v>0</v>
      </c>
      <c r="L1154" s="24">
        <v>0</v>
      </c>
      <c r="M1154" s="10">
        <v>225</v>
      </c>
    </row>
    <row r="1155" spans="1:13" x14ac:dyDescent="0.25">
      <c r="A1155" s="12" t="str">
        <f t="shared" si="36"/>
        <v>4FLAVIANO LUCIO DOS SANTOSRCB46185,3638888889</v>
      </c>
      <c r="B1155" s="12" t="str">
        <f t="shared" ref="B1155:B1218" si="37">PROPER(TEXT($H1155,"MMMM"))</f>
        <v>Junho</v>
      </c>
      <c r="C1155" s="8" t="s">
        <v>1451</v>
      </c>
      <c r="D1155" s="8" t="s">
        <v>664</v>
      </c>
      <c r="E1155" s="8" t="s">
        <v>69</v>
      </c>
      <c r="F1155" s="23">
        <v>46185.363888888889</v>
      </c>
      <c r="G1155" s="8" t="s">
        <v>1045</v>
      </c>
      <c r="H1155" s="23">
        <v>46190</v>
      </c>
      <c r="I1155" s="23">
        <v>46185.363888888889</v>
      </c>
      <c r="J1155" s="10">
        <v>30</v>
      </c>
      <c r="K1155" s="10">
        <v>0</v>
      </c>
      <c r="L1155" s="24">
        <v>0</v>
      </c>
      <c r="M1155" s="10">
        <v>30</v>
      </c>
    </row>
    <row r="1156" spans="1:13" x14ac:dyDescent="0.25">
      <c r="A1156" s="12" t="str">
        <f t="shared" si="36"/>
        <v>4CARLOS ANTONIO PINTORCB46196,4666666667</v>
      </c>
      <c r="B1156" s="12" t="str">
        <f t="shared" si="37"/>
        <v>Junho</v>
      </c>
      <c r="C1156" s="8" t="s">
        <v>1451</v>
      </c>
      <c r="D1156" s="8" t="s">
        <v>664</v>
      </c>
      <c r="E1156" s="8" t="s">
        <v>36</v>
      </c>
      <c r="F1156" s="23">
        <v>46196.466666666667</v>
      </c>
      <c r="G1156" s="8" t="s">
        <v>1045</v>
      </c>
      <c r="H1156" s="23">
        <v>46199</v>
      </c>
      <c r="I1156" s="23">
        <v>46196.466666666667</v>
      </c>
      <c r="J1156" s="10">
        <v>470.3</v>
      </c>
      <c r="K1156" s="10">
        <v>0</v>
      </c>
      <c r="L1156" s="24">
        <v>0</v>
      </c>
      <c r="M1156" s="10">
        <v>470.3</v>
      </c>
    </row>
    <row r="1157" spans="1:13" x14ac:dyDescent="0.25">
      <c r="A1157" s="12" t="str">
        <f t="shared" si="36"/>
        <v>4MARAJO NAVEGACAO COMERCIO E TRANSPORTE DE PASSAGEIROS LTDARCB46202,4847222222</v>
      </c>
      <c r="B1157" s="12" t="str">
        <f t="shared" si="37"/>
        <v>Julho</v>
      </c>
      <c r="C1157" s="8" t="s">
        <v>1451</v>
      </c>
      <c r="D1157" s="8" t="s">
        <v>664</v>
      </c>
      <c r="E1157" s="8" t="s">
        <v>118</v>
      </c>
      <c r="F1157" s="23">
        <v>46202.484722222223</v>
      </c>
      <c r="G1157" s="8" t="s">
        <v>1045</v>
      </c>
      <c r="H1157" s="23">
        <v>46205</v>
      </c>
      <c r="I1157" s="23">
        <v>46202.484722222223</v>
      </c>
      <c r="J1157" s="10">
        <v>1560</v>
      </c>
      <c r="K1157" s="10">
        <v>0</v>
      </c>
      <c r="L1157" s="24">
        <v>0</v>
      </c>
      <c r="M1157" s="10">
        <v>1560</v>
      </c>
    </row>
    <row r="1158" spans="1:13" x14ac:dyDescent="0.25">
      <c r="A1158" s="12" t="str">
        <f t="shared" si="36"/>
        <v>4EXPRESSO TRANSPORTE LTDARCB46202,4833333333</v>
      </c>
      <c r="B1158" s="12" t="str">
        <f t="shared" si="37"/>
        <v>Julho</v>
      </c>
      <c r="C1158" s="8" t="s">
        <v>1451</v>
      </c>
      <c r="D1158" s="8" t="s">
        <v>664</v>
      </c>
      <c r="E1158" s="8" t="s">
        <v>66</v>
      </c>
      <c r="F1158" s="23">
        <v>46202.48333333333</v>
      </c>
      <c r="G1158" s="8" t="s">
        <v>1045</v>
      </c>
      <c r="H1158" s="23">
        <v>46205</v>
      </c>
      <c r="I1158" s="23">
        <v>46202.48333333333</v>
      </c>
      <c r="J1158" s="10">
        <v>3484</v>
      </c>
      <c r="K1158" s="10">
        <v>0</v>
      </c>
      <c r="L1158" s="24">
        <v>0</v>
      </c>
      <c r="M1158" s="10">
        <v>3484</v>
      </c>
    </row>
    <row r="1159" spans="1:13" x14ac:dyDescent="0.25">
      <c r="A1159" s="12" t="str">
        <f t="shared" si="36"/>
        <v>4WEDERSON LUIZ DE OLIVEIRARCB46204,4479166667</v>
      </c>
      <c r="B1159" s="12" t="str">
        <f t="shared" si="37"/>
        <v>Julho</v>
      </c>
      <c r="C1159" s="8" t="s">
        <v>1451</v>
      </c>
      <c r="D1159" s="8" t="s">
        <v>664</v>
      </c>
      <c r="E1159" s="8" t="s">
        <v>201</v>
      </c>
      <c r="F1159" s="23">
        <v>46204.447916666664</v>
      </c>
      <c r="G1159" s="8" t="s">
        <v>1045</v>
      </c>
      <c r="H1159" s="23">
        <v>46209</v>
      </c>
      <c r="I1159" s="23">
        <v>46204.447916666664</v>
      </c>
      <c r="J1159" s="10">
        <v>79.099999999999994</v>
      </c>
      <c r="K1159" s="10">
        <v>0</v>
      </c>
      <c r="L1159" s="24">
        <v>0</v>
      </c>
      <c r="M1159" s="10">
        <v>79.099999999999994</v>
      </c>
    </row>
    <row r="1160" spans="1:13" x14ac:dyDescent="0.25">
      <c r="A1160" s="12" t="str">
        <f t="shared" si="36"/>
        <v>4ENIO FERREIRA RUMASRCB46204,45</v>
      </c>
      <c r="B1160" s="12" t="str">
        <f t="shared" si="37"/>
        <v>Julho</v>
      </c>
      <c r="C1160" s="8" t="s">
        <v>1451</v>
      </c>
      <c r="D1160" s="8" t="s">
        <v>664</v>
      </c>
      <c r="E1160" s="8" t="s">
        <v>64</v>
      </c>
      <c r="F1160" s="23">
        <v>46204.45</v>
      </c>
      <c r="G1160" s="8" t="s">
        <v>1045</v>
      </c>
      <c r="H1160" s="23">
        <v>46209</v>
      </c>
      <c r="I1160" s="23">
        <v>46204.45</v>
      </c>
      <c r="J1160" s="10">
        <v>19.7</v>
      </c>
      <c r="K1160" s="10">
        <v>0</v>
      </c>
      <c r="L1160" s="24">
        <v>0</v>
      </c>
      <c r="M1160" s="10">
        <v>19.7</v>
      </c>
    </row>
    <row r="1161" spans="1:13" x14ac:dyDescent="0.25">
      <c r="A1161" s="12" t="str">
        <f t="shared" si="36"/>
        <v>4ANTONIO CARLOS DA COSTARCB46216,4611111111</v>
      </c>
      <c r="B1161" s="12" t="str">
        <f t="shared" si="37"/>
        <v>Julho</v>
      </c>
      <c r="C1161" s="8" t="s">
        <v>1451</v>
      </c>
      <c r="D1161" s="8" t="s">
        <v>664</v>
      </c>
      <c r="E1161" s="8" t="s">
        <v>19</v>
      </c>
      <c r="F1161" s="23">
        <v>46216.461111111108</v>
      </c>
      <c r="G1161" s="8" t="s">
        <v>1045</v>
      </c>
      <c r="H1161" s="23">
        <v>46219</v>
      </c>
      <c r="I1161" s="23">
        <v>46216.461111111108</v>
      </c>
      <c r="J1161" s="10">
        <v>31.87</v>
      </c>
      <c r="K1161" s="10">
        <v>0</v>
      </c>
      <c r="L1161" s="24">
        <v>0</v>
      </c>
      <c r="M1161" s="10">
        <v>31.87</v>
      </c>
    </row>
    <row r="1162" spans="1:13" x14ac:dyDescent="0.25">
      <c r="A1162" s="12" t="str">
        <f t="shared" si="36"/>
        <v>4RAISSA DE CARVALHO FIORINERCB46216,4583333333</v>
      </c>
      <c r="B1162" s="12" t="str">
        <f t="shared" si="37"/>
        <v>Julho</v>
      </c>
      <c r="C1162" s="8" t="s">
        <v>1451</v>
      </c>
      <c r="D1162" s="8" t="s">
        <v>664</v>
      </c>
      <c r="E1162" s="8" t="s">
        <v>163</v>
      </c>
      <c r="F1162" s="23">
        <v>46216.458333333336</v>
      </c>
      <c r="G1162" s="8" t="s">
        <v>1045</v>
      </c>
      <c r="H1162" s="23">
        <v>46219</v>
      </c>
      <c r="I1162" s="23">
        <v>46216.458333333336</v>
      </c>
      <c r="J1162" s="10">
        <v>31</v>
      </c>
      <c r="K1162" s="10">
        <v>0</v>
      </c>
      <c r="L1162" s="24">
        <v>0</v>
      </c>
      <c r="M1162" s="10">
        <v>31</v>
      </c>
    </row>
    <row r="1163" spans="1:13" x14ac:dyDescent="0.25">
      <c r="A1163" s="12" t="str">
        <f t="shared" si="36"/>
        <v>4JAIME GOMES PARAGUAIRCB46224,3708333333</v>
      </c>
      <c r="B1163" s="12" t="str">
        <f t="shared" si="37"/>
        <v>Julho</v>
      </c>
      <c r="C1163" s="8" t="s">
        <v>1451</v>
      </c>
      <c r="D1163" s="8" t="s">
        <v>664</v>
      </c>
      <c r="E1163" s="8" t="s">
        <v>87</v>
      </c>
      <c r="F1163" s="23">
        <v>46224.370833333334</v>
      </c>
      <c r="G1163" s="8" t="s">
        <v>1045</v>
      </c>
      <c r="H1163" s="23">
        <v>46227</v>
      </c>
      <c r="I1163" s="23">
        <v>46224.370833333334</v>
      </c>
      <c r="J1163" s="10">
        <v>56.6</v>
      </c>
      <c r="K1163" s="10">
        <v>0</v>
      </c>
      <c r="L1163" s="24">
        <v>0</v>
      </c>
      <c r="M1163" s="10">
        <v>56.6</v>
      </c>
    </row>
    <row r="1164" spans="1:13" x14ac:dyDescent="0.25">
      <c r="A1164" s="12" t="str">
        <f t="shared" si="36"/>
        <v>4LUIZ HENRIQUE CARVALHO DA SILVARCB46224,3791666667</v>
      </c>
      <c r="B1164" s="12" t="str">
        <f t="shared" si="37"/>
        <v>Julho</v>
      </c>
      <c r="C1164" s="8" t="s">
        <v>1451</v>
      </c>
      <c r="D1164" s="8" t="s">
        <v>664</v>
      </c>
      <c r="E1164" s="8" t="s">
        <v>114</v>
      </c>
      <c r="F1164" s="23">
        <v>46224.379166666666</v>
      </c>
      <c r="G1164" s="8" t="s">
        <v>1045</v>
      </c>
      <c r="H1164" s="23">
        <v>46227</v>
      </c>
      <c r="I1164" s="23">
        <v>46224.379166666666</v>
      </c>
      <c r="J1164" s="10">
        <v>10</v>
      </c>
      <c r="K1164" s="10">
        <v>0</v>
      </c>
      <c r="L1164" s="24">
        <v>0</v>
      </c>
      <c r="M1164" s="10">
        <v>10</v>
      </c>
    </row>
    <row r="1165" spans="1:13" x14ac:dyDescent="0.25">
      <c r="A1165" s="12" t="str">
        <f t="shared" si="36"/>
        <v>4HENRIQUE GALAMBA RODRIGUES DOS ANJOSRCB46231,4875</v>
      </c>
      <c r="B1165" s="12" t="str">
        <f t="shared" si="37"/>
        <v>Julho</v>
      </c>
      <c r="C1165" s="8" t="s">
        <v>1451</v>
      </c>
      <c r="D1165" s="8" t="s">
        <v>664</v>
      </c>
      <c r="E1165" s="8" t="s">
        <v>84</v>
      </c>
      <c r="F1165" s="23">
        <v>46231.487500000003</v>
      </c>
      <c r="G1165" s="8" t="s">
        <v>1045</v>
      </c>
      <c r="H1165" s="23">
        <v>46234</v>
      </c>
      <c r="I1165" s="23">
        <v>46231.487500000003</v>
      </c>
      <c r="J1165" s="10">
        <v>270</v>
      </c>
      <c r="K1165" s="10">
        <v>0</v>
      </c>
      <c r="L1165" s="24">
        <v>0</v>
      </c>
      <c r="M1165" s="10">
        <v>270</v>
      </c>
    </row>
    <row r="1166" spans="1:13" x14ac:dyDescent="0.25">
      <c r="A1166" s="12" t="str">
        <f t="shared" si="36"/>
        <v>4KATHLEEN KRISLEY AMBROSIO LARARCB46231,3840277778</v>
      </c>
      <c r="B1166" s="12" t="str">
        <f t="shared" si="37"/>
        <v>Julho</v>
      </c>
      <c r="C1166" s="8" t="s">
        <v>1451</v>
      </c>
      <c r="D1166" s="8" t="s">
        <v>664</v>
      </c>
      <c r="E1166" s="8" t="s">
        <v>104</v>
      </c>
      <c r="F1166" s="23">
        <v>46231.384027777778</v>
      </c>
      <c r="G1166" s="8" t="s">
        <v>1045</v>
      </c>
      <c r="H1166" s="23">
        <v>46234</v>
      </c>
      <c r="I1166" s="23">
        <v>46231.384027777778</v>
      </c>
      <c r="J1166" s="10">
        <v>209.43</v>
      </c>
      <c r="K1166" s="10">
        <v>0</v>
      </c>
      <c r="L1166" s="24">
        <v>0</v>
      </c>
      <c r="M1166" s="10">
        <v>209.43</v>
      </c>
    </row>
    <row r="1167" spans="1:13" x14ac:dyDescent="0.25">
      <c r="A1167" s="12" t="str">
        <f t="shared" si="36"/>
        <v>4SIMONE DIAS LEANDRORCB46237,3604166667</v>
      </c>
      <c r="B1167" s="12" t="str">
        <f t="shared" si="37"/>
        <v>Agosto</v>
      </c>
      <c r="C1167" s="8" t="s">
        <v>1451</v>
      </c>
      <c r="D1167" s="8" t="s">
        <v>664</v>
      </c>
      <c r="E1167" s="8" t="s">
        <v>181</v>
      </c>
      <c r="F1167" s="23">
        <v>46237.36041666667</v>
      </c>
      <c r="G1167" s="8" t="s">
        <v>1045</v>
      </c>
      <c r="H1167" s="23">
        <v>46240</v>
      </c>
      <c r="I1167" s="23">
        <v>46237.36041666667</v>
      </c>
      <c r="J1167" s="10">
        <v>19.2</v>
      </c>
      <c r="K1167" s="10">
        <v>0</v>
      </c>
      <c r="L1167" s="24">
        <v>0</v>
      </c>
      <c r="M1167" s="10">
        <v>19.2</v>
      </c>
    </row>
    <row r="1168" spans="1:13" x14ac:dyDescent="0.25">
      <c r="A1168" s="12" t="str">
        <f t="shared" si="36"/>
        <v>4PAULO RICARDO SILVARCB46237,3576388889</v>
      </c>
      <c r="B1168" s="12" t="str">
        <f t="shared" si="37"/>
        <v>Agosto</v>
      </c>
      <c r="C1168" s="8" t="s">
        <v>1451</v>
      </c>
      <c r="D1168" s="8" t="s">
        <v>664</v>
      </c>
      <c r="E1168" s="8" t="s">
        <v>153</v>
      </c>
      <c r="F1168" s="23">
        <v>46237.357638888891</v>
      </c>
      <c r="G1168" s="8" t="s">
        <v>1045</v>
      </c>
      <c r="H1168" s="23">
        <v>46240</v>
      </c>
      <c r="I1168" s="23">
        <v>46237.357638888891</v>
      </c>
      <c r="J1168" s="10">
        <v>11.8</v>
      </c>
      <c r="K1168" s="10">
        <v>0</v>
      </c>
      <c r="L1168" s="24">
        <v>0</v>
      </c>
      <c r="M1168" s="10">
        <v>11.8</v>
      </c>
    </row>
    <row r="1169" spans="1:13" x14ac:dyDescent="0.25">
      <c r="A1169" s="12" t="str">
        <f t="shared" si="36"/>
        <v>4ELITON ADRIANO DA SILVARCB46237,3506944444</v>
      </c>
      <c r="B1169" s="12" t="str">
        <f t="shared" si="37"/>
        <v>Agosto</v>
      </c>
      <c r="C1169" s="8" t="s">
        <v>1451</v>
      </c>
      <c r="D1169" s="8" t="s">
        <v>664</v>
      </c>
      <c r="E1169" s="8" t="s">
        <v>60</v>
      </c>
      <c r="F1169" s="23">
        <v>46237.350694444445</v>
      </c>
      <c r="G1169" s="8" t="s">
        <v>1045</v>
      </c>
      <c r="H1169" s="23">
        <v>46240</v>
      </c>
      <c r="I1169" s="23">
        <v>46237.350694444445</v>
      </c>
      <c r="J1169" s="10">
        <v>100</v>
      </c>
      <c r="K1169" s="10">
        <v>0</v>
      </c>
      <c r="L1169" s="24">
        <v>0</v>
      </c>
      <c r="M1169" s="10">
        <v>100</v>
      </c>
    </row>
    <row r="1170" spans="1:13" x14ac:dyDescent="0.25">
      <c r="A1170" s="12" t="str">
        <f t="shared" si="36"/>
        <v>4JEAN CARLOS SANTANA RIBEIRORCB46241,6638888889</v>
      </c>
      <c r="B1170" s="12" t="str">
        <f t="shared" si="37"/>
        <v>Agosto</v>
      </c>
      <c r="C1170" s="8" t="s">
        <v>1451</v>
      </c>
      <c r="D1170" s="8" t="s">
        <v>664</v>
      </c>
      <c r="E1170" s="8" t="s">
        <v>88</v>
      </c>
      <c r="F1170" s="23">
        <v>46241.663888888892</v>
      </c>
      <c r="G1170" s="8" t="s">
        <v>1045</v>
      </c>
      <c r="H1170" s="23">
        <v>46246</v>
      </c>
      <c r="I1170" s="23">
        <v>46241.663888888892</v>
      </c>
      <c r="J1170" s="10">
        <v>157</v>
      </c>
      <c r="K1170" s="10">
        <v>0</v>
      </c>
      <c r="L1170" s="24">
        <v>0</v>
      </c>
      <c r="M1170" s="10">
        <v>157</v>
      </c>
    </row>
    <row r="1171" spans="1:13" x14ac:dyDescent="0.25">
      <c r="A1171" s="12" t="str">
        <f t="shared" si="36"/>
        <v>4RODRIGO DE SOUZA MANTOVANIRCB46245,3680555556</v>
      </c>
      <c r="B1171" s="12" t="str">
        <f t="shared" si="37"/>
        <v>Agosto</v>
      </c>
      <c r="C1171" s="8" t="s">
        <v>1451</v>
      </c>
      <c r="D1171" s="8" t="s">
        <v>664</v>
      </c>
      <c r="E1171" s="8" t="s">
        <v>173</v>
      </c>
      <c r="F1171" s="23">
        <v>46245.368055555555</v>
      </c>
      <c r="G1171" s="8" t="s">
        <v>1045</v>
      </c>
      <c r="H1171" s="23">
        <v>46251</v>
      </c>
      <c r="I1171" s="23">
        <v>46245.368055555555</v>
      </c>
      <c r="J1171" s="10">
        <v>89.8</v>
      </c>
      <c r="K1171" s="10">
        <v>0</v>
      </c>
      <c r="L1171" s="24">
        <v>0</v>
      </c>
      <c r="M1171" s="10">
        <v>89.8</v>
      </c>
    </row>
    <row r="1172" spans="1:13" x14ac:dyDescent="0.25">
      <c r="A1172" s="12" t="str">
        <f t="shared" si="36"/>
        <v>4ANDERSON LUIS FROES DE JESUSRCB46251,3604166667</v>
      </c>
      <c r="B1172" s="12" t="str">
        <f t="shared" si="37"/>
        <v>Agosto</v>
      </c>
      <c r="C1172" s="8" t="s">
        <v>1451</v>
      </c>
      <c r="D1172" s="8" t="s">
        <v>664</v>
      </c>
      <c r="E1172" s="8" t="s">
        <v>13</v>
      </c>
      <c r="F1172" s="23">
        <v>46251.36041666667</v>
      </c>
      <c r="G1172" s="8" t="s">
        <v>1045</v>
      </c>
      <c r="H1172" s="23">
        <v>46254</v>
      </c>
      <c r="I1172" s="23">
        <v>46251.36041666667</v>
      </c>
      <c r="J1172" s="10">
        <v>23.2</v>
      </c>
      <c r="K1172" s="10">
        <v>0</v>
      </c>
      <c r="L1172" s="24">
        <v>0</v>
      </c>
      <c r="M1172" s="10">
        <v>23.2</v>
      </c>
    </row>
    <row r="1173" spans="1:13" x14ac:dyDescent="0.25">
      <c r="A1173" s="12" t="str">
        <f t="shared" si="36"/>
        <v>4ANGEL JOSUE FERNANDEZ RODRIGUEZRCB46281,4659722222</v>
      </c>
      <c r="B1173" s="12" t="str">
        <f t="shared" si="37"/>
        <v>Setembro</v>
      </c>
      <c r="C1173" s="8" t="s">
        <v>1451</v>
      </c>
      <c r="D1173" s="8" t="s">
        <v>664</v>
      </c>
      <c r="E1173" s="8" t="s">
        <v>17</v>
      </c>
      <c r="F1173" s="23">
        <v>46281.46597222222</v>
      </c>
      <c r="G1173" s="8" t="s">
        <v>1045</v>
      </c>
      <c r="H1173" s="23">
        <v>46286</v>
      </c>
      <c r="I1173" s="23">
        <v>46281.46597222222</v>
      </c>
      <c r="J1173" s="10">
        <v>160</v>
      </c>
      <c r="K1173" s="10">
        <v>0</v>
      </c>
      <c r="L1173" s="24">
        <v>0</v>
      </c>
      <c r="M1173" s="10">
        <v>160</v>
      </c>
    </row>
    <row r="1174" spans="1:13" x14ac:dyDescent="0.25">
      <c r="A1174" s="12" t="str">
        <f t="shared" si="36"/>
        <v>4JORDIMAR SOARES MARTINSRCB46281,4229166667</v>
      </c>
      <c r="B1174" s="12" t="str">
        <f t="shared" si="37"/>
        <v>Setembro</v>
      </c>
      <c r="C1174" s="8" t="s">
        <v>1451</v>
      </c>
      <c r="D1174" s="8" t="s">
        <v>664</v>
      </c>
      <c r="E1174" s="8" t="s">
        <v>96</v>
      </c>
      <c r="F1174" s="23">
        <v>46281.42291666667</v>
      </c>
      <c r="G1174" s="8" t="s">
        <v>1045</v>
      </c>
      <c r="H1174" s="23">
        <v>46286</v>
      </c>
      <c r="I1174" s="23">
        <v>46281.42291666667</v>
      </c>
      <c r="J1174" s="10">
        <v>29</v>
      </c>
      <c r="K1174" s="10">
        <v>0</v>
      </c>
      <c r="L1174" s="24">
        <v>0</v>
      </c>
      <c r="M1174" s="10">
        <v>29</v>
      </c>
    </row>
    <row r="1175" spans="1:13" x14ac:dyDescent="0.25">
      <c r="A1175" s="12" t="str">
        <f t="shared" si="36"/>
        <v>40ZAMBALDI AUTO CENTER LTDANSE46066</v>
      </c>
      <c r="B1175" s="12" t="str">
        <f t="shared" si="37"/>
        <v>Março</v>
      </c>
      <c r="C1175" s="8" t="s">
        <v>534</v>
      </c>
      <c r="D1175" s="8" t="s">
        <v>1354</v>
      </c>
      <c r="E1175" s="8" t="s">
        <v>204</v>
      </c>
      <c r="F1175" s="23">
        <v>46066</v>
      </c>
      <c r="G1175" s="8" t="s">
        <v>665</v>
      </c>
      <c r="H1175" s="23">
        <v>46094</v>
      </c>
      <c r="I1175" s="23">
        <v>46067</v>
      </c>
      <c r="J1175" s="10">
        <v>180</v>
      </c>
      <c r="K1175" s="10">
        <v>0</v>
      </c>
      <c r="L1175" s="24">
        <v>0</v>
      </c>
      <c r="M1175" s="10">
        <v>176.4</v>
      </c>
    </row>
    <row r="1176" spans="1:13" x14ac:dyDescent="0.25">
      <c r="A1176" s="12" t="str">
        <f t="shared" si="36"/>
        <v>40GABRIEL MOUTINHO ALBINORCB46244,4319444444</v>
      </c>
      <c r="B1176" s="12" t="str">
        <f t="shared" si="37"/>
        <v>Agosto</v>
      </c>
      <c r="C1176" s="8" t="s">
        <v>534</v>
      </c>
      <c r="D1176" s="8" t="s">
        <v>664</v>
      </c>
      <c r="E1176" s="8" t="s">
        <v>73</v>
      </c>
      <c r="F1176" s="23">
        <v>46244.431944444441</v>
      </c>
      <c r="G1176" s="8" t="s">
        <v>1045</v>
      </c>
      <c r="H1176" s="23">
        <v>46247</v>
      </c>
      <c r="I1176" s="23">
        <v>46244.431944444441</v>
      </c>
      <c r="J1176" s="10">
        <v>150</v>
      </c>
      <c r="K1176" s="10">
        <v>0</v>
      </c>
      <c r="L1176" s="24">
        <v>0</v>
      </c>
      <c r="M1176" s="10">
        <v>150</v>
      </c>
    </row>
    <row r="1177" spans="1:13" x14ac:dyDescent="0.25">
      <c r="A1177" s="12" t="str">
        <f t="shared" si="36"/>
        <v>40ANTONIO CARLOS DA COSTARCB46254,6361111111</v>
      </c>
      <c r="B1177" s="12" t="str">
        <f t="shared" si="37"/>
        <v>Agosto</v>
      </c>
      <c r="C1177" s="8" t="s">
        <v>534</v>
      </c>
      <c r="D1177" s="8" t="s">
        <v>664</v>
      </c>
      <c r="E1177" s="8" t="s">
        <v>19</v>
      </c>
      <c r="F1177" s="23">
        <v>46254.636111111111</v>
      </c>
      <c r="G1177" s="8" t="s">
        <v>1045</v>
      </c>
      <c r="H1177" s="23">
        <v>46259</v>
      </c>
      <c r="I1177" s="23">
        <v>46254.636111111111</v>
      </c>
      <c r="J1177" s="10">
        <v>35.840000000000003</v>
      </c>
      <c r="K1177" s="10">
        <v>0</v>
      </c>
      <c r="L1177" s="24">
        <v>0</v>
      </c>
      <c r="M1177" s="10">
        <v>35.840000000000003</v>
      </c>
    </row>
    <row r="1178" spans="1:13" x14ac:dyDescent="0.25">
      <c r="A1178" s="12" t="str">
        <f t="shared" si="36"/>
        <v>40111MINAS MAQUINAS SA | NOVA LIMANFE46230</v>
      </c>
      <c r="B1178" s="12" t="str">
        <f t="shared" si="37"/>
        <v>Agosto</v>
      </c>
      <c r="C1178" s="8" t="s">
        <v>535</v>
      </c>
      <c r="D1178" s="8" t="s">
        <v>1400</v>
      </c>
      <c r="E1178" s="8" t="s">
        <v>133</v>
      </c>
      <c r="F1178" s="23">
        <v>46230</v>
      </c>
      <c r="G1178" s="8" t="s">
        <v>380</v>
      </c>
      <c r="H1178" s="23">
        <v>46260</v>
      </c>
      <c r="I1178" s="23">
        <v>46231</v>
      </c>
      <c r="J1178" s="10">
        <v>801.23</v>
      </c>
      <c r="K1178" s="10">
        <v>0</v>
      </c>
      <c r="L1178" s="24">
        <v>0</v>
      </c>
      <c r="M1178" s="10">
        <v>801.23</v>
      </c>
    </row>
    <row r="1179" spans="1:13" x14ac:dyDescent="0.25">
      <c r="A1179" s="12" t="str">
        <f t="shared" si="36"/>
        <v>40111MINAS MAQUINAS SA | NOVA LIMANFE46230</v>
      </c>
      <c r="B1179" s="12" t="str">
        <f t="shared" si="37"/>
        <v>Setembro</v>
      </c>
      <c r="C1179" s="8" t="s">
        <v>535</v>
      </c>
      <c r="D1179" s="8" t="s">
        <v>1400</v>
      </c>
      <c r="E1179" s="8" t="s">
        <v>133</v>
      </c>
      <c r="F1179" s="23">
        <v>46230</v>
      </c>
      <c r="G1179" s="8" t="s">
        <v>380</v>
      </c>
      <c r="H1179" s="23">
        <v>46290</v>
      </c>
      <c r="I1179" s="23">
        <v>46231</v>
      </c>
      <c r="J1179" s="10">
        <v>801.23</v>
      </c>
      <c r="K1179" s="10">
        <v>0</v>
      </c>
      <c r="L1179" s="24">
        <v>0</v>
      </c>
      <c r="M1179" s="10">
        <v>801.23</v>
      </c>
    </row>
    <row r="1180" spans="1:13" x14ac:dyDescent="0.25">
      <c r="A1180" s="12" t="str">
        <f t="shared" si="36"/>
        <v>40113MINAS MAQUINAS SA | NOVA LIMANFE46230</v>
      </c>
      <c r="B1180" s="12" t="str">
        <f t="shared" si="37"/>
        <v>Agosto</v>
      </c>
      <c r="C1180" s="8" t="s">
        <v>536</v>
      </c>
      <c r="D1180" s="8" t="s">
        <v>1400</v>
      </c>
      <c r="E1180" s="8" t="s">
        <v>133</v>
      </c>
      <c r="F1180" s="23">
        <v>46230</v>
      </c>
      <c r="G1180" s="8" t="s">
        <v>380</v>
      </c>
      <c r="H1180" s="23">
        <v>46260</v>
      </c>
      <c r="I1180" s="23">
        <v>46231</v>
      </c>
      <c r="J1180" s="10">
        <v>279.58</v>
      </c>
      <c r="K1180" s="10">
        <v>0</v>
      </c>
      <c r="L1180" s="24">
        <v>0</v>
      </c>
      <c r="M1180" s="10">
        <v>279.58</v>
      </c>
    </row>
    <row r="1181" spans="1:13" x14ac:dyDescent="0.25">
      <c r="A1181" s="12" t="str">
        <f t="shared" si="36"/>
        <v>40161MINAS MAQUINAS SA | NOVA LIMANFE46230</v>
      </c>
      <c r="B1181" s="12" t="str">
        <f t="shared" si="37"/>
        <v>Agosto</v>
      </c>
      <c r="C1181" s="8" t="s">
        <v>537</v>
      </c>
      <c r="D1181" s="8" t="s">
        <v>1400</v>
      </c>
      <c r="E1181" s="8" t="s">
        <v>133</v>
      </c>
      <c r="F1181" s="23">
        <v>46230</v>
      </c>
      <c r="G1181" s="8" t="s">
        <v>380</v>
      </c>
      <c r="H1181" s="23">
        <v>46260</v>
      </c>
      <c r="I1181" s="23">
        <v>46232</v>
      </c>
      <c r="J1181" s="10">
        <v>1126.1600000000001</v>
      </c>
      <c r="K1181" s="10">
        <v>0</v>
      </c>
      <c r="L1181" s="24">
        <v>0</v>
      </c>
      <c r="M1181" s="10">
        <v>1126.1600000000001</v>
      </c>
    </row>
    <row r="1182" spans="1:13" x14ac:dyDescent="0.25">
      <c r="A1182" s="12" t="str">
        <f t="shared" si="36"/>
        <v>40161MINAS MAQUINAS SA | NOVA LIMANFE46230</v>
      </c>
      <c r="B1182" s="12" t="str">
        <f t="shared" si="37"/>
        <v>Setembro</v>
      </c>
      <c r="C1182" s="8" t="s">
        <v>537</v>
      </c>
      <c r="D1182" s="8" t="s">
        <v>1400</v>
      </c>
      <c r="E1182" s="8" t="s">
        <v>133</v>
      </c>
      <c r="F1182" s="23">
        <v>46230</v>
      </c>
      <c r="G1182" s="8" t="s">
        <v>380</v>
      </c>
      <c r="H1182" s="23">
        <v>46290</v>
      </c>
      <c r="I1182" s="23">
        <v>46232</v>
      </c>
      <c r="J1182" s="10">
        <v>1126.1500000000001</v>
      </c>
      <c r="K1182" s="10">
        <v>0</v>
      </c>
      <c r="L1182" s="24">
        <v>0</v>
      </c>
      <c r="M1182" s="10">
        <v>1126.1500000000001</v>
      </c>
    </row>
    <row r="1183" spans="1:13" x14ac:dyDescent="0.25">
      <c r="A1183" s="12" t="str">
        <f t="shared" si="36"/>
        <v>40162MINAS MAQUINAS SA | NOVA LIMANFE46230</v>
      </c>
      <c r="B1183" s="12" t="str">
        <f t="shared" si="37"/>
        <v>Agosto</v>
      </c>
      <c r="C1183" s="8" t="s">
        <v>538</v>
      </c>
      <c r="D1183" s="8" t="s">
        <v>1400</v>
      </c>
      <c r="E1183" s="8" t="s">
        <v>133</v>
      </c>
      <c r="F1183" s="23">
        <v>46230</v>
      </c>
      <c r="G1183" s="8" t="s">
        <v>380</v>
      </c>
      <c r="H1183" s="23">
        <v>46260</v>
      </c>
      <c r="I1183" s="23">
        <v>46232</v>
      </c>
      <c r="J1183" s="10">
        <v>2330.71</v>
      </c>
      <c r="K1183" s="10">
        <v>0</v>
      </c>
      <c r="L1183" s="24">
        <v>0</v>
      </c>
      <c r="M1183" s="10">
        <v>2330.71</v>
      </c>
    </row>
    <row r="1184" spans="1:13" x14ac:dyDescent="0.25">
      <c r="A1184" s="12" t="str">
        <f t="shared" si="36"/>
        <v>40162MINAS MAQUINAS SA | NOVA LIMANFE46230</v>
      </c>
      <c r="B1184" s="12" t="str">
        <f t="shared" si="37"/>
        <v>Setembro</v>
      </c>
      <c r="C1184" s="8" t="s">
        <v>538</v>
      </c>
      <c r="D1184" s="8" t="s">
        <v>1400</v>
      </c>
      <c r="E1184" s="8" t="s">
        <v>133</v>
      </c>
      <c r="F1184" s="23">
        <v>46230</v>
      </c>
      <c r="G1184" s="8" t="s">
        <v>380</v>
      </c>
      <c r="H1184" s="23">
        <v>46290</v>
      </c>
      <c r="I1184" s="23">
        <v>46232</v>
      </c>
      <c r="J1184" s="10">
        <v>2330.71</v>
      </c>
      <c r="K1184" s="10">
        <v>0</v>
      </c>
      <c r="L1184" s="24">
        <v>0</v>
      </c>
      <c r="M1184" s="10">
        <v>2330.71</v>
      </c>
    </row>
    <row r="1185" spans="1:13" x14ac:dyDescent="0.25">
      <c r="A1185" s="12" t="str">
        <f t="shared" si="36"/>
        <v>40163MINAS MAQUINAS SA | NOVA LIMANFE46230</v>
      </c>
      <c r="B1185" s="12" t="str">
        <f t="shared" si="37"/>
        <v>Agosto</v>
      </c>
      <c r="C1185" s="8" t="s">
        <v>539</v>
      </c>
      <c r="D1185" s="8" t="s">
        <v>1400</v>
      </c>
      <c r="E1185" s="8" t="s">
        <v>133</v>
      </c>
      <c r="F1185" s="23">
        <v>46230</v>
      </c>
      <c r="G1185" s="8" t="s">
        <v>380</v>
      </c>
      <c r="H1185" s="23">
        <v>46260</v>
      </c>
      <c r="I1185" s="23">
        <v>46232</v>
      </c>
      <c r="J1185" s="10">
        <v>2506.79</v>
      </c>
      <c r="K1185" s="10">
        <v>0</v>
      </c>
      <c r="L1185" s="24">
        <v>0</v>
      </c>
      <c r="M1185" s="10">
        <v>2506.79</v>
      </c>
    </row>
    <row r="1186" spans="1:13" x14ac:dyDescent="0.25">
      <c r="A1186" s="12" t="str">
        <f t="shared" si="36"/>
        <v>40163MINAS MAQUINAS SA | NOVA LIMANFE46230</v>
      </c>
      <c r="B1186" s="12" t="str">
        <f t="shared" si="37"/>
        <v>Setembro</v>
      </c>
      <c r="C1186" s="8" t="s">
        <v>539</v>
      </c>
      <c r="D1186" s="8" t="s">
        <v>1400</v>
      </c>
      <c r="E1186" s="8" t="s">
        <v>133</v>
      </c>
      <c r="F1186" s="23">
        <v>46230</v>
      </c>
      <c r="G1186" s="8" t="s">
        <v>380</v>
      </c>
      <c r="H1186" s="23">
        <v>46290</v>
      </c>
      <c r="I1186" s="23">
        <v>46232</v>
      </c>
      <c r="J1186" s="10">
        <v>2506.7800000000002</v>
      </c>
      <c r="K1186" s="10">
        <v>0</v>
      </c>
      <c r="L1186" s="24">
        <v>0</v>
      </c>
      <c r="M1186" s="10">
        <v>2506.7800000000002</v>
      </c>
    </row>
    <row r="1187" spans="1:13" x14ac:dyDescent="0.25">
      <c r="A1187" s="12" t="str">
        <f t="shared" si="36"/>
        <v>4019583825569PREFEITURA MUNICIPAL DE CONTAGEMIM46027,3847222222</v>
      </c>
      <c r="B1187" s="12" t="str">
        <f t="shared" si="37"/>
        <v>Janeiro</v>
      </c>
      <c r="C1187" s="8" t="s">
        <v>1469</v>
      </c>
      <c r="D1187" s="8" t="s">
        <v>1354</v>
      </c>
      <c r="E1187" s="8" t="s">
        <v>1470</v>
      </c>
      <c r="F1187" s="23">
        <v>46027.384722222225</v>
      </c>
      <c r="G1187" s="8" t="s">
        <v>1142</v>
      </c>
      <c r="H1187" s="23">
        <v>46034</v>
      </c>
      <c r="I1187" s="23">
        <v>46028.384722222225</v>
      </c>
      <c r="J1187" s="10">
        <v>213.13</v>
      </c>
      <c r="K1187" s="10">
        <v>0</v>
      </c>
      <c r="L1187" s="24">
        <v>0</v>
      </c>
      <c r="M1187" s="10">
        <v>213.13</v>
      </c>
    </row>
    <row r="1188" spans="1:13" x14ac:dyDescent="0.25">
      <c r="A1188" s="12" t="str">
        <f t="shared" si="36"/>
        <v>40260MINAS MAQUINAS SA | NOVA LIMANFE46232</v>
      </c>
      <c r="B1188" s="12" t="str">
        <f t="shared" si="37"/>
        <v>Agosto</v>
      </c>
      <c r="C1188" s="8" t="s">
        <v>540</v>
      </c>
      <c r="D1188" s="8" t="s">
        <v>1400</v>
      </c>
      <c r="E1188" s="8" t="s">
        <v>133</v>
      </c>
      <c r="F1188" s="23">
        <v>46232</v>
      </c>
      <c r="G1188" s="8" t="s">
        <v>380</v>
      </c>
      <c r="H1188" s="23">
        <v>46262</v>
      </c>
      <c r="I1188" s="23">
        <v>46234</v>
      </c>
      <c r="J1188" s="10">
        <v>801.23</v>
      </c>
      <c r="K1188" s="10">
        <v>0</v>
      </c>
      <c r="L1188" s="24">
        <v>0</v>
      </c>
      <c r="M1188" s="10">
        <v>801.23</v>
      </c>
    </row>
    <row r="1189" spans="1:13" x14ac:dyDescent="0.25">
      <c r="A1189" s="12" t="str">
        <f t="shared" si="36"/>
        <v>40260MINAS MAQUINAS SA | NOVA LIMANFE46232</v>
      </c>
      <c r="B1189" s="12" t="str">
        <f t="shared" si="37"/>
        <v>Setembro</v>
      </c>
      <c r="C1189" s="8" t="s">
        <v>540</v>
      </c>
      <c r="D1189" s="8" t="s">
        <v>1400</v>
      </c>
      <c r="E1189" s="8" t="s">
        <v>133</v>
      </c>
      <c r="F1189" s="23">
        <v>46232</v>
      </c>
      <c r="G1189" s="8" t="s">
        <v>380</v>
      </c>
      <c r="H1189" s="23">
        <v>46292</v>
      </c>
      <c r="I1189" s="23">
        <v>46234</v>
      </c>
      <c r="J1189" s="10">
        <v>801.23</v>
      </c>
      <c r="K1189" s="10">
        <v>0</v>
      </c>
      <c r="L1189" s="24">
        <v>0</v>
      </c>
      <c r="M1189" s="10">
        <v>801.23</v>
      </c>
    </row>
    <row r="1190" spans="1:13" x14ac:dyDescent="0.25">
      <c r="A1190" s="12" t="str">
        <f t="shared" si="36"/>
        <v>40262MINAS MAQUINAS SA | NOVA LIMANFE46232</v>
      </c>
      <c r="B1190" s="12" t="str">
        <f t="shared" si="37"/>
        <v>Agosto</v>
      </c>
      <c r="C1190" s="8" t="s">
        <v>541</v>
      </c>
      <c r="D1190" s="8" t="s">
        <v>1400</v>
      </c>
      <c r="E1190" s="8" t="s">
        <v>133</v>
      </c>
      <c r="F1190" s="23">
        <v>46232</v>
      </c>
      <c r="G1190" s="8" t="s">
        <v>380</v>
      </c>
      <c r="H1190" s="23">
        <v>46262</v>
      </c>
      <c r="I1190" s="23">
        <v>46234</v>
      </c>
      <c r="J1190" s="10">
        <v>2270.4</v>
      </c>
      <c r="K1190" s="10">
        <v>0</v>
      </c>
      <c r="L1190" s="24">
        <v>0</v>
      </c>
      <c r="M1190" s="10">
        <v>2270.4</v>
      </c>
    </row>
    <row r="1191" spans="1:13" x14ac:dyDescent="0.25">
      <c r="A1191" s="12" t="str">
        <f t="shared" si="36"/>
        <v>40262MINAS MAQUINAS SA | NOVA LIMANFE46232</v>
      </c>
      <c r="B1191" s="12" t="str">
        <f t="shared" si="37"/>
        <v>Setembro</v>
      </c>
      <c r="C1191" s="8" t="s">
        <v>541</v>
      </c>
      <c r="D1191" s="8" t="s">
        <v>1400</v>
      </c>
      <c r="E1191" s="8" t="s">
        <v>133</v>
      </c>
      <c r="F1191" s="23">
        <v>46232</v>
      </c>
      <c r="G1191" s="8" t="s">
        <v>380</v>
      </c>
      <c r="H1191" s="23">
        <v>46292</v>
      </c>
      <c r="I1191" s="23">
        <v>46234</v>
      </c>
      <c r="J1191" s="10">
        <v>2270.4</v>
      </c>
      <c r="K1191" s="10">
        <v>0</v>
      </c>
      <c r="L1191" s="24">
        <v>0</v>
      </c>
      <c r="M1191" s="10">
        <v>2270.4</v>
      </c>
    </row>
    <row r="1192" spans="1:13" x14ac:dyDescent="0.25">
      <c r="A1192" s="12" t="str">
        <f t="shared" si="36"/>
        <v>403INGA VEICULOS LTDA - UBERLANDIANSE46076</v>
      </c>
      <c r="B1192" s="12" t="str">
        <f t="shared" si="37"/>
        <v>Fevereiro</v>
      </c>
      <c r="C1192" s="8" t="s">
        <v>875</v>
      </c>
      <c r="D1192" s="8" t="s">
        <v>1354</v>
      </c>
      <c r="E1192" s="8" t="s">
        <v>876</v>
      </c>
      <c r="F1192" s="23">
        <v>46076</v>
      </c>
      <c r="G1192" s="8" t="s">
        <v>665</v>
      </c>
      <c r="H1192" s="23">
        <v>46076</v>
      </c>
      <c r="I1192" s="23">
        <v>46076</v>
      </c>
      <c r="J1192" s="10">
        <v>924</v>
      </c>
      <c r="K1192" s="10">
        <v>0</v>
      </c>
      <c r="L1192" s="24">
        <v>0</v>
      </c>
      <c r="M1192" s="10">
        <v>924</v>
      </c>
    </row>
    <row r="1193" spans="1:13" x14ac:dyDescent="0.25">
      <c r="A1193" s="12" t="str">
        <f t="shared" si="36"/>
        <v>40352MINAS MAQUINAS SA | NOVA LIMANFE46233</v>
      </c>
      <c r="B1193" s="12" t="str">
        <f t="shared" si="37"/>
        <v>Agosto</v>
      </c>
      <c r="C1193" s="8" t="s">
        <v>542</v>
      </c>
      <c r="D1193" s="8" t="s">
        <v>1400</v>
      </c>
      <c r="E1193" s="8" t="s">
        <v>133</v>
      </c>
      <c r="F1193" s="23">
        <v>46233</v>
      </c>
      <c r="G1193" s="8" t="s">
        <v>380</v>
      </c>
      <c r="H1193" s="23">
        <v>46263</v>
      </c>
      <c r="I1193" s="23">
        <v>46234</v>
      </c>
      <c r="J1193" s="10">
        <v>2035.65</v>
      </c>
      <c r="K1193" s="10">
        <v>0</v>
      </c>
      <c r="L1193" s="24">
        <v>0</v>
      </c>
      <c r="M1193" s="10">
        <v>2035.65</v>
      </c>
    </row>
    <row r="1194" spans="1:13" x14ac:dyDescent="0.25">
      <c r="A1194" s="12" t="str">
        <f t="shared" si="36"/>
        <v>40352MINAS MAQUINAS SA | NOVA LIMANFE46233</v>
      </c>
      <c r="B1194" s="12" t="str">
        <f t="shared" si="37"/>
        <v>Setembro</v>
      </c>
      <c r="C1194" s="8" t="s">
        <v>542</v>
      </c>
      <c r="D1194" s="8" t="s">
        <v>1400</v>
      </c>
      <c r="E1194" s="8" t="s">
        <v>133</v>
      </c>
      <c r="F1194" s="23">
        <v>46233</v>
      </c>
      <c r="G1194" s="8" t="s">
        <v>380</v>
      </c>
      <c r="H1194" s="23">
        <v>46293</v>
      </c>
      <c r="I1194" s="23">
        <v>46234</v>
      </c>
      <c r="J1194" s="10">
        <v>2035.65</v>
      </c>
      <c r="K1194" s="10">
        <v>0</v>
      </c>
      <c r="L1194" s="24">
        <v>0</v>
      </c>
      <c r="M1194" s="10">
        <v>2035.65</v>
      </c>
    </row>
    <row r="1195" spans="1:13" x14ac:dyDescent="0.25">
      <c r="A1195" s="12" t="str">
        <f t="shared" si="36"/>
        <v>4038MANFERRARI SERVICE LTDANSE46224</v>
      </c>
      <c r="B1195" s="12" t="str">
        <f t="shared" si="37"/>
        <v>Setembro</v>
      </c>
      <c r="C1195" s="8" t="s">
        <v>878</v>
      </c>
      <c r="D1195" s="8" t="s">
        <v>1354</v>
      </c>
      <c r="E1195" s="8" t="s">
        <v>117</v>
      </c>
      <c r="F1195" s="23">
        <v>46224</v>
      </c>
      <c r="G1195" s="8" t="s">
        <v>665</v>
      </c>
      <c r="H1195" s="23">
        <v>46271</v>
      </c>
      <c r="I1195" s="23">
        <v>46225</v>
      </c>
      <c r="J1195" s="10">
        <v>200</v>
      </c>
      <c r="K1195" s="10">
        <v>0</v>
      </c>
      <c r="L1195" s="24">
        <v>0</v>
      </c>
      <c r="M1195" s="10">
        <v>196</v>
      </c>
    </row>
    <row r="1196" spans="1:13" x14ac:dyDescent="0.25">
      <c r="A1196" s="12" t="str">
        <f t="shared" si="36"/>
        <v>40425MINAS MAQUINAS SA | NOVA LIMANFE46234</v>
      </c>
      <c r="B1196" s="12" t="str">
        <f t="shared" si="37"/>
        <v>Agosto</v>
      </c>
      <c r="C1196" s="8" t="s">
        <v>543</v>
      </c>
      <c r="D1196" s="8" t="s">
        <v>1400</v>
      </c>
      <c r="E1196" s="8" t="s">
        <v>133</v>
      </c>
      <c r="F1196" s="23">
        <v>46234</v>
      </c>
      <c r="G1196" s="8" t="s">
        <v>380</v>
      </c>
      <c r="H1196" s="23">
        <v>46264</v>
      </c>
      <c r="I1196" s="23">
        <v>46238</v>
      </c>
      <c r="J1196" s="10">
        <v>2063.6999999999998</v>
      </c>
      <c r="K1196" s="10">
        <v>0</v>
      </c>
      <c r="L1196" s="24">
        <v>0</v>
      </c>
      <c r="M1196" s="10">
        <v>2063.6999999999998</v>
      </c>
    </row>
    <row r="1197" spans="1:13" x14ac:dyDescent="0.25">
      <c r="A1197" s="12" t="str">
        <f t="shared" si="36"/>
        <v>40425MINAS MAQUINAS SA | NOVA LIMANFE46234</v>
      </c>
      <c r="B1197" s="12" t="str">
        <f t="shared" si="37"/>
        <v>Setembro</v>
      </c>
      <c r="C1197" s="8" t="s">
        <v>543</v>
      </c>
      <c r="D1197" s="8" t="s">
        <v>1400</v>
      </c>
      <c r="E1197" s="8" t="s">
        <v>133</v>
      </c>
      <c r="F1197" s="23">
        <v>46234</v>
      </c>
      <c r="G1197" s="8" t="s">
        <v>380</v>
      </c>
      <c r="H1197" s="23">
        <v>46294</v>
      </c>
      <c r="I1197" s="23">
        <v>46238</v>
      </c>
      <c r="J1197" s="10">
        <v>2063.6999999999998</v>
      </c>
      <c r="K1197" s="10">
        <v>0</v>
      </c>
      <c r="L1197" s="24">
        <v>0</v>
      </c>
      <c r="M1197" s="10">
        <v>2063.6999999999998</v>
      </c>
    </row>
    <row r="1198" spans="1:13" x14ac:dyDescent="0.25">
      <c r="A1198" s="12" t="str">
        <f t="shared" si="36"/>
        <v>41GABRIEL MOUTINHO ALBINORCB46245,4625</v>
      </c>
      <c r="B1198" s="12" t="str">
        <f t="shared" si="37"/>
        <v>Agosto</v>
      </c>
      <c r="C1198" s="8" t="s">
        <v>2937</v>
      </c>
      <c r="D1198" s="8" t="s">
        <v>664</v>
      </c>
      <c r="E1198" s="8" t="s">
        <v>73</v>
      </c>
      <c r="F1198" s="23">
        <v>46245.462500000001</v>
      </c>
      <c r="G1198" s="8" t="s">
        <v>1045</v>
      </c>
      <c r="H1198" s="23">
        <v>46248</v>
      </c>
      <c r="I1198" s="23">
        <v>46245.462500000001</v>
      </c>
      <c r="J1198" s="10">
        <v>250</v>
      </c>
      <c r="K1198" s="10">
        <v>0</v>
      </c>
      <c r="L1198" s="24">
        <v>0</v>
      </c>
      <c r="M1198" s="10">
        <v>250</v>
      </c>
    </row>
    <row r="1199" spans="1:13" x14ac:dyDescent="0.25">
      <c r="A1199" s="12" t="str">
        <f t="shared" si="36"/>
        <v>412LEOCAR SERVICOS AUTOMOTIVOS LTDANSE46223</v>
      </c>
      <c r="B1199" s="12" t="str">
        <f t="shared" si="37"/>
        <v>Agosto</v>
      </c>
      <c r="C1199" s="8" t="s">
        <v>879</v>
      </c>
      <c r="D1199" s="8" t="s">
        <v>1354</v>
      </c>
      <c r="E1199" s="8" t="s">
        <v>109</v>
      </c>
      <c r="F1199" s="23">
        <v>46223</v>
      </c>
      <c r="G1199" s="8" t="s">
        <v>665</v>
      </c>
      <c r="H1199" s="23">
        <v>46253</v>
      </c>
      <c r="I1199" s="23">
        <v>46224</v>
      </c>
      <c r="J1199" s="10">
        <v>2567.19</v>
      </c>
      <c r="K1199" s="10">
        <v>0</v>
      </c>
      <c r="L1199" s="24">
        <v>0</v>
      </c>
      <c r="M1199" s="10">
        <v>2567.19</v>
      </c>
    </row>
    <row r="1200" spans="1:13" x14ac:dyDescent="0.25">
      <c r="A1200" s="12" t="str">
        <f t="shared" si="36"/>
        <v>413LEOCAR SERVICOS AUTOMOTIVOS LTDANSE46223</v>
      </c>
      <c r="B1200" s="12" t="str">
        <f t="shared" si="37"/>
        <v>Agosto</v>
      </c>
      <c r="C1200" s="8" t="s">
        <v>881</v>
      </c>
      <c r="D1200" s="8" t="s">
        <v>1354</v>
      </c>
      <c r="E1200" s="8" t="s">
        <v>109</v>
      </c>
      <c r="F1200" s="23">
        <v>46223</v>
      </c>
      <c r="G1200" s="8" t="s">
        <v>665</v>
      </c>
      <c r="H1200" s="23">
        <v>46253</v>
      </c>
      <c r="I1200" s="23">
        <v>46224</v>
      </c>
      <c r="J1200" s="10">
        <v>2562.56</v>
      </c>
      <c r="K1200" s="10">
        <v>0</v>
      </c>
      <c r="L1200" s="24">
        <v>0</v>
      </c>
      <c r="M1200" s="10">
        <v>2562.56</v>
      </c>
    </row>
    <row r="1201" spans="1:13" x14ac:dyDescent="0.25">
      <c r="A1201" s="12" t="str">
        <f t="shared" si="36"/>
        <v>414LEOCAR SERVICOS AUTOMOTIVOS LTDANSE46224</v>
      </c>
      <c r="B1201" s="12" t="str">
        <f t="shared" si="37"/>
        <v>Agosto</v>
      </c>
      <c r="C1201" s="8" t="s">
        <v>882</v>
      </c>
      <c r="D1201" s="8" t="s">
        <v>1354</v>
      </c>
      <c r="E1201" s="8" t="s">
        <v>109</v>
      </c>
      <c r="F1201" s="23">
        <v>46224</v>
      </c>
      <c r="G1201" s="8" t="s">
        <v>665</v>
      </c>
      <c r="H1201" s="23">
        <v>46255</v>
      </c>
      <c r="I1201" s="23">
        <v>46224</v>
      </c>
      <c r="J1201" s="10">
        <v>2419.65</v>
      </c>
      <c r="K1201" s="10">
        <v>0</v>
      </c>
      <c r="L1201" s="24">
        <v>0</v>
      </c>
      <c r="M1201" s="10">
        <v>2419.65</v>
      </c>
    </row>
    <row r="1202" spans="1:13" x14ac:dyDescent="0.25">
      <c r="A1202" s="12" t="str">
        <f t="shared" si="36"/>
        <v>41486MINAS MAQUINAS SA | NOVA LIMANFE46262</v>
      </c>
      <c r="B1202" s="12" t="str">
        <f t="shared" si="37"/>
        <v>Setembro</v>
      </c>
      <c r="C1202" s="8" t="s">
        <v>544</v>
      </c>
      <c r="D1202" s="8" t="s">
        <v>1400</v>
      </c>
      <c r="E1202" s="8" t="s">
        <v>133</v>
      </c>
      <c r="F1202" s="23">
        <v>46262</v>
      </c>
      <c r="G1202" s="8" t="s">
        <v>380</v>
      </c>
      <c r="H1202" s="23">
        <v>46292</v>
      </c>
      <c r="I1202" s="23">
        <v>46263</v>
      </c>
      <c r="J1202" s="10">
        <v>1947.73</v>
      </c>
      <c r="K1202" s="10">
        <v>0</v>
      </c>
      <c r="L1202" s="24">
        <v>0</v>
      </c>
      <c r="M1202" s="10">
        <v>1947.73</v>
      </c>
    </row>
    <row r="1203" spans="1:13" x14ac:dyDescent="0.25">
      <c r="A1203" s="12" t="str">
        <f t="shared" si="36"/>
        <v>41488MINAS MAQUINAS SA | NOVA LIMANFE46262</v>
      </c>
      <c r="B1203" s="12" t="str">
        <f t="shared" si="37"/>
        <v>Setembro</v>
      </c>
      <c r="C1203" s="8" t="s">
        <v>545</v>
      </c>
      <c r="D1203" s="8" t="s">
        <v>1400</v>
      </c>
      <c r="E1203" s="8" t="s">
        <v>133</v>
      </c>
      <c r="F1203" s="23">
        <v>46262</v>
      </c>
      <c r="G1203" s="8" t="s">
        <v>380</v>
      </c>
      <c r="H1203" s="23">
        <v>46292</v>
      </c>
      <c r="I1203" s="23">
        <v>46263</v>
      </c>
      <c r="J1203" s="10">
        <v>1988.33</v>
      </c>
      <c r="K1203" s="10">
        <v>0</v>
      </c>
      <c r="L1203" s="24">
        <v>0</v>
      </c>
      <c r="M1203" s="10">
        <v>1988.33</v>
      </c>
    </row>
    <row r="1204" spans="1:13" x14ac:dyDescent="0.25">
      <c r="A1204" s="12" t="str">
        <f t="shared" si="36"/>
        <v>41499MINAS MAQUINAS SA | NOVA LIMANFE46262</v>
      </c>
      <c r="B1204" s="12" t="str">
        <f t="shared" si="37"/>
        <v>Setembro</v>
      </c>
      <c r="C1204" s="8" t="s">
        <v>546</v>
      </c>
      <c r="D1204" s="8" t="s">
        <v>1400</v>
      </c>
      <c r="E1204" s="8" t="s">
        <v>133</v>
      </c>
      <c r="F1204" s="23">
        <v>46262</v>
      </c>
      <c r="G1204" s="8" t="s">
        <v>380</v>
      </c>
      <c r="H1204" s="23">
        <v>46292</v>
      </c>
      <c r="I1204" s="23">
        <v>46263</v>
      </c>
      <c r="J1204" s="10">
        <v>670.33</v>
      </c>
      <c r="K1204" s="10">
        <v>0</v>
      </c>
      <c r="L1204" s="24">
        <v>0</v>
      </c>
      <c r="M1204" s="10">
        <v>670.33</v>
      </c>
    </row>
    <row r="1205" spans="1:13" x14ac:dyDescent="0.25">
      <c r="A1205" s="12" t="str">
        <f t="shared" si="36"/>
        <v>41500MINAS MAQUINAS SA | NOVA LIMANFE46262</v>
      </c>
      <c r="B1205" s="12" t="str">
        <f t="shared" si="37"/>
        <v>Setembro</v>
      </c>
      <c r="C1205" s="8" t="s">
        <v>547</v>
      </c>
      <c r="D1205" s="8" t="s">
        <v>1400</v>
      </c>
      <c r="E1205" s="8" t="s">
        <v>133</v>
      </c>
      <c r="F1205" s="23">
        <v>46262</v>
      </c>
      <c r="G1205" s="8" t="s">
        <v>380</v>
      </c>
      <c r="H1205" s="23">
        <v>46292</v>
      </c>
      <c r="I1205" s="23">
        <v>46263</v>
      </c>
      <c r="J1205" s="10">
        <v>1197.05</v>
      </c>
      <c r="K1205" s="10">
        <v>0</v>
      </c>
      <c r="L1205" s="24">
        <v>0</v>
      </c>
      <c r="M1205" s="10">
        <v>1197.05</v>
      </c>
    </row>
    <row r="1206" spans="1:13" x14ac:dyDescent="0.25">
      <c r="A1206" s="12" t="str">
        <f t="shared" si="36"/>
        <v>41502MINAS MAQUINAS SA | NOVA LIMANFE46262</v>
      </c>
      <c r="B1206" s="12" t="str">
        <f t="shared" si="37"/>
        <v>Setembro</v>
      </c>
      <c r="C1206" s="8" t="s">
        <v>548</v>
      </c>
      <c r="D1206" s="8" t="s">
        <v>1400</v>
      </c>
      <c r="E1206" s="8" t="s">
        <v>133</v>
      </c>
      <c r="F1206" s="23">
        <v>46262</v>
      </c>
      <c r="G1206" s="8" t="s">
        <v>380</v>
      </c>
      <c r="H1206" s="23">
        <v>46292</v>
      </c>
      <c r="I1206" s="23">
        <v>46263</v>
      </c>
      <c r="J1206" s="10">
        <v>305.06</v>
      </c>
      <c r="K1206" s="10">
        <v>0</v>
      </c>
      <c r="L1206" s="24">
        <v>0</v>
      </c>
      <c r="M1206" s="10">
        <v>305.06</v>
      </c>
    </row>
    <row r="1207" spans="1:13" x14ac:dyDescent="0.25">
      <c r="A1207" s="12" t="str">
        <f t="shared" si="36"/>
        <v>42CLAUDINEY ALMEIDA DE SOUZANSE45999</v>
      </c>
      <c r="B1207" s="12" t="str">
        <f t="shared" si="37"/>
        <v>Janeiro</v>
      </c>
      <c r="C1207" s="8" t="s">
        <v>883</v>
      </c>
      <c r="D1207" s="8" t="s">
        <v>1354</v>
      </c>
      <c r="E1207" s="8" t="s">
        <v>44</v>
      </c>
      <c r="F1207" s="23">
        <v>45999</v>
      </c>
      <c r="G1207" s="8" t="s">
        <v>665</v>
      </c>
      <c r="H1207" s="23">
        <v>46028</v>
      </c>
      <c r="I1207" s="23">
        <v>45999</v>
      </c>
      <c r="J1207" s="10">
        <v>600</v>
      </c>
      <c r="K1207" s="10">
        <v>0</v>
      </c>
      <c r="L1207" s="24">
        <v>0</v>
      </c>
      <c r="M1207" s="10">
        <v>600</v>
      </c>
    </row>
    <row r="1208" spans="1:13" x14ac:dyDescent="0.25">
      <c r="A1208" s="12" t="str">
        <f t="shared" si="36"/>
        <v>42MECANICA CRISTO REI LTDANSE46134</v>
      </c>
      <c r="B1208" s="12" t="str">
        <f t="shared" si="37"/>
        <v>Maio</v>
      </c>
      <c r="C1208" s="8" t="s">
        <v>883</v>
      </c>
      <c r="D1208" s="8" t="s">
        <v>1354</v>
      </c>
      <c r="E1208" s="8" t="s">
        <v>125</v>
      </c>
      <c r="F1208" s="23">
        <v>46134</v>
      </c>
      <c r="G1208" s="8" t="s">
        <v>665</v>
      </c>
      <c r="H1208" s="23">
        <v>46164</v>
      </c>
      <c r="I1208" s="23">
        <v>46139</v>
      </c>
      <c r="J1208" s="10">
        <v>435</v>
      </c>
      <c r="K1208" s="10">
        <v>0</v>
      </c>
      <c r="L1208" s="24">
        <v>0</v>
      </c>
      <c r="M1208" s="10">
        <v>420.21</v>
      </c>
    </row>
    <row r="1209" spans="1:13" x14ac:dyDescent="0.25">
      <c r="A1209" s="12" t="str">
        <f t="shared" si="36"/>
        <v>42GABRIEL MOUTINHO ALBINORCB46245,4763888889</v>
      </c>
      <c r="B1209" s="12" t="str">
        <f t="shared" si="37"/>
        <v>Agosto</v>
      </c>
      <c r="C1209" s="8" t="s">
        <v>883</v>
      </c>
      <c r="D1209" s="8" t="s">
        <v>664</v>
      </c>
      <c r="E1209" s="8" t="s">
        <v>73</v>
      </c>
      <c r="F1209" s="23">
        <v>46245.476388888892</v>
      </c>
      <c r="G1209" s="8" t="s">
        <v>1045</v>
      </c>
      <c r="H1209" s="23">
        <v>46248</v>
      </c>
      <c r="I1209" s="23">
        <v>46245.476388888892</v>
      </c>
      <c r="J1209" s="10">
        <v>300</v>
      </c>
      <c r="K1209" s="10">
        <v>0</v>
      </c>
      <c r="L1209" s="24">
        <v>0</v>
      </c>
      <c r="M1209" s="10">
        <v>300</v>
      </c>
    </row>
    <row r="1210" spans="1:13" x14ac:dyDescent="0.25">
      <c r="A1210" s="12" t="str">
        <f t="shared" si="36"/>
        <v>42026-87HENRIQUE GALAMBA RODRIGUES DOS ANJOSDEP46094,6409722222</v>
      </c>
      <c r="B1210" s="12" t="str">
        <f t="shared" si="37"/>
        <v>Abril</v>
      </c>
      <c r="C1210" s="8" t="s">
        <v>2152</v>
      </c>
      <c r="D1210" s="8" t="s">
        <v>664</v>
      </c>
      <c r="E1210" s="8" t="s">
        <v>84</v>
      </c>
      <c r="F1210" s="23">
        <v>46094.640972222223</v>
      </c>
      <c r="G1210" s="8" t="s">
        <v>1043</v>
      </c>
      <c r="H1210" s="23">
        <v>46118</v>
      </c>
      <c r="I1210" s="23">
        <v>46094.640972222223</v>
      </c>
      <c r="J1210" s="10">
        <v>3000</v>
      </c>
      <c r="K1210" s="10">
        <v>0</v>
      </c>
      <c r="L1210" s="24">
        <v>0</v>
      </c>
      <c r="M1210" s="10">
        <v>3000</v>
      </c>
    </row>
    <row r="1211" spans="1:13" x14ac:dyDescent="0.25">
      <c r="A1211" s="12" t="str">
        <f t="shared" si="36"/>
        <v>421AVANSAT TECNOLOGIAS E SERVS EM SEGURANCA LTDANSE46029</v>
      </c>
      <c r="B1211" s="12" t="str">
        <f t="shared" si="37"/>
        <v>Fevereiro</v>
      </c>
      <c r="C1211" s="8" t="s">
        <v>884</v>
      </c>
      <c r="D1211" s="8" t="s">
        <v>1354</v>
      </c>
      <c r="E1211" s="8" t="s">
        <v>24</v>
      </c>
      <c r="F1211" s="23">
        <v>46029</v>
      </c>
      <c r="G1211" s="8" t="s">
        <v>665</v>
      </c>
      <c r="H1211" s="23">
        <v>46059</v>
      </c>
      <c r="I1211" s="23">
        <v>46030</v>
      </c>
      <c r="J1211" s="10">
        <v>11929.32</v>
      </c>
      <c r="K1211" s="10">
        <v>0</v>
      </c>
      <c r="L1211" s="24">
        <v>0</v>
      </c>
      <c r="M1211" s="10">
        <v>11929.32</v>
      </c>
    </row>
    <row r="1212" spans="1:13" x14ac:dyDescent="0.25">
      <c r="A1212" s="12" t="str">
        <f t="shared" si="36"/>
        <v>422AVANSAT TECNOLOGIAS E SERVS EM SEGURANCA LTDANSE46029</v>
      </c>
      <c r="B1212" s="12" t="str">
        <f t="shared" si="37"/>
        <v>Fevereiro</v>
      </c>
      <c r="C1212" s="8" t="s">
        <v>885</v>
      </c>
      <c r="D1212" s="8" t="s">
        <v>1354</v>
      </c>
      <c r="E1212" s="8" t="s">
        <v>24</v>
      </c>
      <c r="F1212" s="23">
        <v>46029</v>
      </c>
      <c r="G1212" s="8" t="s">
        <v>665</v>
      </c>
      <c r="H1212" s="23">
        <v>46059</v>
      </c>
      <c r="I1212" s="23">
        <v>46030</v>
      </c>
      <c r="J1212" s="10">
        <v>9126.74</v>
      </c>
      <c r="K1212" s="10">
        <v>0</v>
      </c>
      <c r="L1212" s="24">
        <v>0</v>
      </c>
      <c r="M1212" s="10">
        <v>8565.4500000000007</v>
      </c>
    </row>
    <row r="1213" spans="1:13" x14ac:dyDescent="0.25">
      <c r="A1213" s="12" t="str">
        <f t="shared" si="36"/>
        <v>422-1708-87MINISTERIO DA FAZENDAIM46037,3715277778</v>
      </c>
      <c r="B1213" s="12" t="str">
        <f t="shared" si="37"/>
        <v>Fevereiro</v>
      </c>
      <c r="C1213" s="8" t="s">
        <v>1767</v>
      </c>
      <c r="D1213" s="8" t="s">
        <v>664</v>
      </c>
      <c r="E1213" s="8" t="s">
        <v>1503</v>
      </c>
      <c r="F1213" s="23">
        <v>46037.371527777781</v>
      </c>
      <c r="G1213" s="8" t="s">
        <v>1142</v>
      </c>
      <c r="H1213" s="23">
        <v>46073</v>
      </c>
      <c r="I1213" s="23">
        <v>46037.371527777781</v>
      </c>
      <c r="J1213" s="10">
        <v>136.9</v>
      </c>
      <c r="K1213" s="10">
        <v>0</v>
      </c>
      <c r="L1213" s="24">
        <v>0</v>
      </c>
      <c r="M1213" s="10">
        <v>136.9</v>
      </c>
    </row>
    <row r="1214" spans="1:13" x14ac:dyDescent="0.25">
      <c r="A1214" s="12" t="str">
        <f t="shared" si="36"/>
        <v>422-5952-87MINISTERIO DA FAZENDAIM46037,3722222222</v>
      </c>
      <c r="B1214" s="12" t="str">
        <f t="shared" si="37"/>
        <v>Fevereiro</v>
      </c>
      <c r="C1214" s="8" t="s">
        <v>1768</v>
      </c>
      <c r="D1214" s="8" t="s">
        <v>664</v>
      </c>
      <c r="E1214" s="8" t="s">
        <v>1503</v>
      </c>
      <c r="F1214" s="23">
        <v>46037.37222222222</v>
      </c>
      <c r="G1214" s="8" t="s">
        <v>1142</v>
      </c>
      <c r="H1214" s="23">
        <v>46073</v>
      </c>
      <c r="I1214" s="23">
        <v>46037.37222222222</v>
      </c>
      <c r="J1214" s="10">
        <v>424.39</v>
      </c>
      <c r="K1214" s="10">
        <v>0</v>
      </c>
      <c r="L1214" s="24">
        <v>0</v>
      </c>
      <c r="M1214" s="10">
        <v>424.39</v>
      </c>
    </row>
    <row r="1215" spans="1:13" x14ac:dyDescent="0.25">
      <c r="A1215" s="12" t="str">
        <f t="shared" si="36"/>
        <v>43WALISON MILLER BARROZA DE ABREURCB46029,43125</v>
      </c>
      <c r="B1215" s="12" t="str">
        <f t="shared" si="37"/>
        <v>Janeiro</v>
      </c>
      <c r="C1215" s="8" t="s">
        <v>886</v>
      </c>
      <c r="D1215" s="8" t="s">
        <v>664</v>
      </c>
      <c r="E1215" s="8" t="s">
        <v>1449</v>
      </c>
      <c r="F1215" s="23">
        <v>46029.431250000001</v>
      </c>
      <c r="G1215" s="8" t="s">
        <v>1045</v>
      </c>
      <c r="H1215" s="23">
        <v>46034</v>
      </c>
      <c r="I1215" s="23">
        <v>46029.431250000001</v>
      </c>
      <c r="J1215" s="10">
        <v>40</v>
      </c>
      <c r="K1215" s="10">
        <v>0</v>
      </c>
      <c r="L1215" s="24">
        <v>0</v>
      </c>
      <c r="M1215" s="10">
        <v>40</v>
      </c>
    </row>
    <row r="1216" spans="1:13" x14ac:dyDescent="0.25">
      <c r="A1216" s="12" t="str">
        <f t="shared" si="36"/>
        <v>43JESSICA STEFANE DA COSTA LIMANSE46059</v>
      </c>
      <c r="B1216" s="12" t="str">
        <f t="shared" si="37"/>
        <v>Março</v>
      </c>
      <c r="C1216" s="8" t="s">
        <v>886</v>
      </c>
      <c r="D1216" s="8" t="s">
        <v>1354</v>
      </c>
      <c r="E1216" s="8" t="s">
        <v>92</v>
      </c>
      <c r="F1216" s="23">
        <v>46059</v>
      </c>
      <c r="G1216" s="8" t="s">
        <v>665</v>
      </c>
      <c r="H1216" s="23">
        <v>46087</v>
      </c>
      <c r="I1216" s="23">
        <v>46086</v>
      </c>
      <c r="J1216" s="10">
        <v>2150</v>
      </c>
      <c r="K1216" s="10">
        <v>0</v>
      </c>
      <c r="L1216" s="24">
        <v>0</v>
      </c>
      <c r="M1216" s="10">
        <v>2150</v>
      </c>
    </row>
    <row r="1217" spans="1:13" x14ac:dyDescent="0.25">
      <c r="A1217" s="12" t="str">
        <f t="shared" si="36"/>
        <v>43GABRIEL MOUTINHO ALBINORCB46246,3729166667</v>
      </c>
      <c r="B1217" s="12" t="str">
        <f t="shared" si="37"/>
        <v>Agosto</v>
      </c>
      <c r="C1217" s="8" t="s">
        <v>886</v>
      </c>
      <c r="D1217" s="8" t="s">
        <v>664</v>
      </c>
      <c r="E1217" s="8" t="s">
        <v>73</v>
      </c>
      <c r="F1217" s="23">
        <v>46246.372916666667</v>
      </c>
      <c r="G1217" s="8" t="s">
        <v>1045</v>
      </c>
      <c r="H1217" s="23">
        <v>46251</v>
      </c>
      <c r="I1217" s="23">
        <v>46246.372916666667</v>
      </c>
      <c r="J1217" s="10">
        <v>306</v>
      </c>
      <c r="K1217" s="10">
        <v>0</v>
      </c>
      <c r="L1217" s="24">
        <v>0</v>
      </c>
      <c r="M1217" s="10">
        <v>306</v>
      </c>
    </row>
    <row r="1218" spans="1:13" x14ac:dyDescent="0.25">
      <c r="A1218" s="12" t="str">
        <f t="shared" ref="A1218:A1281" si="38">$C1218&amp;$E1218&amp;$G1218&amp;$F1218</f>
        <v>436MANFERRARI SERVICE LTDANSE46049</v>
      </c>
      <c r="B1218" s="12" t="str">
        <f t="shared" si="37"/>
        <v>Março</v>
      </c>
      <c r="C1218" s="8" t="s">
        <v>887</v>
      </c>
      <c r="D1218" s="8" t="s">
        <v>1354</v>
      </c>
      <c r="E1218" s="8" t="s">
        <v>117</v>
      </c>
      <c r="F1218" s="23">
        <v>46049</v>
      </c>
      <c r="G1218" s="8" t="s">
        <v>665</v>
      </c>
      <c r="H1218" s="23">
        <v>46087</v>
      </c>
      <c r="I1218" s="23">
        <v>46050</v>
      </c>
      <c r="J1218" s="10">
        <v>200</v>
      </c>
      <c r="K1218" s="10">
        <v>0</v>
      </c>
      <c r="L1218" s="24">
        <v>0</v>
      </c>
      <c r="M1218" s="10">
        <v>190</v>
      </c>
    </row>
    <row r="1219" spans="1:13" x14ac:dyDescent="0.25">
      <c r="A1219" s="12" t="str">
        <f t="shared" si="38"/>
        <v>4370SALUBRITA SAUDE E SEGURANÇA DO TRABALHO LTDANFS46204</v>
      </c>
      <c r="B1219" s="12" t="str">
        <f t="shared" ref="B1219:B1282" si="39">PROPER(TEXT($H1219,"MMMM"))</f>
        <v>Agosto</v>
      </c>
      <c r="C1219" s="8" t="s">
        <v>651</v>
      </c>
      <c r="D1219" s="8" t="s">
        <v>664</v>
      </c>
      <c r="E1219" s="8" t="s">
        <v>176</v>
      </c>
      <c r="F1219" s="23">
        <v>46204</v>
      </c>
      <c r="G1219" s="8" t="s">
        <v>614</v>
      </c>
      <c r="H1219" s="23">
        <v>46240</v>
      </c>
      <c r="I1219" s="23">
        <v>46209</v>
      </c>
      <c r="J1219" s="10">
        <v>950</v>
      </c>
      <c r="K1219" s="10">
        <v>0</v>
      </c>
      <c r="L1219" s="24">
        <v>0</v>
      </c>
      <c r="M1219" s="10">
        <v>891.57</v>
      </c>
    </row>
    <row r="1220" spans="1:13" x14ac:dyDescent="0.25">
      <c r="A1220" s="12" t="str">
        <f t="shared" si="38"/>
        <v>4370-1708-87MINISTERIO DA FAZENDAIM46216,43125</v>
      </c>
      <c r="B1220" s="12" t="str">
        <f t="shared" si="39"/>
        <v>Agosto</v>
      </c>
      <c r="C1220" s="8" t="s">
        <v>2989</v>
      </c>
      <c r="D1220" s="8" t="s">
        <v>664</v>
      </c>
      <c r="E1220" s="8" t="s">
        <v>1503</v>
      </c>
      <c r="F1220" s="23">
        <v>46216.431250000001</v>
      </c>
      <c r="G1220" s="8" t="s">
        <v>1142</v>
      </c>
      <c r="H1220" s="23">
        <v>46254</v>
      </c>
      <c r="I1220" s="23">
        <v>46216.431250000001</v>
      </c>
      <c r="J1220" s="10">
        <v>14.25</v>
      </c>
      <c r="K1220" s="10">
        <v>0</v>
      </c>
      <c r="L1220" s="24">
        <v>0</v>
      </c>
      <c r="M1220" s="10">
        <v>14.25</v>
      </c>
    </row>
    <row r="1221" spans="1:13" x14ac:dyDescent="0.25">
      <c r="A1221" s="12" t="str">
        <f t="shared" si="38"/>
        <v>4370-5952-87MINISTERIO DA FAZENDAIM46216,4326388889</v>
      </c>
      <c r="B1221" s="12" t="str">
        <f t="shared" si="39"/>
        <v>Agosto</v>
      </c>
      <c r="C1221" s="8" t="s">
        <v>3004</v>
      </c>
      <c r="D1221" s="8" t="s">
        <v>664</v>
      </c>
      <c r="E1221" s="8" t="s">
        <v>1503</v>
      </c>
      <c r="F1221" s="23">
        <v>46216.432638888888</v>
      </c>
      <c r="G1221" s="8" t="s">
        <v>1142</v>
      </c>
      <c r="H1221" s="23">
        <v>46254</v>
      </c>
      <c r="I1221" s="23">
        <v>46216.432638888888</v>
      </c>
      <c r="J1221" s="10">
        <v>44.18</v>
      </c>
      <c r="K1221" s="10">
        <v>0</v>
      </c>
      <c r="L1221" s="24">
        <v>0</v>
      </c>
      <c r="M1221" s="10">
        <v>44.18</v>
      </c>
    </row>
    <row r="1222" spans="1:13" x14ac:dyDescent="0.25">
      <c r="A1222" s="12" t="str">
        <f t="shared" si="38"/>
        <v>44RUAN SMITH GARCIA CARDOSORCB46024,3465277778</v>
      </c>
      <c r="B1222" s="12" t="str">
        <f t="shared" si="39"/>
        <v>Janeiro</v>
      </c>
      <c r="C1222" s="8" t="s">
        <v>1358</v>
      </c>
      <c r="D1222" s="8" t="s">
        <v>664</v>
      </c>
      <c r="E1222" s="8" t="s">
        <v>175</v>
      </c>
      <c r="F1222" s="23">
        <v>46024.34652777778</v>
      </c>
      <c r="G1222" s="8" t="s">
        <v>1045</v>
      </c>
      <c r="H1222" s="23">
        <v>46029</v>
      </c>
      <c r="I1222" s="23">
        <v>46024.34652777778</v>
      </c>
      <c r="J1222" s="10">
        <v>95</v>
      </c>
      <c r="K1222" s="10">
        <v>0</v>
      </c>
      <c r="L1222" s="24">
        <v>0</v>
      </c>
      <c r="M1222" s="10">
        <v>95</v>
      </c>
    </row>
    <row r="1223" spans="1:13" x14ac:dyDescent="0.25">
      <c r="A1223" s="12" t="str">
        <f t="shared" si="38"/>
        <v>44WALISON MILLER BARROZA DE ABREURCB46090,4590277778</v>
      </c>
      <c r="B1223" s="12" t="str">
        <f t="shared" si="39"/>
        <v>Março</v>
      </c>
      <c r="C1223" s="8" t="s">
        <v>1358</v>
      </c>
      <c r="D1223" s="8" t="s">
        <v>664</v>
      </c>
      <c r="E1223" s="8" t="s">
        <v>1449</v>
      </c>
      <c r="F1223" s="23">
        <v>46090.459027777775</v>
      </c>
      <c r="G1223" s="8" t="s">
        <v>1045</v>
      </c>
      <c r="H1223" s="23">
        <v>46093</v>
      </c>
      <c r="I1223" s="23">
        <v>46090.459027777775</v>
      </c>
      <c r="J1223" s="10">
        <v>39.799999999999997</v>
      </c>
      <c r="K1223" s="10">
        <v>0</v>
      </c>
      <c r="L1223" s="24">
        <v>0</v>
      </c>
      <c r="M1223" s="10">
        <v>39.799999999999997</v>
      </c>
    </row>
    <row r="1224" spans="1:13" x14ac:dyDescent="0.25">
      <c r="A1224" s="12" t="str">
        <f t="shared" si="38"/>
        <v>44GABRIEL MOUTINHO ALBINORCB46258,475</v>
      </c>
      <c r="B1224" s="12" t="str">
        <f t="shared" si="39"/>
        <v>Agosto</v>
      </c>
      <c r="C1224" s="8" t="s">
        <v>1358</v>
      </c>
      <c r="D1224" s="8" t="s">
        <v>664</v>
      </c>
      <c r="E1224" s="8" t="s">
        <v>73</v>
      </c>
      <c r="F1224" s="23">
        <v>46258.474999999999</v>
      </c>
      <c r="G1224" s="8" t="s">
        <v>1045</v>
      </c>
      <c r="H1224" s="23">
        <v>46261</v>
      </c>
      <c r="I1224" s="23">
        <v>46258.474999999999</v>
      </c>
      <c r="J1224" s="10">
        <v>250</v>
      </c>
      <c r="K1224" s="10">
        <v>0</v>
      </c>
      <c r="L1224" s="24">
        <v>0</v>
      </c>
      <c r="M1224" s="10">
        <v>250</v>
      </c>
    </row>
    <row r="1225" spans="1:13" x14ac:dyDescent="0.25">
      <c r="A1225" s="12" t="str">
        <f t="shared" si="38"/>
        <v>442VIA TRUCK COMERCIO E SERVICOS LTDANSE46141</v>
      </c>
      <c r="B1225" s="12" t="str">
        <f t="shared" si="39"/>
        <v>Junho</v>
      </c>
      <c r="C1225" s="8" t="s">
        <v>888</v>
      </c>
      <c r="D1225" s="8" t="s">
        <v>1354</v>
      </c>
      <c r="E1225" s="8" t="s">
        <v>195</v>
      </c>
      <c r="F1225" s="23">
        <v>46141</v>
      </c>
      <c r="G1225" s="8" t="s">
        <v>665</v>
      </c>
      <c r="H1225" s="23">
        <v>46179</v>
      </c>
      <c r="I1225" s="23">
        <v>46148</v>
      </c>
      <c r="J1225" s="10">
        <v>1292.52</v>
      </c>
      <c r="K1225" s="10">
        <v>0</v>
      </c>
      <c r="L1225" s="24">
        <v>0</v>
      </c>
      <c r="M1225" s="10">
        <v>1227.8900000000001</v>
      </c>
    </row>
    <row r="1226" spans="1:13" x14ac:dyDescent="0.25">
      <c r="A1226" s="12" t="str">
        <f t="shared" si="38"/>
        <v>444MINAS MAQUINAS SA | NOVA LIMANSE46079</v>
      </c>
      <c r="B1226" s="12" t="str">
        <f t="shared" si="39"/>
        <v>Março</v>
      </c>
      <c r="C1226" s="8" t="s">
        <v>889</v>
      </c>
      <c r="D1226" s="8" t="s">
        <v>1354</v>
      </c>
      <c r="E1226" s="8" t="s">
        <v>133</v>
      </c>
      <c r="F1226" s="23">
        <v>46079</v>
      </c>
      <c r="G1226" s="8" t="s">
        <v>665</v>
      </c>
      <c r="H1226" s="23">
        <v>46109</v>
      </c>
      <c r="I1226" s="23">
        <v>46081</v>
      </c>
      <c r="J1226" s="10">
        <v>637</v>
      </c>
      <c r="K1226" s="10">
        <v>0</v>
      </c>
      <c r="L1226" s="24">
        <v>0</v>
      </c>
      <c r="M1226" s="10">
        <v>637</v>
      </c>
    </row>
    <row r="1227" spans="1:13" x14ac:dyDescent="0.25">
      <c r="A1227" s="12" t="str">
        <f t="shared" si="38"/>
        <v>4477OCP EXAMES OCUPACIONAIS LTDANSE46087</v>
      </c>
      <c r="B1227" s="12" t="str">
        <f t="shared" si="39"/>
        <v>Maio</v>
      </c>
      <c r="C1227" s="8" t="s">
        <v>890</v>
      </c>
      <c r="D1227" s="8" t="s">
        <v>664</v>
      </c>
      <c r="E1227" s="8" t="s">
        <v>140</v>
      </c>
      <c r="F1227" s="23">
        <v>46087</v>
      </c>
      <c r="G1227" s="8" t="s">
        <v>665</v>
      </c>
      <c r="H1227" s="23">
        <v>46148</v>
      </c>
      <c r="I1227" s="23">
        <v>46087</v>
      </c>
      <c r="J1227" s="10">
        <v>874.06</v>
      </c>
      <c r="K1227" s="10">
        <v>0</v>
      </c>
      <c r="L1227" s="24">
        <v>0</v>
      </c>
      <c r="M1227" s="10">
        <v>820.31</v>
      </c>
    </row>
    <row r="1228" spans="1:13" x14ac:dyDescent="0.25">
      <c r="A1228" s="12" t="str">
        <f t="shared" si="38"/>
        <v>4477-1708-87MINISTERIO DA FAZENDAIM46113,3784722222</v>
      </c>
      <c r="B1228" s="12" t="str">
        <f t="shared" si="39"/>
        <v>Abril</v>
      </c>
      <c r="C1228" s="8" t="s">
        <v>2235</v>
      </c>
      <c r="D1228" s="8" t="s">
        <v>664</v>
      </c>
      <c r="E1228" s="8" t="s">
        <v>1503</v>
      </c>
      <c r="F1228" s="23">
        <v>46113.378472222219</v>
      </c>
      <c r="G1228" s="8" t="s">
        <v>1142</v>
      </c>
      <c r="H1228" s="23">
        <v>46132</v>
      </c>
      <c r="I1228" s="23">
        <v>46113.378472222219</v>
      </c>
      <c r="J1228" s="10">
        <v>13.11</v>
      </c>
      <c r="K1228" s="10">
        <v>0</v>
      </c>
      <c r="L1228" s="24">
        <v>0</v>
      </c>
      <c r="M1228" s="10">
        <v>13.11</v>
      </c>
    </row>
    <row r="1229" spans="1:13" x14ac:dyDescent="0.25">
      <c r="A1229" s="12" t="str">
        <f t="shared" si="38"/>
        <v>4477-5952-87MINISTERIO DA FAZENDAIM46113,3798611111</v>
      </c>
      <c r="B1229" s="12" t="str">
        <f t="shared" si="39"/>
        <v>Abril</v>
      </c>
      <c r="C1229" s="8" t="s">
        <v>2236</v>
      </c>
      <c r="D1229" s="8" t="s">
        <v>664</v>
      </c>
      <c r="E1229" s="8" t="s">
        <v>1503</v>
      </c>
      <c r="F1229" s="23">
        <v>46113.379861111112</v>
      </c>
      <c r="G1229" s="8" t="s">
        <v>1142</v>
      </c>
      <c r="H1229" s="23">
        <v>46132</v>
      </c>
      <c r="I1229" s="23">
        <v>46113.379861111112</v>
      </c>
      <c r="J1229" s="10">
        <v>40.64</v>
      </c>
      <c r="K1229" s="10">
        <v>0</v>
      </c>
      <c r="L1229" s="24">
        <v>0</v>
      </c>
      <c r="M1229" s="10">
        <v>40.64</v>
      </c>
    </row>
    <row r="1230" spans="1:13" x14ac:dyDescent="0.25">
      <c r="A1230" s="12" t="str">
        <f t="shared" si="38"/>
        <v>4499OCP EXAMES OCUPACIONAIS LTDANSE46087</v>
      </c>
      <c r="B1230" s="12" t="str">
        <f t="shared" si="39"/>
        <v>Maio</v>
      </c>
      <c r="C1230" s="8" t="s">
        <v>891</v>
      </c>
      <c r="D1230" s="8" t="s">
        <v>664</v>
      </c>
      <c r="E1230" s="8" t="s">
        <v>140</v>
      </c>
      <c r="F1230" s="23">
        <v>46087</v>
      </c>
      <c r="G1230" s="8" t="s">
        <v>665</v>
      </c>
      <c r="H1230" s="23">
        <v>46148</v>
      </c>
      <c r="I1230" s="23">
        <v>46090</v>
      </c>
      <c r="J1230" s="10">
        <v>580.72</v>
      </c>
      <c r="K1230" s="10">
        <v>0</v>
      </c>
      <c r="L1230" s="24">
        <v>0</v>
      </c>
      <c r="M1230" s="10">
        <v>553.72</v>
      </c>
    </row>
    <row r="1231" spans="1:13" x14ac:dyDescent="0.25">
      <c r="A1231" s="12" t="str">
        <f t="shared" si="38"/>
        <v>4499-5952-87MINISTERIO DA FAZENDAIM46097,5743055556</v>
      </c>
      <c r="B1231" s="12" t="str">
        <f t="shared" si="39"/>
        <v>Abril</v>
      </c>
      <c r="C1231" s="8" t="s">
        <v>2237</v>
      </c>
      <c r="D1231" s="8" t="s">
        <v>664</v>
      </c>
      <c r="E1231" s="8" t="s">
        <v>1503</v>
      </c>
      <c r="F1231" s="23">
        <v>46097.574305555558</v>
      </c>
      <c r="G1231" s="8" t="s">
        <v>1142</v>
      </c>
      <c r="H1231" s="23">
        <v>46132</v>
      </c>
      <c r="I1231" s="23">
        <v>46097.574305555558</v>
      </c>
      <c r="J1231" s="10">
        <v>27</v>
      </c>
      <c r="K1231" s="10">
        <v>0</v>
      </c>
      <c r="L1231" s="24">
        <v>0</v>
      </c>
      <c r="M1231" s="10">
        <v>27</v>
      </c>
    </row>
    <row r="1232" spans="1:13" x14ac:dyDescent="0.25">
      <c r="A1232" s="12" t="str">
        <f t="shared" si="38"/>
        <v>45RUAN SMITH GARCIA CARDOSORCB46044,3868055556</v>
      </c>
      <c r="B1232" s="12" t="str">
        <f t="shared" si="39"/>
        <v>Janeiro</v>
      </c>
      <c r="C1232" s="8" t="s">
        <v>892</v>
      </c>
      <c r="D1232" s="8" t="s">
        <v>664</v>
      </c>
      <c r="E1232" s="8" t="s">
        <v>175</v>
      </c>
      <c r="F1232" s="23">
        <v>46044.386805555558</v>
      </c>
      <c r="G1232" s="8" t="s">
        <v>1045</v>
      </c>
      <c r="H1232" s="23">
        <v>46049</v>
      </c>
      <c r="I1232" s="23">
        <v>46044.386805555558</v>
      </c>
      <c r="J1232" s="10">
        <v>95</v>
      </c>
      <c r="K1232" s="10">
        <v>0</v>
      </c>
      <c r="L1232" s="24">
        <v>0</v>
      </c>
      <c r="M1232" s="10">
        <v>95</v>
      </c>
    </row>
    <row r="1233" spans="1:13" x14ac:dyDescent="0.25">
      <c r="A1233" s="12" t="str">
        <f t="shared" si="38"/>
        <v>45CLAUDINEY ALMEIDA DE SOUZANSE46034</v>
      </c>
      <c r="B1233" s="12" t="str">
        <f t="shared" si="39"/>
        <v>Fevereiro</v>
      </c>
      <c r="C1233" s="8" t="s">
        <v>892</v>
      </c>
      <c r="D1233" s="8" t="s">
        <v>1354</v>
      </c>
      <c r="E1233" s="8" t="s">
        <v>44</v>
      </c>
      <c r="F1233" s="23">
        <v>46034</v>
      </c>
      <c r="G1233" s="8" t="s">
        <v>665</v>
      </c>
      <c r="H1233" s="23">
        <v>46059</v>
      </c>
      <c r="I1233" s="23">
        <v>46034</v>
      </c>
      <c r="J1233" s="10">
        <v>600</v>
      </c>
      <c r="K1233" s="10">
        <v>0</v>
      </c>
      <c r="L1233" s="24">
        <v>0</v>
      </c>
      <c r="M1233" s="10">
        <v>600</v>
      </c>
    </row>
    <row r="1234" spans="1:13" x14ac:dyDescent="0.25">
      <c r="A1234" s="12" t="str">
        <f t="shared" si="38"/>
        <v>45MGS PRINTERNSE46050</v>
      </c>
      <c r="B1234" s="12" t="str">
        <f t="shared" si="39"/>
        <v>Março</v>
      </c>
      <c r="C1234" s="8" t="s">
        <v>892</v>
      </c>
      <c r="D1234" s="8" t="s">
        <v>664</v>
      </c>
      <c r="E1234" s="8" t="s">
        <v>128</v>
      </c>
      <c r="F1234" s="23">
        <v>46050</v>
      </c>
      <c r="G1234" s="8" t="s">
        <v>665</v>
      </c>
      <c r="H1234" s="23">
        <v>46087</v>
      </c>
      <c r="I1234" s="23">
        <v>46051</v>
      </c>
      <c r="J1234" s="10">
        <v>364.2</v>
      </c>
      <c r="K1234" s="10">
        <v>0</v>
      </c>
      <c r="L1234" s="24">
        <v>0</v>
      </c>
      <c r="M1234" s="10">
        <v>364.2</v>
      </c>
    </row>
    <row r="1235" spans="1:13" x14ac:dyDescent="0.25">
      <c r="A1235" s="12" t="str">
        <f t="shared" si="38"/>
        <v>45WALISON MILLER BARROZA DE ABREURCB46101,6326388889</v>
      </c>
      <c r="B1235" s="12" t="str">
        <f t="shared" si="39"/>
        <v>Março</v>
      </c>
      <c r="C1235" s="8" t="s">
        <v>892</v>
      </c>
      <c r="D1235" s="8" t="s">
        <v>664</v>
      </c>
      <c r="E1235" s="8" t="s">
        <v>1449</v>
      </c>
      <c r="F1235" s="23">
        <v>46101.632638888892</v>
      </c>
      <c r="G1235" s="8" t="s">
        <v>1045</v>
      </c>
      <c r="H1235" s="23">
        <v>46106</v>
      </c>
      <c r="I1235" s="23">
        <v>46101.632638888892</v>
      </c>
      <c r="J1235" s="10">
        <v>113.5</v>
      </c>
      <c r="K1235" s="10">
        <v>0</v>
      </c>
      <c r="L1235" s="24">
        <v>0</v>
      </c>
      <c r="M1235" s="10">
        <v>113.5</v>
      </c>
    </row>
    <row r="1236" spans="1:13" x14ac:dyDescent="0.25">
      <c r="A1236" s="12" t="str">
        <f t="shared" si="38"/>
        <v>45GABRIEL MOUTINHO ALBINORCB46259,4888888889</v>
      </c>
      <c r="B1236" s="12" t="str">
        <f t="shared" si="39"/>
        <v>Agosto</v>
      </c>
      <c r="C1236" s="8" t="s">
        <v>892</v>
      </c>
      <c r="D1236" s="8" t="s">
        <v>664</v>
      </c>
      <c r="E1236" s="8" t="s">
        <v>73</v>
      </c>
      <c r="F1236" s="23">
        <v>46259.488888888889</v>
      </c>
      <c r="G1236" s="8" t="s">
        <v>1045</v>
      </c>
      <c r="H1236" s="23">
        <v>46262</v>
      </c>
      <c r="I1236" s="23">
        <v>46259.488888888889</v>
      </c>
      <c r="J1236" s="10">
        <v>110</v>
      </c>
      <c r="K1236" s="10">
        <v>0</v>
      </c>
      <c r="L1236" s="24">
        <v>0</v>
      </c>
      <c r="M1236" s="10">
        <v>110</v>
      </c>
    </row>
    <row r="1237" spans="1:13" x14ac:dyDescent="0.25">
      <c r="A1237" s="12" t="str">
        <f t="shared" si="38"/>
        <v>453LEOCAR SERVICOS AUTOMOTIVOS LTDANSE46240</v>
      </c>
      <c r="B1237" s="12" t="str">
        <f t="shared" si="39"/>
        <v>Setembro</v>
      </c>
      <c r="C1237" s="8" t="s">
        <v>893</v>
      </c>
      <c r="D1237" s="8" t="s">
        <v>1354</v>
      </c>
      <c r="E1237" s="8" t="s">
        <v>109</v>
      </c>
      <c r="F1237" s="23">
        <v>46240</v>
      </c>
      <c r="G1237" s="8" t="s">
        <v>665</v>
      </c>
      <c r="H1237" s="23">
        <v>46273</v>
      </c>
      <c r="I1237" s="23">
        <v>46245</v>
      </c>
      <c r="J1237" s="10">
        <v>1333.71</v>
      </c>
      <c r="K1237" s="10">
        <v>0</v>
      </c>
      <c r="L1237" s="24">
        <v>0</v>
      </c>
      <c r="M1237" s="10">
        <v>1333.71</v>
      </c>
    </row>
    <row r="1238" spans="1:13" x14ac:dyDescent="0.25">
      <c r="A1238" s="12" t="str">
        <f t="shared" si="38"/>
        <v>455LEOCAR SERVICOS AUTOMOTIVOS LTDANSE46253</v>
      </c>
      <c r="B1238" s="12" t="str">
        <f t="shared" si="39"/>
        <v>Setembro</v>
      </c>
      <c r="C1238" s="8" t="s">
        <v>894</v>
      </c>
      <c r="D1238" s="8" t="s">
        <v>1354</v>
      </c>
      <c r="E1238" s="8" t="s">
        <v>109</v>
      </c>
      <c r="F1238" s="23">
        <v>46253</v>
      </c>
      <c r="G1238" s="8" t="s">
        <v>665</v>
      </c>
      <c r="H1238" s="23">
        <v>46286</v>
      </c>
      <c r="I1238" s="23">
        <v>46254</v>
      </c>
      <c r="J1238" s="10">
        <v>1109.3399999999999</v>
      </c>
      <c r="K1238" s="10">
        <v>0</v>
      </c>
      <c r="L1238" s="24">
        <v>0</v>
      </c>
      <c r="M1238" s="10">
        <v>1109.3399999999999</v>
      </c>
    </row>
    <row r="1239" spans="1:13" x14ac:dyDescent="0.25">
      <c r="A1239" s="12" t="str">
        <f t="shared" si="38"/>
        <v>45651CENTRAL DOS PARA-BRISAS LTDANFE46042</v>
      </c>
      <c r="B1239" s="12" t="str">
        <f t="shared" si="39"/>
        <v>Fevereiro</v>
      </c>
      <c r="C1239" s="8" t="s">
        <v>552</v>
      </c>
      <c r="D1239" s="8" t="s">
        <v>664</v>
      </c>
      <c r="E1239" s="8" t="s">
        <v>553</v>
      </c>
      <c r="F1239" s="23">
        <v>46042</v>
      </c>
      <c r="G1239" s="8" t="s">
        <v>380</v>
      </c>
      <c r="H1239" s="23">
        <v>46070</v>
      </c>
      <c r="I1239" s="23">
        <v>46044</v>
      </c>
      <c r="J1239" s="10">
        <v>1120</v>
      </c>
      <c r="K1239" s="10">
        <v>0</v>
      </c>
      <c r="L1239" s="24">
        <v>0</v>
      </c>
      <c r="M1239" s="10">
        <v>1120</v>
      </c>
    </row>
    <row r="1240" spans="1:13" x14ac:dyDescent="0.25">
      <c r="A1240" s="12" t="str">
        <f t="shared" si="38"/>
        <v>45843CENTRAL DOS PARA-BRISAS LTDANFE46050</v>
      </c>
      <c r="B1240" s="12" t="str">
        <f t="shared" si="39"/>
        <v>Fevereiro</v>
      </c>
      <c r="C1240" s="8" t="s">
        <v>555</v>
      </c>
      <c r="D1240" s="8" t="s">
        <v>664</v>
      </c>
      <c r="E1240" s="8" t="s">
        <v>553</v>
      </c>
      <c r="F1240" s="23">
        <v>46050</v>
      </c>
      <c r="G1240" s="8" t="s">
        <v>380</v>
      </c>
      <c r="H1240" s="23">
        <v>46080</v>
      </c>
      <c r="I1240" s="23">
        <v>46051</v>
      </c>
      <c r="J1240" s="10">
        <v>940</v>
      </c>
      <c r="K1240" s="10">
        <v>0</v>
      </c>
      <c r="L1240" s="24">
        <v>0</v>
      </c>
      <c r="M1240" s="10">
        <v>940</v>
      </c>
    </row>
    <row r="1241" spans="1:13" x14ac:dyDescent="0.25">
      <c r="A1241" s="12" t="str">
        <f t="shared" si="38"/>
        <v>46RUAN SMITH GARCIA CARDOSORCB46052,4777777778</v>
      </c>
      <c r="B1241" s="12" t="str">
        <f t="shared" si="39"/>
        <v>Fevereiro</v>
      </c>
      <c r="C1241" s="8" t="s">
        <v>1652</v>
      </c>
      <c r="D1241" s="8" t="s">
        <v>664</v>
      </c>
      <c r="E1241" s="8" t="s">
        <v>175</v>
      </c>
      <c r="F1241" s="23">
        <v>46052.477777777778</v>
      </c>
      <c r="G1241" s="8" t="s">
        <v>1045</v>
      </c>
      <c r="H1241" s="23">
        <v>46057</v>
      </c>
      <c r="I1241" s="23">
        <v>46052.477777777778</v>
      </c>
      <c r="J1241" s="10">
        <v>95</v>
      </c>
      <c r="K1241" s="10">
        <v>0</v>
      </c>
      <c r="L1241" s="24">
        <v>0</v>
      </c>
      <c r="M1241" s="10">
        <v>95</v>
      </c>
    </row>
    <row r="1242" spans="1:13" x14ac:dyDescent="0.25">
      <c r="A1242" s="12" t="str">
        <f t="shared" si="38"/>
        <v>46WALISON MILLER BARROZA DE ABREURCB46112,64375</v>
      </c>
      <c r="B1242" s="12" t="str">
        <f t="shared" si="39"/>
        <v>Abril</v>
      </c>
      <c r="C1242" s="8" t="s">
        <v>1652</v>
      </c>
      <c r="D1242" s="8" t="s">
        <v>664</v>
      </c>
      <c r="E1242" s="8" t="s">
        <v>1449</v>
      </c>
      <c r="F1242" s="23">
        <v>46112.643750000003</v>
      </c>
      <c r="G1242" s="8" t="s">
        <v>1045</v>
      </c>
      <c r="H1242" s="23">
        <v>46115</v>
      </c>
      <c r="I1242" s="23">
        <v>46112.643750000003</v>
      </c>
      <c r="J1242" s="10">
        <v>5.7</v>
      </c>
      <c r="K1242" s="10">
        <v>0</v>
      </c>
      <c r="L1242" s="24">
        <v>0</v>
      </c>
      <c r="M1242" s="10">
        <v>5.7</v>
      </c>
    </row>
    <row r="1243" spans="1:13" x14ac:dyDescent="0.25">
      <c r="A1243" s="12" t="str">
        <f t="shared" si="38"/>
        <v>46GABRIEL MOUTINHO ALBINORCB46265,4027777778</v>
      </c>
      <c r="B1243" s="12" t="str">
        <f t="shared" si="39"/>
        <v>Setembro</v>
      </c>
      <c r="C1243" s="8" t="s">
        <v>1652</v>
      </c>
      <c r="D1243" s="8" t="s">
        <v>664</v>
      </c>
      <c r="E1243" s="8" t="s">
        <v>73</v>
      </c>
      <c r="F1243" s="23">
        <v>46265.402777777781</v>
      </c>
      <c r="G1243" s="8" t="s">
        <v>1045</v>
      </c>
      <c r="H1243" s="23">
        <v>46268</v>
      </c>
      <c r="I1243" s="23">
        <v>46265.402777777781</v>
      </c>
      <c r="J1243" s="10">
        <v>140.69999999999999</v>
      </c>
      <c r="K1243" s="10">
        <v>0</v>
      </c>
      <c r="L1243" s="24">
        <v>0</v>
      </c>
      <c r="M1243" s="10">
        <v>140.69999999999999</v>
      </c>
    </row>
    <row r="1244" spans="1:13" x14ac:dyDescent="0.25">
      <c r="A1244" s="12" t="str">
        <f t="shared" si="38"/>
        <v>4653MANFERRARI SERVICE LTDANSE46254</v>
      </c>
      <c r="B1244" s="12" t="str">
        <f t="shared" si="39"/>
        <v>Outubro</v>
      </c>
      <c r="C1244" s="8" t="s">
        <v>895</v>
      </c>
      <c r="D1244" s="8" t="s">
        <v>1354</v>
      </c>
      <c r="E1244" s="8" t="s">
        <v>117</v>
      </c>
      <c r="F1244" s="23">
        <v>46254</v>
      </c>
      <c r="G1244" s="8" t="s">
        <v>665</v>
      </c>
      <c r="H1244" s="23">
        <v>46301</v>
      </c>
      <c r="I1244" s="23">
        <v>46258</v>
      </c>
      <c r="J1244" s="10">
        <v>200</v>
      </c>
      <c r="K1244" s="10">
        <v>0</v>
      </c>
      <c r="L1244" s="24">
        <v>0</v>
      </c>
      <c r="M1244" s="10">
        <v>196</v>
      </c>
    </row>
    <row r="1245" spans="1:13" x14ac:dyDescent="0.25">
      <c r="A1245" s="12" t="str">
        <f t="shared" si="38"/>
        <v>466AUTO DIESEL PECAS E SERVICOS LTDANSE46148</v>
      </c>
      <c r="B1245" s="12" t="str">
        <f t="shared" si="39"/>
        <v>Junho</v>
      </c>
      <c r="C1245" s="8" t="s">
        <v>896</v>
      </c>
      <c r="D1245" s="8" t="s">
        <v>1354</v>
      </c>
      <c r="E1245" s="8" t="s">
        <v>23</v>
      </c>
      <c r="F1245" s="23">
        <v>46148</v>
      </c>
      <c r="G1245" s="8" t="s">
        <v>665</v>
      </c>
      <c r="H1245" s="23">
        <v>46179</v>
      </c>
      <c r="I1245" s="23">
        <v>46153</v>
      </c>
      <c r="J1245" s="10">
        <v>500</v>
      </c>
      <c r="K1245" s="10">
        <v>0</v>
      </c>
      <c r="L1245" s="24">
        <v>0</v>
      </c>
      <c r="M1245" s="10">
        <v>500</v>
      </c>
    </row>
    <row r="1246" spans="1:13" x14ac:dyDescent="0.25">
      <c r="A1246" s="12" t="str">
        <f t="shared" si="38"/>
        <v>469VIA TRUCK COMERCIO E SERVICOS LTDANSE46148</v>
      </c>
      <c r="B1246" s="12" t="str">
        <f t="shared" si="39"/>
        <v>Junho</v>
      </c>
      <c r="C1246" s="8" t="s">
        <v>897</v>
      </c>
      <c r="D1246" s="8" t="s">
        <v>1354</v>
      </c>
      <c r="E1246" s="8" t="s">
        <v>195</v>
      </c>
      <c r="F1246" s="23">
        <v>46148</v>
      </c>
      <c r="G1246" s="8" t="s">
        <v>665</v>
      </c>
      <c r="H1246" s="23">
        <v>46178</v>
      </c>
      <c r="I1246" s="23">
        <v>46150</v>
      </c>
      <c r="J1246" s="10">
        <v>635.5</v>
      </c>
      <c r="K1246" s="10">
        <v>0</v>
      </c>
      <c r="L1246" s="24">
        <v>0</v>
      </c>
      <c r="M1246" s="10">
        <v>603.72</v>
      </c>
    </row>
    <row r="1247" spans="1:13" x14ac:dyDescent="0.25">
      <c r="A1247" s="12" t="str">
        <f t="shared" si="38"/>
        <v>47RUAN SMITH GARCIA CARDOSORCB46052,7159722222</v>
      </c>
      <c r="B1247" s="12" t="str">
        <f t="shared" si="39"/>
        <v>Fevereiro</v>
      </c>
      <c r="C1247" s="8" t="s">
        <v>898</v>
      </c>
      <c r="D1247" s="8" t="s">
        <v>664</v>
      </c>
      <c r="E1247" s="8" t="s">
        <v>175</v>
      </c>
      <c r="F1247" s="23">
        <v>46052.71597222222</v>
      </c>
      <c r="G1247" s="8" t="s">
        <v>1045</v>
      </c>
      <c r="H1247" s="23">
        <v>46057</v>
      </c>
      <c r="I1247" s="23">
        <v>46052.71597222222</v>
      </c>
      <c r="J1247" s="10">
        <v>50</v>
      </c>
      <c r="K1247" s="10">
        <v>0</v>
      </c>
      <c r="L1247" s="24">
        <v>0</v>
      </c>
      <c r="M1247" s="10">
        <v>50</v>
      </c>
    </row>
    <row r="1248" spans="1:13" x14ac:dyDescent="0.25">
      <c r="A1248" s="12" t="str">
        <f t="shared" si="38"/>
        <v>47CLAUDINEY ALMEIDA DE SOUZANSE46059</v>
      </c>
      <c r="B1248" s="12" t="str">
        <f t="shared" si="39"/>
        <v>Março</v>
      </c>
      <c r="C1248" s="8" t="s">
        <v>898</v>
      </c>
      <c r="D1248" s="8" t="s">
        <v>1354</v>
      </c>
      <c r="E1248" s="8" t="s">
        <v>44</v>
      </c>
      <c r="F1248" s="23">
        <v>46059</v>
      </c>
      <c r="G1248" s="8" t="s">
        <v>665</v>
      </c>
      <c r="H1248" s="23">
        <v>46087</v>
      </c>
      <c r="I1248" s="23">
        <v>46086</v>
      </c>
      <c r="J1248" s="10">
        <v>720</v>
      </c>
      <c r="K1248" s="10">
        <v>0</v>
      </c>
      <c r="L1248" s="24">
        <v>0</v>
      </c>
      <c r="M1248" s="10">
        <v>720</v>
      </c>
    </row>
    <row r="1249" spans="1:13" x14ac:dyDescent="0.25">
      <c r="A1249" s="12" t="str">
        <f t="shared" si="38"/>
        <v>47WALISON MILLER BARROZA DE ABREURCB46120,3833333333</v>
      </c>
      <c r="B1249" s="12" t="str">
        <f t="shared" si="39"/>
        <v>Abril</v>
      </c>
      <c r="C1249" s="8" t="s">
        <v>898</v>
      </c>
      <c r="D1249" s="8" t="s">
        <v>664</v>
      </c>
      <c r="E1249" s="8" t="s">
        <v>1449</v>
      </c>
      <c r="F1249" s="23">
        <v>46120.383333333331</v>
      </c>
      <c r="G1249" s="8" t="s">
        <v>1045</v>
      </c>
      <c r="H1249" s="23">
        <v>46125</v>
      </c>
      <c r="I1249" s="23">
        <v>46120.383333333331</v>
      </c>
      <c r="J1249" s="10">
        <v>51</v>
      </c>
      <c r="K1249" s="10">
        <v>0</v>
      </c>
      <c r="L1249" s="24">
        <v>0</v>
      </c>
      <c r="M1249" s="10">
        <v>51</v>
      </c>
    </row>
    <row r="1250" spans="1:13" x14ac:dyDescent="0.25">
      <c r="A1250" s="12" t="str">
        <f t="shared" si="38"/>
        <v>47GABRIEL MOUTINHO ALBINORCB46274,575</v>
      </c>
      <c r="B1250" s="12" t="str">
        <f t="shared" si="39"/>
        <v>Setembro</v>
      </c>
      <c r="C1250" s="8" t="s">
        <v>898</v>
      </c>
      <c r="D1250" s="8" t="s">
        <v>664</v>
      </c>
      <c r="E1250" s="8" t="s">
        <v>73</v>
      </c>
      <c r="F1250" s="23">
        <v>46274.574999999997</v>
      </c>
      <c r="G1250" s="8" t="s">
        <v>1045</v>
      </c>
      <c r="H1250" s="23">
        <v>46279</v>
      </c>
      <c r="I1250" s="23">
        <v>46274.574999999997</v>
      </c>
      <c r="J1250" s="10">
        <v>105</v>
      </c>
      <c r="K1250" s="10">
        <v>0</v>
      </c>
      <c r="L1250" s="24">
        <v>0</v>
      </c>
      <c r="M1250" s="10">
        <v>105</v>
      </c>
    </row>
    <row r="1251" spans="1:13" x14ac:dyDescent="0.25">
      <c r="A1251" s="12" t="str">
        <f t="shared" si="38"/>
        <v>47769RECAPAGEM RECATEC LTDA.NSE45951</v>
      </c>
      <c r="B1251" s="12" t="str">
        <f t="shared" si="39"/>
        <v>Janeiro</v>
      </c>
      <c r="C1251" s="8" t="s">
        <v>1588</v>
      </c>
      <c r="D1251" s="8" t="s">
        <v>1354</v>
      </c>
      <c r="E1251" s="8" t="s">
        <v>166</v>
      </c>
      <c r="F1251" s="23">
        <v>45951</v>
      </c>
      <c r="G1251" s="8" t="s">
        <v>665</v>
      </c>
      <c r="H1251" s="23">
        <v>46041</v>
      </c>
      <c r="I1251" s="23">
        <v>45952</v>
      </c>
      <c r="J1251" s="10">
        <v>2596.66</v>
      </c>
      <c r="K1251" s="10">
        <v>0</v>
      </c>
      <c r="L1251" s="24">
        <v>0</v>
      </c>
      <c r="M1251" s="10">
        <v>2596.66</v>
      </c>
    </row>
    <row r="1252" spans="1:13" x14ac:dyDescent="0.25">
      <c r="A1252" s="12" t="str">
        <f t="shared" si="38"/>
        <v>48RUAN SMITH GARCIA CARDOSORCB46066,3840277778</v>
      </c>
      <c r="B1252" s="12" t="str">
        <f t="shared" si="39"/>
        <v>Fevereiro</v>
      </c>
      <c r="C1252" s="8" t="s">
        <v>652</v>
      </c>
      <c r="D1252" s="8" t="s">
        <v>664</v>
      </c>
      <c r="E1252" s="8" t="s">
        <v>175</v>
      </c>
      <c r="F1252" s="23">
        <v>46066.384027777778</v>
      </c>
      <c r="G1252" s="8" t="s">
        <v>1045</v>
      </c>
      <c r="H1252" s="23">
        <v>46071</v>
      </c>
      <c r="I1252" s="23">
        <v>46066.384027777778</v>
      </c>
      <c r="J1252" s="10">
        <v>95</v>
      </c>
      <c r="K1252" s="10">
        <v>0</v>
      </c>
      <c r="L1252" s="24">
        <v>0</v>
      </c>
      <c r="M1252" s="10">
        <v>95</v>
      </c>
    </row>
    <row r="1253" spans="1:13" x14ac:dyDescent="0.25">
      <c r="A1253" s="12" t="str">
        <f t="shared" si="38"/>
        <v>48CLAUDINEY ALMEIDA DE SOUZANSE46085</v>
      </c>
      <c r="B1253" s="12" t="str">
        <f t="shared" si="39"/>
        <v>Abril</v>
      </c>
      <c r="C1253" s="8" t="s">
        <v>652</v>
      </c>
      <c r="D1253" s="8" t="s">
        <v>1354</v>
      </c>
      <c r="E1253" s="8" t="s">
        <v>44</v>
      </c>
      <c r="F1253" s="23">
        <v>46085</v>
      </c>
      <c r="G1253" s="8" t="s">
        <v>665</v>
      </c>
      <c r="H1253" s="23">
        <v>46118</v>
      </c>
      <c r="I1253" s="23">
        <v>46087</v>
      </c>
      <c r="J1253" s="10">
        <v>190</v>
      </c>
      <c r="K1253" s="10">
        <v>0</v>
      </c>
      <c r="L1253" s="24">
        <v>0</v>
      </c>
      <c r="M1253" s="10">
        <v>190</v>
      </c>
    </row>
    <row r="1254" spans="1:13" x14ac:dyDescent="0.25">
      <c r="A1254" s="12" t="str">
        <f t="shared" si="38"/>
        <v>48ANTONIO ALCIDES AFONSONFS46245</v>
      </c>
      <c r="B1254" s="12" t="str">
        <f t="shared" si="39"/>
        <v>Setembro</v>
      </c>
      <c r="C1254" s="8" t="s">
        <v>652</v>
      </c>
      <c r="D1254" s="8" t="s">
        <v>1354</v>
      </c>
      <c r="E1254" s="8" t="s">
        <v>18</v>
      </c>
      <c r="F1254" s="23">
        <v>46245</v>
      </c>
      <c r="G1254" s="8" t="s">
        <v>614</v>
      </c>
      <c r="H1254" s="23">
        <v>46274</v>
      </c>
      <c r="I1254" s="23">
        <v>46248</v>
      </c>
      <c r="J1254" s="10">
        <v>300</v>
      </c>
      <c r="K1254" s="10">
        <v>0</v>
      </c>
      <c r="L1254" s="24">
        <v>0</v>
      </c>
      <c r="M1254" s="10">
        <v>300</v>
      </c>
    </row>
    <row r="1255" spans="1:13" x14ac:dyDescent="0.25">
      <c r="A1255" s="12" t="str">
        <f t="shared" si="38"/>
        <v>48292RECAPAGEM RECATEC LTDA.NSE45964</v>
      </c>
      <c r="B1255" s="12" t="str">
        <f t="shared" si="39"/>
        <v>Janeiro</v>
      </c>
      <c r="C1255" s="8" t="s">
        <v>1356</v>
      </c>
      <c r="D1255" s="8" t="s">
        <v>1354</v>
      </c>
      <c r="E1255" s="8" t="s">
        <v>166</v>
      </c>
      <c r="F1255" s="23">
        <v>45964</v>
      </c>
      <c r="G1255" s="8" t="s">
        <v>665</v>
      </c>
      <c r="H1255" s="23">
        <v>46024</v>
      </c>
      <c r="I1255" s="23">
        <v>45966</v>
      </c>
      <c r="J1255" s="10">
        <v>546.66999999999996</v>
      </c>
      <c r="K1255" s="10">
        <v>0</v>
      </c>
      <c r="L1255" s="24">
        <v>0</v>
      </c>
      <c r="M1255" s="10">
        <v>546.66999999999996</v>
      </c>
    </row>
    <row r="1256" spans="1:13" x14ac:dyDescent="0.25">
      <c r="A1256" s="12" t="str">
        <f t="shared" si="38"/>
        <v>48292RECAPAGEM RECATEC LTDA.NSE45964</v>
      </c>
      <c r="B1256" s="12" t="str">
        <f t="shared" si="39"/>
        <v>Fevereiro</v>
      </c>
      <c r="C1256" s="8" t="s">
        <v>1356</v>
      </c>
      <c r="D1256" s="8" t="s">
        <v>1354</v>
      </c>
      <c r="E1256" s="8" t="s">
        <v>166</v>
      </c>
      <c r="F1256" s="23">
        <v>45964</v>
      </c>
      <c r="G1256" s="8" t="s">
        <v>665</v>
      </c>
      <c r="H1256" s="23">
        <v>46055</v>
      </c>
      <c r="I1256" s="23">
        <v>45966</v>
      </c>
      <c r="J1256" s="10">
        <v>546.66</v>
      </c>
      <c r="K1256" s="10">
        <v>0</v>
      </c>
      <c r="L1256" s="24">
        <v>0</v>
      </c>
      <c r="M1256" s="10">
        <v>546.66</v>
      </c>
    </row>
    <row r="1257" spans="1:13" x14ac:dyDescent="0.25">
      <c r="A1257" s="12" t="str">
        <f t="shared" si="38"/>
        <v>48321RECAPAGEM RECATEC LTDA.NSE45964</v>
      </c>
      <c r="B1257" s="12" t="str">
        <f t="shared" si="39"/>
        <v>Janeiro</v>
      </c>
      <c r="C1257" s="8" t="s">
        <v>1357</v>
      </c>
      <c r="D1257" s="8" t="s">
        <v>1354</v>
      </c>
      <c r="E1257" s="8" t="s">
        <v>166</v>
      </c>
      <c r="F1257" s="23">
        <v>45964</v>
      </c>
      <c r="G1257" s="8" t="s">
        <v>665</v>
      </c>
      <c r="H1257" s="23">
        <v>46024</v>
      </c>
      <c r="I1257" s="23">
        <v>45966</v>
      </c>
      <c r="J1257" s="10">
        <v>1093.33</v>
      </c>
      <c r="K1257" s="10">
        <v>0</v>
      </c>
      <c r="L1257" s="24">
        <v>0</v>
      </c>
      <c r="M1257" s="10">
        <v>1093.33</v>
      </c>
    </row>
    <row r="1258" spans="1:13" x14ac:dyDescent="0.25">
      <c r="A1258" s="12" t="str">
        <f t="shared" si="38"/>
        <v>48321RECAPAGEM RECATEC LTDA.NSE45964</v>
      </c>
      <c r="B1258" s="12" t="str">
        <f t="shared" si="39"/>
        <v>Fevereiro</v>
      </c>
      <c r="C1258" s="8" t="s">
        <v>1357</v>
      </c>
      <c r="D1258" s="8" t="s">
        <v>1354</v>
      </c>
      <c r="E1258" s="8" t="s">
        <v>166</v>
      </c>
      <c r="F1258" s="23">
        <v>45964</v>
      </c>
      <c r="G1258" s="8" t="s">
        <v>665</v>
      </c>
      <c r="H1258" s="23">
        <v>46055</v>
      </c>
      <c r="I1258" s="23">
        <v>45966</v>
      </c>
      <c r="J1258" s="10">
        <v>1093.3399999999999</v>
      </c>
      <c r="K1258" s="10">
        <v>0</v>
      </c>
      <c r="L1258" s="24">
        <v>0</v>
      </c>
      <c r="M1258" s="10">
        <v>1093.3399999999999</v>
      </c>
    </row>
    <row r="1259" spans="1:13" x14ac:dyDescent="0.25">
      <c r="A1259" s="12" t="str">
        <f t="shared" si="38"/>
        <v>49RUAN SMITH GARCIA CARDOSORCB46080,40625</v>
      </c>
      <c r="B1259" s="12" t="str">
        <f t="shared" si="39"/>
        <v>Março</v>
      </c>
      <c r="C1259" s="8" t="s">
        <v>901</v>
      </c>
      <c r="D1259" s="8" t="s">
        <v>664</v>
      </c>
      <c r="E1259" s="8" t="s">
        <v>175</v>
      </c>
      <c r="F1259" s="23">
        <v>46080.40625</v>
      </c>
      <c r="G1259" s="8" t="s">
        <v>1045</v>
      </c>
      <c r="H1259" s="23">
        <v>46085</v>
      </c>
      <c r="I1259" s="23">
        <v>46080.40625</v>
      </c>
      <c r="J1259" s="10">
        <v>95</v>
      </c>
      <c r="K1259" s="10">
        <v>0</v>
      </c>
      <c r="L1259" s="24">
        <v>0</v>
      </c>
      <c r="M1259" s="10">
        <v>95</v>
      </c>
    </row>
    <row r="1260" spans="1:13" x14ac:dyDescent="0.25">
      <c r="A1260" s="12" t="str">
        <f t="shared" si="38"/>
        <v>49CLAUDINEY ALMEIDA DE SOUZANSE46120</v>
      </c>
      <c r="B1260" s="12" t="str">
        <f t="shared" si="39"/>
        <v>Maio</v>
      </c>
      <c r="C1260" s="8" t="s">
        <v>901</v>
      </c>
      <c r="D1260" s="8" t="s">
        <v>1354</v>
      </c>
      <c r="E1260" s="8" t="s">
        <v>44</v>
      </c>
      <c r="F1260" s="23">
        <v>46120</v>
      </c>
      <c r="G1260" s="8" t="s">
        <v>665</v>
      </c>
      <c r="H1260" s="23">
        <v>46148</v>
      </c>
      <c r="I1260" s="23">
        <v>46125</v>
      </c>
      <c r="J1260" s="10">
        <v>670</v>
      </c>
      <c r="K1260" s="10">
        <v>0</v>
      </c>
      <c r="L1260" s="24">
        <v>0</v>
      </c>
      <c r="M1260" s="10">
        <v>670</v>
      </c>
    </row>
    <row r="1261" spans="1:13" x14ac:dyDescent="0.25">
      <c r="A1261" s="12" t="str">
        <f t="shared" si="38"/>
        <v>49GABRIEL MOUTINHO ALBINORCB46282,3069444444</v>
      </c>
      <c r="B1261" s="12" t="str">
        <f t="shared" si="39"/>
        <v>Setembro</v>
      </c>
      <c r="C1261" s="8" t="s">
        <v>901</v>
      </c>
      <c r="D1261" s="8" t="s">
        <v>664</v>
      </c>
      <c r="E1261" s="8" t="s">
        <v>73</v>
      </c>
      <c r="F1261" s="23">
        <v>46282.306944444441</v>
      </c>
      <c r="G1261" s="8" t="s">
        <v>1045</v>
      </c>
      <c r="H1261" s="23">
        <v>46287</v>
      </c>
      <c r="I1261" s="23">
        <v>46282.306944444441</v>
      </c>
      <c r="J1261" s="10">
        <v>570</v>
      </c>
      <c r="K1261" s="10">
        <v>0</v>
      </c>
      <c r="L1261" s="24">
        <v>0</v>
      </c>
      <c r="M1261" s="10">
        <v>570</v>
      </c>
    </row>
    <row r="1262" spans="1:13" x14ac:dyDescent="0.25">
      <c r="A1262" s="12" t="str">
        <f t="shared" si="38"/>
        <v>4970OCUPACIONAL MEDICINA DO TRABALHO LTDANSE46042</v>
      </c>
      <c r="B1262" s="12" t="str">
        <f t="shared" si="39"/>
        <v>Março</v>
      </c>
      <c r="C1262" s="8" t="s">
        <v>902</v>
      </c>
      <c r="D1262" s="8" t="s">
        <v>664</v>
      </c>
      <c r="E1262" s="8" t="s">
        <v>142</v>
      </c>
      <c r="F1262" s="23">
        <v>46042</v>
      </c>
      <c r="G1262" s="8" t="s">
        <v>665</v>
      </c>
      <c r="H1262" s="23">
        <v>46087</v>
      </c>
      <c r="I1262" s="23">
        <v>46044</v>
      </c>
      <c r="J1262" s="10">
        <v>634.4</v>
      </c>
      <c r="K1262" s="10">
        <v>0</v>
      </c>
      <c r="L1262" s="24">
        <v>0</v>
      </c>
      <c r="M1262" s="10">
        <v>604.91</v>
      </c>
    </row>
    <row r="1263" spans="1:13" x14ac:dyDescent="0.25">
      <c r="A1263" s="12" t="str">
        <f t="shared" si="38"/>
        <v>4970-5952-87MINISTERIO DA FAZENDAIM46044,6277777778</v>
      </c>
      <c r="B1263" s="12" t="str">
        <f t="shared" si="39"/>
        <v>Fevereiro</v>
      </c>
      <c r="C1263" s="8" t="s">
        <v>1769</v>
      </c>
      <c r="D1263" s="8" t="s">
        <v>664</v>
      </c>
      <c r="E1263" s="8" t="s">
        <v>1503</v>
      </c>
      <c r="F1263" s="23">
        <v>46044.62777777778</v>
      </c>
      <c r="G1263" s="8" t="s">
        <v>1142</v>
      </c>
      <c r="H1263" s="23">
        <v>46073</v>
      </c>
      <c r="I1263" s="23">
        <v>46044.62777777778</v>
      </c>
      <c r="J1263" s="10">
        <v>29.5</v>
      </c>
      <c r="K1263" s="10">
        <v>0</v>
      </c>
      <c r="L1263" s="24">
        <v>0</v>
      </c>
      <c r="M1263" s="10">
        <v>29.5</v>
      </c>
    </row>
    <row r="1264" spans="1:13" x14ac:dyDescent="0.25">
      <c r="A1264" s="12" t="str">
        <f t="shared" si="38"/>
        <v>49789554SUELLEN LOPES TEIXEIXA 01663559686RCB46091,6090277778</v>
      </c>
      <c r="B1264" s="12" t="str">
        <f t="shared" si="39"/>
        <v>Março</v>
      </c>
      <c r="C1264" s="8" t="s">
        <v>2003</v>
      </c>
      <c r="D1264" s="8" t="s">
        <v>664</v>
      </c>
      <c r="E1264" s="8" t="s">
        <v>183</v>
      </c>
      <c r="F1264" s="23">
        <v>46091.609027777777</v>
      </c>
      <c r="G1264" s="8" t="s">
        <v>1045</v>
      </c>
      <c r="H1264" s="23">
        <v>46094</v>
      </c>
      <c r="I1264" s="23">
        <v>46091.609027777777</v>
      </c>
      <c r="J1264" s="10">
        <v>5.05</v>
      </c>
      <c r="K1264" s="10">
        <v>0</v>
      </c>
      <c r="L1264" s="24">
        <v>0</v>
      </c>
      <c r="M1264" s="10">
        <v>5.05</v>
      </c>
    </row>
    <row r="1265" spans="1:13" x14ac:dyDescent="0.25">
      <c r="A1265" s="12" t="str">
        <f t="shared" si="38"/>
        <v>5RODOLFO GUILHERME BERNARDES NORBERTORCB46031,5965277778</v>
      </c>
      <c r="B1265" s="12" t="str">
        <f t="shared" si="39"/>
        <v>Janeiro</v>
      </c>
      <c r="C1265" s="8" t="s">
        <v>653</v>
      </c>
      <c r="D1265" s="8" t="s">
        <v>664</v>
      </c>
      <c r="E1265" s="8" t="s">
        <v>171</v>
      </c>
      <c r="F1265" s="23">
        <v>46031.59652777778</v>
      </c>
      <c r="G1265" s="8" t="s">
        <v>1045</v>
      </c>
      <c r="H1265" s="23">
        <v>46036</v>
      </c>
      <c r="I1265" s="23">
        <v>46031.59652777778</v>
      </c>
      <c r="J1265" s="10">
        <v>100</v>
      </c>
      <c r="K1265" s="10">
        <v>0</v>
      </c>
      <c r="L1265" s="24">
        <v>0</v>
      </c>
      <c r="M1265" s="10">
        <v>100</v>
      </c>
    </row>
    <row r="1266" spans="1:13" x14ac:dyDescent="0.25">
      <c r="A1266" s="12" t="str">
        <f t="shared" si="38"/>
        <v>5WESLLEY FRANCO CALVISRCB46031,4597222222</v>
      </c>
      <c r="B1266" s="12" t="str">
        <f t="shared" si="39"/>
        <v>Janeiro</v>
      </c>
      <c r="C1266" s="8" t="s">
        <v>653</v>
      </c>
      <c r="D1266" s="8" t="s">
        <v>664</v>
      </c>
      <c r="E1266" s="8" t="s">
        <v>202</v>
      </c>
      <c r="F1266" s="23">
        <v>46031.459722222222</v>
      </c>
      <c r="G1266" s="8" t="s">
        <v>1045</v>
      </c>
      <c r="H1266" s="23">
        <v>46036</v>
      </c>
      <c r="I1266" s="23">
        <v>46031.459722222222</v>
      </c>
      <c r="J1266" s="10">
        <v>100</v>
      </c>
      <c r="K1266" s="10">
        <v>0</v>
      </c>
      <c r="L1266" s="24">
        <v>0</v>
      </c>
      <c r="M1266" s="10">
        <v>100</v>
      </c>
    </row>
    <row r="1267" spans="1:13" x14ac:dyDescent="0.25">
      <c r="A1267" s="12" t="str">
        <f t="shared" si="38"/>
        <v>5MAURO CAVALCANTE RODRIGUESRCB46041,48125</v>
      </c>
      <c r="B1267" s="12" t="str">
        <f t="shared" si="39"/>
        <v>Janeiro</v>
      </c>
      <c r="C1267" s="8" t="s">
        <v>653</v>
      </c>
      <c r="D1267" s="8" t="s">
        <v>664</v>
      </c>
      <c r="E1267" s="8" t="s">
        <v>1584</v>
      </c>
      <c r="F1267" s="23">
        <v>46041.481249999997</v>
      </c>
      <c r="G1267" s="8" t="s">
        <v>1045</v>
      </c>
      <c r="H1267" s="23">
        <v>46044</v>
      </c>
      <c r="I1267" s="23">
        <v>46041.481249999997</v>
      </c>
      <c r="J1267" s="10">
        <v>11.8</v>
      </c>
      <c r="K1267" s="10">
        <v>0</v>
      </c>
      <c r="L1267" s="24">
        <v>0</v>
      </c>
      <c r="M1267" s="10">
        <v>11.8</v>
      </c>
    </row>
    <row r="1268" spans="1:13" x14ac:dyDescent="0.25">
      <c r="A1268" s="12" t="str">
        <f t="shared" si="38"/>
        <v>5JESLEY WILLIAM MIRANDA DE SOUZARCB46041,4909722222</v>
      </c>
      <c r="B1268" s="12" t="str">
        <f t="shared" si="39"/>
        <v>Janeiro</v>
      </c>
      <c r="C1268" s="8" t="s">
        <v>653</v>
      </c>
      <c r="D1268" s="8" t="s">
        <v>664</v>
      </c>
      <c r="E1268" s="8" t="s">
        <v>90</v>
      </c>
      <c r="F1268" s="23">
        <v>46041.490972222222</v>
      </c>
      <c r="G1268" s="8" t="s">
        <v>1045</v>
      </c>
      <c r="H1268" s="23">
        <v>46044</v>
      </c>
      <c r="I1268" s="23">
        <v>46041.490972222222</v>
      </c>
      <c r="J1268" s="10">
        <v>100</v>
      </c>
      <c r="K1268" s="10">
        <v>0</v>
      </c>
      <c r="L1268" s="24">
        <v>0</v>
      </c>
      <c r="M1268" s="10">
        <v>100</v>
      </c>
    </row>
    <row r="1269" spans="1:13" x14ac:dyDescent="0.25">
      <c r="A1269" s="12" t="str">
        <f t="shared" si="38"/>
        <v>5ANTONIO SILVA DE SOUSARCB46058,4305555556</v>
      </c>
      <c r="B1269" s="12" t="str">
        <f t="shared" si="39"/>
        <v>Fevereiro</v>
      </c>
      <c r="C1269" s="8" t="s">
        <v>653</v>
      </c>
      <c r="D1269" s="8" t="s">
        <v>664</v>
      </c>
      <c r="E1269" s="8" t="s">
        <v>20</v>
      </c>
      <c r="F1269" s="23">
        <v>46058.430555555555</v>
      </c>
      <c r="G1269" s="8" t="s">
        <v>1045</v>
      </c>
      <c r="H1269" s="23">
        <v>46063</v>
      </c>
      <c r="I1269" s="23">
        <v>46058.430555555555</v>
      </c>
      <c r="J1269" s="10">
        <v>95</v>
      </c>
      <c r="K1269" s="10">
        <v>0</v>
      </c>
      <c r="L1269" s="24">
        <v>0</v>
      </c>
      <c r="M1269" s="10">
        <v>95</v>
      </c>
    </row>
    <row r="1270" spans="1:13" x14ac:dyDescent="0.25">
      <c r="A1270" s="12" t="str">
        <f t="shared" si="38"/>
        <v>5LEANDRO CARVALHO SILVARCB46064,40625</v>
      </c>
      <c r="B1270" s="12" t="str">
        <f t="shared" si="39"/>
        <v>Fevereiro</v>
      </c>
      <c r="C1270" s="8" t="s">
        <v>653</v>
      </c>
      <c r="D1270" s="8" t="s">
        <v>664</v>
      </c>
      <c r="E1270" s="8" t="s">
        <v>107</v>
      </c>
      <c r="F1270" s="23">
        <v>46064.40625</v>
      </c>
      <c r="G1270" s="8" t="s">
        <v>1045</v>
      </c>
      <c r="H1270" s="23">
        <v>46069</v>
      </c>
      <c r="I1270" s="23">
        <v>46064.40625</v>
      </c>
      <c r="J1270" s="10">
        <v>97.96</v>
      </c>
      <c r="K1270" s="10">
        <v>0</v>
      </c>
      <c r="L1270" s="24">
        <v>0</v>
      </c>
      <c r="M1270" s="10">
        <v>97.96</v>
      </c>
    </row>
    <row r="1271" spans="1:13" x14ac:dyDescent="0.25">
      <c r="A1271" s="12" t="str">
        <f t="shared" si="38"/>
        <v>5JESSE PREIRA LIMARCB46064,4694444444</v>
      </c>
      <c r="B1271" s="12" t="str">
        <f t="shared" si="39"/>
        <v>Fevereiro</v>
      </c>
      <c r="C1271" s="8" t="s">
        <v>653</v>
      </c>
      <c r="D1271" s="8" t="s">
        <v>664</v>
      </c>
      <c r="E1271" s="8" t="s">
        <v>1478</v>
      </c>
      <c r="F1271" s="23">
        <v>46064.469444444447</v>
      </c>
      <c r="G1271" s="8" t="s">
        <v>1045</v>
      </c>
      <c r="H1271" s="23">
        <v>46069</v>
      </c>
      <c r="I1271" s="23">
        <v>46064.469444444447</v>
      </c>
      <c r="J1271" s="10">
        <v>100</v>
      </c>
      <c r="K1271" s="10">
        <v>0</v>
      </c>
      <c r="L1271" s="24">
        <v>0</v>
      </c>
      <c r="M1271" s="10">
        <v>100</v>
      </c>
    </row>
    <row r="1272" spans="1:13" x14ac:dyDescent="0.25">
      <c r="A1272" s="12" t="str">
        <f t="shared" si="38"/>
        <v>5FERNANDA SANTOS SOARESRCB46064,4055555556</v>
      </c>
      <c r="B1272" s="12" t="str">
        <f t="shared" si="39"/>
        <v>Fevereiro</v>
      </c>
      <c r="C1272" s="8" t="s">
        <v>653</v>
      </c>
      <c r="D1272" s="8" t="s">
        <v>664</v>
      </c>
      <c r="E1272" s="8" t="s">
        <v>68</v>
      </c>
      <c r="F1272" s="23">
        <v>46064.405555555553</v>
      </c>
      <c r="G1272" s="8" t="s">
        <v>1045</v>
      </c>
      <c r="H1272" s="23">
        <v>46069</v>
      </c>
      <c r="I1272" s="23">
        <v>46064.405555555553</v>
      </c>
      <c r="J1272" s="10">
        <v>96.4</v>
      </c>
      <c r="K1272" s="10">
        <v>0</v>
      </c>
      <c r="L1272" s="24">
        <v>0</v>
      </c>
      <c r="M1272" s="10">
        <v>96.4</v>
      </c>
    </row>
    <row r="1273" spans="1:13" x14ac:dyDescent="0.25">
      <c r="A1273" s="12" t="str">
        <f t="shared" si="38"/>
        <v>5LAIENE LOPES TEIXEIRARCB46064,4006944444</v>
      </c>
      <c r="B1273" s="12" t="str">
        <f t="shared" si="39"/>
        <v>Fevereiro</v>
      </c>
      <c r="C1273" s="8" t="s">
        <v>653</v>
      </c>
      <c r="D1273" s="8" t="s">
        <v>664</v>
      </c>
      <c r="E1273" s="8" t="s">
        <v>106</v>
      </c>
      <c r="F1273" s="23">
        <v>46064.400694444441</v>
      </c>
      <c r="G1273" s="8" t="s">
        <v>1045</v>
      </c>
      <c r="H1273" s="23">
        <v>46069</v>
      </c>
      <c r="I1273" s="23">
        <v>46064.400694444441</v>
      </c>
      <c r="J1273" s="10">
        <v>473</v>
      </c>
      <c r="K1273" s="10">
        <v>0</v>
      </c>
      <c r="L1273" s="24">
        <v>0</v>
      </c>
      <c r="M1273" s="10">
        <v>473</v>
      </c>
    </row>
    <row r="1274" spans="1:13" x14ac:dyDescent="0.25">
      <c r="A1274" s="12" t="str">
        <f t="shared" si="38"/>
        <v>5PATRICIA JUSTINA DE ALMEIDARCB46064,4020833333</v>
      </c>
      <c r="B1274" s="12" t="str">
        <f t="shared" si="39"/>
        <v>Fevereiro</v>
      </c>
      <c r="C1274" s="8" t="s">
        <v>653</v>
      </c>
      <c r="D1274" s="8" t="s">
        <v>664</v>
      </c>
      <c r="E1274" s="8" t="s">
        <v>148</v>
      </c>
      <c r="F1274" s="23">
        <v>46064.402083333334</v>
      </c>
      <c r="G1274" s="8" t="s">
        <v>1045</v>
      </c>
      <c r="H1274" s="23">
        <v>46069</v>
      </c>
      <c r="I1274" s="23">
        <v>46064.402083333334</v>
      </c>
      <c r="J1274" s="10">
        <v>227</v>
      </c>
      <c r="K1274" s="10">
        <v>0</v>
      </c>
      <c r="L1274" s="24">
        <v>0</v>
      </c>
      <c r="M1274" s="10">
        <v>227</v>
      </c>
    </row>
    <row r="1275" spans="1:13" x14ac:dyDescent="0.25">
      <c r="A1275" s="12" t="str">
        <f t="shared" si="38"/>
        <v>5WALACE ROCHA DE SOUZARCB46066,38125</v>
      </c>
      <c r="B1275" s="12" t="str">
        <f t="shared" si="39"/>
        <v>Fevereiro</v>
      </c>
      <c r="C1275" s="8" t="s">
        <v>653</v>
      </c>
      <c r="D1275" s="8" t="s">
        <v>664</v>
      </c>
      <c r="E1275" s="8" t="s">
        <v>200</v>
      </c>
      <c r="F1275" s="23">
        <v>46066.381249999999</v>
      </c>
      <c r="G1275" s="8" t="s">
        <v>1045</v>
      </c>
      <c r="H1275" s="23">
        <v>46071</v>
      </c>
      <c r="I1275" s="23">
        <v>46066.381249999999</v>
      </c>
      <c r="J1275" s="10">
        <v>387.77</v>
      </c>
      <c r="K1275" s="10">
        <v>0</v>
      </c>
      <c r="L1275" s="24">
        <v>0</v>
      </c>
      <c r="M1275" s="10">
        <v>387.77</v>
      </c>
    </row>
    <row r="1276" spans="1:13" x14ac:dyDescent="0.25">
      <c r="A1276" s="12" t="str">
        <f t="shared" si="38"/>
        <v>5TIAGO FERNANDO DOS SANTOS SILVARCB46078,6</v>
      </c>
      <c r="B1276" s="12" t="str">
        <f t="shared" si="39"/>
        <v>Março</v>
      </c>
      <c r="C1276" s="8" t="s">
        <v>653</v>
      </c>
      <c r="D1276" s="8" t="s">
        <v>664</v>
      </c>
      <c r="E1276" s="8" t="s">
        <v>188</v>
      </c>
      <c r="F1276" s="23">
        <v>46078.6</v>
      </c>
      <c r="G1276" s="8" t="s">
        <v>1045</v>
      </c>
      <c r="H1276" s="23">
        <v>46083</v>
      </c>
      <c r="I1276" s="23">
        <v>46078.6</v>
      </c>
      <c r="J1276" s="10">
        <v>250</v>
      </c>
      <c r="K1276" s="10">
        <v>0</v>
      </c>
      <c r="L1276" s="24">
        <v>0</v>
      </c>
      <c r="M1276" s="10">
        <v>250</v>
      </c>
    </row>
    <row r="1277" spans="1:13" x14ac:dyDescent="0.25">
      <c r="A1277" s="12" t="str">
        <f t="shared" si="38"/>
        <v>5RODRIGO CORREARCB46094,6361111111</v>
      </c>
      <c r="B1277" s="12" t="str">
        <f t="shared" si="39"/>
        <v>Março</v>
      </c>
      <c r="C1277" s="8" t="s">
        <v>653</v>
      </c>
      <c r="D1277" s="8" t="s">
        <v>664</v>
      </c>
      <c r="E1277" s="8" t="s">
        <v>172</v>
      </c>
      <c r="F1277" s="23">
        <v>46094.636111111111</v>
      </c>
      <c r="G1277" s="8" t="s">
        <v>1045</v>
      </c>
      <c r="H1277" s="23">
        <v>46099</v>
      </c>
      <c r="I1277" s="23">
        <v>46094.636111111111</v>
      </c>
      <c r="J1277" s="10">
        <v>240</v>
      </c>
      <c r="K1277" s="10">
        <v>0</v>
      </c>
      <c r="L1277" s="24">
        <v>0</v>
      </c>
      <c r="M1277" s="10">
        <v>240</v>
      </c>
    </row>
    <row r="1278" spans="1:13" x14ac:dyDescent="0.25">
      <c r="A1278" s="12" t="str">
        <f t="shared" si="38"/>
        <v>5ENERGISA MINAS GERAIS DISTRIBUIDORA DE ENERGIA S.A.RCB46107,6916666667</v>
      </c>
      <c r="B1278" s="12" t="str">
        <f t="shared" si="39"/>
        <v>Março</v>
      </c>
      <c r="C1278" s="8" t="s">
        <v>653</v>
      </c>
      <c r="D1278" s="8" t="s">
        <v>664</v>
      </c>
      <c r="E1278" s="8" t="s">
        <v>62</v>
      </c>
      <c r="F1278" s="23">
        <v>46107.691666666666</v>
      </c>
      <c r="G1278" s="8" t="s">
        <v>1045</v>
      </c>
      <c r="H1278" s="23">
        <v>46112</v>
      </c>
      <c r="I1278" s="23">
        <v>46107.691666666666</v>
      </c>
      <c r="J1278" s="10">
        <v>115.25</v>
      </c>
      <c r="K1278" s="10">
        <v>0</v>
      </c>
      <c r="L1278" s="24">
        <v>0</v>
      </c>
      <c r="M1278" s="10">
        <v>115.25</v>
      </c>
    </row>
    <row r="1279" spans="1:13" x14ac:dyDescent="0.25">
      <c r="A1279" s="12" t="str">
        <f t="shared" si="38"/>
        <v>5DIONIZIO JOSE DE CASSIO PINTORCB46148,6631944444</v>
      </c>
      <c r="B1279" s="12" t="str">
        <f t="shared" si="39"/>
        <v>Maio</v>
      </c>
      <c r="C1279" s="8" t="s">
        <v>653</v>
      </c>
      <c r="D1279" s="8" t="s">
        <v>664</v>
      </c>
      <c r="E1279" s="8" t="s">
        <v>53</v>
      </c>
      <c r="F1279" s="23">
        <v>46148.663194444445</v>
      </c>
      <c r="G1279" s="8" t="s">
        <v>1045</v>
      </c>
      <c r="H1279" s="23">
        <v>46153</v>
      </c>
      <c r="I1279" s="23">
        <v>46148.663194444445</v>
      </c>
      <c r="J1279" s="10">
        <v>70</v>
      </c>
      <c r="K1279" s="10">
        <v>0</v>
      </c>
      <c r="L1279" s="24">
        <v>0</v>
      </c>
      <c r="M1279" s="10">
        <v>70</v>
      </c>
    </row>
    <row r="1280" spans="1:13" x14ac:dyDescent="0.25">
      <c r="A1280" s="12" t="str">
        <f t="shared" si="38"/>
        <v>5DEMETRIO GRIGORIO DA SILVARCB46155,4090277778</v>
      </c>
      <c r="B1280" s="12" t="str">
        <f t="shared" si="39"/>
        <v>Maio</v>
      </c>
      <c r="C1280" s="8" t="s">
        <v>653</v>
      </c>
      <c r="D1280" s="8" t="s">
        <v>664</v>
      </c>
      <c r="E1280" s="8" t="s">
        <v>50</v>
      </c>
      <c r="F1280" s="23">
        <v>46155.40902777778</v>
      </c>
      <c r="G1280" s="8" t="s">
        <v>1045</v>
      </c>
      <c r="H1280" s="23">
        <v>46160</v>
      </c>
      <c r="I1280" s="23">
        <v>46155.40902777778</v>
      </c>
      <c r="J1280" s="10">
        <v>87</v>
      </c>
      <c r="K1280" s="10">
        <v>0</v>
      </c>
      <c r="L1280" s="24">
        <v>0</v>
      </c>
      <c r="M1280" s="10">
        <v>87</v>
      </c>
    </row>
    <row r="1281" spans="1:13" x14ac:dyDescent="0.25">
      <c r="A1281" s="12" t="str">
        <f t="shared" si="38"/>
        <v>5ILDEON FERREIRA SANTOSRCB46164,4909722222</v>
      </c>
      <c r="B1281" s="12" t="str">
        <f t="shared" si="39"/>
        <v>Maio</v>
      </c>
      <c r="C1281" s="8" t="s">
        <v>653</v>
      </c>
      <c r="D1281" s="8" t="s">
        <v>664</v>
      </c>
      <c r="E1281" s="8" t="s">
        <v>86</v>
      </c>
      <c r="F1281" s="23">
        <v>46164.490972222222</v>
      </c>
      <c r="G1281" s="8" t="s">
        <v>1045</v>
      </c>
      <c r="H1281" s="23">
        <v>46169</v>
      </c>
      <c r="I1281" s="23">
        <v>46164.490972222222</v>
      </c>
      <c r="J1281" s="10">
        <v>200</v>
      </c>
      <c r="K1281" s="10">
        <v>0</v>
      </c>
      <c r="L1281" s="24">
        <v>0</v>
      </c>
      <c r="M1281" s="10">
        <v>200</v>
      </c>
    </row>
    <row r="1282" spans="1:13" x14ac:dyDescent="0.25">
      <c r="A1282" s="12" t="str">
        <f t="shared" ref="A1282:A1345" si="40">$C1282&amp;$E1282&amp;$G1282&amp;$F1282</f>
        <v>5PAULO SILAS GOMES SOARESRCB46171,3784722222</v>
      </c>
      <c r="B1282" s="12" t="str">
        <f t="shared" si="39"/>
        <v>Junho</v>
      </c>
      <c r="C1282" s="8" t="s">
        <v>653</v>
      </c>
      <c r="D1282" s="8" t="s">
        <v>664</v>
      </c>
      <c r="E1282" s="8" t="s">
        <v>154</v>
      </c>
      <c r="F1282" s="23">
        <v>46171.378472222219</v>
      </c>
      <c r="G1282" s="8" t="s">
        <v>1045</v>
      </c>
      <c r="H1282" s="23">
        <v>46176</v>
      </c>
      <c r="I1282" s="23">
        <v>46171.378472222219</v>
      </c>
      <c r="J1282" s="10">
        <v>263.68</v>
      </c>
      <c r="K1282" s="10">
        <v>0</v>
      </c>
      <c r="L1282" s="24">
        <v>0</v>
      </c>
      <c r="M1282" s="10">
        <v>263.68</v>
      </c>
    </row>
    <row r="1283" spans="1:13" x14ac:dyDescent="0.25">
      <c r="A1283" s="12" t="str">
        <f t="shared" si="40"/>
        <v>5NILTON BATISTA DA COSTARCB46174,4076388889</v>
      </c>
      <c r="B1283" s="12" t="str">
        <f t="shared" ref="B1283:B1346" si="41">PROPER(TEXT($H1283,"MMMM"))</f>
        <v>Junho</v>
      </c>
      <c r="C1283" s="8" t="s">
        <v>653</v>
      </c>
      <c r="D1283" s="8" t="s">
        <v>664</v>
      </c>
      <c r="E1283" s="8" t="s">
        <v>139</v>
      </c>
      <c r="F1283" s="23">
        <v>46174.407638888886</v>
      </c>
      <c r="G1283" s="8" t="s">
        <v>1045</v>
      </c>
      <c r="H1283" s="23">
        <v>46178</v>
      </c>
      <c r="I1283" s="23">
        <v>46174.407638888886</v>
      </c>
      <c r="J1283" s="10">
        <v>31.1</v>
      </c>
      <c r="K1283" s="10">
        <v>0</v>
      </c>
      <c r="L1283" s="24">
        <v>0</v>
      </c>
      <c r="M1283" s="10">
        <v>31.1</v>
      </c>
    </row>
    <row r="1284" spans="1:13" x14ac:dyDescent="0.25">
      <c r="A1284" s="12" t="str">
        <f t="shared" si="40"/>
        <v>5ANDRE GOMES DA SILVARCB46175,6576388889</v>
      </c>
      <c r="B1284" s="12" t="str">
        <f t="shared" si="41"/>
        <v>Junho</v>
      </c>
      <c r="C1284" s="8" t="s">
        <v>653</v>
      </c>
      <c r="D1284" s="8" t="s">
        <v>664</v>
      </c>
      <c r="E1284" s="8" t="s">
        <v>14</v>
      </c>
      <c r="F1284" s="23">
        <v>46175.657638888886</v>
      </c>
      <c r="G1284" s="8" t="s">
        <v>1045</v>
      </c>
      <c r="H1284" s="23">
        <v>46178</v>
      </c>
      <c r="I1284" s="23">
        <v>46175.657638888886</v>
      </c>
      <c r="J1284" s="10">
        <v>89</v>
      </c>
      <c r="K1284" s="10">
        <v>0</v>
      </c>
      <c r="L1284" s="24">
        <v>0</v>
      </c>
      <c r="M1284" s="10">
        <v>89</v>
      </c>
    </row>
    <row r="1285" spans="1:13" x14ac:dyDescent="0.25">
      <c r="A1285" s="12" t="str">
        <f t="shared" si="40"/>
        <v>5ANA PAULA DE ALMEIDA ARAUJORCB46192,3111111111</v>
      </c>
      <c r="B1285" s="12" t="str">
        <f t="shared" si="41"/>
        <v>Junho</v>
      </c>
      <c r="C1285" s="8" t="s">
        <v>653</v>
      </c>
      <c r="D1285" s="8" t="s">
        <v>664</v>
      </c>
      <c r="E1285" s="8" t="s">
        <v>12</v>
      </c>
      <c r="F1285" s="23">
        <v>46192.311111111114</v>
      </c>
      <c r="G1285" s="8" t="s">
        <v>1045</v>
      </c>
      <c r="H1285" s="23">
        <v>46197</v>
      </c>
      <c r="I1285" s="23">
        <v>46192.311111111114</v>
      </c>
      <c r="J1285" s="10">
        <v>78.12</v>
      </c>
      <c r="K1285" s="10">
        <v>0</v>
      </c>
      <c r="L1285" s="24">
        <v>0</v>
      </c>
      <c r="M1285" s="10">
        <v>78.12</v>
      </c>
    </row>
    <row r="1286" spans="1:13" x14ac:dyDescent="0.25">
      <c r="A1286" s="12" t="str">
        <f t="shared" si="40"/>
        <v>5MOISES DA COSTA AZEVEDORCB46196,4972222222</v>
      </c>
      <c r="B1286" s="12" t="str">
        <f t="shared" si="41"/>
        <v>Junho</v>
      </c>
      <c r="C1286" s="8" t="s">
        <v>653</v>
      </c>
      <c r="D1286" s="8" t="s">
        <v>664</v>
      </c>
      <c r="E1286" s="8" t="s">
        <v>134</v>
      </c>
      <c r="F1286" s="23">
        <v>46196.49722222222</v>
      </c>
      <c r="G1286" s="8" t="s">
        <v>1045</v>
      </c>
      <c r="H1286" s="23">
        <v>46199</v>
      </c>
      <c r="I1286" s="23">
        <v>46196.49722222222</v>
      </c>
      <c r="J1286" s="10">
        <v>263.68</v>
      </c>
      <c r="K1286" s="10">
        <v>0</v>
      </c>
      <c r="L1286" s="24">
        <v>0</v>
      </c>
      <c r="M1286" s="10">
        <v>263.68</v>
      </c>
    </row>
    <row r="1287" spans="1:13" x14ac:dyDescent="0.25">
      <c r="A1287" s="12" t="str">
        <f t="shared" si="40"/>
        <v>5CARLOS ANTONIO PINTORCB46210,4506944444</v>
      </c>
      <c r="B1287" s="12" t="str">
        <f t="shared" si="41"/>
        <v>Julho</v>
      </c>
      <c r="C1287" s="8" t="s">
        <v>653</v>
      </c>
      <c r="D1287" s="8" t="s">
        <v>664</v>
      </c>
      <c r="E1287" s="8" t="s">
        <v>36</v>
      </c>
      <c r="F1287" s="23">
        <v>46210.450694444444</v>
      </c>
      <c r="G1287" s="8" t="s">
        <v>1045</v>
      </c>
      <c r="H1287" s="23">
        <v>46213</v>
      </c>
      <c r="I1287" s="23">
        <v>46210.450694444444</v>
      </c>
      <c r="J1287" s="10">
        <v>78.5</v>
      </c>
      <c r="K1287" s="10">
        <v>0</v>
      </c>
      <c r="L1287" s="24">
        <v>0</v>
      </c>
      <c r="M1287" s="10">
        <v>78.5</v>
      </c>
    </row>
    <row r="1288" spans="1:13" x14ac:dyDescent="0.25">
      <c r="A1288" s="12" t="str">
        <f t="shared" si="40"/>
        <v>5WEDERSON LUIZ DE OLIVEIRARCB46217,4340277778</v>
      </c>
      <c r="B1288" s="12" t="str">
        <f t="shared" si="41"/>
        <v>Julho</v>
      </c>
      <c r="C1288" s="8" t="s">
        <v>653</v>
      </c>
      <c r="D1288" s="8" t="s">
        <v>664</v>
      </c>
      <c r="E1288" s="8" t="s">
        <v>201</v>
      </c>
      <c r="F1288" s="23">
        <v>46217.434027777781</v>
      </c>
      <c r="G1288" s="8" t="s">
        <v>1045</v>
      </c>
      <c r="H1288" s="23">
        <v>46220</v>
      </c>
      <c r="I1288" s="23">
        <v>46217.434027777781</v>
      </c>
      <c r="J1288" s="10">
        <v>123.9</v>
      </c>
      <c r="K1288" s="10">
        <v>0</v>
      </c>
      <c r="L1288" s="24">
        <v>0</v>
      </c>
      <c r="M1288" s="10">
        <v>123.9</v>
      </c>
    </row>
    <row r="1289" spans="1:13" x14ac:dyDescent="0.25">
      <c r="A1289" s="12" t="str">
        <f t="shared" si="40"/>
        <v>5MARAJO NAVEGACAO COMERCIO E TRANSPORTE DE PASSAGEIROS LTDARCB46218,6131944444</v>
      </c>
      <c r="B1289" s="12" t="str">
        <f t="shared" si="41"/>
        <v>Julho</v>
      </c>
      <c r="C1289" s="8" t="s">
        <v>653</v>
      </c>
      <c r="D1289" s="8" t="s">
        <v>664</v>
      </c>
      <c r="E1289" s="8" t="s">
        <v>118</v>
      </c>
      <c r="F1289" s="23">
        <v>46218.613194444442</v>
      </c>
      <c r="G1289" s="8" t="s">
        <v>1045</v>
      </c>
      <c r="H1289" s="23">
        <v>46223</v>
      </c>
      <c r="I1289" s="23">
        <v>46218.613194444442</v>
      </c>
      <c r="J1289" s="10">
        <v>624</v>
      </c>
      <c r="K1289" s="10">
        <v>0</v>
      </c>
      <c r="L1289" s="24">
        <v>0</v>
      </c>
      <c r="M1289" s="10">
        <v>624</v>
      </c>
    </row>
    <row r="1290" spans="1:13" x14ac:dyDescent="0.25">
      <c r="A1290" s="12" t="str">
        <f t="shared" si="40"/>
        <v>5EXPRESSO TRANSPORTE LTDARCB46218,6125</v>
      </c>
      <c r="B1290" s="12" t="str">
        <f t="shared" si="41"/>
        <v>Julho</v>
      </c>
      <c r="C1290" s="8" t="s">
        <v>653</v>
      </c>
      <c r="D1290" s="8" t="s">
        <v>664</v>
      </c>
      <c r="E1290" s="8" t="s">
        <v>66</v>
      </c>
      <c r="F1290" s="23">
        <v>46218.612500000003</v>
      </c>
      <c r="G1290" s="8" t="s">
        <v>1045</v>
      </c>
      <c r="H1290" s="23">
        <v>46223</v>
      </c>
      <c r="I1290" s="23">
        <v>46218.612500000003</v>
      </c>
      <c r="J1290" s="10">
        <v>3120</v>
      </c>
      <c r="K1290" s="10">
        <v>0</v>
      </c>
      <c r="L1290" s="24">
        <v>0</v>
      </c>
      <c r="M1290" s="10">
        <v>3120</v>
      </c>
    </row>
    <row r="1291" spans="1:13" x14ac:dyDescent="0.25">
      <c r="A1291" s="12" t="str">
        <f t="shared" si="40"/>
        <v>5MAYNARTE SERVICOS DE SERRALHERIA E CONSERVACAO LIMITADANFS46191</v>
      </c>
      <c r="B1291" s="12" t="str">
        <f t="shared" si="41"/>
        <v>Julho</v>
      </c>
      <c r="C1291" s="8" t="s">
        <v>653</v>
      </c>
      <c r="D1291" s="8" t="s">
        <v>769</v>
      </c>
      <c r="E1291" s="8" t="s">
        <v>124</v>
      </c>
      <c r="F1291" s="23">
        <v>46191</v>
      </c>
      <c r="G1291" s="8" t="s">
        <v>614</v>
      </c>
      <c r="H1291" s="23">
        <v>46224</v>
      </c>
      <c r="I1291" s="23">
        <v>46199</v>
      </c>
      <c r="J1291" s="10">
        <v>7500</v>
      </c>
      <c r="K1291" s="10">
        <v>0</v>
      </c>
      <c r="L1291" s="24">
        <v>0</v>
      </c>
      <c r="M1291" s="10">
        <v>7125</v>
      </c>
    </row>
    <row r="1292" spans="1:13" x14ac:dyDescent="0.25">
      <c r="A1292" s="12" t="str">
        <f t="shared" si="40"/>
        <v>5RAISSA DE CARVALHO FIORINERCB46231,4923611111</v>
      </c>
      <c r="B1292" s="12" t="str">
        <f t="shared" si="41"/>
        <v>Julho</v>
      </c>
      <c r="C1292" s="8" t="s">
        <v>653</v>
      </c>
      <c r="D1292" s="8" t="s">
        <v>664</v>
      </c>
      <c r="E1292" s="8" t="s">
        <v>163</v>
      </c>
      <c r="F1292" s="23">
        <v>46231.492361111108</v>
      </c>
      <c r="G1292" s="8" t="s">
        <v>1045</v>
      </c>
      <c r="H1292" s="23">
        <v>46234</v>
      </c>
      <c r="I1292" s="23">
        <v>46231.492361111108</v>
      </c>
      <c r="J1292" s="10">
        <v>18.2</v>
      </c>
      <c r="K1292" s="10">
        <v>0</v>
      </c>
      <c r="L1292" s="24">
        <v>0</v>
      </c>
      <c r="M1292" s="10">
        <v>18.2</v>
      </c>
    </row>
    <row r="1293" spans="1:13" x14ac:dyDescent="0.25">
      <c r="A1293" s="12" t="str">
        <f t="shared" si="40"/>
        <v>5KATHLEEN KRISLEY AMBROSIO LARARCB46233,3944444444</v>
      </c>
      <c r="B1293" s="12" t="str">
        <f t="shared" si="41"/>
        <v>Agosto</v>
      </c>
      <c r="C1293" s="8" t="s">
        <v>653</v>
      </c>
      <c r="D1293" s="8" t="s">
        <v>664</v>
      </c>
      <c r="E1293" s="8" t="s">
        <v>104</v>
      </c>
      <c r="F1293" s="23">
        <v>46233.394444444442</v>
      </c>
      <c r="G1293" s="8" t="s">
        <v>1045</v>
      </c>
      <c r="H1293" s="23">
        <v>46238</v>
      </c>
      <c r="I1293" s="23">
        <v>46233.394444444442</v>
      </c>
      <c r="J1293" s="10">
        <v>93.72</v>
      </c>
      <c r="K1293" s="10">
        <v>0</v>
      </c>
      <c r="L1293" s="24">
        <v>0</v>
      </c>
      <c r="M1293" s="10">
        <v>93.72</v>
      </c>
    </row>
    <row r="1294" spans="1:13" x14ac:dyDescent="0.25">
      <c r="A1294" s="12" t="str">
        <f t="shared" si="40"/>
        <v>5ANTONIO CARLOS DA COSTARCB46237,3715277778</v>
      </c>
      <c r="B1294" s="12" t="str">
        <f t="shared" si="41"/>
        <v>Agosto</v>
      </c>
      <c r="C1294" s="8" t="s">
        <v>653</v>
      </c>
      <c r="D1294" s="8" t="s">
        <v>664</v>
      </c>
      <c r="E1294" s="8" t="s">
        <v>19</v>
      </c>
      <c r="F1294" s="23">
        <v>46237.371527777781</v>
      </c>
      <c r="G1294" s="8" t="s">
        <v>1045</v>
      </c>
      <c r="H1294" s="23">
        <v>46240</v>
      </c>
      <c r="I1294" s="23">
        <v>46237.371527777781</v>
      </c>
      <c r="J1294" s="10">
        <v>53.26</v>
      </c>
      <c r="K1294" s="10">
        <v>0</v>
      </c>
      <c r="L1294" s="24">
        <v>0</v>
      </c>
      <c r="M1294" s="10">
        <v>53.26</v>
      </c>
    </row>
    <row r="1295" spans="1:13" x14ac:dyDescent="0.25">
      <c r="A1295" s="12" t="str">
        <f t="shared" si="40"/>
        <v>5ENIO FERREIRA RUMASRCB46237,3493055556</v>
      </c>
      <c r="B1295" s="12" t="str">
        <f t="shared" si="41"/>
        <v>Agosto</v>
      </c>
      <c r="C1295" s="8" t="s">
        <v>653</v>
      </c>
      <c r="D1295" s="8" t="s">
        <v>664</v>
      </c>
      <c r="E1295" s="8" t="s">
        <v>64</v>
      </c>
      <c r="F1295" s="23">
        <v>46237.349305555559</v>
      </c>
      <c r="G1295" s="8" t="s">
        <v>1045</v>
      </c>
      <c r="H1295" s="23">
        <v>46240</v>
      </c>
      <c r="I1295" s="23">
        <v>46237.349305555559</v>
      </c>
      <c r="J1295" s="10">
        <v>100</v>
      </c>
      <c r="K1295" s="10">
        <v>0</v>
      </c>
      <c r="L1295" s="24">
        <v>0</v>
      </c>
      <c r="M1295" s="10">
        <v>100</v>
      </c>
    </row>
    <row r="1296" spans="1:13" x14ac:dyDescent="0.25">
      <c r="A1296" s="12" t="str">
        <f t="shared" si="40"/>
        <v>5LUIZ HENRIQUE CARVALHO DA SILVARCB46241,6166666667</v>
      </c>
      <c r="B1296" s="12" t="str">
        <f t="shared" si="41"/>
        <v>Agosto</v>
      </c>
      <c r="C1296" s="8" t="s">
        <v>653</v>
      </c>
      <c r="D1296" s="8" t="s">
        <v>664</v>
      </c>
      <c r="E1296" s="8" t="s">
        <v>114</v>
      </c>
      <c r="F1296" s="23">
        <v>46241.616666666669</v>
      </c>
      <c r="G1296" s="8" t="s">
        <v>1045</v>
      </c>
      <c r="H1296" s="23">
        <v>46246</v>
      </c>
      <c r="I1296" s="23">
        <v>46241.616666666669</v>
      </c>
      <c r="J1296" s="10">
        <v>23.8</v>
      </c>
      <c r="K1296" s="10">
        <v>0</v>
      </c>
      <c r="L1296" s="24">
        <v>0</v>
      </c>
      <c r="M1296" s="10">
        <v>23.8</v>
      </c>
    </row>
    <row r="1297" spans="1:13" x14ac:dyDescent="0.25">
      <c r="A1297" s="12" t="str">
        <f t="shared" si="40"/>
        <v>5RODRIGO DE SOUZA MANTOVANIRCB46252,725</v>
      </c>
      <c r="B1297" s="12" t="str">
        <f t="shared" si="41"/>
        <v>Agosto</v>
      </c>
      <c r="C1297" s="8" t="s">
        <v>653</v>
      </c>
      <c r="D1297" s="8" t="s">
        <v>664</v>
      </c>
      <c r="E1297" s="8" t="s">
        <v>173</v>
      </c>
      <c r="F1297" s="23">
        <v>46252.724999999999</v>
      </c>
      <c r="G1297" s="8" t="s">
        <v>1045</v>
      </c>
      <c r="H1297" s="23">
        <v>46255</v>
      </c>
      <c r="I1297" s="23">
        <v>46252.724999999999</v>
      </c>
      <c r="J1297" s="10">
        <v>276.12</v>
      </c>
      <c r="K1297" s="10">
        <v>0</v>
      </c>
      <c r="L1297" s="24">
        <v>0</v>
      </c>
      <c r="M1297" s="10">
        <v>276.12</v>
      </c>
    </row>
    <row r="1298" spans="1:13" x14ac:dyDescent="0.25">
      <c r="A1298" s="12" t="str">
        <f t="shared" si="40"/>
        <v>5ANDERSON LUIS FROES DE JESUSRCB46254,3472222222</v>
      </c>
      <c r="B1298" s="12" t="str">
        <f t="shared" si="41"/>
        <v>Agosto</v>
      </c>
      <c r="C1298" s="8" t="s">
        <v>653</v>
      </c>
      <c r="D1298" s="8" t="s">
        <v>664</v>
      </c>
      <c r="E1298" s="8" t="s">
        <v>13</v>
      </c>
      <c r="F1298" s="23">
        <v>46254.347222222219</v>
      </c>
      <c r="G1298" s="8" t="s">
        <v>1045</v>
      </c>
      <c r="H1298" s="23">
        <v>46259</v>
      </c>
      <c r="I1298" s="23">
        <v>46254.347222222219</v>
      </c>
      <c r="J1298" s="10">
        <v>95</v>
      </c>
      <c r="K1298" s="10">
        <v>0</v>
      </c>
      <c r="L1298" s="24">
        <v>0</v>
      </c>
      <c r="M1298" s="10">
        <v>95</v>
      </c>
    </row>
    <row r="1299" spans="1:13" x14ac:dyDescent="0.25">
      <c r="A1299" s="12" t="str">
        <f t="shared" si="40"/>
        <v>5EDIVALDO SOUZA SANTOSRCB46258,4715277778</v>
      </c>
      <c r="B1299" s="12" t="str">
        <f t="shared" si="41"/>
        <v>Agosto</v>
      </c>
      <c r="C1299" s="8" t="s">
        <v>653</v>
      </c>
      <c r="D1299" s="8" t="s">
        <v>664</v>
      </c>
      <c r="E1299" s="8" t="s">
        <v>57</v>
      </c>
      <c r="F1299" s="23">
        <v>46258.47152777778</v>
      </c>
      <c r="G1299" s="8" t="s">
        <v>1045</v>
      </c>
      <c r="H1299" s="23">
        <v>46261</v>
      </c>
      <c r="I1299" s="23">
        <v>46258.47152777778</v>
      </c>
      <c r="J1299" s="10">
        <v>275</v>
      </c>
      <c r="K1299" s="10">
        <v>0</v>
      </c>
      <c r="L1299" s="24">
        <v>0</v>
      </c>
      <c r="M1299" s="10">
        <v>275</v>
      </c>
    </row>
    <row r="1300" spans="1:13" x14ac:dyDescent="0.25">
      <c r="A1300" s="12" t="str">
        <f t="shared" si="40"/>
        <v>5FERNANDO TOMAS DA SILVARCB46265,4298611111</v>
      </c>
      <c r="B1300" s="12" t="str">
        <f t="shared" si="41"/>
        <v>Setembro</v>
      </c>
      <c r="C1300" s="8" t="s">
        <v>653</v>
      </c>
      <c r="D1300" s="8" t="s">
        <v>664</v>
      </c>
      <c r="E1300" s="8" t="s">
        <v>218</v>
      </c>
      <c r="F1300" s="23">
        <v>46265.429861111108</v>
      </c>
      <c r="G1300" s="8" t="s">
        <v>1045</v>
      </c>
      <c r="H1300" s="23">
        <v>46268</v>
      </c>
      <c r="I1300" s="23">
        <v>46265.429861111108</v>
      </c>
      <c r="J1300" s="10">
        <v>42.55</v>
      </c>
      <c r="K1300" s="10">
        <v>0</v>
      </c>
      <c r="L1300" s="24">
        <v>0</v>
      </c>
      <c r="M1300" s="10">
        <v>42.55</v>
      </c>
    </row>
    <row r="1301" spans="1:13" x14ac:dyDescent="0.25">
      <c r="A1301" s="12" t="str">
        <f t="shared" si="40"/>
        <v>50RUAN SMITH GARCIA CARDOSORCB46100,4409722222</v>
      </c>
      <c r="B1301" s="12" t="str">
        <f t="shared" si="41"/>
        <v>Março</v>
      </c>
      <c r="C1301" s="8" t="s">
        <v>2090</v>
      </c>
      <c r="D1301" s="8" t="s">
        <v>664</v>
      </c>
      <c r="E1301" s="8" t="s">
        <v>175</v>
      </c>
      <c r="F1301" s="23">
        <v>46100.440972222219</v>
      </c>
      <c r="G1301" s="8" t="s">
        <v>1045</v>
      </c>
      <c r="H1301" s="23">
        <v>46105</v>
      </c>
      <c r="I1301" s="23">
        <v>46100.440972222219</v>
      </c>
      <c r="J1301" s="10">
        <v>95</v>
      </c>
      <c r="K1301" s="10">
        <v>0</v>
      </c>
      <c r="L1301" s="24">
        <v>0</v>
      </c>
      <c r="M1301" s="10">
        <v>95</v>
      </c>
    </row>
    <row r="1302" spans="1:13" x14ac:dyDescent="0.25">
      <c r="A1302" s="12" t="str">
        <f t="shared" si="40"/>
        <v>50GABRIEL MOUTINHO ALBINORCB46283,4583333333</v>
      </c>
      <c r="B1302" s="12" t="str">
        <f t="shared" si="41"/>
        <v>Setembro</v>
      </c>
      <c r="C1302" s="8" t="s">
        <v>2090</v>
      </c>
      <c r="D1302" s="8" t="s">
        <v>664</v>
      </c>
      <c r="E1302" s="8" t="s">
        <v>73</v>
      </c>
      <c r="F1302" s="23">
        <v>46283.458333333336</v>
      </c>
      <c r="G1302" s="8" t="s">
        <v>1045</v>
      </c>
      <c r="H1302" s="23">
        <v>46288</v>
      </c>
      <c r="I1302" s="23">
        <v>46283.458333333336</v>
      </c>
      <c r="J1302" s="10">
        <v>400</v>
      </c>
      <c r="K1302" s="10">
        <v>0</v>
      </c>
      <c r="L1302" s="24">
        <v>0</v>
      </c>
      <c r="M1302" s="10">
        <v>400</v>
      </c>
    </row>
    <row r="1303" spans="1:13" x14ac:dyDescent="0.25">
      <c r="A1303" s="12" t="str">
        <f t="shared" si="40"/>
        <v>5004792ADILSON VIANA DO SACRAMENTORCB46028,5895833333</v>
      </c>
      <c r="B1303" s="12" t="str">
        <f t="shared" si="41"/>
        <v>Janeiro</v>
      </c>
      <c r="C1303" s="8" t="s">
        <v>1389</v>
      </c>
      <c r="D1303" s="8" t="s">
        <v>664</v>
      </c>
      <c r="E1303" s="8" t="s">
        <v>1390</v>
      </c>
      <c r="F1303" s="23">
        <v>46028.589583333334</v>
      </c>
      <c r="G1303" s="8" t="s">
        <v>1045</v>
      </c>
      <c r="H1303" s="23">
        <v>46031</v>
      </c>
      <c r="I1303" s="23">
        <v>46028.589583333334</v>
      </c>
      <c r="J1303" s="10">
        <v>56.8</v>
      </c>
      <c r="K1303" s="10">
        <v>0</v>
      </c>
      <c r="L1303" s="24">
        <v>0</v>
      </c>
      <c r="M1303" s="10">
        <v>56.8</v>
      </c>
    </row>
    <row r="1304" spans="1:13" x14ac:dyDescent="0.25">
      <c r="A1304" s="12" t="str">
        <f t="shared" si="40"/>
        <v>5004868DANILO ROSA NUNESRCB46041,4798611111</v>
      </c>
      <c r="B1304" s="12" t="str">
        <f t="shared" si="41"/>
        <v>Janeiro</v>
      </c>
      <c r="C1304" s="8" t="s">
        <v>1586</v>
      </c>
      <c r="D1304" s="8" t="s">
        <v>664</v>
      </c>
      <c r="E1304" s="8" t="s">
        <v>1587</v>
      </c>
      <c r="F1304" s="23">
        <v>46041.479861111111</v>
      </c>
      <c r="G1304" s="8" t="s">
        <v>1045</v>
      </c>
      <c r="H1304" s="23">
        <v>46044</v>
      </c>
      <c r="I1304" s="23">
        <v>46041.479861111111</v>
      </c>
      <c r="J1304" s="10">
        <v>11</v>
      </c>
      <c r="K1304" s="10">
        <v>0</v>
      </c>
      <c r="L1304" s="24">
        <v>0</v>
      </c>
      <c r="M1304" s="10">
        <v>11</v>
      </c>
    </row>
    <row r="1305" spans="1:13" x14ac:dyDescent="0.25">
      <c r="A1305" s="12" t="str">
        <f t="shared" si="40"/>
        <v>5004892RENILSON DIAS DE BRITOCT46008,6756944444</v>
      </c>
      <c r="B1305" s="12" t="str">
        <f t="shared" si="41"/>
        <v>Janeiro</v>
      </c>
      <c r="C1305" s="8" t="s">
        <v>1382</v>
      </c>
      <c r="D1305" s="8" t="s">
        <v>664</v>
      </c>
      <c r="E1305" s="8" t="s">
        <v>1383</v>
      </c>
      <c r="F1305" s="23">
        <v>46008.675694444442</v>
      </c>
      <c r="G1305" s="8" t="s">
        <v>1035</v>
      </c>
      <c r="H1305" s="23">
        <v>46028</v>
      </c>
      <c r="I1305" s="23">
        <v>46008.675694444442</v>
      </c>
      <c r="J1305" s="10">
        <v>350</v>
      </c>
      <c r="K1305" s="10">
        <v>0</v>
      </c>
      <c r="L1305" s="24">
        <v>0</v>
      </c>
      <c r="M1305" s="10">
        <v>350</v>
      </c>
    </row>
    <row r="1306" spans="1:13" x14ac:dyDescent="0.25">
      <c r="A1306" s="12" t="str">
        <f t="shared" si="40"/>
        <v>5004893DANIELLE HEBERT CARVALHO PEREIRACT46008,6756944444</v>
      </c>
      <c r="B1306" s="12" t="str">
        <f t="shared" si="41"/>
        <v>Janeiro</v>
      </c>
      <c r="C1306" s="8" t="s">
        <v>1419</v>
      </c>
      <c r="D1306" s="8" t="s">
        <v>664</v>
      </c>
      <c r="E1306" s="8" t="s">
        <v>48</v>
      </c>
      <c r="F1306" s="23">
        <v>46008.675694444442</v>
      </c>
      <c r="G1306" s="8" t="s">
        <v>1035</v>
      </c>
      <c r="H1306" s="23">
        <v>46028</v>
      </c>
      <c r="I1306" s="23">
        <v>46008.675694444442</v>
      </c>
      <c r="J1306" s="10">
        <v>1193</v>
      </c>
      <c r="K1306" s="10">
        <v>0</v>
      </c>
      <c r="L1306" s="24">
        <v>0</v>
      </c>
      <c r="M1306" s="10">
        <v>1193</v>
      </c>
    </row>
    <row r="1307" spans="1:13" x14ac:dyDescent="0.25">
      <c r="A1307" s="12" t="str">
        <f t="shared" si="40"/>
        <v>5004894MARCOS FILIPE DE ALCANTARA PEREIRACT46008,6763888889</v>
      </c>
      <c r="B1307" s="12" t="str">
        <f t="shared" si="41"/>
        <v>Janeiro</v>
      </c>
      <c r="C1307" s="8" t="s">
        <v>1384</v>
      </c>
      <c r="D1307" s="8" t="s">
        <v>664</v>
      </c>
      <c r="E1307" s="8" t="s">
        <v>1385</v>
      </c>
      <c r="F1307" s="23">
        <v>46008.676388888889</v>
      </c>
      <c r="G1307" s="8" t="s">
        <v>1035</v>
      </c>
      <c r="H1307" s="23">
        <v>46028</v>
      </c>
      <c r="I1307" s="23">
        <v>46008.676388888889</v>
      </c>
      <c r="J1307" s="10">
        <v>1864</v>
      </c>
      <c r="K1307" s="10">
        <v>0</v>
      </c>
      <c r="L1307" s="24">
        <v>0</v>
      </c>
      <c r="M1307" s="10">
        <v>1864</v>
      </c>
    </row>
    <row r="1308" spans="1:13" x14ac:dyDescent="0.25">
      <c r="A1308" s="12" t="str">
        <f t="shared" si="40"/>
        <v>5004894DANIELLE HEBERT CARVALHO PEREIRARCB46028,5888888889</v>
      </c>
      <c r="B1308" s="12" t="str">
        <f t="shared" si="41"/>
        <v>Janeiro</v>
      </c>
      <c r="C1308" s="8" t="s">
        <v>1384</v>
      </c>
      <c r="D1308" s="8" t="s">
        <v>664</v>
      </c>
      <c r="E1308" s="8" t="s">
        <v>48</v>
      </c>
      <c r="F1308" s="23">
        <v>46028.588888888888</v>
      </c>
      <c r="G1308" s="8" t="s">
        <v>1045</v>
      </c>
      <c r="H1308" s="23">
        <v>46031</v>
      </c>
      <c r="I1308" s="23">
        <v>46028.588888888888</v>
      </c>
      <c r="J1308" s="10">
        <v>161.63</v>
      </c>
      <c r="K1308" s="10">
        <v>0</v>
      </c>
      <c r="L1308" s="24">
        <v>0</v>
      </c>
      <c r="M1308" s="10">
        <v>161.63</v>
      </c>
    </row>
    <row r="1309" spans="1:13" x14ac:dyDescent="0.25">
      <c r="A1309" s="12" t="str">
        <f t="shared" si="40"/>
        <v>5004895BRUNO RIBEIRO DOMINGUESCT46008,6770833333</v>
      </c>
      <c r="B1309" s="12" t="str">
        <f t="shared" si="41"/>
        <v>Janeiro</v>
      </c>
      <c r="C1309" s="8" t="s">
        <v>1422</v>
      </c>
      <c r="D1309" s="8" t="s">
        <v>664</v>
      </c>
      <c r="E1309" s="8" t="s">
        <v>32</v>
      </c>
      <c r="F1309" s="23">
        <v>46008.677083333336</v>
      </c>
      <c r="G1309" s="8" t="s">
        <v>1035</v>
      </c>
      <c r="H1309" s="23">
        <v>46028</v>
      </c>
      <c r="I1309" s="23">
        <v>46008.677083333336</v>
      </c>
      <c r="J1309" s="10">
        <v>749</v>
      </c>
      <c r="K1309" s="10">
        <v>0</v>
      </c>
      <c r="L1309" s="24">
        <v>0</v>
      </c>
      <c r="M1309" s="10">
        <v>749</v>
      </c>
    </row>
    <row r="1310" spans="1:13" x14ac:dyDescent="0.25">
      <c r="A1310" s="12" t="str">
        <f t="shared" si="40"/>
        <v>5004896VICTOR HUGO SILVA BALBINOCT46008,6777777778</v>
      </c>
      <c r="B1310" s="12" t="str">
        <f t="shared" si="41"/>
        <v>Janeiro</v>
      </c>
      <c r="C1310" s="8" t="s">
        <v>1386</v>
      </c>
      <c r="D1310" s="8" t="s">
        <v>664</v>
      </c>
      <c r="E1310" s="8" t="s">
        <v>198</v>
      </c>
      <c r="F1310" s="23">
        <v>46008.677777777775</v>
      </c>
      <c r="G1310" s="8" t="s">
        <v>1035</v>
      </c>
      <c r="H1310" s="23">
        <v>46028</v>
      </c>
      <c r="I1310" s="23">
        <v>46008.677777777775</v>
      </c>
      <c r="J1310" s="10">
        <v>1297</v>
      </c>
      <c r="K1310" s="10">
        <v>0</v>
      </c>
      <c r="L1310" s="24">
        <v>0</v>
      </c>
      <c r="M1310" s="10">
        <v>1297</v>
      </c>
    </row>
    <row r="1311" spans="1:13" x14ac:dyDescent="0.25">
      <c r="A1311" s="12" t="str">
        <f t="shared" si="40"/>
        <v>5004896BRUNO RIBEIRO DOMINGUESrcb46028,5763888889</v>
      </c>
      <c r="B1311" s="12" t="str">
        <f t="shared" si="41"/>
        <v>Janeiro</v>
      </c>
      <c r="C1311" s="8" t="s">
        <v>1386</v>
      </c>
      <c r="D1311" s="8" t="s">
        <v>664</v>
      </c>
      <c r="E1311" s="8" t="s">
        <v>32</v>
      </c>
      <c r="F1311" s="23">
        <v>46028.576388888891</v>
      </c>
      <c r="G1311" s="8" t="s">
        <v>1423</v>
      </c>
      <c r="H1311" s="23">
        <v>46031</v>
      </c>
      <c r="I1311" s="23">
        <v>46028.576388888891</v>
      </c>
      <c r="J1311" s="10">
        <v>11</v>
      </c>
      <c r="K1311" s="10">
        <v>0</v>
      </c>
      <c r="L1311" s="24">
        <v>0</v>
      </c>
      <c r="M1311" s="10">
        <v>11</v>
      </c>
    </row>
    <row r="1312" spans="1:13" x14ac:dyDescent="0.25">
      <c r="A1312" s="12" t="str">
        <f t="shared" si="40"/>
        <v>5004897VICTOR HUGO SILVA BALBINORCB46028,5923611111</v>
      </c>
      <c r="B1312" s="12" t="str">
        <f t="shared" si="41"/>
        <v>Janeiro</v>
      </c>
      <c r="C1312" s="8" t="s">
        <v>1387</v>
      </c>
      <c r="D1312" s="8" t="s">
        <v>664</v>
      </c>
      <c r="E1312" s="8" t="s">
        <v>198</v>
      </c>
      <c r="F1312" s="23">
        <v>46028.592361111114</v>
      </c>
      <c r="G1312" s="8" t="s">
        <v>1045</v>
      </c>
      <c r="H1312" s="23">
        <v>46031</v>
      </c>
      <c r="I1312" s="23">
        <v>46028.592361111114</v>
      </c>
      <c r="J1312" s="10">
        <v>10.3</v>
      </c>
      <c r="K1312" s="10">
        <v>0</v>
      </c>
      <c r="L1312" s="24">
        <v>0</v>
      </c>
      <c r="M1312" s="10">
        <v>10.3</v>
      </c>
    </row>
    <row r="1313" spans="1:13" x14ac:dyDescent="0.25">
      <c r="A1313" s="12" t="str">
        <f t="shared" si="40"/>
        <v>5004897JAIME GOMES PARAGUAICT46008,6784722222</v>
      </c>
      <c r="B1313" s="12" t="str">
        <f t="shared" si="41"/>
        <v>Janeiro</v>
      </c>
      <c r="C1313" s="8" t="s">
        <v>1387</v>
      </c>
      <c r="D1313" s="8" t="s">
        <v>664</v>
      </c>
      <c r="E1313" s="8" t="s">
        <v>87</v>
      </c>
      <c r="F1313" s="23">
        <v>46008.678472222222</v>
      </c>
      <c r="G1313" s="8" t="s">
        <v>1035</v>
      </c>
      <c r="H1313" s="23">
        <v>46028</v>
      </c>
      <c r="I1313" s="23">
        <v>46008.678472222222</v>
      </c>
      <c r="J1313" s="10">
        <v>1661</v>
      </c>
      <c r="K1313" s="10">
        <v>0</v>
      </c>
      <c r="L1313" s="24">
        <v>0</v>
      </c>
      <c r="M1313" s="10">
        <v>1661</v>
      </c>
    </row>
    <row r="1314" spans="1:13" x14ac:dyDescent="0.25">
      <c r="A1314" s="12" t="str">
        <f t="shared" si="40"/>
        <v>5004898EDUARDO GAUDENCIO ROSACT46008,6784722222</v>
      </c>
      <c r="B1314" s="12" t="str">
        <f t="shared" si="41"/>
        <v>Janeiro</v>
      </c>
      <c r="C1314" s="8" t="s">
        <v>1393</v>
      </c>
      <c r="D1314" s="8" t="s">
        <v>664</v>
      </c>
      <c r="E1314" s="8" t="s">
        <v>58</v>
      </c>
      <c r="F1314" s="23">
        <v>46008.678472222222</v>
      </c>
      <c r="G1314" s="8" t="s">
        <v>1035</v>
      </c>
      <c r="H1314" s="23">
        <v>46028</v>
      </c>
      <c r="I1314" s="23">
        <v>46008.678472222222</v>
      </c>
      <c r="J1314" s="10">
        <v>5373</v>
      </c>
      <c r="K1314" s="10">
        <v>0</v>
      </c>
      <c r="L1314" s="24">
        <v>0</v>
      </c>
      <c r="M1314" s="10">
        <v>5373</v>
      </c>
    </row>
    <row r="1315" spans="1:13" x14ac:dyDescent="0.25">
      <c r="A1315" s="12" t="str">
        <f t="shared" si="40"/>
        <v>5004898JAIME GOMES PARAGUAIRCB46028,5902777778</v>
      </c>
      <c r="B1315" s="12" t="str">
        <f t="shared" si="41"/>
        <v>Janeiro</v>
      </c>
      <c r="C1315" s="8" t="s">
        <v>1393</v>
      </c>
      <c r="D1315" s="8" t="s">
        <v>664</v>
      </c>
      <c r="E1315" s="8" t="s">
        <v>87</v>
      </c>
      <c r="F1315" s="23">
        <v>46028.590277777781</v>
      </c>
      <c r="G1315" s="8" t="s">
        <v>1045</v>
      </c>
      <c r="H1315" s="23">
        <v>46031</v>
      </c>
      <c r="I1315" s="23">
        <v>46028.590277777781</v>
      </c>
      <c r="J1315" s="10">
        <v>31</v>
      </c>
      <c r="K1315" s="10">
        <v>0</v>
      </c>
      <c r="L1315" s="24">
        <v>0</v>
      </c>
      <c r="M1315" s="10">
        <v>31</v>
      </c>
    </row>
    <row r="1316" spans="1:13" x14ac:dyDescent="0.25">
      <c r="A1316" s="12" t="str">
        <f t="shared" si="40"/>
        <v>5004899EDUARDO GAUDENCIO ROSARCB46028,5784722222</v>
      </c>
      <c r="B1316" s="12" t="str">
        <f t="shared" si="41"/>
        <v>Janeiro</v>
      </c>
      <c r="C1316" s="8" t="s">
        <v>1394</v>
      </c>
      <c r="D1316" s="8" t="s">
        <v>664</v>
      </c>
      <c r="E1316" s="8" t="s">
        <v>58</v>
      </c>
      <c r="F1316" s="23">
        <v>46028.578472222223</v>
      </c>
      <c r="G1316" s="8" t="s">
        <v>1045</v>
      </c>
      <c r="H1316" s="23">
        <v>46031</v>
      </c>
      <c r="I1316" s="23">
        <v>46028.578472222223</v>
      </c>
      <c r="J1316" s="10">
        <v>273.79000000000002</v>
      </c>
      <c r="K1316" s="10">
        <v>0</v>
      </c>
      <c r="L1316" s="24">
        <v>0</v>
      </c>
      <c r="M1316" s="10">
        <v>273.79000000000002</v>
      </c>
    </row>
    <row r="1317" spans="1:13" x14ac:dyDescent="0.25">
      <c r="A1317" s="12" t="str">
        <f t="shared" si="40"/>
        <v>5004899CHAYENE AMARALCT46008,6798611111</v>
      </c>
      <c r="B1317" s="12" t="str">
        <f t="shared" si="41"/>
        <v>Janeiro</v>
      </c>
      <c r="C1317" s="8" t="s">
        <v>1394</v>
      </c>
      <c r="D1317" s="8" t="s">
        <v>664</v>
      </c>
      <c r="E1317" s="8" t="s">
        <v>1424</v>
      </c>
      <c r="F1317" s="23">
        <v>46008.679861111108</v>
      </c>
      <c r="G1317" s="8" t="s">
        <v>1035</v>
      </c>
      <c r="H1317" s="23">
        <v>46028</v>
      </c>
      <c r="I1317" s="23">
        <v>46008.679861111108</v>
      </c>
      <c r="J1317" s="10">
        <v>385</v>
      </c>
      <c r="K1317" s="10">
        <v>0</v>
      </c>
      <c r="L1317" s="24">
        <v>0</v>
      </c>
      <c r="M1317" s="10">
        <v>385</v>
      </c>
    </row>
    <row r="1318" spans="1:13" x14ac:dyDescent="0.25">
      <c r="A1318" s="12" t="str">
        <f t="shared" si="40"/>
        <v>5004900CRISTIAN ALVES MOREIRACT46008,6805555556</v>
      </c>
      <c r="B1318" s="12" t="str">
        <f t="shared" si="41"/>
        <v>Janeiro</v>
      </c>
      <c r="C1318" s="8" t="s">
        <v>1395</v>
      </c>
      <c r="D1318" s="8" t="s">
        <v>664</v>
      </c>
      <c r="E1318" s="8" t="s">
        <v>46</v>
      </c>
      <c r="F1318" s="23">
        <v>46008.680555555555</v>
      </c>
      <c r="G1318" s="8" t="s">
        <v>1035</v>
      </c>
      <c r="H1318" s="23">
        <v>46028</v>
      </c>
      <c r="I1318" s="23">
        <v>46008.680555555555</v>
      </c>
      <c r="J1318" s="10">
        <v>1344</v>
      </c>
      <c r="K1318" s="10">
        <v>0</v>
      </c>
      <c r="L1318" s="24">
        <v>0</v>
      </c>
      <c r="M1318" s="10">
        <v>1344</v>
      </c>
    </row>
    <row r="1319" spans="1:13" x14ac:dyDescent="0.25">
      <c r="A1319" s="12" t="str">
        <f t="shared" si="40"/>
        <v>5004901CRISTIAN ALVES MOREIRARCB46028,5881944444</v>
      </c>
      <c r="B1319" s="12" t="str">
        <f t="shared" si="41"/>
        <v>Janeiro</v>
      </c>
      <c r="C1319" s="8" t="s">
        <v>1396</v>
      </c>
      <c r="D1319" s="8" t="s">
        <v>664</v>
      </c>
      <c r="E1319" s="8" t="s">
        <v>46</v>
      </c>
      <c r="F1319" s="23">
        <v>46028.588194444441</v>
      </c>
      <c r="G1319" s="8" t="s">
        <v>1045</v>
      </c>
      <c r="H1319" s="23">
        <v>46031</v>
      </c>
      <c r="I1319" s="23">
        <v>46028.588194444441</v>
      </c>
      <c r="J1319" s="10">
        <v>17.600000000000001</v>
      </c>
      <c r="K1319" s="10">
        <v>0</v>
      </c>
      <c r="L1319" s="24">
        <v>0</v>
      </c>
      <c r="M1319" s="10">
        <v>17.600000000000001</v>
      </c>
    </row>
    <row r="1320" spans="1:13" x14ac:dyDescent="0.25">
      <c r="A1320" s="12" t="str">
        <f t="shared" si="40"/>
        <v>5004901ALAOR CANAVEZ DE MORAES NETOCT46008,6805555556</v>
      </c>
      <c r="B1320" s="12" t="str">
        <f t="shared" si="41"/>
        <v>Janeiro</v>
      </c>
      <c r="C1320" s="8" t="s">
        <v>1396</v>
      </c>
      <c r="D1320" s="8" t="s">
        <v>664</v>
      </c>
      <c r="E1320" s="8" t="s">
        <v>10</v>
      </c>
      <c r="F1320" s="23">
        <v>46008.680555555555</v>
      </c>
      <c r="G1320" s="8" t="s">
        <v>1035</v>
      </c>
      <c r="H1320" s="23">
        <v>46028</v>
      </c>
      <c r="I1320" s="23">
        <v>46008.680555555555</v>
      </c>
      <c r="J1320" s="10">
        <v>1681</v>
      </c>
      <c r="K1320" s="10">
        <v>0</v>
      </c>
      <c r="L1320" s="24">
        <v>0</v>
      </c>
      <c r="M1320" s="10">
        <v>1681</v>
      </c>
    </row>
    <row r="1321" spans="1:13" x14ac:dyDescent="0.25">
      <c r="A1321" s="12" t="str">
        <f t="shared" si="40"/>
        <v>5004902PAULO RICARDO SILVACT46008,68125</v>
      </c>
      <c r="B1321" s="12" t="str">
        <f t="shared" si="41"/>
        <v>Janeiro</v>
      </c>
      <c r="C1321" s="8" t="s">
        <v>1397</v>
      </c>
      <c r="D1321" s="8" t="s">
        <v>664</v>
      </c>
      <c r="E1321" s="8" t="s">
        <v>153</v>
      </c>
      <c r="F1321" s="23">
        <v>46008.681250000001</v>
      </c>
      <c r="G1321" s="8" t="s">
        <v>1035</v>
      </c>
      <c r="H1321" s="23">
        <v>46028</v>
      </c>
      <c r="I1321" s="23">
        <v>46008.681250000001</v>
      </c>
      <c r="J1321" s="10">
        <v>854</v>
      </c>
      <c r="K1321" s="10">
        <v>0</v>
      </c>
      <c r="L1321" s="24">
        <v>0</v>
      </c>
      <c r="M1321" s="10">
        <v>854</v>
      </c>
    </row>
    <row r="1322" spans="1:13" x14ac:dyDescent="0.25">
      <c r="A1322" s="12" t="str">
        <f t="shared" si="40"/>
        <v>5004902ALAOR CANAVEZ DE MORAES NETORCB46028,5909722222</v>
      </c>
      <c r="B1322" s="12" t="str">
        <f t="shared" si="41"/>
        <v>Janeiro</v>
      </c>
      <c r="C1322" s="8" t="s">
        <v>1397</v>
      </c>
      <c r="D1322" s="8" t="s">
        <v>664</v>
      </c>
      <c r="E1322" s="8" t="s">
        <v>10</v>
      </c>
      <c r="F1322" s="23">
        <v>46028.59097222222</v>
      </c>
      <c r="G1322" s="8" t="s">
        <v>1045</v>
      </c>
      <c r="H1322" s="23">
        <v>46031</v>
      </c>
      <c r="I1322" s="23">
        <v>46028.59097222222</v>
      </c>
      <c r="J1322" s="10">
        <v>62</v>
      </c>
      <c r="K1322" s="10">
        <v>0</v>
      </c>
      <c r="L1322" s="24">
        <v>0</v>
      </c>
      <c r="M1322" s="10">
        <v>62</v>
      </c>
    </row>
    <row r="1323" spans="1:13" x14ac:dyDescent="0.25">
      <c r="A1323" s="12" t="str">
        <f t="shared" si="40"/>
        <v>5004903MAGNO APARECIDO DE JESUSCT46008,68125</v>
      </c>
      <c r="B1323" s="12" t="str">
        <f t="shared" si="41"/>
        <v>Janeiro</v>
      </c>
      <c r="C1323" s="8" t="s">
        <v>1428</v>
      </c>
      <c r="D1323" s="8" t="s">
        <v>664</v>
      </c>
      <c r="E1323" s="8" t="s">
        <v>115</v>
      </c>
      <c r="F1323" s="23">
        <v>46008.681250000001</v>
      </c>
      <c r="G1323" s="8" t="s">
        <v>1035</v>
      </c>
      <c r="H1323" s="23">
        <v>46028</v>
      </c>
      <c r="I1323" s="23">
        <v>46008.681250000001</v>
      </c>
      <c r="J1323" s="10">
        <v>700</v>
      </c>
      <c r="K1323" s="10">
        <v>0</v>
      </c>
      <c r="L1323" s="24">
        <v>0</v>
      </c>
      <c r="M1323" s="10">
        <v>700</v>
      </c>
    </row>
    <row r="1324" spans="1:13" x14ac:dyDescent="0.25">
      <c r="A1324" s="12" t="str">
        <f t="shared" si="40"/>
        <v>5004904KELISON DINIZ LEMOSCT46008,6819444444</v>
      </c>
      <c r="B1324" s="12" t="str">
        <f t="shared" si="41"/>
        <v>Janeiro</v>
      </c>
      <c r="C1324" s="8" t="s">
        <v>1402</v>
      </c>
      <c r="D1324" s="8" t="s">
        <v>664</v>
      </c>
      <c r="E1324" s="8" t="s">
        <v>105</v>
      </c>
      <c r="F1324" s="23">
        <v>46008.681944444441</v>
      </c>
      <c r="G1324" s="8" t="s">
        <v>1035</v>
      </c>
      <c r="H1324" s="23">
        <v>46028</v>
      </c>
      <c r="I1324" s="23">
        <v>46008.681944444441</v>
      </c>
      <c r="J1324" s="10">
        <v>398</v>
      </c>
      <c r="K1324" s="10">
        <v>0</v>
      </c>
      <c r="L1324" s="24">
        <v>0</v>
      </c>
      <c r="M1324" s="10">
        <v>398</v>
      </c>
    </row>
    <row r="1325" spans="1:13" x14ac:dyDescent="0.25">
      <c r="A1325" s="12" t="str">
        <f t="shared" si="40"/>
        <v>5004905PAULO RICARDO SILVARCB46028,5743055556</v>
      </c>
      <c r="B1325" s="12" t="str">
        <f t="shared" si="41"/>
        <v>Janeiro</v>
      </c>
      <c r="C1325" s="8" t="s">
        <v>1398</v>
      </c>
      <c r="D1325" s="8" t="s">
        <v>664</v>
      </c>
      <c r="E1325" s="8" t="s">
        <v>153</v>
      </c>
      <c r="F1325" s="23">
        <v>46028.574305555558</v>
      </c>
      <c r="G1325" s="8" t="s">
        <v>1045</v>
      </c>
      <c r="H1325" s="23">
        <v>46031</v>
      </c>
      <c r="I1325" s="23">
        <v>46028.574305555558</v>
      </c>
      <c r="J1325" s="10">
        <v>38.6</v>
      </c>
      <c r="K1325" s="10">
        <v>0</v>
      </c>
      <c r="L1325" s="24">
        <v>0</v>
      </c>
      <c r="M1325" s="10">
        <v>38.6</v>
      </c>
    </row>
    <row r="1326" spans="1:13" x14ac:dyDescent="0.25">
      <c r="A1326" s="12" t="str">
        <f t="shared" si="40"/>
        <v>5004905ARTUR SILVA VIANACT46008,6826388889</v>
      </c>
      <c r="B1326" s="12" t="str">
        <f t="shared" si="41"/>
        <v>Janeiro</v>
      </c>
      <c r="C1326" s="8" t="s">
        <v>1398</v>
      </c>
      <c r="D1326" s="8" t="s">
        <v>664</v>
      </c>
      <c r="E1326" s="8" t="s">
        <v>1429</v>
      </c>
      <c r="F1326" s="23">
        <v>46008.682638888888</v>
      </c>
      <c r="G1326" s="8" t="s">
        <v>1035</v>
      </c>
      <c r="H1326" s="23">
        <v>46028</v>
      </c>
      <c r="I1326" s="23">
        <v>46008.682638888888</v>
      </c>
      <c r="J1326" s="10">
        <v>462</v>
      </c>
      <c r="K1326" s="10">
        <v>0</v>
      </c>
      <c r="L1326" s="24">
        <v>0</v>
      </c>
      <c r="M1326" s="10">
        <v>462</v>
      </c>
    </row>
    <row r="1327" spans="1:13" x14ac:dyDescent="0.25">
      <c r="A1327" s="12" t="str">
        <f t="shared" si="40"/>
        <v>5004906ADRIANO ROBERTOCT46008,6833333333</v>
      </c>
      <c r="B1327" s="12" t="str">
        <f t="shared" si="41"/>
        <v>Janeiro</v>
      </c>
      <c r="C1327" s="8" t="s">
        <v>1405</v>
      </c>
      <c r="D1327" s="8" t="s">
        <v>664</v>
      </c>
      <c r="E1327" s="8" t="s">
        <v>8</v>
      </c>
      <c r="F1327" s="23">
        <v>46008.683333333334</v>
      </c>
      <c r="G1327" s="8" t="s">
        <v>1035</v>
      </c>
      <c r="H1327" s="23">
        <v>46028</v>
      </c>
      <c r="I1327" s="23">
        <v>46008.683333333334</v>
      </c>
      <c r="J1327" s="10">
        <v>2553</v>
      </c>
      <c r="K1327" s="10">
        <v>0</v>
      </c>
      <c r="L1327" s="24">
        <v>0</v>
      </c>
      <c r="M1327" s="10">
        <v>2553</v>
      </c>
    </row>
    <row r="1328" spans="1:13" x14ac:dyDescent="0.25">
      <c r="A1328" s="12" t="str">
        <f t="shared" si="40"/>
        <v>5004906ARTUR SILVA VIANARCB46028,5770833333</v>
      </c>
      <c r="B1328" s="12" t="str">
        <f t="shared" si="41"/>
        <v>Janeiro</v>
      </c>
      <c r="C1328" s="8" t="s">
        <v>1405</v>
      </c>
      <c r="D1328" s="8" t="s">
        <v>664</v>
      </c>
      <c r="E1328" s="8" t="s">
        <v>1429</v>
      </c>
      <c r="F1328" s="23">
        <v>46028.57708333333</v>
      </c>
      <c r="G1328" s="8" t="s">
        <v>1045</v>
      </c>
      <c r="H1328" s="23">
        <v>46031</v>
      </c>
      <c r="I1328" s="23">
        <v>46028.57708333333</v>
      </c>
      <c r="J1328" s="10">
        <v>98.8</v>
      </c>
      <c r="K1328" s="10">
        <v>0</v>
      </c>
      <c r="L1328" s="24">
        <v>0</v>
      </c>
      <c r="M1328" s="10">
        <v>98.8</v>
      </c>
    </row>
    <row r="1329" spans="1:13" x14ac:dyDescent="0.25">
      <c r="A1329" s="12" t="str">
        <f t="shared" si="40"/>
        <v>5004907RAISSA DE CARVALHO FIORINECT46008,6833333333</v>
      </c>
      <c r="B1329" s="12" t="str">
        <f t="shared" si="41"/>
        <v>Janeiro</v>
      </c>
      <c r="C1329" s="8" t="s">
        <v>1430</v>
      </c>
      <c r="D1329" s="8" t="s">
        <v>664</v>
      </c>
      <c r="E1329" s="8" t="s">
        <v>163</v>
      </c>
      <c r="F1329" s="23">
        <v>46008.683333333334</v>
      </c>
      <c r="G1329" s="8" t="s">
        <v>1035</v>
      </c>
      <c r="H1329" s="23">
        <v>46028</v>
      </c>
      <c r="I1329" s="23">
        <v>46008.683333333334</v>
      </c>
      <c r="J1329" s="10">
        <v>1155</v>
      </c>
      <c r="K1329" s="10">
        <v>0</v>
      </c>
      <c r="L1329" s="24">
        <v>0</v>
      </c>
      <c r="M1329" s="10">
        <v>1155</v>
      </c>
    </row>
    <row r="1330" spans="1:13" x14ac:dyDescent="0.25">
      <c r="A1330" s="12" t="str">
        <f t="shared" si="40"/>
        <v>5004908HUDSON CESAR DA SILVACT46008,6847222222</v>
      </c>
      <c r="B1330" s="12" t="str">
        <f t="shared" si="41"/>
        <v>Janeiro</v>
      </c>
      <c r="C1330" s="8" t="s">
        <v>1406</v>
      </c>
      <c r="D1330" s="8" t="s">
        <v>664</v>
      </c>
      <c r="E1330" s="8" t="s">
        <v>1407</v>
      </c>
      <c r="F1330" s="23">
        <v>46008.68472222222</v>
      </c>
      <c r="G1330" s="8" t="s">
        <v>1035</v>
      </c>
      <c r="H1330" s="23">
        <v>46028</v>
      </c>
      <c r="I1330" s="23">
        <v>46008.68472222222</v>
      </c>
      <c r="J1330" s="10">
        <v>2083</v>
      </c>
      <c r="K1330" s="10">
        <v>0</v>
      </c>
      <c r="L1330" s="24">
        <v>0</v>
      </c>
      <c r="M1330" s="10">
        <v>2083</v>
      </c>
    </row>
    <row r="1331" spans="1:13" x14ac:dyDescent="0.25">
      <c r="A1331" s="12" t="str">
        <f t="shared" si="40"/>
        <v>5004908RAISSA DE CARVALHO FIORINERCB46028,5868055556</v>
      </c>
      <c r="B1331" s="12" t="str">
        <f t="shared" si="41"/>
        <v>Janeiro</v>
      </c>
      <c r="C1331" s="8" t="s">
        <v>1406</v>
      </c>
      <c r="D1331" s="8" t="s">
        <v>664</v>
      </c>
      <c r="E1331" s="8" t="s">
        <v>163</v>
      </c>
      <c r="F1331" s="23">
        <v>46028.586805555555</v>
      </c>
      <c r="G1331" s="8" t="s">
        <v>1045</v>
      </c>
      <c r="H1331" s="23">
        <v>46031</v>
      </c>
      <c r="I1331" s="23">
        <v>46028.586805555555</v>
      </c>
      <c r="J1331" s="10">
        <v>31</v>
      </c>
      <c r="K1331" s="10">
        <v>0</v>
      </c>
      <c r="L1331" s="24">
        <v>0</v>
      </c>
      <c r="M1331" s="10">
        <v>31</v>
      </c>
    </row>
    <row r="1332" spans="1:13" x14ac:dyDescent="0.25">
      <c r="A1332" s="12" t="str">
        <f t="shared" si="40"/>
        <v>5004909BRUNO HENRIQUE DA SILVACT46008,6868055556</v>
      </c>
      <c r="B1332" s="12" t="str">
        <f t="shared" si="41"/>
        <v>Janeiro</v>
      </c>
      <c r="C1332" s="8" t="s">
        <v>1431</v>
      </c>
      <c r="D1332" s="8" t="s">
        <v>664</v>
      </c>
      <c r="E1332" s="8" t="s">
        <v>29</v>
      </c>
      <c r="F1332" s="23">
        <v>46008.686805555553</v>
      </c>
      <c r="G1332" s="8" t="s">
        <v>1035</v>
      </c>
      <c r="H1332" s="23">
        <v>46028</v>
      </c>
      <c r="I1332" s="23">
        <v>46008.686805555553</v>
      </c>
      <c r="J1332" s="10">
        <v>2104</v>
      </c>
      <c r="K1332" s="10">
        <v>0</v>
      </c>
      <c r="L1332" s="24">
        <v>0</v>
      </c>
      <c r="M1332" s="10">
        <v>2104</v>
      </c>
    </row>
    <row r="1333" spans="1:13" x14ac:dyDescent="0.25">
      <c r="A1333" s="12" t="str">
        <f t="shared" si="40"/>
        <v>5004910RENAN ELTON DIVINOCT46008,6881944444</v>
      </c>
      <c r="B1333" s="12" t="str">
        <f t="shared" si="41"/>
        <v>Janeiro</v>
      </c>
      <c r="C1333" s="8" t="s">
        <v>1408</v>
      </c>
      <c r="D1333" s="8" t="s">
        <v>664</v>
      </c>
      <c r="E1333" s="8" t="s">
        <v>1409</v>
      </c>
      <c r="F1333" s="23">
        <v>46008.688194444447</v>
      </c>
      <c r="G1333" s="8" t="s">
        <v>1035</v>
      </c>
      <c r="H1333" s="23">
        <v>46028</v>
      </c>
      <c r="I1333" s="23">
        <v>46008.688194444447</v>
      </c>
      <c r="J1333" s="10">
        <v>385</v>
      </c>
      <c r="K1333" s="10">
        <v>0</v>
      </c>
      <c r="L1333" s="24">
        <v>0</v>
      </c>
      <c r="M1333" s="10">
        <v>385</v>
      </c>
    </row>
    <row r="1334" spans="1:13" x14ac:dyDescent="0.25">
      <c r="A1334" s="12" t="str">
        <f t="shared" si="40"/>
        <v>5004911KETLEN KAREM SILVA BARROSCT46008,6881944444</v>
      </c>
      <c r="B1334" s="12" t="str">
        <f t="shared" si="41"/>
        <v>Janeiro</v>
      </c>
      <c r="C1334" s="8" t="s">
        <v>1432</v>
      </c>
      <c r="D1334" s="8" t="s">
        <v>664</v>
      </c>
      <c r="E1334" s="8" t="s">
        <v>1433</v>
      </c>
      <c r="F1334" s="23">
        <v>46008.688194444447</v>
      </c>
      <c r="G1334" s="8" t="s">
        <v>1035</v>
      </c>
      <c r="H1334" s="23">
        <v>46028</v>
      </c>
      <c r="I1334" s="23">
        <v>46008.688194444447</v>
      </c>
      <c r="J1334" s="10">
        <v>432</v>
      </c>
      <c r="K1334" s="10">
        <v>0</v>
      </c>
      <c r="L1334" s="24">
        <v>0</v>
      </c>
      <c r="M1334" s="10">
        <v>432</v>
      </c>
    </row>
    <row r="1335" spans="1:13" x14ac:dyDescent="0.25">
      <c r="A1335" s="12" t="str">
        <f t="shared" si="40"/>
        <v>5004912NELCIDES JOSE VIEIRACT46008,6888888889</v>
      </c>
      <c r="B1335" s="12" t="str">
        <f t="shared" si="41"/>
        <v>Janeiro</v>
      </c>
      <c r="C1335" s="8" t="s">
        <v>1410</v>
      </c>
      <c r="D1335" s="8" t="s">
        <v>664</v>
      </c>
      <c r="E1335" s="8" t="s">
        <v>137</v>
      </c>
      <c r="F1335" s="23">
        <v>46008.688888888886</v>
      </c>
      <c r="G1335" s="8" t="s">
        <v>1035</v>
      </c>
      <c r="H1335" s="23">
        <v>46028</v>
      </c>
      <c r="I1335" s="23">
        <v>46008.688888888886</v>
      </c>
      <c r="J1335" s="10">
        <v>1180</v>
      </c>
      <c r="K1335" s="10">
        <v>0</v>
      </c>
      <c r="L1335" s="24">
        <v>0</v>
      </c>
      <c r="M1335" s="10">
        <v>1180</v>
      </c>
    </row>
    <row r="1336" spans="1:13" x14ac:dyDescent="0.25">
      <c r="A1336" s="12" t="str">
        <f t="shared" si="40"/>
        <v>5004913NELCIDES JOSE VIEIRARCB46028,5861111111</v>
      </c>
      <c r="B1336" s="12" t="str">
        <f t="shared" si="41"/>
        <v>Janeiro</v>
      </c>
      <c r="C1336" s="8" t="s">
        <v>1411</v>
      </c>
      <c r="D1336" s="8" t="s">
        <v>664</v>
      </c>
      <c r="E1336" s="8" t="s">
        <v>137</v>
      </c>
      <c r="F1336" s="23">
        <v>46028.586111111108</v>
      </c>
      <c r="G1336" s="8" t="s">
        <v>1045</v>
      </c>
      <c r="H1336" s="23">
        <v>46031</v>
      </c>
      <c r="I1336" s="23">
        <v>46028.586111111108</v>
      </c>
      <c r="J1336" s="10">
        <v>30.2</v>
      </c>
      <c r="K1336" s="10">
        <v>0</v>
      </c>
      <c r="L1336" s="24">
        <v>0</v>
      </c>
      <c r="M1336" s="10">
        <v>30.2</v>
      </c>
    </row>
    <row r="1337" spans="1:13" x14ac:dyDescent="0.25">
      <c r="A1337" s="12" t="str">
        <f t="shared" si="40"/>
        <v>5004913CARLOS ANTONIO PINTOCT46008,6902777778</v>
      </c>
      <c r="B1337" s="12" t="str">
        <f t="shared" si="41"/>
        <v>Janeiro</v>
      </c>
      <c r="C1337" s="8" t="s">
        <v>1411</v>
      </c>
      <c r="D1337" s="8" t="s">
        <v>664</v>
      </c>
      <c r="E1337" s="8" t="s">
        <v>36</v>
      </c>
      <c r="F1337" s="23">
        <v>46008.69027777778</v>
      </c>
      <c r="G1337" s="8" t="s">
        <v>1035</v>
      </c>
      <c r="H1337" s="23">
        <v>46028</v>
      </c>
      <c r="I1337" s="23">
        <v>46008.69027777778</v>
      </c>
      <c r="J1337" s="10">
        <v>4343</v>
      </c>
      <c r="K1337" s="10">
        <v>0</v>
      </c>
      <c r="L1337" s="24">
        <v>0</v>
      </c>
      <c r="M1337" s="10">
        <v>4343</v>
      </c>
    </row>
    <row r="1338" spans="1:13" x14ac:dyDescent="0.25">
      <c r="A1338" s="12" t="str">
        <f t="shared" si="40"/>
        <v>5004914MARCELO MARTINS DE OLIVEIRACT46008,6902777778</v>
      </c>
      <c r="B1338" s="12" t="str">
        <f t="shared" si="41"/>
        <v>Janeiro</v>
      </c>
      <c r="C1338" s="8" t="s">
        <v>1434</v>
      </c>
      <c r="D1338" s="8" t="s">
        <v>664</v>
      </c>
      <c r="E1338" s="8" t="s">
        <v>121</v>
      </c>
      <c r="F1338" s="23">
        <v>46008.69027777778</v>
      </c>
      <c r="G1338" s="8" t="s">
        <v>1035</v>
      </c>
      <c r="H1338" s="23">
        <v>46028</v>
      </c>
      <c r="I1338" s="23">
        <v>46008.69027777778</v>
      </c>
      <c r="J1338" s="10">
        <v>2195</v>
      </c>
      <c r="K1338" s="10">
        <v>0</v>
      </c>
      <c r="L1338" s="24">
        <v>0</v>
      </c>
      <c r="M1338" s="10">
        <v>2195</v>
      </c>
    </row>
    <row r="1339" spans="1:13" x14ac:dyDescent="0.25">
      <c r="A1339" s="12" t="str">
        <f t="shared" si="40"/>
        <v>5004915ADRIANA DA SILVA SANTOS FERREIRACT46008,6909722222</v>
      </c>
      <c r="B1339" s="12" t="str">
        <f t="shared" si="41"/>
        <v>Janeiro</v>
      </c>
      <c r="C1339" s="8" t="s">
        <v>1412</v>
      </c>
      <c r="D1339" s="8" t="s">
        <v>664</v>
      </c>
      <c r="E1339" s="8" t="s">
        <v>1413</v>
      </c>
      <c r="F1339" s="23">
        <v>46008.690972222219</v>
      </c>
      <c r="G1339" s="8" t="s">
        <v>1035</v>
      </c>
      <c r="H1339" s="23">
        <v>46028</v>
      </c>
      <c r="I1339" s="23">
        <v>46008.690972222219</v>
      </c>
      <c r="J1339" s="10">
        <v>737</v>
      </c>
      <c r="K1339" s="10">
        <v>0</v>
      </c>
      <c r="L1339" s="24">
        <v>0</v>
      </c>
      <c r="M1339" s="10">
        <v>737</v>
      </c>
    </row>
    <row r="1340" spans="1:13" x14ac:dyDescent="0.25">
      <c r="A1340" s="12" t="str">
        <f t="shared" si="40"/>
        <v>5004916LIDIANE ASSIS ROCHACT46008,6909722222</v>
      </c>
      <c r="B1340" s="12" t="str">
        <f t="shared" si="41"/>
        <v>Janeiro</v>
      </c>
      <c r="C1340" s="8" t="s">
        <v>1436</v>
      </c>
      <c r="D1340" s="8" t="s">
        <v>664</v>
      </c>
      <c r="E1340" s="8" t="s">
        <v>110</v>
      </c>
      <c r="F1340" s="23">
        <v>46008.690972222219</v>
      </c>
      <c r="G1340" s="8" t="s">
        <v>1035</v>
      </c>
      <c r="H1340" s="23">
        <v>46028</v>
      </c>
      <c r="I1340" s="23">
        <v>46008.690972222219</v>
      </c>
      <c r="J1340" s="10">
        <v>1167</v>
      </c>
      <c r="K1340" s="10">
        <v>0</v>
      </c>
      <c r="L1340" s="24">
        <v>0</v>
      </c>
      <c r="M1340" s="10">
        <v>1167</v>
      </c>
    </row>
    <row r="1341" spans="1:13" x14ac:dyDescent="0.25">
      <c r="A1341" s="12" t="str">
        <f t="shared" si="40"/>
        <v>5004917JOAQUINA DE FATIMA BERTOLDOCT46008,6916666667</v>
      </c>
      <c r="B1341" s="12" t="str">
        <f t="shared" si="41"/>
        <v>Janeiro</v>
      </c>
      <c r="C1341" s="8" t="s">
        <v>1415</v>
      </c>
      <c r="D1341" s="8" t="s">
        <v>664</v>
      </c>
      <c r="E1341" s="8" t="s">
        <v>1416</v>
      </c>
      <c r="F1341" s="23">
        <v>46008.691666666666</v>
      </c>
      <c r="G1341" s="8" t="s">
        <v>1035</v>
      </c>
      <c r="H1341" s="23">
        <v>46028</v>
      </c>
      <c r="I1341" s="23">
        <v>46008.691666666666</v>
      </c>
      <c r="J1341" s="10">
        <v>350</v>
      </c>
      <c r="K1341" s="10">
        <v>0</v>
      </c>
      <c r="L1341" s="24">
        <v>0</v>
      </c>
      <c r="M1341" s="10">
        <v>350</v>
      </c>
    </row>
    <row r="1342" spans="1:13" x14ac:dyDescent="0.25">
      <c r="A1342" s="12" t="str">
        <f t="shared" si="40"/>
        <v>5004917MARCELO MARTINS DE OLIVEIRARCB46028,5736111111</v>
      </c>
      <c r="B1342" s="12" t="str">
        <f t="shared" si="41"/>
        <v>Janeiro</v>
      </c>
      <c r="C1342" s="8" t="s">
        <v>1415</v>
      </c>
      <c r="D1342" s="8" t="s">
        <v>664</v>
      </c>
      <c r="E1342" s="8" t="s">
        <v>121</v>
      </c>
      <c r="F1342" s="23">
        <v>46028.573611111111</v>
      </c>
      <c r="G1342" s="8" t="s">
        <v>1045</v>
      </c>
      <c r="H1342" s="23">
        <v>46031</v>
      </c>
      <c r="I1342" s="23">
        <v>46028.573611111111</v>
      </c>
      <c r="J1342" s="10">
        <v>42</v>
      </c>
      <c r="K1342" s="10">
        <v>0</v>
      </c>
      <c r="L1342" s="24">
        <v>0</v>
      </c>
      <c r="M1342" s="10">
        <v>42</v>
      </c>
    </row>
    <row r="1343" spans="1:13" x14ac:dyDescent="0.25">
      <c r="A1343" s="12" t="str">
        <f t="shared" si="40"/>
        <v>5004918NATANIELLE SILVA DE SOUZA MARQUESCT46008,6923611111</v>
      </c>
      <c r="B1343" s="12" t="str">
        <f t="shared" si="41"/>
        <v>Janeiro</v>
      </c>
      <c r="C1343" s="8" t="s">
        <v>1437</v>
      </c>
      <c r="D1343" s="8" t="s">
        <v>664</v>
      </c>
      <c r="E1343" s="8" t="s">
        <v>135</v>
      </c>
      <c r="F1343" s="23">
        <v>46008.692361111112</v>
      </c>
      <c r="G1343" s="8" t="s">
        <v>1035</v>
      </c>
      <c r="H1343" s="23">
        <v>46028</v>
      </c>
      <c r="I1343" s="23">
        <v>46008.692361111112</v>
      </c>
      <c r="J1343" s="10">
        <v>2801</v>
      </c>
      <c r="K1343" s="10">
        <v>0</v>
      </c>
      <c r="L1343" s="24">
        <v>0</v>
      </c>
      <c r="M1343" s="10">
        <v>2801</v>
      </c>
    </row>
    <row r="1344" spans="1:13" x14ac:dyDescent="0.25">
      <c r="A1344" s="12" t="str">
        <f t="shared" si="40"/>
        <v>5004919JORGE MARTINS BORGES JUNIORCT46008,6923611111</v>
      </c>
      <c r="B1344" s="12" t="str">
        <f t="shared" si="41"/>
        <v>Janeiro</v>
      </c>
      <c r="C1344" s="8" t="s">
        <v>1417</v>
      </c>
      <c r="D1344" s="8" t="s">
        <v>664</v>
      </c>
      <c r="E1344" s="8" t="s">
        <v>97</v>
      </c>
      <c r="F1344" s="23">
        <v>46008.692361111112</v>
      </c>
      <c r="G1344" s="8" t="s">
        <v>1035</v>
      </c>
      <c r="H1344" s="23">
        <v>46028</v>
      </c>
      <c r="I1344" s="23">
        <v>46008.692361111112</v>
      </c>
      <c r="J1344" s="10">
        <v>1018</v>
      </c>
      <c r="K1344" s="10">
        <v>0</v>
      </c>
      <c r="L1344" s="24">
        <v>0</v>
      </c>
      <c r="M1344" s="10">
        <v>1018</v>
      </c>
    </row>
    <row r="1345" spans="1:13" x14ac:dyDescent="0.25">
      <c r="A1345" s="12" t="str">
        <f t="shared" si="40"/>
        <v>5004920ELIO BENEDITO NASCIMENTO JUNIORCT46008,6930555556</v>
      </c>
      <c r="B1345" s="12" t="str">
        <f t="shared" si="41"/>
        <v>Janeiro</v>
      </c>
      <c r="C1345" s="8" t="s">
        <v>1438</v>
      </c>
      <c r="D1345" s="8" t="s">
        <v>664</v>
      </c>
      <c r="E1345" s="8" t="s">
        <v>1439</v>
      </c>
      <c r="F1345" s="23">
        <v>46008.693055555559</v>
      </c>
      <c r="G1345" s="8" t="s">
        <v>1035</v>
      </c>
      <c r="H1345" s="23">
        <v>46028</v>
      </c>
      <c r="I1345" s="23">
        <v>46008.693055555559</v>
      </c>
      <c r="J1345" s="10">
        <v>385</v>
      </c>
      <c r="K1345" s="10">
        <v>0</v>
      </c>
      <c r="L1345" s="24">
        <v>0</v>
      </c>
      <c r="M1345" s="10">
        <v>385</v>
      </c>
    </row>
    <row r="1346" spans="1:13" x14ac:dyDescent="0.25">
      <c r="A1346" s="12" t="str">
        <f t="shared" ref="A1346:A1409" si="42">$C1346&amp;$E1346&amp;$G1346&amp;$F1346</f>
        <v>5004921JORGE MARTINS BORGES JUNIORRCB46028,5729166667</v>
      </c>
      <c r="B1346" s="12" t="str">
        <f t="shared" si="41"/>
        <v>Janeiro</v>
      </c>
      <c r="C1346" s="8" t="s">
        <v>1418</v>
      </c>
      <c r="D1346" s="8" t="s">
        <v>664</v>
      </c>
      <c r="E1346" s="8" t="s">
        <v>97</v>
      </c>
      <c r="F1346" s="23">
        <v>46028.572916666664</v>
      </c>
      <c r="G1346" s="8" t="s">
        <v>1045</v>
      </c>
      <c r="H1346" s="23">
        <v>46031</v>
      </c>
      <c r="I1346" s="23">
        <v>46028.572916666664</v>
      </c>
      <c r="J1346" s="10">
        <v>15.8</v>
      </c>
      <c r="K1346" s="10">
        <v>0</v>
      </c>
      <c r="L1346" s="24">
        <v>0</v>
      </c>
      <c r="M1346" s="10">
        <v>15.8</v>
      </c>
    </row>
    <row r="1347" spans="1:13" x14ac:dyDescent="0.25">
      <c r="A1347" s="12" t="str">
        <f t="shared" si="42"/>
        <v>5004921ELIO BENEDITO NASCIMENTO JUNIORRCB46028,5930555556</v>
      </c>
      <c r="B1347" s="12" t="str">
        <f t="shared" ref="B1347:B1410" si="43">PROPER(TEXT($H1347,"MMMM"))</f>
        <v>Janeiro</v>
      </c>
      <c r="C1347" s="8" t="s">
        <v>1418</v>
      </c>
      <c r="D1347" s="8" t="s">
        <v>664</v>
      </c>
      <c r="E1347" s="8" t="s">
        <v>1439</v>
      </c>
      <c r="F1347" s="23">
        <v>46028.593055555553</v>
      </c>
      <c r="G1347" s="8" t="s">
        <v>1045</v>
      </c>
      <c r="H1347" s="23">
        <v>46031</v>
      </c>
      <c r="I1347" s="23">
        <v>46028.593055555553</v>
      </c>
      <c r="J1347" s="10">
        <v>134.9</v>
      </c>
      <c r="K1347" s="10">
        <v>0</v>
      </c>
      <c r="L1347" s="24">
        <v>0</v>
      </c>
      <c r="M1347" s="10">
        <v>134.9</v>
      </c>
    </row>
    <row r="1348" spans="1:13" x14ac:dyDescent="0.25">
      <c r="A1348" s="12" t="str">
        <f t="shared" si="42"/>
        <v>5004921JOSE ANTONIO SILVACT46008,6944444444</v>
      </c>
      <c r="B1348" s="12" t="str">
        <f t="shared" si="43"/>
        <v>Janeiro</v>
      </c>
      <c r="C1348" s="8" t="s">
        <v>1418</v>
      </c>
      <c r="D1348" s="8" t="s">
        <v>664</v>
      </c>
      <c r="E1348" s="8" t="s">
        <v>99</v>
      </c>
      <c r="F1348" s="23">
        <v>46008.694444444445</v>
      </c>
      <c r="G1348" s="8" t="s">
        <v>1035</v>
      </c>
      <c r="H1348" s="23">
        <v>46028</v>
      </c>
      <c r="I1348" s="23">
        <v>46008.694444444445</v>
      </c>
      <c r="J1348" s="10">
        <v>1094</v>
      </c>
      <c r="K1348" s="10">
        <v>0</v>
      </c>
      <c r="L1348" s="24">
        <v>0</v>
      </c>
      <c r="M1348" s="10">
        <v>1094</v>
      </c>
    </row>
    <row r="1349" spans="1:13" x14ac:dyDescent="0.25">
      <c r="A1349" s="12" t="str">
        <f t="shared" si="42"/>
        <v>5004922RENILSON DIAS DE BRITOCT46029,6347222222</v>
      </c>
      <c r="B1349" s="12" t="str">
        <f t="shared" si="43"/>
        <v>Janeiro</v>
      </c>
      <c r="C1349" s="8" t="s">
        <v>1518</v>
      </c>
      <c r="D1349" s="8" t="s">
        <v>664</v>
      </c>
      <c r="E1349" s="8" t="s">
        <v>1383</v>
      </c>
      <c r="F1349" s="23">
        <v>46029.634722222225</v>
      </c>
      <c r="G1349" s="8" t="s">
        <v>1035</v>
      </c>
      <c r="H1349" s="23">
        <v>46038</v>
      </c>
      <c r="I1349" s="23">
        <v>46029.634722222225</v>
      </c>
      <c r="J1349" s="10">
        <v>2959</v>
      </c>
      <c r="K1349" s="10">
        <v>0</v>
      </c>
      <c r="L1349" s="24">
        <v>0</v>
      </c>
      <c r="M1349" s="10">
        <v>2959</v>
      </c>
    </row>
    <row r="1350" spans="1:13" x14ac:dyDescent="0.25">
      <c r="A1350" s="12" t="str">
        <f t="shared" si="42"/>
        <v>5004923FABIO LUIZ TEIXEIRA DE ARRUDACT46029,6368055556</v>
      </c>
      <c r="B1350" s="12" t="str">
        <f t="shared" si="43"/>
        <v>Janeiro</v>
      </c>
      <c r="C1350" s="8" t="s">
        <v>1519</v>
      </c>
      <c r="D1350" s="8" t="s">
        <v>664</v>
      </c>
      <c r="E1350" s="8" t="s">
        <v>1520</v>
      </c>
      <c r="F1350" s="23">
        <v>46029.636805555558</v>
      </c>
      <c r="G1350" s="8" t="s">
        <v>1035</v>
      </c>
      <c r="H1350" s="23">
        <v>46038</v>
      </c>
      <c r="I1350" s="23">
        <v>46029.636805555558</v>
      </c>
      <c r="J1350" s="10">
        <v>385</v>
      </c>
      <c r="K1350" s="10">
        <v>0</v>
      </c>
      <c r="L1350" s="24">
        <v>0</v>
      </c>
      <c r="M1350" s="10">
        <v>385</v>
      </c>
    </row>
    <row r="1351" spans="1:13" x14ac:dyDescent="0.25">
      <c r="A1351" s="12" t="str">
        <f t="shared" si="42"/>
        <v>5004924MARCOS FILIPE DE ALCANTARA PEREIRACT46029,6381944444</v>
      </c>
      <c r="B1351" s="12" t="str">
        <f t="shared" si="43"/>
        <v>Janeiro</v>
      </c>
      <c r="C1351" s="8" t="s">
        <v>1521</v>
      </c>
      <c r="D1351" s="8" t="s">
        <v>664</v>
      </c>
      <c r="E1351" s="8" t="s">
        <v>1385</v>
      </c>
      <c r="F1351" s="23">
        <v>46029.638194444444</v>
      </c>
      <c r="G1351" s="8" t="s">
        <v>1035</v>
      </c>
      <c r="H1351" s="23">
        <v>46038</v>
      </c>
      <c r="I1351" s="23">
        <v>46029.638194444444</v>
      </c>
      <c r="J1351" s="10">
        <v>5565</v>
      </c>
      <c r="K1351" s="10">
        <v>0</v>
      </c>
      <c r="L1351" s="24">
        <v>0</v>
      </c>
      <c r="M1351" s="10">
        <v>5565</v>
      </c>
    </row>
    <row r="1352" spans="1:13" x14ac:dyDescent="0.25">
      <c r="A1352" s="12" t="str">
        <f t="shared" si="42"/>
        <v>5004925CLAUDIONOR GERALDO DE SOUZACT46029,6402777778</v>
      </c>
      <c r="B1352" s="12" t="str">
        <f t="shared" si="43"/>
        <v>Janeiro</v>
      </c>
      <c r="C1352" s="8" t="s">
        <v>1522</v>
      </c>
      <c r="D1352" s="8" t="s">
        <v>664</v>
      </c>
      <c r="E1352" s="8" t="s">
        <v>1523</v>
      </c>
      <c r="F1352" s="23">
        <v>46029.640277777777</v>
      </c>
      <c r="G1352" s="8" t="s">
        <v>1035</v>
      </c>
      <c r="H1352" s="23">
        <v>46038</v>
      </c>
      <c r="I1352" s="23">
        <v>46029.640277777777</v>
      </c>
      <c r="J1352" s="10">
        <v>1540</v>
      </c>
      <c r="K1352" s="10">
        <v>0</v>
      </c>
      <c r="L1352" s="24">
        <v>0</v>
      </c>
      <c r="M1352" s="10">
        <v>1540</v>
      </c>
    </row>
    <row r="1353" spans="1:13" x14ac:dyDescent="0.25">
      <c r="A1353" s="12" t="str">
        <f t="shared" si="42"/>
        <v>5004925MARCOS FILIPE DE ALCANTARA PEREIRARCB46041,4888888889</v>
      </c>
      <c r="B1353" s="12" t="str">
        <f t="shared" si="43"/>
        <v>Janeiro</v>
      </c>
      <c r="C1353" s="8" t="s">
        <v>1522</v>
      </c>
      <c r="D1353" s="8" t="s">
        <v>664</v>
      </c>
      <c r="E1353" s="8" t="s">
        <v>1385</v>
      </c>
      <c r="F1353" s="23">
        <v>46041.488888888889</v>
      </c>
      <c r="G1353" s="8" t="s">
        <v>1045</v>
      </c>
      <c r="H1353" s="23">
        <v>46044</v>
      </c>
      <c r="I1353" s="23">
        <v>46041.488888888889</v>
      </c>
      <c r="J1353" s="10">
        <v>31</v>
      </c>
      <c r="K1353" s="10">
        <v>0</v>
      </c>
      <c r="L1353" s="24">
        <v>0</v>
      </c>
      <c r="M1353" s="10">
        <v>31</v>
      </c>
    </row>
    <row r="1354" spans="1:13" x14ac:dyDescent="0.25">
      <c r="A1354" s="12" t="str">
        <f t="shared" si="42"/>
        <v>5004926VICTOR HUGO SILVA BALBINOCT46029,6430555556</v>
      </c>
      <c r="B1354" s="12" t="str">
        <f t="shared" si="43"/>
        <v>Janeiro</v>
      </c>
      <c r="C1354" s="8" t="s">
        <v>1524</v>
      </c>
      <c r="D1354" s="8" t="s">
        <v>664</v>
      </c>
      <c r="E1354" s="8" t="s">
        <v>198</v>
      </c>
      <c r="F1354" s="23">
        <v>46029.643055555556</v>
      </c>
      <c r="G1354" s="8" t="s">
        <v>1035</v>
      </c>
      <c r="H1354" s="23">
        <v>46038</v>
      </c>
      <c r="I1354" s="23">
        <v>46029.643055555556</v>
      </c>
      <c r="J1354" s="10">
        <v>2463</v>
      </c>
      <c r="K1354" s="10">
        <v>0</v>
      </c>
      <c r="L1354" s="24">
        <v>0</v>
      </c>
      <c r="M1354" s="10">
        <v>2463</v>
      </c>
    </row>
    <row r="1355" spans="1:13" x14ac:dyDescent="0.25">
      <c r="A1355" s="12" t="str">
        <f t="shared" si="42"/>
        <v>5004926MARCOS FILIPE DE ALCANTARA PEREIRARCB46056,3868055556</v>
      </c>
      <c r="B1355" s="12" t="str">
        <f t="shared" si="43"/>
        <v>Fevereiro</v>
      </c>
      <c r="C1355" s="8" t="s">
        <v>1524</v>
      </c>
      <c r="D1355" s="8" t="s">
        <v>664</v>
      </c>
      <c r="E1355" s="8" t="s">
        <v>1385</v>
      </c>
      <c r="F1355" s="23">
        <v>46056.386805555558</v>
      </c>
      <c r="G1355" s="8" t="s">
        <v>1045</v>
      </c>
      <c r="H1355" s="23">
        <v>46059</v>
      </c>
      <c r="I1355" s="23">
        <v>46056.386805555558</v>
      </c>
      <c r="J1355" s="10">
        <v>15.5</v>
      </c>
      <c r="K1355" s="10">
        <v>0</v>
      </c>
      <c r="L1355" s="24">
        <v>0</v>
      </c>
      <c r="M1355" s="10">
        <v>15.5</v>
      </c>
    </row>
    <row r="1356" spans="1:13" x14ac:dyDescent="0.25">
      <c r="A1356" s="12" t="str">
        <f t="shared" si="42"/>
        <v>5004927ELIANA HENRIQUE MENDES BARBOSACT46029,6444444444</v>
      </c>
      <c r="B1356" s="12" t="str">
        <f t="shared" si="43"/>
        <v>Janeiro</v>
      </c>
      <c r="C1356" s="8" t="s">
        <v>1525</v>
      </c>
      <c r="D1356" s="8" t="s">
        <v>664</v>
      </c>
      <c r="E1356" s="8" t="s">
        <v>59</v>
      </c>
      <c r="F1356" s="23">
        <v>46029.644444444442</v>
      </c>
      <c r="G1356" s="8" t="s">
        <v>1035</v>
      </c>
      <c r="H1356" s="23">
        <v>46038</v>
      </c>
      <c r="I1356" s="23">
        <v>46029.644444444442</v>
      </c>
      <c r="J1356" s="10">
        <v>1977</v>
      </c>
      <c r="K1356" s="10">
        <v>0</v>
      </c>
      <c r="L1356" s="24">
        <v>0</v>
      </c>
      <c r="M1356" s="10">
        <v>1977</v>
      </c>
    </row>
    <row r="1357" spans="1:13" x14ac:dyDescent="0.25">
      <c r="A1357" s="12" t="str">
        <f t="shared" si="42"/>
        <v>5004928KASUO HENRIQUE SOUSA BARBOSACT46029,6458333333</v>
      </c>
      <c r="B1357" s="12" t="str">
        <f t="shared" si="43"/>
        <v>Janeiro</v>
      </c>
      <c r="C1357" s="8" t="s">
        <v>1526</v>
      </c>
      <c r="D1357" s="8" t="s">
        <v>664</v>
      </c>
      <c r="E1357" s="8" t="s">
        <v>1527</v>
      </c>
      <c r="F1357" s="23">
        <v>46029.645833333336</v>
      </c>
      <c r="G1357" s="8" t="s">
        <v>1035</v>
      </c>
      <c r="H1357" s="23">
        <v>46038</v>
      </c>
      <c r="I1357" s="23">
        <v>46029.645833333336</v>
      </c>
      <c r="J1357" s="10">
        <v>1540</v>
      </c>
      <c r="K1357" s="10">
        <v>0</v>
      </c>
      <c r="L1357" s="24">
        <v>0</v>
      </c>
      <c r="M1357" s="10">
        <v>1540</v>
      </c>
    </row>
    <row r="1358" spans="1:13" x14ac:dyDescent="0.25">
      <c r="A1358" s="12" t="str">
        <f t="shared" si="42"/>
        <v>5004929RAFAEL RODRIGUES FARIACT46029,6472222222</v>
      </c>
      <c r="B1358" s="12" t="str">
        <f t="shared" si="43"/>
        <v>Janeiro</v>
      </c>
      <c r="C1358" s="8" t="s">
        <v>1528</v>
      </c>
      <c r="D1358" s="8" t="s">
        <v>664</v>
      </c>
      <c r="E1358" s="8" t="s">
        <v>162</v>
      </c>
      <c r="F1358" s="23">
        <v>46029.647222222222</v>
      </c>
      <c r="G1358" s="8" t="s">
        <v>1035</v>
      </c>
      <c r="H1358" s="23">
        <v>46038</v>
      </c>
      <c r="I1358" s="23">
        <v>46029.647222222222</v>
      </c>
      <c r="J1358" s="10">
        <v>2696</v>
      </c>
      <c r="K1358" s="10">
        <v>0</v>
      </c>
      <c r="L1358" s="24">
        <v>0</v>
      </c>
      <c r="M1358" s="10">
        <v>2696</v>
      </c>
    </row>
    <row r="1359" spans="1:13" x14ac:dyDescent="0.25">
      <c r="A1359" s="12" t="str">
        <f t="shared" si="42"/>
        <v>5004930ACACIUS HENRIQUE SOUZA BARBOSACT46029,6479166667</v>
      </c>
      <c r="B1359" s="12" t="str">
        <f t="shared" si="43"/>
        <v>Janeiro</v>
      </c>
      <c r="C1359" s="8" t="s">
        <v>1529</v>
      </c>
      <c r="D1359" s="8" t="s">
        <v>664</v>
      </c>
      <c r="E1359" s="8" t="s">
        <v>1530</v>
      </c>
      <c r="F1359" s="23">
        <v>46029.647916666669</v>
      </c>
      <c r="G1359" s="8" t="s">
        <v>1035</v>
      </c>
      <c r="H1359" s="23">
        <v>46038</v>
      </c>
      <c r="I1359" s="23">
        <v>46029.647916666669</v>
      </c>
      <c r="J1359" s="10">
        <v>1206</v>
      </c>
      <c r="K1359" s="10">
        <v>0</v>
      </c>
      <c r="L1359" s="24">
        <v>0</v>
      </c>
      <c r="M1359" s="10">
        <v>1206</v>
      </c>
    </row>
    <row r="1360" spans="1:13" x14ac:dyDescent="0.25">
      <c r="A1360" s="12" t="str">
        <f t="shared" si="42"/>
        <v>5004931ADILSON VIANA DO SACRAMENTOCT46029,6541666667</v>
      </c>
      <c r="B1360" s="12" t="str">
        <f t="shared" si="43"/>
        <v>Janeiro</v>
      </c>
      <c r="C1360" s="8" t="s">
        <v>1531</v>
      </c>
      <c r="D1360" s="8" t="s">
        <v>664</v>
      </c>
      <c r="E1360" s="8" t="s">
        <v>1390</v>
      </c>
      <c r="F1360" s="23">
        <v>46029.654166666667</v>
      </c>
      <c r="G1360" s="8" t="s">
        <v>1035</v>
      </c>
      <c r="H1360" s="23">
        <v>46038</v>
      </c>
      <c r="I1360" s="23">
        <v>46029.654166666667</v>
      </c>
      <c r="J1360" s="10">
        <v>2162</v>
      </c>
      <c r="K1360" s="10">
        <v>0</v>
      </c>
      <c r="L1360" s="24">
        <v>0</v>
      </c>
      <c r="M1360" s="10">
        <v>2162</v>
      </c>
    </row>
    <row r="1361" spans="1:13" x14ac:dyDescent="0.25">
      <c r="A1361" s="12" t="str">
        <f t="shared" si="42"/>
        <v>5004932EDUARDO GAUDENCIO ROSACT46029,6611111111</v>
      </c>
      <c r="B1361" s="12" t="str">
        <f t="shared" si="43"/>
        <v>Janeiro</v>
      </c>
      <c r="C1361" s="8" t="s">
        <v>1532</v>
      </c>
      <c r="D1361" s="8" t="s">
        <v>664</v>
      </c>
      <c r="E1361" s="8" t="s">
        <v>58</v>
      </c>
      <c r="F1361" s="23">
        <v>46029.661111111112</v>
      </c>
      <c r="G1361" s="8" t="s">
        <v>1035</v>
      </c>
      <c r="H1361" s="23">
        <v>46038</v>
      </c>
      <c r="I1361" s="23">
        <v>46029.661111111112</v>
      </c>
      <c r="J1361" s="10">
        <v>6529</v>
      </c>
      <c r="K1361" s="10">
        <v>0</v>
      </c>
      <c r="L1361" s="24">
        <v>0</v>
      </c>
      <c r="M1361" s="10">
        <v>6529</v>
      </c>
    </row>
    <row r="1362" spans="1:13" x14ac:dyDescent="0.25">
      <c r="A1362" s="12" t="str">
        <f t="shared" si="42"/>
        <v>5004933CRISTIAN ALVES MOREIRACT46029,6631944444</v>
      </c>
      <c r="B1362" s="12" t="str">
        <f t="shared" si="43"/>
        <v>Janeiro</v>
      </c>
      <c r="C1362" s="8" t="s">
        <v>1533</v>
      </c>
      <c r="D1362" s="8" t="s">
        <v>664</v>
      </c>
      <c r="E1362" s="8" t="s">
        <v>46</v>
      </c>
      <c r="F1362" s="23">
        <v>46029.663194444445</v>
      </c>
      <c r="G1362" s="8" t="s">
        <v>1035</v>
      </c>
      <c r="H1362" s="23">
        <v>46038</v>
      </c>
      <c r="I1362" s="23">
        <v>46029.663194444445</v>
      </c>
      <c r="J1362" s="10">
        <v>5127</v>
      </c>
      <c r="K1362" s="10">
        <v>0</v>
      </c>
      <c r="L1362" s="24">
        <v>0</v>
      </c>
      <c r="M1362" s="10">
        <v>5127</v>
      </c>
    </row>
    <row r="1363" spans="1:13" x14ac:dyDescent="0.25">
      <c r="A1363" s="12" t="str">
        <f t="shared" si="42"/>
        <v>5004934PAULO RICARDO SILVACT46029,6638888889</v>
      </c>
      <c r="B1363" s="12" t="str">
        <f t="shared" si="43"/>
        <v>Janeiro</v>
      </c>
      <c r="C1363" s="8" t="s">
        <v>1534</v>
      </c>
      <c r="D1363" s="8" t="s">
        <v>664</v>
      </c>
      <c r="E1363" s="8" t="s">
        <v>153</v>
      </c>
      <c r="F1363" s="23">
        <v>46029.663888888892</v>
      </c>
      <c r="G1363" s="8" t="s">
        <v>1035</v>
      </c>
      <c r="H1363" s="23">
        <v>46038</v>
      </c>
      <c r="I1363" s="23">
        <v>46029.663888888892</v>
      </c>
      <c r="J1363" s="10">
        <v>3281</v>
      </c>
      <c r="K1363" s="10">
        <v>0</v>
      </c>
      <c r="L1363" s="24">
        <v>0</v>
      </c>
      <c r="M1363" s="10">
        <v>3281</v>
      </c>
    </row>
    <row r="1364" spans="1:13" x14ac:dyDescent="0.25">
      <c r="A1364" s="12" t="str">
        <f t="shared" si="42"/>
        <v>5004934CRISTIAN ALVES MOREIRARCB46041,4861111111</v>
      </c>
      <c r="B1364" s="12" t="str">
        <f t="shared" si="43"/>
        <v>Janeiro</v>
      </c>
      <c r="C1364" s="8" t="s">
        <v>1534</v>
      </c>
      <c r="D1364" s="8" t="s">
        <v>664</v>
      </c>
      <c r="E1364" s="8" t="s">
        <v>46</v>
      </c>
      <c r="F1364" s="23">
        <v>46041.486111111109</v>
      </c>
      <c r="G1364" s="8" t="s">
        <v>1045</v>
      </c>
      <c r="H1364" s="23">
        <v>46044</v>
      </c>
      <c r="I1364" s="23">
        <v>46041.486111111109</v>
      </c>
      <c r="J1364" s="10">
        <v>41.2</v>
      </c>
      <c r="K1364" s="10">
        <v>0</v>
      </c>
      <c r="L1364" s="24">
        <v>0</v>
      </c>
      <c r="M1364" s="10">
        <v>41.2</v>
      </c>
    </row>
    <row r="1365" spans="1:13" x14ac:dyDescent="0.25">
      <c r="A1365" s="12" t="str">
        <f t="shared" si="42"/>
        <v>5004935PAULO RICARDO SILVARCB46034,4395833333</v>
      </c>
      <c r="B1365" s="12" t="str">
        <f t="shared" si="43"/>
        <v>Janeiro</v>
      </c>
      <c r="C1365" s="8" t="s">
        <v>1472</v>
      </c>
      <c r="D1365" s="8" t="s">
        <v>664</v>
      </c>
      <c r="E1365" s="8" t="s">
        <v>153</v>
      </c>
      <c r="F1365" s="23">
        <v>46034.439583333333</v>
      </c>
      <c r="G1365" s="8" t="s">
        <v>1045</v>
      </c>
      <c r="H1365" s="23">
        <v>46037</v>
      </c>
      <c r="I1365" s="23">
        <v>46034.439583333333</v>
      </c>
      <c r="J1365" s="10">
        <v>11.4</v>
      </c>
      <c r="K1365" s="10">
        <v>0</v>
      </c>
      <c r="L1365" s="24">
        <v>0</v>
      </c>
      <c r="M1365" s="10">
        <v>11.4</v>
      </c>
    </row>
    <row r="1366" spans="1:13" x14ac:dyDescent="0.25">
      <c r="A1366" s="12" t="str">
        <f t="shared" si="42"/>
        <v>5004935KELISON DINIZ LEMOSCT46029,6652777778</v>
      </c>
      <c r="B1366" s="12" t="str">
        <f t="shared" si="43"/>
        <v>Janeiro</v>
      </c>
      <c r="C1366" s="8" t="s">
        <v>1472</v>
      </c>
      <c r="D1366" s="8" t="s">
        <v>664</v>
      </c>
      <c r="E1366" s="8" t="s">
        <v>105</v>
      </c>
      <c r="F1366" s="23">
        <v>46029.665277777778</v>
      </c>
      <c r="G1366" s="8" t="s">
        <v>1035</v>
      </c>
      <c r="H1366" s="23">
        <v>46038</v>
      </c>
      <c r="I1366" s="23">
        <v>46029.665277777778</v>
      </c>
      <c r="J1366" s="10">
        <v>5426</v>
      </c>
      <c r="K1366" s="10">
        <v>0</v>
      </c>
      <c r="L1366" s="24">
        <v>0</v>
      </c>
      <c r="M1366" s="10">
        <v>5426</v>
      </c>
    </row>
    <row r="1367" spans="1:13" x14ac:dyDescent="0.25">
      <c r="A1367" s="12" t="str">
        <f t="shared" si="42"/>
        <v>5004936ADRIANO ROBERTOCT46029,6673611111</v>
      </c>
      <c r="B1367" s="12" t="str">
        <f t="shared" si="43"/>
        <v>Janeiro</v>
      </c>
      <c r="C1367" s="8" t="s">
        <v>1535</v>
      </c>
      <c r="D1367" s="8" t="s">
        <v>664</v>
      </c>
      <c r="E1367" s="8" t="s">
        <v>8</v>
      </c>
      <c r="F1367" s="23">
        <v>46029.667361111111</v>
      </c>
      <c r="G1367" s="8" t="s">
        <v>1035</v>
      </c>
      <c r="H1367" s="23">
        <v>46038</v>
      </c>
      <c r="I1367" s="23">
        <v>46029.667361111111</v>
      </c>
      <c r="J1367" s="10">
        <v>3913</v>
      </c>
      <c r="K1367" s="10">
        <v>0</v>
      </c>
      <c r="L1367" s="24">
        <v>0</v>
      </c>
      <c r="M1367" s="10">
        <v>3913</v>
      </c>
    </row>
    <row r="1368" spans="1:13" x14ac:dyDescent="0.25">
      <c r="A1368" s="12" t="str">
        <f t="shared" si="42"/>
        <v>5004937HUDSON CESAR DA SILVACT46029,6680555556</v>
      </c>
      <c r="B1368" s="12" t="str">
        <f t="shared" si="43"/>
        <v>Janeiro</v>
      </c>
      <c r="C1368" s="8" t="s">
        <v>1536</v>
      </c>
      <c r="D1368" s="8" t="s">
        <v>664</v>
      </c>
      <c r="E1368" s="8" t="s">
        <v>1407</v>
      </c>
      <c r="F1368" s="23">
        <v>46029.668055555558</v>
      </c>
      <c r="G1368" s="8" t="s">
        <v>1035</v>
      </c>
      <c r="H1368" s="23">
        <v>46038</v>
      </c>
      <c r="I1368" s="23">
        <v>46029.668055555558</v>
      </c>
      <c r="J1368" s="10">
        <v>3657</v>
      </c>
      <c r="K1368" s="10">
        <v>0</v>
      </c>
      <c r="L1368" s="24">
        <v>0</v>
      </c>
      <c r="M1368" s="10">
        <v>3657</v>
      </c>
    </row>
    <row r="1369" spans="1:13" x14ac:dyDescent="0.25">
      <c r="A1369" s="12" t="str">
        <f t="shared" si="42"/>
        <v>5004937ADRIANO ROBERTORCB46041,4854166667</v>
      </c>
      <c r="B1369" s="12" t="str">
        <f t="shared" si="43"/>
        <v>Janeiro</v>
      </c>
      <c r="C1369" s="8" t="s">
        <v>1536</v>
      </c>
      <c r="D1369" s="8" t="s">
        <v>664</v>
      </c>
      <c r="E1369" s="8" t="s">
        <v>8</v>
      </c>
      <c r="F1369" s="23">
        <v>46041.48541666667</v>
      </c>
      <c r="G1369" s="8" t="s">
        <v>1045</v>
      </c>
      <c r="H1369" s="23">
        <v>46044</v>
      </c>
      <c r="I1369" s="23">
        <v>46041.48541666667</v>
      </c>
      <c r="J1369" s="10">
        <v>15.8</v>
      </c>
      <c r="K1369" s="10">
        <v>0</v>
      </c>
      <c r="L1369" s="24">
        <v>0</v>
      </c>
      <c r="M1369" s="10">
        <v>15.8</v>
      </c>
    </row>
    <row r="1370" spans="1:13" x14ac:dyDescent="0.25">
      <c r="A1370" s="12" t="str">
        <f t="shared" si="42"/>
        <v>5004938RENAN ELTON DIVINOCT46029,6694444444</v>
      </c>
      <c r="B1370" s="12" t="str">
        <f t="shared" si="43"/>
        <v>Janeiro</v>
      </c>
      <c r="C1370" s="8" t="s">
        <v>1537</v>
      </c>
      <c r="D1370" s="8" t="s">
        <v>664</v>
      </c>
      <c r="E1370" s="8" t="s">
        <v>1409</v>
      </c>
      <c r="F1370" s="23">
        <v>46029.669444444444</v>
      </c>
      <c r="G1370" s="8" t="s">
        <v>1035</v>
      </c>
      <c r="H1370" s="23">
        <v>46038</v>
      </c>
      <c r="I1370" s="23">
        <v>46029.669444444444</v>
      </c>
      <c r="J1370" s="10">
        <v>1359</v>
      </c>
      <c r="K1370" s="10">
        <v>0</v>
      </c>
      <c r="L1370" s="24">
        <v>0</v>
      </c>
      <c r="M1370" s="10">
        <v>1359</v>
      </c>
    </row>
    <row r="1371" spans="1:13" x14ac:dyDescent="0.25">
      <c r="A1371" s="12" t="str">
        <f t="shared" si="42"/>
        <v>5004939LIDEMBERG RAMOS GABRIELCT46029,6715277778</v>
      </c>
      <c r="B1371" s="12" t="str">
        <f t="shared" si="43"/>
        <v>Janeiro</v>
      </c>
      <c r="C1371" s="8" t="s">
        <v>1538</v>
      </c>
      <c r="D1371" s="8" t="s">
        <v>664</v>
      </c>
      <c r="E1371" s="8" t="s">
        <v>1539</v>
      </c>
      <c r="F1371" s="23">
        <v>46029.671527777777</v>
      </c>
      <c r="G1371" s="8" t="s">
        <v>1035</v>
      </c>
      <c r="H1371" s="23">
        <v>46038</v>
      </c>
      <c r="I1371" s="23">
        <v>46029.671527777777</v>
      </c>
      <c r="J1371" s="10">
        <v>1050</v>
      </c>
      <c r="K1371" s="10">
        <v>0</v>
      </c>
      <c r="L1371" s="24">
        <v>0</v>
      </c>
      <c r="M1371" s="10">
        <v>1050</v>
      </c>
    </row>
    <row r="1372" spans="1:13" x14ac:dyDescent="0.25">
      <c r="A1372" s="12" t="str">
        <f t="shared" si="42"/>
        <v>5004940NELCIDES JOSE VIEIRACT46029,6736111111</v>
      </c>
      <c r="B1372" s="12" t="str">
        <f t="shared" si="43"/>
        <v>Janeiro</v>
      </c>
      <c r="C1372" s="8" t="s">
        <v>1540</v>
      </c>
      <c r="D1372" s="8" t="s">
        <v>664</v>
      </c>
      <c r="E1372" s="8" t="s">
        <v>137</v>
      </c>
      <c r="F1372" s="23">
        <v>46029.673611111109</v>
      </c>
      <c r="G1372" s="8" t="s">
        <v>1035</v>
      </c>
      <c r="H1372" s="23">
        <v>46038</v>
      </c>
      <c r="I1372" s="23">
        <v>46029.673611111109</v>
      </c>
      <c r="J1372" s="10">
        <v>3565</v>
      </c>
      <c r="K1372" s="10">
        <v>0</v>
      </c>
      <c r="L1372" s="24">
        <v>0</v>
      </c>
      <c r="M1372" s="10">
        <v>3565</v>
      </c>
    </row>
    <row r="1373" spans="1:13" x14ac:dyDescent="0.25">
      <c r="A1373" s="12" t="str">
        <f t="shared" si="42"/>
        <v>5004940LIDEMBERG RAMOS GABRIELRCB46048,4111111111</v>
      </c>
      <c r="B1373" s="12" t="str">
        <f t="shared" si="43"/>
        <v>Janeiro</v>
      </c>
      <c r="C1373" s="8" t="s">
        <v>1540</v>
      </c>
      <c r="D1373" s="8" t="s">
        <v>664</v>
      </c>
      <c r="E1373" s="8" t="s">
        <v>1539</v>
      </c>
      <c r="F1373" s="23">
        <v>46048.411111111112</v>
      </c>
      <c r="G1373" s="8" t="s">
        <v>1045</v>
      </c>
      <c r="H1373" s="23">
        <v>46051</v>
      </c>
      <c r="I1373" s="23">
        <v>46048.411111111112</v>
      </c>
      <c r="J1373" s="10">
        <v>56</v>
      </c>
      <c r="K1373" s="10">
        <v>0</v>
      </c>
      <c r="L1373" s="24">
        <v>0</v>
      </c>
      <c r="M1373" s="10">
        <v>56</v>
      </c>
    </row>
    <row r="1374" spans="1:13" x14ac:dyDescent="0.25">
      <c r="A1374" s="12" t="str">
        <f t="shared" si="42"/>
        <v>5004941WILLIAM DE SOUZA VIEIRACT46029,6770833333</v>
      </c>
      <c r="B1374" s="12" t="str">
        <f t="shared" si="43"/>
        <v>Janeiro</v>
      </c>
      <c r="C1374" s="8" t="s">
        <v>1541</v>
      </c>
      <c r="D1374" s="8" t="s">
        <v>664</v>
      </c>
      <c r="E1374" s="8" t="s">
        <v>1542</v>
      </c>
      <c r="F1374" s="23">
        <v>46029.677083333336</v>
      </c>
      <c r="G1374" s="8" t="s">
        <v>1035</v>
      </c>
      <c r="H1374" s="23">
        <v>46038</v>
      </c>
      <c r="I1374" s="23">
        <v>46029.677083333336</v>
      </c>
      <c r="J1374" s="10">
        <v>2275</v>
      </c>
      <c r="K1374" s="10">
        <v>0</v>
      </c>
      <c r="L1374" s="24">
        <v>0</v>
      </c>
      <c r="M1374" s="10">
        <v>2275</v>
      </c>
    </row>
    <row r="1375" spans="1:13" x14ac:dyDescent="0.25">
      <c r="A1375" s="12" t="str">
        <f t="shared" si="42"/>
        <v>5004941LIDEMBERG RAMOS GABRIELRCB46055,4743055556</v>
      </c>
      <c r="B1375" s="12" t="str">
        <f t="shared" si="43"/>
        <v>Fevereiro</v>
      </c>
      <c r="C1375" s="8" t="s">
        <v>1541</v>
      </c>
      <c r="D1375" s="8" t="s">
        <v>664</v>
      </c>
      <c r="E1375" s="8" t="s">
        <v>1539</v>
      </c>
      <c r="F1375" s="23">
        <v>46055.474305555559</v>
      </c>
      <c r="G1375" s="8" t="s">
        <v>1045</v>
      </c>
      <c r="H1375" s="23">
        <v>46058</v>
      </c>
      <c r="I1375" s="23">
        <v>46055.474305555559</v>
      </c>
      <c r="J1375" s="10">
        <v>11.8</v>
      </c>
      <c r="K1375" s="10">
        <v>0</v>
      </c>
      <c r="L1375" s="24">
        <v>0</v>
      </c>
      <c r="M1375" s="10">
        <v>11.8</v>
      </c>
    </row>
    <row r="1376" spans="1:13" x14ac:dyDescent="0.25">
      <c r="A1376" s="12" t="str">
        <f t="shared" si="42"/>
        <v>5004943KAYO BOTELHOCT46029,68125</v>
      </c>
      <c r="B1376" s="12" t="str">
        <f t="shared" si="43"/>
        <v>Janeiro</v>
      </c>
      <c r="C1376" s="8" t="s">
        <v>1546</v>
      </c>
      <c r="D1376" s="8" t="s">
        <v>664</v>
      </c>
      <c r="E1376" s="8" t="s">
        <v>1547</v>
      </c>
      <c r="F1376" s="23">
        <v>46029.681250000001</v>
      </c>
      <c r="G1376" s="8" t="s">
        <v>1035</v>
      </c>
      <c r="H1376" s="23">
        <v>46038</v>
      </c>
      <c r="I1376" s="23">
        <v>46029.681250000001</v>
      </c>
      <c r="J1376" s="10">
        <v>3533</v>
      </c>
      <c r="K1376" s="10">
        <v>0</v>
      </c>
      <c r="L1376" s="24">
        <v>0</v>
      </c>
      <c r="M1376" s="10">
        <v>3533</v>
      </c>
    </row>
    <row r="1377" spans="1:13" x14ac:dyDescent="0.25">
      <c r="A1377" s="12" t="str">
        <f t="shared" si="42"/>
        <v>5004944JOAQUINA DE FATIMA BERTOLDOCT46029,6833333333</v>
      </c>
      <c r="B1377" s="12" t="str">
        <f t="shared" si="43"/>
        <v>Janeiro</v>
      </c>
      <c r="C1377" s="8" t="s">
        <v>1548</v>
      </c>
      <c r="D1377" s="8" t="s">
        <v>664</v>
      </c>
      <c r="E1377" s="8" t="s">
        <v>1416</v>
      </c>
      <c r="F1377" s="23">
        <v>46029.683333333334</v>
      </c>
      <c r="G1377" s="8" t="s">
        <v>1035</v>
      </c>
      <c r="H1377" s="23">
        <v>46038</v>
      </c>
      <c r="I1377" s="23">
        <v>46029.683333333334</v>
      </c>
      <c r="J1377" s="10">
        <v>1050</v>
      </c>
      <c r="K1377" s="10">
        <v>0</v>
      </c>
      <c r="L1377" s="24">
        <v>0</v>
      </c>
      <c r="M1377" s="10">
        <v>1050</v>
      </c>
    </row>
    <row r="1378" spans="1:13" x14ac:dyDescent="0.25">
      <c r="A1378" s="12" t="str">
        <f t="shared" si="42"/>
        <v>5004945JORGE MARTINS BORGES JUNIORCT46029,6847222222</v>
      </c>
      <c r="B1378" s="12" t="str">
        <f t="shared" si="43"/>
        <v>Janeiro</v>
      </c>
      <c r="C1378" s="8" t="s">
        <v>1549</v>
      </c>
      <c r="D1378" s="8" t="s">
        <v>664</v>
      </c>
      <c r="E1378" s="8" t="s">
        <v>97</v>
      </c>
      <c r="F1378" s="23">
        <v>46029.68472222222</v>
      </c>
      <c r="G1378" s="8" t="s">
        <v>1035</v>
      </c>
      <c r="H1378" s="23">
        <v>46038</v>
      </c>
      <c r="I1378" s="23">
        <v>46029.68472222222</v>
      </c>
      <c r="J1378" s="10">
        <v>3844</v>
      </c>
      <c r="K1378" s="10">
        <v>0</v>
      </c>
      <c r="L1378" s="24">
        <v>0</v>
      </c>
      <c r="M1378" s="10">
        <v>3844</v>
      </c>
    </row>
    <row r="1379" spans="1:13" x14ac:dyDescent="0.25">
      <c r="A1379" s="12" t="str">
        <f t="shared" si="42"/>
        <v>5004946JORGE MARTINS BORGES JUNIORRCB46034,4402777778</v>
      </c>
      <c r="B1379" s="12" t="str">
        <f t="shared" si="43"/>
        <v>Janeiro</v>
      </c>
      <c r="C1379" s="8" t="s">
        <v>1475</v>
      </c>
      <c r="D1379" s="8" t="s">
        <v>664</v>
      </c>
      <c r="E1379" s="8" t="s">
        <v>97</v>
      </c>
      <c r="F1379" s="23">
        <v>46034.44027777778</v>
      </c>
      <c r="G1379" s="8" t="s">
        <v>1045</v>
      </c>
      <c r="H1379" s="23">
        <v>46037</v>
      </c>
      <c r="I1379" s="23">
        <v>46034.44027777778</v>
      </c>
      <c r="J1379" s="10">
        <v>11</v>
      </c>
      <c r="K1379" s="10">
        <v>0</v>
      </c>
      <c r="L1379" s="24">
        <v>0</v>
      </c>
      <c r="M1379" s="10">
        <v>11</v>
      </c>
    </row>
    <row r="1380" spans="1:13" x14ac:dyDescent="0.25">
      <c r="A1380" s="12" t="str">
        <f t="shared" si="42"/>
        <v>5004946DANIELLE HEBERT CARVALHO PEREIRACT46029,6868055556</v>
      </c>
      <c r="B1380" s="12" t="str">
        <f t="shared" si="43"/>
        <v>Janeiro</v>
      </c>
      <c r="C1380" s="8" t="s">
        <v>1475</v>
      </c>
      <c r="D1380" s="8" t="s">
        <v>664</v>
      </c>
      <c r="E1380" s="8" t="s">
        <v>48</v>
      </c>
      <c r="F1380" s="23">
        <v>46029.686805555553</v>
      </c>
      <c r="G1380" s="8" t="s">
        <v>1035</v>
      </c>
      <c r="H1380" s="23">
        <v>46038</v>
      </c>
      <c r="I1380" s="23">
        <v>46029.686805555553</v>
      </c>
      <c r="J1380" s="10">
        <v>7305</v>
      </c>
      <c r="K1380" s="10">
        <v>0</v>
      </c>
      <c r="L1380" s="24">
        <v>0</v>
      </c>
      <c r="M1380" s="10">
        <v>7305</v>
      </c>
    </row>
    <row r="1381" spans="1:13" x14ac:dyDescent="0.25">
      <c r="A1381" s="12" t="str">
        <f t="shared" si="42"/>
        <v>5004947DARLAN DIEGO OLIVEIRA SOARESCT46029,6875</v>
      </c>
      <c r="B1381" s="12" t="str">
        <f t="shared" si="43"/>
        <v>Janeiro</v>
      </c>
      <c r="C1381" s="8" t="s">
        <v>1550</v>
      </c>
      <c r="D1381" s="8" t="s">
        <v>664</v>
      </c>
      <c r="E1381" s="8" t="s">
        <v>1551</v>
      </c>
      <c r="F1381" s="23">
        <v>46029.6875</v>
      </c>
      <c r="G1381" s="8" t="s">
        <v>1035</v>
      </c>
      <c r="H1381" s="23">
        <v>46038</v>
      </c>
      <c r="I1381" s="23">
        <v>46029.6875</v>
      </c>
      <c r="J1381" s="10">
        <v>1241</v>
      </c>
      <c r="K1381" s="10">
        <v>0</v>
      </c>
      <c r="L1381" s="24">
        <v>0</v>
      </c>
      <c r="M1381" s="10">
        <v>1241</v>
      </c>
    </row>
    <row r="1382" spans="1:13" x14ac:dyDescent="0.25">
      <c r="A1382" s="12" t="str">
        <f t="shared" si="42"/>
        <v>5004947JORGE MARTINS BORGES JUNIORRCB46041,4784722222</v>
      </c>
      <c r="B1382" s="12" t="str">
        <f t="shared" si="43"/>
        <v>Janeiro</v>
      </c>
      <c r="C1382" s="8" t="s">
        <v>1550</v>
      </c>
      <c r="D1382" s="8" t="s">
        <v>664</v>
      </c>
      <c r="E1382" s="8" t="s">
        <v>97</v>
      </c>
      <c r="F1382" s="23">
        <v>46041.478472222225</v>
      </c>
      <c r="G1382" s="8" t="s">
        <v>1045</v>
      </c>
      <c r="H1382" s="23">
        <v>46044</v>
      </c>
      <c r="I1382" s="23">
        <v>46041.478472222225</v>
      </c>
      <c r="J1382" s="10">
        <v>37.799999999999997</v>
      </c>
      <c r="K1382" s="10">
        <v>0</v>
      </c>
      <c r="L1382" s="24">
        <v>0</v>
      </c>
      <c r="M1382" s="10">
        <v>37.799999999999997</v>
      </c>
    </row>
    <row r="1383" spans="1:13" x14ac:dyDescent="0.25">
      <c r="A1383" s="12" t="str">
        <f t="shared" si="42"/>
        <v>5004948BRUNO RIBEIRO DOMINGUESCT46029,6902777778</v>
      </c>
      <c r="B1383" s="12" t="str">
        <f t="shared" si="43"/>
        <v>Janeiro</v>
      </c>
      <c r="C1383" s="8" t="s">
        <v>1552</v>
      </c>
      <c r="D1383" s="8" t="s">
        <v>664</v>
      </c>
      <c r="E1383" s="8" t="s">
        <v>32</v>
      </c>
      <c r="F1383" s="23">
        <v>46029.69027777778</v>
      </c>
      <c r="G1383" s="8" t="s">
        <v>1035</v>
      </c>
      <c r="H1383" s="23">
        <v>46038</v>
      </c>
      <c r="I1383" s="23">
        <v>46029.69027777778</v>
      </c>
      <c r="J1383" s="10">
        <v>384</v>
      </c>
      <c r="K1383" s="10">
        <v>0</v>
      </c>
      <c r="L1383" s="24">
        <v>0</v>
      </c>
      <c r="M1383" s="10">
        <v>384</v>
      </c>
    </row>
    <row r="1384" spans="1:13" x14ac:dyDescent="0.25">
      <c r="A1384" s="12" t="str">
        <f t="shared" si="42"/>
        <v>5004949JAIME GOMES PARAGUAICT46029,6944444444</v>
      </c>
      <c r="B1384" s="12" t="str">
        <f t="shared" si="43"/>
        <v>Janeiro</v>
      </c>
      <c r="C1384" s="8" t="s">
        <v>1553</v>
      </c>
      <c r="D1384" s="8" t="s">
        <v>664</v>
      </c>
      <c r="E1384" s="8" t="s">
        <v>87</v>
      </c>
      <c r="F1384" s="23">
        <v>46029.694444444445</v>
      </c>
      <c r="G1384" s="8" t="s">
        <v>1035</v>
      </c>
      <c r="H1384" s="23">
        <v>46038</v>
      </c>
      <c r="I1384" s="23">
        <v>46029.694444444445</v>
      </c>
      <c r="J1384" s="10">
        <v>3586</v>
      </c>
      <c r="K1384" s="10">
        <v>0</v>
      </c>
      <c r="L1384" s="24">
        <v>0</v>
      </c>
      <c r="M1384" s="10">
        <v>3586</v>
      </c>
    </row>
    <row r="1385" spans="1:13" x14ac:dyDescent="0.25">
      <c r="A1385" s="12" t="str">
        <f t="shared" si="42"/>
        <v>5004949BRUNO RIBEIRO DOMINGUESRCB46105,3701388889</v>
      </c>
      <c r="B1385" s="12" t="str">
        <f t="shared" si="43"/>
        <v>Março</v>
      </c>
      <c r="C1385" s="8" t="s">
        <v>1553</v>
      </c>
      <c r="D1385" s="8" t="s">
        <v>664</v>
      </c>
      <c r="E1385" s="8" t="s">
        <v>32</v>
      </c>
      <c r="F1385" s="23">
        <v>46105.370138888888</v>
      </c>
      <c r="G1385" s="8" t="s">
        <v>1045</v>
      </c>
      <c r="H1385" s="23">
        <v>46108</v>
      </c>
      <c r="I1385" s="23">
        <v>46105.370138888888</v>
      </c>
      <c r="J1385" s="10">
        <v>15.8</v>
      </c>
      <c r="K1385" s="10">
        <v>0</v>
      </c>
      <c r="L1385" s="24">
        <v>0</v>
      </c>
      <c r="M1385" s="10">
        <v>15.8</v>
      </c>
    </row>
    <row r="1386" spans="1:13" x14ac:dyDescent="0.25">
      <c r="A1386" s="12" t="str">
        <f t="shared" si="42"/>
        <v>5004950RONIERE DE OLIVEIRA MENDESCT46029,6958333333</v>
      </c>
      <c r="B1386" s="12" t="str">
        <f t="shared" si="43"/>
        <v>Janeiro</v>
      </c>
      <c r="C1386" s="8" t="s">
        <v>1554</v>
      </c>
      <c r="D1386" s="8" t="s">
        <v>664</v>
      </c>
      <c r="E1386" s="8" t="s">
        <v>1555</v>
      </c>
      <c r="F1386" s="23">
        <v>46029.695833333331</v>
      </c>
      <c r="G1386" s="8" t="s">
        <v>1035</v>
      </c>
      <c r="H1386" s="23">
        <v>46038</v>
      </c>
      <c r="I1386" s="23">
        <v>46029.695833333331</v>
      </c>
      <c r="J1386" s="10">
        <v>471</v>
      </c>
      <c r="K1386" s="10">
        <v>0</v>
      </c>
      <c r="L1386" s="24">
        <v>0</v>
      </c>
      <c r="M1386" s="10">
        <v>471</v>
      </c>
    </row>
    <row r="1387" spans="1:13" x14ac:dyDescent="0.25">
      <c r="A1387" s="12" t="str">
        <f t="shared" si="42"/>
        <v>5004950JAIME GOMES PARAGUAIRCB46041,4868055556</v>
      </c>
      <c r="B1387" s="12" t="str">
        <f t="shared" si="43"/>
        <v>Janeiro</v>
      </c>
      <c r="C1387" s="8" t="s">
        <v>1554</v>
      </c>
      <c r="D1387" s="8" t="s">
        <v>664</v>
      </c>
      <c r="E1387" s="8" t="s">
        <v>87</v>
      </c>
      <c r="F1387" s="23">
        <v>46041.486805555556</v>
      </c>
      <c r="G1387" s="8" t="s">
        <v>1045</v>
      </c>
      <c r="H1387" s="23">
        <v>46044</v>
      </c>
      <c r="I1387" s="23">
        <v>46041.486805555556</v>
      </c>
      <c r="J1387" s="10">
        <v>46.5</v>
      </c>
      <c r="K1387" s="10">
        <v>0</v>
      </c>
      <c r="L1387" s="24">
        <v>0</v>
      </c>
      <c r="M1387" s="10">
        <v>46.5</v>
      </c>
    </row>
    <row r="1388" spans="1:13" x14ac:dyDescent="0.25">
      <c r="A1388" s="12" t="str">
        <f t="shared" si="42"/>
        <v>5004950BRUNO RIBEIRO DOMINGUESRCB46111,4340277778</v>
      </c>
      <c r="B1388" s="12" t="str">
        <f t="shared" si="43"/>
        <v>Abril</v>
      </c>
      <c r="C1388" s="8" t="s">
        <v>1554</v>
      </c>
      <c r="D1388" s="8" t="s">
        <v>664</v>
      </c>
      <c r="E1388" s="8" t="s">
        <v>32</v>
      </c>
      <c r="F1388" s="23">
        <v>46111.434027777781</v>
      </c>
      <c r="G1388" s="8" t="s">
        <v>1045</v>
      </c>
      <c r="H1388" s="23">
        <v>46114</v>
      </c>
      <c r="I1388" s="23">
        <v>46111.434027777781</v>
      </c>
      <c r="J1388" s="10">
        <v>26.8</v>
      </c>
      <c r="K1388" s="10">
        <v>0</v>
      </c>
      <c r="L1388" s="24">
        <v>0</v>
      </c>
      <c r="M1388" s="10">
        <v>26.8</v>
      </c>
    </row>
    <row r="1389" spans="1:13" x14ac:dyDescent="0.25">
      <c r="A1389" s="12" t="str">
        <f t="shared" si="42"/>
        <v>5004951CHAYENE AMARALCT46029,6972222222</v>
      </c>
      <c r="B1389" s="12" t="str">
        <f t="shared" si="43"/>
        <v>Janeiro</v>
      </c>
      <c r="C1389" s="8" t="s">
        <v>1556</v>
      </c>
      <c r="D1389" s="8" t="s">
        <v>664</v>
      </c>
      <c r="E1389" s="8" t="s">
        <v>1424</v>
      </c>
      <c r="F1389" s="23">
        <v>46029.697222222225</v>
      </c>
      <c r="G1389" s="8" t="s">
        <v>1035</v>
      </c>
      <c r="H1389" s="23">
        <v>46038</v>
      </c>
      <c r="I1389" s="23">
        <v>46029.697222222225</v>
      </c>
      <c r="J1389" s="10">
        <v>3153</v>
      </c>
      <c r="K1389" s="10">
        <v>0</v>
      </c>
      <c r="L1389" s="24">
        <v>0</v>
      </c>
      <c r="M1389" s="10">
        <v>3153</v>
      </c>
    </row>
    <row r="1390" spans="1:13" x14ac:dyDescent="0.25">
      <c r="A1390" s="12" t="str">
        <f t="shared" si="42"/>
        <v>5004952ALAOR CANAVEZ DE MORAES NETOCT46029,6979166667</v>
      </c>
      <c r="B1390" s="12" t="str">
        <f t="shared" si="43"/>
        <v>Janeiro</v>
      </c>
      <c r="C1390" s="8" t="s">
        <v>1557</v>
      </c>
      <c r="D1390" s="8" t="s">
        <v>664</v>
      </c>
      <c r="E1390" s="8" t="s">
        <v>10</v>
      </c>
      <c r="F1390" s="23">
        <v>46029.697916666664</v>
      </c>
      <c r="G1390" s="8" t="s">
        <v>1035</v>
      </c>
      <c r="H1390" s="23">
        <v>46038</v>
      </c>
      <c r="I1390" s="23">
        <v>46029.697916666664</v>
      </c>
      <c r="J1390" s="10">
        <v>4872</v>
      </c>
      <c r="K1390" s="10">
        <v>0</v>
      </c>
      <c r="L1390" s="24">
        <v>0</v>
      </c>
      <c r="M1390" s="10">
        <v>4872</v>
      </c>
    </row>
    <row r="1391" spans="1:13" x14ac:dyDescent="0.25">
      <c r="A1391" s="12" t="str">
        <f t="shared" si="42"/>
        <v>5004953MAGNO APARECIDO DE JESUSCT46029,7041666667</v>
      </c>
      <c r="B1391" s="12" t="str">
        <f t="shared" si="43"/>
        <v>Janeiro</v>
      </c>
      <c r="C1391" s="8" t="s">
        <v>1558</v>
      </c>
      <c r="D1391" s="8" t="s">
        <v>664</v>
      </c>
      <c r="E1391" s="8" t="s">
        <v>115</v>
      </c>
      <c r="F1391" s="23">
        <v>46029.70416666667</v>
      </c>
      <c r="G1391" s="8" t="s">
        <v>1035</v>
      </c>
      <c r="H1391" s="23">
        <v>46038</v>
      </c>
      <c r="I1391" s="23">
        <v>46029.70416666667</v>
      </c>
      <c r="J1391" s="10">
        <v>3947</v>
      </c>
      <c r="K1391" s="10">
        <v>0</v>
      </c>
      <c r="L1391" s="24">
        <v>0</v>
      </c>
      <c r="M1391" s="10">
        <v>3947</v>
      </c>
    </row>
    <row r="1392" spans="1:13" x14ac:dyDescent="0.25">
      <c r="A1392" s="12" t="str">
        <f t="shared" si="42"/>
        <v>5004953ALAOR CANAVEZ DE MORAES NETORCB46041,4881944444</v>
      </c>
      <c r="B1392" s="12" t="str">
        <f t="shared" si="43"/>
        <v>Janeiro</v>
      </c>
      <c r="C1392" s="8" t="s">
        <v>1558</v>
      </c>
      <c r="D1392" s="8" t="s">
        <v>664</v>
      </c>
      <c r="E1392" s="8" t="s">
        <v>10</v>
      </c>
      <c r="F1392" s="23">
        <v>46041.488194444442</v>
      </c>
      <c r="G1392" s="8" t="s">
        <v>1045</v>
      </c>
      <c r="H1392" s="23">
        <v>46044</v>
      </c>
      <c r="I1392" s="23">
        <v>46041.488194444442</v>
      </c>
      <c r="J1392" s="10">
        <v>118</v>
      </c>
      <c r="K1392" s="10">
        <v>0</v>
      </c>
      <c r="L1392" s="24">
        <v>0</v>
      </c>
      <c r="M1392" s="10">
        <v>118</v>
      </c>
    </row>
    <row r="1393" spans="1:13" x14ac:dyDescent="0.25">
      <c r="A1393" s="12" t="str">
        <f t="shared" si="42"/>
        <v>5004954WARLEI GOMESCT46029,7055555556</v>
      </c>
      <c r="B1393" s="12" t="str">
        <f t="shared" si="43"/>
        <v>Janeiro</v>
      </c>
      <c r="C1393" s="8" t="s">
        <v>1559</v>
      </c>
      <c r="D1393" s="8" t="s">
        <v>664</v>
      </c>
      <c r="E1393" s="8" t="s">
        <v>1560</v>
      </c>
      <c r="F1393" s="23">
        <v>46029.705555555556</v>
      </c>
      <c r="G1393" s="8" t="s">
        <v>1035</v>
      </c>
      <c r="H1393" s="23">
        <v>46038</v>
      </c>
      <c r="I1393" s="23">
        <v>46029.705555555556</v>
      </c>
      <c r="J1393" s="10">
        <v>2100</v>
      </c>
      <c r="K1393" s="10">
        <v>0</v>
      </c>
      <c r="L1393" s="24">
        <v>0</v>
      </c>
      <c r="M1393" s="10">
        <v>2100</v>
      </c>
    </row>
    <row r="1394" spans="1:13" x14ac:dyDescent="0.25">
      <c r="A1394" s="12" t="str">
        <f t="shared" si="42"/>
        <v>5004955MAURILIO PAULINO DA SILVACT46029,7083333333</v>
      </c>
      <c r="B1394" s="12" t="str">
        <f t="shared" si="43"/>
        <v>Janeiro</v>
      </c>
      <c r="C1394" s="8" t="s">
        <v>1561</v>
      </c>
      <c r="D1394" s="8" t="s">
        <v>664</v>
      </c>
      <c r="E1394" s="8" t="s">
        <v>1562</v>
      </c>
      <c r="F1394" s="23">
        <v>46029.708333333336</v>
      </c>
      <c r="G1394" s="8" t="s">
        <v>1035</v>
      </c>
      <c r="H1394" s="23">
        <v>46038</v>
      </c>
      <c r="I1394" s="23">
        <v>46029.708333333336</v>
      </c>
      <c r="J1394" s="10">
        <v>2875</v>
      </c>
      <c r="K1394" s="10">
        <v>0</v>
      </c>
      <c r="L1394" s="24">
        <v>0</v>
      </c>
      <c r="M1394" s="10">
        <v>2875</v>
      </c>
    </row>
    <row r="1395" spans="1:13" x14ac:dyDescent="0.25">
      <c r="A1395" s="12" t="str">
        <f t="shared" si="42"/>
        <v>5004956PAULO SERGIO FERREIRA VAZCT46029,7097222222</v>
      </c>
      <c r="B1395" s="12" t="str">
        <f t="shared" si="43"/>
        <v>Janeiro</v>
      </c>
      <c r="C1395" s="8" t="s">
        <v>1563</v>
      </c>
      <c r="D1395" s="8" t="s">
        <v>664</v>
      </c>
      <c r="E1395" s="8" t="s">
        <v>1564</v>
      </c>
      <c r="F1395" s="23">
        <v>46029.709722222222</v>
      </c>
      <c r="G1395" s="8" t="s">
        <v>1035</v>
      </c>
      <c r="H1395" s="23">
        <v>46038</v>
      </c>
      <c r="I1395" s="23">
        <v>46029.709722222222</v>
      </c>
      <c r="J1395" s="10">
        <v>1540</v>
      </c>
      <c r="K1395" s="10">
        <v>0</v>
      </c>
      <c r="L1395" s="24">
        <v>0</v>
      </c>
      <c r="M1395" s="10">
        <v>1540</v>
      </c>
    </row>
    <row r="1396" spans="1:13" x14ac:dyDescent="0.25">
      <c r="A1396" s="12" t="str">
        <f t="shared" si="42"/>
        <v>5004957ANTONIO CARLOS DA COSTACT46029,7111111111</v>
      </c>
      <c r="B1396" s="12" t="str">
        <f t="shared" si="43"/>
        <v>Janeiro</v>
      </c>
      <c r="C1396" s="8" t="s">
        <v>1565</v>
      </c>
      <c r="D1396" s="8" t="s">
        <v>664</v>
      </c>
      <c r="E1396" s="8" t="s">
        <v>19</v>
      </c>
      <c r="F1396" s="23">
        <v>46029.711111111108</v>
      </c>
      <c r="G1396" s="8" t="s">
        <v>1035</v>
      </c>
      <c r="H1396" s="23">
        <v>46038</v>
      </c>
      <c r="I1396" s="23">
        <v>46029.711111111108</v>
      </c>
      <c r="J1396" s="10">
        <v>3963</v>
      </c>
      <c r="K1396" s="10">
        <v>0</v>
      </c>
      <c r="L1396" s="24">
        <v>0</v>
      </c>
      <c r="M1396" s="10">
        <v>3963</v>
      </c>
    </row>
    <row r="1397" spans="1:13" x14ac:dyDescent="0.25">
      <c r="A1397" s="12" t="str">
        <f t="shared" si="42"/>
        <v>5004958ARTUR SILVA VIANACT46029,7131944444</v>
      </c>
      <c r="B1397" s="12" t="str">
        <f t="shared" si="43"/>
        <v>Janeiro</v>
      </c>
      <c r="C1397" s="8" t="s">
        <v>1566</v>
      </c>
      <c r="D1397" s="8" t="s">
        <v>664</v>
      </c>
      <c r="E1397" s="8" t="s">
        <v>1429</v>
      </c>
      <c r="F1397" s="23">
        <v>46029.713194444441</v>
      </c>
      <c r="G1397" s="8" t="s">
        <v>1035</v>
      </c>
      <c r="H1397" s="23">
        <v>46038</v>
      </c>
      <c r="I1397" s="23">
        <v>46029.713194444441</v>
      </c>
      <c r="J1397" s="10">
        <v>3011</v>
      </c>
      <c r="K1397" s="10">
        <v>0</v>
      </c>
      <c r="L1397" s="24">
        <v>0</v>
      </c>
      <c r="M1397" s="10">
        <v>3011</v>
      </c>
    </row>
    <row r="1398" spans="1:13" x14ac:dyDescent="0.25">
      <c r="A1398" s="12" t="str">
        <f t="shared" si="42"/>
        <v>5004959RAISSA DE CARVALHO FIORINECT46029,7159722222</v>
      </c>
      <c r="B1398" s="12" t="str">
        <f t="shared" si="43"/>
        <v>Janeiro</v>
      </c>
      <c r="C1398" s="8" t="s">
        <v>1567</v>
      </c>
      <c r="D1398" s="8" t="s">
        <v>664</v>
      </c>
      <c r="E1398" s="8" t="s">
        <v>163</v>
      </c>
      <c r="F1398" s="23">
        <v>46029.71597222222</v>
      </c>
      <c r="G1398" s="8" t="s">
        <v>1035</v>
      </c>
      <c r="H1398" s="23">
        <v>46038</v>
      </c>
      <c r="I1398" s="23">
        <v>46029.71597222222</v>
      </c>
      <c r="J1398" s="10">
        <v>4220</v>
      </c>
      <c r="K1398" s="10">
        <v>0</v>
      </c>
      <c r="L1398" s="24">
        <v>0</v>
      </c>
      <c r="M1398" s="10">
        <v>4220</v>
      </c>
    </row>
    <row r="1399" spans="1:13" x14ac:dyDescent="0.25">
      <c r="A1399" s="12" t="str">
        <f t="shared" si="42"/>
        <v>5004959ARTUR SILVA VIANARCB46052,5909722222</v>
      </c>
      <c r="B1399" s="12" t="str">
        <f t="shared" si="43"/>
        <v>Fevereiro</v>
      </c>
      <c r="C1399" s="8" t="s">
        <v>1567</v>
      </c>
      <c r="D1399" s="8" t="s">
        <v>664</v>
      </c>
      <c r="E1399" s="8" t="s">
        <v>1429</v>
      </c>
      <c r="F1399" s="23">
        <v>46052.59097222222</v>
      </c>
      <c r="G1399" s="8" t="s">
        <v>1045</v>
      </c>
      <c r="H1399" s="23">
        <v>46057</v>
      </c>
      <c r="I1399" s="23">
        <v>46052.59097222222</v>
      </c>
      <c r="J1399" s="10">
        <v>49.4</v>
      </c>
      <c r="K1399" s="10">
        <v>0</v>
      </c>
      <c r="L1399" s="24">
        <v>0</v>
      </c>
      <c r="M1399" s="10">
        <v>49.4</v>
      </c>
    </row>
    <row r="1400" spans="1:13" x14ac:dyDescent="0.25">
      <c r="A1400" s="12" t="str">
        <f t="shared" si="42"/>
        <v>5004960BRUNO HENRIQUE DA SILVACT46029,7173611111</v>
      </c>
      <c r="B1400" s="12" t="str">
        <f t="shared" si="43"/>
        <v>Janeiro</v>
      </c>
      <c r="C1400" s="8" t="s">
        <v>1568</v>
      </c>
      <c r="D1400" s="8" t="s">
        <v>664</v>
      </c>
      <c r="E1400" s="8" t="s">
        <v>29</v>
      </c>
      <c r="F1400" s="23">
        <v>46029.717361111114</v>
      </c>
      <c r="G1400" s="8" t="s">
        <v>1035</v>
      </c>
      <c r="H1400" s="23">
        <v>46038</v>
      </c>
      <c r="I1400" s="23">
        <v>46029.717361111114</v>
      </c>
      <c r="J1400" s="10">
        <v>6096</v>
      </c>
      <c r="K1400" s="10">
        <v>0</v>
      </c>
      <c r="L1400" s="24">
        <v>0</v>
      </c>
      <c r="M1400" s="10">
        <v>6096</v>
      </c>
    </row>
    <row r="1401" spans="1:13" x14ac:dyDescent="0.25">
      <c r="A1401" s="12" t="str">
        <f t="shared" si="42"/>
        <v>5004961MARCELO MARTINS DE OLIVEIRACT46029,7180555556</v>
      </c>
      <c r="B1401" s="12" t="str">
        <f t="shared" si="43"/>
        <v>Janeiro</v>
      </c>
      <c r="C1401" s="8" t="s">
        <v>1569</v>
      </c>
      <c r="D1401" s="8" t="s">
        <v>664</v>
      </c>
      <c r="E1401" s="8" t="s">
        <v>121</v>
      </c>
      <c r="F1401" s="23">
        <v>46029.718055555553</v>
      </c>
      <c r="G1401" s="8" t="s">
        <v>1035</v>
      </c>
      <c r="H1401" s="23">
        <v>46038</v>
      </c>
      <c r="I1401" s="23">
        <v>46029.718055555553</v>
      </c>
      <c r="J1401" s="10">
        <v>7576</v>
      </c>
      <c r="K1401" s="10">
        <v>0</v>
      </c>
      <c r="L1401" s="24">
        <v>0</v>
      </c>
      <c r="M1401" s="10">
        <v>7576</v>
      </c>
    </row>
    <row r="1402" spans="1:13" x14ac:dyDescent="0.25">
      <c r="A1402" s="12" t="str">
        <f t="shared" si="42"/>
        <v>5004961BRUNO HENRIQUE DA SILVARCB46041,6791666667</v>
      </c>
      <c r="B1402" s="12" t="str">
        <f t="shared" si="43"/>
        <v>Janeiro</v>
      </c>
      <c r="C1402" s="8" t="s">
        <v>1569</v>
      </c>
      <c r="D1402" s="8" t="s">
        <v>664</v>
      </c>
      <c r="E1402" s="8" t="s">
        <v>29</v>
      </c>
      <c r="F1402" s="23">
        <v>46041.679166666669</v>
      </c>
      <c r="G1402" s="8" t="s">
        <v>1045</v>
      </c>
      <c r="H1402" s="23">
        <v>46044</v>
      </c>
      <c r="I1402" s="23">
        <v>46041.679166666669</v>
      </c>
      <c r="J1402" s="10">
        <v>244.7</v>
      </c>
      <c r="K1402" s="10">
        <v>0</v>
      </c>
      <c r="L1402" s="24">
        <v>0</v>
      </c>
      <c r="M1402" s="10">
        <v>244.7</v>
      </c>
    </row>
    <row r="1403" spans="1:13" x14ac:dyDescent="0.25">
      <c r="A1403" s="12" t="str">
        <f t="shared" si="42"/>
        <v>5004962MARCELO MARTINS DE OLIVEIRARCB46034,4388888889</v>
      </c>
      <c r="B1403" s="12" t="str">
        <f t="shared" si="43"/>
        <v>Janeiro</v>
      </c>
      <c r="C1403" s="8" t="s">
        <v>1477</v>
      </c>
      <c r="D1403" s="8" t="s">
        <v>664</v>
      </c>
      <c r="E1403" s="8" t="s">
        <v>121</v>
      </c>
      <c r="F1403" s="23">
        <v>46034.438888888886</v>
      </c>
      <c r="G1403" s="8" t="s">
        <v>1045</v>
      </c>
      <c r="H1403" s="23">
        <v>46037</v>
      </c>
      <c r="I1403" s="23">
        <v>46034.438888888886</v>
      </c>
      <c r="J1403" s="10">
        <v>26.8</v>
      </c>
      <c r="K1403" s="10">
        <v>0</v>
      </c>
      <c r="L1403" s="24">
        <v>0</v>
      </c>
      <c r="M1403" s="10">
        <v>26.8</v>
      </c>
    </row>
    <row r="1404" spans="1:13" x14ac:dyDescent="0.25">
      <c r="A1404" s="12" t="str">
        <f t="shared" si="42"/>
        <v>5004962KARINE KEILE DA SILVA BRAGACT46029,7194444444</v>
      </c>
      <c r="B1404" s="12" t="str">
        <f t="shared" si="43"/>
        <v>Janeiro</v>
      </c>
      <c r="C1404" s="8" t="s">
        <v>1477</v>
      </c>
      <c r="D1404" s="8" t="s">
        <v>664</v>
      </c>
      <c r="E1404" s="8" t="s">
        <v>1570</v>
      </c>
      <c r="F1404" s="23">
        <v>46029.719444444447</v>
      </c>
      <c r="G1404" s="8" t="s">
        <v>1035</v>
      </c>
      <c r="H1404" s="23">
        <v>46038</v>
      </c>
      <c r="I1404" s="23">
        <v>46029.719444444447</v>
      </c>
      <c r="J1404" s="10">
        <v>2651</v>
      </c>
      <c r="K1404" s="10">
        <v>0</v>
      </c>
      <c r="L1404" s="24">
        <v>0</v>
      </c>
      <c r="M1404" s="10">
        <v>2651</v>
      </c>
    </row>
    <row r="1405" spans="1:13" x14ac:dyDescent="0.25">
      <c r="A1405" s="12" t="str">
        <f t="shared" si="42"/>
        <v>5004963NATANIELLE SILVA DE SOUZA MARQUESCT46029,7208333333</v>
      </c>
      <c r="B1405" s="12" t="str">
        <f t="shared" si="43"/>
        <v>Janeiro</v>
      </c>
      <c r="C1405" s="8" t="s">
        <v>1571</v>
      </c>
      <c r="D1405" s="8" t="s">
        <v>664</v>
      </c>
      <c r="E1405" s="8" t="s">
        <v>135</v>
      </c>
      <c r="F1405" s="23">
        <v>46029.720833333333</v>
      </c>
      <c r="G1405" s="8" t="s">
        <v>1035</v>
      </c>
      <c r="H1405" s="23">
        <v>46038</v>
      </c>
      <c r="I1405" s="23">
        <v>46029.720833333333</v>
      </c>
      <c r="J1405" s="10">
        <v>5081</v>
      </c>
      <c r="K1405" s="10">
        <v>0</v>
      </c>
      <c r="L1405" s="24">
        <v>0</v>
      </c>
      <c r="M1405" s="10">
        <v>5081</v>
      </c>
    </row>
    <row r="1406" spans="1:13" x14ac:dyDescent="0.25">
      <c r="A1406" s="12" t="str">
        <f t="shared" si="42"/>
        <v>5004964ELIO BENEDITO NASCIMENTO JUNIORCT46029,7215277778</v>
      </c>
      <c r="B1406" s="12" t="str">
        <f t="shared" si="43"/>
        <v>Janeiro</v>
      </c>
      <c r="C1406" s="8" t="s">
        <v>1572</v>
      </c>
      <c r="D1406" s="8" t="s">
        <v>664</v>
      </c>
      <c r="E1406" s="8" t="s">
        <v>1439</v>
      </c>
      <c r="F1406" s="23">
        <v>46029.72152777778</v>
      </c>
      <c r="G1406" s="8" t="s">
        <v>1035</v>
      </c>
      <c r="H1406" s="23">
        <v>46038</v>
      </c>
      <c r="I1406" s="23">
        <v>46029.72152777778</v>
      </c>
      <c r="J1406" s="10">
        <v>3938</v>
      </c>
      <c r="K1406" s="10">
        <v>0</v>
      </c>
      <c r="L1406" s="24">
        <v>0</v>
      </c>
      <c r="M1406" s="10">
        <v>3938</v>
      </c>
    </row>
    <row r="1407" spans="1:13" x14ac:dyDescent="0.25">
      <c r="A1407" s="12" t="str">
        <f t="shared" si="42"/>
        <v>5004964NATANIELLE SILVA DE SOUZA MARQUESRCB46041,68125</v>
      </c>
      <c r="B1407" s="12" t="str">
        <f t="shared" si="43"/>
        <v>Janeiro</v>
      </c>
      <c r="C1407" s="8" t="s">
        <v>1572</v>
      </c>
      <c r="D1407" s="8" t="s">
        <v>664</v>
      </c>
      <c r="E1407" s="8" t="s">
        <v>135</v>
      </c>
      <c r="F1407" s="23">
        <v>46041.681250000001</v>
      </c>
      <c r="G1407" s="8" t="s">
        <v>1045</v>
      </c>
      <c r="H1407" s="23">
        <v>46044</v>
      </c>
      <c r="I1407" s="23">
        <v>46041.681250000001</v>
      </c>
      <c r="J1407" s="10">
        <v>282.68</v>
      </c>
      <c r="K1407" s="10">
        <v>0</v>
      </c>
      <c r="L1407" s="24">
        <v>0</v>
      </c>
      <c r="M1407" s="10">
        <v>282.68</v>
      </c>
    </row>
    <row r="1408" spans="1:13" x14ac:dyDescent="0.25">
      <c r="A1408" s="12" t="str">
        <f t="shared" si="42"/>
        <v>5004965JOSE MARCIO DA SILVACT46029,7243055556</v>
      </c>
      <c r="B1408" s="12" t="str">
        <f t="shared" si="43"/>
        <v>Janeiro</v>
      </c>
      <c r="C1408" s="8" t="s">
        <v>1575</v>
      </c>
      <c r="D1408" s="8" t="s">
        <v>664</v>
      </c>
      <c r="E1408" s="8" t="s">
        <v>1576</v>
      </c>
      <c r="F1408" s="23">
        <v>46029.724305555559</v>
      </c>
      <c r="G1408" s="8" t="s">
        <v>1035</v>
      </c>
      <c r="H1408" s="23">
        <v>46038</v>
      </c>
      <c r="I1408" s="23">
        <v>46029.724305555559</v>
      </c>
      <c r="J1408" s="10">
        <v>2455</v>
      </c>
      <c r="K1408" s="10">
        <v>0</v>
      </c>
      <c r="L1408" s="24">
        <v>0</v>
      </c>
      <c r="M1408" s="10">
        <v>2455</v>
      </c>
    </row>
    <row r="1409" spans="1:13" x14ac:dyDescent="0.25">
      <c r="A1409" s="12" t="str">
        <f t="shared" si="42"/>
        <v>5004966JOSE ANTONIO SILVACT46029,7256944444</v>
      </c>
      <c r="B1409" s="12" t="str">
        <f t="shared" si="43"/>
        <v>Janeiro</v>
      </c>
      <c r="C1409" s="8" t="s">
        <v>1577</v>
      </c>
      <c r="D1409" s="8" t="s">
        <v>664</v>
      </c>
      <c r="E1409" s="8" t="s">
        <v>99</v>
      </c>
      <c r="F1409" s="23">
        <v>46029.725694444445</v>
      </c>
      <c r="G1409" s="8" t="s">
        <v>1035</v>
      </c>
      <c r="H1409" s="23">
        <v>46038</v>
      </c>
      <c r="I1409" s="23">
        <v>46029.725694444445</v>
      </c>
      <c r="J1409" s="10">
        <v>5212</v>
      </c>
      <c r="K1409" s="10">
        <v>0</v>
      </c>
      <c r="L1409" s="24">
        <v>0</v>
      </c>
      <c r="M1409" s="10">
        <v>5212</v>
      </c>
    </row>
    <row r="1410" spans="1:13" x14ac:dyDescent="0.25">
      <c r="A1410" s="12" t="str">
        <f t="shared" ref="A1410:A1473" si="44">$C1410&amp;$E1410&amp;$G1410&amp;$F1410</f>
        <v>5004967DIOGO BONELA TONHACT46029,7270833333</v>
      </c>
      <c r="B1410" s="12" t="str">
        <f t="shared" si="43"/>
        <v>Janeiro</v>
      </c>
      <c r="C1410" s="8" t="s">
        <v>1578</v>
      </c>
      <c r="D1410" s="8" t="s">
        <v>664</v>
      </c>
      <c r="E1410" s="8" t="s">
        <v>52</v>
      </c>
      <c r="F1410" s="23">
        <v>46029.727083333331</v>
      </c>
      <c r="G1410" s="8" t="s">
        <v>1035</v>
      </c>
      <c r="H1410" s="23">
        <v>46038</v>
      </c>
      <c r="I1410" s="23">
        <v>46029.727083333331</v>
      </c>
      <c r="J1410" s="10">
        <v>4268</v>
      </c>
      <c r="K1410" s="10">
        <v>0</v>
      </c>
      <c r="L1410" s="24">
        <v>0</v>
      </c>
      <c r="M1410" s="10">
        <v>4268</v>
      </c>
    </row>
    <row r="1411" spans="1:13" x14ac:dyDescent="0.25">
      <c r="A1411" s="12" t="str">
        <f t="shared" si="44"/>
        <v>5004967JOSE ANTONIO SILVARCB46041,6805555556</v>
      </c>
      <c r="B1411" s="12" t="str">
        <f t="shared" ref="B1411:B1474" si="45">PROPER(TEXT($H1411,"MMMM"))</f>
        <v>Janeiro</v>
      </c>
      <c r="C1411" s="8" t="s">
        <v>1578</v>
      </c>
      <c r="D1411" s="8" t="s">
        <v>664</v>
      </c>
      <c r="E1411" s="8" t="s">
        <v>99</v>
      </c>
      <c r="F1411" s="23">
        <v>46041.680555555555</v>
      </c>
      <c r="G1411" s="8" t="s">
        <v>1045</v>
      </c>
      <c r="H1411" s="23">
        <v>46044</v>
      </c>
      <c r="I1411" s="23">
        <v>46041.680555555555</v>
      </c>
      <c r="J1411" s="10">
        <v>465</v>
      </c>
      <c r="K1411" s="10">
        <v>0</v>
      </c>
      <c r="L1411" s="24">
        <v>0</v>
      </c>
      <c r="M1411" s="10">
        <v>465</v>
      </c>
    </row>
    <row r="1412" spans="1:13" x14ac:dyDescent="0.25">
      <c r="A1412" s="12" t="str">
        <f t="shared" si="44"/>
        <v>5004968CARLOS ANTONIO PINTOCT46030,4458333333</v>
      </c>
      <c r="B1412" s="12" t="str">
        <f t="shared" si="45"/>
        <v>Janeiro</v>
      </c>
      <c r="C1412" s="8" t="s">
        <v>1545</v>
      </c>
      <c r="D1412" s="8" t="s">
        <v>664</v>
      </c>
      <c r="E1412" s="8" t="s">
        <v>36</v>
      </c>
      <c r="F1412" s="23">
        <v>46030.445833333331</v>
      </c>
      <c r="G1412" s="8" t="s">
        <v>1035</v>
      </c>
      <c r="H1412" s="23">
        <v>46038</v>
      </c>
      <c r="I1412" s="23">
        <v>46030.445833333331</v>
      </c>
      <c r="J1412" s="10">
        <v>5407</v>
      </c>
      <c r="K1412" s="10">
        <v>0</v>
      </c>
      <c r="L1412" s="24">
        <v>0</v>
      </c>
      <c r="M1412" s="10">
        <v>5407</v>
      </c>
    </row>
    <row r="1413" spans="1:13" x14ac:dyDescent="0.25">
      <c r="A1413" s="12" t="str">
        <f t="shared" si="44"/>
        <v>5004969JOAO MARCOS DE SOUZA PINTOCT46030,45</v>
      </c>
      <c r="B1413" s="12" t="str">
        <f t="shared" si="45"/>
        <v>Janeiro</v>
      </c>
      <c r="C1413" s="8" t="s">
        <v>1543</v>
      </c>
      <c r="D1413" s="8" t="s">
        <v>664</v>
      </c>
      <c r="E1413" s="8" t="s">
        <v>1544</v>
      </c>
      <c r="F1413" s="23">
        <v>46030.45</v>
      </c>
      <c r="G1413" s="8" t="s">
        <v>1035</v>
      </c>
      <c r="H1413" s="23">
        <v>46038</v>
      </c>
      <c r="I1413" s="23">
        <v>46030.45</v>
      </c>
      <c r="J1413" s="10">
        <v>2879</v>
      </c>
      <c r="K1413" s="10">
        <v>0</v>
      </c>
      <c r="L1413" s="24">
        <v>0</v>
      </c>
      <c r="M1413" s="10">
        <v>2879</v>
      </c>
    </row>
    <row r="1414" spans="1:13" x14ac:dyDescent="0.25">
      <c r="A1414" s="12" t="str">
        <f t="shared" si="44"/>
        <v>5004969CARLOS ANTONIO PINTORCB46041,6826388889</v>
      </c>
      <c r="B1414" s="12" t="str">
        <f t="shared" si="45"/>
        <v>Janeiro</v>
      </c>
      <c r="C1414" s="8" t="s">
        <v>1543</v>
      </c>
      <c r="D1414" s="8" t="s">
        <v>664</v>
      </c>
      <c r="E1414" s="8" t="s">
        <v>36</v>
      </c>
      <c r="F1414" s="23">
        <v>46041.682638888888</v>
      </c>
      <c r="G1414" s="8" t="s">
        <v>1045</v>
      </c>
      <c r="H1414" s="23">
        <v>46044</v>
      </c>
      <c r="I1414" s="23">
        <v>46041.682638888888</v>
      </c>
      <c r="J1414" s="10">
        <v>401.6</v>
      </c>
      <c r="K1414" s="10">
        <v>0</v>
      </c>
      <c r="L1414" s="24">
        <v>0</v>
      </c>
      <c r="M1414" s="10">
        <v>401.6</v>
      </c>
    </row>
    <row r="1415" spans="1:13" x14ac:dyDescent="0.25">
      <c r="A1415" s="12" t="str">
        <f t="shared" si="44"/>
        <v>5004970FABIO LUIZ TEIXEIRA DE ARRUDACT46042,6840277778</v>
      </c>
      <c r="B1415" s="12" t="str">
        <f t="shared" si="45"/>
        <v>Fevereiro</v>
      </c>
      <c r="C1415" s="8" t="s">
        <v>1686</v>
      </c>
      <c r="D1415" s="8" t="s">
        <v>664</v>
      </c>
      <c r="E1415" s="8" t="s">
        <v>1520</v>
      </c>
      <c r="F1415" s="23">
        <v>46042.684027777781</v>
      </c>
      <c r="G1415" s="8" t="s">
        <v>1035</v>
      </c>
      <c r="H1415" s="23">
        <v>46059</v>
      </c>
      <c r="I1415" s="23">
        <v>46042.684027777781</v>
      </c>
      <c r="J1415" s="10">
        <v>385</v>
      </c>
      <c r="K1415" s="10">
        <v>0</v>
      </c>
      <c r="L1415" s="24">
        <v>0</v>
      </c>
      <c r="M1415" s="10">
        <v>385</v>
      </c>
    </row>
    <row r="1416" spans="1:13" x14ac:dyDescent="0.25">
      <c r="A1416" s="12" t="str">
        <f t="shared" si="44"/>
        <v>5004971ELIANA HENRIQUE MENDES BARBOSACT46042,6875</v>
      </c>
      <c r="B1416" s="12" t="str">
        <f t="shared" si="45"/>
        <v>Fevereiro</v>
      </c>
      <c r="C1416" s="8" t="s">
        <v>1688</v>
      </c>
      <c r="D1416" s="8" t="s">
        <v>664</v>
      </c>
      <c r="E1416" s="8" t="s">
        <v>59</v>
      </c>
      <c r="F1416" s="23">
        <v>46042.6875</v>
      </c>
      <c r="G1416" s="8" t="s">
        <v>1035</v>
      </c>
      <c r="H1416" s="23">
        <v>46059</v>
      </c>
      <c r="I1416" s="23">
        <v>46042.6875</v>
      </c>
      <c r="J1416" s="10">
        <v>770</v>
      </c>
      <c r="K1416" s="10">
        <v>0</v>
      </c>
      <c r="L1416" s="24">
        <v>0</v>
      </c>
      <c r="M1416" s="10">
        <v>770</v>
      </c>
    </row>
    <row r="1417" spans="1:13" x14ac:dyDescent="0.25">
      <c r="A1417" s="12" t="str">
        <f t="shared" si="44"/>
        <v>5004972RAFAEL RODRIGUES FARIACT46042,6895833333</v>
      </c>
      <c r="B1417" s="12" t="str">
        <f t="shared" si="45"/>
        <v>Fevereiro</v>
      </c>
      <c r="C1417" s="8" t="s">
        <v>1689</v>
      </c>
      <c r="D1417" s="8" t="s">
        <v>664</v>
      </c>
      <c r="E1417" s="8" t="s">
        <v>162</v>
      </c>
      <c r="F1417" s="23">
        <v>46042.689583333333</v>
      </c>
      <c r="G1417" s="8" t="s">
        <v>1035</v>
      </c>
      <c r="H1417" s="23">
        <v>46059</v>
      </c>
      <c r="I1417" s="23">
        <v>46042.689583333333</v>
      </c>
      <c r="J1417" s="10">
        <v>940</v>
      </c>
      <c r="K1417" s="10">
        <v>0</v>
      </c>
      <c r="L1417" s="24">
        <v>0</v>
      </c>
      <c r="M1417" s="10">
        <v>940</v>
      </c>
    </row>
    <row r="1418" spans="1:13" x14ac:dyDescent="0.25">
      <c r="A1418" s="12" t="str">
        <f t="shared" si="44"/>
        <v>5004973RAFAEL RODRIGUES FARIARCB46052,5951388889</v>
      </c>
      <c r="B1418" s="12" t="str">
        <f t="shared" si="45"/>
        <v>Fevereiro</v>
      </c>
      <c r="C1418" s="8" t="s">
        <v>1646</v>
      </c>
      <c r="D1418" s="8" t="s">
        <v>664</v>
      </c>
      <c r="E1418" s="8" t="s">
        <v>162</v>
      </c>
      <c r="F1418" s="23">
        <v>46052.595138888886</v>
      </c>
      <c r="G1418" s="8" t="s">
        <v>1045</v>
      </c>
      <c r="H1418" s="23">
        <v>46057</v>
      </c>
      <c r="I1418" s="23">
        <v>46052.595138888886</v>
      </c>
      <c r="J1418" s="10">
        <v>55.2</v>
      </c>
      <c r="K1418" s="10">
        <v>0</v>
      </c>
      <c r="L1418" s="24">
        <v>0</v>
      </c>
      <c r="M1418" s="10">
        <v>55.2</v>
      </c>
    </row>
    <row r="1419" spans="1:13" x14ac:dyDescent="0.25">
      <c r="A1419" s="12" t="str">
        <f t="shared" si="44"/>
        <v>5004973RAMON BATISTA FURTUOSOCT46042,6909722222</v>
      </c>
      <c r="B1419" s="12" t="str">
        <f t="shared" si="45"/>
        <v>Fevereiro</v>
      </c>
      <c r="C1419" s="8" t="s">
        <v>1646</v>
      </c>
      <c r="D1419" s="8" t="s">
        <v>664</v>
      </c>
      <c r="E1419" s="8" t="s">
        <v>1690</v>
      </c>
      <c r="F1419" s="23">
        <v>46042.690972222219</v>
      </c>
      <c r="G1419" s="8" t="s">
        <v>1035</v>
      </c>
      <c r="H1419" s="23">
        <v>46059</v>
      </c>
      <c r="I1419" s="23">
        <v>46042.690972222219</v>
      </c>
      <c r="J1419" s="10">
        <v>385</v>
      </c>
      <c r="K1419" s="10">
        <v>0</v>
      </c>
      <c r="L1419" s="24">
        <v>0</v>
      </c>
      <c r="M1419" s="10">
        <v>385</v>
      </c>
    </row>
    <row r="1420" spans="1:13" x14ac:dyDescent="0.25">
      <c r="A1420" s="12" t="str">
        <f t="shared" si="44"/>
        <v>5004974EDUARDO GAUDENCIO ROSACT46042,6965277778</v>
      </c>
      <c r="B1420" s="12" t="str">
        <f t="shared" si="45"/>
        <v>Fevereiro</v>
      </c>
      <c r="C1420" s="8" t="s">
        <v>1691</v>
      </c>
      <c r="D1420" s="8" t="s">
        <v>664</v>
      </c>
      <c r="E1420" s="8" t="s">
        <v>58</v>
      </c>
      <c r="F1420" s="23">
        <v>46042.696527777778</v>
      </c>
      <c r="G1420" s="8" t="s">
        <v>1035</v>
      </c>
      <c r="H1420" s="23">
        <v>46059</v>
      </c>
      <c r="I1420" s="23">
        <v>46042.696527777778</v>
      </c>
      <c r="J1420" s="10">
        <v>1894</v>
      </c>
      <c r="K1420" s="10">
        <v>0</v>
      </c>
      <c r="L1420" s="24">
        <v>0</v>
      </c>
      <c r="M1420" s="10">
        <v>1894</v>
      </c>
    </row>
    <row r="1421" spans="1:13" x14ac:dyDescent="0.25">
      <c r="A1421" s="12" t="str">
        <f t="shared" si="44"/>
        <v>5004975EDUARDO GAUDENCIO ROSARCB46052,5923611111</v>
      </c>
      <c r="B1421" s="12" t="str">
        <f t="shared" si="45"/>
        <v>Fevereiro</v>
      </c>
      <c r="C1421" s="8" t="s">
        <v>1647</v>
      </c>
      <c r="D1421" s="8" t="s">
        <v>664</v>
      </c>
      <c r="E1421" s="8" t="s">
        <v>58</v>
      </c>
      <c r="F1421" s="23">
        <v>46052.592361111114</v>
      </c>
      <c r="G1421" s="8" t="s">
        <v>1045</v>
      </c>
      <c r="H1421" s="23">
        <v>46057</v>
      </c>
      <c r="I1421" s="23">
        <v>46052.592361111114</v>
      </c>
      <c r="J1421" s="10">
        <v>210.64</v>
      </c>
      <c r="K1421" s="10">
        <v>0</v>
      </c>
      <c r="L1421" s="24">
        <v>0</v>
      </c>
      <c r="M1421" s="10">
        <v>210.64</v>
      </c>
    </row>
    <row r="1422" spans="1:13" x14ac:dyDescent="0.25">
      <c r="A1422" s="12" t="str">
        <f t="shared" si="44"/>
        <v>5004975CRISTIAN ALVES MOREIRACT46042,6986111111</v>
      </c>
      <c r="B1422" s="12" t="str">
        <f t="shared" si="45"/>
        <v>Fevereiro</v>
      </c>
      <c r="C1422" s="8" t="s">
        <v>1647</v>
      </c>
      <c r="D1422" s="8" t="s">
        <v>664</v>
      </c>
      <c r="E1422" s="8" t="s">
        <v>46</v>
      </c>
      <c r="F1422" s="23">
        <v>46042.698611111111</v>
      </c>
      <c r="G1422" s="8" t="s">
        <v>1035</v>
      </c>
      <c r="H1422" s="23">
        <v>46059</v>
      </c>
      <c r="I1422" s="23">
        <v>46042.698611111111</v>
      </c>
      <c r="J1422" s="10">
        <v>1450</v>
      </c>
      <c r="K1422" s="10">
        <v>0</v>
      </c>
      <c r="L1422" s="24">
        <v>0</v>
      </c>
      <c r="M1422" s="10">
        <v>1450</v>
      </c>
    </row>
    <row r="1423" spans="1:13" x14ac:dyDescent="0.25">
      <c r="A1423" s="12" t="str">
        <f t="shared" si="44"/>
        <v>5004976PAULO RICARDO SILVACT46042,7013888889</v>
      </c>
      <c r="B1423" s="12" t="str">
        <f t="shared" si="45"/>
        <v>Fevereiro</v>
      </c>
      <c r="C1423" s="8" t="s">
        <v>1692</v>
      </c>
      <c r="D1423" s="8" t="s">
        <v>664</v>
      </c>
      <c r="E1423" s="8" t="s">
        <v>153</v>
      </c>
      <c r="F1423" s="23">
        <v>46042.701388888891</v>
      </c>
      <c r="G1423" s="8" t="s">
        <v>1035</v>
      </c>
      <c r="H1423" s="23">
        <v>46059</v>
      </c>
      <c r="I1423" s="23">
        <v>46042.701388888891</v>
      </c>
      <c r="J1423" s="10">
        <v>561</v>
      </c>
      <c r="K1423" s="10">
        <v>0</v>
      </c>
      <c r="L1423" s="24">
        <v>0</v>
      </c>
      <c r="M1423" s="10">
        <v>561</v>
      </c>
    </row>
    <row r="1424" spans="1:13" x14ac:dyDescent="0.25">
      <c r="A1424" s="12" t="str">
        <f t="shared" si="44"/>
        <v>5004977PAULO RICARDO SILVARCB46048,4083333333</v>
      </c>
      <c r="B1424" s="12" t="str">
        <f t="shared" si="45"/>
        <v>Janeiro</v>
      </c>
      <c r="C1424" s="8" t="s">
        <v>1623</v>
      </c>
      <c r="D1424" s="8" t="s">
        <v>664</v>
      </c>
      <c r="E1424" s="8" t="s">
        <v>153</v>
      </c>
      <c r="F1424" s="23">
        <v>46048.408333333333</v>
      </c>
      <c r="G1424" s="8" t="s">
        <v>1045</v>
      </c>
      <c r="H1424" s="23">
        <v>46051</v>
      </c>
      <c r="I1424" s="23">
        <v>46048.408333333333</v>
      </c>
      <c r="J1424" s="10">
        <v>11.8</v>
      </c>
      <c r="K1424" s="10">
        <v>0</v>
      </c>
      <c r="L1424" s="24">
        <v>0</v>
      </c>
      <c r="M1424" s="10">
        <v>11.8</v>
      </c>
    </row>
    <row r="1425" spans="1:13" x14ac:dyDescent="0.25">
      <c r="A1425" s="12" t="str">
        <f t="shared" si="44"/>
        <v>5004977ADRIANO ROBERTOCT46042,7027777778</v>
      </c>
      <c r="B1425" s="12" t="str">
        <f t="shared" si="45"/>
        <v>Fevereiro</v>
      </c>
      <c r="C1425" s="8" t="s">
        <v>1623</v>
      </c>
      <c r="D1425" s="8" t="s">
        <v>664</v>
      </c>
      <c r="E1425" s="8" t="s">
        <v>8</v>
      </c>
      <c r="F1425" s="23">
        <v>46042.702777777777</v>
      </c>
      <c r="G1425" s="8" t="s">
        <v>1035</v>
      </c>
      <c r="H1425" s="23">
        <v>46059</v>
      </c>
      <c r="I1425" s="23">
        <v>46042.702777777777</v>
      </c>
      <c r="J1425" s="10">
        <v>2624</v>
      </c>
      <c r="K1425" s="10">
        <v>0</v>
      </c>
      <c r="L1425" s="24">
        <v>0</v>
      </c>
      <c r="M1425" s="10">
        <v>2624</v>
      </c>
    </row>
    <row r="1426" spans="1:13" x14ac:dyDescent="0.25">
      <c r="A1426" s="12" t="str">
        <f t="shared" si="44"/>
        <v>5004978PAULO RICARDO SILVARCB46055,4722222222</v>
      </c>
      <c r="B1426" s="12" t="str">
        <f t="shared" si="45"/>
        <v>Fevereiro</v>
      </c>
      <c r="C1426" s="8" t="s">
        <v>1659</v>
      </c>
      <c r="D1426" s="8" t="s">
        <v>664</v>
      </c>
      <c r="E1426" s="8" t="s">
        <v>153</v>
      </c>
      <c r="F1426" s="23">
        <v>46055.472222222219</v>
      </c>
      <c r="G1426" s="8" t="s">
        <v>1045</v>
      </c>
      <c r="H1426" s="23">
        <v>46058</v>
      </c>
      <c r="I1426" s="23">
        <v>46055.472222222219</v>
      </c>
      <c r="J1426" s="10">
        <v>62.95</v>
      </c>
      <c r="K1426" s="10">
        <v>0</v>
      </c>
      <c r="L1426" s="24">
        <v>0</v>
      </c>
      <c r="M1426" s="10">
        <v>62.95</v>
      </c>
    </row>
    <row r="1427" spans="1:13" x14ac:dyDescent="0.25">
      <c r="A1427" s="12" t="str">
        <f t="shared" si="44"/>
        <v>5004978HUDSON CESAR DA SILVACT46042,7041666667</v>
      </c>
      <c r="B1427" s="12" t="str">
        <f t="shared" si="45"/>
        <v>Fevereiro</v>
      </c>
      <c r="C1427" s="8" t="s">
        <v>1659</v>
      </c>
      <c r="D1427" s="8" t="s">
        <v>664</v>
      </c>
      <c r="E1427" s="8" t="s">
        <v>1407</v>
      </c>
      <c r="F1427" s="23">
        <v>46042.70416666667</v>
      </c>
      <c r="G1427" s="8" t="s">
        <v>1035</v>
      </c>
      <c r="H1427" s="23">
        <v>46059</v>
      </c>
      <c r="I1427" s="23">
        <v>46042.70416666667</v>
      </c>
      <c r="J1427" s="10">
        <v>1361</v>
      </c>
      <c r="K1427" s="10">
        <v>0</v>
      </c>
      <c r="L1427" s="24">
        <v>0</v>
      </c>
      <c r="M1427" s="10">
        <v>1361</v>
      </c>
    </row>
    <row r="1428" spans="1:13" x14ac:dyDescent="0.25">
      <c r="A1428" s="12" t="str">
        <f t="shared" si="44"/>
        <v>5004978ADRIANO ROBERTORCB46062,4076388889</v>
      </c>
      <c r="B1428" s="12" t="str">
        <f t="shared" si="45"/>
        <v>Fevereiro</v>
      </c>
      <c r="C1428" s="8" t="s">
        <v>1659</v>
      </c>
      <c r="D1428" s="8" t="s">
        <v>664</v>
      </c>
      <c r="E1428" s="8" t="s">
        <v>8</v>
      </c>
      <c r="F1428" s="23">
        <v>46062.407638888886</v>
      </c>
      <c r="G1428" s="8" t="s">
        <v>1045</v>
      </c>
      <c r="H1428" s="23">
        <v>46065</v>
      </c>
      <c r="I1428" s="23">
        <v>46062.407638888886</v>
      </c>
      <c r="J1428" s="10">
        <v>15.8</v>
      </c>
      <c r="K1428" s="10">
        <v>0</v>
      </c>
      <c r="L1428" s="24">
        <v>0</v>
      </c>
      <c r="M1428" s="10">
        <v>15.8</v>
      </c>
    </row>
    <row r="1429" spans="1:13" x14ac:dyDescent="0.25">
      <c r="A1429" s="12" t="str">
        <f t="shared" si="44"/>
        <v>5004979RENAN ELTON DIVINOCT46042,7055555556</v>
      </c>
      <c r="B1429" s="12" t="str">
        <f t="shared" si="45"/>
        <v>Fevereiro</v>
      </c>
      <c r="C1429" s="8" t="s">
        <v>1698</v>
      </c>
      <c r="D1429" s="8" t="s">
        <v>664</v>
      </c>
      <c r="E1429" s="8" t="s">
        <v>1409</v>
      </c>
      <c r="F1429" s="23">
        <v>46042.705555555556</v>
      </c>
      <c r="G1429" s="8" t="s">
        <v>1035</v>
      </c>
      <c r="H1429" s="23">
        <v>46059</v>
      </c>
      <c r="I1429" s="23">
        <v>46042.705555555556</v>
      </c>
      <c r="J1429" s="10">
        <v>1540</v>
      </c>
      <c r="K1429" s="10">
        <v>0</v>
      </c>
      <c r="L1429" s="24">
        <v>0</v>
      </c>
      <c r="M1429" s="10">
        <v>1540</v>
      </c>
    </row>
    <row r="1430" spans="1:13" x14ac:dyDescent="0.25">
      <c r="A1430" s="12" t="str">
        <f t="shared" si="44"/>
        <v>5004979PAULO RICARDO SILVARCB46062,40625</v>
      </c>
      <c r="B1430" s="12" t="str">
        <f t="shared" si="45"/>
        <v>Fevereiro</v>
      </c>
      <c r="C1430" s="8" t="s">
        <v>1698</v>
      </c>
      <c r="D1430" s="8" t="s">
        <v>664</v>
      </c>
      <c r="E1430" s="8" t="s">
        <v>153</v>
      </c>
      <c r="F1430" s="23">
        <v>46062.40625</v>
      </c>
      <c r="G1430" s="8" t="s">
        <v>1045</v>
      </c>
      <c r="H1430" s="23">
        <v>46065</v>
      </c>
      <c r="I1430" s="23">
        <v>46062.40625</v>
      </c>
      <c r="J1430" s="10">
        <v>11.8</v>
      </c>
      <c r="K1430" s="10">
        <v>0</v>
      </c>
      <c r="L1430" s="24">
        <v>0</v>
      </c>
      <c r="M1430" s="10">
        <v>11.8</v>
      </c>
    </row>
    <row r="1431" spans="1:13" x14ac:dyDescent="0.25">
      <c r="A1431" s="12" t="str">
        <f t="shared" si="44"/>
        <v>5004980NELCIDES JOSE VIEIRACT46042,7069444444</v>
      </c>
      <c r="B1431" s="12" t="str">
        <f t="shared" si="45"/>
        <v>Fevereiro</v>
      </c>
      <c r="C1431" s="8" t="s">
        <v>1699</v>
      </c>
      <c r="D1431" s="8" t="s">
        <v>664</v>
      </c>
      <c r="E1431" s="8" t="s">
        <v>137</v>
      </c>
      <c r="F1431" s="23">
        <v>46042.706944444442</v>
      </c>
      <c r="G1431" s="8" t="s">
        <v>1035</v>
      </c>
      <c r="H1431" s="23">
        <v>46059</v>
      </c>
      <c r="I1431" s="23">
        <v>46042.706944444442</v>
      </c>
      <c r="J1431" s="10">
        <v>482</v>
      </c>
      <c r="K1431" s="10">
        <v>0</v>
      </c>
      <c r="L1431" s="24">
        <v>0</v>
      </c>
      <c r="M1431" s="10">
        <v>482</v>
      </c>
    </row>
    <row r="1432" spans="1:13" x14ac:dyDescent="0.25">
      <c r="A1432" s="12" t="str">
        <f t="shared" si="44"/>
        <v>5004981NELCIDES JOSE VIEIRARCB46052,5944444444</v>
      </c>
      <c r="B1432" s="12" t="str">
        <f t="shared" si="45"/>
        <v>Fevereiro</v>
      </c>
      <c r="C1432" s="8" t="s">
        <v>1648</v>
      </c>
      <c r="D1432" s="8" t="s">
        <v>664</v>
      </c>
      <c r="E1432" s="8" t="s">
        <v>137</v>
      </c>
      <c r="F1432" s="23">
        <v>46052.594444444447</v>
      </c>
      <c r="G1432" s="8" t="s">
        <v>1045</v>
      </c>
      <c r="H1432" s="23">
        <v>46057</v>
      </c>
      <c r="I1432" s="23">
        <v>46052.594444444447</v>
      </c>
      <c r="J1432" s="10">
        <v>185.75</v>
      </c>
      <c r="K1432" s="10">
        <v>0</v>
      </c>
      <c r="L1432" s="24">
        <v>0</v>
      </c>
      <c r="M1432" s="10">
        <v>185.75</v>
      </c>
    </row>
    <row r="1433" spans="1:13" x14ac:dyDescent="0.25">
      <c r="A1433" s="12" t="str">
        <f t="shared" si="44"/>
        <v>5004981WILLIAM DE SOUZA VIEIRACT46042,7090277778</v>
      </c>
      <c r="B1433" s="12" t="str">
        <f t="shared" si="45"/>
        <v>Fevereiro</v>
      </c>
      <c r="C1433" s="8" t="s">
        <v>1648</v>
      </c>
      <c r="D1433" s="8" t="s">
        <v>664</v>
      </c>
      <c r="E1433" s="8" t="s">
        <v>1542</v>
      </c>
      <c r="F1433" s="23">
        <v>46042.709027777775</v>
      </c>
      <c r="G1433" s="8" t="s">
        <v>1035</v>
      </c>
      <c r="H1433" s="23">
        <v>46059</v>
      </c>
      <c r="I1433" s="23">
        <v>46042.709027777775</v>
      </c>
      <c r="J1433" s="10">
        <v>1202</v>
      </c>
      <c r="K1433" s="10">
        <v>0</v>
      </c>
      <c r="L1433" s="24">
        <v>0</v>
      </c>
      <c r="M1433" s="10">
        <v>1202</v>
      </c>
    </row>
    <row r="1434" spans="1:13" x14ac:dyDescent="0.25">
      <c r="A1434" s="12" t="str">
        <f t="shared" si="44"/>
        <v>5004982JOAO MARCOS DE SOUZA PINTOCT46042,7097222222</v>
      </c>
      <c r="B1434" s="12" t="str">
        <f t="shared" si="45"/>
        <v>Fevereiro</v>
      </c>
      <c r="C1434" s="8" t="s">
        <v>1700</v>
      </c>
      <c r="D1434" s="8" t="s">
        <v>664</v>
      </c>
      <c r="E1434" s="8" t="s">
        <v>1544</v>
      </c>
      <c r="F1434" s="23">
        <v>46042.709722222222</v>
      </c>
      <c r="G1434" s="8" t="s">
        <v>1035</v>
      </c>
      <c r="H1434" s="23">
        <v>46059</v>
      </c>
      <c r="I1434" s="23">
        <v>46042.709722222222</v>
      </c>
      <c r="J1434" s="10">
        <v>350</v>
      </c>
      <c r="K1434" s="10">
        <v>0</v>
      </c>
      <c r="L1434" s="24">
        <v>0</v>
      </c>
      <c r="M1434" s="10">
        <v>350</v>
      </c>
    </row>
    <row r="1435" spans="1:13" x14ac:dyDescent="0.25">
      <c r="A1435" s="12" t="str">
        <f t="shared" si="44"/>
        <v>5004983CARLOS ANTONIO PINTOCT46042,7111111111</v>
      </c>
      <c r="B1435" s="12" t="str">
        <f t="shared" si="45"/>
        <v>Fevereiro</v>
      </c>
      <c r="C1435" s="8" t="s">
        <v>1701</v>
      </c>
      <c r="D1435" s="8" t="s">
        <v>664</v>
      </c>
      <c r="E1435" s="8" t="s">
        <v>36</v>
      </c>
      <c r="F1435" s="23">
        <v>46042.711111111108</v>
      </c>
      <c r="G1435" s="8" t="s">
        <v>1035</v>
      </c>
      <c r="H1435" s="23">
        <v>46059</v>
      </c>
      <c r="I1435" s="23">
        <v>46042.711111111108</v>
      </c>
      <c r="J1435" s="10">
        <v>4242</v>
      </c>
      <c r="K1435" s="10">
        <v>0</v>
      </c>
      <c r="L1435" s="24">
        <v>0</v>
      </c>
      <c r="M1435" s="10">
        <v>4242</v>
      </c>
    </row>
    <row r="1436" spans="1:13" x14ac:dyDescent="0.25">
      <c r="A1436" s="12" t="str">
        <f t="shared" si="44"/>
        <v>5004984JOAQUINA DE FATIMA BERTOLDOCT46042,7125</v>
      </c>
      <c r="B1436" s="12" t="str">
        <f t="shared" si="45"/>
        <v>Fevereiro</v>
      </c>
      <c r="C1436" s="8" t="s">
        <v>1702</v>
      </c>
      <c r="D1436" s="8" t="s">
        <v>664</v>
      </c>
      <c r="E1436" s="8" t="s">
        <v>1416</v>
      </c>
      <c r="F1436" s="23">
        <v>46042.712500000001</v>
      </c>
      <c r="G1436" s="8" t="s">
        <v>1035</v>
      </c>
      <c r="H1436" s="23">
        <v>46059</v>
      </c>
      <c r="I1436" s="23">
        <v>46042.712500000001</v>
      </c>
      <c r="J1436" s="10">
        <v>1231</v>
      </c>
      <c r="K1436" s="10">
        <v>0</v>
      </c>
      <c r="L1436" s="24">
        <v>0</v>
      </c>
      <c r="M1436" s="10">
        <v>1231</v>
      </c>
    </row>
    <row r="1437" spans="1:13" x14ac:dyDescent="0.25">
      <c r="A1437" s="12" t="str">
        <f t="shared" si="44"/>
        <v>5004985JORGE MARTINS BORGES JUNIORCT46042,7138888889</v>
      </c>
      <c r="B1437" s="12" t="str">
        <f t="shared" si="45"/>
        <v>Fevereiro</v>
      </c>
      <c r="C1437" s="8" t="s">
        <v>1703</v>
      </c>
      <c r="D1437" s="8" t="s">
        <v>664</v>
      </c>
      <c r="E1437" s="8" t="s">
        <v>97</v>
      </c>
      <c r="F1437" s="23">
        <v>46042.713888888888</v>
      </c>
      <c r="G1437" s="8" t="s">
        <v>1035</v>
      </c>
      <c r="H1437" s="23">
        <v>46059</v>
      </c>
      <c r="I1437" s="23">
        <v>46042.713888888888</v>
      </c>
      <c r="J1437" s="10">
        <v>2712</v>
      </c>
      <c r="K1437" s="10">
        <v>0</v>
      </c>
      <c r="L1437" s="24">
        <v>0</v>
      </c>
      <c r="M1437" s="10">
        <v>2712</v>
      </c>
    </row>
    <row r="1438" spans="1:13" x14ac:dyDescent="0.25">
      <c r="A1438" s="12" t="str">
        <f t="shared" si="44"/>
        <v>5004986JORGE MARTINS BORGES JUNIORRCB46048,4076388889</v>
      </c>
      <c r="B1438" s="12" t="str">
        <f t="shared" si="45"/>
        <v>Janeiro</v>
      </c>
      <c r="C1438" s="8" t="s">
        <v>1624</v>
      </c>
      <c r="D1438" s="8" t="s">
        <v>664</v>
      </c>
      <c r="E1438" s="8" t="s">
        <v>97</v>
      </c>
      <c r="F1438" s="23">
        <v>46048.407638888886</v>
      </c>
      <c r="G1438" s="8" t="s">
        <v>1045</v>
      </c>
      <c r="H1438" s="23">
        <v>46051</v>
      </c>
      <c r="I1438" s="23">
        <v>46048.407638888886</v>
      </c>
      <c r="J1438" s="10">
        <v>15.8</v>
      </c>
      <c r="K1438" s="10">
        <v>0</v>
      </c>
      <c r="L1438" s="24">
        <v>0</v>
      </c>
      <c r="M1438" s="10">
        <v>15.8</v>
      </c>
    </row>
    <row r="1439" spans="1:13" x14ac:dyDescent="0.25">
      <c r="A1439" s="12" t="str">
        <f t="shared" si="44"/>
        <v>5004986DANIELLE HEBERT CARVALHO PEREIRACT46042,7145833333</v>
      </c>
      <c r="B1439" s="12" t="str">
        <f t="shared" si="45"/>
        <v>Fevereiro</v>
      </c>
      <c r="C1439" s="8" t="s">
        <v>1624</v>
      </c>
      <c r="D1439" s="8" t="s">
        <v>664</v>
      </c>
      <c r="E1439" s="8" t="s">
        <v>48</v>
      </c>
      <c r="F1439" s="23">
        <v>46042.714583333334</v>
      </c>
      <c r="G1439" s="8" t="s">
        <v>1035</v>
      </c>
      <c r="H1439" s="23">
        <v>46059</v>
      </c>
      <c r="I1439" s="23">
        <v>46042.714583333334</v>
      </c>
      <c r="J1439" s="10">
        <v>2942</v>
      </c>
      <c r="K1439" s="10">
        <v>0</v>
      </c>
      <c r="L1439" s="24">
        <v>0</v>
      </c>
      <c r="M1439" s="10">
        <v>2942</v>
      </c>
    </row>
    <row r="1440" spans="1:13" x14ac:dyDescent="0.25">
      <c r="A1440" s="12" t="str">
        <f t="shared" si="44"/>
        <v>5004987JORGE MARTINS BORGES JUNIORRCB46055,4708333333</v>
      </c>
      <c r="B1440" s="12" t="str">
        <f t="shared" si="45"/>
        <v>Fevereiro</v>
      </c>
      <c r="C1440" s="8" t="s">
        <v>1660</v>
      </c>
      <c r="D1440" s="8" t="s">
        <v>664</v>
      </c>
      <c r="E1440" s="8" t="s">
        <v>97</v>
      </c>
      <c r="F1440" s="23">
        <v>46055.470833333333</v>
      </c>
      <c r="G1440" s="8" t="s">
        <v>1045</v>
      </c>
      <c r="H1440" s="23">
        <v>46058</v>
      </c>
      <c r="I1440" s="23">
        <v>46055.470833333333</v>
      </c>
      <c r="J1440" s="10">
        <v>78.040000000000006</v>
      </c>
      <c r="K1440" s="10">
        <v>0</v>
      </c>
      <c r="L1440" s="24">
        <v>0</v>
      </c>
      <c r="M1440" s="10">
        <v>78.040000000000006</v>
      </c>
    </row>
    <row r="1441" spans="1:13" x14ac:dyDescent="0.25">
      <c r="A1441" s="12" t="str">
        <f t="shared" si="44"/>
        <v>5004987DANIELLE HEBERT CARVALHO PEREIRARCB46055,6409722222</v>
      </c>
      <c r="B1441" s="12" t="str">
        <f t="shared" si="45"/>
        <v>Fevereiro</v>
      </c>
      <c r="C1441" s="8" t="s">
        <v>1660</v>
      </c>
      <c r="D1441" s="8" t="s">
        <v>664</v>
      </c>
      <c r="E1441" s="8" t="s">
        <v>48</v>
      </c>
      <c r="F1441" s="23">
        <v>46055.640972222223</v>
      </c>
      <c r="G1441" s="8" t="s">
        <v>1045</v>
      </c>
      <c r="H1441" s="23">
        <v>46058</v>
      </c>
      <c r="I1441" s="23">
        <v>46055.640972222223</v>
      </c>
      <c r="J1441" s="10">
        <v>266.16000000000003</v>
      </c>
      <c r="K1441" s="10">
        <v>0</v>
      </c>
      <c r="L1441" s="24">
        <v>0</v>
      </c>
      <c r="M1441" s="10">
        <v>266.16000000000003</v>
      </c>
    </row>
    <row r="1442" spans="1:13" x14ac:dyDescent="0.25">
      <c r="A1442" s="12" t="str">
        <f t="shared" si="44"/>
        <v>5004987JAIME GOMES PARAGUAICT46042,7159722222</v>
      </c>
      <c r="B1442" s="12" t="str">
        <f t="shared" si="45"/>
        <v>Fevereiro</v>
      </c>
      <c r="C1442" s="8" t="s">
        <v>1660</v>
      </c>
      <c r="D1442" s="8" t="s">
        <v>664</v>
      </c>
      <c r="E1442" s="8" t="s">
        <v>87</v>
      </c>
      <c r="F1442" s="23">
        <v>46042.71597222222</v>
      </c>
      <c r="G1442" s="8" t="s">
        <v>1035</v>
      </c>
      <c r="H1442" s="23">
        <v>46059</v>
      </c>
      <c r="I1442" s="23">
        <v>46042.71597222222</v>
      </c>
      <c r="J1442" s="10">
        <v>1772</v>
      </c>
      <c r="K1442" s="10">
        <v>0</v>
      </c>
      <c r="L1442" s="24">
        <v>0</v>
      </c>
      <c r="M1442" s="10">
        <v>1772</v>
      </c>
    </row>
    <row r="1443" spans="1:13" x14ac:dyDescent="0.25">
      <c r="A1443" s="12" t="str">
        <f t="shared" si="44"/>
        <v>5004988JAIME GOMES PARAGUAIRCB46056,3861111111</v>
      </c>
      <c r="B1443" s="12" t="str">
        <f t="shared" si="45"/>
        <v>Fevereiro</v>
      </c>
      <c r="C1443" s="8" t="s">
        <v>1664</v>
      </c>
      <c r="D1443" s="8" t="s">
        <v>664</v>
      </c>
      <c r="E1443" s="8" t="s">
        <v>87</v>
      </c>
      <c r="F1443" s="23">
        <v>46056.386111111111</v>
      </c>
      <c r="G1443" s="8" t="s">
        <v>1045</v>
      </c>
      <c r="H1443" s="23">
        <v>46059</v>
      </c>
      <c r="I1443" s="23">
        <v>46056.386111111111</v>
      </c>
      <c r="J1443" s="10">
        <v>79.599999999999994</v>
      </c>
      <c r="K1443" s="10">
        <v>0</v>
      </c>
      <c r="L1443" s="24">
        <v>0</v>
      </c>
      <c r="M1443" s="10">
        <v>79.599999999999994</v>
      </c>
    </row>
    <row r="1444" spans="1:13" x14ac:dyDescent="0.25">
      <c r="A1444" s="12" t="str">
        <f t="shared" si="44"/>
        <v>5004988CHAYENE AMARALCT46042,7173611111</v>
      </c>
      <c r="B1444" s="12" t="str">
        <f t="shared" si="45"/>
        <v>Fevereiro</v>
      </c>
      <c r="C1444" s="8" t="s">
        <v>1664</v>
      </c>
      <c r="D1444" s="8" t="s">
        <v>664</v>
      </c>
      <c r="E1444" s="8" t="s">
        <v>1424</v>
      </c>
      <c r="F1444" s="23">
        <v>46042.717361111114</v>
      </c>
      <c r="G1444" s="8" t="s">
        <v>1035</v>
      </c>
      <c r="H1444" s="23">
        <v>46059</v>
      </c>
      <c r="I1444" s="23">
        <v>46042.717361111114</v>
      </c>
      <c r="J1444" s="10">
        <v>385</v>
      </c>
      <c r="K1444" s="10">
        <v>0</v>
      </c>
      <c r="L1444" s="24">
        <v>0</v>
      </c>
      <c r="M1444" s="10">
        <v>385</v>
      </c>
    </row>
    <row r="1445" spans="1:13" x14ac:dyDescent="0.25">
      <c r="A1445" s="12" t="str">
        <f t="shared" si="44"/>
        <v>5004989ALAOR CANAVEZ DE MORAES NETOCT46042,71875</v>
      </c>
      <c r="B1445" s="12" t="str">
        <f t="shared" si="45"/>
        <v>Fevereiro</v>
      </c>
      <c r="C1445" s="8" t="s">
        <v>1704</v>
      </c>
      <c r="D1445" s="8" t="s">
        <v>664</v>
      </c>
      <c r="E1445" s="8" t="s">
        <v>10</v>
      </c>
      <c r="F1445" s="23">
        <v>46042.71875</v>
      </c>
      <c r="G1445" s="8" t="s">
        <v>1035</v>
      </c>
      <c r="H1445" s="23">
        <v>46059</v>
      </c>
      <c r="I1445" s="23">
        <v>46042.71875</v>
      </c>
      <c r="J1445" s="10">
        <v>1954</v>
      </c>
      <c r="K1445" s="10">
        <v>0</v>
      </c>
      <c r="L1445" s="24">
        <v>0</v>
      </c>
      <c r="M1445" s="10">
        <v>1954</v>
      </c>
    </row>
    <row r="1446" spans="1:13" x14ac:dyDescent="0.25">
      <c r="A1446" s="12" t="str">
        <f t="shared" si="44"/>
        <v>5004990ALAOR CANAVEZ DE MORAES NETORCB46055,6416666667</v>
      </c>
      <c r="B1446" s="12" t="str">
        <f t="shared" si="45"/>
        <v>Fevereiro</v>
      </c>
      <c r="C1446" s="8" t="s">
        <v>1661</v>
      </c>
      <c r="D1446" s="8" t="s">
        <v>664</v>
      </c>
      <c r="E1446" s="8" t="s">
        <v>10</v>
      </c>
      <c r="F1446" s="23">
        <v>46055.64166666667</v>
      </c>
      <c r="G1446" s="8" t="s">
        <v>1045</v>
      </c>
      <c r="H1446" s="23">
        <v>46058</v>
      </c>
      <c r="I1446" s="23">
        <v>46055.64166666667</v>
      </c>
      <c r="J1446" s="10">
        <v>15.5</v>
      </c>
      <c r="K1446" s="10">
        <v>0</v>
      </c>
      <c r="L1446" s="24">
        <v>0</v>
      </c>
      <c r="M1446" s="10">
        <v>15.5</v>
      </c>
    </row>
    <row r="1447" spans="1:13" x14ac:dyDescent="0.25">
      <c r="A1447" s="12" t="str">
        <f t="shared" si="44"/>
        <v>5004990MAGNO APARECIDO DE JESUSCT46042,7194444444</v>
      </c>
      <c r="B1447" s="12" t="str">
        <f t="shared" si="45"/>
        <v>Fevereiro</v>
      </c>
      <c r="C1447" s="8" t="s">
        <v>1661</v>
      </c>
      <c r="D1447" s="8" t="s">
        <v>664</v>
      </c>
      <c r="E1447" s="8" t="s">
        <v>115</v>
      </c>
      <c r="F1447" s="23">
        <v>46042.719444444447</v>
      </c>
      <c r="G1447" s="8" t="s">
        <v>1035</v>
      </c>
      <c r="H1447" s="23">
        <v>46059</v>
      </c>
      <c r="I1447" s="23">
        <v>46042.719444444447</v>
      </c>
      <c r="J1447" s="10">
        <v>2130</v>
      </c>
      <c r="K1447" s="10">
        <v>0</v>
      </c>
      <c r="L1447" s="24">
        <v>0</v>
      </c>
      <c r="M1447" s="10">
        <v>2130</v>
      </c>
    </row>
    <row r="1448" spans="1:13" x14ac:dyDescent="0.25">
      <c r="A1448" s="12" t="str">
        <f t="shared" si="44"/>
        <v>5004991MAURILIO PAULINO DA SILVACT46042,7208333333</v>
      </c>
      <c r="B1448" s="12" t="str">
        <f t="shared" si="45"/>
        <v>Fevereiro</v>
      </c>
      <c r="C1448" s="8" t="s">
        <v>1705</v>
      </c>
      <c r="D1448" s="8" t="s">
        <v>664</v>
      </c>
      <c r="E1448" s="8" t="s">
        <v>1562</v>
      </c>
      <c r="F1448" s="23">
        <v>46042.720833333333</v>
      </c>
      <c r="G1448" s="8" t="s">
        <v>1035</v>
      </c>
      <c r="H1448" s="23">
        <v>46059</v>
      </c>
      <c r="I1448" s="23">
        <v>46042.720833333333</v>
      </c>
      <c r="J1448" s="10">
        <v>350</v>
      </c>
      <c r="K1448" s="10">
        <v>0</v>
      </c>
      <c r="L1448" s="24">
        <v>0</v>
      </c>
      <c r="M1448" s="10">
        <v>350</v>
      </c>
    </row>
    <row r="1449" spans="1:13" x14ac:dyDescent="0.25">
      <c r="A1449" s="12" t="str">
        <f t="shared" si="44"/>
        <v>5004992ANTONIO CARLOS DA COSTACT46042,7215277778</v>
      </c>
      <c r="B1449" s="12" t="str">
        <f t="shared" si="45"/>
        <v>Fevereiro</v>
      </c>
      <c r="C1449" s="8" t="s">
        <v>1706</v>
      </c>
      <c r="D1449" s="8" t="s">
        <v>664</v>
      </c>
      <c r="E1449" s="8" t="s">
        <v>19</v>
      </c>
      <c r="F1449" s="23">
        <v>46042.72152777778</v>
      </c>
      <c r="G1449" s="8" t="s">
        <v>1035</v>
      </c>
      <c r="H1449" s="23">
        <v>46059</v>
      </c>
      <c r="I1449" s="23">
        <v>46042.72152777778</v>
      </c>
      <c r="J1449" s="10">
        <v>350</v>
      </c>
      <c r="K1449" s="10">
        <v>0</v>
      </c>
      <c r="L1449" s="24">
        <v>0</v>
      </c>
      <c r="M1449" s="10">
        <v>350</v>
      </c>
    </row>
    <row r="1450" spans="1:13" x14ac:dyDescent="0.25">
      <c r="A1450" s="12" t="str">
        <f t="shared" si="44"/>
        <v>5004993RAISSA DE CARVALHO FIORINECT46042,7236111111</v>
      </c>
      <c r="B1450" s="12" t="str">
        <f t="shared" si="45"/>
        <v>Fevereiro</v>
      </c>
      <c r="C1450" s="8" t="s">
        <v>1707</v>
      </c>
      <c r="D1450" s="8" t="s">
        <v>664</v>
      </c>
      <c r="E1450" s="8" t="s">
        <v>163</v>
      </c>
      <c r="F1450" s="23">
        <v>46042.723611111112</v>
      </c>
      <c r="G1450" s="8" t="s">
        <v>1035</v>
      </c>
      <c r="H1450" s="23">
        <v>46059</v>
      </c>
      <c r="I1450" s="23">
        <v>46042.723611111112</v>
      </c>
      <c r="J1450" s="10">
        <v>1308</v>
      </c>
      <c r="K1450" s="10">
        <v>0</v>
      </c>
      <c r="L1450" s="24">
        <v>0</v>
      </c>
      <c r="M1450" s="10">
        <v>1308</v>
      </c>
    </row>
    <row r="1451" spans="1:13" x14ac:dyDescent="0.25">
      <c r="A1451" s="12" t="str">
        <f t="shared" si="44"/>
        <v>5004994BRUNO HENRIQUE DA SILVACT46042,725</v>
      </c>
      <c r="B1451" s="12" t="str">
        <f t="shared" si="45"/>
        <v>Fevereiro</v>
      </c>
      <c r="C1451" s="8" t="s">
        <v>1708</v>
      </c>
      <c r="D1451" s="8" t="s">
        <v>664</v>
      </c>
      <c r="E1451" s="8" t="s">
        <v>29</v>
      </c>
      <c r="F1451" s="23">
        <v>46042.724999999999</v>
      </c>
      <c r="G1451" s="8" t="s">
        <v>1035</v>
      </c>
      <c r="H1451" s="23">
        <v>46059</v>
      </c>
      <c r="I1451" s="23">
        <v>46042.724999999999</v>
      </c>
      <c r="J1451" s="10">
        <v>561</v>
      </c>
      <c r="K1451" s="10">
        <v>0</v>
      </c>
      <c r="L1451" s="24">
        <v>0</v>
      </c>
      <c r="M1451" s="10">
        <v>561</v>
      </c>
    </row>
    <row r="1452" spans="1:13" x14ac:dyDescent="0.25">
      <c r="A1452" s="12" t="str">
        <f t="shared" si="44"/>
        <v>5004995DANILO ROSA NUNESCT46042,7263888889</v>
      </c>
      <c r="B1452" s="12" t="str">
        <f t="shared" si="45"/>
        <v>Fevereiro</v>
      </c>
      <c r="C1452" s="8" t="s">
        <v>1709</v>
      </c>
      <c r="D1452" s="8" t="s">
        <v>664</v>
      </c>
      <c r="E1452" s="8" t="s">
        <v>1587</v>
      </c>
      <c r="F1452" s="23">
        <v>46042.726388888892</v>
      </c>
      <c r="G1452" s="8" t="s">
        <v>1035</v>
      </c>
      <c r="H1452" s="23">
        <v>46059</v>
      </c>
      <c r="I1452" s="23">
        <v>46042.726388888892</v>
      </c>
      <c r="J1452" s="10">
        <v>388</v>
      </c>
      <c r="K1452" s="10">
        <v>0</v>
      </c>
      <c r="L1452" s="24">
        <v>0</v>
      </c>
      <c r="M1452" s="10">
        <v>388</v>
      </c>
    </row>
    <row r="1453" spans="1:13" x14ac:dyDescent="0.25">
      <c r="A1453" s="12" t="str">
        <f t="shared" si="44"/>
        <v>5004996MARCELO MARTINS DE OLIVEIRACT46042,7270833333</v>
      </c>
      <c r="B1453" s="12" t="str">
        <f t="shared" si="45"/>
        <v>Fevereiro</v>
      </c>
      <c r="C1453" s="8" t="s">
        <v>1710</v>
      </c>
      <c r="D1453" s="8" t="s">
        <v>664</v>
      </c>
      <c r="E1453" s="8" t="s">
        <v>121</v>
      </c>
      <c r="F1453" s="23">
        <v>46042.727083333331</v>
      </c>
      <c r="G1453" s="8" t="s">
        <v>1035</v>
      </c>
      <c r="H1453" s="23">
        <v>46059</v>
      </c>
      <c r="I1453" s="23">
        <v>46042.727083333331</v>
      </c>
      <c r="J1453" s="10">
        <v>998</v>
      </c>
      <c r="K1453" s="10">
        <v>0</v>
      </c>
      <c r="L1453" s="24">
        <v>0</v>
      </c>
      <c r="M1453" s="10">
        <v>998</v>
      </c>
    </row>
    <row r="1454" spans="1:13" x14ac:dyDescent="0.25">
      <c r="A1454" s="12" t="str">
        <f t="shared" si="44"/>
        <v>5004996DANILO ROSA NUNESRCB46167,3972222222</v>
      </c>
      <c r="B1454" s="12" t="str">
        <f t="shared" si="45"/>
        <v>Maio</v>
      </c>
      <c r="C1454" s="8" t="s">
        <v>1710</v>
      </c>
      <c r="D1454" s="8" t="s">
        <v>664</v>
      </c>
      <c r="E1454" s="8" t="s">
        <v>1587</v>
      </c>
      <c r="F1454" s="23">
        <v>46167.397222222222</v>
      </c>
      <c r="G1454" s="8" t="s">
        <v>1045</v>
      </c>
      <c r="H1454" s="23">
        <v>46170</v>
      </c>
      <c r="I1454" s="23">
        <v>46167.397222222222</v>
      </c>
      <c r="J1454" s="10">
        <v>19.5</v>
      </c>
      <c r="K1454" s="10">
        <v>0</v>
      </c>
      <c r="L1454" s="24">
        <v>0</v>
      </c>
      <c r="M1454" s="10">
        <v>19.5</v>
      </c>
    </row>
    <row r="1455" spans="1:13" x14ac:dyDescent="0.25">
      <c r="A1455" s="12" t="str">
        <f t="shared" si="44"/>
        <v>5004997MARCELO MARTINS DE OLIVEIRARCB46048,4097222222</v>
      </c>
      <c r="B1455" s="12" t="str">
        <f t="shared" si="45"/>
        <v>Janeiro</v>
      </c>
      <c r="C1455" s="8" t="s">
        <v>1627</v>
      </c>
      <c r="D1455" s="8" t="s">
        <v>664</v>
      </c>
      <c r="E1455" s="8" t="s">
        <v>121</v>
      </c>
      <c r="F1455" s="23">
        <v>46048.409722222219</v>
      </c>
      <c r="G1455" s="8" t="s">
        <v>1045</v>
      </c>
      <c r="H1455" s="23">
        <v>46051</v>
      </c>
      <c r="I1455" s="23">
        <v>46048.409722222219</v>
      </c>
      <c r="J1455" s="10">
        <v>37.799999999999997</v>
      </c>
      <c r="K1455" s="10">
        <v>0</v>
      </c>
      <c r="L1455" s="24">
        <v>0</v>
      </c>
      <c r="M1455" s="10">
        <v>37.799999999999997</v>
      </c>
    </row>
    <row r="1456" spans="1:13" x14ac:dyDescent="0.25">
      <c r="A1456" s="12" t="str">
        <f t="shared" si="44"/>
        <v>5004997KARINE KEILE DA SILVA BRAGACT46042,7284722222</v>
      </c>
      <c r="B1456" s="12" t="str">
        <f t="shared" si="45"/>
        <v>Fevereiro</v>
      </c>
      <c r="C1456" s="8" t="s">
        <v>1627</v>
      </c>
      <c r="D1456" s="8" t="s">
        <v>664</v>
      </c>
      <c r="E1456" s="8" t="s">
        <v>1570</v>
      </c>
      <c r="F1456" s="23">
        <v>46042.728472222225</v>
      </c>
      <c r="G1456" s="8" t="s">
        <v>1035</v>
      </c>
      <c r="H1456" s="23">
        <v>46059</v>
      </c>
      <c r="I1456" s="23">
        <v>46042.728472222225</v>
      </c>
      <c r="J1456" s="10">
        <v>382</v>
      </c>
      <c r="K1456" s="10">
        <v>0</v>
      </c>
      <c r="L1456" s="24">
        <v>0</v>
      </c>
      <c r="M1456" s="10">
        <v>382</v>
      </c>
    </row>
    <row r="1457" spans="1:13" x14ac:dyDescent="0.25">
      <c r="A1457" s="12" t="str">
        <f t="shared" si="44"/>
        <v>5004998MARCELO MARTINS DE OLIVEIRARCB46055,4729166667</v>
      </c>
      <c r="B1457" s="12" t="str">
        <f t="shared" si="45"/>
        <v>Fevereiro</v>
      </c>
      <c r="C1457" s="8" t="s">
        <v>1662</v>
      </c>
      <c r="D1457" s="8" t="s">
        <v>664</v>
      </c>
      <c r="E1457" s="8" t="s">
        <v>121</v>
      </c>
      <c r="F1457" s="23">
        <v>46055.472916666666</v>
      </c>
      <c r="G1457" s="8" t="s">
        <v>1045</v>
      </c>
      <c r="H1457" s="23">
        <v>46058</v>
      </c>
      <c r="I1457" s="23">
        <v>46055.472916666666</v>
      </c>
      <c r="J1457" s="10">
        <v>93.8</v>
      </c>
      <c r="K1457" s="10">
        <v>0</v>
      </c>
      <c r="L1457" s="24">
        <v>0</v>
      </c>
      <c r="M1457" s="10">
        <v>93.8</v>
      </c>
    </row>
    <row r="1458" spans="1:13" x14ac:dyDescent="0.25">
      <c r="A1458" s="12" t="str">
        <f t="shared" si="44"/>
        <v>5004998LIDIANE ASSIS ROCHACT46042,7298611111</v>
      </c>
      <c r="B1458" s="12" t="str">
        <f t="shared" si="45"/>
        <v>Fevereiro</v>
      </c>
      <c r="C1458" s="8" t="s">
        <v>1662</v>
      </c>
      <c r="D1458" s="8" t="s">
        <v>664</v>
      </c>
      <c r="E1458" s="8" t="s">
        <v>110</v>
      </c>
      <c r="F1458" s="23">
        <v>46042.729861111111</v>
      </c>
      <c r="G1458" s="8" t="s">
        <v>1035</v>
      </c>
      <c r="H1458" s="23">
        <v>46059</v>
      </c>
      <c r="I1458" s="23">
        <v>46042.729861111111</v>
      </c>
      <c r="J1458" s="10">
        <v>793</v>
      </c>
      <c r="K1458" s="10">
        <v>0</v>
      </c>
      <c r="L1458" s="24">
        <v>0</v>
      </c>
      <c r="M1458" s="10">
        <v>793</v>
      </c>
    </row>
    <row r="1459" spans="1:13" x14ac:dyDescent="0.25">
      <c r="A1459" s="12" t="str">
        <f t="shared" si="44"/>
        <v>5004999NATANIELLE SILVA DE SOUZA MARQUESCT46042,7333333333</v>
      </c>
      <c r="B1459" s="12" t="str">
        <f t="shared" si="45"/>
        <v>Fevereiro</v>
      </c>
      <c r="C1459" s="8" t="s">
        <v>1711</v>
      </c>
      <c r="D1459" s="8" t="s">
        <v>664</v>
      </c>
      <c r="E1459" s="8" t="s">
        <v>135</v>
      </c>
      <c r="F1459" s="23">
        <v>46042.73333333333</v>
      </c>
      <c r="G1459" s="8" t="s">
        <v>1035</v>
      </c>
      <c r="H1459" s="23">
        <v>46059</v>
      </c>
      <c r="I1459" s="23">
        <v>46042.73333333333</v>
      </c>
      <c r="J1459" s="10">
        <v>4418</v>
      </c>
      <c r="K1459" s="10">
        <v>0</v>
      </c>
      <c r="L1459" s="24">
        <v>0</v>
      </c>
      <c r="M1459" s="10">
        <v>4418</v>
      </c>
    </row>
    <row r="1460" spans="1:13" x14ac:dyDescent="0.25">
      <c r="A1460" s="12" t="str">
        <f t="shared" si="44"/>
        <v>5004999MARCELO MARTINS DE OLIVEIRARCB46062,4055555556</v>
      </c>
      <c r="B1460" s="12" t="str">
        <f t="shared" si="45"/>
        <v>Fevereiro</v>
      </c>
      <c r="C1460" s="8" t="s">
        <v>1711</v>
      </c>
      <c r="D1460" s="8" t="s">
        <v>664</v>
      </c>
      <c r="E1460" s="8" t="s">
        <v>121</v>
      </c>
      <c r="F1460" s="23">
        <v>46062.405555555553</v>
      </c>
      <c r="G1460" s="8" t="s">
        <v>1045</v>
      </c>
      <c r="H1460" s="23">
        <v>46065</v>
      </c>
      <c r="I1460" s="23">
        <v>46062.405555555553</v>
      </c>
      <c r="J1460" s="10">
        <v>19.5</v>
      </c>
      <c r="K1460" s="10">
        <v>0</v>
      </c>
      <c r="L1460" s="24">
        <v>0</v>
      </c>
      <c r="M1460" s="10">
        <v>19.5</v>
      </c>
    </row>
    <row r="1461" spans="1:13" x14ac:dyDescent="0.25">
      <c r="A1461" s="12" t="str">
        <f t="shared" si="44"/>
        <v>5005000ELIO BENEDITO NASCIMENTO JUNIORCT46042,7347222222</v>
      </c>
      <c r="B1461" s="12" t="str">
        <f t="shared" si="45"/>
        <v>Fevereiro</v>
      </c>
      <c r="C1461" s="8" t="s">
        <v>1712</v>
      </c>
      <c r="D1461" s="8" t="s">
        <v>664</v>
      </c>
      <c r="E1461" s="8" t="s">
        <v>1439</v>
      </c>
      <c r="F1461" s="23">
        <v>46042.734722222223</v>
      </c>
      <c r="G1461" s="8" t="s">
        <v>1035</v>
      </c>
      <c r="H1461" s="23">
        <v>46059</v>
      </c>
      <c r="I1461" s="23">
        <v>46042.734722222223</v>
      </c>
      <c r="J1461" s="10">
        <v>534</v>
      </c>
      <c r="K1461" s="10">
        <v>0</v>
      </c>
      <c r="L1461" s="24">
        <v>0</v>
      </c>
      <c r="M1461" s="10">
        <v>534</v>
      </c>
    </row>
    <row r="1462" spans="1:13" x14ac:dyDescent="0.25">
      <c r="A1462" s="12" t="str">
        <f t="shared" si="44"/>
        <v>5005001ELIO BENEDITO NASCIMENTO JUNIORRCB46056,3875</v>
      </c>
      <c r="B1462" s="12" t="str">
        <f t="shared" si="45"/>
        <v>Fevereiro</v>
      </c>
      <c r="C1462" s="8" t="s">
        <v>1665</v>
      </c>
      <c r="D1462" s="8" t="s">
        <v>664</v>
      </c>
      <c r="E1462" s="8" t="s">
        <v>1439</v>
      </c>
      <c r="F1462" s="23">
        <v>46056.387499999997</v>
      </c>
      <c r="G1462" s="8" t="s">
        <v>1045</v>
      </c>
      <c r="H1462" s="23">
        <v>46059</v>
      </c>
      <c r="I1462" s="23">
        <v>46056.387499999997</v>
      </c>
      <c r="J1462" s="10">
        <v>29.5</v>
      </c>
      <c r="K1462" s="10">
        <v>0</v>
      </c>
      <c r="L1462" s="24">
        <v>0</v>
      </c>
      <c r="M1462" s="10">
        <v>29.5</v>
      </c>
    </row>
    <row r="1463" spans="1:13" x14ac:dyDescent="0.25">
      <c r="A1463" s="12" t="str">
        <f t="shared" si="44"/>
        <v>5005001JOSE MARCIO DA SILVACT46042,7361111111</v>
      </c>
      <c r="B1463" s="12" t="str">
        <f t="shared" si="45"/>
        <v>Fevereiro</v>
      </c>
      <c r="C1463" s="8" t="s">
        <v>1665</v>
      </c>
      <c r="D1463" s="8" t="s">
        <v>664</v>
      </c>
      <c r="E1463" s="8" t="s">
        <v>1576</v>
      </c>
      <c r="F1463" s="23">
        <v>46042.736111111109</v>
      </c>
      <c r="G1463" s="8" t="s">
        <v>1035</v>
      </c>
      <c r="H1463" s="23">
        <v>46059</v>
      </c>
      <c r="I1463" s="23">
        <v>46042.736111111109</v>
      </c>
      <c r="J1463" s="10">
        <v>350</v>
      </c>
      <c r="K1463" s="10">
        <v>0</v>
      </c>
      <c r="L1463" s="24">
        <v>0</v>
      </c>
      <c r="M1463" s="10">
        <v>350</v>
      </c>
    </row>
    <row r="1464" spans="1:13" x14ac:dyDescent="0.25">
      <c r="A1464" s="12" t="str">
        <f t="shared" si="44"/>
        <v>5005002JOSE ANTONIO SILVACT46042,7375</v>
      </c>
      <c r="B1464" s="12" t="str">
        <f t="shared" si="45"/>
        <v>Fevereiro</v>
      </c>
      <c r="C1464" s="8" t="s">
        <v>1714</v>
      </c>
      <c r="D1464" s="8" t="s">
        <v>664</v>
      </c>
      <c r="E1464" s="8" t="s">
        <v>99</v>
      </c>
      <c r="F1464" s="23">
        <v>46042.737500000003</v>
      </c>
      <c r="G1464" s="8" t="s">
        <v>1035</v>
      </c>
      <c r="H1464" s="23">
        <v>46059</v>
      </c>
      <c r="I1464" s="23">
        <v>46042.737500000003</v>
      </c>
      <c r="J1464" s="10">
        <v>1200</v>
      </c>
      <c r="K1464" s="10">
        <v>0</v>
      </c>
      <c r="L1464" s="24">
        <v>0</v>
      </c>
      <c r="M1464" s="10">
        <v>1200</v>
      </c>
    </row>
    <row r="1465" spans="1:13" x14ac:dyDescent="0.25">
      <c r="A1465" s="12" t="str">
        <f t="shared" si="44"/>
        <v>5005003DIOGO BONELA TONHACT46042,7381944444</v>
      </c>
      <c r="B1465" s="12" t="str">
        <f t="shared" si="45"/>
        <v>Fevereiro</v>
      </c>
      <c r="C1465" s="8" t="s">
        <v>1715</v>
      </c>
      <c r="D1465" s="8" t="s">
        <v>664</v>
      </c>
      <c r="E1465" s="8" t="s">
        <v>52</v>
      </c>
      <c r="F1465" s="23">
        <v>46042.738194444442</v>
      </c>
      <c r="G1465" s="8" t="s">
        <v>1035</v>
      </c>
      <c r="H1465" s="23">
        <v>46059</v>
      </c>
      <c r="I1465" s="23">
        <v>46042.738194444442</v>
      </c>
      <c r="J1465" s="10">
        <v>1540</v>
      </c>
      <c r="K1465" s="10">
        <v>0</v>
      </c>
      <c r="L1465" s="24">
        <v>0</v>
      </c>
      <c r="M1465" s="10">
        <v>1540</v>
      </c>
    </row>
    <row r="1466" spans="1:13" x14ac:dyDescent="0.25">
      <c r="A1466" s="12" t="str">
        <f t="shared" si="44"/>
        <v>5005004DIOGO BONELA TONHARCB46056,3881944444</v>
      </c>
      <c r="B1466" s="12" t="str">
        <f t="shared" si="45"/>
        <v>Fevereiro</v>
      </c>
      <c r="C1466" s="8" t="s">
        <v>1667</v>
      </c>
      <c r="D1466" s="8" t="s">
        <v>664</v>
      </c>
      <c r="E1466" s="8" t="s">
        <v>52</v>
      </c>
      <c r="F1466" s="23">
        <v>46056.388194444444</v>
      </c>
      <c r="G1466" s="8" t="s">
        <v>1045</v>
      </c>
      <c r="H1466" s="23">
        <v>46059</v>
      </c>
      <c r="I1466" s="23">
        <v>46056.388194444444</v>
      </c>
      <c r="J1466" s="10">
        <v>93</v>
      </c>
      <c r="K1466" s="10">
        <v>0</v>
      </c>
      <c r="L1466" s="24">
        <v>0</v>
      </c>
      <c r="M1466" s="10">
        <v>93</v>
      </c>
    </row>
    <row r="1467" spans="1:13" x14ac:dyDescent="0.25">
      <c r="A1467" s="12" t="str">
        <f t="shared" si="44"/>
        <v>5005004RENILSON DIAS DE BRITOCT46062,39375</v>
      </c>
      <c r="B1467" s="12" t="str">
        <f t="shared" si="45"/>
        <v>Fevereiro</v>
      </c>
      <c r="C1467" s="8" t="s">
        <v>1667</v>
      </c>
      <c r="D1467" s="8" t="s">
        <v>664</v>
      </c>
      <c r="E1467" s="8" t="s">
        <v>1383</v>
      </c>
      <c r="F1467" s="23">
        <v>46062.393750000003</v>
      </c>
      <c r="G1467" s="8" t="s">
        <v>1035</v>
      </c>
      <c r="H1467" s="23">
        <v>46071</v>
      </c>
      <c r="I1467" s="23">
        <v>46062.393750000003</v>
      </c>
      <c r="J1467" s="10">
        <v>2389</v>
      </c>
      <c r="K1467" s="10">
        <v>0</v>
      </c>
      <c r="L1467" s="24">
        <v>0</v>
      </c>
      <c r="M1467" s="10">
        <v>2389</v>
      </c>
    </row>
    <row r="1468" spans="1:13" x14ac:dyDescent="0.25">
      <c r="A1468" s="12" t="str">
        <f t="shared" si="44"/>
        <v>5005005FABIO LUIZ TEIXEIRA DE ARRUDACT46062,3958333333</v>
      </c>
      <c r="B1468" s="12" t="str">
        <f t="shared" si="45"/>
        <v>Fevereiro</v>
      </c>
      <c r="C1468" s="8" t="s">
        <v>1781</v>
      </c>
      <c r="D1468" s="8" t="s">
        <v>664</v>
      </c>
      <c r="E1468" s="8" t="s">
        <v>1520</v>
      </c>
      <c r="F1468" s="23">
        <v>46062.395833333336</v>
      </c>
      <c r="G1468" s="8" t="s">
        <v>1035</v>
      </c>
      <c r="H1468" s="23">
        <v>46071</v>
      </c>
      <c r="I1468" s="23">
        <v>46062.395833333336</v>
      </c>
      <c r="J1468" s="10">
        <v>1155</v>
      </c>
      <c r="K1468" s="10">
        <v>0</v>
      </c>
      <c r="L1468" s="24">
        <v>0</v>
      </c>
      <c r="M1468" s="10">
        <v>1155</v>
      </c>
    </row>
    <row r="1469" spans="1:13" x14ac:dyDescent="0.25">
      <c r="A1469" s="12" t="str">
        <f t="shared" si="44"/>
        <v>5005006MARCOS FILIPE DE ALCANTARA PEREIRACT46062,3972222222</v>
      </c>
      <c r="B1469" s="12" t="str">
        <f t="shared" si="45"/>
        <v>Fevereiro</v>
      </c>
      <c r="C1469" s="8" t="s">
        <v>1782</v>
      </c>
      <c r="D1469" s="8" t="s">
        <v>664</v>
      </c>
      <c r="E1469" s="8" t="s">
        <v>1385</v>
      </c>
      <c r="F1469" s="23">
        <v>46062.397222222222</v>
      </c>
      <c r="G1469" s="8" t="s">
        <v>1035</v>
      </c>
      <c r="H1469" s="23">
        <v>46071</v>
      </c>
      <c r="I1469" s="23">
        <v>46062.397222222222</v>
      </c>
      <c r="J1469" s="10">
        <v>1843</v>
      </c>
      <c r="K1469" s="10">
        <v>0</v>
      </c>
      <c r="L1469" s="24">
        <v>0</v>
      </c>
      <c r="M1469" s="10">
        <v>1843</v>
      </c>
    </row>
    <row r="1470" spans="1:13" x14ac:dyDescent="0.25">
      <c r="A1470" s="12" t="str">
        <f t="shared" si="44"/>
        <v>5005007VICTOR HUGO SILVA BALBINOCT46062,3986111111</v>
      </c>
      <c r="B1470" s="12" t="str">
        <f t="shared" si="45"/>
        <v>Fevereiro</v>
      </c>
      <c r="C1470" s="8" t="s">
        <v>1783</v>
      </c>
      <c r="D1470" s="8" t="s">
        <v>664</v>
      </c>
      <c r="E1470" s="8" t="s">
        <v>198</v>
      </c>
      <c r="F1470" s="23">
        <v>46062.398611111108</v>
      </c>
      <c r="G1470" s="8" t="s">
        <v>1035</v>
      </c>
      <c r="H1470" s="23">
        <v>46071</v>
      </c>
      <c r="I1470" s="23">
        <v>46062.398611111108</v>
      </c>
      <c r="J1470" s="10">
        <v>1555</v>
      </c>
      <c r="K1470" s="10">
        <v>0</v>
      </c>
      <c r="L1470" s="24">
        <v>0</v>
      </c>
      <c r="M1470" s="10">
        <v>1555</v>
      </c>
    </row>
    <row r="1471" spans="1:13" x14ac:dyDescent="0.25">
      <c r="A1471" s="12" t="str">
        <f t="shared" si="44"/>
        <v>5005008ELIANA HENRIQUE MENDES BARBOSACT46062,4</v>
      </c>
      <c r="B1471" s="12" t="str">
        <f t="shared" si="45"/>
        <v>Fevereiro</v>
      </c>
      <c r="C1471" s="8" t="s">
        <v>1784</v>
      </c>
      <c r="D1471" s="8" t="s">
        <v>664</v>
      </c>
      <c r="E1471" s="8" t="s">
        <v>59</v>
      </c>
      <c r="F1471" s="23">
        <v>46062.400000000001</v>
      </c>
      <c r="G1471" s="8" t="s">
        <v>1035</v>
      </c>
      <c r="H1471" s="23">
        <v>46071</v>
      </c>
      <c r="I1471" s="23">
        <v>46062.400000000001</v>
      </c>
      <c r="J1471" s="10">
        <v>1231</v>
      </c>
      <c r="K1471" s="10">
        <v>0</v>
      </c>
      <c r="L1471" s="24">
        <v>0</v>
      </c>
      <c r="M1471" s="10">
        <v>1231</v>
      </c>
    </row>
    <row r="1472" spans="1:13" x14ac:dyDescent="0.25">
      <c r="A1472" s="12" t="str">
        <f t="shared" si="44"/>
        <v>5005009RAFAEL RODRIGUES FARIACT46062,4013888889</v>
      </c>
      <c r="B1472" s="12" t="str">
        <f t="shared" si="45"/>
        <v>Fevereiro</v>
      </c>
      <c r="C1472" s="8" t="s">
        <v>1785</v>
      </c>
      <c r="D1472" s="8" t="s">
        <v>664</v>
      </c>
      <c r="E1472" s="8" t="s">
        <v>162</v>
      </c>
      <c r="F1472" s="23">
        <v>46062.401388888888</v>
      </c>
      <c r="G1472" s="8" t="s">
        <v>1035</v>
      </c>
      <c r="H1472" s="23">
        <v>46071</v>
      </c>
      <c r="I1472" s="23">
        <v>46062.401388888888</v>
      </c>
      <c r="J1472" s="10">
        <v>3326</v>
      </c>
      <c r="K1472" s="10">
        <v>0</v>
      </c>
      <c r="L1472" s="24">
        <v>0</v>
      </c>
      <c r="M1472" s="10">
        <v>3326</v>
      </c>
    </row>
    <row r="1473" spans="1:13" x14ac:dyDescent="0.25">
      <c r="A1473" s="12" t="str">
        <f t="shared" si="44"/>
        <v>5005009ELIANA HENRIQUE MENDES BARBOSARCB46085,5027777778</v>
      </c>
      <c r="B1473" s="12" t="str">
        <f t="shared" si="45"/>
        <v>Março</v>
      </c>
      <c r="C1473" s="8" t="s">
        <v>1785</v>
      </c>
      <c r="D1473" s="8" t="s">
        <v>664</v>
      </c>
      <c r="E1473" s="8" t="s">
        <v>59</v>
      </c>
      <c r="F1473" s="23">
        <v>46085.50277777778</v>
      </c>
      <c r="G1473" s="8" t="s">
        <v>1045</v>
      </c>
      <c r="H1473" s="23">
        <v>46091</v>
      </c>
      <c r="I1473" s="23">
        <v>46085.50277777778</v>
      </c>
      <c r="J1473" s="10">
        <v>31</v>
      </c>
      <c r="K1473" s="10">
        <v>0</v>
      </c>
      <c r="L1473" s="24">
        <v>0</v>
      </c>
      <c r="M1473" s="10">
        <v>31</v>
      </c>
    </row>
    <row r="1474" spans="1:13" x14ac:dyDescent="0.25">
      <c r="A1474" s="12" t="str">
        <f t="shared" ref="A1474:A1537" si="46">$C1474&amp;$E1474&amp;$G1474&amp;$F1474</f>
        <v>5005010RAMON BATISTA FURTUOSOCT46062,4041666667</v>
      </c>
      <c r="B1474" s="12" t="str">
        <f t="shared" si="45"/>
        <v>Fevereiro</v>
      </c>
      <c r="C1474" s="8" t="s">
        <v>1786</v>
      </c>
      <c r="D1474" s="8" t="s">
        <v>664</v>
      </c>
      <c r="E1474" s="8" t="s">
        <v>1690</v>
      </c>
      <c r="F1474" s="23">
        <v>46062.404166666667</v>
      </c>
      <c r="G1474" s="8" t="s">
        <v>1035</v>
      </c>
      <c r="H1474" s="23">
        <v>46071</v>
      </c>
      <c r="I1474" s="23">
        <v>46062.404166666667</v>
      </c>
      <c r="J1474" s="10">
        <v>1155</v>
      </c>
      <c r="K1474" s="10">
        <v>0</v>
      </c>
      <c r="L1474" s="24">
        <v>0</v>
      </c>
      <c r="M1474" s="10">
        <v>1155</v>
      </c>
    </row>
    <row r="1475" spans="1:13" x14ac:dyDescent="0.25">
      <c r="A1475" s="12" t="str">
        <f t="shared" si="46"/>
        <v>5005011ACACIUS HENRIQUE SOUZA BARBOSACT46062,4055555556</v>
      </c>
      <c r="B1475" s="12" t="str">
        <f t="shared" ref="B1475:B1538" si="47">PROPER(TEXT($H1475,"MMMM"))</f>
        <v>Fevereiro</v>
      </c>
      <c r="C1475" s="8" t="s">
        <v>1787</v>
      </c>
      <c r="D1475" s="8" t="s">
        <v>664</v>
      </c>
      <c r="E1475" s="8" t="s">
        <v>1530</v>
      </c>
      <c r="F1475" s="23">
        <v>46062.405555555553</v>
      </c>
      <c r="G1475" s="8" t="s">
        <v>1035</v>
      </c>
      <c r="H1475" s="23">
        <v>46071</v>
      </c>
      <c r="I1475" s="23">
        <v>46062.405555555553</v>
      </c>
      <c r="J1475" s="10">
        <v>385</v>
      </c>
      <c r="K1475" s="10">
        <v>0</v>
      </c>
      <c r="L1475" s="24">
        <v>0</v>
      </c>
      <c r="M1475" s="10">
        <v>385</v>
      </c>
    </row>
    <row r="1476" spans="1:13" x14ac:dyDescent="0.25">
      <c r="A1476" s="12" t="str">
        <f t="shared" si="46"/>
        <v>5005012ADILSON VIANA DO SACRAMENTOCT46062,4069444444</v>
      </c>
      <c r="B1476" s="12" t="str">
        <f t="shared" si="47"/>
        <v>Fevereiro</v>
      </c>
      <c r="C1476" s="8" t="s">
        <v>1788</v>
      </c>
      <c r="D1476" s="8" t="s">
        <v>664</v>
      </c>
      <c r="E1476" s="8" t="s">
        <v>1390</v>
      </c>
      <c r="F1476" s="23">
        <v>46062.406944444447</v>
      </c>
      <c r="G1476" s="8" t="s">
        <v>1035</v>
      </c>
      <c r="H1476" s="23">
        <v>46071</v>
      </c>
      <c r="I1476" s="23">
        <v>46062.406944444447</v>
      </c>
      <c r="J1476" s="10">
        <v>2242</v>
      </c>
      <c r="K1476" s="10">
        <v>0</v>
      </c>
      <c r="L1476" s="24">
        <v>0</v>
      </c>
      <c r="M1476" s="10">
        <v>2242</v>
      </c>
    </row>
    <row r="1477" spans="1:13" x14ac:dyDescent="0.25">
      <c r="A1477" s="12" t="str">
        <f t="shared" si="46"/>
        <v>5005013ADILSON VIANA DO SACRAMENTORCB46062,7138888889</v>
      </c>
      <c r="B1477" s="12" t="str">
        <f t="shared" si="47"/>
        <v>Fevereiro</v>
      </c>
      <c r="C1477" s="8" t="s">
        <v>1718</v>
      </c>
      <c r="D1477" s="8" t="s">
        <v>664</v>
      </c>
      <c r="E1477" s="8" t="s">
        <v>1390</v>
      </c>
      <c r="F1477" s="23">
        <v>46062.713888888888</v>
      </c>
      <c r="G1477" s="8" t="s">
        <v>1045</v>
      </c>
      <c r="H1477" s="23">
        <v>46065</v>
      </c>
      <c r="I1477" s="23">
        <v>46062.713888888888</v>
      </c>
      <c r="J1477" s="10">
        <v>28.4</v>
      </c>
      <c r="K1477" s="10">
        <v>0</v>
      </c>
      <c r="L1477" s="24">
        <v>0</v>
      </c>
      <c r="M1477" s="10">
        <v>28.4</v>
      </c>
    </row>
    <row r="1478" spans="1:13" x14ac:dyDescent="0.25">
      <c r="A1478" s="12" t="str">
        <f t="shared" si="46"/>
        <v>5005013EDUARDO GAUDENCIO ROSACT46062,4083333333</v>
      </c>
      <c r="B1478" s="12" t="str">
        <f t="shared" si="47"/>
        <v>Fevereiro</v>
      </c>
      <c r="C1478" s="8" t="s">
        <v>1718</v>
      </c>
      <c r="D1478" s="8" t="s">
        <v>664</v>
      </c>
      <c r="E1478" s="8" t="s">
        <v>58</v>
      </c>
      <c r="F1478" s="23">
        <v>46062.408333333333</v>
      </c>
      <c r="G1478" s="8" t="s">
        <v>1035</v>
      </c>
      <c r="H1478" s="23">
        <v>46071</v>
      </c>
      <c r="I1478" s="23">
        <v>46062.408333333333</v>
      </c>
      <c r="J1478" s="10">
        <v>6315</v>
      </c>
      <c r="K1478" s="10">
        <v>0</v>
      </c>
      <c r="L1478" s="24">
        <v>0</v>
      </c>
      <c r="M1478" s="10">
        <v>6315</v>
      </c>
    </row>
    <row r="1479" spans="1:13" x14ac:dyDescent="0.25">
      <c r="A1479" s="12" t="str">
        <f t="shared" si="46"/>
        <v>5005014CRISTIAN ALVES MOREIRACT46062,4090277778</v>
      </c>
      <c r="B1479" s="12" t="str">
        <f t="shared" si="47"/>
        <v>Fevereiro</v>
      </c>
      <c r="C1479" s="8" t="s">
        <v>1789</v>
      </c>
      <c r="D1479" s="8" t="s">
        <v>664</v>
      </c>
      <c r="E1479" s="8" t="s">
        <v>46</v>
      </c>
      <c r="F1479" s="23">
        <v>46062.40902777778</v>
      </c>
      <c r="G1479" s="8" t="s">
        <v>1035</v>
      </c>
      <c r="H1479" s="23">
        <v>46071</v>
      </c>
      <c r="I1479" s="23">
        <v>46062.40902777778</v>
      </c>
      <c r="J1479" s="10">
        <v>1540</v>
      </c>
      <c r="K1479" s="10">
        <v>0</v>
      </c>
      <c r="L1479" s="24">
        <v>0</v>
      </c>
      <c r="M1479" s="10">
        <v>1540</v>
      </c>
    </row>
    <row r="1480" spans="1:13" x14ac:dyDescent="0.25">
      <c r="A1480" s="12" t="str">
        <f t="shared" si="46"/>
        <v>5005015PAULO RICARDO SILVACT46062,4104166667</v>
      </c>
      <c r="B1480" s="12" t="str">
        <f t="shared" si="47"/>
        <v>Fevereiro</v>
      </c>
      <c r="C1480" s="8" t="s">
        <v>1790</v>
      </c>
      <c r="D1480" s="8" t="s">
        <v>664</v>
      </c>
      <c r="E1480" s="8" t="s">
        <v>153</v>
      </c>
      <c r="F1480" s="23">
        <v>46062.410416666666</v>
      </c>
      <c r="G1480" s="8" t="s">
        <v>1035</v>
      </c>
      <c r="H1480" s="23">
        <v>46071</v>
      </c>
      <c r="I1480" s="23">
        <v>46062.410416666666</v>
      </c>
      <c r="J1480" s="10">
        <v>2651</v>
      </c>
      <c r="K1480" s="10">
        <v>0</v>
      </c>
      <c r="L1480" s="24">
        <v>0</v>
      </c>
      <c r="M1480" s="10">
        <v>2651</v>
      </c>
    </row>
    <row r="1481" spans="1:13" x14ac:dyDescent="0.25">
      <c r="A1481" s="12" t="str">
        <f t="shared" si="46"/>
        <v>5005016PAULO RICARDO SILVARCB46071,4423611111</v>
      </c>
      <c r="B1481" s="12" t="str">
        <f t="shared" si="47"/>
        <v>Fevereiro</v>
      </c>
      <c r="C1481" s="8" t="s">
        <v>1791</v>
      </c>
      <c r="D1481" s="8" t="s">
        <v>664</v>
      </c>
      <c r="E1481" s="8" t="s">
        <v>153</v>
      </c>
      <c r="F1481" s="23">
        <v>46071.442361111112</v>
      </c>
      <c r="G1481" s="8" t="s">
        <v>1045</v>
      </c>
      <c r="H1481" s="23">
        <v>46076</v>
      </c>
      <c r="I1481" s="23">
        <v>46071.442361111112</v>
      </c>
      <c r="J1481" s="10">
        <v>15.8</v>
      </c>
      <c r="K1481" s="10">
        <v>0</v>
      </c>
      <c r="L1481" s="24">
        <v>0</v>
      </c>
      <c r="M1481" s="10">
        <v>15.8</v>
      </c>
    </row>
    <row r="1482" spans="1:13" x14ac:dyDescent="0.25">
      <c r="A1482" s="12" t="str">
        <f t="shared" si="46"/>
        <v>5005016KELISON DINIZ LEMOSCT46062,4118055556</v>
      </c>
      <c r="B1482" s="12" t="str">
        <f t="shared" si="47"/>
        <v>Fevereiro</v>
      </c>
      <c r="C1482" s="8" t="s">
        <v>1791</v>
      </c>
      <c r="D1482" s="8" t="s">
        <v>664</v>
      </c>
      <c r="E1482" s="8" t="s">
        <v>105</v>
      </c>
      <c r="F1482" s="23">
        <v>46062.411805555559</v>
      </c>
      <c r="G1482" s="8" t="s">
        <v>1035</v>
      </c>
      <c r="H1482" s="23">
        <v>46071</v>
      </c>
      <c r="I1482" s="23">
        <v>46062.411805555559</v>
      </c>
      <c r="J1482" s="10">
        <v>3584</v>
      </c>
      <c r="K1482" s="10">
        <v>0</v>
      </c>
      <c r="L1482" s="24">
        <v>0</v>
      </c>
      <c r="M1482" s="10">
        <v>3584</v>
      </c>
    </row>
    <row r="1483" spans="1:13" x14ac:dyDescent="0.25">
      <c r="A1483" s="12" t="str">
        <f t="shared" si="46"/>
        <v>5005017ADRIANO ROBERTOCT46062,4131944444</v>
      </c>
      <c r="B1483" s="12" t="str">
        <f t="shared" si="47"/>
        <v>Fevereiro</v>
      </c>
      <c r="C1483" s="8" t="s">
        <v>1792</v>
      </c>
      <c r="D1483" s="8" t="s">
        <v>664</v>
      </c>
      <c r="E1483" s="8" t="s">
        <v>8</v>
      </c>
      <c r="F1483" s="23">
        <v>46062.413194444445</v>
      </c>
      <c r="G1483" s="8" t="s">
        <v>1035</v>
      </c>
      <c r="H1483" s="23">
        <v>46071</v>
      </c>
      <c r="I1483" s="23">
        <v>46062.413194444445</v>
      </c>
      <c r="J1483" s="10">
        <v>2860</v>
      </c>
      <c r="K1483" s="10">
        <v>0</v>
      </c>
      <c r="L1483" s="24">
        <v>0</v>
      </c>
      <c r="M1483" s="10">
        <v>2860</v>
      </c>
    </row>
    <row r="1484" spans="1:13" x14ac:dyDescent="0.25">
      <c r="A1484" s="12" t="str">
        <f t="shared" si="46"/>
        <v>5005018HUDSON CESAR DA SILVACT46062,4145833333</v>
      </c>
      <c r="B1484" s="12" t="str">
        <f t="shared" si="47"/>
        <v>Fevereiro</v>
      </c>
      <c r="C1484" s="8" t="s">
        <v>1793</v>
      </c>
      <c r="D1484" s="8" t="s">
        <v>664</v>
      </c>
      <c r="E1484" s="8" t="s">
        <v>1407</v>
      </c>
      <c r="F1484" s="23">
        <v>46062.414583333331</v>
      </c>
      <c r="G1484" s="8" t="s">
        <v>1035</v>
      </c>
      <c r="H1484" s="23">
        <v>46071</v>
      </c>
      <c r="I1484" s="23">
        <v>46062.414583333331</v>
      </c>
      <c r="J1484" s="10">
        <v>5134</v>
      </c>
      <c r="K1484" s="10">
        <v>0</v>
      </c>
      <c r="L1484" s="24">
        <v>0</v>
      </c>
      <c r="M1484" s="10">
        <v>5134</v>
      </c>
    </row>
    <row r="1485" spans="1:13" x14ac:dyDescent="0.25">
      <c r="A1485" s="12" t="str">
        <f t="shared" si="46"/>
        <v>5005019RENAN ELTON DIVINOCT46062,4159722222</v>
      </c>
      <c r="B1485" s="12" t="str">
        <f t="shared" si="47"/>
        <v>Fevereiro</v>
      </c>
      <c r="C1485" s="8" t="s">
        <v>1794</v>
      </c>
      <c r="D1485" s="8" t="s">
        <v>664</v>
      </c>
      <c r="E1485" s="8" t="s">
        <v>1409</v>
      </c>
      <c r="F1485" s="23">
        <v>46062.415972222225</v>
      </c>
      <c r="G1485" s="8" t="s">
        <v>1035</v>
      </c>
      <c r="H1485" s="23">
        <v>46071</v>
      </c>
      <c r="I1485" s="23">
        <v>46062.415972222225</v>
      </c>
      <c r="J1485" s="10">
        <v>1540</v>
      </c>
      <c r="K1485" s="10">
        <v>0</v>
      </c>
      <c r="L1485" s="24">
        <v>0</v>
      </c>
      <c r="M1485" s="10">
        <v>1540</v>
      </c>
    </row>
    <row r="1486" spans="1:13" x14ac:dyDescent="0.25">
      <c r="A1486" s="12" t="str">
        <f t="shared" si="46"/>
        <v>5005020LIDEMBERG RAMOS GABRIELCT46062,4166666667</v>
      </c>
      <c r="B1486" s="12" t="str">
        <f t="shared" si="47"/>
        <v>Fevereiro</v>
      </c>
      <c r="C1486" s="8" t="s">
        <v>1795</v>
      </c>
      <c r="D1486" s="8" t="s">
        <v>664</v>
      </c>
      <c r="E1486" s="8" t="s">
        <v>1539</v>
      </c>
      <c r="F1486" s="23">
        <v>46062.416666666664</v>
      </c>
      <c r="G1486" s="8" t="s">
        <v>1035</v>
      </c>
      <c r="H1486" s="23">
        <v>46071</v>
      </c>
      <c r="I1486" s="23">
        <v>46062.416666666664</v>
      </c>
      <c r="J1486" s="10">
        <v>2000</v>
      </c>
      <c r="K1486" s="10">
        <v>0</v>
      </c>
      <c r="L1486" s="24">
        <v>0</v>
      </c>
      <c r="M1486" s="10">
        <v>2000</v>
      </c>
    </row>
    <row r="1487" spans="1:13" x14ac:dyDescent="0.25">
      <c r="A1487" s="12" t="str">
        <f t="shared" si="46"/>
        <v>5005021NELCIDES JOSE VIEIRACT46062,4180555556</v>
      </c>
      <c r="B1487" s="12" t="str">
        <f t="shared" si="47"/>
        <v>Fevereiro</v>
      </c>
      <c r="C1487" s="8" t="s">
        <v>1796</v>
      </c>
      <c r="D1487" s="8" t="s">
        <v>664</v>
      </c>
      <c r="E1487" s="8" t="s">
        <v>137</v>
      </c>
      <c r="F1487" s="23">
        <v>46062.418055555558</v>
      </c>
      <c r="G1487" s="8" t="s">
        <v>1035</v>
      </c>
      <c r="H1487" s="23">
        <v>46071</v>
      </c>
      <c r="I1487" s="23">
        <v>46062.418055555558</v>
      </c>
      <c r="J1487" s="10">
        <v>3365</v>
      </c>
      <c r="K1487" s="10">
        <v>0</v>
      </c>
      <c r="L1487" s="24">
        <v>0</v>
      </c>
      <c r="M1487" s="10">
        <v>3365</v>
      </c>
    </row>
    <row r="1488" spans="1:13" x14ac:dyDescent="0.25">
      <c r="A1488" s="12" t="str">
        <f t="shared" si="46"/>
        <v>5005022WILLIAM DE SOUZA VIEIRACT46062,4201388889</v>
      </c>
      <c r="B1488" s="12" t="str">
        <f t="shared" si="47"/>
        <v>Fevereiro</v>
      </c>
      <c r="C1488" s="8" t="s">
        <v>1797</v>
      </c>
      <c r="D1488" s="8" t="s">
        <v>664</v>
      </c>
      <c r="E1488" s="8" t="s">
        <v>1542</v>
      </c>
      <c r="F1488" s="23">
        <v>46062.420138888891</v>
      </c>
      <c r="G1488" s="8" t="s">
        <v>1035</v>
      </c>
      <c r="H1488" s="23">
        <v>46071</v>
      </c>
      <c r="I1488" s="23">
        <v>46062.420138888891</v>
      </c>
      <c r="J1488" s="10">
        <v>3101</v>
      </c>
      <c r="K1488" s="10">
        <v>0</v>
      </c>
      <c r="L1488" s="24">
        <v>0</v>
      </c>
      <c r="M1488" s="10">
        <v>3101</v>
      </c>
    </row>
    <row r="1489" spans="1:13" x14ac:dyDescent="0.25">
      <c r="A1489" s="12" t="str">
        <f t="shared" si="46"/>
        <v>5005023CARLOS ANTONIO PINTOCT46062,4243055556</v>
      </c>
      <c r="B1489" s="12" t="str">
        <f t="shared" si="47"/>
        <v>Fevereiro</v>
      </c>
      <c r="C1489" s="8" t="s">
        <v>1799</v>
      </c>
      <c r="D1489" s="8" t="s">
        <v>664</v>
      </c>
      <c r="E1489" s="8" t="s">
        <v>36</v>
      </c>
      <c r="F1489" s="23">
        <v>46062.424305555556</v>
      </c>
      <c r="G1489" s="8" t="s">
        <v>1035</v>
      </c>
      <c r="H1489" s="23">
        <v>46071</v>
      </c>
      <c r="I1489" s="23">
        <v>46062.424305555556</v>
      </c>
      <c r="J1489" s="10">
        <v>5108</v>
      </c>
      <c r="K1489" s="10">
        <v>0</v>
      </c>
      <c r="L1489" s="24">
        <v>0</v>
      </c>
      <c r="M1489" s="10">
        <v>5108</v>
      </c>
    </row>
    <row r="1490" spans="1:13" x14ac:dyDescent="0.25">
      <c r="A1490" s="12" t="str">
        <f t="shared" si="46"/>
        <v>5005024JOAO MARCOS DE SOUZA PINTOCT46062,4263888889</v>
      </c>
      <c r="B1490" s="12" t="str">
        <f t="shared" si="47"/>
        <v>Fevereiro</v>
      </c>
      <c r="C1490" s="8" t="s">
        <v>1798</v>
      </c>
      <c r="D1490" s="8" t="s">
        <v>664</v>
      </c>
      <c r="E1490" s="8" t="s">
        <v>1544</v>
      </c>
      <c r="F1490" s="23">
        <v>46062.426388888889</v>
      </c>
      <c r="G1490" s="8" t="s">
        <v>1035</v>
      </c>
      <c r="H1490" s="23">
        <v>46071</v>
      </c>
      <c r="I1490" s="23">
        <v>46062.426388888889</v>
      </c>
      <c r="J1490" s="10">
        <v>1547</v>
      </c>
      <c r="K1490" s="10">
        <v>0</v>
      </c>
      <c r="L1490" s="24">
        <v>0</v>
      </c>
      <c r="M1490" s="10">
        <v>1547</v>
      </c>
    </row>
    <row r="1491" spans="1:13" x14ac:dyDescent="0.25">
      <c r="A1491" s="12" t="str">
        <f t="shared" si="46"/>
        <v>5005025KAYO BOTELHOCT46062,4298611111</v>
      </c>
      <c r="B1491" s="12" t="str">
        <f t="shared" si="47"/>
        <v>Fevereiro</v>
      </c>
      <c r="C1491" s="8" t="s">
        <v>1800</v>
      </c>
      <c r="D1491" s="8" t="s">
        <v>664</v>
      </c>
      <c r="E1491" s="8" t="s">
        <v>1547</v>
      </c>
      <c r="F1491" s="23">
        <v>46062.429861111108</v>
      </c>
      <c r="G1491" s="8" t="s">
        <v>1035</v>
      </c>
      <c r="H1491" s="23">
        <v>46071</v>
      </c>
      <c r="I1491" s="23">
        <v>46062.429861111108</v>
      </c>
      <c r="J1491" s="10">
        <v>500</v>
      </c>
      <c r="K1491" s="10">
        <v>0</v>
      </c>
      <c r="L1491" s="24">
        <v>0</v>
      </c>
      <c r="M1491" s="10">
        <v>500</v>
      </c>
    </row>
    <row r="1492" spans="1:13" x14ac:dyDescent="0.25">
      <c r="A1492" s="12" t="str">
        <f t="shared" si="46"/>
        <v>5005026JOAQUINA DE FATIMA BERTOLDOCT46062,4305555556</v>
      </c>
      <c r="B1492" s="12" t="str">
        <f t="shared" si="47"/>
        <v>Fevereiro</v>
      </c>
      <c r="C1492" s="8" t="s">
        <v>1801</v>
      </c>
      <c r="D1492" s="8" t="s">
        <v>664</v>
      </c>
      <c r="E1492" s="8" t="s">
        <v>1416</v>
      </c>
      <c r="F1492" s="23">
        <v>46062.430555555555</v>
      </c>
      <c r="G1492" s="8" t="s">
        <v>1035</v>
      </c>
      <c r="H1492" s="23">
        <v>46071</v>
      </c>
      <c r="I1492" s="23">
        <v>46062.430555555555</v>
      </c>
      <c r="J1492" s="10">
        <v>2516</v>
      </c>
      <c r="K1492" s="10">
        <v>0</v>
      </c>
      <c r="L1492" s="24">
        <v>0</v>
      </c>
      <c r="M1492" s="10">
        <v>2516</v>
      </c>
    </row>
    <row r="1493" spans="1:13" x14ac:dyDescent="0.25">
      <c r="A1493" s="12" t="str">
        <f t="shared" si="46"/>
        <v>5005027JORGE MARTINS BORGES JUNIORCT46062,4333333333</v>
      </c>
      <c r="B1493" s="12" t="str">
        <f t="shared" si="47"/>
        <v>Fevereiro</v>
      </c>
      <c r="C1493" s="8" t="s">
        <v>1802</v>
      </c>
      <c r="D1493" s="8" t="s">
        <v>664</v>
      </c>
      <c r="E1493" s="8" t="s">
        <v>97</v>
      </c>
      <c r="F1493" s="23">
        <v>46062.433333333334</v>
      </c>
      <c r="G1493" s="8" t="s">
        <v>1035</v>
      </c>
      <c r="H1493" s="23">
        <v>46071</v>
      </c>
      <c r="I1493" s="23">
        <v>46062.433333333334</v>
      </c>
      <c r="J1493" s="10">
        <v>5976</v>
      </c>
      <c r="K1493" s="10">
        <v>0</v>
      </c>
      <c r="L1493" s="24">
        <v>0</v>
      </c>
      <c r="M1493" s="10">
        <v>5976</v>
      </c>
    </row>
    <row r="1494" spans="1:13" x14ac:dyDescent="0.25">
      <c r="A1494" s="12" t="str">
        <f t="shared" si="46"/>
        <v>5005028JORGE MARTINS BORGES JUNIORRCB46071,4451388889</v>
      </c>
      <c r="B1494" s="12" t="str">
        <f t="shared" si="47"/>
        <v>Fevereiro</v>
      </c>
      <c r="C1494" s="8" t="s">
        <v>1803</v>
      </c>
      <c r="D1494" s="8" t="s">
        <v>664</v>
      </c>
      <c r="E1494" s="8" t="s">
        <v>97</v>
      </c>
      <c r="F1494" s="23">
        <v>46071.445138888892</v>
      </c>
      <c r="G1494" s="8" t="s">
        <v>1045</v>
      </c>
      <c r="H1494" s="23">
        <v>46076</v>
      </c>
      <c r="I1494" s="23">
        <v>46071.445138888892</v>
      </c>
      <c r="J1494" s="10">
        <v>82.82</v>
      </c>
      <c r="K1494" s="10">
        <v>0</v>
      </c>
      <c r="L1494" s="24">
        <v>0</v>
      </c>
      <c r="M1494" s="10">
        <v>82.82</v>
      </c>
    </row>
    <row r="1495" spans="1:13" x14ac:dyDescent="0.25">
      <c r="A1495" s="12" t="str">
        <f t="shared" si="46"/>
        <v>5005028DANIELLE HEBERT CARVALHO PEREIRACT46062,4347222222</v>
      </c>
      <c r="B1495" s="12" t="str">
        <f t="shared" si="47"/>
        <v>Fevereiro</v>
      </c>
      <c r="C1495" s="8" t="s">
        <v>1803</v>
      </c>
      <c r="D1495" s="8" t="s">
        <v>664</v>
      </c>
      <c r="E1495" s="8" t="s">
        <v>48</v>
      </c>
      <c r="F1495" s="23">
        <v>46062.43472222222</v>
      </c>
      <c r="G1495" s="8" t="s">
        <v>1035</v>
      </c>
      <c r="H1495" s="23">
        <v>46071</v>
      </c>
      <c r="I1495" s="23">
        <v>46062.43472222222</v>
      </c>
      <c r="J1495" s="10">
        <v>5496</v>
      </c>
      <c r="K1495" s="10">
        <v>0</v>
      </c>
      <c r="L1495" s="24">
        <v>0</v>
      </c>
      <c r="M1495" s="10">
        <v>5496</v>
      </c>
    </row>
    <row r="1496" spans="1:13" x14ac:dyDescent="0.25">
      <c r="A1496" s="12" t="str">
        <f t="shared" si="46"/>
        <v>5005029DARLAN DIEGO OLIVEIRA SOARESCT46062,4375</v>
      </c>
      <c r="B1496" s="12" t="str">
        <f t="shared" si="47"/>
        <v>Fevereiro</v>
      </c>
      <c r="C1496" s="8" t="s">
        <v>1804</v>
      </c>
      <c r="D1496" s="8" t="s">
        <v>664</v>
      </c>
      <c r="E1496" s="8" t="s">
        <v>1551</v>
      </c>
      <c r="F1496" s="23">
        <v>46062.4375</v>
      </c>
      <c r="G1496" s="8" t="s">
        <v>1035</v>
      </c>
      <c r="H1496" s="23">
        <v>46071</v>
      </c>
      <c r="I1496" s="23">
        <v>46062.4375</v>
      </c>
      <c r="J1496" s="10">
        <v>1155</v>
      </c>
      <c r="K1496" s="10">
        <v>0</v>
      </c>
      <c r="L1496" s="24">
        <v>0</v>
      </c>
      <c r="M1496" s="10">
        <v>1155</v>
      </c>
    </row>
    <row r="1497" spans="1:13" x14ac:dyDescent="0.25">
      <c r="A1497" s="12" t="str">
        <f t="shared" si="46"/>
        <v>5005030JAIME GOMES PARAGUAICT46062,4416666667</v>
      </c>
      <c r="B1497" s="12" t="str">
        <f t="shared" si="47"/>
        <v>Fevereiro</v>
      </c>
      <c r="C1497" s="8" t="s">
        <v>1805</v>
      </c>
      <c r="D1497" s="8" t="s">
        <v>664</v>
      </c>
      <c r="E1497" s="8" t="s">
        <v>87</v>
      </c>
      <c r="F1497" s="23">
        <v>46062.441666666666</v>
      </c>
      <c r="G1497" s="8" t="s">
        <v>1035</v>
      </c>
      <c r="H1497" s="23">
        <v>46071</v>
      </c>
      <c r="I1497" s="23">
        <v>46062.441666666666</v>
      </c>
      <c r="J1497" s="10">
        <v>2934</v>
      </c>
      <c r="K1497" s="10">
        <v>0</v>
      </c>
      <c r="L1497" s="24">
        <v>0</v>
      </c>
      <c r="M1497" s="10">
        <v>2934</v>
      </c>
    </row>
    <row r="1498" spans="1:13" x14ac:dyDescent="0.25">
      <c r="A1498" s="12" t="str">
        <f t="shared" si="46"/>
        <v>5005031CHAYENE AMARALCT46062,4430555556</v>
      </c>
      <c r="B1498" s="12" t="str">
        <f t="shared" si="47"/>
        <v>Fevereiro</v>
      </c>
      <c r="C1498" s="8" t="s">
        <v>1806</v>
      </c>
      <c r="D1498" s="8" t="s">
        <v>664</v>
      </c>
      <c r="E1498" s="8" t="s">
        <v>1424</v>
      </c>
      <c r="F1498" s="23">
        <v>46062.443055555559</v>
      </c>
      <c r="G1498" s="8" t="s">
        <v>1035</v>
      </c>
      <c r="H1498" s="23">
        <v>46071</v>
      </c>
      <c r="I1498" s="23">
        <v>46062.443055555559</v>
      </c>
      <c r="J1498" s="10">
        <v>1155</v>
      </c>
      <c r="K1498" s="10">
        <v>0</v>
      </c>
      <c r="L1498" s="24">
        <v>0</v>
      </c>
      <c r="M1498" s="10">
        <v>1155</v>
      </c>
    </row>
    <row r="1499" spans="1:13" x14ac:dyDescent="0.25">
      <c r="A1499" s="12" t="str">
        <f t="shared" si="46"/>
        <v>5005032ALAOR CANAVEZ DE MORAES NETOCT46062,4444444444</v>
      </c>
      <c r="B1499" s="12" t="str">
        <f t="shared" si="47"/>
        <v>Fevereiro</v>
      </c>
      <c r="C1499" s="8" t="s">
        <v>1807</v>
      </c>
      <c r="D1499" s="8" t="s">
        <v>664</v>
      </c>
      <c r="E1499" s="8" t="s">
        <v>10</v>
      </c>
      <c r="F1499" s="23">
        <v>46062.444444444445</v>
      </c>
      <c r="G1499" s="8" t="s">
        <v>1035</v>
      </c>
      <c r="H1499" s="23">
        <v>46071</v>
      </c>
      <c r="I1499" s="23">
        <v>46062.444444444445</v>
      </c>
      <c r="J1499" s="10">
        <v>2675</v>
      </c>
      <c r="K1499" s="10">
        <v>0</v>
      </c>
      <c r="L1499" s="24">
        <v>0</v>
      </c>
      <c r="M1499" s="10">
        <v>2675</v>
      </c>
    </row>
    <row r="1500" spans="1:13" x14ac:dyDescent="0.25">
      <c r="A1500" s="12" t="str">
        <f t="shared" si="46"/>
        <v>5005033MAGNO APARECIDO DE JESUSCT46062,4458333333</v>
      </c>
      <c r="B1500" s="12" t="str">
        <f t="shared" si="47"/>
        <v>Fevereiro</v>
      </c>
      <c r="C1500" s="8" t="s">
        <v>1808</v>
      </c>
      <c r="D1500" s="8" t="s">
        <v>664</v>
      </c>
      <c r="E1500" s="8" t="s">
        <v>115</v>
      </c>
      <c r="F1500" s="23">
        <v>46062.445833333331</v>
      </c>
      <c r="G1500" s="8" t="s">
        <v>1035</v>
      </c>
      <c r="H1500" s="23">
        <v>46071</v>
      </c>
      <c r="I1500" s="23">
        <v>46062.445833333331</v>
      </c>
      <c r="J1500" s="10">
        <v>3704</v>
      </c>
      <c r="K1500" s="10">
        <v>0</v>
      </c>
      <c r="L1500" s="24">
        <v>0</v>
      </c>
      <c r="M1500" s="10">
        <v>3704</v>
      </c>
    </row>
    <row r="1501" spans="1:13" x14ac:dyDescent="0.25">
      <c r="A1501" s="12" t="str">
        <f t="shared" si="46"/>
        <v>5005034WARLEI GOMESCT46062,4465277778</v>
      </c>
      <c r="B1501" s="12" t="str">
        <f t="shared" si="47"/>
        <v>Fevereiro</v>
      </c>
      <c r="C1501" s="8" t="s">
        <v>1809</v>
      </c>
      <c r="D1501" s="8" t="s">
        <v>664</v>
      </c>
      <c r="E1501" s="8" t="s">
        <v>1560</v>
      </c>
      <c r="F1501" s="23">
        <v>46062.446527777778</v>
      </c>
      <c r="G1501" s="8" t="s">
        <v>1035</v>
      </c>
      <c r="H1501" s="23">
        <v>46071</v>
      </c>
      <c r="I1501" s="23">
        <v>46062.446527777778</v>
      </c>
      <c r="J1501" s="10">
        <v>1050</v>
      </c>
      <c r="K1501" s="10">
        <v>0</v>
      </c>
      <c r="L1501" s="24">
        <v>0</v>
      </c>
      <c r="M1501" s="10">
        <v>1050</v>
      </c>
    </row>
    <row r="1502" spans="1:13" x14ac:dyDescent="0.25">
      <c r="A1502" s="12" t="str">
        <f t="shared" si="46"/>
        <v>5005035MAURILIO PAULINO DA SILVACT46062,4479166667</v>
      </c>
      <c r="B1502" s="12" t="str">
        <f t="shared" si="47"/>
        <v>Fevereiro</v>
      </c>
      <c r="C1502" s="8" t="s">
        <v>1810</v>
      </c>
      <c r="D1502" s="8" t="s">
        <v>664</v>
      </c>
      <c r="E1502" s="8" t="s">
        <v>1562</v>
      </c>
      <c r="F1502" s="23">
        <v>46062.447916666664</v>
      </c>
      <c r="G1502" s="8" t="s">
        <v>1035</v>
      </c>
      <c r="H1502" s="23">
        <v>46071</v>
      </c>
      <c r="I1502" s="23">
        <v>46062.447916666664</v>
      </c>
      <c r="J1502" s="10">
        <v>574</v>
      </c>
      <c r="K1502" s="10">
        <v>0</v>
      </c>
      <c r="L1502" s="24">
        <v>0</v>
      </c>
      <c r="M1502" s="10">
        <v>574</v>
      </c>
    </row>
    <row r="1503" spans="1:13" x14ac:dyDescent="0.25">
      <c r="A1503" s="12" t="str">
        <f t="shared" si="46"/>
        <v>5005036PAULO SERGIO FERREIRA VAZCT46062,4493055556</v>
      </c>
      <c r="B1503" s="12" t="str">
        <f t="shared" si="47"/>
        <v>Fevereiro</v>
      </c>
      <c r="C1503" s="8" t="s">
        <v>1811</v>
      </c>
      <c r="D1503" s="8" t="s">
        <v>664</v>
      </c>
      <c r="E1503" s="8" t="s">
        <v>1564</v>
      </c>
      <c r="F1503" s="23">
        <v>46062.449305555558</v>
      </c>
      <c r="G1503" s="8" t="s">
        <v>1035</v>
      </c>
      <c r="H1503" s="23">
        <v>46071</v>
      </c>
      <c r="I1503" s="23">
        <v>46062.449305555558</v>
      </c>
      <c r="J1503" s="10">
        <v>1210</v>
      </c>
      <c r="K1503" s="10">
        <v>0</v>
      </c>
      <c r="L1503" s="24">
        <v>0</v>
      </c>
      <c r="M1503" s="10">
        <v>1210</v>
      </c>
    </row>
    <row r="1504" spans="1:13" x14ac:dyDescent="0.25">
      <c r="A1504" s="12" t="str">
        <f t="shared" si="46"/>
        <v>5005037ANTONIO CARLOS DA COSTACT46062,4506944444</v>
      </c>
      <c r="B1504" s="12" t="str">
        <f t="shared" si="47"/>
        <v>Fevereiro</v>
      </c>
      <c r="C1504" s="8" t="s">
        <v>1812</v>
      </c>
      <c r="D1504" s="8" t="s">
        <v>664</v>
      </c>
      <c r="E1504" s="8" t="s">
        <v>19</v>
      </c>
      <c r="F1504" s="23">
        <v>46062.450694444444</v>
      </c>
      <c r="G1504" s="8" t="s">
        <v>1035</v>
      </c>
      <c r="H1504" s="23">
        <v>46071</v>
      </c>
      <c r="I1504" s="23">
        <v>46062.450694444444</v>
      </c>
      <c r="J1504" s="10">
        <v>528</v>
      </c>
      <c r="K1504" s="10">
        <v>0</v>
      </c>
      <c r="L1504" s="24">
        <v>0</v>
      </c>
      <c r="M1504" s="10">
        <v>528</v>
      </c>
    </row>
    <row r="1505" spans="1:13" x14ac:dyDescent="0.25">
      <c r="A1505" s="12" t="str">
        <f t="shared" si="46"/>
        <v>5005038RAISSA DE CARVALHO FIORINECT46062,4513888889</v>
      </c>
      <c r="B1505" s="12" t="str">
        <f t="shared" si="47"/>
        <v>Fevereiro</v>
      </c>
      <c r="C1505" s="8" t="s">
        <v>1813</v>
      </c>
      <c r="D1505" s="8" t="s">
        <v>664</v>
      </c>
      <c r="E1505" s="8" t="s">
        <v>163</v>
      </c>
      <c r="F1505" s="23">
        <v>46062.451388888891</v>
      </c>
      <c r="G1505" s="8" t="s">
        <v>1035</v>
      </c>
      <c r="H1505" s="23">
        <v>46071</v>
      </c>
      <c r="I1505" s="23">
        <v>46062.451388888891</v>
      </c>
      <c r="J1505" s="10">
        <v>2310</v>
      </c>
      <c r="K1505" s="10">
        <v>0</v>
      </c>
      <c r="L1505" s="24">
        <v>0</v>
      </c>
      <c r="M1505" s="10">
        <v>2310</v>
      </c>
    </row>
    <row r="1506" spans="1:13" x14ac:dyDescent="0.25">
      <c r="A1506" s="12" t="str">
        <f t="shared" si="46"/>
        <v>5005039RAISSA DE CARVALHO FIORINERCB46062,7131944444</v>
      </c>
      <c r="B1506" s="12" t="str">
        <f t="shared" si="47"/>
        <v>Fevereiro</v>
      </c>
      <c r="C1506" s="8" t="s">
        <v>1719</v>
      </c>
      <c r="D1506" s="8" t="s">
        <v>664</v>
      </c>
      <c r="E1506" s="8" t="s">
        <v>163</v>
      </c>
      <c r="F1506" s="23">
        <v>46062.713194444441</v>
      </c>
      <c r="G1506" s="8" t="s">
        <v>1045</v>
      </c>
      <c r="H1506" s="23">
        <v>46065</v>
      </c>
      <c r="I1506" s="23">
        <v>46062.713194444441</v>
      </c>
      <c r="J1506" s="10">
        <v>15.5</v>
      </c>
      <c r="K1506" s="10">
        <v>0</v>
      </c>
      <c r="L1506" s="24">
        <v>0</v>
      </c>
      <c r="M1506" s="10">
        <v>15.5</v>
      </c>
    </row>
    <row r="1507" spans="1:13" x14ac:dyDescent="0.25">
      <c r="A1507" s="12" t="str">
        <f t="shared" si="46"/>
        <v>5005039BRUNO HENRIQUE DA SILVACT46062,4527777778</v>
      </c>
      <c r="B1507" s="12" t="str">
        <f t="shared" si="47"/>
        <v>Fevereiro</v>
      </c>
      <c r="C1507" s="8" t="s">
        <v>1719</v>
      </c>
      <c r="D1507" s="8" t="s">
        <v>664</v>
      </c>
      <c r="E1507" s="8" t="s">
        <v>29</v>
      </c>
      <c r="F1507" s="23">
        <v>46062.452777777777</v>
      </c>
      <c r="G1507" s="8" t="s">
        <v>1035</v>
      </c>
      <c r="H1507" s="23">
        <v>46071</v>
      </c>
      <c r="I1507" s="23">
        <v>46062.452777777777</v>
      </c>
      <c r="J1507" s="10">
        <v>5351</v>
      </c>
      <c r="K1507" s="10">
        <v>0</v>
      </c>
      <c r="L1507" s="24">
        <v>0</v>
      </c>
      <c r="M1507" s="10">
        <v>5351</v>
      </c>
    </row>
    <row r="1508" spans="1:13" x14ac:dyDescent="0.25">
      <c r="A1508" s="12" t="str">
        <f t="shared" si="46"/>
        <v>5005040BRUNO HENRIQUE DA SILVARCB46064,6388888889</v>
      </c>
      <c r="B1508" s="12" t="str">
        <f t="shared" si="47"/>
        <v>Fevereiro</v>
      </c>
      <c r="C1508" s="8" t="s">
        <v>1753</v>
      </c>
      <c r="D1508" s="8" t="s">
        <v>664</v>
      </c>
      <c r="E1508" s="8" t="s">
        <v>29</v>
      </c>
      <c r="F1508" s="23">
        <v>46064.638888888891</v>
      </c>
      <c r="G1508" s="8" t="s">
        <v>1045</v>
      </c>
      <c r="H1508" s="23">
        <v>46069</v>
      </c>
      <c r="I1508" s="23">
        <v>46064.638888888891</v>
      </c>
      <c r="J1508" s="10">
        <v>214.8</v>
      </c>
      <c r="K1508" s="10">
        <v>0</v>
      </c>
      <c r="L1508" s="24">
        <v>0</v>
      </c>
      <c r="M1508" s="10">
        <v>214.8</v>
      </c>
    </row>
    <row r="1509" spans="1:13" x14ac:dyDescent="0.25">
      <c r="A1509" s="12" t="str">
        <f t="shared" si="46"/>
        <v>5005040MARCELO MARTINS DE OLIVEIRACT46062,4541666667</v>
      </c>
      <c r="B1509" s="12" t="str">
        <f t="shared" si="47"/>
        <v>Fevereiro</v>
      </c>
      <c r="C1509" s="8" t="s">
        <v>1753</v>
      </c>
      <c r="D1509" s="8" t="s">
        <v>664</v>
      </c>
      <c r="E1509" s="8" t="s">
        <v>121</v>
      </c>
      <c r="F1509" s="23">
        <v>46062.45416666667</v>
      </c>
      <c r="G1509" s="8" t="s">
        <v>1035</v>
      </c>
      <c r="H1509" s="23">
        <v>46071</v>
      </c>
      <c r="I1509" s="23">
        <v>46062.45416666667</v>
      </c>
      <c r="J1509" s="10">
        <v>3970</v>
      </c>
      <c r="K1509" s="10">
        <v>0</v>
      </c>
      <c r="L1509" s="24">
        <v>0</v>
      </c>
      <c r="M1509" s="10">
        <v>3970</v>
      </c>
    </row>
    <row r="1510" spans="1:13" x14ac:dyDescent="0.25">
      <c r="A1510" s="12" t="str">
        <f t="shared" si="46"/>
        <v>5005041MARCELO MARTINS DE OLIVEIRARCB46071,4444444444</v>
      </c>
      <c r="B1510" s="12" t="str">
        <f t="shared" si="47"/>
        <v>Fevereiro</v>
      </c>
      <c r="C1510" s="8" t="s">
        <v>1818</v>
      </c>
      <c r="D1510" s="8" t="s">
        <v>664</v>
      </c>
      <c r="E1510" s="8" t="s">
        <v>121</v>
      </c>
      <c r="F1510" s="23">
        <v>46071.444444444445</v>
      </c>
      <c r="G1510" s="8" t="s">
        <v>1045</v>
      </c>
      <c r="H1510" s="23">
        <v>46076</v>
      </c>
      <c r="I1510" s="23">
        <v>46071.444444444445</v>
      </c>
      <c r="J1510" s="10">
        <v>11</v>
      </c>
      <c r="K1510" s="10">
        <v>0</v>
      </c>
      <c r="L1510" s="24">
        <v>0</v>
      </c>
      <c r="M1510" s="10">
        <v>11</v>
      </c>
    </row>
    <row r="1511" spans="1:13" x14ac:dyDescent="0.25">
      <c r="A1511" s="12" t="str">
        <f t="shared" si="46"/>
        <v>5005041KARINE KEILE DA SILVA BRAGACT46062,4555555556</v>
      </c>
      <c r="B1511" s="12" t="str">
        <f t="shared" si="47"/>
        <v>Fevereiro</v>
      </c>
      <c r="C1511" s="8" t="s">
        <v>1818</v>
      </c>
      <c r="D1511" s="8" t="s">
        <v>664</v>
      </c>
      <c r="E1511" s="8" t="s">
        <v>1570</v>
      </c>
      <c r="F1511" s="23">
        <v>46062.455555555556</v>
      </c>
      <c r="G1511" s="8" t="s">
        <v>1035</v>
      </c>
      <c r="H1511" s="23">
        <v>46071</v>
      </c>
      <c r="I1511" s="23">
        <v>46062.455555555556</v>
      </c>
      <c r="J1511" s="10">
        <v>2388</v>
      </c>
      <c r="K1511" s="10">
        <v>0</v>
      </c>
      <c r="L1511" s="24">
        <v>0</v>
      </c>
      <c r="M1511" s="10">
        <v>2388</v>
      </c>
    </row>
    <row r="1512" spans="1:13" x14ac:dyDescent="0.25">
      <c r="A1512" s="12" t="str">
        <f t="shared" si="46"/>
        <v>5005042NATANIELLE SILVA DE SOUZA MARQUESCT46062,4569444444</v>
      </c>
      <c r="B1512" s="12" t="str">
        <f t="shared" si="47"/>
        <v>Fevereiro</v>
      </c>
      <c r="C1512" s="8" t="s">
        <v>1819</v>
      </c>
      <c r="D1512" s="8" t="s">
        <v>664</v>
      </c>
      <c r="E1512" s="8" t="s">
        <v>135</v>
      </c>
      <c r="F1512" s="23">
        <v>46062.456944444442</v>
      </c>
      <c r="G1512" s="8" t="s">
        <v>1035</v>
      </c>
      <c r="H1512" s="23">
        <v>46071</v>
      </c>
      <c r="I1512" s="23">
        <v>46062.456944444442</v>
      </c>
      <c r="J1512" s="10">
        <v>7043</v>
      </c>
      <c r="K1512" s="10">
        <v>0</v>
      </c>
      <c r="L1512" s="24">
        <v>0</v>
      </c>
      <c r="M1512" s="10">
        <v>7043</v>
      </c>
    </row>
    <row r="1513" spans="1:13" x14ac:dyDescent="0.25">
      <c r="A1513" s="12" t="str">
        <f t="shared" si="46"/>
        <v>5005043NATANIELLE SILVA DE SOUZA MARQUESRCB46064,6409722222</v>
      </c>
      <c r="B1513" s="12" t="str">
        <f t="shared" si="47"/>
        <v>Fevereiro</v>
      </c>
      <c r="C1513" s="8" t="s">
        <v>1754</v>
      </c>
      <c r="D1513" s="8" t="s">
        <v>664</v>
      </c>
      <c r="E1513" s="8" t="s">
        <v>135</v>
      </c>
      <c r="F1513" s="23">
        <v>46064.640972222223</v>
      </c>
      <c r="G1513" s="8" t="s">
        <v>1045</v>
      </c>
      <c r="H1513" s="23">
        <v>46069</v>
      </c>
      <c r="I1513" s="23">
        <v>46064.640972222223</v>
      </c>
      <c r="J1513" s="10">
        <v>250.88</v>
      </c>
      <c r="K1513" s="10">
        <v>0</v>
      </c>
      <c r="L1513" s="24">
        <v>0</v>
      </c>
      <c r="M1513" s="10">
        <v>250.88</v>
      </c>
    </row>
    <row r="1514" spans="1:13" x14ac:dyDescent="0.25">
      <c r="A1514" s="12" t="str">
        <f t="shared" si="46"/>
        <v>5005043ELIO BENEDITO NASCIMENTO JUNIORCT46062,4583333333</v>
      </c>
      <c r="B1514" s="12" t="str">
        <f t="shared" si="47"/>
        <v>Fevereiro</v>
      </c>
      <c r="C1514" s="8" t="s">
        <v>1754</v>
      </c>
      <c r="D1514" s="8" t="s">
        <v>664</v>
      </c>
      <c r="E1514" s="8" t="s">
        <v>1439</v>
      </c>
      <c r="F1514" s="23">
        <v>46062.458333333336</v>
      </c>
      <c r="G1514" s="8" t="s">
        <v>1035</v>
      </c>
      <c r="H1514" s="23">
        <v>46071</v>
      </c>
      <c r="I1514" s="23">
        <v>46062.458333333336</v>
      </c>
      <c r="J1514" s="10">
        <v>2182</v>
      </c>
      <c r="K1514" s="10">
        <v>0</v>
      </c>
      <c r="L1514" s="24">
        <v>0</v>
      </c>
      <c r="M1514" s="10">
        <v>2182</v>
      </c>
    </row>
    <row r="1515" spans="1:13" x14ac:dyDescent="0.25">
      <c r="A1515" s="12" t="str">
        <f t="shared" si="46"/>
        <v>5005044JOSE MARCIO DA SILVACT46062,4590277778</v>
      </c>
      <c r="B1515" s="12" t="str">
        <f t="shared" si="47"/>
        <v>Fevereiro</v>
      </c>
      <c r="C1515" s="8" t="s">
        <v>1820</v>
      </c>
      <c r="D1515" s="8" t="s">
        <v>664</v>
      </c>
      <c r="E1515" s="8" t="s">
        <v>1576</v>
      </c>
      <c r="F1515" s="23">
        <v>46062.459027777775</v>
      </c>
      <c r="G1515" s="8" t="s">
        <v>1035</v>
      </c>
      <c r="H1515" s="23">
        <v>46071</v>
      </c>
      <c r="I1515" s="23">
        <v>46062.459027777775</v>
      </c>
      <c r="J1515" s="10">
        <v>1785</v>
      </c>
      <c r="K1515" s="10">
        <v>0</v>
      </c>
      <c r="L1515" s="24">
        <v>0</v>
      </c>
      <c r="M1515" s="10">
        <v>1785</v>
      </c>
    </row>
    <row r="1516" spans="1:13" x14ac:dyDescent="0.25">
      <c r="A1516" s="12" t="str">
        <f t="shared" si="46"/>
        <v>5005045JOSE ANTONIO SILVACT46062,4597222222</v>
      </c>
      <c r="B1516" s="12" t="str">
        <f t="shared" si="47"/>
        <v>Fevereiro</v>
      </c>
      <c r="C1516" s="8" t="s">
        <v>1821</v>
      </c>
      <c r="D1516" s="8" t="s">
        <v>664</v>
      </c>
      <c r="E1516" s="8" t="s">
        <v>99</v>
      </c>
      <c r="F1516" s="23">
        <v>46062.459722222222</v>
      </c>
      <c r="G1516" s="8" t="s">
        <v>1035</v>
      </c>
      <c r="H1516" s="23">
        <v>46071</v>
      </c>
      <c r="I1516" s="23">
        <v>46062.459722222222</v>
      </c>
      <c r="J1516" s="10">
        <v>4513</v>
      </c>
      <c r="K1516" s="10">
        <v>0</v>
      </c>
      <c r="L1516" s="24">
        <v>0</v>
      </c>
      <c r="M1516" s="10">
        <v>4513</v>
      </c>
    </row>
    <row r="1517" spans="1:13" x14ac:dyDescent="0.25">
      <c r="A1517" s="12" t="str">
        <f t="shared" si="46"/>
        <v>5005046JOSE ANTONIO SILVARCB46064,6402777778</v>
      </c>
      <c r="B1517" s="12" t="str">
        <f t="shared" si="47"/>
        <v>Fevereiro</v>
      </c>
      <c r="C1517" s="8" t="s">
        <v>1755</v>
      </c>
      <c r="D1517" s="8" t="s">
        <v>664</v>
      </c>
      <c r="E1517" s="8" t="s">
        <v>99</v>
      </c>
      <c r="F1517" s="23">
        <v>46064.640277777777</v>
      </c>
      <c r="G1517" s="8" t="s">
        <v>1045</v>
      </c>
      <c r="H1517" s="23">
        <v>46069</v>
      </c>
      <c r="I1517" s="23">
        <v>46064.640277777777</v>
      </c>
      <c r="J1517" s="10">
        <v>230.2</v>
      </c>
      <c r="K1517" s="10">
        <v>0</v>
      </c>
      <c r="L1517" s="24">
        <v>0</v>
      </c>
      <c r="M1517" s="10">
        <v>230.2</v>
      </c>
    </row>
    <row r="1518" spans="1:13" x14ac:dyDescent="0.25">
      <c r="A1518" s="12" t="str">
        <f t="shared" si="46"/>
        <v>5005046DIOGO BONELA TONHACT46062,4611111111</v>
      </c>
      <c r="B1518" s="12" t="str">
        <f t="shared" si="47"/>
        <v>Fevereiro</v>
      </c>
      <c r="C1518" s="8" t="s">
        <v>1755</v>
      </c>
      <c r="D1518" s="8" t="s">
        <v>664</v>
      </c>
      <c r="E1518" s="8" t="s">
        <v>52</v>
      </c>
      <c r="F1518" s="23">
        <v>46062.461111111108</v>
      </c>
      <c r="G1518" s="8" t="s">
        <v>1035</v>
      </c>
      <c r="H1518" s="23">
        <v>46071</v>
      </c>
      <c r="I1518" s="23">
        <v>46062.461111111108</v>
      </c>
      <c r="J1518" s="10">
        <v>3466</v>
      </c>
      <c r="K1518" s="10">
        <v>0</v>
      </c>
      <c r="L1518" s="24">
        <v>0</v>
      </c>
      <c r="M1518" s="10">
        <v>3466</v>
      </c>
    </row>
    <row r="1519" spans="1:13" x14ac:dyDescent="0.25">
      <c r="A1519" s="12" t="str">
        <f t="shared" si="46"/>
        <v>5005047THIAGO AUGUSTO DE MEIRACT46062,4625</v>
      </c>
      <c r="B1519" s="12" t="str">
        <f t="shared" si="47"/>
        <v>Fevereiro</v>
      </c>
      <c r="C1519" s="8" t="s">
        <v>2137</v>
      </c>
      <c r="D1519" s="8" t="s">
        <v>664</v>
      </c>
      <c r="E1519" s="8" t="s">
        <v>2138</v>
      </c>
      <c r="F1519" s="23">
        <v>46062.462500000001</v>
      </c>
      <c r="G1519" s="8" t="s">
        <v>1035</v>
      </c>
      <c r="H1519" s="23">
        <v>46071</v>
      </c>
      <c r="I1519" s="23">
        <v>46062.462500000001</v>
      </c>
      <c r="J1519" s="10">
        <v>1172</v>
      </c>
      <c r="K1519" s="10">
        <v>0</v>
      </c>
      <c r="L1519" s="24">
        <v>0</v>
      </c>
      <c r="M1519" s="10">
        <v>1172</v>
      </c>
    </row>
    <row r="1520" spans="1:13" x14ac:dyDescent="0.25">
      <c r="A1520" s="12" t="str">
        <f t="shared" si="46"/>
        <v>5005048RENILSON DIAS DE BRITOCT46072,5666666667</v>
      </c>
      <c r="B1520" s="12" t="str">
        <f t="shared" si="47"/>
        <v>Março</v>
      </c>
      <c r="C1520" s="8" t="s">
        <v>1978</v>
      </c>
      <c r="D1520" s="8" t="s">
        <v>664</v>
      </c>
      <c r="E1520" s="8" t="s">
        <v>1383</v>
      </c>
      <c r="F1520" s="23">
        <v>46072.566666666666</v>
      </c>
      <c r="G1520" s="8" t="s">
        <v>1035</v>
      </c>
      <c r="H1520" s="23">
        <v>46090</v>
      </c>
      <c r="I1520" s="23">
        <v>46072.566666666666</v>
      </c>
      <c r="J1520" s="10">
        <v>700</v>
      </c>
      <c r="K1520" s="10">
        <v>0</v>
      </c>
      <c r="L1520" s="24">
        <v>0</v>
      </c>
      <c r="M1520" s="10">
        <v>700</v>
      </c>
    </row>
    <row r="1521" spans="1:13" x14ac:dyDescent="0.25">
      <c r="A1521" s="12" t="str">
        <f t="shared" si="46"/>
        <v>5005049FABIO LUIZ TEIXEIRA DE ARRUDACT46072,5694444444</v>
      </c>
      <c r="B1521" s="12" t="str">
        <f t="shared" si="47"/>
        <v>Março</v>
      </c>
      <c r="C1521" s="8" t="s">
        <v>1979</v>
      </c>
      <c r="D1521" s="8" t="s">
        <v>664</v>
      </c>
      <c r="E1521" s="8" t="s">
        <v>1520</v>
      </c>
      <c r="F1521" s="23">
        <v>46072.569444444445</v>
      </c>
      <c r="G1521" s="8" t="s">
        <v>1035</v>
      </c>
      <c r="H1521" s="23">
        <v>46090</v>
      </c>
      <c r="I1521" s="23">
        <v>46072.569444444445</v>
      </c>
      <c r="J1521" s="10">
        <v>1177</v>
      </c>
      <c r="K1521" s="10">
        <v>0</v>
      </c>
      <c r="L1521" s="24">
        <v>0</v>
      </c>
      <c r="M1521" s="10">
        <v>1177</v>
      </c>
    </row>
    <row r="1522" spans="1:13" x14ac:dyDescent="0.25">
      <c r="A1522" s="12" t="str">
        <f t="shared" si="46"/>
        <v>5005050MARCOS FILIPE DE ALCANTARA PEREIRACT46072,5701388889</v>
      </c>
      <c r="B1522" s="12" t="str">
        <f t="shared" si="47"/>
        <v>Março</v>
      </c>
      <c r="C1522" s="8" t="s">
        <v>1980</v>
      </c>
      <c r="D1522" s="8" t="s">
        <v>664</v>
      </c>
      <c r="E1522" s="8" t="s">
        <v>1385</v>
      </c>
      <c r="F1522" s="23">
        <v>46072.570138888892</v>
      </c>
      <c r="G1522" s="8" t="s">
        <v>1035</v>
      </c>
      <c r="H1522" s="23">
        <v>46090</v>
      </c>
      <c r="I1522" s="23">
        <v>46072.570138888892</v>
      </c>
      <c r="J1522" s="10">
        <v>2182</v>
      </c>
      <c r="K1522" s="10">
        <v>0</v>
      </c>
      <c r="L1522" s="24">
        <v>0</v>
      </c>
      <c r="M1522" s="10">
        <v>2182</v>
      </c>
    </row>
    <row r="1523" spans="1:13" x14ac:dyDescent="0.25">
      <c r="A1523" s="12" t="str">
        <f t="shared" si="46"/>
        <v>5005051MARCOS FILIPE DE ALCANTARA PEREIRARCB46076,4611111111</v>
      </c>
      <c r="B1523" s="12" t="str">
        <f t="shared" si="47"/>
        <v>Fevereiro</v>
      </c>
      <c r="C1523" s="8" t="s">
        <v>1908</v>
      </c>
      <c r="D1523" s="8" t="s">
        <v>664</v>
      </c>
      <c r="E1523" s="8" t="s">
        <v>1385</v>
      </c>
      <c r="F1523" s="23">
        <v>46076.461111111108</v>
      </c>
      <c r="G1523" s="8" t="s">
        <v>1045</v>
      </c>
      <c r="H1523" s="23">
        <v>46079</v>
      </c>
      <c r="I1523" s="23">
        <v>46076.461111111108</v>
      </c>
      <c r="J1523" s="10">
        <v>40.700000000000003</v>
      </c>
      <c r="K1523" s="10">
        <v>0</v>
      </c>
      <c r="L1523" s="24">
        <v>0</v>
      </c>
      <c r="M1523" s="10">
        <v>40.700000000000003</v>
      </c>
    </row>
    <row r="1524" spans="1:13" x14ac:dyDescent="0.25">
      <c r="A1524" s="12" t="str">
        <f t="shared" si="46"/>
        <v>5005051VICTOR HUGO SILVA BALBINOCT46072,5715277778</v>
      </c>
      <c r="B1524" s="12" t="str">
        <f t="shared" si="47"/>
        <v>Março</v>
      </c>
      <c r="C1524" s="8" t="s">
        <v>1908</v>
      </c>
      <c r="D1524" s="8" t="s">
        <v>664</v>
      </c>
      <c r="E1524" s="8" t="s">
        <v>198</v>
      </c>
      <c r="F1524" s="23">
        <v>46072.571527777778</v>
      </c>
      <c r="G1524" s="8" t="s">
        <v>1035</v>
      </c>
      <c r="H1524" s="23">
        <v>46090</v>
      </c>
      <c r="I1524" s="23">
        <v>46072.571527777778</v>
      </c>
      <c r="J1524" s="10">
        <v>891</v>
      </c>
      <c r="K1524" s="10">
        <v>0</v>
      </c>
      <c r="L1524" s="24">
        <v>0</v>
      </c>
      <c r="M1524" s="10">
        <v>891</v>
      </c>
    </row>
    <row r="1525" spans="1:13" x14ac:dyDescent="0.25">
      <c r="A1525" s="12" t="str">
        <f t="shared" si="46"/>
        <v>5005052VICTOR HUGO SILVA BALBINORCB46076,4618055556</v>
      </c>
      <c r="B1525" s="12" t="str">
        <f t="shared" si="47"/>
        <v>Fevereiro</v>
      </c>
      <c r="C1525" s="8" t="s">
        <v>1909</v>
      </c>
      <c r="D1525" s="8" t="s">
        <v>664</v>
      </c>
      <c r="E1525" s="8" t="s">
        <v>198</v>
      </c>
      <c r="F1525" s="23">
        <v>46076.461805555555</v>
      </c>
      <c r="G1525" s="8" t="s">
        <v>1045</v>
      </c>
      <c r="H1525" s="23">
        <v>46079</v>
      </c>
      <c r="I1525" s="23">
        <v>46076.461805555555</v>
      </c>
      <c r="J1525" s="10">
        <v>42.7</v>
      </c>
      <c r="K1525" s="10">
        <v>0</v>
      </c>
      <c r="L1525" s="24">
        <v>0</v>
      </c>
      <c r="M1525" s="10">
        <v>42.7</v>
      </c>
    </row>
    <row r="1526" spans="1:13" x14ac:dyDescent="0.25">
      <c r="A1526" s="12" t="str">
        <f t="shared" si="46"/>
        <v>5005052ADILSON VIANA DO SACRAMENTOCT46072,5729166667</v>
      </c>
      <c r="B1526" s="12" t="str">
        <f t="shared" si="47"/>
        <v>Março</v>
      </c>
      <c r="C1526" s="8" t="s">
        <v>1909</v>
      </c>
      <c r="D1526" s="8" t="s">
        <v>664</v>
      </c>
      <c r="E1526" s="8" t="s">
        <v>1390</v>
      </c>
      <c r="F1526" s="23">
        <v>46072.572916666664</v>
      </c>
      <c r="G1526" s="8" t="s">
        <v>1035</v>
      </c>
      <c r="H1526" s="23">
        <v>46090</v>
      </c>
      <c r="I1526" s="23">
        <v>46072.572916666664</v>
      </c>
      <c r="J1526" s="10">
        <v>1617</v>
      </c>
      <c r="K1526" s="10">
        <v>0</v>
      </c>
      <c r="L1526" s="24">
        <v>0</v>
      </c>
      <c r="M1526" s="10">
        <v>1617</v>
      </c>
    </row>
    <row r="1527" spans="1:13" x14ac:dyDescent="0.25">
      <c r="A1527" s="12" t="str">
        <f t="shared" si="46"/>
        <v>5005053ADILSON VIANA DO SACRAMENTORCB46076,4597222222</v>
      </c>
      <c r="B1527" s="12" t="str">
        <f t="shared" si="47"/>
        <v>Fevereiro</v>
      </c>
      <c r="C1527" s="8" t="s">
        <v>1910</v>
      </c>
      <c r="D1527" s="8" t="s">
        <v>664</v>
      </c>
      <c r="E1527" s="8" t="s">
        <v>1390</v>
      </c>
      <c r="F1527" s="23">
        <v>46076.459722222222</v>
      </c>
      <c r="G1527" s="8" t="s">
        <v>1045</v>
      </c>
      <c r="H1527" s="23">
        <v>46079</v>
      </c>
      <c r="I1527" s="23">
        <v>46076.459722222222</v>
      </c>
      <c r="J1527" s="10">
        <v>77.900000000000006</v>
      </c>
      <c r="K1527" s="10">
        <v>0</v>
      </c>
      <c r="L1527" s="24">
        <v>0</v>
      </c>
      <c r="M1527" s="10">
        <v>77.900000000000006</v>
      </c>
    </row>
    <row r="1528" spans="1:13" x14ac:dyDescent="0.25">
      <c r="A1528" s="12" t="str">
        <f t="shared" si="46"/>
        <v>5005053EDUARDO GAUDENCIO ROSACT46072,5743055556</v>
      </c>
      <c r="B1528" s="12" t="str">
        <f t="shared" si="47"/>
        <v>Março</v>
      </c>
      <c r="C1528" s="8" t="s">
        <v>1910</v>
      </c>
      <c r="D1528" s="8" t="s">
        <v>664</v>
      </c>
      <c r="E1528" s="8" t="s">
        <v>58</v>
      </c>
      <c r="F1528" s="23">
        <v>46072.574305555558</v>
      </c>
      <c r="G1528" s="8" t="s">
        <v>1035</v>
      </c>
      <c r="H1528" s="23">
        <v>46090</v>
      </c>
      <c r="I1528" s="23">
        <v>46072.574305555558</v>
      </c>
      <c r="J1528" s="10">
        <v>3804</v>
      </c>
      <c r="K1528" s="10">
        <v>0</v>
      </c>
      <c r="L1528" s="24">
        <v>0</v>
      </c>
      <c r="M1528" s="10">
        <v>3804</v>
      </c>
    </row>
    <row r="1529" spans="1:13" x14ac:dyDescent="0.25">
      <c r="A1529" s="12" t="str">
        <f t="shared" si="46"/>
        <v>5005054EDUARDO GAUDENCIO ROSARCB46085,5222222222</v>
      </c>
      <c r="B1529" s="12" t="str">
        <f t="shared" si="47"/>
        <v>Março</v>
      </c>
      <c r="C1529" s="8" t="s">
        <v>1947</v>
      </c>
      <c r="D1529" s="8" t="s">
        <v>664</v>
      </c>
      <c r="E1529" s="8" t="s">
        <v>58</v>
      </c>
      <c r="F1529" s="23">
        <v>46085.522222222222</v>
      </c>
      <c r="G1529" s="8" t="s">
        <v>1045</v>
      </c>
      <c r="H1529" s="23">
        <v>46091</v>
      </c>
      <c r="I1529" s="23">
        <v>46085.522222222222</v>
      </c>
      <c r="J1529" s="10">
        <v>307.29000000000002</v>
      </c>
      <c r="K1529" s="10">
        <v>0</v>
      </c>
      <c r="L1529" s="24">
        <v>0</v>
      </c>
      <c r="M1529" s="10">
        <v>307.29000000000002</v>
      </c>
    </row>
    <row r="1530" spans="1:13" x14ac:dyDescent="0.25">
      <c r="A1530" s="12" t="str">
        <f t="shared" si="46"/>
        <v>5005054PAULO RICARDO SILVACT46072,575</v>
      </c>
      <c r="B1530" s="12" t="str">
        <f t="shared" si="47"/>
        <v>Março</v>
      </c>
      <c r="C1530" s="8" t="s">
        <v>1947</v>
      </c>
      <c r="D1530" s="8" t="s">
        <v>664</v>
      </c>
      <c r="E1530" s="8" t="s">
        <v>153</v>
      </c>
      <c r="F1530" s="23">
        <v>46072.574999999997</v>
      </c>
      <c r="G1530" s="8" t="s">
        <v>1035</v>
      </c>
      <c r="H1530" s="23">
        <v>46090</v>
      </c>
      <c r="I1530" s="23">
        <v>46072.574999999997</v>
      </c>
      <c r="J1530" s="10">
        <v>1432</v>
      </c>
      <c r="K1530" s="10">
        <v>0</v>
      </c>
      <c r="L1530" s="24">
        <v>0</v>
      </c>
      <c r="M1530" s="10">
        <v>1432</v>
      </c>
    </row>
    <row r="1531" spans="1:13" x14ac:dyDescent="0.25">
      <c r="A1531" s="12" t="str">
        <f t="shared" si="46"/>
        <v>5005055PAULO RICARDO SILVARCB46076,4263888889</v>
      </c>
      <c r="B1531" s="12" t="str">
        <f t="shared" si="47"/>
        <v>Fevereiro</v>
      </c>
      <c r="C1531" s="8" t="s">
        <v>1911</v>
      </c>
      <c r="D1531" s="8" t="s">
        <v>664</v>
      </c>
      <c r="E1531" s="8" t="s">
        <v>153</v>
      </c>
      <c r="F1531" s="23">
        <v>46076.426388888889</v>
      </c>
      <c r="G1531" s="8" t="s">
        <v>1045</v>
      </c>
      <c r="H1531" s="23">
        <v>46079</v>
      </c>
      <c r="I1531" s="23">
        <v>46076.426388888889</v>
      </c>
      <c r="J1531" s="10">
        <v>31.6</v>
      </c>
      <c r="K1531" s="10">
        <v>0</v>
      </c>
      <c r="L1531" s="24">
        <v>0</v>
      </c>
      <c r="M1531" s="10">
        <v>31.6</v>
      </c>
    </row>
    <row r="1532" spans="1:13" x14ac:dyDescent="0.25">
      <c r="A1532" s="12" t="str">
        <f t="shared" si="46"/>
        <v>5005055KELISON DINIZ LEMOSCT46072,5763888889</v>
      </c>
      <c r="B1532" s="12" t="str">
        <f t="shared" si="47"/>
        <v>Março</v>
      </c>
      <c r="C1532" s="8" t="s">
        <v>1911</v>
      </c>
      <c r="D1532" s="8" t="s">
        <v>664</v>
      </c>
      <c r="E1532" s="8" t="s">
        <v>105</v>
      </c>
      <c r="F1532" s="23">
        <v>46072.576388888891</v>
      </c>
      <c r="G1532" s="8" t="s">
        <v>1035</v>
      </c>
      <c r="H1532" s="23">
        <v>46090</v>
      </c>
      <c r="I1532" s="23">
        <v>46072.576388888891</v>
      </c>
      <c r="J1532" s="10">
        <v>2044</v>
      </c>
      <c r="K1532" s="10">
        <v>0</v>
      </c>
      <c r="L1532" s="24">
        <v>0</v>
      </c>
      <c r="M1532" s="10">
        <v>2044</v>
      </c>
    </row>
    <row r="1533" spans="1:13" x14ac:dyDescent="0.25">
      <c r="A1533" s="12" t="str">
        <f t="shared" si="46"/>
        <v>5005056PAULO RICARDO SILVARCB46085,5152777778</v>
      </c>
      <c r="B1533" s="12" t="str">
        <f t="shared" si="47"/>
        <v>Março</v>
      </c>
      <c r="C1533" s="8" t="s">
        <v>1948</v>
      </c>
      <c r="D1533" s="8" t="s">
        <v>664</v>
      </c>
      <c r="E1533" s="8" t="s">
        <v>153</v>
      </c>
      <c r="F1533" s="23">
        <v>46085.515277777777</v>
      </c>
      <c r="G1533" s="8" t="s">
        <v>1045</v>
      </c>
      <c r="H1533" s="23">
        <v>46091</v>
      </c>
      <c r="I1533" s="23">
        <v>46085.515277777777</v>
      </c>
      <c r="J1533" s="10">
        <v>31.6</v>
      </c>
      <c r="K1533" s="10">
        <v>0</v>
      </c>
      <c r="L1533" s="24">
        <v>0</v>
      </c>
      <c r="M1533" s="10">
        <v>31.6</v>
      </c>
    </row>
    <row r="1534" spans="1:13" x14ac:dyDescent="0.25">
      <c r="A1534" s="12" t="str">
        <f t="shared" si="46"/>
        <v>5005056ADRIANO ROBERTOCT46072,5777777778</v>
      </c>
      <c r="B1534" s="12" t="str">
        <f t="shared" si="47"/>
        <v>Março</v>
      </c>
      <c r="C1534" s="8" t="s">
        <v>1948</v>
      </c>
      <c r="D1534" s="8" t="s">
        <v>664</v>
      </c>
      <c r="E1534" s="8" t="s">
        <v>8</v>
      </c>
      <c r="F1534" s="23">
        <v>46072.577777777777</v>
      </c>
      <c r="G1534" s="8" t="s">
        <v>1035</v>
      </c>
      <c r="H1534" s="23">
        <v>46090</v>
      </c>
      <c r="I1534" s="23">
        <v>46072.577777777777</v>
      </c>
      <c r="J1534" s="10">
        <v>2203</v>
      </c>
      <c r="K1534" s="10">
        <v>0</v>
      </c>
      <c r="L1534" s="24">
        <v>0</v>
      </c>
      <c r="M1534" s="10">
        <v>2203</v>
      </c>
    </row>
    <row r="1535" spans="1:13" x14ac:dyDescent="0.25">
      <c r="A1535" s="12" t="str">
        <f t="shared" si="46"/>
        <v>5005057ADRIANO ROBERTORCB46085,5194444444</v>
      </c>
      <c r="B1535" s="12" t="str">
        <f t="shared" si="47"/>
        <v>Março</v>
      </c>
      <c r="C1535" s="8" t="s">
        <v>1949</v>
      </c>
      <c r="D1535" s="8" t="s">
        <v>664</v>
      </c>
      <c r="E1535" s="8" t="s">
        <v>8</v>
      </c>
      <c r="F1535" s="23">
        <v>46085.519444444442</v>
      </c>
      <c r="G1535" s="8" t="s">
        <v>1045</v>
      </c>
      <c r="H1535" s="23">
        <v>46091</v>
      </c>
      <c r="I1535" s="23">
        <v>46085.519444444442</v>
      </c>
      <c r="J1535" s="10">
        <v>11</v>
      </c>
      <c r="K1535" s="10">
        <v>0</v>
      </c>
      <c r="L1535" s="24">
        <v>0</v>
      </c>
      <c r="M1535" s="10">
        <v>11</v>
      </c>
    </row>
    <row r="1536" spans="1:13" x14ac:dyDescent="0.25">
      <c r="A1536" s="12" t="str">
        <f t="shared" si="46"/>
        <v>5005057HUDSON CESAR DA SILVACT46072,5791666667</v>
      </c>
      <c r="B1536" s="12" t="str">
        <f t="shared" si="47"/>
        <v>Março</v>
      </c>
      <c r="C1536" s="8" t="s">
        <v>1949</v>
      </c>
      <c r="D1536" s="8" t="s">
        <v>664</v>
      </c>
      <c r="E1536" s="8" t="s">
        <v>1407</v>
      </c>
      <c r="F1536" s="23">
        <v>46072.57916666667</v>
      </c>
      <c r="G1536" s="8" t="s">
        <v>1035</v>
      </c>
      <c r="H1536" s="23">
        <v>46090</v>
      </c>
      <c r="I1536" s="23">
        <v>46072.57916666667</v>
      </c>
      <c r="J1536" s="10">
        <v>2296</v>
      </c>
      <c r="K1536" s="10">
        <v>0</v>
      </c>
      <c r="L1536" s="24">
        <v>0</v>
      </c>
      <c r="M1536" s="10">
        <v>2296</v>
      </c>
    </row>
    <row r="1537" spans="1:13" x14ac:dyDescent="0.25">
      <c r="A1537" s="12" t="str">
        <f t="shared" si="46"/>
        <v>5005058LIDEMBERG RAMOS GABRIELCT46072,5805555556</v>
      </c>
      <c r="B1537" s="12" t="str">
        <f t="shared" si="47"/>
        <v>Março</v>
      </c>
      <c r="C1537" s="8" t="s">
        <v>1981</v>
      </c>
      <c r="D1537" s="8" t="s">
        <v>664</v>
      </c>
      <c r="E1537" s="8" t="s">
        <v>1539</v>
      </c>
      <c r="F1537" s="23">
        <v>46072.580555555556</v>
      </c>
      <c r="G1537" s="8" t="s">
        <v>1035</v>
      </c>
      <c r="H1537" s="23">
        <v>46090</v>
      </c>
      <c r="I1537" s="23">
        <v>46072.580555555556</v>
      </c>
      <c r="J1537" s="10">
        <v>350</v>
      </c>
      <c r="K1537" s="10">
        <v>0</v>
      </c>
      <c r="L1537" s="24">
        <v>0</v>
      </c>
      <c r="M1537" s="10">
        <v>350</v>
      </c>
    </row>
    <row r="1538" spans="1:13" x14ac:dyDescent="0.25">
      <c r="A1538" s="12" t="str">
        <f t="shared" ref="A1538:A1601" si="48">$C1538&amp;$E1538&amp;$G1538&amp;$F1538</f>
        <v>5005059NELCIDES JOSE VIEIRACT46072,5840277778</v>
      </c>
      <c r="B1538" s="12" t="str">
        <f t="shared" si="47"/>
        <v>Março</v>
      </c>
      <c r="C1538" s="8" t="s">
        <v>1982</v>
      </c>
      <c r="D1538" s="8" t="s">
        <v>664</v>
      </c>
      <c r="E1538" s="8" t="s">
        <v>137</v>
      </c>
      <c r="F1538" s="23">
        <v>46072.584027777775</v>
      </c>
      <c r="G1538" s="8" t="s">
        <v>1035</v>
      </c>
      <c r="H1538" s="23">
        <v>46090</v>
      </c>
      <c r="I1538" s="23">
        <v>46072.584027777775</v>
      </c>
      <c r="J1538" s="10">
        <v>2154</v>
      </c>
      <c r="K1538" s="10">
        <v>0</v>
      </c>
      <c r="L1538" s="24">
        <v>0</v>
      </c>
      <c r="M1538" s="10">
        <v>2154</v>
      </c>
    </row>
    <row r="1539" spans="1:13" x14ac:dyDescent="0.25">
      <c r="A1539" s="12" t="str">
        <f t="shared" si="48"/>
        <v>5005060NELCIDES JOSE VIEIRARCB46085,5236111111</v>
      </c>
      <c r="B1539" s="12" t="str">
        <f t="shared" ref="B1539:B1602" si="49">PROPER(TEXT($H1539,"MMMM"))</f>
        <v>Março</v>
      </c>
      <c r="C1539" s="8" t="s">
        <v>1950</v>
      </c>
      <c r="D1539" s="8" t="s">
        <v>664</v>
      </c>
      <c r="E1539" s="8" t="s">
        <v>137</v>
      </c>
      <c r="F1539" s="23">
        <v>46085.523611111108</v>
      </c>
      <c r="G1539" s="8" t="s">
        <v>1045</v>
      </c>
      <c r="H1539" s="23">
        <v>46091</v>
      </c>
      <c r="I1539" s="23">
        <v>46085.523611111108</v>
      </c>
      <c r="J1539" s="10">
        <v>159.16999999999999</v>
      </c>
      <c r="K1539" s="10">
        <v>0</v>
      </c>
      <c r="L1539" s="24">
        <v>0</v>
      </c>
      <c r="M1539" s="10">
        <v>159.16999999999999</v>
      </c>
    </row>
    <row r="1540" spans="1:13" x14ac:dyDescent="0.25">
      <c r="A1540" s="12" t="str">
        <f t="shared" si="48"/>
        <v>5005060WILLIAM DE SOUZA VIEIRACT46072,5854166667</v>
      </c>
      <c r="B1540" s="12" t="str">
        <f t="shared" si="49"/>
        <v>Março</v>
      </c>
      <c r="C1540" s="8" t="s">
        <v>1950</v>
      </c>
      <c r="D1540" s="8" t="s">
        <v>664</v>
      </c>
      <c r="E1540" s="8" t="s">
        <v>1542</v>
      </c>
      <c r="F1540" s="23">
        <v>46072.585416666669</v>
      </c>
      <c r="G1540" s="8" t="s">
        <v>1035</v>
      </c>
      <c r="H1540" s="23">
        <v>46090</v>
      </c>
      <c r="I1540" s="23">
        <v>46072.585416666669</v>
      </c>
      <c r="J1540" s="10">
        <v>879</v>
      </c>
      <c r="K1540" s="10">
        <v>0</v>
      </c>
      <c r="L1540" s="24">
        <v>0</v>
      </c>
      <c r="M1540" s="10">
        <v>879</v>
      </c>
    </row>
    <row r="1541" spans="1:13" x14ac:dyDescent="0.25">
      <c r="A1541" s="12" t="str">
        <f t="shared" si="48"/>
        <v>5005061JOAO MARCOS DE SOUZA PINTOCT46072,5861111111</v>
      </c>
      <c r="B1541" s="12" t="str">
        <f t="shared" si="49"/>
        <v>Março</v>
      </c>
      <c r="C1541" s="8" t="s">
        <v>1983</v>
      </c>
      <c r="D1541" s="8" t="s">
        <v>664</v>
      </c>
      <c r="E1541" s="8" t="s">
        <v>1544</v>
      </c>
      <c r="F1541" s="23">
        <v>46072.586111111108</v>
      </c>
      <c r="G1541" s="8" t="s">
        <v>1035</v>
      </c>
      <c r="H1541" s="23">
        <v>46090</v>
      </c>
      <c r="I1541" s="23">
        <v>46072.586111111108</v>
      </c>
      <c r="J1541" s="10">
        <v>350</v>
      </c>
      <c r="K1541" s="10">
        <v>0</v>
      </c>
      <c r="L1541" s="24">
        <v>0</v>
      </c>
      <c r="M1541" s="10">
        <v>350</v>
      </c>
    </row>
    <row r="1542" spans="1:13" x14ac:dyDescent="0.25">
      <c r="A1542" s="12" t="str">
        <f t="shared" si="48"/>
        <v>5005062CARLOS ANTONIO PINTOCT46072,5875</v>
      </c>
      <c r="B1542" s="12" t="str">
        <f t="shared" si="49"/>
        <v>Março</v>
      </c>
      <c r="C1542" s="8" t="s">
        <v>1984</v>
      </c>
      <c r="D1542" s="8" t="s">
        <v>664</v>
      </c>
      <c r="E1542" s="8" t="s">
        <v>36</v>
      </c>
      <c r="F1542" s="23">
        <v>46072.587500000001</v>
      </c>
      <c r="G1542" s="8" t="s">
        <v>1035</v>
      </c>
      <c r="H1542" s="23">
        <v>46090</v>
      </c>
      <c r="I1542" s="23">
        <v>46072.587500000001</v>
      </c>
      <c r="J1542" s="10">
        <v>4880</v>
      </c>
      <c r="K1542" s="10">
        <v>0</v>
      </c>
      <c r="L1542" s="24">
        <v>0</v>
      </c>
      <c r="M1542" s="10">
        <v>4880</v>
      </c>
    </row>
    <row r="1543" spans="1:13" x14ac:dyDescent="0.25">
      <c r="A1543" s="12" t="str">
        <f t="shared" si="48"/>
        <v>5005063JOAQUINA DE FATIMA BERTOLDOCT46072,5888888889</v>
      </c>
      <c r="B1543" s="12" t="str">
        <f t="shared" si="49"/>
        <v>Março</v>
      </c>
      <c r="C1543" s="8" t="s">
        <v>1985</v>
      </c>
      <c r="D1543" s="8" t="s">
        <v>664</v>
      </c>
      <c r="E1543" s="8" t="s">
        <v>1416</v>
      </c>
      <c r="F1543" s="23">
        <v>46072.588888888888</v>
      </c>
      <c r="G1543" s="8" t="s">
        <v>1035</v>
      </c>
      <c r="H1543" s="23">
        <v>46090</v>
      </c>
      <c r="I1543" s="23">
        <v>46072.588888888888</v>
      </c>
      <c r="J1543" s="10">
        <v>2085</v>
      </c>
      <c r="K1543" s="10">
        <v>0</v>
      </c>
      <c r="L1543" s="24">
        <v>0</v>
      </c>
      <c r="M1543" s="10">
        <v>2085</v>
      </c>
    </row>
    <row r="1544" spans="1:13" x14ac:dyDescent="0.25">
      <c r="A1544" s="12" t="str">
        <f t="shared" si="48"/>
        <v>5005064JORGE MARTINS BORGES JUNIORCT46072,5909722222</v>
      </c>
      <c r="B1544" s="12" t="str">
        <f t="shared" si="49"/>
        <v>Março</v>
      </c>
      <c r="C1544" s="8" t="s">
        <v>1986</v>
      </c>
      <c r="D1544" s="8" t="s">
        <v>664</v>
      </c>
      <c r="E1544" s="8" t="s">
        <v>97</v>
      </c>
      <c r="F1544" s="23">
        <v>46072.59097222222</v>
      </c>
      <c r="G1544" s="8" t="s">
        <v>1035</v>
      </c>
      <c r="H1544" s="23">
        <v>46090</v>
      </c>
      <c r="I1544" s="23">
        <v>46072.59097222222</v>
      </c>
      <c r="J1544" s="10">
        <v>2415</v>
      </c>
      <c r="K1544" s="10">
        <v>0</v>
      </c>
      <c r="L1544" s="24">
        <v>0</v>
      </c>
      <c r="M1544" s="10">
        <v>2415</v>
      </c>
    </row>
    <row r="1545" spans="1:13" x14ac:dyDescent="0.25">
      <c r="A1545" s="12" t="str">
        <f t="shared" si="48"/>
        <v>5005065JORGE MARTINS BORGES JUNIORRCB46076,4256944444</v>
      </c>
      <c r="B1545" s="12" t="str">
        <f t="shared" si="49"/>
        <v>Fevereiro</v>
      </c>
      <c r="C1545" s="8" t="s">
        <v>1912</v>
      </c>
      <c r="D1545" s="8" t="s">
        <v>664</v>
      </c>
      <c r="E1545" s="8" t="s">
        <v>97</v>
      </c>
      <c r="F1545" s="23">
        <v>46076.425694444442</v>
      </c>
      <c r="G1545" s="8" t="s">
        <v>1045</v>
      </c>
      <c r="H1545" s="23">
        <v>46079</v>
      </c>
      <c r="I1545" s="23">
        <v>46076.425694444442</v>
      </c>
      <c r="J1545" s="10">
        <v>15.8</v>
      </c>
      <c r="K1545" s="10">
        <v>0</v>
      </c>
      <c r="L1545" s="24">
        <v>0</v>
      </c>
      <c r="M1545" s="10">
        <v>15.8</v>
      </c>
    </row>
    <row r="1546" spans="1:13" x14ac:dyDescent="0.25">
      <c r="A1546" s="12" t="str">
        <f t="shared" si="48"/>
        <v>5005065DANIELLE HEBERT CARVALHO PEREIRACT46072,5923611111</v>
      </c>
      <c r="B1546" s="12" t="str">
        <f t="shared" si="49"/>
        <v>Março</v>
      </c>
      <c r="C1546" s="8" t="s">
        <v>1912</v>
      </c>
      <c r="D1546" s="8" t="s">
        <v>664</v>
      </c>
      <c r="E1546" s="8" t="s">
        <v>48</v>
      </c>
      <c r="F1546" s="23">
        <v>46072.592361111114</v>
      </c>
      <c r="G1546" s="8" t="s">
        <v>1035</v>
      </c>
      <c r="H1546" s="23">
        <v>46090</v>
      </c>
      <c r="I1546" s="23">
        <v>46072.592361111114</v>
      </c>
      <c r="J1546" s="10">
        <v>1460</v>
      </c>
      <c r="K1546" s="10">
        <v>0</v>
      </c>
      <c r="L1546" s="24">
        <v>0</v>
      </c>
      <c r="M1546" s="10">
        <v>1460</v>
      </c>
    </row>
    <row r="1547" spans="1:13" x14ac:dyDescent="0.25">
      <c r="A1547" s="12" t="str">
        <f t="shared" si="48"/>
        <v>5005066JORGE MARTINS BORGES JUNIORRCB46085,5166666667</v>
      </c>
      <c r="B1547" s="12" t="str">
        <f t="shared" si="49"/>
        <v>Março</v>
      </c>
      <c r="C1547" s="8" t="s">
        <v>1951</v>
      </c>
      <c r="D1547" s="8" t="s">
        <v>664</v>
      </c>
      <c r="E1547" s="8" t="s">
        <v>97</v>
      </c>
      <c r="F1547" s="23">
        <v>46085.51666666667</v>
      </c>
      <c r="G1547" s="8" t="s">
        <v>1045</v>
      </c>
      <c r="H1547" s="23">
        <v>46091</v>
      </c>
      <c r="I1547" s="23">
        <v>46085.51666666667</v>
      </c>
      <c r="J1547" s="10">
        <v>76.2</v>
      </c>
      <c r="K1547" s="10">
        <v>0</v>
      </c>
      <c r="L1547" s="24">
        <v>0</v>
      </c>
      <c r="M1547" s="10">
        <v>76.2</v>
      </c>
    </row>
    <row r="1548" spans="1:13" x14ac:dyDescent="0.25">
      <c r="A1548" s="12" t="str">
        <f t="shared" si="48"/>
        <v>5005066DARLAN DIEGO OLIVEIRA SOARESCT46072,59375</v>
      </c>
      <c r="B1548" s="12" t="str">
        <f t="shared" si="49"/>
        <v>Março</v>
      </c>
      <c r="C1548" s="8" t="s">
        <v>1951</v>
      </c>
      <c r="D1548" s="8" t="s">
        <v>664</v>
      </c>
      <c r="E1548" s="8" t="s">
        <v>1551</v>
      </c>
      <c r="F1548" s="23">
        <v>46072.59375</v>
      </c>
      <c r="G1548" s="8" t="s">
        <v>1035</v>
      </c>
      <c r="H1548" s="23">
        <v>46090</v>
      </c>
      <c r="I1548" s="23">
        <v>46072.59375</v>
      </c>
      <c r="J1548" s="10">
        <v>428</v>
      </c>
      <c r="K1548" s="10">
        <v>0</v>
      </c>
      <c r="L1548" s="24">
        <v>0</v>
      </c>
      <c r="M1548" s="10">
        <v>428</v>
      </c>
    </row>
    <row r="1549" spans="1:13" x14ac:dyDescent="0.25">
      <c r="A1549" s="12" t="str">
        <f t="shared" si="48"/>
        <v>5005067JAIME GOMES PARAGUAICT46072,5951388889</v>
      </c>
      <c r="B1549" s="12" t="str">
        <f t="shared" si="49"/>
        <v>Março</v>
      </c>
      <c r="C1549" s="8" t="s">
        <v>1988</v>
      </c>
      <c r="D1549" s="8" t="s">
        <v>664</v>
      </c>
      <c r="E1549" s="8" t="s">
        <v>87</v>
      </c>
      <c r="F1549" s="23">
        <v>46072.595138888886</v>
      </c>
      <c r="G1549" s="8" t="s">
        <v>1035</v>
      </c>
      <c r="H1549" s="23">
        <v>46090</v>
      </c>
      <c r="I1549" s="23">
        <v>46072.595138888886</v>
      </c>
      <c r="J1549" s="10">
        <v>944</v>
      </c>
      <c r="K1549" s="10">
        <v>0</v>
      </c>
      <c r="L1549" s="24">
        <v>0</v>
      </c>
      <c r="M1549" s="10">
        <v>944</v>
      </c>
    </row>
    <row r="1550" spans="1:13" x14ac:dyDescent="0.25">
      <c r="A1550" s="12" t="str">
        <f t="shared" si="48"/>
        <v>5005068CHAYENE AMARALCT46072,5965277778</v>
      </c>
      <c r="B1550" s="12" t="str">
        <f t="shared" si="49"/>
        <v>Março</v>
      </c>
      <c r="C1550" s="8" t="s">
        <v>1989</v>
      </c>
      <c r="D1550" s="8" t="s">
        <v>664</v>
      </c>
      <c r="E1550" s="8" t="s">
        <v>1424</v>
      </c>
      <c r="F1550" s="23">
        <v>46072.59652777778</v>
      </c>
      <c r="G1550" s="8" t="s">
        <v>1035</v>
      </c>
      <c r="H1550" s="23">
        <v>46090</v>
      </c>
      <c r="I1550" s="23">
        <v>46072.59652777778</v>
      </c>
      <c r="J1550" s="10">
        <v>1175</v>
      </c>
      <c r="K1550" s="10">
        <v>0</v>
      </c>
      <c r="L1550" s="24">
        <v>0</v>
      </c>
      <c r="M1550" s="10">
        <v>1175</v>
      </c>
    </row>
    <row r="1551" spans="1:13" x14ac:dyDescent="0.25">
      <c r="A1551" s="12" t="str">
        <f t="shared" si="48"/>
        <v>5005069CHAYENE AMARALRCB46085,5041666667</v>
      </c>
      <c r="B1551" s="12" t="str">
        <f t="shared" si="49"/>
        <v>Março</v>
      </c>
      <c r="C1551" s="8" t="s">
        <v>1952</v>
      </c>
      <c r="D1551" s="8" t="s">
        <v>664</v>
      </c>
      <c r="E1551" s="8" t="s">
        <v>1424</v>
      </c>
      <c r="F1551" s="23">
        <v>46085.504166666666</v>
      </c>
      <c r="G1551" s="8" t="s">
        <v>1045</v>
      </c>
      <c r="H1551" s="23">
        <v>46091</v>
      </c>
      <c r="I1551" s="23">
        <v>46085.504166666666</v>
      </c>
      <c r="J1551" s="10">
        <v>12.92</v>
      </c>
      <c r="K1551" s="10">
        <v>0</v>
      </c>
      <c r="L1551" s="24">
        <v>0</v>
      </c>
      <c r="M1551" s="10">
        <v>12.92</v>
      </c>
    </row>
    <row r="1552" spans="1:13" x14ac:dyDescent="0.25">
      <c r="A1552" s="12" t="str">
        <f t="shared" si="48"/>
        <v>5005069ALAOR CANAVEZ DE MORAES NETOCT46072,5993055556</v>
      </c>
      <c r="B1552" s="12" t="str">
        <f t="shared" si="49"/>
        <v>Março</v>
      </c>
      <c r="C1552" s="8" t="s">
        <v>1952</v>
      </c>
      <c r="D1552" s="8" t="s">
        <v>664</v>
      </c>
      <c r="E1552" s="8" t="s">
        <v>10</v>
      </c>
      <c r="F1552" s="23">
        <v>46072.599305555559</v>
      </c>
      <c r="G1552" s="8" t="s">
        <v>1035</v>
      </c>
      <c r="H1552" s="23">
        <v>46090</v>
      </c>
      <c r="I1552" s="23">
        <v>46072.599305555559</v>
      </c>
      <c r="J1552" s="10">
        <v>1155</v>
      </c>
      <c r="K1552" s="10">
        <v>0</v>
      </c>
      <c r="L1552" s="24">
        <v>0</v>
      </c>
      <c r="M1552" s="10">
        <v>1155</v>
      </c>
    </row>
    <row r="1553" spans="1:13" x14ac:dyDescent="0.25">
      <c r="A1553" s="12" t="str">
        <f t="shared" si="48"/>
        <v>5005070MAGNO APARECIDO DE JESUSCT46072,6</v>
      </c>
      <c r="B1553" s="12" t="str">
        <f t="shared" si="49"/>
        <v>Março</v>
      </c>
      <c r="C1553" s="8" t="s">
        <v>1990</v>
      </c>
      <c r="D1553" s="8" t="s">
        <v>664</v>
      </c>
      <c r="E1553" s="8" t="s">
        <v>115</v>
      </c>
      <c r="F1553" s="23">
        <v>46072.6</v>
      </c>
      <c r="G1553" s="8" t="s">
        <v>1035</v>
      </c>
      <c r="H1553" s="23">
        <v>46090</v>
      </c>
      <c r="I1553" s="23">
        <v>46072.6</v>
      </c>
      <c r="J1553" s="10">
        <v>1514</v>
      </c>
      <c r="K1553" s="10">
        <v>0</v>
      </c>
      <c r="L1553" s="24">
        <v>0</v>
      </c>
      <c r="M1553" s="10">
        <v>1514</v>
      </c>
    </row>
    <row r="1554" spans="1:13" x14ac:dyDescent="0.25">
      <c r="A1554" s="12" t="str">
        <f t="shared" si="48"/>
        <v>5005071RAISSA DE CARVALHO FIORINECT46072,6013888889</v>
      </c>
      <c r="B1554" s="12" t="str">
        <f t="shared" si="49"/>
        <v>Março</v>
      </c>
      <c r="C1554" s="8" t="s">
        <v>1991</v>
      </c>
      <c r="D1554" s="8" t="s">
        <v>664</v>
      </c>
      <c r="E1554" s="8" t="s">
        <v>163</v>
      </c>
      <c r="F1554" s="23">
        <v>46072.601388888892</v>
      </c>
      <c r="G1554" s="8" t="s">
        <v>1035</v>
      </c>
      <c r="H1554" s="23">
        <v>46090</v>
      </c>
      <c r="I1554" s="23">
        <v>46072.601388888892</v>
      </c>
      <c r="J1554" s="10">
        <v>2160</v>
      </c>
      <c r="K1554" s="10">
        <v>0</v>
      </c>
      <c r="L1554" s="24">
        <v>0</v>
      </c>
      <c r="M1554" s="10">
        <v>2160</v>
      </c>
    </row>
    <row r="1555" spans="1:13" x14ac:dyDescent="0.25">
      <c r="A1555" s="12" t="str">
        <f t="shared" si="48"/>
        <v>5005072RAISSA DE CARVALHO FIORINERCB46085,5020833333</v>
      </c>
      <c r="B1555" s="12" t="str">
        <f t="shared" si="49"/>
        <v>Março</v>
      </c>
      <c r="C1555" s="8" t="s">
        <v>1953</v>
      </c>
      <c r="D1555" s="8" t="s">
        <v>664</v>
      </c>
      <c r="E1555" s="8" t="s">
        <v>163</v>
      </c>
      <c r="F1555" s="23">
        <v>46085.502083333333</v>
      </c>
      <c r="G1555" s="8" t="s">
        <v>1045</v>
      </c>
      <c r="H1555" s="23">
        <v>46091</v>
      </c>
      <c r="I1555" s="23">
        <v>46085.502083333333</v>
      </c>
      <c r="J1555" s="10">
        <v>31</v>
      </c>
      <c r="K1555" s="10">
        <v>0</v>
      </c>
      <c r="L1555" s="24">
        <v>0</v>
      </c>
      <c r="M1555" s="10">
        <v>31</v>
      </c>
    </row>
    <row r="1556" spans="1:13" x14ac:dyDescent="0.25">
      <c r="A1556" s="12" t="str">
        <f t="shared" si="48"/>
        <v>5005072BRUNO HENRIQUE DA SILVACT46072,6027777778</v>
      </c>
      <c r="B1556" s="12" t="str">
        <f t="shared" si="49"/>
        <v>Março</v>
      </c>
      <c r="C1556" s="8" t="s">
        <v>1953</v>
      </c>
      <c r="D1556" s="8" t="s">
        <v>664</v>
      </c>
      <c r="E1556" s="8" t="s">
        <v>29</v>
      </c>
      <c r="F1556" s="23">
        <v>46072.602777777778</v>
      </c>
      <c r="G1556" s="8" t="s">
        <v>1035</v>
      </c>
      <c r="H1556" s="23">
        <v>46090</v>
      </c>
      <c r="I1556" s="23">
        <v>46072.602777777778</v>
      </c>
      <c r="J1556" s="10">
        <v>1404</v>
      </c>
      <c r="K1556" s="10">
        <v>0</v>
      </c>
      <c r="L1556" s="24">
        <v>0</v>
      </c>
      <c r="M1556" s="10">
        <v>1404</v>
      </c>
    </row>
    <row r="1557" spans="1:13" x14ac:dyDescent="0.25">
      <c r="A1557" s="12" t="str">
        <f t="shared" si="48"/>
        <v>5005073MARCELO MARTINS DE OLIVEIRACT46072,6034722222</v>
      </c>
      <c r="B1557" s="12" t="str">
        <f t="shared" si="49"/>
        <v>Março</v>
      </c>
      <c r="C1557" s="8" t="s">
        <v>1993</v>
      </c>
      <c r="D1557" s="8" t="s">
        <v>664</v>
      </c>
      <c r="E1557" s="8" t="s">
        <v>121</v>
      </c>
      <c r="F1557" s="23">
        <v>46072.603472222225</v>
      </c>
      <c r="G1557" s="8" t="s">
        <v>1035</v>
      </c>
      <c r="H1557" s="23">
        <v>46090</v>
      </c>
      <c r="I1557" s="23">
        <v>46072.603472222225</v>
      </c>
      <c r="J1557" s="10">
        <v>877</v>
      </c>
      <c r="K1557" s="10">
        <v>0</v>
      </c>
      <c r="L1557" s="24">
        <v>0</v>
      </c>
      <c r="M1557" s="10">
        <v>877</v>
      </c>
    </row>
    <row r="1558" spans="1:13" x14ac:dyDescent="0.25">
      <c r="A1558" s="12" t="str">
        <f t="shared" si="48"/>
        <v>5005074MARCELO MARTINS DE OLIVEIRARCB46076,425</v>
      </c>
      <c r="B1558" s="12" t="str">
        <f t="shared" si="49"/>
        <v>Fevereiro</v>
      </c>
      <c r="C1558" s="8" t="s">
        <v>1913</v>
      </c>
      <c r="D1558" s="8" t="s">
        <v>664</v>
      </c>
      <c r="E1558" s="8" t="s">
        <v>121</v>
      </c>
      <c r="F1558" s="23">
        <v>46076.425000000003</v>
      </c>
      <c r="G1558" s="8" t="s">
        <v>1045</v>
      </c>
      <c r="H1558" s="23">
        <v>46079</v>
      </c>
      <c r="I1558" s="23">
        <v>46076.425000000003</v>
      </c>
      <c r="J1558" s="10">
        <v>11</v>
      </c>
      <c r="K1558" s="10">
        <v>0</v>
      </c>
      <c r="L1558" s="24">
        <v>0</v>
      </c>
      <c r="M1558" s="10">
        <v>11</v>
      </c>
    </row>
    <row r="1559" spans="1:13" x14ac:dyDescent="0.25">
      <c r="A1559" s="12" t="str">
        <f t="shared" si="48"/>
        <v>5005074KARINE KEILE DA SILVA BRAGACT46072,6048611111</v>
      </c>
      <c r="B1559" s="12" t="str">
        <f t="shared" si="49"/>
        <v>Março</v>
      </c>
      <c r="C1559" s="8" t="s">
        <v>1913</v>
      </c>
      <c r="D1559" s="8" t="s">
        <v>664</v>
      </c>
      <c r="E1559" s="8" t="s">
        <v>1570</v>
      </c>
      <c r="F1559" s="23">
        <v>46072.604861111111</v>
      </c>
      <c r="G1559" s="8" t="s">
        <v>1035</v>
      </c>
      <c r="H1559" s="23">
        <v>46090</v>
      </c>
      <c r="I1559" s="23">
        <v>46072.604861111111</v>
      </c>
      <c r="J1559" s="10">
        <v>757</v>
      </c>
      <c r="K1559" s="10">
        <v>0</v>
      </c>
      <c r="L1559" s="24">
        <v>0</v>
      </c>
      <c r="M1559" s="10">
        <v>757</v>
      </c>
    </row>
    <row r="1560" spans="1:13" x14ac:dyDescent="0.25">
      <c r="A1560" s="12" t="str">
        <f t="shared" si="48"/>
        <v>5005075MARCELO MARTINS DE OLIVEIRARCB46085,5173611111</v>
      </c>
      <c r="B1560" s="12" t="str">
        <f t="shared" si="49"/>
        <v>Março</v>
      </c>
      <c r="C1560" s="8" t="s">
        <v>1954</v>
      </c>
      <c r="D1560" s="8" t="s">
        <v>664</v>
      </c>
      <c r="E1560" s="8" t="s">
        <v>121</v>
      </c>
      <c r="F1560" s="23">
        <v>46085.517361111109</v>
      </c>
      <c r="G1560" s="8" t="s">
        <v>1045</v>
      </c>
      <c r="H1560" s="23">
        <v>46091</v>
      </c>
      <c r="I1560" s="23">
        <v>46085.517361111109</v>
      </c>
      <c r="J1560" s="10">
        <v>64.599999999999994</v>
      </c>
      <c r="K1560" s="10">
        <v>0</v>
      </c>
      <c r="L1560" s="24">
        <v>0</v>
      </c>
      <c r="M1560" s="10">
        <v>64.599999999999994</v>
      </c>
    </row>
    <row r="1561" spans="1:13" x14ac:dyDescent="0.25">
      <c r="A1561" s="12" t="str">
        <f t="shared" si="48"/>
        <v>5005075NATANIELLE SILVA DE SOUZA MARQUESCT46072,6055555556</v>
      </c>
      <c r="B1561" s="12" t="str">
        <f t="shared" si="49"/>
        <v>Março</v>
      </c>
      <c r="C1561" s="8" t="s">
        <v>1954</v>
      </c>
      <c r="D1561" s="8" t="s">
        <v>664</v>
      </c>
      <c r="E1561" s="8" t="s">
        <v>135</v>
      </c>
      <c r="F1561" s="23">
        <v>46072.605555555558</v>
      </c>
      <c r="G1561" s="8" t="s">
        <v>1035</v>
      </c>
      <c r="H1561" s="23">
        <v>46090</v>
      </c>
      <c r="I1561" s="23">
        <v>46072.605555555558</v>
      </c>
      <c r="J1561" s="10">
        <v>3618</v>
      </c>
      <c r="K1561" s="10">
        <v>0</v>
      </c>
      <c r="L1561" s="24">
        <v>0</v>
      </c>
      <c r="M1561" s="10">
        <v>3618</v>
      </c>
    </row>
    <row r="1562" spans="1:13" x14ac:dyDescent="0.25">
      <c r="A1562" s="12" t="str">
        <f t="shared" si="48"/>
        <v>5005076ELIO BENEDITO NASCIMENTO JUNIORCT46072,6069444444</v>
      </c>
      <c r="B1562" s="12" t="str">
        <f t="shared" si="49"/>
        <v>Março</v>
      </c>
      <c r="C1562" s="8" t="s">
        <v>1995</v>
      </c>
      <c r="D1562" s="8" t="s">
        <v>664</v>
      </c>
      <c r="E1562" s="8" t="s">
        <v>1439</v>
      </c>
      <c r="F1562" s="23">
        <v>46072.606944444444</v>
      </c>
      <c r="G1562" s="8" t="s">
        <v>1035</v>
      </c>
      <c r="H1562" s="23">
        <v>46090</v>
      </c>
      <c r="I1562" s="23">
        <v>46072.606944444444</v>
      </c>
      <c r="J1562" s="10">
        <v>385</v>
      </c>
      <c r="K1562" s="10">
        <v>0</v>
      </c>
      <c r="L1562" s="24">
        <v>0</v>
      </c>
      <c r="M1562" s="10">
        <v>385</v>
      </c>
    </row>
    <row r="1563" spans="1:13" x14ac:dyDescent="0.25">
      <c r="A1563" s="12" t="str">
        <f t="shared" si="48"/>
        <v>5005077JOSE ANTONIO SILVACT46072,6076388889</v>
      </c>
      <c r="B1563" s="12" t="str">
        <f t="shared" si="49"/>
        <v>Março</v>
      </c>
      <c r="C1563" s="8" t="s">
        <v>1996</v>
      </c>
      <c r="D1563" s="8" t="s">
        <v>664</v>
      </c>
      <c r="E1563" s="8" t="s">
        <v>99</v>
      </c>
      <c r="F1563" s="23">
        <v>46072.607638888891</v>
      </c>
      <c r="G1563" s="8" t="s">
        <v>1035</v>
      </c>
      <c r="H1563" s="23">
        <v>46090</v>
      </c>
      <c r="I1563" s="23">
        <v>46072.607638888891</v>
      </c>
      <c r="J1563" s="10">
        <v>2194</v>
      </c>
      <c r="K1563" s="10">
        <v>0</v>
      </c>
      <c r="L1563" s="24">
        <v>0</v>
      </c>
      <c r="M1563" s="10">
        <v>2194</v>
      </c>
    </row>
    <row r="1564" spans="1:13" x14ac:dyDescent="0.25">
      <c r="A1564" s="12" t="str">
        <f t="shared" si="48"/>
        <v>5005078DIOGO BONELA TONHACT46072,6090277778</v>
      </c>
      <c r="B1564" s="12" t="str">
        <f t="shared" si="49"/>
        <v>Março</v>
      </c>
      <c r="C1564" s="8" t="s">
        <v>1998</v>
      </c>
      <c r="D1564" s="8" t="s">
        <v>664</v>
      </c>
      <c r="E1564" s="8" t="s">
        <v>52</v>
      </c>
      <c r="F1564" s="23">
        <v>46072.609027777777</v>
      </c>
      <c r="G1564" s="8" t="s">
        <v>1035</v>
      </c>
      <c r="H1564" s="23">
        <v>46090</v>
      </c>
      <c r="I1564" s="23">
        <v>46072.609027777777</v>
      </c>
      <c r="J1564" s="10">
        <v>385</v>
      </c>
      <c r="K1564" s="10">
        <v>0</v>
      </c>
      <c r="L1564" s="24">
        <v>0</v>
      </c>
      <c r="M1564" s="10">
        <v>385</v>
      </c>
    </row>
    <row r="1565" spans="1:13" x14ac:dyDescent="0.25">
      <c r="A1565" s="12" t="str">
        <f t="shared" si="48"/>
        <v>5005079DIOGO BONELA TONHARCB46076,4631944444</v>
      </c>
      <c r="B1565" s="12" t="str">
        <f t="shared" si="49"/>
        <v>Fevereiro</v>
      </c>
      <c r="C1565" s="8" t="s">
        <v>1915</v>
      </c>
      <c r="D1565" s="8" t="s">
        <v>664</v>
      </c>
      <c r="E1565" s="8" t="s">
        <v>52</v>
      </c>
      <c r="F1565" s="23">
        <v>46076.463194444441</v>
      </c>
      <c r="G1565" s="8" t="s">
        <v>1045</v>
      </c>
      <c r="H1565" s="23">
        <v>46079</v>
      </c>
      <c r="I1565" s="23">
        <v>46076.463194444441</v>
      </c>
      <c r="J1565" s="10">
        <v>70.599999999999994</v>
      </c>
      <c r="K1565" s="10">
        <v>0</v>
      </c>
      <c r="L1565" s="24">
        <v>0</v>
      </c>
      <c r="M1565" s="10">
        <v>70.599999999999994</v>
      </c>
    </row>
    <row r="1566" spans="1:13" x14ac:dyDescent="0.25">
      <c r="A1566" s="12" t="str">
        <f t="shared" si="48"/>
        <v>5005080THIAGO AUGUSTO DE MEIRACT46072,6111111111</v>
      </c>
      <c r="B1566" s="12" t="str">
        <f t="shared" si="49"/>
        <v>Março</v>
      </c>
      <c r="C1566" s="8" t="s">
        <v>2139</v>
      </c>
      <c r="D1566" s="8" t="s">
        <v>664</v>
      </c>
      <c r="E1566" s="8" t="s">
        <v>2138</v>
      </c>
      <c r="F1566" s="23">
        <v>46072.611111111109</v>
      </c>
      <c r="G1566" s="8" t="s">
        <v>1035</v>
      </c>
      <c r="H1566" s="23">
        <v>46090</v>
      </c>
      <c r="I1566" s="23">
        <v>46072.611111111109</v>
      </c>
      <c r="J1566" s="10">
        <v>385</v>
      </c>
      <c r="K1566" s="10">
        <v>0</v>
      </c>
      <c r="L1566" s="24">
        <v>0</v>
      </c>
      <c r="M1566" s="10">
        <v>385</v>
      </c>
    </row>
    <row r="1567" spans="1:13" x14ac:dyDescent="0.25">
      <c r="A1567" s="12" t="str">
        <f t="shared" si="48"/>
        <v>5005081BRENDA LUIZA PEREIRACT46072,6118055556</v>
      </c>
      <c r="B1567" s="12" t="str">
        <f t="shared" si="49"/>
        <v>Março</v>
      </c>
      <c r="C1567" s="8" t="s">
        <v>2000</v>
      </c>
      <c r="D1567" s="8" t="s">
        <v>664</v>
      </c>
      <c r="E1567" s="8" t="s">
        <v>28</v>
      </c>
      <c r="F1567" s="23">
        <v>46072.611805555556</v>
      </c>
      <c r="G1567" s="8" t="s">
        <v>1035</v>
      </c>
      <c r="H1567" s="23">
        <v>46090</v>
      </c>
      <c r="I1567" s="23">
        <v>46072.611805555556</v>
      </c>
      <c r="J1567" s="10">
        <v>1902</v>
      </c>
      <c r="K1567" s="10">
        <v>0</v>
      </c>
      <c r="L1567" s="24">
        <v>0</v>
      </c>
      <c r="M1567" s="10">
        <v>1902</v>
      </c>
    </row>
    <row r="1568" spans="1:13" x14ac:dyDescent="0.25">
      <c r="A1568" s="12" t="str">
        <f t="shared" si="48"/>
        <v>5005082RENILSON DIAS DE BRITOCT46085,5729166667</v>
      </c>
      <c r="B1568" s="12" t="str">
        <f t="shared" si="49"/>
        <v>Março</v>
      </c>
      <c r="C1568" s="8" t="s">
        <v>2036</v>
      </c>
      <c r="D1568" s="8" t="s">
        <v>664</v>
      </c>
      <c r="E1568" s="8" t="s">
        <v>1383</v>
      </c>
      <c r="F1568" s="23">
        <v>46085.572916666664</v>
      </c>
      <c r="G1568" s="8" t="s">
        <v>1035</v>
      </c>
      <c r="H1568" s="23">
        <v>46097</v>
      </c>
      <c r="I1568" s="23">
        <v>46085.572916666664</v>
      </c>
      <c r="J1568" s="10">
        <v>2473</v>
      </c>
      <c r="K1568" s="10">
        <v>0</v>
      </c>
      <c r="L1568" s="24">
        <v>0</v>
      </c>
      <c r="M1568" s="10">
        <v>2473</v>
      </c>
    </row>
    <row r="1569" spans="1:13" x14ac:dyDescent="0.25">
      <c r="A1569" s="12" t="str">
        <f t="shared" si="48"/>
        <v>5005083FABIO LUIZ TEIXEIRA DE ARRUDACT46085,5756944444</v>
      </c>
      <c r="B1569" s="12" t="str">
        <f t="shared" si="49"/>
        <v>Março</v>
      </c>
      <c r="C1569" s="8" t="s">
        <v>2037</v>
      </c>
      <c r="D1569" s="8" t="s">
        <v>664</v>
      </c>
      <c r="E1569" s="8" t="s">
        <v>1520</v>
      </c>
      <c r="F1569" s="23">
        <v>46085.575694444444</v>
      </c>
      <c r="G1569" s="8" t="s">
        <v>1035</v>
      </c>
      <c r="H1569" s="23">
        <v>46097</v>
      </c>
      <c r="I1569" s="23">
        <v>46085.575694444444</v>
      </c>
      <c r="J1569" s="10">
        <v>2453</v>
      </c>
      <c r="K1569" s="10">
        <v>0</v>
      </c>
      <c r="L1569" s="24">
        <v>0</v>
      </c>
      <c r="M1569" s="10">
        <v>2453</v>
      </c>
    </row>
    <row r="1570" spans="1:13" x14ac:dyDescent="0.25">
      <c r="A1570" s="12" t="str">
        <f t="shared" si="48"/>
        <v>5005084MARCOS FILIPE DE ALCANTARA PEREIRACT46085,5770833333</v>
      </c>
      <c r="B1570" s="12" t="str">
        <f t="shared" si="49"/>
        <v>Março</v>
      </c>
      <c r="C1570" s="8" t="s">
        <v>2038</v>
      </c>
      <c r="D1570" s="8" t="s">
        <v>664</v>
      </c>
      <c r="E1570" s="8" t="s">
        <v>1385</v>
      </c>
      <c r="F1570" s="23">
        <v>46085.57708333333</v>
      </c>
      <c r="G1570" s="8" t="s">
        <v>1035</v>
      </c>
      <c r="H1570" s="23">
        <v>46097</v>
      </c>
      <c r="I1570" s="23">
        <v>46085.57708333333</v>
      </c>
      <c r="J1570" s="10">
        <v>3558</v>
      </c>
      <c r="K1570" s="10">
        <v>0</v>
      </c>
      <c r="L1570" s="24">
        <v>0</v>
      </c>
      <c r="M1570" s="10">
        <v>3558</v>
      </c>
    </row>
    <row r="1571" spans="1:13" x14ac:dyDescent="0.25">
      <c r="A1571" s="12" t="str">
        <f t="shared" si="48"/>
        <v>5005085MARCOS FILIPE DE ALCANTARA PEREIRARCB46087,5930555556</v>
      </c>
      <c r="B1571" s="12" t="str">
        <f t="shared" si="49"/>
        <v>Março</v>
      </c>
      <c r="C1571" s="8" t="s">
        <v>1973</v>
      </c>
      <c r="D1571" s="8" t="s">
        <v>664</v>
      </c>
      <c r="E1571" s="8" t="s">
        <v>1385</v>
      </c>
      <c r="F1571" s="23">
        <v>46087.593055555553</v>
      </c>
      <c r="G1571" s="8" t="s">
        <v>1045</v>
      </c>
      <c r="H1571" s="23">
        <v>46093</v>
      </c>
      <c r="I1571" s="23">
        <v>46087.593055555553</v>
      </c>
      <c r="J1571" s="10">
        <v>10.3</v>
      </c>
      <c r="K1571" s="10">
        <v>0</v>
      </c>
      <c r="L1571" s="24">
        <v>0</v>
      </c>
      <c r="M1571" s="10">
        <v>10.3</v>
      </c>
    </row>
    <row r="1572" spans="1:13" x14ac:dyDescent="0.25">
      <c r="A1572" s="12" t="str">
        <f t="shared" si="48"/>
        <v>5005085CLAUDIONOR GERALDO DE SOUZACT46085,5784722222</v>
      </c>
      <c r="B1572" s="12" t="str">
        <f t="shared" si="49"/>
        <v>Março</v>
      </c>
      <c r="C1572" s="8" t="s">
        <v>1973</v>
      </c>
      <c r="D1572" s="8" t="s">
        <v>664</v>
      </c>
      <c r="E1572" s="8" t="s">
        <v>1523</v>
      </c>
      <c r="F1572" s="23">
        <v>46085.578472222223</v>
      </c>
      <c r="G1572" s="8" t="s">
        <v>1035</v>
      </c>
      <c r="H1572" s="23">
        <v>46097</v>
      </c>
      <c r="I1572" s="23">
        <v>46085.578472222223</v>
      </c>
      <c r="J1572" s="10">
        <v>770</v>
      </c>
      <c r="K1572" s="10">
        <v>0</v>
      </c>
      <c r="L1572" s="24">
        <v>0</v>
      </c>
      <c r="M1572" s="10">
        <v>770</v>
      </c>
    </row>
    <row r="1573" spans="1:13" x14ac:dyDescent="0.25">
      <c r="A1573" s="12" t="str">
        <f t="shared" si="48"/>
        <v>5005086VICTOR HUGO SILVA BALBINOCT46085,5791666667</v>
      </c>
      <c r="B1573" s="12" t="str">
        <f t="shared" si="49"/>
        <v>Março</v>
      </c>
      <c r="C1573" s="8" t="s">
        <v>2040</v>
      </c>
      <c r="D1573" s="8" t="s">
        <v>664</v>
      </c>
      <c r="E1573" s="8" t="s">
        <v>198</v>
      </c>
      <c r="F1573" s="23">
        <v>46085.57916666667</v>
      </c>
      <c r="G1573" s="8" t="s">
        <v>1035</v>
      </c>
      <c r="H1573" s="23">
        <v>46097</v>
      </c>
      <c r="I1573" s="23">
        <v>46085.57916666667</v>
      </c>
      <c r="J1573" s="10">
        <v>2704</v>
      </c>
      <c r="K1573" s="10">
        <v>0</v>
      </c>
      <c r="L1573" s="24">
        <v>0</v>
      </c>
      <c r="M1573" s="10">
        <v>2704</v>
      </c>
    </row>
    <row r="1574" spans="1:13" x14ac:dyDescent="0.25">
      <c r="A1574" s="12" t="str">
        <f t="shared" si="48"/>
        <v>5005087ELIANA HENRIQUE MENDES BARBOSACT46085,5805555556</v>
      </c>
      <c r="B1574" s="12" t="str">
        <f t="shared" si="49"/>
        <v>Março</v>
      </c>
      <c r="C1574" s="8" t="s">
        <v>2041</v>
      </c>
      <c r="D1574" s="8" t="s">
        <v>664</v>
      </c>
      <c r="E1574" s="8" t="s">
        <v>59</v>
      </c>
      <c r="F1574" s="23">
        <v>46085.580555555556</v>
      </c>
      <c r="G1574" s="8" t="s">
        <v>1035</v>
      </c>
      <c r="H1574" s="23">
        <v>46097</v>
      </c>
      <c r="I1574" s="23">
        <v>46085.580555555556</v>
      </c>
      <c r="J1574" s="10">
        <v>1896</v>
      </c>
      <c r="K1574" s="10">
        <v>0</v>
      </c>
      <c r="L1574" s="24">
        <v>0</v>
      </c>
      <c r="M1574" s="10">
        <v>1896</v>
      </c>
    </row>
    <row r="1575" spans="1:13" x14ac:dyDescent="0.25">
      <c r="A1575" s="12" t="str">
        <f t="shared" si="48"/>
        <v>5005088RAFAEL RODRIGUES FARIACT46085,5819444444</v>
      </c>
      <c r="B1575" s="12" t="str">
        <f t="shared" si="49"/>
        <v>Março</v>
      </c>
      <c r="C1575" s="8" t="s">
        <v>2042</v>
      </c>
      <c r="D1575" s="8" t="s">
        <v>664</v>
      </c>
      <c r="E1575" s="8" t="s">
        <v>162</v>
      </c>
      <c r="F1575" s="23">
        <v>46085.581944444442</v>
      </c>
      <c r="G1575" s="8" t="s">
        <v>1035</v>
      </c>
      <c r="H1575" s="23">
        <v>46097</v>
      </c>
      <c r="I1575" s="23">
        <v>46085.581944444442</v>
      </c>
      <c r="J1575" s="10">
        <v>3267</v>
      </c>
      <c r="K1575" s="10">
        <v>0</v>
      </c>
      <c r="L1575" s="24">
        <v>0</v>
      </c>
      <c r="M1575" s="10">
        <v>3267</v>
      </c>
    </row>
    <row r="1576" spans="1:13" x14ac:dyDescent="0.25">
      <c r="A1576" s="12" t="str">
        <f t="shared" si="48"/>
        <v>5005089RAMON BATISTA FURTUOSOCT46085,5833333333</v>
      </c>
      <c r="B1576" s="12" t="str">
        <f t="shared" si="49"/>
        <v>Março</v>
      </c>
      <c r="C1576" s="8" t="s">
        <v>2043</v>
      </c>
      <c r="D1576" s="8" t="s">
        <v>664</v>
      </c>
      <c r="E1576" s="8" t="s">
        <v>1690</v>
      </c>
      <c r="F1576" s="23">
        <v>46085.583333333336</v>
      </c>
      <c r="G1576" s="8" t="s">
        <v>1035</v>
      </c>
      <c r="H1576" s="23">
        <v>46097</v>
      </c>
      <c r="I1576" s="23">
        <v>46085.583333333336</v>
      </c>
      <c r="J1576" s="10">
        <v>770</v>
      </c>
      <c r="K1576" s="10">
        <v>0</v>
      </c>
      <c r="L1576" s="24">
        <v>0</v>
      </c>
      <c r="M1576" s="10">
        <v>770</v>
      </c>
    </row>
    <row r="1577" spans="1:13" x14ac:dyDescent="0.25">
      <c r="A1577" s="12" t="str">
        <f t="shared" si="48"/>
        <v>5005090ADILSON VIANA DO SACRAMENTOCT46085,5840277778</v>
      </c>
      <c r="B1577" s="12" t="str">
        <f t="shared" si="49"/>
        <v>Março</v>
      </c>
      <c r="C1577" s="8" t="s">
        <v>2044</v>
      </c>
      <c r="D1577" s="8" t="s">
        <v>664</v>
      </c>
      <c r="E1577" s="8" t="s">
        <v>1390</v>
      </c>
      <c r="F1577" s="23">
        <v>46085.584027777775</v>
      </c>
      <c r="G1577" s="8" t="s">
        <v>1035</v>
      </c>
      <c r="H1577" s="23">
        <v>46097</v>
      </c>
      <c r="I1577" s="23">
        <v>46085.584027777775</v>
      </c>
      <c r="J1577" s="10">
        <v>1308</v>
      </c>
      <c r="K1577" s="10">
        <v>0</v>
      </c>
      <c r="L1577" s="24">
        <v>0</v>
      </c>
      <c r="M1577" s="10">
        <v>1308</v>
      </c>
    </row>
    <row r="1578" spans="1:13" x14ac:dyDescent="0.25">
      <c r="A1578" s="12" t="str">
        <f t="shared" si="48"/>
        <v>5005091EDUARDO GAUDENCIO ROSACT46085,5847222222</v>
      </c>
      <c r="B1578" s="12" t="str">
        <f t="shared" si="49"/>
        <v>Março</v>
      </c>
      <c r="C1578" s="8" t="s">
        <v>2045</v>
      </c>
      <c r="D1578" s="8" t="s">
        <v>664</v>
      </c>
      <c r="E1578" s="8" t="s">
        <v>58</v>
      </c>
      <c r="F1578" s="23">
        <v>46085.584722222222</v>
      </c>
      <c r="G1578" s="8" t="s">
        <v>1035</v>
      </c>
      <c r="H1578" s="23">
        <v>46097</v>
      </c>
      <c r="I1578" s="23">
        <v>46085.584722222222</v>
      </c>
      <c r="J1578" s="10">
        <v>3596</v>
      </c>
      <c r="K1578" s="10">
        <v>0</v>
      </c>
      <c r="L1578" s="24">
        <v>0</v>
      </c>
      <c r="M1578" s="10">
        <v>3596</v>
      </c>
    </row>
    <row r="1579" spans="1:13" x14ac:dyDescent="0.25">
      <c r="A1579" s="12" t="str">
        <f t="shared" si="48"/>
        <v>5005092CRISTIAN ALVES MOREIRACT46085,5881944444</v>
      </c>
      <c r="B1579" s="12" t="str">
        <f t="shared" si="49"/>
        <v>Março</v>
      </c>
      <c r="C1579" s="8" t="s">
        <v>2046</v>
      </c>
      <c r="D1579" s="8" t="s">
        <v>664</v>
      </c>
      <c r="E1579" s="8" t="s">
        <v>46</v>
      </c>
      <c r="F1579" s="23">
        <v>46085.588194444441</v>
      </c>
      <c r="G1579" s="8" t="s">
        <v>1035</v>
      </c>
      <c r="H1579" s="23">
        <v>46097</v>
      </c>
      <c r="I1579" s="23">
        <v>46085.588194444441</v>
      </c>
      <c r="J1579" s="10">
        <v>2141</v>
      </c>
      <c r="K1579" s="10">
        <v>0</v>
      </c>
      <c r="L1579" s="24">
        <v>0</v>
      </c>
      <c r="M1579" s="10">
        <v>2141</v>
      </c>
    </row>
    <row r="1580" spans="1:13" x14ac:dyDescent="0.25">
      <c r="A1580" s="12" t="str">
        <f t="shared" si="48"/>
        <v>5005093CRISTIAN ALVES MOREIRARCB46097,4631944444</v>
      </c>
      <c r="B1580" s="12" t="str">
        <f t="shared" si="49"/>
        <v>Março</v>
      </c>
      <c r="C1580" s="8" t="s">
        <v>2047</v>
      </c>
      <c r="D1580" s="8" t="s">
        <v>664</v>
      </c>
      <c r="E1580" s="8" t="s">
        <v>46</v>
      </c>
      <c r="F1580" s="23">
        <v>46097.463194444441</v>
      </c>
      <c r="G1580" s="8" t="s">
        <v>1045</v>
      </c>
      <c r="H1580" s="23">
        <v>46100</v>
      </c>
      <c r="I1580" s="23">
        <v>46097.463194444441</v>
      </c>
      <c r="J1580" s="10">
        <v>31</v>
      </c>
      <c r="K1580" s="10">
        <v>0</v>
      </c>
      <c r="L1580" s="24">
        <v>0</v>
      </c>
      <c r="M1580" s="10">
        <v>31</v>
      </c>
    </row>
    <row r="1581" spans="1:13" x14ac:dyDescent="0.25">
      <c r="A1581" s="12" t="str">
        <f t="shared" si="48"/>
        <v>5005093PAULO RICARDO SILVACT46085,5888888889</v>
      </c>
      <c r="B1581" s="12" t="str">
        <f t="shared" si="49"/>
        <v>Março</v>
      </c>
      <c r="C1581" s="8" t="s">
        <v>2047</v>
      </c>
      <c r="D1581" s="8" t="s">
        <v>664</v>
      </c>
      <c r="E1581" s="8" t="s">
        <v>153</v>
      </c>
      <c r="F1581" s="23">
        <v>46085.588888888888</v>
      </c>
      <c r="G1581" s="8" t="s">
        <v>1035</v>
      </c>
      <c r="H1581" s="23">
        <v>46097</v>
      </c>
      <c r="I1581" s="23">
        <v>46085.588888888888</v>
      </c>
      <c r="J1581" s="10">
        <v>2624</v>
      </c>
      <c r="K1581" s="10">
        <v>0</v>
      </c>
      <c r="L1581" s="24">
        <v>0</v>
      </c>
      <c r="M1581" s="10">
        <v>2624</v>
      </c>
    </row>
    <row r="1582" spans="1:13" x14ac:dyDescent="0.25">
      <c r="A1582" s="12" t="str">
        <f t="shared" si="48"/>
        <v>5005094PAULO RICARDO SILVARCB46097,4194444444</v>
      </c>
      <c r="B1582" s="12" t="str">
        <f t="shared" si="49"/>
        <v>Março</v>
      </c>
      <c r="C1582" s="8" t="s">
        <v>2048</v>
      </c>
      <c r="D1582" s="8" t="s">
        <v>664</v>
      </c>
      <c r="E1582" s="8" t="s">
        <v>153</v>
      </c>
      <c r="F1582" s="23">
        <v>46097.419444444444</v>
      </c>
      <c r="G1582" s="8" t="s">
        <v>1045</v>
      </c>
      <c r="H1582" s="23">
        <v>46100</v>
      </c>
      <c r="I1582" s="23">
        <v>46097.419444444444</v>
      </c>
      <c r="J1582" s="10">
        <v>42.6</v>
      </c>
      <c r="K1582" s="10">
        <v>0</v>
      </c>
      <c r="L1582" s="24">
        <v>0</v>
      </c>
      <c r="M1582" s="10">
        <v>42.6</v>
      </c>
    </row>
    <row r="1583" spans="1:13" x14ac:dyDescent="0.25">
      <c r="A1583" s="12" t="str">
        <f t="shared" si="48"/>
        <v>5005094KELISON DINIZ LEMOSCT46085,5902777778</v>
      </c>
      <c r="B1583" s="12" t="str">
        <f t="shared" si="49"/>
        <v>Março</v>
      </c>
      <c r="C1583" s="8" t="s">
        <v>2048</v>
      </c>
      <c r="D1583" s="8" t="s">
        <v>664</v>
      </c>
      <c r="E1583" s="8" t="s">
        <v>105</v>
      </c>
      <c r="F1583" s="23">
        <v>46085.590277777781</v>
      </c>
      <c r="G1583" s="8" t="s">
        <v>1035</v>
      </c>
      <c r="H1583" s="23">
        <v>46097</v>
      </c>
      <c r="I1583" s="23">
        <v>46085.590277777781</v>
      </c>
      <c r="J1583" s="10">
        <v>3601</v>
      </c>
      <c r="K1583" s="10">
        <v>0</v>
      </c>
      <c r="L1583" s="24">
        <v>0</v>
      </c>
      <c r="M1583" s="10">
        <v>3601</v>
      </c>
    </row>
    <row r="1584" spans="1:13" x14ac:dyDescent="0.25">
      <c r="A1584" s="12" t="str">
        <f t="shared" si="48"/>
        <v>5005095KELISON DINIZ LEMOSRCB46091,6666666667</v>
      </c>
      <c r="B1584" s="12" t="str">
        <f t="shared" si="49"/>
        <v>Março</v>
      </c>
      <c r="C1584" s="8" t="s">
        <v>2004</v>
      </c>
      <c r="D1584" s="8" t="s">
        <v>664</v>
      </c>
      <c r="E1584" s="8" t="s">
        <v>105</v>
      </c>
      <c r="F1584" s="23">
        <v>46091.666666666664</v>
      </c>
      <c r="G1584" s="8" t="s">
        <v>1045</v>
      </c>
      <c r="H1584" s="23">
        <v>46094</v>
      </c>
      <c r="I1584" s="23">
        <v>46091.666666666664</v>
      </c>
      <c r="J1584" s="10">
        <v>333.96</v>
      </c>
      <c r="K1584" s="10">
        <v>0</v>
      </c>
      <c r="L1584" s="24">
        <v>0</v>
      </c>
      <c r="M1584" s="10">
        <v>333.96</v>
      </c>
    </row>
    <row r="1585" spans="1:13" x14ac:dyDescent="0.25">
      <c r="A1585" s="12" t="str">
        <f t="shared" si="48"/>
        <v>5005095ADRIANO ROBERTOCT46085,5916666667</v>
      </c>
      <c r="B1585" s="12" t="str">
        <f t="shared" si="49"/>
        <v>Março</v>
      </c>
      <c r="C1585" s="8" t="s">
        <v>2004</v>
      </c>
      <c r="D1585" s="8" t="s">
        <v>664</v>
      </c>
      <c r="E1585" s="8" t="s">
        <v>8</v>
      </c>
      <c r="F1585" s="23">
        <v>46085.591666666667</v>
      </c>
      <c r="G1585" s="8" t="s">
        <v>1035</v>
      </c>
      <c r="H1585" s="23">
        <v>46097</v>
      </c>
      <c r="I1585" s="23">
        <v>46085.591666666667</v>
      </c>
      <c r="J1585" s="10">
        <v>1178</v>
      </c>
      <c r="K1585" s="10">
        <v>0</v>
      </c>
      <c r="L1585" s="24">
        <v>0</v>
      </c>
      <c r="M1585" s="10">
        <v>1178</v>
      </c>
    </row>
    <row r="1586" spans="1:13" x14ac:dyDescent="0.25">
      <c r="A1586" s="12" t="str">
        <f t="shared" si="48"/>
        <v>5005096ADRIANO ROBERTORCB46097,41875</v>
      </c>
      <c r="B1586" s="12" t="str">
        <f t="shared" si="49"/>
        <v>Março</v>
      </c>
      <c r="C1586" s="8" t="s">
        <v>2049</v>
      </c>
      <c r="D1586" s="8" t="s">
        <v>664</v>
      </c>
      <c r="E1586" s="8" t="s">
        <v>8</v>
      </c>
      <c r="F1586" s="23">
        <v>46097.418749999997</v>
      </c>
      <c r="G1586" s="8" t="s">
        <v>1045</v>
      </c>
      <c r="H1586" s="23">
        <v>46100</v>
      </c>
      <c r="I1586" s="23">
        <v>46097.418749999997</v>
      </c>
      <c r="J1586" s="10">
        <v>15.8</v>
      </c>
      <c r="K1586" s="10">
        <v>0</v>
      </c>
      <c r="L1586" s="24">
        <v>0</v>
      </c>
      <c r="M1586" s="10">
        <v>15.8</v>
      </c>
    </row>
    <row r="1587" spans="1:13" x14ac:dyDescent="0.25">
      <c r="A1587" s="12" t="str">
        <f t="shared" si="48"/>
        <v>5005096HUDSON CESAR DA SILVACT46085,5930555556</v>
      </c>
      <c r="B1587" s="12" t="str">
        <f t="shared" si="49"/>
        <v>Março</v>
      </c>
      <c r="C1587" s="8" t="s">
        <v>2049</v>
      </c>
      <c r="D1587" s="8" t="s">
        <v>664</v>
      </c>
      <c r="E1587" s="8" t="s">
        <v>1407</v>
      </c>
      <c r="F1587" s="23">
        <v>46085.593055555553</v>
      </c>
      <c r="G1587" s="8" t="s">
        <v>1035</v>
      </c>
      <c r="H1587" s="23">
        <v>46097</v>
      </c>
      <c r="I1587" s="23">
        <v>46085.593055555553</v>
      </c>
      <c r="J1587" s="10">
        <v>5218</v>
      </c>
      <c r="K1587" s="10">
        <v>0</v>
      </c>
      <c r="L1587" s="24">
        <v>0</v>
      </c>
      <c r="M1587" s="10">
        <v>5218</v>
      </c>
    </row>
    <row r="1588" spans="1:13" x14ac:dyDescent="0.25">
      <c r="A1588" s="12" t="str">
        <f t="shared" si="48"/>
        <v>5005097HUDSON CESAR DA SILVArcb46086,6298611111</v>
      </c>
      <c r="B1588" s="12" t="str">
        <f t="shared" si="49"/>
        <v>Março</v>
      </c>
      <c r="C1588" s="8" t="s">
        <v>1966</v>
      </c>
      <c r="D1588" s="8" t="s">
        <v>664</v>
      </c>
      <c r="E1588" s="8" t="s">
        <v>1407</v>
      </c>
      <c r="F1588" s="23">
        <v>46086.629861111112</v>
      </c>
      <c r="G1588" s="8" t="s">
        <v>1423</v>
      </c>
      <c r="H1588" s="23">
        <v>46092</v>
      </c>
      <c r="I1588" s="23">
        <v>46086.629861111112</v>
      </c>
      <c r="J1588" s="10">
        <v>120</v>
      </c>
      <c r="K1588" s="10">
        <v>0</v>
      </c>
      <c r="L1588" s="24">
        <v>0</v>
      </c>
      <c r="M1588" s="10">
        <v>120</v>
      </c>
    </row>
    <row r="1589" spans="1:13" x14ac:dyDescent="0.25">
      <c r="A1589" s="12" t="str">
        <f t="shared" si="48"/>
        <v>5005097RENAN ELTON DIVINOCT46085,5944444444</v>
      </c>
      <c r="B1589" s="12" t="str">
        <f t="shared" si="49"/>
        <v>Março</v>
      </c>
      <c r="C1589" s="8" t="s">
        <v>1966</v>
      </c>
      <c r="D1589" s="8" t="s">
        <v>664</v>
      </c>
      <c r="E1589" s="8" t="s">
        <v>1409</v>
      </c>
      <c r="F1589" s="23">
        <v>46085.594444444447</v>
      </c>
      <c r="G1589" s="8" t="s">
        <v>1035</v>
      </c>
      <c r="H1589" s="23">
        <v>46097</v>
      </c>
      <c r="I1589" s="23">
        <v>46085.594444444447</v>
      </c>
      <c r="J1589" s="10">
        <v>829</v>
      </c>
      <c r="K1589" s="10">
        <v>0</v>
      </c>
      <c r="L1589" s="24">
        <v>0</v>
      </c>
      <c r="M1589" s="10">
        <v>829</v>
      </c>
    </row>
    <row r="1590" spans="1:13" x14ac:dyDescent="0.25">
      <c r="A1590" s="12" t="str">
        <f t="shared" si="48"/>
        <v>5005098LIDEMBERG RAMOS GABRIELCT46085,5958333333</v>
      </c>
      <c r="B1590" s="12" t="str">
        <f t="shared" si="49"/>
        <v>Março</v>
      </c>
      <c r="C1590" s="8" t="s">
        <v>2050</v>
      </c>
      <c r="D1590" s="8" t="s">
        <v>664</v>
      </c>
      <c r="E1590" s="8" t="s">
        <v>1539</v>
      </c>
      <c r="F1590" s="23">
        <v>46085.595833333333</v>
      </c>
      <c r="G1590" s="8" t="s">
        <v>1035</v>
      </c>
      <c r="H1590" s="23">
        <v>46097</v>
      </c>
      <c r="I1590" s="23">
        <v>46085.595833333333</v>
      </c>
      <c r="J1590" s="10">
        <v>1050</v>
      </c>
      <c r="K1590" s="10">
        <v>0</v>
      </c>
      <c r="L1590" s="24">
        <v>0</v>
      </c>
      <c r="M1590" s="10">
        <v>1050</v>
      </c>
    </row>
    <row r="1591" spans="1:13" x14ac:dyDescent="0.25">
      <c r="A1591" s="12" t="str">
        <f t="shared" si="48"/>
        <v>5005099NELCIDES JOSE VIEIRACT46085,5972222222</v>
      </c>
      <c r="B1591" s="12" t="str">
        <f t="shared" si="49"/>
        <v>Março</v>
      </c>
      <c r="C1591" s="8" t="s">
        <v>2051</v>
      </c>
      <c r="D1591" s="8" t="s">
        <v>664</v>
      </c>
      <c r="E1591" s="8" t="s">
        <v>137</v>
      </c>
      <c r="F1591" s="23">
        <v>46085.597222222219</v>
      </c>
      <c r="G1591" s="8" t="s">
        <v>1035</v>
      </c>
      <c r="H1591" s="23">
        <v>46097</v>
      </c>
      <c r="I1591" s="23">
        <v>46085.597222222219</v>
      </c>
      <c r="J1591" s="10">
        <v>3392</v>
      </c>
      <c r="K1591" s="10">
        <v>0</v>
      </c>
      <c r="L1591" s="24">
        <v>0</v>
      </c>
      <c r="M1591" s="10">
        <v>3392</v>
      </c>
    </row>
    <row r="1592" spans="1:13" x14ac:dyDescent="0.25">
      <c r="A1592" s="12" t="str">
        <f t="shared" si="48"/>
        <v>5005100WILLIAM DE SOUZA VIEIRACT46085,6118055556</v>
      </c>
      <c r="B1592" s="12" t="str">
        <f t="shared" si="49"/>
        <v>Março</v>
      </c>
      <c r="C1592" s="8" t="s">
        <v>2052</v>
      </c>
      <c r="D1592" s="8" t="s">
        <v>664</v>
      </c>
      <c r="E1592" s="8" t="s">
        <v>1542</v>
      </c>
      <c r="F1592" s="23">
        <v>46085.611805555556</v>
      </c>
      <c r="G1592" s="8" t="s">
        <v>1035</v>
      </c>
      <c r="H1592" s="23">
        <v>46097</v>
      </c>
      <c r="I1592" s="23">
        <v>46085.611805555556</v>
      </c>
      <c r="J1592" s="10">
        <v>1400</v>
      </c>
      <c r="K1592" s="10">
        <v>0</v>
      </c>
      <c r="L1592" s="24">
        <v>0</v>
      </c>
      <c r="M1592" s="10">
        <v>1400</v>
      </c>
    </row>
    <row r="1593" spans="1:13" x14ac:dyDescent="0.25">
      <c r="A1593" s="12" t="str">
        <f t="shared" si="48"/>
        <v>5005100NELCIDES JOSE VIEIRARCB46111,6993055556</v>
      </c>
      <c r="B1593" s="12" t="str">
        <f t="shared" si="49"/>
        <v>Abril</v>
      </c>
      <c r="C1593" s="8" t="s">
        <v>2052</v>
      </c>
      <c r="D1593" s="8" t="s">
        <v>664</v>
      </c>
      <c r="E1593" s="8" t="s">
        <v>137</v>
      </c>
      <c r="F1593" s="23">
        <v>46111.699305555558</v>
      </c>
      <c r="G1593" s="8" t="s">
        <v>1045</v>
      </c>
      <c r="H1593" s="23">
        <v>46114</v>
      </c>
      <c r="I1593" s="23">
        <v>46111.699305555558</v>
      </c>
      <c r="J1593" s="10">
        <v>126.38</v>
      </c>
      <c r="K1593" s="10">
        <v>0</v>
      </c>
      <c r="L1593" s="24">
        <v>0</v>
      </c>
      <c r="M1593" s="10">
        <v>126.38</v>
      </c>
    </row>
    <row r="1594" spans="1:13" x14ac:dyDescent="0.25">
      <c r="A1594" s="12" t="str">
        <f t="shared" si="48"/>
        <v>5005101JOAO MARCOS DE SOUZA PINTOCT46085,6145833333</v>
      </c>
      <c r="B1594" s="12" t="str">
        <f t="shared" si="49"/>
        <v>Março</v>
      </c>
      <c r="C1594" s="8" t="s">
        <v>2053</v>
      </c>
      <c r="D1594" s="8" t="s">
        <v>664</v>
      </c>
      <c r="E1594" s="8" t="s">
        <v>1544</v>
      </c>
      <c r="F1594" s="23">
        <v>46085.614583333336</v>
      </c>
      <c r="G1594" s="8" t="s">
        <v>1035</v>
      </c>
      <c r="H1594" s="23">
        <v>46097</v>
      </c>
      <c r="I1594" s="23">
        <v>46085.614583333336</v>
      </c>
      <c r="J1594" s="10">
        <v>2450</v>
      </c>
      <c r="K1594" s="10">
        <v>0</v>
      </c>
      <c r="L1594" s="24">
        <v>0</v>
      </c>
      <c r="M1594" s="10">
        <v>2450</v>
      </c>
    </row>
    <row r="1595" spans="1:13" x14ac:dyDescent="0.25">
      <c r="A1595" s="12" t="str">
        <f t="shared" si="48"/>
        <v>5005101WILLIAM DE SOUZA VIEIRARCB46105,4229166667</v>
      </c>
      <c r="B1595" s="12" t="str">
        <f t="shared" si="49"/>
        <v>Março</v>
      </c>
      <c r="C1595" s="8" t="s">
        <v>2053</v>
      </c>
      <c r="D1595" s="8" t="s">
        <v>664</v>
      </c>
      <c r="E1595" s="8" t="s">
        <v>1542</v>
      </c>
      <c r="F1595" s="23">
        <v>46105.42291666667</v>
      </c>
      <c r="G1595" s="8" t="s">
        <v>1045</v>
      </c>
      <c r="H1595" s="23">
        <v>46108</v>
      </c>
      <c r="I1595" s="23">
        <v>46105.42291666667</v>
      </c>
      <c r="J1595" s="10">
        <v>20.399999999999999</v>
      </c>
      <c r="K1595" s="10">
        <v>0</v>
      </c>
      <c r="L1595" s="24">
        <v>0</v>
      </c>
      <c r="M1595" s="10">
        <v>20.399999999999999</v>
      </c>
    </row>
    <row r="1596" spans="1:13" x14ac:dyDescent="0.25">
      <c r="A1596" s="12" t="str">
        <f t="shared" si="48"/>
        <v>5005102CARLOS ANTONIO PINTOCT46085,6173611111</v>
      </c>
      <c r="B1596" s="12" t="str">
        <f t="shared" si="49"/>
        <v>Abril</v>
      </c>
      <c r="C1596" s="8" t="s">
        <v>2166</v>
      </c>
      <c r="D1596" s="8" t="s">
        <v>664</v>
      </c>
      <c r="E1596" s="8" t="s">
        <v>36</v>
      </c>
      <c r="F1596" s="23">
        <v>46085.617361111108</v>
      </c>
      <c r="G1596" s="8" t="s">
        <v>1035</v>
      </c>
      <c r="H1596" s="23">
        <v>46118</v>
      </c>
      <c r="I1596" s="23">
        <v>46085.617361111108</v>
      </c>
      <c r="J1596" s="10">
        <v>5240</v>
      </c>
      <c r="K1596" s="10">
        <v>0</v>
      </c>
      <c r="L1596" s="24">
        <v>0</v>
      </c>
      <c r="M1596" s="10">
        <v>5240</v>
      </c>
    </row>
    <row r="1597" spans="1:13" x14ac:dyDescent="0.25">
      <c r="A1597" s="12" t="str">
        <f t="shared" si="48"/>
        <v>5005104KAYO BOTELHOCT46085,6201388889</v>
      </c>
      <c r="B1597" s="12" t="str">
        <f t="shared" si="49"/>
        <v>Março</v>
      </c>
      <c r="C1597" s="8" t="s">
        <v>2054</v>
      </c>
      <c r="D1597" s="8" t="s">
        <v>664</v>
      </c>
      <c r="E1597" s="8" t="s">
        <v>1547</v>
      </c>
      <c r="F1597" s="23">
        <v>46085.620138888888</v>
      </c>
      <c r="G1597" s="8" t="s">
        <v>1035</v>
      </c>
      <c r="H1597" s="23">
        <v>46097</v>
      </c>
      <c r="I1597" s="23">
        <v>46085.620138888888</v>
      </c>
      <c r="J1597" s="10">
        <v>250</v>
      </c>
      <c r="K1597" s="10">
        <v>0</v>
      </c>
      <c r="L1597" s="24">
        <v>0</v>
      </c>
      <c r="M1597" s="10">
        <v>250</v>
      </c>
    </row>
    <row r="1598" spans="1:13" x14ac:dyDescent="0.25">
      <c r="A1598" s="12" t="str">
        <f t="shared" si="48"/>
        <v>5005105JOAQUINA DE FATIMA BERTOLDOCT46085,6215277778</v>
      </c>
      <c r="B1598" s="12" t="str">
        <f t="shared" si="49"/>
        <v>Março</v>
      </c>
      <c r="C1598" s="8" t="s">
        <v>2055</v>
      </c>
      <c r="D1598" s="8" t="s">
        <v>664</v>
      </c>
      <c r="E1598" s="8" t="s">
        <v>1416</v>
      </c>
      <c r="F1598" s="23">
        <v>46085.621527777781</v>
      </c>
      <c r="G1598" s="8" t="s">
        <v>1035</v>
      </c>
      <c r="H1598" s="23">
        <v>46097</v>
      </c>
      <c r="I1598" s="23">
        <v>46085.621527777781</v>
      </c>
      <c r="J1598" s="10">
        <v>3527</v>
      </c>
      <c r="K1598" s="10">
        <v>0</v>
      </c>
      <c r="L1598" s="24">
        <v>0</v>
      </c>
      <c r="M1598" s="10">
        <v>3527</v>
      </c>
    </row>
    <row r="1599" spans="1:13" x14ac:dyDescent="0.25">
      <c r="A1599" s="12" t="str">
        <f t="shared" si="48"/>
        <v>5005106JORGE MARTINS BORGES JUNIORCT46085,6229166667</v>
      </c>
      <c r="B1599" s="12" t="str">
        <f t="shared" si="49"/>
        <v>Março</v>
      </c>
      <c r="C1599" s="8" t="s">
        <v>2056</v>
      </c>
      <c r="D1599" s="8" t="s">
        <v>664</v>
      </c>
      <c r="E1599" s="8" t="s">
        <v>97</v>
      </c>
      <c r="F1599" s="23">
        <v>46085.622916666667</v>
      </c>
      <c r="G1599" s="8" t="s">
        <v>1035</v>
      </c>
      <c r="H1599" s="23">
        <v>46097</v>
      </c>
      <c r="I1599" s="23">
        <v>46085.622916666667</v>
      </c>
      <c r="J1599" s="10">
        <v>4386</v>
      </c>
      <c r="K1599" s="10">
        <v>0</v>
      </c>
      <c r="L1599" s="24">
        <v>0</v>
      </c>
      <c r="M1599" s="10">
        <v>4386</v>
      </c>
    </row>
    <row r="1600" spans="1:13" x14ac:dyDescent="0.25">
      <c r="A1600" s="12" t="str">
        <f t="shared" si="48"/>
        <v>5005107JORGE MARTINS BORGES JUNIORRCB46090,4458333333</v>
      </c>
      <c r="B1600" s="12" t="str">
        <f t="shared" si="49"/>
        <v>Março</v>
      </c>
      <c r="C1600" s="8" t="s">
        <v>1987</v>
      </c>
      <c r="D1600" s="8" t="s">
        <v>664</v>
      </c>
      <c r="E1600" s="8" t="s">
        <v>97</v>
      </c>
      <c r="F1600" s="23">
        <v>46090.445833333331</v>
      </c>
      <c r="G1600" s="8" t="s">
        <v>1045</v>
      </c>
      <c r="H1600" s="23">
        <v>46093</v>
      </c>
      <c r="I1600" s="23">
        <v>46090.445833333331</v>
      </c>
      <c r="J1600" s="10">
        <v>15.8</v>
      </c>
      <c r="K1600" s="10">
        <v>0</v>
      </c>
      <c r="L1600" s="24">
        <v>0</v>
      </c>
      <c r="M1600" s="10">
        <v>15.8</v>
      </c>
    </row>
    <row r="1601" spans="1:13" x14ac:dyDescent="0.25">
      <c r="A1601" s="12" t="str">
        <f t="shared" si="48"/>
        <v>5005107DANIELLE HEBERT CARVALHO PEREIRACT46085,6243055556</v>
      </c>
      <c r="B1601" s="12" t="str">
        <f t="shared" si="49"/>
        <v>Março</v>
      </c>
      <c r="C1601" s="8" t="s">
        <v>1987</v>
      </c>
      <c r="D1601" s="8" t="s">
        <v>664</v>
      </c>
      <c r="E1601" s="8" t="s">
        <v>48</v>
      </c>
      <c r="F1601" s="23">
        <v>46085.624305555553</v>
      </c>
      <c r="G1601" s="8" t="s">
        <v>1035</v>
      </c>
      <c r="H1601" s="23">
        <v>46097</v>
      </c>
      <c r="I1601" s="23">
        <v>46085.624305555553</v>
      </c>
      <c r="J1601" s="10">
        <v>4221</v>
      </c>
      <c r="K1601" s="10">
        <v>0</v>
      </c>
      <c r="L1601" s="24">
        <v>0</v>
      </c>
      <c r="M1601" s="10">
        <v>4221</v>
      </c>
    </row>
    <row r="1602" spans="1:13" x14ac:dyDescent="0.25">
      <c r="A1602" s="12" t="str">
        <f t="shared" ref="A1602:A1665" si="50">$C1602&amp;$E1602&amp;$G1602&amp;$F1602</f>
        <v>5005108DANIELLE HEBERT CARVALHO PEREIRARCB46087,5916666667</v>
      </c>
      <c r="B1602" s="12" t="str">
        <f t="shared" si="49"/>
        <v>Março</v>
      </c>
      <c r="C1602" s="8" t="s">
        <v>1974</v>
      </c>
      <c r="D1602" s="8" t="s">
        <v>664</v>
      </c>
      <c r="E1602" s="8" t="s">
        <v>48</v>
      </c>
      <c r="F1602" s="23">
        <v>46087.591666666667</v>
      </c>
      <c r="G1602" s="8" t="s">
        <v>1045</v>
      </c>
      <c r="H1602" s="23">
        <v>46093</v>
      </c>
      <c r="I1602" s="23">
        <v>46087.591666666667</v>
      </c>
      <c r="J1602" s="10">
        <v>76.62</v>
      </c>
      <c r="K1602" s="10">
        <v>0</v>
      </c>
      <c r="L1602" s="24">
        <v>0</v>
      </c>
      <c r="M1602" s="10">
        <v>76.62</v>
      </c>
    </row>
    <row r="1603" spans="1:13" x14ac:dyDescent="0.25">
      <c r="A1603" s="12" t="str">
        <f t="shared" si="50"/>
        <v>5005108JORGE MARTINS BORGES JUNIORRCB46097,4152777778</v>
      </c>
      <c r="B1603" s="12" t="str">
        <f t="shared" ref="B1603:B1666" si="51">PROPER(TEXT($H1603,"MMMM"))</f>
        <v>Março</v>
      </c>
      <c r="C1603" s="8" t="s">
        <v>1974</v>
      </c>
      <c r="D1603" s="8" t="s">
        <v>664</v>
      </c>
      <c r="E1603" s="8" t="s">
        <v>97</v>
      </c>
      <c r="F1603" s="23">
        <v>46097.415277777778</v>
      </c>
      <c r="G1603" s="8" t="s">
        <v>1045</v>
      </c>
      <c r="H1603" s="23">
        <v>46100</v>
      </c>
      <c r="I1603" s="23">
        <v>46097.415277777778</v>
      </c>
      <c r="J1603" s="10">
        <v>160</v>
      </c>
      <c r="K1603" s="10">
        <v>0</v>
      </c>
      <c r="L1603" s="24">
        <v>0</v>
      </c>
      <c r="M1603" s="10">
        <v>160</v>
      </c>
    </row>
    <row r="1604" spans="1:13" x14ac:dyDescent="0.25">
      <c r="A1604" s="12" t="str">
        <f t="shared" si="50"/>
        <v>5005108DARLAN DIEGO OLIVEIRA SOARESCT46085,625</v>
      </c>
      <c r="B1604" s="12" t="str">
        <f t="shared" si="51"/>
        <v>Março</v>
      </c>
      <c r="C1604" s="8" t="s">
        <v>1974</v>
      </c>
      <c r="D1604" s="8" t="s">
        <v>664</v>
      </c>
      <c r="E1604" s="8" t="s">
        <v>1551</v>
      </c>
      <c r="F1604" s="23">
        <v>46085.625</v>
      </c>
      <c r="G1604" s="8" t="s">
        <v>1035</v>
      </c>
      <c r="H1604" s="23">
        <v>46097</v>
      </c>
      <c r="I1604" s="23">
        <v>46085.625</v>
      </c>
      <c r="J1604" s="10">
        <v>1155</v>
      </c>
      <c r="K1604" s="10">
        <v>0</v>
      </c>
      <c r="L1604" s="24">
        <v>0</v>
      </c>
      <c r="M1604" s="10">
        <v>1155</v>
      </c>
    </row>
    <row r="1605" spans="1:13" x14ac:dyDescent="0.25">
      <c r="A1605" s="12" t="str">
        <f t="shared" si="50"/>
        <v>5005109JAIME GOMES PARAGUAICT46085,6263888889</v>
      </c>
      <c r="B1605" s="12" t="str">
        <f t="shared" si="51"/>
        <v>Março</v>
      </c>
      <c r="C1605" s="8" t="s">
        <v>2057</v>
      </c>
      <c r="D1605" s="8" t="s">
        <v>664</v>
      </c>
      <c r="E1605" s="8" t="s">
        <v>87</v>
      </c>
      <c r="F1605" s="23">
        <v>46085.626388888886</v>
      </c>
      <c r="G1605" s="8" t="s">
        <v>1035</v>
      </c>
      <c r="H1605" s="23">
        <v>46097</v>
      </c>
      <c r="I1605" s="23">
        <v>46085.626388888886</v>
      </c>
      <c r="J1605" s="10">
        <v>564</v>
      </c>
      <c r="K1605" s="10">
        <v>0</v>
      </c>
      <c r="L1605" s="24">
        <v>0</v>
      </c>
      <c r="M1605" s="10">
        <v>564</v>
      </c>
    </row>
    <row r="1606" spans="1:13" x14ac:dyDescent="0.25">
      <c r="A1606" s="12" t="str">
        <f t="shared" si="50"/>
        <v>5005110RONIERE DE OLIVEIRA MENDESCT46085,6277777778</v>
      </c>
      <c r="B1606" s="12" t="str">
        <f t="shared" si="51"/>
        <v>Março</v>
      </c>
      <c r="C1606" s="8" t="s">
        <v>2058</v>
      </c>
      <c r="D1606" s="8" t="s">
        <v>664</v>
      </c>
      <c r="E1606" s="8" t="s">
        <v>1555</v>
      </c>
      <c r="F1606" s="23">
        <v>46085.62777777778</v>
      </c>
      <c r="G1606" s="8" t="s">
        <v>1035</v>
      </c>
      <c r="H1606" s="23">
        <v>46097</v>
      </c>
      <c r="I1606" s="23">
        <v>46085.62777777778</v>
      </c>
      <c r="J1606" s="10">
        <v>350</v>
      </c>
      <c r="K1606" s="10">
        <v>0</v>
      </c>
      <c r="L1606" s="24">
        <v>0</v>
      </c>
      <c r="M1606" s="10">
        <v>350</v>
      </c>
    </row>
    <row r="1607" spans="1:13" x14ac:dyDescent="0.25">
      <c r="A1607" s="12" t="str">
        <f t="shared" si="50"/>
        <v>5005111CHAYENE AMARALCT46085,6305555556</v>
      </c>
      <c r="B1607" s="12" t="str">
        <f t="shared" si="51"/>
        <v>Março</v>
      </c>
      <c r="C1607" s="8" t="s">
        <v>2059</v>
      </c>
      <c r="D1607" s="8" t="s">
        <v>664</v>
      </c>
      <c r="E1607" s="8" t="s">
        <v>1424</v>
      </c>
      <c r="F1607" s="23">
        <v>46085.630555555559</v>
      </c>
      <c r="G1607" s="8" t="s">
        <v>1035</v>
      </c>
      <c r="H1607" s="23">
        <v>46097</v>
      </c>
      <c r="I1607" s="23">
        <v>46085.630555555559</v>
      </c>
      <c r="J1607" s="10">
        <v>1658</v>
      </c>
      <c r="K1607" s="10">
        <v>0</v>
      </c>
      <c r="L1607" s="24">
        <v>0</v>
      </c>
      <c r="M1607" s="10">
        <v>1658</v>
      </c>
    </row>
    <row r="1608" spans="1:13" x14ac:dyDescent="0.25">
      <c r="A1608" s="12" t="str">
        <f t="shared" si="50"/>
        <v>5005113ALAOR CANAVEZ DE MORAES NETOCT46085,6381944444</v>
      </c>
      <c r="B1608" s="12" t="str">
        <f t="shared" si="51"/>
        <v>Março</v>
      </c>
      <c r="C1608" s="8" t="s">
        <v>2060</v>
      </c>
      <c r="D1608" s="8" t="s">
        <v>664</v>
      </c>
      <c r="E1608" s="8" t="s">
        <v>10</v>
      </c>
      <c r="F1608" s="23">
        <v>46085.638194444444</v>
      </c>
      <c r="G1608" s="8" t="s">
        <v>1035</v>
      </c>
      <c r="H1608" s="23">
        <v>46097</v>
      </c>
      <c r="I1608" s="23">
        <v>46085.638194444444</v>
      </c>
      <c r="J1608" s="10">
        <v>1724</v>
      </c>
      <c r="K1608" s="10">
        <v>0</v>
      </c>
      <c r="L1608" s="24">
        <v>0</v>
      </c>
      <c r="M1608" s="10">
        <v>1724</v>
      </c>
    </row>
    <row r="1609" spans="1:13" x14ac:dyDescent="0.25">
      <c r="A1609" s="12" t="str">
        <f t="shared" si="50"/>
        <v>5005114MAGNO APARECIDO DE JESUSCT46085,6395833333</v>
      </c>
      <c r="B1609" s="12" t="str">
        <f t="shared" si="51"/>
        <v>Março</v>
      </c>
      <c r="C1609" s="8" t="s">
        <v>2061</v>
      </c>
      <c r="D1609" s="8" t="s">
        <v>664</v>
      </c>
      <c r="E1609" s="8" t="s">
        <v>115</v>
      </c>
      <c r="F1609" s="23">
        <v>46085.63958333333</v>
      </c>
      <c r="G1609" s="8" t="s">
        <v>1035</v>
      </c>
      <c r="H1609" s="23">
        <v>46097</v>
      </c>
      <c r="I1609" s="23">
        <v>46085.63958333333</v>
      </c>
      <c r="J1609" s="10">
        <v>3354</v>
      </c>
      <c r="K1609" s="10">
        <v>0</v>
      </c>
      <c r="L1609" s="24">
        <v>0</v>
      </c>
      <c r="M1609" s="10">
        <v>3354</v>
      </c>
    </row>
    <row r="1610" spans="1:13" x14ac:dyDescent="0.25">
      <c r="A1610" s="12" t="str">
        <f t="shared" si="50"/>
        <v>5005115PAULO SERGIO FERREIRA VAZCT46085,6409722222</v>
      </c>
      <c r="B1610" s="12" t="str">
        <f t="shared" si="51"/>
        <v>Março</v>
      </c>
      <c r="C1610" s="8" t="s">
        <v>2062</v>
      </c>
      <c r="D1610" s="8" t="s">
        <v>664</v>
      </c>
      <c r="E1610" s="8" t="s">
        <v>1564</v>
      </c>
      <c r="F1610" s="23">
        <v>46085.640972222223</v>
      </c>
      <c r="G1610" s="8" t="s">
        <v>1035</v>
      </c>
      <c r="H1610" s="23">
        <v>46097</v>
      </c>
      <c r="I1610" s="23">
        <v>46085.640972222223</v>
      </c>
      <c r="J1610" s="10">
        <v>385</v>
      </c>
      <c r="K1610" s="10">
        <v>0</v>
      </c>
      <c r="L1610" s="24">
        <v>0</v>
      </c>
      <c r="M1610" s="10">
        <v>385</v>
      </c>
    </row>
    <row r="1611" spans="1:13" x14ac:dyDescent="0.25">
      <c r="A1611" s="12" t="str">
        <f t="shared" si="50"/>
        <v>5005116ANTONIO CARLOS DA COSTACT46085,6416666667</v>
      </c>
      <c r="B1611" s="12" t="str">
        <f t="shared" si="51"/>
        <v>Março</v>
      </c>
      <c r="C1611" s="8" t="s">
        <v>2063</v>
      </c>
      <c r="D1611" s="8" t="s">
        <v>664</v>
      </c>
      <c r="E1611" s="8" t="s">
        <v>19</v>
      </c>
      <c r="F1611" s="23">
        <v>46085.64166666667</v>
      </c>
      <c r="G1611" s="8" t="s">
        <v>1035</v>
      </c>
      <c r="H1611" s="23">
        <v>46097</v>
      </c>
      <c r="I1611" s="23">
        <v>46085.64166666667</v>
      </c>
      <c r="J1611" s="10">
        <v>3904</v>
      </c>
      <c r="K1611" s="10">
        <v>0</v>
      </c>
      <c r="L1611" s="24">
        <v>0</v>
      </c>
      <c r="M1611" s="10">
        <v>3904</v>
      </c>
    </row>
    <row r="1612" spans="1:13" x14ac:dyDescent="0.25">
      <c r="A1612" s="12" t="str">
        <f t="shared" si="50"/>
        <v>5005117ANTONIO CARLOS DA COSTARCB46086,6277777778</v>
      </c>
      <c r="B1612" s="12" t="str">
        <f t="shared" si="51"/>
        <v>Março</v>
      </c>
      <c r="C1612" s="8" t="s">
        <v>1967</v>
      </c>
      <c r="D1612" s="8" t="s">
        <v>664</v>
      </c>
      <c r="E1612" s="8" t="s">
        <v>19</v>
      </c>
      <c r="F1612" s="23">
        <v>46086.62777777778</v>
      </c>
      <c r="G1612" s="8" t="s">
        <v>1045</v>
      </c>
      <c r="H1612" s="23">
        <v>46092</v>
      </c>
      <c r="I1612" s="23">
        <v>46086.62777777778</v>
      </c>
      <c r="J1612" s="10">
        <v>135.9</v>
      </c>
      <c r="K1612" s="10">
        <v>0</v>
      </c>
      <c r="L1612" s="24">
        <v>0</v>
      </c>
      <c r="M1612" s="10">
        <v>135.9</v>
      </c>
    </row>
    <row r="1613" spans="1:13" x14ac:dyDescent="0.25">
      <c r="A1613" s="12" t="str">
        <f t="shared" si="50"/>
        <v>5005117ARTUR SILVA VIANACT46085,6423611111</v>
      </c>
      <c r="B1613" s="12" t="str">
        <f t="shared" si="51"/>
        <v>Março</v>
      </c>
      <c r="C1613" s="8" t="s">
        <v>1967</v>
      </c>
      <c r="D1613" s="8" t="s">
        <v>664</v>
      </c>
      <c r="E1613" s="8" t="s">
        <v>1429</v>
      </c>
      <c r="F1613" s="23">
        <v>46085.642361111109</v>
      </c>
      <c r="G1613" s="8" t="s">
        <v>1035</v>
      </c>
      <c r="H1613" s="23">
        <v>46097</v>
      </c>
      <c r="I1613" s="23">
        <v>46085.642361111109</v>
      </c>
      <c r="J1613" s="10">
        <v>1554</v>
      </c>
      <c r="K1613" s="10">
        <v>0</v>
      </c>
      <c r="L1613" s="24">
        <v>0</v>
      </c>
      <c r="M1613" s="10">
        <v>1554</v>
      </c>
    </row>
    <row r="1614" spans="1:13" x14ac:dyDescent="0.25">
      <c r="A1614" s="12" t="str">
        <f t="shared" si="50"/>
        <v>5005118RAISSA DE CARVALHO FIORINECT46085,64375</v>
      </c>
      <c r="B1614" s="12" t="str">
        <f t="shared" si="51"/>
        <v>Março</v>
      </c>
      <c r="C1614" s="8" t="s">
        <v>2064</v>
      </c>
      <c r="D1614" s="8" t="s">
        <v>664</v>
      </c>
      <c r="E1614" s="8" t="s">
        <v>163</v>
      </c>
      <c r="F1614" s="23">
        <v>46085.643750000003</v>
      </c>
      <c r="G1614" s="8" t="s">
        <v>1035</v>
      </c>
      <c r="H1614" s="23">
        <v>46097</v>
      </c>
      <c r="I1614" s="23">
        <v>46085.643750000003</v>
      </c>
      <c r="J1614" s="10">
        <v>1824</v>
      </c>
      <c r="K1614" s="10">
        <v>0</v>
      </c>
      <c r="L1614" s="24">
        <v>0</v>
      </c>
      <c r="M1614" s="10">
        <v>1824</v>
      </c>
    </row>
    <row r="1615" spans="1:13" x14ac:dyDescent="0.25">
      <c r="A1615" s="12" t="str">
        <f t="shared" si="50"/>
        <v>5005119BRUNO HENRIQUE DA SILVACT46085,6444444444</v>
      </c>
      <c r="B1615" s="12" t="str">
        <f t="shared" si="51"/>
        <v>Março</v>
      </c>
      <c r="C1615" s="8" t="s">
        <v>2065</v>
      </c>
      <c r="D1615" s="8" t="s">
        <v>664</v>
      </c>
      <c r="E1615" s="8" t="s">
        <v>29</v>
      </c>
      <c r="F1615" s="23">
        <v>46085.644444444442</v>
      </c>
      <c r="G1615" s="8" t="s">
        <v>1035</v>
      </c>
      <c r="H1615" s="23">
        <v>46097</v>
      </c>
      <c r="I1615" s="23">
        <v>46085.644444444442</v>
      </c>
      <c r="J1615" s="10">
        <v>3431</v>
      </c>
      <c r="K1615" s="10">
        <v>0</v>
      </c>
      <c r="L1615" s="24">
        <v>0</v>
      </c>
      <c r="M1615" s="10">
        <v>3431</v>
      </c>
    </row>
    <row r="1616" spans="1:13" x14ac:dyDescent="0.25">
      <c r="A1616" s="12" t="str">
        <f t="shared" si="50"/>
        <v>5005120BRUNO HENRIQUE DA SILVARCB46090,7638888889</v>
      </c>
      <c r="B1616" s="12" t="str">
        <f t="shared" si="51"/>
        <v>Março</v>
      </c>
      <c r="C1616" s="8" t="s">
        <v>1992</v>
      </c>
      <c r="D1616" s="8" t="s">
        <v>664</v>
      </c>
      <c r="E1616" s="8" t="s">
        <v>29</v>
      </c>
      <c r="F1616" s="23">
        <v>46090.763888888891</v>
      </c>
      <c r="G1616" s="8" t="s">
        <v>1045</v>
      </c>
      <c r="H1616" s="23">
        <v>46093</v>
      </c>
      <c r="I1616" s="23">
        <v>46090.763888888891</v>
      </c>
      <c r="J1616" s="10">
        <v>171.7</v>
      </c>
      <c r="K1616" s="10">
        <v>0</v>
      </c>
      <c r="L1616" s="24">
        <v>0</v>
      </c>
      <c r="M1616" s="10">
        <v>171.7</v>
      </c>
    </row>
    <row r="1617" spans="1:13" x14ac:dyDescent="0.25">
      <c r="A1617" s="12" t="str">
        <f t="shared" si="50"/>
        <v>5005120MARCELO MARTINS DE OLIVEIRACT46085,6458333333</v>
      </c>
      <c r="B1617" s="12" t="str">
        <f t="shared" si="51"/>
        <v>Março</v>
      </c>
      <c r="C1617" s="8" t="s">
        <v>1992</v>
      </c>
      <c r="D1617" s="8" t="s">
        <v>664</v>
      </c>
      <c r="E1617" s="8" t="s">
        <v>121</v>
      </c>
      <c r="F1617" s="23">
        <v>46085.645833333336</v>
      </c>
      <c r="G1617" s="8" t="s">
        <v>1035</v>
      </c>
      <c r="H1617" s="23">
        <v>46097</v>
      </c>
      <c r="I1617" s="23">
        <v>46085.645833333336</v>
      </c>
      <c r="J1617" s="10">
        <v>3039</v>
      </c>
      <c r="K1617" s="10">
        <v>0</v>
      </c>
      <c r="L1617" s="24">
        <v>0</v>
      </c>
      <c r="M1617" s="10">
        <v>3039</v>
      </c>
    </row>
    <row r="1618" spans="1:13" x14ac:dyDescent="0.25">
      <c r="A1618" s="12" t="str">
        <f t="shared" si="50"/>
        <v>5005121MARCELO MARTINS DE OLIVEIRARCB46090,4451388889</v>
      </c>
      <c r="B1618" s="12" t="str">
        <f t="shared" si="51"/>
        <v>Março</v>
      </c>
      <c r="C1618" s="8" t="s">
        <v>1994</v>
      </c>
      <c r="D1618" s="8" t="s">
        <v>664</v>
      </c>
      <c r="E1618" s="8" t="s">
        <v>121</v>
      </c>
      <c r="F1618" s="23">
        <v>46090.445138888892</v>
      </c>
      <c r="G1618" s="8" t="s">
        <v>1045</v>
      </c>
      <c r="H1618" s="23">
        <v>46093</v>
      </c>
      <c r="I1618" s="23">
        <v>46090.445138888892</v>
      </c>
      <c r="J1618" s="10">
        <v>42.7</v>
      </c>
      <c r="K1618" s="10">
        <v>0</v>
      </c>
      <c r="L1618" s="24">
        <v>0</v>
      </c>
      <c r="M1618" s="10">
        <v>42.7</v>
      </c>
    </row>
    <row r="1619" spans="1:13" x14ac:dyDescent="0.25">
      <c r="A1619" s="12" t="str">
        <f t="shared" si="50"/>
        <v>5005121KARINE KEILE DA SILVA BRAGACT46085,6472222222</v>
      </c>
      <c r="B1619" s="12" t="str">
        <f t="shared" si="51"/>
        <v>Março</v>
      </c>
      <c r="C1619" s="8" t="s">
        <v>1994</v>
      </c>
      <c r="D1619" s="8" t="s">
        <v>664</v>
      </c>
      <c r="E1619" s="8" t="s">
        <v>1570</v>
      </c>
      <c r="F1619" s="23">
        <v>46085.647222222222</v>
      </c>
      <c r="G1619" s="8" t="s">
        <v>1035</v>
      </c>
      <c r="H1619" s="23">
        <v>46097</v>
      </c>
      <c r="I1619" s="23">
        <v>46085.647222222222</v>
      </c>
      <c r="J1619" s="10">
        <v>2343</v>
      </c>
      <c r="K1619" s="10">
        <v>0</v>
      </c>
      <c r="L1619" s="24">
        <v>0</v>
      </c>
      <c r="M1619" s="10">
        <v>2343</v>
      </c>
    </row>
    <row r="1620" spans="1:13" x14ac:dyDescent="0.25">
      <c r="A1620" s="12" t="str">
        <f t="shared" si="50"/>
        <v>5005122MARCELO MARTINS DE OLIVEIRARCB46097,4166666667</v>
      </c>
      <c r="B1620" s="12" t="str">
        <f t="shared" si="51"/>
        <v>Março</v>
      </c>
      <c r="C1620" s="8" t="s">
        <v>2066</v>
      </c>
      <c r="D1620" s="8" t="s">
        <v>664</v>
      </c>
      <c r="E1620" s="8" t="s">
        <v>121</v>
      </c>
      <c r="F1620" s="23">
        <v>46097.416666666664</v>
      </c>
      <c r="G1620" s="8" t="s">
        <v>1045</v>
      </c>
      <c r="H1620" s="23">
        <v>46100</v>
      </c>
      <c r="I1620" s="23">
        <v>46097.416666666664</v>
      </c>
      <c r="J1620" s="10">
        <v>42.3</v>
      </c>
      <c r="K1620" s="10">
        <v>0</v>
      </c>
      <c r="L1620" s="24">
        <v>0</v>
      </c>
      <c r="M1620" s="10">
        <v>42.3</v>
      </c>
    </row>
    <row r="1621" spans="1:13" x14ac:dyDescent="0.25">
      <c r="A1621" s="12" t="str">
        <f t="shared" si="50"/>
        <v>5005122LIDIANE ASSIS ROCHACT46085,6479166667</v>
      </c>
      <c r="B1621" s="12" t="str">
        <f t="shared" si="51"/>
        <v>Março</v>
      </c>
      <c r="C1621" s="8" t="s">
        <v>2066</v>
      </c>
      <c r="D1621" s="8" t="s">
        <v>664</v>
      </c>
      <c r="E1621" s="8" t="s">
        <v>110</v>
      </c>
      <c r="F1621" s="23">
        <v>46085.647916666669</v>
      </c>
      <c r="G1621" s="8" t="s">
        <v>1035</v>
      </c>
      <c r="H1621" s="23">
        <v>46097</v>
      </c>
      <c r="I1621" s="23">
        <v>46085.647916666669</v>
      </c>
      <c r="J1621" s="10">
        <v>385</v>
      </c>
      <c r="K1621" s="10">
        <v>0</v>
      </c>
      <c r="L1621" s="24">
        <v>0</v>
      </c>
      <c r="M1621" s="10">
        <v>385</v>
      </c>
    </row>
    <row r="1622" spans="1:13" x14ac:dyDescent="0.25">
      <c r="A1622" s="12" t="str">
        <f t="shared" si="50"/>
        <v>5005123NATANIELLE SILVA DE SOUZA MARQUESCT46085,6493055556</v>
      </c>
      <c r="B1622" s="12" t="str">
        <f t="shared" si="51"/>
        <v>Março</v>
      </c>
      <c r="C1622" s="8" t="s">
        <v>2068</v>
      </c>
      <c r="D1622" s="8" t="s">
        <v>664</v>
      </c>
      <c r="E1622" s="8" t="s">
        <v>135</v>
      </c>
      <c r="F1622" s="23">
        <v>46085.649305555555</v>
      </c>
      <c r="G1622" s="8" t="s">
        <v>1035</v>
      </c>
      <c r="H1622" s="23">
        <v>46097</v>
      </c>
      <c r="I1622" s="23">
        <v>46085.649305555555</v>
      </c>
      <c r="J1622" s="10">
        <v>5282</v>
      </c>
      <c r="K1622" s="10">
        <v>0</v>
      </c>
      <c r="L1622" s="24">
        <v>0</v>
      </c>
      <c r="M1622" s="10">
        <v>5282</v>
      </c>
    </row>
    <row r="1623" spans="1:13" x14ac:dyDescent="0.25">
      <c r="A1623" s="12" t="str">
        <f t="shared" si="50"/>
        <v>5005124NATANIELLE SILVA DE SOUZA MARQUESRCB46086,6270833333</v>
      </c>
      <c r="B1623" s="12" t="str">
        <f t="shared" si="51"/>
        <v>Março</v>
      </c>
      <c r="C1623" s="8" t="s">
        <v>1968</v>
      </c>
      <c r="D1623" s="8" t="s">
        <v>664</v>
      </c>
      <c r="E1623" s="8" t="s">
        <v>135</v>
      </c>
      <c r="F1623" s="23">
        <v>46086.627083333333</v>
      </c>
      <c r="G1623" s="8" t="s">
        <v>1045</v>
      </c>
      <c r="H1623" s="23">
        <v>46092</v>
      </c>
      <c r="I1623" s="23">
        <v>46086.627083333333</v>
      </c>
      <c r="J1623" s="10">
        <v>100.2</v>
      </c>
      <c r="K1623" s="10">
        <v>0</v>
      </c>
      <c r="L1623" s="24">
        <v>0</v>
      </c>
      <c r="M1623" s="10">
        <v>100.2</v>
      </c>
    </row>
    <row r="1624" spans="1:13" x14ac:dyDescent="0.25">
      <c r="A1624" s="12" t="str">
        <f t="shared" si="50"/>
        <v>5005124ELIO BENEDITO NASCIMENTO JUNIORCT46085,6506944444</v>
      </c>
      <c r="B1624" s="12" t="str">
        <f t="shared" si="51"/>
        <v>Março</v>
      </c>
      <c r="C1624" s="8" t="s">
        <v>1968</v>
      </c>
      <c r="D1624" s="8" t="s">
        <v>664</v>
      </c>
      <c r="E1624" s="8" t="s">
        <v>1439</v>
      </c>
      <c r="F1624" s="23">
        <v>46085.650694444441</v>
      </c>
      <c r="G1624" s="8" t="s">
        <v>1035</v>
      </c>
      <c r="H1624" s="23">
        <v>46097</v>
      </c>
      <c r="I1624" s="23">
        <v>46085.650694444441</v>
      </c>
      <c r="J1624" s="10">
        <v>1222</v>
      </c>
      <c r="K1624" s="10">
        <v>0</v>
      </c>
      <c r="L1624" s="24">
        <v>0</v>
      </c>
      <c r="M1624" s="10">
        <v>1222</v>
      </c>
    </row>
    <row r="1625" spans="1:13" x14ac:dyDescent="0.25">
      <c r="A1625" s="12" t="str">
        <f t="shared" si="50"/>
        <v>5005125JOSE MARCIO DA SILVACT46085,6520833333</v>
      </c>
      <c r="B1625" s="12" t="str">
        <f t="shared" si="51"/>
        <v>Março</v>
      </c>
      <c r="C1625" s="8" t="s">
        <v>2069</v>
      </c>
      <c r="D1625" s="8" t="s">
        <v>664</v>
      </c>
      <c r="E1625" s="8" t="s">
        <v>1576</v>
      </c>
      <c r="F1625" s="23">
        <v>46085.652083333334</v>
      </c>
      <c r="G1625" s="8" t="s">
        <v>1035</v>
      </c>
      <c r="H1625" s="23">
        <v>46097</v>
      </c>
      <c r="I1625" s="23">
        <v>46085.652083333334</v>
      </c>
      <c r="J1625" s="10">
        <v>2450</v>
      </c>
      <c r="K1625" s="10">
        <v>0</v>
      </c>
      <c r="L1625" s="24">
        <v>0</v>
      </c>
      <c r="M1625" s="10">
        <v>2450</v>
      </c>
    </row>
    <row r="1626" spans="1:13" x14ac:dyDescent="0.25">
      <c r="A1626" s="12" t="str">
        <f t="shared" si="50"/>
        <v>5005126JOSE ANTONIO SILVACT46085,6527777778</v>
      </c>
      <c r="B1626" s="12" t="str">
        <f t="shared" si="51"/>
        <v>Março</v>
      </c>
      <c r="C1626" s="8" t="s">
        <v>2071</v>
      </c>
      <c r="D1626" s="8" t="s">
        <v>664</v>
      </c>
      <c r="E1626" s="8" t="s">
        <v>99</v>
      </c>
      <c r="F1626" s="23">
        <v>46085.652777777781</v>
      </c>
      <c r="G1626" s="8" t="s">
        <v>1035</v>
      </c>
      <c r="H1626" s="23">
        <v>46097</v>
      </c>
      <c r="I1626" s="23">
        <v>46085.652777777781</v>
      </c>
      <c r="J1626" s="10">
        <v>4703</v>
      </c>
      <c r="K1626" s="10">
        <v>0</v>
      </c>
      <c r="L1626" s="24">
        <v>0</v>
      </c>
      <c r="M1626" s="10">
        <v>4703</v>
      </c>
    </row>
    <row r="1627" spans="1:13" x14ac:dyDescent="0.25">
      <c r="A1627" s="12" t="str">
        <f t="shared" si="50"/>
        <v>5005127JOSE ANTONIO SILVARCB46090,7631944444</v>
      </c>
      <c r="B1627" s="12" t="str">
        <f t="shared" si="51"/>
        <v>Março</v>
      </c>
      <c r="C1627" s="8" t="s">
        <v>1997</v>
      </c>
      <c r="D1627" s="8" t="s">
        <v>664</v>
      </c>
      <c r="E1627" s="8" t="s">
        <v>99</v>
      </c>
      <c r="F1627" s="23">
        <v>46090.763194444444</v>
      </c>
      <c r="G1627" s="8" t="s">
        <v>1045</v>
      </c>
      <c r="H1627" s="23">
        <v>46093</v>
      </c>
      <c r="I1627" s="23">
        <v>46090.763194444444</v>
      </c>
      <c r="J1627" s="10">
        <v>480</v>
      </c>
      <c r="K1627" s="10">
        <v>0</v>
      </c>
      <c r="L1627" s="24">
        <v>0</v>
      </c>
      <c r="M1627" s="10">
        <v>480</v>
      </c>
    </row>
    <row r="1628" spans="1:13" x14ac:dyDescent="0.25">
      <c r="A1628" s="12" t="str">
        <f t="shared" si="50"/>
        <v>5005127DIOGO BONELA TONHACT46085,6541666667</v>
      </c>
      <c r="B1628" s="12" t="str">
        <f t="shared" si="51"/>
        <v>Março</v>
      </c>
      <c r="C1628" s="8" t="s">
        <v>1997</v>
      </c>
      <c r="D1628" s="8" t="s">
        <v>664</v>
      </c>
      <c r="E1628" s="8" t="s">
        <v>52</v>
      </c>
      <c r="F1628" s="23">
        <v>46085.654166666667</v>
      </c>
      <c r="G1628" s="8" t="s">
        <v>1035</v>
      </c>
      <c r="H1628" s="23">
        <v>46097</v>
      </c>
      <c r="I1628" s="23">
        <v>46085.654166666667</v>
      </c>
      <c r="J1628" s="10">
        <v>3690</v>
      </c>
      <c r="K1628" s="10">
        <v>0</v>
      </c>
      <c r="L1628" s="24">
        <v>0</v>
      </c>
      <c r="M1628" s="10">
        <v>3690</v>
      </c>
    </row>
    <row r="1629" spans="1:13" x14ac:dyDescent="0.25">
      <c r="A1629" s="12" t="str">
        <f t="shared" si="50"/>
        <v>5005128DIOGO BONELA TONHARCB46090,4472222222</v>
      </c>
      <c r="B1629" s="12" t="str">
        <f t="shared" si="51"/>
        <v>Março</v>
      </c>
      <c r="C1629" s="8" t="s">
        <v>1999</v>
      </c>
      <c r="D1629" s="8" t="s">
        <v>664</v>
      </c>
      <c r="E1629" s="8" t="s">
        <v>52</v>
      </c>
      <c r="F1629" s="23">
        <v>46090.447222222225</v>
      </c>
      <c r="G1629" s="8" t="s">
        <v>1045</v>
      </c>
      <c r="H1629" s="23">
        <v>46093</v>
      </c>
      <c r="I1629" s="23">
        <v>46090.447222222225</v>
      </c>
      <c r="J1629" s="10">
        <v>71.8</v>
      </c>
      <c r="K1629" s="10">
        <v>0</v>
      </c>
      <c r="L1629" s="24">
        <v>0</v>
      </c>
      <c r="M1629" s="10">
        <v>71.8</v>
      </c>
    </row>
    <row r="1630" spans="1:13" x14ac:dyDescent="0.25">
      <c r="A1630" s="12" t="str">
        <f t="shared" si="50"/>
        <v>5005128THIAGO AUGUSTO DE MEIRACT46085,6555555556</v>
      </c>
      <c r="B1630" s="12" t="str">
        <f t="shared" si="51"/>
        <v>Março</v>
      </c>
      <c r="C1630" s="8" t="s">
        <v>1999</v>
      </c>
      <c r="D1630" s="8" t="s">
        <v>664</v>
      </c>
      <c r="E1630" s="8" t="s">
        <v>2138</v>
      </c>
      <c r="F1630" s="23">
        <v>46085.655555555553</v>
      </c>
      <c r="G1630" s="8" t="s">
        <v>1035</v>
      </c>
      <c r="H1630" s="23">
        <v>46097</v>
      </c>
      <c r="I1630" s="23">
        <v>46085.655555555553</v>
      </c>
      <c r="J1630" s="10">
        <v>1540</v>
      </c>
      <c r="K1630" s="10">
        <v>0</v>
      </c>
      <c r="L1630" s="24">
        <v>0</v>
      </c>
      <c r="M1630" s="10">
        <v>1540</v>
      </c>
    </row>
    <row r="1631" spans="1:13" x14ac:dyDescent="0.25">
      <c r="A1631" s="12" t="str">
        <f t="shared" si="50"/>
        <v>5005129BRENDA LUIZA PEREIRACT46085,65625</v>
      </c>
      <c r="B1631" s="12" t="str">
        <f t="shared" si="51"/>
        <v>Março</v>
      </c>
      <c r="C1631" s="8" t="s">
        <v>2072</v>
      </c>
      <c r="D1631" s="8" t="s">
        <v>664</v>
      </c>
      <c r="E1631" s="8" t="s">
        <v>28</v>
      </c>
      <c r="F1631" s="23">
        <v>46085.65625</v>
      </c>
      <c r="G1631" s="8" t="s">
        <v>1035</v>
      </c>
      <c r="H1631" s="23">
        <v>46097</v>
      </c>
      <c r="I1631" s="23">
        <v>46085.65625</v>
      </c>
      <c r="J1631" s="10">
        <v>4866</v>
      </c>
      <c r="K1631" s="10">
        <v>0</v>
      </c>
      <c r="L1631" s="24">
        <v>0</v>
      </c>
      <c r="M1631" s="10">
        <v>4866</v>
      </c>
    </row>
    <row r="1632" spans="1:13" x14ac:dyDescent="0.25">
      <c r="A1632" s="12" t="str">
        <f t="shared" si="50"/>
        <v>5005130BRENDA LUIZA PEREIRARCB46085,6715277778</v>
      </c>
      <c r="B1632" s="12" t="str">
        <f t="shared" si="51"/>
        <v>Março</v>
      </c>
      <c r="C1632" s="8" t="s">
        <v>1956</v>
      </c>
      <c r="D1632" s="8" t="s">
        <v>664</v>
      </c>
      <c r="E1632" s="8" t="s">
        <v>28</v>
      </c>
      <c r="F1632" s="23">
        <v>46085.671527777777</v>
      </c>
      <c r="G1632" s="8" t="s">
        <v>1045</v>
      </c>
      <c r="H1632" s="23">
        <v>46091</v>
      </c>
      <c r="I1632" s="23">
        <v>46085.671527777777</v>
      </c>
      <c r="J1632" s="10">
        <v>15.4</v>
      </c>
      <c r="K1632" s="10">
        <v>0</v>
      </c>
      <c r="L1632" s="24">
        <v>0</v>
      </c>
      <c r="M1632" s="10">
        <v>15.4</v>
      </c>
    </row>
    <row r="1633" spans="1:13" x14ac:dyDescent="0.25">
      <c r="A1633" s="12" t="str">
        <f t="shared" si="50"/>
        <v>5005130ADRIANO LIANDO DE SOUZACT46085,6576388889</v>
      </c>
      <c r="B1633" s="12" t="str">
        <f t="shared" si="51"/>
        <v>Março</v>
      </c>
      <c r="C1633" s="8" t="s">
        <v>1956</v>
      </c>
      <c r="D1633" s="8" t="s">
        <v>664</v>
      </c>
      <c r="E1633" s="8" t="s">
        <v>2073</v>
      </c>
      <c r="F1633" s="23">
        <v>46085.657638888886</v>
      </c>
      <c r="G1633" s="8" t="s">
        <v>1035</v>
      </c>
      <c r="H1633" s="23">
        <v>46097</v>
      </c>
      <c r="I1633" s="23">
        <v>46085.657638888886</v>
      </c>
      <c r="J1633" s="10">
        <v>1155</v>
      </c>
      <c r="K1633" s="10">
        <v>0</v>
      </c>
      <c r="L1633" s="24">
        <v>0</v>
      </c>
      <c r="M1633" s="10">
        <v>1155</v>
      </c>
    </row>
    <row r="1634" spans="1:13" x14ac:dyDescent="0.25">
      <c r="A1634" s="12" t="str">
        <f t="shared" si="50"/>
        <v>5005131BRENDA LUIZA PEREIRARCB46086,6284722222</v>
      </c>
      <c r="B1634" s="12" t="str">
        <f t="shared" si="51"/>
        <v>Março</v>
      </c>
      <c r="C1634" s="8" t="s">
        <v>1971</v>
      </c>
      <c r="D1634" s="8" t="s">
        <v>664</v>
      </c>
      <c r="E1634" s="8" t="s">
        <v>28</v>
      </c>
      <c r="F1634" s="23">
        <v>46086.628472222219</v>
      </c>
      <c r="G1634" s="8" t="s">
        <v>1045</v>
      </c>
      <c r="H1634" s="23">
        <v>46092</v>
      </c>
      <c r="I1634" s="23">
        <v>46086.628472222219</v>
      </c>
      <c r="J1634" s="10">
        <v>137.16999999999999</v>
      </c>
      <c r="K1634" s="10">
        <v>0</v>
      </c>
      <c r="L1634" s="24">
        <v>0</v>
      </c>
      <c r="M1634" s="10">
        <v>137.16999999999999</v>
      </c>
    </row>
    <row r="1635" spans="1:13" x14ac:dyDescent="0.25">
      <c r="A1635" s="12" t="str">
        <f t="shared" si="50"/>
        <v>5005131RENILSON DIAS DE BRITOCT46100,9243055556</v>
      </c>
      <c r="B1635" s="12" t="str">
        <f t="shared" si="51"/>
        <v>Abril</v>
      </c>
      <c r="C1635" s="8" t="s">
        <v>1971</v>
      </c>
      <c r="D1635" s="8" t="s">
        <v>664</v>
      </c>
      <c r="E1635" s="8" t="s">
        <v>1383</v>
      </c>
      <c r="F1635" s="23">
        <v>46100.924305555556</v>
      </c>
      <c r="G1635" s="8" t="s">
        <v>1035</v>
      </c>
      <c r="H1635" s="23">
        <v>46118</v>
      </c>
      <c r="I1635" s="23">
        <v>46100.924305555556</v>
      </c>
      <c r="J1635" s="10">
        <v>350</v>
      </c>
      <c r="K1635" s="10">
        <v>0</v>
      </c>
      <c r="L1635" s="24">
        <v>0</v>
      </c>
      <c r="M1635" s="10">
        <v>350</v>
      </c>
    </row>
    <row r="1636" spans="1:13" x14ac:dyDescent="0.25">
      <c r="A1636" s="12" t="str">
        <f t="shared" si="50"/>
        <v>5005132MARCOS FILIPE DE ALCANTARA PEREIRACT46100,9263888889</v>
      </c>
      <c r="B1636" s="12" t="str">
        <f t="shared" si="51"/>
        <v>Abril</v>
      </c>
      <c r="C1636" s="8" t="s">
        <v>2158</v>
      </c>
      <c r="D1636" s="8" t="s">
        <v>664</v>
      </c>
      <c r="E1636" s="8" t="s">
        <v>1385</v>
      </c>
      <c r="F1636" s="23">
        <v>46100.926388888889</v>
      </c>
      <c r="G1636" s="8" t="s">
        <v>1035</v>
      </c>
      <c r="H1636" s="23">
        <v>46118</v>
      </c>
      <c r="I1636" s="23">
        <v>46100.926388888889</v>
      </c>
      <c r="J1636" s="10">
        <v>1725</v>
      </c>
      <c r="K1636" s="10">
        <v>0</v>
      </c>
      <c r="L1636" s="24">
        <v>0</v>
      </c>
      <c r="M1636" s="10">
        <v>1725</v>
      </c>
    </row>
    <row r="1637" spans="1:13" x14ac:dyDescent="0.25">
      <c r="A1637" s="12" t="str">
        <f t="shared" si="50"/>
        <v>5005133RAFAEL RODRIGUES FARIACT46100,9277777778</v>
      </c>
      <c r="B1637" s="12" t="str">
        <f t="shared" si="51"/>
        <v>Abril</v>
      </c>
      <c r="C1637" s="8" t="s">
        <v>2160</v>
      </c>
      <c r="D1637" s="8" t="s">
        <v>664</v>
      </c>
      <c r="E1637" s="8" t="s">
        <v>162</v>
      </c>
      <c r="F1637" s="23">
        <v>46100.927777777775</v>
      </c>
      <c r="G1637" s="8" t="s">
        <v>1035</v>
      </c>
      <c r="H1637" s="23">
        <v>46118</v>
      </c>
      <c r="I1637" s="23">
        <v>46100.927777777775</v>
      </c>
      <c r="J1637" s="10">
        <v>2128</v>
      </c>
      <c r="K1637" s="10">
        <v>0</v>
      </c>
      <c r="L1637" s="24">
        <v>0</v>
      </c>
      <c r="M1637" s="10">
        <v>2128</v>
      </c>
    </row>
    <row r="1638" spans="1:13" x14ac:dyDescent="0.25">
      <c r="A1638" s="12" t="str">
        <f t="shared" si="50"/>
        <v>5005134RAFAEL RODRIGUES FARIARCB46111,7</v>
      </c>
      <c r="B1638" s="12" t="str">
        <f t="shared" si="51"/>
        <v>Abril</v>
      </c>
      <c r="C1638" s="8" t="s">
        <v>2132</v>
      </c>
      <c r="D1638" s="8" t="s">
        <v>664</v>
      </c>
      <c r="E1638" s="8" t="s">
        <v>162</v>
      </c>
      <c r="F1638" s="23">
        <v>46111.7</v>
      </c>
      <c r="G1638" s="8" t="s">
        <v>1045</v>
      </c>
      <c r="H1638" s="23">
        <v>46114</v>
      </c>
      <c r="I1638" s="23">
        <v>46111.7</v>
      </c>
      <c r="J1638" s="10">
        <v>91.6</v>
      </c>
      <c r="K1638" s="10">
        <v>0</v>
      </c>
      <c r="L1638" s="24">
        <v>0</v>
      </c>
      <c r="M1638" s="10">
        <v>91.6</v>
      </c>
    </row>
    <row r="1639" spans="1:13" x14ac:dyDescent="0.25">
      <c r="A1639" s="12" t="str">
        <f t="shared" si="50"/>
        <v>5005134EDUARDO GAUDENCIO ROSACT46100,9298611111</v>
      </c>
      <c r="B1639" s="12" t="str">
        <f t="shared" si="51"/>
        <v>Abril</v>
      </c>
      <c r="C1639" s="8" t="s">
        <v>2132</v>
      </c>
      <c r="D1639" s="8" t="s">
        <v>664</v>
      </c>
      <c r="E1639" s="8" t="s">
        <v>58</v>
      </c>
      <c r="F1639" s="23">
        <v>46100.929861111108</v>
      </c>
      <c r="G1639" s="8" t="s">
        <v>1035</v>
      </c>
      <c r="H1639" s="23">
        <v>46118</v>
      </c>
      <c r="I1639" s="23">
        <v>46100.929861111108</v>
      </c>
      <c r="J1639" s="10">
        <v>3674</v>
      </c>
      <c r="K1639" s="10">
        <v>0</v>
      </c>
      <c r="L1639" s="24">
        <v>0</v>
      </c>
      <c r="M1639" s="10">
        <v>3674</v>
      </c>
    </row>
    <row r="1640" spans="1:13" x14ac:dyDescent="0.25">
      <c r="A1640" s="12" t="str">
        <f t="shared" si="50"/>
        <v>5005135EDUARDO GAUDENCIO ROSARCB46111,6986111111</v>
      </c>
      <c r="B1640" s="12" t="str">
        <f t="shared" si="51"/>
        <v>Abril</v>
      </c>
      <c r="C1640" s="8" t="s">
        <v>2133</v>
      </c>
      <c r="D1640" s="8" t="s">
        <v>664</v>
      </c>
      <c r="E1640" s="8" t="s">
        <v>58</v>
      </c>
      <c r="F1640" s="23">
        <v>46111.698611111111</v>
      </c>
      <c r="G1640" s="8" t="s">
        <v>1045</v>
      </c>
      <c r="H1640" s="23">
        <v>46114</v>
      </c>
      <c r="I1640" s="23">
        <v>46111.698611111111</v>
      </c>
      <c r="J1640" s="10">
        <v>235.13</v>
      </c>
      <c r="K1640" s="10">
        <v>0</v>
      </c>
      <c r="L1640" s="24">
        <v>0</v>
      </c>
      <c r="M1640" s="10">
        <v>235.13</v>
      </c>
    </row>
    <row r="1641" spans="1:13" x14ac:dyDescent="0.25">
      <c r="A1641" s="12" t="str">
        <f t="shared" si="50"/>
        <v>5005135CRISTIAN ALVES MOREIRACT46100,9305555556</v>
      </c>
      <c r="B1641" s="12" t="str">
        <f t="shared" si="51"/>
        <v>Abril</v>
      </c>
      <c r="C1641" s="8" t="s">
        <v>2133</v>
      </c>
      <c r="D1641" s="8" t="s">
        <v>664</v>
      </c>
      <c r="E1641" s="8" t="s">
        <v>46</v>
      </c>
      <c r="F1641" s="23">
        <v>46100.930555555555</v>
      </c>
      <c r="G1641" s="8" t="s">
        <v>1035</v>
      </c>
      <c r="H1641" s="23">
        <v>46118</v>
      </c>
      <c r="I1641" s="23">
        <v>46100.930555555555</v>
      </c>
      <c r="J1641" s="10">
        <v>529</v>
      </c>
      <c r="K1641" s="10">
        <v>0</v>
      </c>
      <c r="L1641" s="24">
        <v>0</v>
      </c>
      <c r="M1641" s="10">
        <v>529</v>
      </c>
    </row>
    <row r="1642" spans="1:13" x14ac:dyDescent="0.25">
      <c r="A1642" s="12" t="str">
        <f t="shared" si="50"/>
        <v>5005136PAULO RICARDO SILVACT46100,9319444444</v>
      </c>
      <c r="B1642" s="12" t="str">
        <f t="shared" si="51"/>
        <v>Abril</v>
      </c>
      <c r="C1642" s="8" t="s">
        <v>2162</v>
      </c>
      <c r="D1642" s="8" t="s">
        <v>664</v>
      </c>
      <c r="E1642" s="8" t="s">
        <v>153</v>
      </c>
      <c r="F1642" s="23">
        <v>46100.931944444441</v>
      </c>
      <c r="G1642" s="8" t="s">
        <v>1035</v>
      </c>
      <c r="H1642" s="23">
        <v>46118</v>
      </c>
      <c r="I1642" s="23">
        <v>46100.931944444441</v>
      </c>
      <c r="J1642" s="10">
        <v>1393</v>
      </c>
      <c r="K1642" s="10">
        <v>0</v>
      </c>
      <c r="L1642" s="24">
        <v>0</v>
      </c>
      <c r="M1642" s="10">
        <v>1393</v>
      </c>
    </row>
    <row r="1643" spans="1:13" x14ac:dyDescent="0.25">
      <c r="A1643" s="12" t="str">
        <f t="shared" si="50"/>
        <v>5005137PAULO RICARDO SILVARCB46111,4361111111</v>
      </c>
      <c r="B1643" s="12" t="str">
        <f t="shared" si="51"/>
        <v>Abril</v>
      </c>
      <c r="C1643" s="8" t="s">
        <v>2134</v>
      </c>
      <c r="D1643" s="8" t="s">
        <v>664</v>
      </c>
      <c r="E1643" s="8" t="s">
        <v>153</v>
      </c>
      <c r="F1643" s="23">
        <v>46111.436111111114</v>
      </c>
      <c r="G1643" s="8" t="s">
        <v>1045</v>
      </c>
      <c r="H1643" s="23">
        <v>46114</v>
      </c>
      <c r="I1643" s="23">
        <v>46111.436111111114</v>
      </c>
      <c r="J1643" s="10">
        <v>11</v>
      </c>
      <c r="K1643" s="10">
        <v>0</v>
      </c>
      <c r="L1643" s="24">
        <v>0</v>
      </c>
      <c r="M1643" s="10">
        <v>11</v>
      </c>
    </row>
    <row r="1644" spans="1:13" x14ac:dyDescent="0.25">
      <c r="A1644" s="12" t="str">
        <f t="shared" si="50"/>
        <v>5005137KELISON DINIZ LEMOSCT46100,9333333333</v>
      </c>
      <c r="B1644" s="12" t="str">
        <f t="shared" si="51"/>
        <v>Abril</v>
      </c>
      <c r="C1644" s="8" t="s">
        <v>2134</v>
      </c>
      <c r="D1644" s="8" t="s">
        <v>664</v>
      </c>
      <c r="E1644" s="8" t="s">
        <v>105</v>
      </c>
      <c r="F1644" s="23">
        <v>46100.933333333334</v>
      </c>
      <c r="G1644" s="8" t="s">
        <v>1035</v>
      </c>
      <c r="H1644" s="23">
        <v>46118</v>
      </c>
      <c r="I1644" s="23">
        <v>46100.933333333334</v>
      </c>
      <c r="J1644" s="10">
        <v>724</v>
      </c>
      <c r="K1644" s="10">
        <v>0</v>
      </c>
      <c r="L1644" s="24">
        <v>0</v>
      </c>
      <c r="M1644" s="10">
        <v>724</v>
      </c>
    </row>
    <row r="1645" spans="1:13" x14ac:dyDescent="0.25">
      <c r="A1645" s="12" t="str">
        <f t="shared" si="50"/>
        <v>5005138ADRIANO ROBERTOCT46100,9340277778</v>
      </c>
      <c r="B1645" s="12" t="str">
        <f t="shared" si="51"/>
        <v>Abril</v>
      </c>
      <c r="C1645" s="8" t="s">
        <v>2164</v>
      </c>
      <c r="D1645" s="8" t="s">
        <v>664</v>
      </c>
      <c r="E1645" s="8" t="s">
        <v>8</v>
      </c>
      <c r="F1645" s="23">
        <v>46100.934027777781</v>
      </c>
      <c r="G1645" s="8" t="s">
        <v>1035</v>
      </c>
      <c r="H1645" s="23">
        <v>46118</v>
      </c>
      <c r="I1645" s="23">
        <v>46100.934027777781</v>
      </c>
      <c r="J1645" s="10">
        <v>2457</v>
      </c>
      <c r="K1645" s="10">
        <v>0</v>
      </c>
      <c r="L1645" s="24">
        <v>0</v>
      </c>
      <c r="M1645" s="10">
        <v>2457</v>
      </c>
    </row>
    <row r="1646" spans="1:13" x14ac:dyDescent="0.25">
      <c r="A1646" s="12" t="str">
        <f t="shared" si="50"/>
        <v>5005139ADRIANO ROBERTORCB46105,3680555556</v>
      </c>
      <c r="B1646" s="12" t="str">
        <f t="shared" si="51"/>
        <v>Março</v>
      </c>
      <c r="C1646" s="8" t="s">
        <v>2103</v>
      </c>
      <c r="D1646" s="8" t="s">
        <v>664</v>
      </c>
      <c r="E1646" s="8" t="s">
        <v>8</v>
      </c>
      <c r="F1646" s="23">
        <v>46105.368055555555</v>
      </c>
      <c r="G1646" s="8" t="s">
        <v>1045</v>
      </c>
      <c r="H1646" s="23">
        <v>46108</v>
      </c>
      <c r="I1646" s="23">
        <v>46105.368055555555</v>
      </c>
      <c r="J1646" s="10">
        <v>15.8</v>
      </c>
      <c r="K1646" s="10">
        <v>0</v>
      </c>
      <c r="L1646" s="24">
        <v>0</v>
      </c>
      <c r="M1646" s="10">
        <v>15.8</v>
      </c>
    </row>
    <row r="1647" spans="1:13" x14ac:dyDescent="0.25">
      <c r="A1647" s="12" t="str">
        <f t="shared" si="50"/>
        <v>5005139HUDSON CESAR DA SILVACT46100,9347222222</v>
      </c>
      <c r="B1647" s="12" t="str">
        <f t="shared" si="51"/>
        <v>Abril</v>
      </c>
      <c r="C1647" s="8" t="s">
        <v>2103</v>
      </c>
      <c r="D1647" s="8" t="s">
        <v>664</v>
      </c>
      <c r="E1647" s="8" t="s">
        <v>1407</v>
      </c>
      <c r="F1647" s="23">
        <v>46100.93472222222</v>
      </c>
      <c r="G1647" s="8" t="s">
        <v>1035</v>
      </c>
      <c r="H1647" s="23">
        <v>46118</v>
      </c>
      <c r="I1647" s="23">
        <v>46100.93472222222</v>
      </c>
      <c r="J1647" s="10">
        <v>436</v>
      </c>
      <c r="K1647" s="10">
        <v>0</v>
      </c>
      <c r="L1647" s="24">
        <v>0</v>
      </c>
      <c r="M1647" s="10">
        <v>436</v>
      </c>
    </row>
    <row r="1648" spans="1:13" x14ac:dyDescent="0.25">
      <c r="A1648" s="12" t="str">
        <f t="shared" si="50"/>
        <v>5005140ADRIANO ROBERTORCB46111,4347222222</v>
      </c>
      <c r="B1648" s="12" t="str">
        <f t="shared" si="51"/>
        <v>Abril</v>
      </c>
      <c r="C1648" s="8" t="s">
        <v>2135</v>
      </c>
      <c r="D1648" s="8" t="s">
        <v>664</v>
      </c>
      <c r="E1648" s="8" t="s">
        <v>8</v>
      </c>
      <c r="F1648" s="23">
        <v>46111.43472222222</v>
      </c>
      <c r="G1648" s="8" t="s">
        <v>1045</v>
      </c>
      <c r="H1648" s="23">
        <v>46114</v>
      </c>
      <c r="I1648" s="23">
        <v>46111.43472222222</v>
      </c>
      <c r="J1648" s="10">
        <v>15.8</v>
      </c>
      <c r="K1648" s="10">
        <v>0</v>
      </c>
      <c r="L1648" s="24">
        <v>0</v>
      </c>
      <c r="M1648" s="10">
        <v>15.8</v>
      </c>
    </row>
    <row r="1649" spans="1:13" x14ac:dyDescent="0.25">
      <c r="A1649" s="12" t="str">
        <f t="shared" si="50"/>
        <v>5005140EDSON DE OLIVEIRA DOS SANTOSCT46100,94375</v>
      </c>
      <c r="B1649" s="12" t="str">
        <f t="shared" si="51"/>
        <v>Abril</v>
      </c>
      <c r="C1649" s="8" t="s">
        <v>2135</v>
      </c>
      <c r="D1649" s="8" t="s">
        <v>664</v>
      </c>
      <c r="E1649" s="8" t="s">
        <v>2165</v>
      </c>
      <c r="F1649" s="23">
        <v>46100.943749999999</v>
      </c>
      <c r="G1649" s="8" t="s">
        <v>1035</v>
      </c>
      <c r="H1649" s="23">
        <v>46118</v>
      </c>
      <c r="I1649" s="23">
        <v>46100.943749999999</v>
      </c>
      <c r="J1649" s="10">
        <v>367</v>
      </c>
      <c r="K1649" s="10">
        <v>0</v>
      </c>
      <c r="L1649" s="24">
        <v>0</v>
      </c>
      <c r="M1649" s="10">
        <v>367</v>
      </c>
    </row>
    <row r="1650" spans="1:13" x14ac:dyDescent="0.25">
      <c r="A1650" s="12" t="str">
        <f t="shared" si="50"/>
        <v>5005141JORGE MARTINS BORGES JUNIORCT46100,95</v>
      </c>
      <c r="B1650" s="12" t="str">
        <f t="shared" si="51"/>
        <v>Abril</v>
      </c>
      <c r="C1650" s="8" t="s">
        <v>2168</v>
      </c>
      <c r="D1650" s="8" t="s">
        <v>664</v>
      </c>
      <c r="E1650" s="8" t="s">
        <v>97</v>
      </c>
      <c r="F1650" s="23">
        <v>46100.95</v>
      </c>
      <c r="G1650" s="8" t="s">
        <v>1035</v>
      </c>
      <c r="H1650" s="23">
        <v>46118</v>
      </c>
      <c r="I1650" s="23">
        <v>46100.95</v>
      </c>
      <c r="J1650" s="10">
        <v>3261</v>
      </c>
      <c r="K1650" s="10">
        <v>0</v>
      </c>
      <c r="L1650" s="24">
        <v>0</v>
      </c>
      <c r="M1650" s="10">
        <v>3261</v>
      </c>
    </row>
    <row r="1651" spans="1:13" x14ac:dyDescent="0.25">
      <c r="A1651" s="12" t="str">
        <f t="shared" si="50"/>
        <v>5005142JORGE MARTINS BORGES JUNIORRCB46111,4368055556</v>
      </c>
      <c r="B1651" s="12" t="str">
        <f t="shared" si="51"/>
        <v>Abril</v>
      </c>
      <c r="C1651" s="8" t="s">
        <v>2136</v>
      </c>
      <c r="D1651" s="8" t="s">
        <v>664</v>
      </c>
      <c r="E1651" s="8" t="s">
        <v>97</v>
      </c>
      <c r="F1651" s="23">
        <v>46111.436805555553</v>
      </c>
      <c r="G1651" s="8" t="s">
        <v>1045</v>
      </c>
      <c r="H1651" s="23">
        <v>46114</v>
      </c>
      <c r="I1651" s="23">
        <v>46111.436805555553</v>
      </c>
      <c r="J1651" s="10">
        <v>56</v>
      </c>
      <c r="K1651" s="10">
        <v>0</v>
      </c>
      <c r="L1651" s="24">
        <v>0</v>
      </c>
      <c r="M1651" s="10">
        <v>56</v>
      </c>
    </row>
    <row r="1652" spans="1:13" x14ac:dyDescent="0.25">
      <c r="A1652" s="12" t="str">
        <f t="shared" si="50"/>
        <v>5005142DANIELLE HEBERT CARVALHO PEREIRACT46100,9576388889</v>
      </c>
      <c r="B1652" s="12" t="str">
        <f t="shared" si="51"/>
        <v>Abril</v>
      </c>
      <c r="C1652" s="8" t="s">
        <v>2136</v>
      </c>
      <c r="D1652" s="8" t="s">
        <v>664</v>
      </c>
      <c r="E1652" s="8" t="s">
        <v>48</v>
      </c>
      <c r="F1652" s="23">
        <v>46100.957638888889</v>
      </c>
      <c r="G1652" s="8" t="s">
        <v>1035</v>
      </c>
      <c r="H1652" s="23">
        <v>46118</v>
      </c>
      <c r="I1652" s="23">
        <v>46100.957638888889</v>
      </c>
      <c r="J1652" s="10">
        <v>2315</v>
      </c>
      <c r="K1652" s="10">
        <v>0</v>
      </c>
      <c r="L1652" s="24">
        <v>0</v>
      </c>
      <c r="M1652" s="10">
        <v>2315</v>
      </c>
    </row>
    <row r="1653" spans="1:13" x14ac:dyDescent="0.25">
      <c r="A1653" s="12" t="str">
        <f t="shared" si="50"/>
        <v>5005143JAIME GOMES PARAGUAICT46100,9590277778</v>
      </c>
      <c r="B1653" s="12" t="str">
        <f t="shared" si="51"/>
        <v>Abril</v>
      </c>
      <c r="C1653" s="8" t="s">
        <v>2170</v>
      </c>
      <c r="D1653" s="8" t="s">
        <v>664</v>
      </c>
      <c r="E1653" s="8" t="s">
        <v>87</v>
      </c>
      <c r="F1653" s="23">
        <v>46100.959027777775</v>
      </c>
      <c r="G1653" s="8" t="s">
        <v>1035</v>
      </c>
      <c r="H1653" s="23">
        <v>46118</v>
      </c>
      <c r="I1653" s="23">
        <v>46100.959027777775</v>
      </c>
      <c r="J1653" s="10">
        <v>1709</v>
      </c>
      <c r="K1653" s="10">
        <v>0</v>
      </c>
      <c r="L1653" s="24">
        <v>0</v>
      </c>
      <c r="M1653" s="10">
        <v>1709</v>
      </c>
    </row>
    <row r="1654" spans="1:13" x14ac:dyDescent="0.25">
      <c r="A1654" s="12" t="str">
        <f t="shared" si="50"/>
        <v>5005144CHAYENE AMARALCT46100,9597222222</v>
      </c>
      <c r="B1654" s="12" t="str">
        <f t="shared" si="51"/>
        <v>Abril</v>
      </c>
      <c r="C1654" s="8" t="s">
        <v>2171</v>
      </c>
      <c r="D1654" s="8" t="s">
        <v>664</v>
      </c>
      <c r="E1654" s="8" t="s">
        <v>1424</v>
      </c>
      <c r="F1654" s="23">
        <v>46100.959722222222</v>
      </c>
      <c r="G1654" s="8" t="s">
        <v>1035</v>
      </c>
      <c r="H1654" s="23">
        <v>46118</v>
      </c>
      <c r="I1654" s="23">
        <v>46100.959722222222</v>
      </c>
      <c r="J1654" s="10">
        <v>419</v>
      </c>
      <c r="K1654" s="10">
        <v>0</v>
      </c>
      <c r="L1654" s="24">
        <v>0</v>
      </c>
      <c r="M1654" s="10">
        <v>419</v>
      </c>
    </row>
    <row r="1655" spans="1:13" x14ac:dyDescent="0.25">
      <c r="A1655" s="12" t="str">
        <f t="shared" si="50"/>
        <v>5005145MAGNO APARECIDO DE JESUSCT46100,9611111111</v>
      </c>
      <c r="B1655" s="12" t="str">
        <f t="shared" si="51"/>
        <v>Abril</v>
      </c>
      <c r="C1655" s="8" t="s">
        <v>2172</v>
      </c>
      <c r="D1655" s="8" t="s">
        <v>664</v>
      </c>
      <c r="E1655" s="8" t="s">
        <v>115</v>
      </c>
      <c r="F1655" s="23">
        <v>46100.961111111108</v>
      </c>
      <c r="G1655" s="8" t="s">
        <v>1035</v>
      </c>
      <c r="H1655" s="23">
        <v>46118</v>
      </c>
      <c r="I1655" s="23">
        <v>46100.961111111108</v>
      </c>
      <c r="J1655" s="10">
        <v>2412</v>
      </c>
      <c r="K1655" s="10">
        <v>0</v>
      </c>
      <c r="L1655" s="24">
        <v>0</v>
      </c>
      <c r="M1655" s="10">
        <v>2412</v>
      </c>
    </row>
    <row r="1656" spans="1:13" x14ac:dyDescent="0.25">
      <c r="A1656" s="12" t="str">
        <f t="shared" si="50"/>
        <v>5005146MAURILIO PAULINO DA SILVACT46100,9618055556</v>
      </c>
      <c r="B1656" s="12" t="str">
        <f t="shared" si="51"/>
        <v>Abril</v>
      </c>
      <c r="C1656" s="8" t="s">
        <v>2173</v>
      </c>
      <c r="D1656" s="8" t="s">
        <v>664</v>
      </c>
      <c r="E1656" s="8" t="s">
        <v>1562</v>
      </c>
      <c r="F1656" s="23">
        <v>46100.961805555555</v>
      </c>
      <c r="G1656" s="8" t="s">
        <v>1035</v>
      </c>
      <c r="H1656" s="23">
        <v>46118</v>
      </c>
      <c r="I1656" s="23">
        <v>46100.961805555555</v>
      </c>
      <c r="J1656" s="10">
        <v>350</v>
      </c>
      <c r="K1656" s="10">
        <v>0</v>
      </c>
      <c r="L1656" s="24">
        <v>0</v>
      </c>
      <c r="M1656" s="10">
        <v>350</v>
      </c>
    </row>
    <row r="1657" spans="1:13" x14ac:dyDescent="0.25">
      <c r="A1657" s="12" t="str">
        <f t="shared" si="50"/>
        <v>5005147ARTUR SILVA VIANACT46100,9625</v>
      </c>
      <c r="B1657" s="12" t="str">
        <f t="shared" si="51"/>
        <v>Abril</v>
      </c>
      <c r="C1657" s="8" t="s">
        <v>2174</v>
      </c>
      <c r="D1657" s="8" t="s">
        <v>664</v>
      </c>
      <c r="E1657" s="8" t="s">
        <v>1429</v>
      </c>
      <c r="F1657" s="23">
        <v>46100.962500000001</v>
      </c>
      <c r="G1657" s="8" t="s">
        <v>1035</v>
      </c>
      <c r="H1657" s="23">
        <v>46118</v>
      </c>
      <c r="I1657" s="23">
        <v>46100.962500000001</v>
      </c>
      <c r="J1657" s="10">
        <v>350</v>
      </c>
      <c r="K1657" s="10">
        <v>0</v>
      </c>
      <c r="L1657" s="24">
        <v>0</v>
      </c>
      <c r="M1657" s="10">
        <v>350</v>
      </c>
    </row>
    <row r="1658" spans="1:13" x14ac:dyDescent="0.25">
      <c r="A1658" s="12" t="str">
        <f t="shared" si="50"/>
        <v>5005148RAISSA DE CARVALHO FIORINECT46100,9638888889</v>
      </c>
      <c r="B1658" s="12" t="str">
        <f t="shared" si="51"/>
        <v>Abril</v>
      </c>
      <c r="C1658" s="8" t="s">
        <v>2175</v>
      </c>
      <c r="D1658" s="8" t="s">
        <v>664</v>
      </c>
      <c r="E1658" s="8" t="s">
        <v>163</v>
      </c>
      <c r="F1658" s="23">
        <v>46100.963888888888</v>
      </c>
      <c r="G1658" s="8" t="s">
        <v>1035</v>
      </c>
      <c r="H1658" s="23">
        <v>46118</v>
      </c>
      <c r="I1658" s="23">
        <v>46100.963888888888</v>
      </c>
      <c r="J1658" s="10">
        <v>785</v>
      </c>
      <c r="K1658" s="10">
        <v>0</v>
      </c>
      <c r="L1658" s="24">
        <v>0</v>
      </c>
      <c r="M1658" s="10">
        <v>785</v>
      </c>
    </row>
    <row r="1659" spans="1:13" x14ac:dyDescent="0.25">
      <c r="A1659" s="12" t="str">
        <f t="shared" si="50"/>
        <v>5005149BRUNO HENRIQUE DA SILVACT46100,9645833333</v>
      </c>
      <c r="B1659" s="12" t="str">
        <f t="shared" si="51"/>
        <v>Abril</v>
      </c>
      <c r="C1659" s="8" t="s">
        <v>2176</v>
      </c>
      <c r="D1659" s="8" t="s">
        <v>664</v>
      </c>
      <c r="E1659" s="8" t="s">
        <v>29</v>
      </c>
      <c r="F1659" s="23">
        <v>46100.964583333334</v>
      </c>
      <c r="G1659" s="8" t="s">
        <v>1035</v>
      </c>
      <c r="H1659" s="23">
        <v>46118</v>
      </c>
      <c r="I1659" s="23">
        <v>46100.964583333334</v>
      </c>
      <c r="J1659" s="10">
        <v>1544</v>
      </c>
      <c r="K1659" s="10">
        <v>0</v>
      </c>
      <c r="L1659" s="24">
        <v>0</v>
      </c>
      <c r="M1659" s="10">
        <v>1544</v>
      </c>
    </row>
    <row r="1660" spans="1:13" x14ac:dyDescent="0.25">
      <c r="A1660" s="12" t="str">
        <f t="shared" si="50"/>
        <v>5005150BRUNO HENRIQUE DA SILVARCB46105,4222222222</v>
      </c>
      <c r="B1660" s="12" t="str">
        <f t="shared" si="51"/>
        <v>Março</v>
      </c>
      <c r="C1660" s="8" t="s">
        <v>2105</v>
      </c>
      <c r="D1660" s="8" t="s">
        <v>664</v>
      </c>
      <c r="E1660" s="8" t="s">
        <v>29</v>
      </c>
      <c r="F1660" s="23">
        <v>46105.422222222223</v>
      </c>
      <c r="G1660" s="8" t="s">
        <v>1045</v>
      </c>
      <c r="H1660" s="23">
        <v>46108</v>
      </c>
      <c r="I1660" s="23">
        <v>46105.422222222223</v>
      </c>
      <c r="J1660" s="10">
        <v>40.4</v>
      </c>
      <c r="K1660" s="10">
        <v>0</v>
      </c>
      <c r="L1660" s="24">
        <v>0</v>
      </c>
      <c r="M1660" s="10">
        <v>40.4</v>
      </c>
    </row>
    <row r="1661" spans="1:13" x14ac:dyDescent="0.25">
      <c r="A1661" s="12" t="str">
        <f t="shared" si="50"/>
        <v>5005150MARCELO MARTINS DE OLIVEIRACT46100,9659722222</v>
      </c>
      <c r="B1661" s="12" t="str">
        <f t="shared" si="51"/>
        <v>Abril</v>
      </c>
      <c r="C1661" s="8" t="s">
        <v>2105</v>
      </c>
      <c r="D1661" s="8" t="s">
        <v>664</v>
      </c>
      <c r="E1661" s="8" t="s">
        <v>121</v>
      </c>
      <c r="F1661" s="23">
        <v>46100.96597222222</v>
      </c>
      <c r="G1661" s="8" t="s">
        <v>1035</v>
      </c>
      <c r="H1661" s="23">
        <v>46118</v>
      </c>
      <c r="I1661" s="23">
        <v>46100.96597222222</v>
      </c>
      <c r="J1661" s="10">
        <v>1956</v>
      </c>
      <c r="K1661" s="10">
        <v>0</v>
      </c>
      <c r="L1661" s="24">
        <v>0</v>
      </c>
      <c r="M1661" s="10">
        <v>1956</v>
      </c>
    </row>
    <row r="1662" spans="1:13" x14ac:dyDescent="0.25">
      <c r="A1662" s="12" t="str">
        <f t="shared" si="50"/>
        <v>5005151MARCELO MARTINS DE OLIVEIRARCB46105,3694444444</v>
      </c>
      <c r="B1662" s="12" t="str">
        <f t="shared" si="51"/>
        <v>Março</v>
      </c>
      <c r="C1662" s="8" t="s">
        <v>2106</v>
      </c>
      <c r="D1662" s="8" t="s">
        <v>664</v>
      </c>
      <c r="E1662" s="8" t="s">
        <v>121</v>
      </c>
      <c r="F1662" s="23">
        <v>46105.369444444441</v>
      </c>
      <c r="G1662" s="8" t="s">
        <v>1045</v>
      </c>
      <c r="H1662" s="23">
        <v>46108</v>
      </c>
      <c r="I1662" s="23">
        <v>46105.369444444441</v>
      </c>
      <c r="J1662" s="10">
        <v>46.3</v>
      </c>
      <c r="K1662" s="10">
        <v>0</v>
      </c>
      <c r="L1662" s="24">
        <v>0</v>
      </c>
      <c r="M1662" s="10">
        <v>46.3</v>
      </c>
    </row>
    <row r="1663" spans="1:13" x14ac:dyDescent="0.25">
      <c r="A1663" s="12" t="str">
        <f t="shared" si="50"/>
        <v>5005151KARINE KEILE DA SILVA BRAGACT46100,9666666667</v>
      </c>
      <c r="B1663" s="12" t="str">
        <f t="shared" si="51"/>
        <v>Abril</v>
      </c>
      <c r="C1663" s="8" t="s">
        <v>2106</v>
      </c>
      <c r="D1663" s="8" t="s">
        <v>664</v>
      </c>
      <c r="E1663" s="8" t="s">
        <v>1570</v>
      </c>
      <c r="F1663" s="23">
        <v>46100.966666666667</v>
      </c>
      <c r="G1663" s="8" t="s">
        <v>1035</v>
      </c>
      <c r="H1663" s="23">
        <v>46118</v>
      </c>
      <c r="I1663" s="23">
        <v>46100.966666666667</v>
      </c>
      <c r="J1663" s="10">
        <v>1400</v>
      </c>
      <c r="K1663" s="10">
        <v>0</v>
      </c>
      <c r="L1663" s="24">
        <v>0</v>
      </c>
      <c r="M1663" s="10">
        <v>1400</v>
      </c>
    </row>
    <row r="1664" spans="1:13" x14ac:dyDescent="0.25">
      <c r="A1664" s="12" t="str">
        <f t="shared" si="50"/>
        <v>5005152LIDIANE ASSIS ROCHACT46100,9673611111</v>
      </c>
      <c r="B1664" s="12" t="str">
        <f t="shared" si="51"/>
        <v>Abril</v>
      </c>
      <c r="C1664" s="8" t="s">
        <v>2179</v>
      </c>
      <c r="D1664" s="8" t="s">
        <v>664</v>
      </c>
      <c r="E1664" s="8" t="s">
        <v>110</v>
      </c>
      <c r="F1664" s="23">
        <v>46100.967361111114</v>
      </c>
      <c r="G1664" s="8" t="s">
        <v>1035</v>
      </c>
      <c r="H1664" s="23">
        <v>46118</v>
      </c>
      <c r="I1664" s="23">
        <v>46100.967361111114</v>
      </c>
      <c r="J1664" s="10">
        <v>643</v>
      </c>
      <c r="K1664" s="10">
        <v>0</v>
      </c>
      <c r="L1664" s="24">
        <v>0</v>
      </c>
      <c r="M1664" s="10">
        <v>643</v>
      </c>
    </row>
    <row r="1665" spans="1:13" x14ac:dyDescent="0.25">
      <c r="A1665" s="12" t="str">
        <f t="shared" si="50"/>
        <v>5005153NATANIELLE SILVA DE SOUZA MARQUESCT46100,96875</v>
      </c>
      <c r="B1665" s="12" t="str">
        <f t="shared" si="51"/>
        <v>Abril</v>
      </c>
      <c r="C1665" s="8" t="s">
        <v>2181</v>
      </c>
      <c r="D1665" s="8" t="s">
        <v>664</v>
      </c>
      <c r="E1665" s="8" t="s">
        <v>135</v>
      </c>
      <c r="F1665" s="23">
        <v>46100.96875</v>
      </c>
      <c r="G1665" s="8" t="s">
        <v>1035</v>
      </c>
      <c r="H1665" s="23">
        <v>46118</v>
      </c>
      <c r="I1665" s="23">
        <v>46100.96875</v>
      </c>
      <c r="J1665" s="10">
        <v>2279</v>
      </c>
      <c r="K1665" s="10">
        <v>0</v>
      </c>
      <c r="L1665" s="24">
        <v>0</v>
      </c>
      <c r="M1665" s="10">
        <v>2279</v>
      </c>
    </row>
    <row r="1666" spans="1:13" x14ac:dyDescent="0.25">
      <c r="A1666" s="12" t="str">
        <f t="shared" ref="A1666:A1729" si="52">$C1666&amp;$E1666&amp;$G1666&amp;$F1666</f>
        <v>5005154NATANIELLE SILVA DE SOUZA MARQUESRCB46105,4194444444</v>
      </c>
      <c r="B1666" s="12" t="str">
        <f t="shared" si="51"/>
        <v>Março</v>
      </c>
      <c r="C1666" s="8" t="s">
        <v>2107</v>
      </c>
      <c r="D1666" s="8" t="s">
        <v>664</v>
      </c>
      <c r="E1666" s="8" t="s">
        <v>135</v>
      </c>
      <c r="F1666" s="23">
        <v>46105.419444444444</v>
      </c>
      <c r="G1666" s="8" t="s">
        <v>1045</v>
      </c>
      <c r="H1666" s="23">
        <v>46108</v>
      </c>
      <c r="I1666" s="23">
        <v>46105.419444444444</v>
      </c>
      <c r="J1666" s="10">
        <v>89.3</v>
      </c>
      <c r="K1666" s="10">
        <v>0</v>
      </c>
      <c r="L1666" s="24">
        <v>0</v>
      </c>
      <c r="M1666" s="10">
        <v>89.3</v>
      </c>
    </row>
    <row r="1667" spans="1:13" x14ac:dyDescent="0.25">
      <c r="A1667" s="12" t="str">
        <f t="shared" si="52"/>
        <v>5005154JOSE MARCIO DA SILVACT46100,9694444444</v>
      </c>
      <c r="B1667" s="12" t="str">
        <f t="shared" ref="B1667:B1730" si="53">PROPER(TEXT($H1667,"MMMM"))</f>
        <v>Abril</v>
      </c>
      <c r="C1667" s="8" t="s">
        <v>2107</v>
      </c>
      <c r="D1667" s="8" t="s">
        <v>664</v>
      </c>
      <c r="E1667" s="8" t="s">
        <v>1576</v>
      </c>
      <c r="F1667" s="23">
        <v>46100.969444444447</v>
      </c>
      <c r="G1667" s="8" t="s">
        <v>1035</v>
      </c>
      <c r="H1667" s="23">
        <v>46118</v>
      </c>
      <c r="I1667" s="23">
        <v>46100.969444444447</v>
      </c>
      <c r="J1667" s="10">
        <v>700</v>
      </c>
      <c r="K1667" s="10">
        <v>0</v>
      </c>
      <c r="L1667" s="24">
        <v>0</v>
      </c>
      <c r="M1667" s="10">
        <v>700</v>
      </c>
    </row>
    <row r="1668" spans="1:13" x14ac:dyDescent="0.25">
      <c r="A1668" s="12" t="str">
        <f t="shared" si="52"/>
        <v>5005155JOSE ANTONIO SILVACT46100,9701388889</v>
      </c>
      <c r="B1668" s="12" t="str">
        <f t="shared" si="53"/>
        <v>Abril</v>
      </c>
      <c r="C1668" s="8" t="s">
        <v>2185</v>
      </c>
      <c r="D1668" s="8" t="s">
        <v>664</v>
      </c>
      <c r="E1668" s="8" t="s">
        <v>99</v>
      </c>
      <c r="F1668" s="23">
        <v>46100.970138888886</v>
      </c>
      <c r="G1668" s="8" t="s">
        <v>1035</v>
      </c>
      <c r="H1668" s="23">
        <v>46118</v>
      </c>
      <c r="I1668" s="23">
        <v>46100.970138888886</v>
      </c>
      <c r="J1668" s="10">
        <v>909</v>
      </c>
      <c r="K1668" s="10">
        <v>0</v>
      </c>
      <c r="L1668" s="24">
        <v>0</v>
      </c>
      <c r="M1668" s="10">
        <v>909</v>
      </c>
    </row>
    <row r="1669" spans="1:13" x14ac:dyDescent="0.25">
      <c r="A1669" s="12" t="str">
        <f t="shared" si="52"/>
        <v>5005156JOSE ANTONIO SILVARCB46105,41875</v>
      </c>
      <c r="B1669" s="12" t="str">
        <f t="shared" si="53"/>
        <v>Março</v>
      </c>
      <c r="C1669" s="8" t="s">
        <v>2108</v>
      </c>
      <c r="D1669" s="8" t="s">
        <v>664</v>
      </c>
      <c r="E1669" s="8" t="s">
        <v>99</v>
      </c>
      <c r="F1669" s="23">
        <v>46105.418749999997</v>
      </c>
      <c r="G1669" s="8" t="s">
        <v>1045</v>
      </c>
      <c r="H1669" s="23">
        <v>46108</v>
      </c>
      <c r="I1669" s="23">
        <v>46105.418749999997</v>
      </c>
      <c r="J1669" s="10">
        <v>179</v>
      </c>
      <c r="K1669" s="10">
        <v>0</v>
      </c>
      <c r="L1669" s="24">
        <v>0</v>
      </c>
      <c r="M1669" s="10">
        <v>179</v>
      </c>
    </row>
    <row r="1670" spans="1:13" x14ac:dyDescent="0.25">
      <c r="A1670" s="12" t="str">
        <f t="shared" si="52"/>
        <v>5005156DIOGO BONELA TONHACT46100,9715277778</v>
      </c>
      <c r="B1670" s="12" t="str">
        <f t="shared" si="53"/>
        <v>Abril</v>
      </c>
      <c r="C1670" s="8" t="s">
        <v>2108</v>
      </c>
      <c r="D1670" s="8" t="s">
        <v>664</v>
      </c>
      <c r="E1670" s="8" t="s">
        <v>52</v>
      </c>
      <c r="F1670" s="23">
        <v>46100.97152777778</v>
      </c>
      <c r="G1670" s="8" t="s">
        <v>1035</v>
      </c>
      <c r="H1670" s="23">
        <v>46118</v>
      </c>
      <c r="I1670" s="23">
        <v>46100.97152777778</v>
      </c>
      <c r="J1670" s="10">
        <v>1324</v>
      </c>
      <c r="K1670" s="10">
        <v>0</v>
      </c>
      <c r="L1670" s="24">
        <v>0</v>
      </c>
      <c r="M1670" s="10">
        <v>1324</v>
      </c>
    </row>
    <row r="1671" spans="1:13" x14ac:dyDescent="0.25">
      <c r="A1671" s="12" t="str">
        <f t="shared" si="52"/>
        <v>5005157THIAGO AUGUSTO DE MEIRACT46100,9722222222</v>
      </c>
      <c r="B1671" s="12" t="str">
        <f t="shared" si="53"/>
        <v>Abril</v>
      </c>
      <c r="C1671" s="8" t="s">
        <v>2186</v>
      </c>
      <c r="D1671" s="8" t="s">
        <v>664</v>
      </c>
      <c r="E1671" s="8" t="s">
        <v>2138</v>
      </c>
      <c r="F1671" s="23">
        <v>46100.972222222219</v>
      </c>
      <c r="G1671" s="8" t="s">
        <v>1035</v>
      </c>
      <c r="H1671" s="23">
        <v>46118</v>
      </c>
      <c r="I1671" s="23">
        <v>46100.972222222219</v>
      </c>
      <c r="J1671" s="10">
        <v>385</v>
      </c>
      <c r="K1671" s="10">
        <v>0</v>
      </c>
      <c r="L1671" s="24">
        <v>0</v>
      </c>
      <c r="M1671" s="10">
        <v>385</v>
      </c>
    </row>
    <row r="1672" spans="1:13" x14ac:dyDescent="0.25">
      <c r="A1672" s="12" t="str">
        <f t="shared" si="52"/>
        <v>5005158BRENDA LUIZA PEREIRACT46100,9729166667</v>
      </c>
      <c r="B1672" s="12" t="str">
        <f t="shared" si="53"/>
        <v>Abril</v>
      </c>
      <c r="C1672" s="8" t="s">
        <v>2188</v>
      </c>
      <c r="D1672" s="8" t="s">
        <v>664</v>
      </c>
      <c r="E1672" s="8" t="s">
        <v>28</v>
      </c>
      <c r="F1672" s="23">
        <v>46100.972916666666</v>
      </c>
      <c r="G1672" s="8" t="s">
        <v>1035</v>
      </c>
      <c r="H1672" s="23">
        <v>46118</v>
      </c>
      <c r="I1672" s="23">
        <v>46100.972916666666</v>
      </c>
      <c r="J1672" s="10">
        <v>2152</v>
      </c>
      <c r="K1672" s="10">
        <v>0</v>
      </c>
      <c r="L1672" s="24">
        <v>0</v>
      </c>
      <c r="M1672" s="10">
        <v>2152</v>
      </c>
    </row>
    <row r="1673" spans="1:13" x14ac:dyDescent="0.25">
      <c r="A1673" s="12" t="str">
        <f t="shared" si="52"/>
        <v>5005159BRENDA LUIZA PEREIRARCB46105,4208333333</v>
      </c>
      <c r="B1673" s="12" t="str">
        <f t="shared" si="53"/>
        <v>Março</v>
      </c>
      <c r="C1673" s="8" t="s">
        <v>2109</v>
      </c>
      <c r="D1673" s="8" t="s">
        <v>664</v>
      </c>
      <c r="E1673" s="8" t="s">
        <v>28</v>
      </c>
      <c r="F1673" s="23">
        <v>46105.42083333333</v>
      </c>
      <c r="G1673" s="8" t="s">
        <v>1045</v>
      </c>
      <c r="H1673" s="23">
        <v>46108</v>
      </c>
      <c r="I1673" s="23">
        <v>46105.42083333333</v>
      </c>
      <c r="J1673" s="10">
        <v>55.2</v>
      </c>
      <c r="K1673" s="10">
        <v>0</v>
      </c>
      <c r="L1673" s="24">
        <v>0</v>
      </c>
      <c r="M1673" s="10">
        <v>55.2</v>
      </c>
    </row>
    <row r="1674" spans="1:13" x14ac:dyDescent="0.25">
      <c r="A1674" s="12" t="str">
        <f t="shared" si="52"/>
        <v>5005159ADRIANO LIANDO DE SOUZACT46100,9736111111</v>
      </c>
      <c r="B1674" s="12" t="str">
        <f t="shared" si="53"/>
        <v>Abril</v>
      </c>
      <c r="C1674" s="8" t="s">
        <v>2109</v>
      </c>
      <c r="D1674" s="8" t="s">
        <v>664</v>
      </c>
      <c r="E1674" s="8" t="s">
        <v>2073</v>
      </c>
      <c r="F1674" s="23">
        <v>46100.973611111112</v>
      </c>
      <c r="G1674" s="8" t="s">
        <v>1035</v>
      </c>
      <c r="H1674" s="23">
        <v>46118</v>
      </c>
      <c r="I1674" s="23">
        <v>46100.973611111112</v>
      </c>
      <c r="J1674" s="10">
        <v>385</v>
      </c>
      <c r="K1674" s="10">
        <v>0</v>
      </c>
      <c r="L1674" s="24">
        <v>0</v>
      </c>
      <c r="M1674" s="10">
        <v>385</v>
      </c>
    </row>
    <row r="1675" spans="1:13" x14ac:dyDescent="0.25">
      <c r="A1675" s="12" t="str">
        <f t="shared" si="52"/>
        <v>5005160CARLOS ANTONIO PINTOCT46101,45625</v>
      </c>
      <c r="B1675" s="12" t="str">
        <f t="shared" si="53"/>
        <v>Abril</v>
      </c>
      <c r="C1675" s="8" t="s">
        <v>2167</v>
      </c>
      <c r="D1675" s="8" t="s">
        <v>664</v>
      </c>
      <c r="E1675" s="8" t="s">
        <v>36</v>
      </c>
      <c r="F1675" s="23">
        <v>46101.456250000003</v>
      </c>
      <c r="G1675" s="8" t="s">
        <v>1035</v>
      </c>
      <c r="H1675" s="23">
        <v>46118</v>
      </c>
      <c r="I1675" s="23">
        <v>46101.456250000003</v>
      </c>
      <c r="J1675" s="10">
        <v>3250</v>
      </c>
      <c r="K1675" s="10">
        <v>0</v>
      </c>
      <c r="L1675" s="24">
        <v>0</v>
      </c>
      <c r="M1675" s="10">
        <v>3250</v>
      </c>
    </row>
    <row r="1676" spans="1:13" x14ac:dyDescent="0.25">
      <c r="A1676" s="12" t="str">
        <f t="shared" si="52"/>
        <v>5005161CARLOS ANTONIO PINTORCB46105,4201388889</v>
      </c>
      <c r="B1676" s="12" t="str">
        <f t="shared" si="53"/>
        <v>Março</v>
      </c>
      <c r="C1676" s="8" t="s">
        <v>2104</v>
      </c>
      <c r="D1676" s="8" t="s">
        <v>664</v>
      </c>
      <c r="E1676" s="8" t="s">
        <v>36</v>
      </c>
      <c r="F1676" s="23">
        <v>46105.420138888891</v>
      </c>
      <c r="G1676" s="8" t="s">
        <v>1045</v>
      </c>
      <c r="H1676" s="23">
        <v>46108</v>
      </c>
      <c r="I1676" s="23">
        <v>46105.420138888891</v>
      </c>
      <c r="J1676" s="10">
        <v>482.8</v>
      </c>
      <c r="K1676" s="10">
        <v>0</v>
      </c>
      <c r="L1676" s="24">
        <v>0</v>
      </c>
      <c r="M1676" s="10">
        <v>482.8</v>
      </c>
    </row>
    <row r="1677" spans="1:13" x14ac:dyDescent="0.25">
      <c r="A1677" s="12" t="str">
        <f t="shared" si="52"/>
        <v>5005161CARLA EDUARDA MACHADO GONCALVESCT46105,8506944444</v>
      </c>
      <c r="B1677" s="12" t="str">
        <f t="shared" si="53"/>
        <v>Abril</v>
      </c>
      <c r="C1677" s="8" t="s">
        <v>2104</v>
      </c>
      <c r="D1677" s="8" t="s">
        <v>664</v>
      </c>
      <c r="E1677" s="8" t="s">
        <v>2161</v>
      </c>
      <c r="F1677" s="23">
        <v>46105.850694444445</v>
      </c>
      <c r="G1677" s="8" t="s">
        <v>1035</v>
      </c>
      <c r="H1677" s="23">
        <v>46118</v>
      </c>
      <c r="I1677" s="23">
        <v>46105.850694444445</v>
      </c>
      <c r="J1677" s="10">
        <v>706</v>
      </c>
      <c r="K1677" s="10">
        <v>0</v>
      </c>
      <c r="L1677" s="24">
        <v>0</v>
      </c>
      <c r="M1677" s="10">
        <v>706</v>
      </c>
    </row>
    <row r="1678" spans="1:13" x14ac:dyDescent="0.25">
      <c r="A1678" s="12" t="str">
        <f t="shared" si="52"/>
        <v>5005162RENILSON DIAS DE BRITOCT46113,8965277778</v>
      </c>
      <c r="B1678" s="12" t="str">
        <f t="shared" si="53"/>
        <v>Abril</v>
      </c>
      <c r="C1678" s="8" t="s">
        <v>2245</v>
      </c>
      <c r="D1678" s="8" t="s">
        <v>664</v>
      </c>
      <c r="E1678" s="8" t="s">
        <v>1383</v>
      </c>
      <c r="F1678" s="23">
        <v>46113.896527777775</v>
      </c>
      <c r="G1678" s="8" t="s">
        <v>1035</v>
      </c>
      <c r="H1678" s="23">
        <v>46128</v>
      </c>
      <c r="I1678" s="23">
        <v>46113.896527777775</v>
      </c>
      <c r="J1678" s="10">
        <v>1750</v>
      </c>
      <c r="K1678" s="10">
        <v>0</v>
      </c>
      <c r="L1678" s="24">
        <v>0</v>
      </c>
      <c r="M1678" s="10">
        <v>1750</v>
      </c>
    </row>
    <row r="1679" spans="1:13" x14ac:dyDescent="0.25">
      <c r="A1679" s="12" t="str">
        <f t="shared" si="52"/>
        <v>5005163FABIO LUIZ TEIXEIRA DE ARRUDACT46113,8986111111</v>
      </c>
      <c r="B1679" s="12" t="str">
        <f t="shared" si="53"/>
        <v>Abril</v>
      </c>
      <c r="C1679" s="8" t="s">
        <v>2246</v>
      </c>
      <c r="D1679" s="8" t="s">
        <v>664</v>
      </c>
      <c r="E1679" s="8" t="s">
        <v>1520</v>
      </c>
      <c r="F1679" s="23">
        <v>46113.898611111108</v>
      </c>
      <c r="G1679" s="8" t="s">
        <v>1035</v>
      </c>
      <c r="H1679" s="23">
        <v>46128</v>
      </c>
      <c r="I1679" s="23">
        <v>46113.898611111108</v>
      </c>
      <c r="J1679" s="10">
        <v>770</v>
      </c>
      <c r="K1679" s="10">
        <v>0</v>
      </c>
      <c r="L1679" s="24">
        <v>0</v>
      </c>
      <c r="M1679" s="10">
        <v>770</v>
      </c>
    </row>
    <row r="1680" spans="1:13" x14ac:dyDescent="0.25">
      <c r="A1680" s="12" t="str">
        <f t="shared" si="52"/>
        <v>5005164MARCOS FILIPE DE ALCANTARA PEREIRACT46113,9</v>
      </c>
      <c r="B1680" s="12" t="str">
        <f t="shared" si="53"/>
        <v>Abril</v>
      </c>
      <c r="C1680" s="8" t="s">
        <v>2247</v>
      </c>
      <c r="D1680" s="8" t="s">
        <v>664</v>
      </c>
      <c r="E1680" s="8" t="s">
        <v>1385</v>
      </c>
      <c r="F1680" s="23">
        <v>46113.9</v>
      </c>
      <c r="G1680" s="8" t="s">
        <v>1035</v>
      </c>
      <c r="H1680" s="23">
        <v>46128</v>
      </c>
      <c r="I1680" s="23">
        <v>46113.9</v>
      </c>
      <c r="J1680" s="10">
        <v>3017</v>
      </c>
      <c r="K1680" s="10">
        <v>0</v>
      </c>
      <c r="L1680" s="24">
        <v>0</v>
      </c>
      <c r="M1680" s="10">
        <v>3017</v>
      </c>
    </row>
    <row r="1681" spans="1:13" x14ac:dyDescent="0.25">
      <c r="A1681" s="12" t="str">
        <f t="shared" si="52"/>
        <v>5005164FABIO LUIZ TEIXEIRA DE ARRUDARCB46162,3652777778</v>
      </c>
      <c r="B1681" s="12" t="str">
        <f t="shared" si="53"/>
        <v>Maio</v>
      </c>
      <c r="C1681" s="8" t="s">
        <v>2247</v>
      </c>
      <c r="D1681" s="8" t="s">
        <v>664</v>
      </c>
      <c r="E1681" s="8" t="s">
        <v>1520</v>
      </c>
      <c r="F1681" s="23">
        <v>46162.365277777775</v>
      </c>
      <c r="G1681" s="8" t="s">
        <v>1045</v>
      </c>
      <c r="H1681" s="23">
        <v>46167</v>
      </c>
      <c r="I1681" s="23">
        <v>46162.365277777775</v>
      </c>
      <c r="J1681" s="10">
        <v>207.6</v>
      </c>
      <c r="K1681" s="10">
        <v>0</v>
      </c>
      <c r="L1681" s="24">
        <v>0</v>
      </c>
      <c r="M1681" s="10">
        <v>207.6</v>
      </c>
    </row>
    <row r="1682" spans="1:13" x14ac:dyDescent="0.25">
      <c r="A1682" s="12" t="str">
        <f t="shared" si="52"/>
        <v>5005165MARCOS FILIPE DE ALCANTARA PEREIRARCB46121,3847222222</v>
      </c>
      <c r="B1682" s="12" t="str">
        <f t="shared" si="53"/>
        <v>Abril</v>
      </c>
      <c r="C1682" s="8" t="s">
        <v>2205</v>
      </c>
      <c r="D1682" s="8" t="s">
        <v>664</v>
      </c>
      <c r="E1682" s="8" t="s">
        <v>1385</v>
      </c>
      <c r="F1682" s="23">
        <v>46121.384722222225</v>
      </c>
      <c r="G1682" s="8" t="s">
        <v>1045</v>
      </c>
      <c r="H1682" s="23">
        <v>46126</v>
      </c>
      <c r="I1682" s="23">
        <v>46121.384722222225</v>
      </c>
      <c r="J1682" s="10">
        <v>62</v>
      </c>
      <c r="K1682" s="10">
        <v>0</v>
      </c>
      <c r="L1682" s="24">
        <v>0</v>
      </c>
      <c r="M1682" s="10">
        <v>62</v>
      </c>
    </row>
    <row r="1683" spans="1:13" x14ac:dyDescent="0.25">
      <c r="A1683" s="12" t="str">
        <f t="shared" si="52"/>
        <v>5005165CLAUDIONOR GERALDO DE SOUZACT46113,9013888889</v>
      </c>
      <c r="B1683" s="12" t="str">
        <f t="shared" si="53"/>
        <v>Abril</v>
      </c>
      <c r="C1683" s="8" t="s">
        <v>2205</v>
      </c>
      <c r="D1683" s="8" t="s">
        <v>664</v>
      </c>
      <c r="E1683" s="8" t="s">
        <v>1523</v>
      </c>
      <c r="F1683" s="23">
        <v>46113.901388888888</v>
      </c>
      <c r="G1683" s="8" t="s">
        <v>1035</v>
      </c>
      <c r="H1683" s="23">
        <v>46128</v>
      </c>
      <c r="I1683" s="23">
        <v>46113.901388888888</v>
      </c>
      <c r="J1683" s="10">
        <v>385</v>
      </c>
      <c r="K1683" s="10">
        <v>0</v>
      </c>
      <c r="L1683" s="24">
        <v>0</v>
      </c>
      <c r="M1683" s="10">
        <v>385</v>
      </c>
    </row>
    <row r="1684" spans="1:13" x14ac:dyDescent="0.25">
      <c r="A1684" s="12" t="str">
        <f t="shared" si="52"/>
        <v>5005166VICTOR HUGO SILVA BALBINOCT46113,9027777778</v>
      </c>
      <c r="B1684" s="12" t="str">
        <f t="shared" si="53"/>
        <v>Abril</v>
      </c>
      <c r="C1684" s="8" t="s">
        <v>2248</v>
      </c>
      <c r="D1684" s="8" t="s">
        <v>664</v>
      </c>
      <c r="E1684" s="8" t="s">
        <v>198</v>
      </c>
      <c r="F1684" s="23">
        <v>46113.902777777781</v>
      </c>
      <c r="G1684" s="8" t="s">
        <v>1035</v>
      </c>
      <c r="H1684" s="23">
        <v>46128</v>
      </c>
      <c r="I1684" s="23">
        <v>46113.902777777781</v>
      </c>
      <c r="J1684" s="10">
        <v>2695</v>
      </c>
      <c r="K1684" s="10">
        <v>0</v>
      </c>
      <c r="L1684" s="24">
        <v>0</v>
      </c>
      <c r="M1684" s="10">
        <v>2695</v>
      </c>
    </row>
    <row r="1685" spans="1:13" x14ac:dyDescent="0.25">
      <c r="A1685" s="12" t="str">
        <f t="shared" si="52"/>
        <v>5005167ELIANA HENRIQUE MENDES BARBOSACT46113,9034722222</v>
      </c>
      <c r="B1685" s="12" t="str">
        <f t="shared" si="53"/>
        <v>Abril</v>
      </c>
      <c r="C1685" s="8" t="s">
        <v>2249</v>
      </c>
      <c r="D1685" s="8" t="s">
        <v>664</v>
      </c>
      <c r="E1685" s="8" t="s">
        <v>59</v>
      </c>
      <c r="F1685" s="23">
        <v>46113.90347222222</v>
      </c>
      <c r="G1685" s="8" t="s">
        <v>1035</v>
      </c>
      <c r="H1685" s="23">
        <v>46128</v>
      </c>
      <c r="I1685" s="23">
        <v>46113.90347222222</v>
      </c>
      <c r="J1685" s="10">
        <v>1215</v>
      </c>
      <c r="K1685" s="10">
        <v>0</v>
      </c>
      <c r="L1685" s="24">
        <v>0</v>
      </c>
      <c r="M1685" s="10">
        <v>1215</v>
      </c>
    </row>
    <row r="1686" spans="1:13" x14ac:dyDescent="0.25">
      <c r="A1686" s="12" t="str">
        <f t="shared" si="52"/>
        <v>5005168RAFAEL RODRIGUES FARIACT46113,9048611111</v>
      </c>
      <c r="B1686" s="12" t="str">
        <f t="shared" si="53"/>
        <v>Abril</v>
      </c>
      <c r="C1686" s="8" t="s">
        <v>2250</v>
      </c>
      <c r="D1686" s="8" t="s">
        <v>664</v>
      </c>
      <c r="E1686" s="8" t="s">
        <v>162</v>
      </c>
      <c r="F1686" s="23">
        <v>46113.904861111114</v>
      </c>
      <c r="G1686" s="8" t="s">
        <v>1035</v>
      </c>
      <c r="H1686" s="23">
        <v>46128</v>
      </c>
      <c r="I1686" s="23">
        <v>46113.904861111114</v>
      </c>
      <c r="J1686" s="10">
        <v>1634</v>
      </c>
      <c r="K1686" s="10">
        <v>0</v>
      </c>
      <c r="L1686" s="24">
        <v>0</v>
      </c>
      <c r="M1686" s="10">
        <v>1634</v>
      </c>
    </row>
    <row r="1687" spans="1:13" x14ac:dyDescent="0.25">
      <c r="A1687" s="12" t="str">
        <f t="shared" si="52"/>
        <v>5005169RAMON BATISTA FURTUOSOCT46113,90625</v>
      </c>
      <c r="B1687" s="12" t="str">
        <f t="shared" si="53"/>
        <v>Abril</v>
      </c>
      <c r="C1687" s="8" t="s">
        <v>2251</v>
      </c>
      <c r="D1687" s="8" t="s">
        <v>664</v>
      </c>
      <c r="E1687" s="8" t="s">
        <v>1690</v>
      </c>
      <c r="F1687" s="23">
        <v>46113.90625</v>
      </c>
      <c r="G1687" s="8" t="s">
        <v>1035</v>
      </c>
      <c r="H1687" s="23">
        <v>46128</v>
      </c>
      <c r="I1687" s="23">
        <v>46113.90625</v>
      </c>
      <c r="J1687" s="10">
        <v>385</v>
      </c>
      <c r="K1687" s="10">
        <v>0</v>
      </c>
      <c r="L1687" s="24">
        <v>0</v>
      </c>
      <c r="M1687" s="10">
        <v>385</v>
      </c>
    </row>
    <row r="1688" spans="1:13" x14ac:dyDescent="0.25">
      <c r="A1688" s="12" t="str">
        <f t="shared" si="52"/>
        <v>5005170EDUARDO GAUDENCIO ROSACT46113,9076388889</v>
      </c>
      <c r="B1688" s="12" t="str">
        <f t="shared" si="53"/>
        <v>Abril</v>
      </c>
      <c r="C1688" s="8" t="s">
        <v>2252</v>
      </c>
      <c r="D1688" s="8" t="s">
        <v>664</v>
      </c>
      <c r="E1688" s="8" t="s">
        <v>58</v>
      </c>
      <c r="F1688" s="23">
        <v>46113.907638888886</v>
      </c>
      <c r="G1688" s="8" t="s">
        <v>1035</v>
      </c>
      <c r="H1688" s="23">
        <v>46128</v>
      </c>
      <c r="I1688" s="23">
        <v>46113.907638888886</v>
      </c>
      <c r="J1688" s="10">
        <v>7463</v>
      </c>
      <c r="K1688" s="10">
        <v>0</v>
      </c>
      <c r="L1688" s="24">
        <v>0</v>
      </c>
      <c r="M1688" s="10">
        <v>7463</v>
      </c>
    </row>
    <row r="1689" spans="1:13" x14ac:dyDescent="0.25">
      <c r="A1689" s="12" t="str">
        <f t="shared" si="52"/>
        <v>5005171CRISTIAN ALVES MOREIRACT46113,9083333333</v>
      </c>
      <c r="B1689" s="12" t="str">
        <f t="shared" si="53"/>
        <v>Abril</v>
      </c>
      <c r="C1689" s="8" t="s">
        <v>2253</v>
      </c>
      <c r="D1689" s="8" t="s">
        <v>664</v>
      </c>
      <c r="E1689" s="8" t="s">
        <v>46</v>
      </c>
      <c r="F1689" s="23">
        <v>46113.908333333333</v>
      </c>
      <c r="G1689" s="8" t="s">
        <v>1035</v>
      </c>
      <c r="H1689" s="23">
        <v>46128</v>
      </c>
      <c r="I1689" s="23">
        <v>46113.908333333333</v>
      </c>
      <c r="J1689" s="10">
        <v>2221</v>
      </c>
      <c r="K1689" s="10">
        <v>0</v>
      </c>
      <c r="L1689" s="24">
        <v>0</v>
      </c>
      <c r="M1689" s="10">
        <v>2221</v>
      </c>
    </row>
    <row r="1690" spans="1:13" x14ac:dyDescent="0.25">
      <c r="A1690" s="12" t="str">
        <f t="shared" si="52"/>
        <v>5005172PAULO RICARDO SILVACT46113,9104166667</v>
      </c>
      <c r="B1690" s="12" t="str">
        <f t="shared" si="53"/>
        <v>Abril</v>
      </c>
      <c r="C1690" s="8" t="s">
        <v>2254</v>
      </c>
      <c r="D1690" s="8" t="s">
        <v>664</v>
      </c>
      <c r="E1690" s="8" t="s">
        <v>153</v>
      </c>
      <c r="F1690" s="23">
        <v>46113.910416666666</v>
      </c>
      <c r="G1690" s="8" t="s">
        <v>1035</v>
      </c>
      <c r="H1690" s="23">
        <v>46128</v>
      </c>
      <c r="I1690" s="23">
        <v>46113.910416666666</v>
      </c>
      <c r="J1690" s="10">
        <v>2970</v>
      </c>
      <c r="K1690" s="10">
        <v>0</v>
      </c>
      <c r="L1690" s="24">
        <v>0</v>
      </c>
      <c r="M1690" s="10">
        <v>2970</v>
      </c>
    </row>
    <row r="1691" spans="1:13" x14ac:dyDescent="0.25">
      <c r="A1691" s="12" t="str">
        <f t="shared" si="52"/>
        <v>5005173PAULO RICARDO SILVARCB46118,5138888889</v>
      </c>
      <c r="B1691" s="12" t="str">
        <f t="shared" si="53"/>
        <v>Abril</v>
      </c>
      <c r="C1691" s="8" t="s">
        <v>2163</v>
      </c>
      <c r="D1691" s="8" t="s">
        <v>664</v>
      </c>
      <c r="E1691" s="8" t="s">
        <v>153</v>
      </c>
      <c r="F1691" s="23">
        <v>46118.513888888891</v>
      </c>
      <c r="G1691" s="8" t="s">
        <v>1045</v>
      </c>
      <c r="H1691" s="23">
        <v>46121</v>
      </c>
      <c r="I1691" s="23">
        <v>46118.513888888891</v>
      </c>
      <c r="J1691" s="10">
        <v>15.8</v>
      </c>
      <c r="K1691" s="10">
        <v>0</v>
      </c>
      <c r="L1691" s="24">
        <v>0</v>
      </c>
      <c r="M1691" s="10">
        <v>15.8</v>
      </c>
    </row>
    <row r="1692" spans="1:13" x14ac:dyDescent="0.25">
      <c r="A1692" s="12" t="str">
        <f t="shared" si="52"/>
        <v>5005173KELISON DINIZ LEMOSCT46113,9125</v>
      </c>
      <c r="B1692" s="12" t="str">
        <f t="shared" si="53"/>
        <v>Abril</v>
      </c>
      <c r="C1692" s="8" t="s">
        <v>2163</v>
      </c>
      <c r="D1692" s="8" t="s">
        <v>664</v>
      </c>
      <c r="E1692" s="8" t="s">
        <v>105</v>
      </c>
      <c r="F1692" s="23">
        <v>46113.912499999999</v>
      </c>
      <c r="G1692" s="8" t="s">
        <v>1035</v>
      </c>
      <c r="H1692" s="23">
        <v>46128</v>
      </c>
      <c r="I1692" s="23">
        <v>46113.912499999999</v>
      </c>
      <c r="J1692" s="10">
        <v>3462</v>
      </c>
      <c r="K1692" s="10">
        <v>0</v>
      </c>
      <c r="L1692" s="24">
        <v>0</v>
      </c>
      <c r="M1692" s="10">
        <v>3462</v>
      </c>
    </row>
    <row r="1693" spans="1:13" x14ac:dyDescent="0.25">
      <c r="A1693" s="12" t="str">
        <f t="shared" si="52"/>
        <v>5005174PAULO RICARDO SILVARCB46125,4451388889</v>
      </c>
      <c r="B1693" s="12" t="str">
        <f t="shared" si="53"/>
        <v>Abril</v>
      </c>
      <c r="C1693" s="8" t="s">
        <v>2215</v>
      </c>
      <c r="D1693" s="8" t="s">
        <v>664</v>
      </c>
      <c r="E1693" s="8" t="s">
        <v>153</v>
      </c>
      <c r="F1693" s="23">
        <v>46125.445138888892</v>
      </c>
      <c r="G1693" s="8" t="s">
        <v>1045</v>
      </c>
      <c r="H1693" s="23">
        <v>46128</v>
      </c>
      <c r="I1693" s="23">
        <v>46125.445138888892</v>
      </c>
      <c r="J1693" s="10">
        <v>38.6</v>
      </c>
      <c r="K1693" s="10">
        <v>0</v>
      </c>
      <c r="L1693" s="24">
        <v>0</v>
      </c>
      <c r="M1693" s="10">
        <v>38.6</v>
      </c>
    </row>
    <row r="1694" spans="1:13" x14ac:dyDescent="0.25">
      <c r="A1694" s="12" t="str">
        <f t="shared" si="52"/>
        <v>5005174ADRIANO ROBERTOCT46113,9131944444</v>
      </c>
      <c r="B1694" s="12" t="str">
        <f t="shared" si="53"/>
        <v>Abril</v>
      </c>
      <c r="C1694" s="8" t="s">
        <v>2215</v>
      </c>
      <c r="D1694" s="8" t="s">
        <v>664</v>
      </c>
      <c r="E1694" s="8" t="s">
        <v>8</v>
      </c>
      <c r="F1694" s="23">
        <v>46113.913194444445</v>
      </c>
      <c r="G1694" s="8" t="s">
        <v>1035</v>
      </c>
      <c r="H1694" s="23">
        <v>46128</v>
      </c>
      <c r="I1694" s="23">
        <v>46113.913194444445</v>
      </c>
      <c r="J1694" s="10">
        <v>3861</v>
      </c>
      <c r="K1694" s="10">
        <v>0</v>
      </c>
      <c r="L1694" s="24">
        <v>0</v>
      </c>
      <c r="M1694" s="10">
        <v>3861</v>
      </c>
    </row>
    <row r="1695" spans="1:13" x14ac:dyDescent="0.25">
      <c r="A1695" s="12" t="str">
        <f t="shared" si="52"/>
        <v>5005174KELISON DINIZ LEMOSRCB46129,3979166667</v>
      </c>
      <c r="B1695" s="12" t="str">
        <f t="shared" si="53"/>
        <v>Abril</v>
      </c>
      <c r="C1695" s="8" t="s">
        <v>2215</v>
      </c>
      <c r="D1695" s="8" t="s">
        <v>664</v>
      </c>
      <c r="E1695" s="8" t="s">
        <v>105</v>
      </c>
      <c r="F1695" s="23">
        <v>46129.397916666669</v>
      </c>
      <c r="G1695" s="8" t="s">
        <v>1045</v>
      </c>
      <c r="H1695" s="23">
        <v>46135</v>
      </c>
      <c r="I1695" s="23">
        <v>46129.397916666669</v>
      </c>
      <c r="J1695" s="10">
        <v>51.92</v>
      </c>
      <c r="K1695" s="10">
        <v>0</v>
      </c>
      <c r="L1695" s="24">
        <v>0</v>
      </c>
      <c r="M1695" s="10">
        <v>51.92</v>
      </c>
    </row>
    <row r="1696" spans="1:13" x14ac:dyDescent="0.25">
      <c r="A1696" s="12" t="str">
        <f t="shared" si="52"/>
        <v>5005175HUDSON CESAR DA SILVACT46113,9145833333</v>
      </c>
      <c r="B1696" s="12" t="str">
        <f t="shared" si="53"/>
        <v>Abril</v>
      </c>
      <c r="C1696" s="8" t="s">
        <v>2255</v>
      </c>
      <c r="D1696" s="8" t="s">
        <v>664</v>
      </c>
      <c r="E1696" s="8" t="s">
        <v>1407</v>
      </c>
      <c r="F1696" s="23">
        <v>46113.914583333331</v>
      </c>
      <c r="G1696" s="8" t="s">
        <v>1035</v>
      </c>
      <c r="H1696" s="23">
        <v>46128</v>
      </c>
      <c r="I1696" s="23">
        <v>46113.914583333331</v>
      </c>
      <c r="J1696" s="10">
        <v>4735</v>
      </c>
      <c r="K1696" s="10">
        <v>0</v>
      </c>
      <c r="L1696" s="24">
        <v>0</v>
      </c>
      <c r="M1696" s="10">
        <v>4735</v>
      </c>
    </row>
    <row r="1697" spans="1:13" x14ac:dyDescent="0.25">
      <c r="A1697" s="12" t="str">
        <f t="shared" si="52"/>
        <v>5005176RENAN ELTON DIVINOCT46113,9159722222</v>
      </c>
      <c r="B1697" s="12" t="str">
        <f t="shared" si="53"/>
        <v>Abril</v>
      </c>
      <c r="C1697" s="8" t="s">
        <v>2256</v>
      </c>
      <c r="D1697" s="8" t="s">
        <v>664</v>
      </c>
      <c r="E1697" s="8" t="s">
        <v>1409</v>
      </c>
      <c r="F1697" s="23">
        <v>46113.915972222225</v>
      </c>
      <c r="G1697" s="8" t="s">
        <v>1035</v>
      </c>
      <c r="H1697" s="23">
        <v>46128</v>
      </c>
      <c r="I1697" s="23">
        <v>46113.915972222225</v>
      </c>
      <c r="J1697" s="10">
        <v>385</v>
      </c>
      <c r="K1697" s="10">
        <v>0</v>
      </c>
      <c r="L1697" s="24">
        <v>0</v>
      </c>
      <c r="M1697" s="10">
        <v>385</v>
      </c>
    </row>
    <row r="1698" spans="1:13" x14ac:dyDescent="0.25">
      <c r="A1698" s="12" t="str">
        <f t="shared" si="52"/>
        <v>5005176HUDSON CESAR DA SILVARCB46129,3993055556</v>
      </c>
      <c r="B1698" s="12" t="str">
        <f t="shared" si="53"/>
        <v>Abril</v>
      </c>
      <c r="C1698" s="8" t="s">
        <v>2256</v>
      </c>
      <c r="D1698" s="8" t="s">
        <v>664</v>
      </c>
      <c r="E1698" s="8" t="s">
        <v>1407</v>
      </c>
      <c r="F1698" s="23">
        <v>46129.399305555555</v>
      </c>
      <c r="G1698" s="8" t="s">
        <v>1045</v>
      </c>
      <c r="H1698" s="23">
        <v>46135</v>
      </c>
      <c r="I1698" s="23">
        <v>46129.399305555555</v>
      </c>
      <c r="J1698" s="10">
        <v>68</v>
      </c>
      <c r="K1698" s="10">
        <v>0</v>
      </c>
      <c r="L1698" s="24">
        <v>0</v>
      </c>
      <c r="M1698" s="10">
        <v>68</v>
      </c>
    </row>
    <row r="1699" spans="1:13" x14ac:dyDescent="0.25">
      <c r="A1699" s="12" t="str">
        <f t="shared" si="52"/>
        <v>5005177LIDEMBERG RAMOS GABRIELCT46113,9173611111</v>
      </c>
      <c r="B1699" s="12" t="str">
        <f t="shared" si="53"/>
        <v>Abril</v>
      </c>
      <c r="C1699" s="8" t="s">
        <v>2257</v>
      </c>
      <c r="D1699" s="8" t="s">
        <v>664</v>
      </c>
      <c r="E1699" s="8" t="s">
        <v>1539</v>
      </c>
      <c r="F1699" s="23">
        <v>46113.917361111111</v>
      </c>
      <c r="G1699" s="8" t="s">
        <v>1035</v>
      </c>
      <c r="H1699" s="23">
        <v>46128</v>
      </c>
      <c r="I1699" s="23">
        <v>46113.917361111111</v>
      </c>
      <c r="J1699" s="10">
        <v>700</v>
      </c>
      <c r="K1699" s="10">
        <v>0</v>
      </c>
      <c r="L1699" s="24">
        <v>0</v>
      </c>
      <c r="M1699" s="10">
        <v>700</v>
      </c>
    </row>
    <row r="1700" spans="1:13" x14ac:dyDescent="0.25">
      <c r="A1700" s="12" t="str">
        <f t="shared" si="52"/>
        <v>5005178NELCIDES JOSE VIEIRACT46113,9180555556</v>
      </c>
      <c r="B1700" s="12" t="str">
        <f t="shared" si="53"/>
        <v>Abril</v>
      </c>
      <c r="C1700" s="8" t="s">
        <v>2258</v>
      </c>
      <c r="D1700" s="8" t="s">
        <v>664</v>
      </c>
      <c r="E1700" s="8" t="s">
        <v>137</v>
      </c>
      <c r="F1700" s="23">
        <v>46113.918055555558</v>
      </c>
      <c r="G1700" s="8" t="s">
        <v>1035</v>
      </c>
      <c r="H1700" s="23">
        <v>46128</v>
      </c>
      <c r="I1700" s="23">
        <v>46113.918055555558</v>
      </c>
      <c r="J1700" s="10">
        <v>5888</v>
      </c>
      <c r="K1700" s="10">
        <v>0</v>
      </c>
      <c r="L1700" s="24">
        <v>0</v>
      </c>
      <c r="M1700" s="10">
        <v>5888</v>
      </c>
    </row>
    <row r="1701" spans="1:13" x14ac:dyDescent="0.25">
      <c r="A1701" s="12" t="str">
        <f t="shared" si="52"/>
        <v>5005179WILLIAM DE SOUZA VIEIRACT46113,9194444444</v>
      </c>
      <c r="B1701" s="12" t="str">
        <f t="shared" si="53"/>
        <v>Abril</v>
      </c>
      <c r="C1701" s="8" t="s">
        <v>2259</v>
      </c>
      <c r="D1701" s="8" t="s">
        <v>664</v>
      </c>
      <c r="E1701" s="8" t="s">
        <v>1542</v>
      </c>
      <c r="F1701" s="23">
        <v>46113.919444444444</v>
      </c>
      <c r="G1701" s="8" t="s">
        <v>1035</v>
      </c>
      <c r="H1701" s="23">
        <v>46128</v>
      </c>
      <c r="I1701" s="23">
        <v>46113.919444444444</v>
      </c>
      <c r="J1701" s="10">
        <v>1400</v>
      </c>
      <c r="K1701" s="10">
        <v>0</v>
      </c>
      <c r="L1701" s="24">
        <v>0</v>
      </c>
      <c r="M1701" s="10">
        <v>1400</v>
      </c>
    </row>
    <row r="1702" spans="1:13" x14ac:dyDescent="0.25">
      <c r="A1702" s="12" t="str">
        <f t="shared" si="52"/>
        <v>5005180JOAO MARCOS DE SOUZA PINTOCT46113,9208333333</v>
      </c>
      <c r="B1702" s="12" t="str">
        <f t="shared" si="53"/>
        <v>Abril</v>
      </c>
      <c r="C1702" s="8" t="s">
        <v>2260</v>
      </c>
      <c r="D1702" s="8" t="s">
        <v>664</v>
      </c>
      <c r="E1702" s="8" t="s">
        <v>1544</v>
      </c>
      <c r="F1702" s="23">
        <v>46113.92083333333</v>
      </c>
      <c r="G1702" s="8" t="s">
        <v>1035</v>
      </c>
      <c r="H1702" s="23">
        <v>46128</v>
      </c>
      <c r="I1702" s="23">
        <v>46113.92083333333</v>
      </c>
      <c r="J1702" s="10">
        <v>700</v>
      </c>
      <c r="K1702" s="10">
        <v>0</v>
      </c>
      <c r="L1702" s="24">
        <v>0</v>
      </c>
      <c r="M1702" s="10">
        <v>700</v>
      </c>
    </row>
    <row r="1703" spans="1:13" x14ac:dyDescent="0.25">
      <c r="A1703" s="12" t="str">
        <f t="shared" si="52"/>
        <v>5005181CARLOS ANTONIO PINTOCT46113,9222222222</v>
      </c>
      <c r="B1703" s="12" t="str">
        <f t="shared" si="53"/>
        <v>Abril</v>
      </c>
      <c r="C1703" s="8" t="s">
        <v>2261</v>
      </c>
      <c r="D1703" s="8" t="s">
        <v>664</v>
      </c>
      <c r="E1703" s="8" t="s">
        <v>36</v>
      </c>
      <c r="F1703" s="23">
        <v>46113.922222222223</v>
      </c>
      <c r="G1703" s="8" t="s">
        <v>1035</v>
      </c>
      <c r="H1703" s="23">
        <v>46128</v>
      </c>
      <c r="I1703" s="23">
        <v>46113.922222222223</v>
      </c>
      <c r="J1703" s="10">
        <v>6724</v>
      </c>
      <c r="K1703" s="10">
        <v>0</v>
      </c>
      <c r="L1703" s="24">
        <v>0</v>
      </c>
      <c r="M1703" s="10">
        <v>6724</v>
      </c>
    </row>
    <row r="1704" spans="1:13" x14ac:dyDescent="0.25">
      <c r="A1704" s="12" t="str">
        <f t="shared" si="52"/>
        <v>5005182ADRIANA DA SILVA SANTOS FERREIRACT46113,9236111111</v>
      </c>
      <c r="B1704" s="12" t="str">
        <f t="shared" si="53"/>
        <v>Abril</v>
      </c>
      <c r="C1704" s="8" t="s">
        <v>2262</v>
      </c>
      <c r="D1704" s="8" t="s">
        <v>664</v>
      </c>
      <c r="E1704" s="8" t="s">
        <v>1413</v>
      </c>
      <c r="F1704" s="23">
        <v>46113.923611111109</v>
      </c>
      <c r="G1704" s="8" t="s">
        <v>1035</v>
      </c>
      <c r="H1704" s="23">
        <v>46128</v>
      </c>
      <c r="I1704" s="23">
        <v>46113.923611111109</v>
      </c>
      <c r="J1704" s="10">
        <v>350</v>
      </c>
      <c r="K1704" s="10">
        <v>0</v>
      </c>
      <c r="L1704" s="24">
        <v>0</v>
      </c>
      <c r="M1704" s="10">
        <v>350</v>
      </c>
    </row>
    <row r="1705" spans="1:13" x14ac:dyDescent="0.25">
      <c r="A1705" s="12" t="str">
        <f t="shared" si="52"/>
        <v>5005182CARLOS ANTONIO PINTORCB46129,3951388889</v>
      </c>
      <c r="B1705" s="12" t="str">
        <f t="shared" si="53"/>
        <v>Abril</v>
      </c>
      <c r="C1705" s="8" t="s">
        <v>2262</v>
      </c>
      <c r="D1705" s="8" t="s">
        <v>664</v>
      </c>
      <c r="E1705" s="8" t="s">
        <v>36</v>
      </c>
      <c r="F1705" s="23">
        <v>46129.395138888889</v>
      </c>
      <c r="G1705" s="8" t="s">
        <v>1045</v>
      </c>
      <c r="H1705" s="23">
        <v>46135</v>
      </c>
      <c r="I1705" s="23">
        <v>46129.395138888889</v>
      </c>
      <c r="J1705" s="10">
        <v>152</v>
      </c>
      <c r="K1705" s="10">
        <v>0</v>
      </c>
      <c r="L1705" s="24">
        <v>0</v>
      </c>
      <c r="M1705" s="10">
        <v>152</v>
      </c>
    </row>
    <row r="1706" spans="1:13" x14ac:dyDescent="0.25">
      <c r="A1706" s="12" t="str">
        <f t="shared" si="52"/>
        <v>5005183JOAQUINA DE FATIMA BERTOLDOCT46113,925</v>
      </c>
      <c r="B1706" s="12" t="str">
        <f t="shared" si="53"/>
        <v>Abril</v>
      </c>
      <c r="C1706" s="8" t="s">
        <v>2263</v>
      </c>
      <c r="D1706" s="8" t="s">
        <v>664</v>
      </c>
      <c r="E1706" s="8" t="s">
        <v>1416</v>
      </c>
      <c r="F1706" s="23">
        <v>46113.925000000003</v>
      </c>
      <c r="G1706" s="8" t="s">
        <v>1035</v>
      </c>
      <c r="H1706" s="23">
        <v>46128</v>
      </c>
      <c r="I1706" s="23">
        <v>46113.925000000003</v>
      </c>
      <c r="J1706" s="10">
        <v>355</v>
      </c>
      <c r="K1706" s="10">
        <v>0</v>
      </c>
      <c r="L1706" s="24">
        <v>0</v>
      </c>
      <c r="M1706" s="10">
        <v>355</v>
      </c>
    </row>
    <row r="1707" spans="1:13" x14ac:dyDescent="0.25">
      <c r="A1707" s="12" t="str">
        <f t="shared" si="52"/>
        <v>5005184JORGE MARTINS BORGES JUNIORCT46113,9263888889</v>
      </c>
      <c r="B1707" s="12" t="str">
        <f t="shared" si="53"/>
        <v>Abril</v>
      </c>
      <c r="C1707" s="8" t="s">
        <v>2264</v>
      </c>
      <c r="D1707" s="8" t="s">
        <v>664</v>
      </c>
      <c r="E1707" s="8" t="s">
        <v>97</v>
      </c>
      <c r="F1707" s="23">
        <v>46113.926388888889</v>
      </c>
      <c r="G1707" s="8" t="s">
        <v>1035</v>
      </c>
      <c r="H1707" s="23">
        <v>46128</v>
      </c>
      <c r="I1707" s="23">
        <v>46113.926388888889</v>
      </c>
      <c r="J1707" s="10">
        <v>5707</v>
      </c>
      <c r="K1707" s="10">
        <v>0</v>
      </c>
      <c r="L1707" s="24">
        <v>0</v>
      </c>
      <c r="M1707" s="10">
        <v>5707</v>
      </c>
    </row>
    <row r="1708" spans="1:13" x14ac:dyDescent="0.25">
      <c r="A1708" s="12" t="str">
        <f t="shared" si="52"/>
        <v>5005185JORGE MARTINS BORGES JUNIORRCB46118,5131944444</v>
      </c>
      <c r="B1708" s="12" t="str">
        <f t="shared" si="53"/>
        <v>Abril</v>
      </c>
      <c r="C1708" s="8" t="s">
        <v>2169</v>
      </c>
      <c r="D1708" s="8" t="s">
        <v>664</v>
      </c>
      <c r="E1708" s="8" t="s">
        <v>97</v>
      </c>
      <c r="F1708" s="23">
        <v>46118.513194444444</v>
      </c>
      <c r="G1708" s="8" t="s">
        <v>1045</v>
      </c>
      <c r="H1708" s="23">
        <v>46121</v>
      </c>
      <c r="I1708" s="23">
        <v>46118.513194444444</v>
      </c>
      <c r="J1708" s="10">
        <v>54.42</v>
      </c>
      <c r="K1708" s="10">
        <v>0</v>
      </c>
      <c r="L1708" s="24">
        <v>0</v>
      </c>
      <c r="M1708" s="10">
        <v>54.42</v>
      </c>
    </row>
    <row r="1709" spans="1:13" x14ac:dyDescent="0.25">
      <c r="A1709" s="12" t="str">
        <f t="shared" si="52"/>
        <v>5005185DANIELLE HEBERT CARVALHO PEREIRACT46113,9277777778</v>
      </c>
      <c r="B1709" s="12" t="str">
        <f t="shared" si="53"/>
        <v>Abril</v>
      </c>
      <c r="C1709" s="8" t="s">
        <v>2169</v>
      </c>
      <c r="D1709" s="8" t="s">
        <v>664</v>
      </c>
      <c r="E1709" s="8" t="s">
        <v>48</v>
      </c>
      <c r="F1709" s="23">
        <v>46113.927777777775</v>
      </c>
      <c r="G1709" s="8" t="s">
        <v>1035</v>
      </c>
      <c r="H1709" s="23">
        <v>46128</v>
      </c>
      <c r="I1709" s="23">
        <v>46113.927777777775</v>
      </c>
      <c r="J1709" s="10">
        <v>4001</v>
      </c>
      <c r="K1709" s="10">
        <v>0</v>
      </c>
      <c r="L1709" s="24">
        <v>0</v>
      </c>
      <c r="M1709" s="10">
        <v>4001</v>
      </c>
    </row>
    <row r="1710" spans="1:13" x14ac:dyDescent="0.25">
      <c r="A1710" s="12" t="str">
        <f t="shared" si="52"/>
        <v>5005186DANIELLE HEBERT CARVALHO PEREIRARCB46121,3826388889</v>
      </c>
      <c r="B1710" s="12" t="str">
        <f t="shared" si="53"/>
        <v>Abril</v>
      </c>
      <c r="C1710" s="8" t="s">
        <v>2206</v>
      </c>
      <c r="D1710" s="8" t="s">
        <v>664</v>
      </c>
      <c r="E1710" s="8" t="s">
        <v>48</v>
      </c>
      <c r="F1710" s="23">
        <v>46121.382638888892</v>
      </c>
      <c r="G1710" s="8" t="s">
        <v>1045</v>
      </c>
      <c r="H1710" s="23">
        <v>46126</v>
      </c>
      <c r="I1710" s="23">
        <v>46121.382638888892</v>
      </c>
      <c r="J1710" s="10">
        <v>210.22</v>
      </c>
      <c r="K1710" s="10">
        <v>0</v>
      </c>
      <c r="L1710" s="24">
        <v>0</v>
      </c>
      <c r="M1710" s="10">
        <v>210.22</v>
      </c>
    </row>
    <row r="1711" spans="1:13" x14ac:dyDescent="0.25">
      <c r="A1711" s="12" t="str">
        <f t="shared" si="52"/>
        <v>5005186JORGE MARTINS BORGES JUNIORRCB46125,4465277778</v>
      </c>
      <c r="B1711" s="12" t="str">
        <f t="shared" si="53"/>
        <v>Abril</v>
      </c>
      <c r="C1711" s="8" t="s">
        <v>2206</v>
      </c>
      <c r="D1711" s="8" t="s">
        <v>664</v>
      </c>
      <c r="E1711" s="8" t="s">
        <v>97</v>
      </c>
      <c r="F1711" s="23">
        <v>46125.446527777778</v>
      </c>
      <c r="G1711" s="8" t="s">
        <v>1045</v>
      </c>
      <c r="H1711" s="23">
        <v>46128</v>
      </c>
      <c r="I1711" s="23">
        <v>46125.446527777778</v>
      </c>
      <c r="J1711" s="10">
        <v>35.299999999999997</v>
      </c>
      <c r="K1711" s="10">
        <v>0</v>
      </c>
      <c r="L1711" s="24">
        <v>0</v>
      </c>
      <c r="M1711" s="10">
        <v>35.299999999999997</v>
      </c>
    </row>
    <row r="1712" spans="1:13" x14ac:dyDescent="0.25">
      <c r="A1712" s="12" t="str">
        <f t="shared" si="52"/>
        <v>5005186DARLAN DIEGO OLIVEIRA SOARESCT46113,9298611111</v>
      </c>
      <c r="B1712" s="12" t="str">
        <f t="shared" si="53"/>
        <v>Abril</v>
      </c>
      <c r="C1712" s="8" t="s">
        <v>2206</v>
      </c>
      <c r="D1712" s="8" t="s">
        <v>664</v>
      </c>
      <c r="E1712" s="8" t="s">
        <v>1551</v>
      </c>
      <c r="F1712" s="23">
        <v>46113.929861111108</v>
      </c>
      <c r="G1712" s="8" t="s">
        <v>1035</v>
      </c>
      <c r="H1712" s="23">
        <v>46128</v>
      </c>
      <c r="I1712" s="23">
        <v>46113.929861111108</v>
      </c>
      <c r="J1712" s="10">
        <v>451</v>
      </c>
      <c r="K1712" s="10">
        <v>0</v>
      </c>
      <c r="L1712" s="24">
        <v>0</v>
      </c>
      <c r="M1712" s="10">
        <v>451</v>
      </c>
    </row>
    <row r="1713" spans="1:13" x14ac:dyDescent="0.25">
      <c r="A1713" s="12" t="str">
        <f t="shared" si="52"/>
        <v>5005187BRUNO RIBEIRO DOMINGUESCT46113,93125</v>
      </c>
      <c r="B1713" s="12" t="str">
        <f t="shared" si="53"/>
        <v>Abril</v>
      </c>
      <c r="C1713" s="8" t="s">
        <v>2265</v>
      </c>
      <c r="D1713" s="8" t="s">
        <v>664</v>
      </c>
      <c r="E1713" s="8" t="s">
        <v>32</v>
      </c>
      <c r="F1713" s="23">
        <v>46113.931250000001</v>
      </c>
      <c r="G1713" s="8" t="s">
        <v>1035</v>
      </c>
      <c r="H1713" s="23">
        <v>46128</v>
      </c>
      <c r="I1713" s="23">
        <v>46113.931250000001</v>
      </c>
      <c r="J1713" s="10">
        <v>2294</v>
      </c>
      <c r="K1713" s="10">
        <v>0</v>
      </c>
      <c r="L1713" s="24">
        <v>0</v>
      </c>
      <c r="M1713" s="10">
        <v>2294</v>
      </c>
    </row>
    <row r="1714" spans="1:13" x14ac:dyDescent="0.25">
      <c r="A1714" s="12" t="str">
        <f t="shared" si="52"/>
        <v>5005188JAIME GOMES PARAGUAICT46113,9333333333</v>
      </c>
      <c r="B1714" s="12" t="str">
        <f t="shared" si="53"/>
        <v>Abril</v>
      </c>
      <c r="C1714" s="8" t="s">
        <v>2266</v>
      </c>
      <c r="D1714" s="8" t="s">
        <v>664</v>
      </c>
      <c r="E1714" s="8" t="s">
        <v>87</v>
      </c>
      <c r="F1714" s="23">
        <v>46113.933333333334</v>
      </c>
      <c r="G1714" s="8" t="s">
        <v>1035</v>
      </c>
      <c r="H1714" s="23">
        <v>46128</v>
      </c>
      <c r="I1714" s="23">
        <v>46113.933333333334</v>
      </c>
      <c r="J1714" s="10">
        <v>2494</v>
      </c>
      <c r="K1714" s="10">
        <v>0</v>
      </c>
      <c r="L1714" s="24">
        <v>0</v>
      </c>
      <c r="M1714" s="10">
        <v>2494</v>
      </c>
    </row>
    <row r="1715" spans="1:13" x14ac:dyDescent="0.25">
      <c r="A1715" s="12" t="str">
        <f t="shared" si="52"/>
        <v>5005189JAIME GOMES PARAGUAIRCB46121,3833333333</v>
      </c>
      <c r="B1715" s="12" t="str">
        <f t="shared" si="53"/>
        <v>Abril</v>
      </c>
      <c r="C1715" s="8" t="s">
        <v>2207</v>
      </c>
      <c r="D1715" s="8" t="s">
        <v>664</v>
      </c>
      <c r="E1715" s="8" t="s">
        <v>87</v>
      </c>
      <c r="F1715" s="23">
        <v>46121.383333333331</v>
      </c>
      <c r="G1715" s="8" t="s">
        <v>1045</v>
      </c>
      <c r="H1715" s="23">
        <v>46126</v>
      </c>
      <c r="I1715" s="23">
        <v>46121.383333333331</v>
      </c>
      <c r="J1715" s="10">
        <v>98.1</v>
      </c>
      <c r="K1715" s="10">
        <v>0</v>
      </c>
      <c r="L1715" s="24">
        <v>0</v>
      </c>
      <c r="M1715" s="10">
        <v>98.1</v>
      </c>
    </row>
    <row r="1716" spans="1:13" x14ac:dyDescent="0.25">
      <c r="A1716" s="12" t="str">
        <f t="shared" si="52"/>
        <v>5005189CHAYENE AMARALCT46113,9347222222</v>
      </c>
      <c r="B1716" s="12" t="str">
        <f t="shared" si="53"/>
        <v>Abril</v>
      </c>
      <c r="C1716" s="8" t="s">
        <v>2207</v>
      </c>
      <c r="D1716" s="8" t="s">
        <v>664</v>
      </c>
      <c r="E1716" s="8" t="s">
        <v>1424</v>
      </c>
      <c r="F1716" s="23">
        <v>46113.93472222222</v>
      </c>
      <c r="G1716" s="8" t="s">
        <v>1035</v>
      </c>
      <c r="H1716" s="23">
        <v>46128</v>
      </c>
      <c r="I1716" s="23">
        <v>46113.93472222222</v>
      </c>
      <c r="J1716" s="10">
        <v>1612</v>
      </c>
      <c r="K1716" s="10">
        <v>0</v>
      </c>
      <c r="L1716" s="24">
        <v>0</v>
      </c>
      <c r="M1716" s="10">
        <v>1612</v>
      </c>
    </row>
    <row r="1717" spans="1:13" x14ac:dyDescent="0.25">
      <c r="A1717" s="12" t="str">
        <f t="shared" si="52"/>
        <v>5005190ALAOR CANAVEZ DE MORAES NETOCT46113,9361111111</v>
      </c>
      <c r="B1717" s="12" t="str">
        <f t="shared" si="53"/>
        <v>Abril</v>
      </c>
      <c r="C1717" s="8" t="s">
        <v>2267</v>
      </c>
      <c r="D1717" s="8" t="s">
        <v>664</v>
      </c>
      <c r="E1717" s="8" t="s">
        <v>10</v>
      </c>
      <c r="F1717" s="23">
        <v>46113.936111111114</v>
      </c>
      <c r="G1717" s="8" t="s">
        <v>1035</v>
      </c>
      <c r="H1717" s="23">
        <v>46128</v>
      </c>
      <c r="I1717" s="23">
        <v>46113.936111111114</v>
      </c>
      <c r="J1717" s="10">
        <v>385</v>
      </c>
      <c r="K1717" s="10">
        <v>0</v>
      </c>
      <c r="L1717" s="24">
        <v>0</v>
      </c>
      <c r="M1717" s="10">
        <v>385</v>
      </c>
    </row>
    <row r="1718" spans="1:13" x14ac:dyDescent="0.25">
      <c r="A1718" s="12" t="str">
        <f t="shared" si="52"/>
        <v>5005191MAGNO APARECIDO DE JESUSCT46113,9375</v>
      </c>
      <c r="B1718" s="12" t="str">
        <f t="shared" si="53"/>
        <v>Abril</v>
      </c>
      <c r="C1718" s="8" t="s">
        <v>2268</v>
      </c>
      <c r="D1718" s="8" t="s">
        <v>664</v>
      </c>
      <c r="E1718" s="8" t="s">
        <v>115</v>
      </c>
      <c r="F1718" s="23">
        <v>46113.9375</v>
      </c>
      <c r="G1718" s="8" t="s">
        <v>1035</v>
      </c>
      <c r="H1718" s="23">
        <v>46128</v>
      </c>
      <c r="I1718" s="23">
        <v>46113.9375</v>
      </c>
      <c r="J1718" s="10">
        <v>2314</v>
      </c>
      <c r="K1718" s="10">
        <v>0</v>
      </c>
      <c r="L1718" s="24">
        <v>0</v>
      </c>
      <c r="M1718" s="10">
        <v>2314</v>
      </c>
    </row>
    <row r="1719" spans="1:13" x14ac:dyDescent="0.25">
      <c r="A1719" s="12" t="str">
        <f t="shared" si="52"/>
        <v>5005192MAURILIO PAULINO DA SILVACT46113,9381944444</v>
      </c>
      <c r="B1719" s="12" t="str">
        <f t="shared" si="53"/>
        <v>Abril</v>
      </c>
      <c r="C1719" s="8" t="s">
        <v>2269</v>
      </c>
      <c r="D1719" s="8" t="s">
        <v>664</v>
      </c>
      <c r="E1719" s="8" t="s">
        <v>1562</v>
      </c>
      <c r="F1719" s="23">
        <v>46113.938194444447</v>
      </c>
      <c r="G1719" s="8" t="s">
        <v>1035</v>
      </c>
      <c r="H1719" s="23">
        <v>46128</v>
      </c>
      <c r="I1719" s="23">
        <v>46113.938194444447</v>
      </c>
      <c r="J1719" s="10">
        <v>1411</v>
      </c>
      <c r="K1719" s="10">
        <v>0</v>
      </c>
      <c r="L1719" s="24">
        <v>0</v>
      </c>
      <c r="M1719" s="10">
        <v>1411</v>
      </c>
    </row>
    <row r="1720" spans="1:13" x14ac:dyDescent="0.25">
      <c r="A1720" s="12" t="str">
        <f t="shared" si="52"/>
        <v>5005193ANTONIO CARLOS DA COSTACT46113,9402777778</v>
      </c>
      <c r="B1720" s="12" t="str">
        <f t="shared" si="53"/>
        <v>Abril</v>
      </c>
      <c r="C1720" s="8" t="s">
        <v>2270</v>
      </c>
      <c r="D1720" s="8" t="s">
        <v>664</v>
      </c>
      <c r="E1720" s="8" t="s">
        <v>19</v>
      </c>
      <c r="F1720" s="23">
        <v>46113.94027777778</v>
      </c>
      <c r="G1720" s="8" t="s">
        <v>1035</v>
      </c>
      <c r="H1720" s="23">
        <v>46128</v>
      </c>
      <c r="I1720" s="23">
        <v>46113.94027777778</v>
      </c>
      <c r="J1720" s="10">
        <v>1934</v>
      </c>
      <c r="K1720" s="10">
        <v>0</v>
      </c>
      <c r="L1720" s="24">
        <v>0</v>
      </c>
      <c r="M1720" s="10">
        <v>1934</v>
      </c>
    </row>
    <row r="1721" spans="1:13" x14ac:dyDescent="0.25">
      <c r="A1721" s="12" t="str">
        <f t="shared" si="52"/>
        <v>5005194ARTUR SILVA VIANACT46113,9409722222</v>
      </c>
      <c r="B1721" s="12" t="str">
        <f t="shared" si="53"/>
        <v>Abril</v>
      </c>
      <c r="C1721" s="8" t="s">
        <v>2271</v>
      </c>
      <c r="D1721" s="8" t="s">
        <v>664</v>
      </c>
      <c r="E1721" s="8" t="s">
        <v>1429</v>
      </c>
      <c r="F1721" s="23">
        <v>46113.940972222219</v>
      </c>
      <c r="G1721" s="8" t="s">
        <v>1035</v>
      </c>
      <c r="H1721" s="23">
        <v>46128</v>
      </c>
      <c r="I1721" s="23">
        <v>46113.940972222219</v>
      </c>
      <c r="J1721" s="10">
        <v>2499</v>
      </c>
      <c r="K1721" s="10">
        <v>0</v>
      </c>
      <c r="L1721" s="24">
        <v>0</v>
      </c>
      <c r="M1721" s="10">
        <v>2499</v>
      </c>
    </row>
    <row r="1722" spans="1:13" x14ac:dyDescent="0.25">
      <c r="A1722" s="12" t="str">
        <f t="shared" si="52"/>
        <v>5005195RAISSA DE CARVALHO FIORINECT46113,9423611111</v>
      </c>
      <c r="B1722" s="12" t="str">
        <f t="shared" si="53"/>
        <v>Abril</v>
      </c>
      <c r="C1722" s="8" t="s">
        <v>2272</v>
      </c>
      <c r="D1722" s="8" t="s">
        <v>664</v>
      </c>
      <c r="E1722" s="8" t="s">
        <v>163</v>
      </c>
      <c r="F1722" s="23">
        <v>46113.942361111112</v>
      </c>
      <c r="G1722" s="8" t="s">
        <v>1035</v>
      </c>
      <c r="H1722" s="23">
        <v>46128</v>
      </c>
      <c r="I1722" s="23">
        <v>46113.942361111112</v>
      </c>
      <c r="J1722" s="10">
        <v>2924</v>
      </c>
      <c r="K1722" s="10">
        <v>0</v>
      </c>
      <c r="L1722" s="24">
        <v>0</v>
      </c>
      <c r="M1722" s="10">
        <v>2924</v>
      </c>
    </row>
    <row r="1723" spans="1:13" x14ac:dyDescent="0.25">
      <c r="A1723" s="12" t="str">
        <f t="shared" si="52"/>
        <v>5005196RAISSA DE CARVALHO FIORINERCB46121,38125</v>
      </c>
      <c r="B1723" s="12" t="str">
        <f t="shared" si="53"/>
        <v>Abril</v>
      </c>
      <c r="C1723" s="8" t="s">
        <v>2208</v>
      </c>
      <c r="D1723" s="8" t="s">
        <v>664</v>
      </c>
      <c r="E1723" s="8" t="s">
        <v>163</v>
      </c>
      <c r="F1723" s="23">
        <v>46121.381249999999</v>
      </c>
      <c r="G1723" s="8" t="s">
        <v>1045</v>
      </c>
      <c r="H1723" s="23">
        <v>46126</v>
      </c>
      <c r="I1723" s="23">
        <v>46121.381249999999</v>
      </c>
      <c r="J1723" s="10">
        <v>31</v>
      </c>
      <c r="K1723" s="10">
        <v>0</v>
      </c>
      <c r="L1723" s="24">
        <v>0</v>
      </c>
      <c r="M1723" s="10">
        <v>31</v>
      </c>
    </row>
    <row r="1724" spans="1:13" x14ac:dyDescent="0.25">
      <c r="A1724" s="12" t="str">
        <f t="shared" si="52"/>
        <v>5005196BRUNO HENRIQUE DA SILVACT46113,94375</v>
      </c>
      <c r="B1724" s="12" t="str">
        <f t="shared" si="53"/>
        <v>Abril</v>
      </c>
      <c r="C1724" s="8" t="s">
        <v>2208</v>
      </c>
      <c r="D1724" s="8" t="s">
        <v>664</v>
      </c>
      <c r="E1724" s="8" t="s">
        <v>29</v>
      </c>
      <c r="F1724" s="23">
        <v>46113.943749999999</v>
      </c>
      <c r="G1724" s="8" t="s">
        <v>1035</v>
      </c>
      <c r="H1724" s="23">
        <v>46128</v>
      </c>
      <c r="I1724" s="23">
        <v>46113.943749999999</v>
      </c>
      <c r="J1724" s="10">
        <v>3628</v>
      </c>
      <c r="K1724" s="10">
        <v>0</v>
      </c>
      <c r="L1724" s="24">
        <v>0</v>
      </c>
      <c r="M1724" s="10">
        <v>3628</v>
      </c>
    </row>
    <row r="1725" spans="1:13" x14ac:dyDescent="0.25">
      <c r="A1725" s="12" t="str">
        <f t="shared" si="52"/>
        <v>5005197RAISSA DE CARVALHO FIORINERCB46125,6444444444</v>
      </c>
      <c r="B1725" s="12" t="str">
        <f t="shared" si="53"/>
        <v>Abril</v>
      </c>
      <c r="C1725" s="8" t="s">
        <v>2216</v>
      </c>
      <c r="D1725" s="8" t="s">
        <v>664</v>
      </c>
      <c r="E1725" s="8" t="s">
        <v>163</v>
      </c>
      <c r="F1725" s="23">
        <v>46125.644444444442</v>
      </c>
      <c r="G1725" s="8" t="s">
        <v>1045</v>
      </c>
      <c r="H1725" s="23">
        <v>46128</v>
      </c>
      <c r="I1725" s="23">
        <v>46125.644444444442</v>
      </c>
      <c r="J1725" s="10">
        <v>15.5</v>
      </c>
      <c r="K1725" s="10">
        <v>0</v>
      </c>
      <c r="L1725" s="24">
        <v>0</v>
      </c>
      <c r="M1725" s="10">
        <v>15.5</v>
      </c>
    </row>
    <row r="1726" spans="1:13" x14ac:dyDescent="0.25">
      <c r="A1726" s="12" t="str">
        <f t="shared" si="52"/>
        <v>5005197MARCELO MARTINS DE OLIVEIRACT46113,9444444444</v>
      </c>
      <c r="B1726" s="12" t="str">
        <f t="shared" si="53"/>
        <v>Abril</v>
      </c>
      <c r="C1726" s="8" t="s">
        <v>2216</v>
      </c>
      <c r="D1726" s="8" t="s">
        <v>664</v>
      </c>
      <c r="E1726" s="8" t="s">
        <v>121</v>
      </c>
      <c r="F1726" s="23">
        <v>46113.944444444445</v>
      </c>
      <c r="G1726" s="8" t="s">
        <v>1035</v>
      </c>
      <c r="H1726" s="23">
        <v>46128</v>
      </c>
      <c r="I1726" s="23">
        <v>46113.944444444445</v>
      </c>
      <c r="J1726" s="10">
        <v>3603</v>
      </c>
      <c r="K1726" s="10">
        <v>0</v>
      </c>
      <c r="L1726" s="24">
        <v>0</v>
      </c>
      <c r="M1726" s="10">
        <v>3603</v>
      </c>
    </row>
    <row r="1727" spans="1:13" x14ac:dyDescent="0.25">
      <c r="A1727" s="12" t="str">
        <f t="shared" si="52"/>
        <v>5005198MARCELO MARTINS DE OLIVEIRARCB46118,5152777778</v>
      </c>
      <c r="B1727" s="12" t="str">
        <f t="shared" si="53"/>
        <v>Abril</v>
      </c>
      <c r="C1727" s="8" t="s">
        <v>2177</v>
      </c>
      <c r="D1727" s="8" t="s">
        <v>664</v>
      </c>
      <c r="E1727" s="8" t="s">
        <v>121</v>
      </c>
      <c r="F1727" s="23">
        <v>46118.515277777777</v>
      </c>
      <c r="G1727" s="8" t="s">
        <v>1045</v>
      </c>
      <c r="H1727" s="23">
        <v>46121</v>
      </c>
      <c r="I1727" s="23">
        <v>46118.515277777777</v>
      </c>
      <c r="J1727" s="10">
        <v>34.6</v>
      </c>
      <c r="K1727" s="10">
        <v>0</v>
      </c>
      <c r="L1727" s="24">
        <v>0</v>
      </c>
      <c r="M1727" s="10">
        <v>34.6</v>
      </c>
    </row>
    <row r="1728" spans="1:13" x14ac:dyDescent="0.25">
      <c r="A1728" s="12" t="str">
        <f t="shared" si="52"/>
        <v>5005198KARINE KEILE DA SILVA BRAGACT46113,9458333333</v>
      </c>
      <c r="B1728" s="12" t="str">
        <f t="shared" si="53"/>
        <v>Abril</v>
      </c>
      <c r="C1728" s="8" t="s">
        <v>2177</v>
      </c>
      <c r="D1728" s="8" t="s">
        <v>664</v>
      </c>
      <c r="E1728" s="8" t="s">
        <v>1570</v>
      </c>
      <c r="F1728" s="23">
        <v>46113.945833333331</v>
      </c>
      <c r="G1728" s="8" t="s">
        <v>1035</v>
      </c>
      <c r="H1728" s="23">
        <v>46128</v>
      </c>
      <c r="I1728" s="23">
        <v>46113.945833333331</v>
      </c>
      <c r="J1728" s="10">
        <v>1050</v>
      </c>
      <c r="K1728" s="10">
        <v>0</v>
      </c>
      <c r="L1728" s="24">
        <v>0</v>
      </c>
      <c r="M1728" s="10">
        <v>1050</v>
      </c>
    </row>
    <row r="1729" spans="1:13" x14ac:dyDescent="0.25">
      <c r="A1729" s="12" t="str">
        <f t="shared" si="52"/>
        <v>5005199MARCELO MARTINS DE OLIVEIRARCB46125,4458333333</v>
      </c>
      <c r="B1729" s="12" t="str">
        <f t="shared" si="53"/>
        <v>Abril</v>
      </c>
      <c r="C1729" s="8" t="s">
        <v>2217</v>
      </c>
      <c r="D1729" s="8" t="s">
        <v>664</v>
      </c>
      <c r="E1729" s="8" t="s">
        <v>121</v>
      </c>
      <c r="F1729" s="23">
        <v>46125.445833333331</v>
      </c>
      <c r="G1729" s="8" t="s">
        <v>1045</v>
      </c>
      <c r="H1729" s="23">
        <v>46128</v>
      </c>
      <c r="I1729" s="23">
        <v>46125.445833333331</v>
      </c>
      <c r="J1729" s="10">
        <v>11</v>
      </c>
      <c r="K1729" s="10">
        <v>0</v>
      </c>
      <c r="L1729" s="24">
        <v>0</v>
      </c>
      <c r="M1729" s="10">
        <v>11</v>
      </c>
    </row>
    <row r="1730" spans="1:13" x14ac:dyDescent="0.25">
      <c r="A1730" s="12" t="str">
        <f t="shared" ref="A1730:A1793" si="54">$C1730&amp;$E1730&amp;$G1730&amp;$F1730</f>
        <v>5005199LIDIANE ASSIS ROCHACT46113,9493055556</v>
      </c>
      <c r="B1730" s="12" t="str">
        <f t="shared" si="53"/>
        <v>Maio</v>
      </c>
      <c r="C1730" s="8" t="s">
        <v>2217</v>
      </c>
      <c r="D1730" s="8" t="s">
        <v>664</v>
      </c>
      <c r="E1730" s="8" t="s">
        <v>110</v>
      </c>
      <c r="F1730" s="23">
        <v>46113.949305555558</v>
      </c>
      <c r="G1730" s="8" t="s">
        <v>1035</v>
      </c>
      <c r="H1730" s="23">
        <v>46148</v>
      </c>
      <c r="I1730" s="23">
        <v>46113.949305555558</v>
      </c>
      <c r="J1730" s="10">
        <v>3710</v>
      </c>
      <c r="K1730" s="10">
        <v>0</v>
      </c>
      <c r="L1730" s="24">
        <v>0</v>
      </c>
      <c r="M1730" s="10">
        <v>3710</v>
      </c>
    </row>
    <row r="1731" spans="1:13" x14ac:dyDescent="0.25">
      <c r="A1731" s="12" t="str">
        <f t="shared" si="54"/>
        <v>5005200LIDIANE ASSIS ROCHARCB46118,6791666667</v>
      </c>
      <c r="B1731" s="12" t="str">
        <f t="shared" ref="B1731:B1794" si="55">PROPER(TEXT($H1731,"MMMM"))</f>
        <v>Abril</v>
      </c>
      <c r="C1731" s="8" t="s">
        <v>2180</v>
      </c>
      <c r="D1731" s="8" t="s">
        <v>664</v>
      </c>
      <c r="E1731" s="8" t="s">
        <v>110</v>
      </c>
      <c r="F1731" s="23">
        <v>46118.679166666669</v>
      </c>
      <c r="G1731" s="8" t="s">
        <v>1045</v>
      </c>
      <c r="H1731" s="23">
        <v>46121</v>
      </c>
      <c r="I1731" s="23">
        <v>46118.679166666669</v>
      </c>
      <c r="J1731" s="10">
        <v>150.80000000000001</v>
      </c>
      <c r="K1731" s="10">
        <v>0</v>
      </c>
      <c r="L1731" s="24">
        <v>0</v>
      </c>
      <c r="M1731" s="10">
        <v>150.80000000000001</v>
      </c>
    </row>
    <row r="1732" spans="1:13" x14ac:dyDescent="0.25">
      <c r="A1732" s="12" t="str">
        <f t="shared" si="54"/>
        <v>5005200NATANIELLE SILVA DE SOUZA MARQUESCT46113,9506944444</v>
      </c>
      <c r="B1732" s="12" t="str">
        <f t="shared" si="55"/>
        <v>Abril</v>
      </c>
      <c r="C1732" s="8" t="s">
        <v>2180</v>
      </c>
      <c r="D1732" s="8" t="s">
        <v>664</v>
      </c>
      <c r="E1732" s="8" t="s">
        <v>135</v>
      </c>
      <c r="F1732" s="23">
        <v>46113.950694444444</v>
      </c>
      <c r="G1732" s="8" t="s">
        <v>1035</v>
      </c>
      <c r="H1732" s="23">
        <v>46128</v>
      </c>
      <c r="I1732" s="23">
        <v>46113.950694444444</v>
      </c>
      <c r="J1732" s="10">
        <v>7591</v>
      </c>
      <c r="K1732" s="10">
        <v>0</v>
      </c>
      <c r="L1732" s="24">
        <v>0</v>
      </c>
      <c r="M1732" s="10">
        <v>7591</v>
      </c>
    </row>
    <row r="1733" spans="1:13" x14ac:dyDescent="0.25">
      <c r="A1733" s="12" t="str">
        <f t="shared" si="54"/>
        <v>5005201ELIO BENEDITO NASCIMENTO JUNIORCT46113,9513888889</v>
      </c>
      <c r="B1733" s="12" t="str">
        <f t="shared" si="55"/>
        <v>Abril</v>
      </c>
      <c r="C1733" s="8" t="s">
        <v>2273</v>
      </c>
      <c r="D1733" s="8" t="s">
        <v>664</v>
      </c>
      <c r="E1733" s="8" t="s">
        <v>1439</v>
      </c>
      <c r="F1733" s="23">
        <v>46113.951388888891</v>
      </c>
      <c r="G1733" s="8" t="s">
        <v>1035</v>
      </c>
      <c r="H1733" s="23">
        <v>46128</v>
      </c>
      <c r="I1733" s="23">
        <v>46113.951388888891</v>
      </c>
      <c r="J1733" s="10">
        <v>392</v>
      </c>
      <c r="K1733" s="10">
        <v>0</v>
      </c>
      <c r="L1733" s="24">
        <v>0</v>
      </c>
      <c r="M1733" s="10">
        <v>392</v>
      </c>
    </row>
    <row r="1734" spans="1:13" x14ac:dyDescent="0.25">
      <c r="A1734" s="12" t="str">
        <f t="shared" si="54"/>
        <v>5005201NATANIELLE SILVA DE SOUZA MARQUESRCB46129,3972222222</v>
      </c>
      <c r="B1734" s="12" t="str">
        <f t="shared" si="55"/>
        <v>Abril</v>
      </c>
      <c r="C1734" s="8" t="s">
        <v>2273</v>
      </c>
      <c r="D1734" s="8" t="s">
        <v>664</v>
      </c>
      <c r="E1734" s="8" t="s">
        <v>135</v>
      </c>
      <c r="F1734" s="23">
        <v>46129.397222222222</v>
      </c>
      <c r="G1734" s="8" t="s">
        <v>1045</v>
      </c>
      <c r="H1734" s="23">
        <v>46135</v>
      </c>
      <c r="I1734" s="23">
        <v>46129.397222222222</v>
      </c>
      <c r="J1734" s="10">
        <v>209.75</v>
      </c>
      <c r="K1734" s="10">
        <v>0</v>
      </c>
      <c r="L1734" s="24">
        <v>0</v>
      </c>
      <c r="M1734" s="10">
        <v>209.75</v>
      </c>
    </row>
    <row r="1735" spans="1:13" x14ac:dyDescent="0.25">
      <c r="A1735" s="12" t="str">
        <f t="shared" si="54"/>
        <v>5005202JOSE MARCIO DA SILVACT46113,9527777778</v>
      </c>
      <c r="B1735" s="12" t="str">
        <f t="shared" si="55"/>
        <v>Maio</v>
      </c>
      <c r="C1735" s="8" t="s">
        <v>2371</v>
      </c>
      <c r="D1735" s="8" t="s">
        <v>664</v>
      </c>
      <c r="E1735" s="8" t="s">
        <v>1576</v>
      </c>
      <c r="F1735" s="23">
        <v>46113.952777777777</v>
      </c>
      <c r="G1735" s="8" t="s">
        <v>1035</v>
      </c>
      <c r="H1735" s="23">
        <v>46148</v>
      </c>
      <c r="I1735" s="23">
        <v>46113.952777777777</v>
      </c>
      <c r="J1735" s="10">
        <v>1750</v>
      </c>
      <c r="K1735" s="10">
        <v>0</v>
      </c>
      <c r="L1735" s="24">
        <v>0</v>
      </c>
      <c r="M1735" s="10">
        <v>1750</v>
      </c>
    </row>
    <row r="1736" spans="1:13" x14ac:dyDescent="0.25">
      <c r="A1736" s="12" t="str">
        <f t="shared" si="54"/>
        <v>5005203JOSE ANTONIO SILVACT46113,9534722222</v>
      </c>
      <c r="B1736" s="12" t="str">
        <f t="shared" si="55"/>
        <v>Abril</v>
      </c>
      <c r="C1736" s="8" t="s">
        <v>2275</v>
      </c>
      <c r="D1736" s="8" t="s">
        <v>664</v>
      </c>
      <c r="E1736" s="8" t="s">
        <v>99</v>
      </c>
      <c r="F1736" s="23">
        <v>46113.953472222223</v>
      </c>
      <c r="G1736" s="8" t="s">
        <v>1035</v>
      </c>
      <c r="H1736" s="23">
        <v>46128</v>
      </c>
      <c r="I1736" s="23">
        <v>46113.953472222223</v>
      </c>
      <c r="J1736" s="10">
        <v>5618</v>
      </c>
      <c r="K1736" s="10">
        <v>0</v>
      </c>
      <c r="L1736" s="24">
        <v>0</v>
      </c>
      <c r="M1736" s="10">
        <v>5618</v>
      </c>
    </row>
    <row r="1737" spans="1:13" x14ac:dyDescent="0.25">
      <c r="A1737" s="12" t="str">
        <f t="shared" si="54"/>
        <v>5005204DIOGO BONELA TONHACT46113,9548611111</v>
      </c>
      <c r="B1737" s="12" t="str">
        <f t="shared" si="55"/>
        <v>Abril</v>
      </c>
      <c r="C1737" s="8" t="s">
        <v>2276</v>
      </c>
      <c r="D1737" s="8" t="s">
        <v>664</v>
      </c>
      <c r="E1737" s="8" t="s">
        <v>52</v>
      </c>
      <c r="F1737" s="23">
        <v>46113.954861111109</v>
      </c>
      <c r="G1737" s="8" t="s">
        <v>1035</v>
      </c>
      <c r="H1737" s="23">
        <v>46128</v>
      </c>
      <c r="I1737" s="23">
        <v>46113.954861111109</v>
      </c>
      <c r="J1737" s="10">
        <v>3679</v>
      </c>
      <c r="K1737" s="10">
        <v>0</v>
      </c>
      <c r="L1737" s="24">
        <v>0</v>
      </c>
      <c r="M1737" s="10">
        <v>3679</v>
      </c>
    </row>
    <row r="1738" spans="1:13" x14ac:dyDescent="0.25">
      <c r="A1738" s="12" t="str">
        <f t="shared" si="54"/>
        <v>5005204JOSE ANTONIO SILVARCB46129,3965277778</v>
      </c>
      <c r="B1738" s="12" t="str">
        <f t="shared" si="55"/>
        <v>Abril</v>
      </c>
      <c r="C1738" s="8" t="s">
        <v>2276</v>
      </c>
      <c r="D1738" s="8" t="s">
        <v>664</v>
      </c>
      <c r="E1738" s="8" t="s">
        <v>99</v>
      </c>
      <c r="F1738" s="23">
        <v>46129.396527777775</v>
      </c>
      <c r="G1738" s="8" t="s">
        <v>1045</v>
      </c>
      <c r="H1738" s="23">
        <v>46135</v>
      </c>
      <c r="I1738" s="23">
        <v>46129.396527777775</v>
      </c>
      <c r="J1738" s="10">
        <v>180</v>
      </c>
      <c r="K1738" s="10">
        <v>0</v>
      </c>
      <c r="L1738" s="24">
        <v>0</v>
      </c>
      <c r="M1738" s="10">
        <v>180</v>
      </c>
    </row>
    <row r="1739" spans="1:13" x14ac:dyDescent="0.25">
      <c r="A1739" s="12" t="str">
        <f t="shared" si="54"/>
        <v>5005205THIAGO AUGUSTO DE MEIRACT46113,9555555556</v>
      </c>
      <c r="B1739" s="12" t="str">
        <f t="shared" si="55"/>
        <v>Abril</v>
      </c>
      <c r="C1739" s="8" t="s">
        <v>2277</v>
      </c>
      <c r="D1739" s="8" t="s">
        <v>664</v>
      </c>
      <c r="E1739" s="8" t="s">
        <v>2138</v>
      </c>
      <c r="F1739" s="23">
        <v>46113.955555555556</v>
      </c>
      <c r="G1739" s="8" t="s">
        <v>1035</v>
      </c>
      <c r="H1739" s="23">
        <v>46128</v>
      </c>
      <c r="I1739" s="23">
        <v>46113.955555555556</v>
      </c>
      <c r="J1739" s="10">
        <v>770</v>
      </c>
      <c r="K1739" s="10">
        <v>0</v>
      </c>
      <c r="L1739" s="24">
        <v>0</v>
      </c>
      <c r="M1739" s="10">
        <v>770</v>
      </c>
    </row>
    <row r="1740" spans="1:13" x14ac:dyDescent="0.25">
      <c r="A1740" s="12" t="str">
        <f t="shared" si="54"/>
        <v>5005206BRENDA LUIZA PEREIRACT46113,9569444444</v>
      </c>
      <c r="B1740" s="12" t="str">
        <f t="shared" si="55"/>
        <v>Abril</v>
      </c>
      <c r="C1740" s="8" t="s">
        <v>2278</v>
      </c>
      <c r="D1740" s="8" t="s">
        <v>664</v>
      </c>
      <c r="E1740" s="8" t="s">
        <v>28</v>
      </c>
      <c r="F1740" s="23">
        <v>46113.956944444442</v>
      </c>
      <c r="G1740" s="8" t="s">
        <v>1035</v>
      </c>
      <c r="H1740" s="23">
        <v>46128</v>
      </c>
      <c r="I1740" s="23">
        <v>46113.956944444442</v>
      </c>
      <c r="J1740" s="10">
        <v>4324</v>
      </c>
      <c r="K1740" s="10">
        <v>0</v>
      </c>
      <c r="L1740" s="24">
        <v>0</v>
      </c>
      <c r="M1740" s="10">
        <v>4324</v>
      </c>
    </row>
    <row r="1741" spans="1:13" x14ac:dyDescent="0.25">
      <c r="A1741" s="12" t="str">
        <f t="shared" si="54"/>
        <v>5005207ADRIANO LIANDO DE SOUZACT46113,9576388889</v>
      </c>
      <c r="B1741" s="12" t="str">
        <f t="shared" si="55"/>
        <v>Abril</v>
      </c>
      <c r="C1741" s="8" t="s">
        <v>2279</v>
      </c>
      <c r="D1741" s="8" t="s">
        <v>664</v>
      </c>
      <c r="E1741" s="8" t="s">
        <v>2073</v>
      </c>
      <c r="F1741" s="23">
        <v>46113.957638888889</v>
      </c>
      <c r="G1741" s="8" t="s">
        <v>1035</v>
      </c>
      <c r="H1741" s="23">
        <v>46128</v>
      </c>
      <c r="I1741" s="23">
        <v>46113.957638888889</v>
      </c>
      <c r="J1741" s="10">
        <v>2008</v>
      </c>
      <c r="K1741" s="10">
        <v>0</v>
      </c>
      <c r="L1741" s="24">
        <v>0</v>
      </c>
      <c r="M1741" s="10">
        <v>2008</v>
      </c>
    </row>
    <row r="1742" spans="1:13" x14ac:dyDescent="0.25">
      <c r="A1742" s="12" t="str">
        <f t="shared" si="54"/>
        <v>5005208RENILSON DIAS DE BRITOCT46129,4590277778</v>
      </c>
      <c r="B1742" s="12" t="str">
        <f t="shared" si="55"/>
        <v>Maio</v>
      </c>
      <c r="C1742" s="8" t="s">
        <v>2359</v>
      </c>
      <c r="D1742" s="8" t="s">
        <v>664</v>
      </c>
      <c r="E1742" s="8" t="s">
        <v>1383</v>
      </c>
      <c r="F1742" s="23">
        <v>46129.459027777775</v>
      </c>
      <c r="G1742" s="8" t="s">
        <v>1035</v>
      </c>
      <c r="H1742" s="23">
        <v>46148</v>
      </c>
      <c r="I1742" s="23">
        <v>46129.459027777775</v>
      </c>
      <c r="J1742" s="10">
        <v>350</v>
      </c>
      <c r="K1742" s="10">
        <v>0</v>
      </c>
      <c r="L1742" s="24">
        <v>0</v>
      </c>
      <c r="M1742" s="10">
        <v>350</v>
      </c>
    </row>
    <row r="1743" spans="1:13" x14ac:dyDescent="0.25">
      <c r="A1743" s="12" t="str">
        <f t="shared" si="54"/>
        <v>5005209MARCOS FILIPE DE ALCANTARA PEREIRACT46129,4604166667</v>
      </c>
      <c r="B1743" s="12" t="str">
        <f t="shared" si="55"/>
        <v>Maio</v>
      </c>
      <c r="C1743" s="8" t="s">
        <v>2360</v>
      </c>
      <c r="D1743" s="8" t="s">
        <v>664</v>
      </c>
      <c r="E1743" s="8" t="s">
        <v>1385</v>
      </c>
      <c r="F1743" s="23">
        <v>46129.460416666669</v>
      </c>
      <c r="G1743" s="8" t="s">
        <v>1035</v>
      </c>
      <c r="H1743" s="23">
        <v>46148</v>
      </c>
      <c r="I1743" s="23">
        <v>46129.460416666669</v>
      </c>
      <c r="J1743" s="10">
        <v>2112</v>
      </c>
      <c r="K1743" s="10">
        <v>0</v>
      </c>
      <c r="L1743" s="24">
        <v>0</v>
      </c>
      <c r="M1743" s="10">
        <v>2112</v>
      </c>
    </row>
    <row r="1744" spans="1:13" x14ac:dyDescent="0.25">
      <c r="A1744" s="12" t="str">
        <f t="shared" si="54"/>
        <v>5005210VICTOR HUGO SILVA BALBINOCT46129,4625</v>
      </c>
      <c r="B1744" s="12" t="str">
        <f t="shared" si="55"/>
        <v>Maio</v>
      </c>
      <c r="C1744" s="8" t="s">
        <v>2361</v>
      </c>
      <c r="D1744" s="8" t="s">
        <v>664</v>
      </c>
      <c r="E1744" s="8" t="s">
        <v>198</v>
      </c>
      <c r="F1744" s="23">
        <v>46129.462500000001</v>
      </c>
      <c r="G1744" s="8" t="s">
        <v>1035</v>
      </c>
      <c r="H1744" s="23">
        <v>46148</v>
      </c>
      <c r="I1744" s="23">
        <v>46129.462500000001</v>
      </c>
      <c r="J1744" s="10">
        <v>1632</v>
      </c>
      <c r="K1744" s="10">
        <v>0</v>
      </c>
      <c r="L1744" s="24">
        <v>0</v>
      </c>
      <c r="M1744" s="10">
        <v>1632</v>
      </c>
    </row>
    <row r="1745" spans="1:13" x14ac:dyDescent="0.25">
      <c r="A1745" s="12" t="str">
        <f t="shared" si="54"/>
        <v>5005211EDUARDO GAUDENCIO ROSACT46129,4645833333</v>
      </c>
      <c r="B1745" s="12" t="str">
        <f t="shared" si="55"/>
        <v>Maio</v>
      </c>
      <c r="C1745" s="8" t="s">
        <v>2362</v>
      </c>
      <c r="D1745" s="8" t="s">
        <v>664</v>
      </c>
      <c r="E1745" s="8" t="s">
        <v>58</v>
      </c>
      <c r="F1745" s="23">
        <v>46129.464583333334</v>
      </c>
      <c r="G1745" s="8" t="s">
        <v>1035</v>
      </c>
      <c r="H1745" s="23">
        <v>46148</v>
      </c>
      <c r="I1745" s="23">
        <v>46129.464583333334</v>
      </c>
      <c r="J1745" s="10">
        <v>2644</v>
      </c>
      <c r="K1745" s="10">
        <v>0</v>
      </c>
      <c r="L1745" s="24">
        <v>0</v>
      </c>
      <c r="M1745" s="10">
        <v>2644</v>
      </c>
    </row>
    <row r="1746" spans="1:13" x14ac:dyDescent="0.25">
      <c r="A1746" s="12" t="str">
        <f t="shared" si="54"/>
        <v>5005212EDUARDO GAUDENCIO ROSARCB46146,6125</v>
      </c>
      <c r="B1746" s="12" t="str">
        <f t="shared" si="55"/>
        <v>Maio</v>
      </c>
      <c r="C1746" s="8" t="s">
        <v>2339</v>
      </c>
      <c r="D1746" s="8" t="s">
        <v>664</v>
      </c>
      <c r="E1746" s="8" t="s">
        <v>58</v>
      </c>
      <c r="F1746" s="23">
        <v>46146.612500000003</v>
      </c>
      <c r="G1746" s="8" t="s">
        <v>1045</v>
      </c>
      <c r="H1746" s="23">
        <v>46149</v>
      </c>
      <c r="I1746" s="23">
        <v>46146.612500000003</v>
      </c>
      <c r="J1746" s="10">
        <v>201.03</v>
      </c>
      <c r="K1746" s="10">
        <v>0</v>
      </c>
      <c r="L1746" s="24">
        <v>0</v>
      </c>
      <c r="M1746" s="10">
        <v>201.03</v>
      </c>
    </row>
    <row r="1747" spans="1:13" x14ac:dyDescent="0.25">
      <c r="A1747" s="12" t="str">
        <f t="shared" si="54"/>
        <v>5005212CRISTIAN ALVES MOREIRACT46129,4666666667</v>
      </c>
      <c r="B1747" s="12" t="str">
        <f t="shared" si="55"/>
        <v>Maio</v>
      </c>
      <c r="C1747" s="8" t="s">
        <v>2339</v>
      </c>
      <c r="D1747" s="8" t="s">
        <v>664</v>
      </c>
      <c r="E1747" s="8" t="s">
        <v>46</v>
      </c>
      <c r="F1747" s="23">
        <v>46129.466666666667</v>
      </c>
      <c r="G1747" s="8" t="s">
        <v>1035</v>
      </c>
      <c r="H1747" s="23">
        <v>46148</v>
      </c>
      <c r="I1747" s="23">
        <v>46129.466666666667</v>
      </c>
      <c r="J1747" s="10">
        <v>770</v>
      </c>
      <c r="K1747" s="10">
        <v>0</v>
      </c>
      <c r="L1747" s="24">
        <v>0</v>
      </c>
      <c r="M1747" s="10">
        <v>770</v>
      </c>
    </row>
    <row r="1748" spans="1:13" x14ac:dyDescent="0.25">
      <c r="A1748" s="12" t="str">
        <f t="shared" si="54"/>
        <v>5005213PAULO RICARDO SILVACT46129,46875</v>
      </c>
      <c r="B1748" s="12" t="str">
        <f t="shared" si="55"/>
        <v>Maio</v>
      </c>
      <c r="C1748" s="8" t="s">
        <v>2363</v>
      </c>
      <c r="D1748" s="8" t="s">
        <v>664</v>
      </c>
      <c r="E1748" s="8" t="s">
        <v>153</v>
      </c>
      <c r="F1748" s="23">
        <v>46129.46875</v>
      </c>
      <c r="G1748" s="8" t="s">
        <v>1035</v>
      </c>
      <c r="H1748" s="23">
        <v>46148</v>
      </c>
      <c r="I1748" s="23">
        <v>46129.46875</v>
      </c>
      <c r="J1748" s="10">
        <v>2538</v>
      </c>
      <c r="K1748" s="10">
        <v>0</v>
      </c>
      <c r="L1748" s="24">
        <v>0</v>
      </c>
      <c r="M1748" s="10">
        <v>2538</v>
      </c>
    </row>
    <row r="1749" spans="1:13" x14ac:dyDescent="0.25">
      <c r="A1749" s="12" t="str">
        <f t="shared" si="54"/>
        <v>5005214PAULO RICARDO SILVARCB46134,7152777778</v>
      </c>
      <c r="B1749" s="12" t="str">
        <f t="shared" si="55"/>
        <v>Abril</v>
      </c>
      <c r="C1749" s="8" t="s">
        <v>2291</v>
      </c>
      <c r="D1749" s="8" t="s">
        <v>664</v>
      </c>
      <c r="E1749" s="8" t="s">
        <v>153</v>
      </c>
      <c r="F1749" s="23">
        <v>46134.715277777781</v>
      </c>
      <c r="G1749" s="8" t="s">
        <v>1045</v>
      </c>
      <c r="H1749" s="23">
        <v>46139</v>
      </c>
      <c r="I1749" s="23">
        <v>46134.715277777781</v>
      </c>
      <c r="J1749" s="10">
        <v>31.3</v>
      </c>
      <c r="K1749" s="10">
        <v>0</v>
      </c>
      <c r="L1749" s="24">
        <v>0</v>
      </c>
      <c r="M1749" s="10">
        <v>31.3</v>
      </c>
    </row>
    <row r="1750" spans="1:13" x14ac:dyDescent="0.25">
      <c r="A1750" s="12" t="str">
        <f t="shared" si="54"/>
        <v>5005214KELISON DINIZ LEMOSCT46129,48125</v>
      </c>
      <c r="B1750" s="12" t="str">
        <f t="shared" si="55"/>
        <v>Maio</v>
      </c>
      <c r="C1750" s="8" t="s">
        <v>2291</v>
      </c>
      <c r="D1750" s="8" t="s">
        <v>664</v>
      </c>
      <c r="E1750" s="8" t="s">
        <v>105</v>
      </c>
      <c r="F1750" s="23">
        <v>46129.481249999997</v>
      </c>
      <c r="G1750" s="8" t="s">
        <v>1035</v>
      </c>
      <c r="H1750" s="23">
        <v>46148</v>
      </c>
      <c r="I1750" s="23">
        <v>46129.481249999997</v>
      </c>
      <c r="J1750" s="10">
        <v>432</v>
      </c>
      <c r="K1750" s="10">
        <v>0</v>
      </c>
      <c r="L1750" s="24">
        <v>0</v>
      </c>
      <c r="M1750" s="10">
        <v>432</v>
      </c>
    </row>
    <row r="1751" spans="1:13" x14ac:dyDescent="0.25">
      <c r="A1751" s="12" t="str">
        <f t="shared" si="54"/>
        <v>5005215PAULO RICARDO SILVARCB46139,4104166667</v>
      </c>
      <c r="B1751" s="12" t="str">
        <f t="shared" si="55"/>
        <v>Abril</v>
      </c>
      <c r="C1751" s="8" t="s">
        <v>2303</v>
      </c>
      <c r="D1751" s="8" t="s">
        <v>664</v>
      </c>
      <c r="E1751" s="8" t="s">
        <v>153</v>
      </c>
      <c r="F1751" s="23">
        <v>46139.410416666666</v>
      </c>
      <c r="G1751" s="8" t="s">
        <v>1045</v>
      </c>
      <c r="H1751" s="23">
        <v>46142</v>
      </c>
      <c r="I1751" s="23">
        <v>46139.410416666666</v>
      </c>
      <c r="J1751" s="10">
        <v>30.5</v>
      </c>
      <c r="K1751" s="10">
        <v>0</v>
      </c>
      <c r="L1751" s="24">
        <v>0</v>
      </c>
      <c r="M1751" s="10">
        <v>30.5</v>
      </c>
    </row>
    <row r="1752" spans="1:13" x14ac:dyDescent="0.25">
      <c r="A1752" s="12" t="str">
        <f t="shared" si="54"/>
        <v>5005215ADRIANO ROBERTOCT46129,4826388889</v>
      </c>
      <c r="B1752" s="12" t="str">
        <f t="shared" si="55"/>
        <v>Maio</v>
      </c>
      <c r="C1752" s="8" t="s">
        <v>2303</v>
      </c>
      <c r="D1752" s="8" t="s">
        <v>664</v>
      </c>
      <c r="E1752" s="8" t="s">
        <v>8</v>
      </c>
      <c r="F1752" s="23">
        <v>46129.482638888891</v>
      </c>
      <c r="G1752" s="8" t="s">
        <v>1035</v>
      </c>
      <c r="H1752" s="23">
        <v>46148</v>
      </c>
      <c r="I1752" s="23">
        <v>46129.482638888891</v>
      </c>
      <c r="J1752" s="10">
        <v>2534</v>
      </c>
      <c r="K1752" s="10">
        <v>0</v>
      </c>
      <c r="L1752" s="24">
        <v>0</v>
      </c>
      <c r="M1752" s="10">
        <v>2534</v>
      </c>
    </row>
    <row r="1753" spans="1:13" x14ac:dyDescent="0.25">
      <c r="A1753" s="12" t="str">
        <f t="shared" si="54"/>
        <v>5005216PAULO RICARDO SILVARCB46146,4361111111</v>
      </c>
      <c r="B1753" s="12" t="str">
        <f t="shared" si="55"/>
        <v>Maio</v>
      </c>
      <c r="C1753" s="8" t="s">
        <v>2340</v>
      </c>
      <c r="D1753" s="8" t="s">
        <v>664</v>
      </c>
      <c r="E1753" s="8" t="s">
        <v>153</v>
      </c>
      <c r="F1753" s="23">
        <v>46146.436111111114</v>
      </c>
      <c r="G1753" s="8" t="s">
        <v>1045</v>
      </c>
      <c r="H1753" s="23">
        <v>46149</v>
      </c>
      <c r="I1753" s="23">
        <v>46146.436111111114</v>
      </c>
      <c r="J1753" s="10">
        <v>31.6</v>
      </c>
      <c r="K1753" s="10">
        <v>0</v>
      </c>
      <c r="L1753" s="24">
        <v>0</v>
      </c>
      <c r="M1753" s="10">
        <v>31.6</v>
      </c>
    </row>
    <row r="1754" spans="1:13" x14ac:dyDescent="0.25">
      <c r="A1754" s="12" t="str">
        <f t="shared" si="54"/>
        <v>5005216ADRIANO ROBERTORCB46146,4347222222</v>
      </c>
      <c r="B1754" s="12" t="str">
        <f t="shared" si="55"/>
        <v>Maio</v>
      </c>
      <c r="C1754" s="8" t="s">
        <v>2340</v>
      </c>
      <c r="D1754" s="8" t="s">
        <v>664</v>
      </c>
      <c r="E1754" s="8" t="s">
        <v>8</v>
      </c>
      <c r="F1754" s="23">
        <v>46146.43472222222</v>
      </c>
      <c r="G1754" s="8" t="s">
        <v>1045</v>
      </c>
      <c r="H1754" s="23">
        <v>46149</v>
      </c>
      <c r="I1754" s="23">
        <v>46146.43472222222</v>
      </c>
      <c r="J1754" s="10">
        <v>19.5</v>
      </c>
      <c r="K1754" s="10">
        <v>0</v>
      </c>
      <c r="L1754" s="24">
        <v>0</v>
      </c>
      <c r="M1754" s="10">
        <v>19.5</v>
      </c>
    </row>
    <row r="1755" spans="1:13" x14ac:dyDescent="0.25">
      <c r="A1755" s="12" t="str">
        <f t="shared" si="54"/>
        <v>5005216HUDSON CESAR DA SILVACT46129,4840277778</v>
      </c>
      <c r="B1755" s="12" t="str">
        <f t="shared" si="55"/>
        <v>Maio</v>
      </c>
      <c r="C1755" s="8" t="s">
        <v>2340</v>
      </c>
      <c r="D1755" s="8" t="s">
        <v>664</v>
      </c>
      <c r="E1755" s="8" t="s">
        <v>1407</v>
      </c>
      <c r="F1755" s="23">
        <v>46129.484027777777</v>
      </c>
      <c r="G1755" s="8" t="s">
        <v>1035</v>
      </c>
      <c r="H1755" s="23">
        <v>46148</v>
      </c>
      <c r="I1755" s="23">
        <v>46129.484027777777</v>
      </c>
      <c r="J1755" s="10">
        <v>2409</v>
      </c>
      <c r="K1755" s="10">
        <v>0</v>
      </c>
      <c r="L1755" s="24">
        <v>0</v>
      </c>
      <c r="M1755" s="10">
        <v>2409</v>
      </c>
    </row>
    <row r="1756" spans="1:13" x14ac:dyDescent="0.25">
      <c r="A1756" s="12" t="str">
        <f t="shared" si="54"/>
        <v>5005217NELCIDES JOSE VIEIRACT46129,4854166667</v>
      </c>
      <c r="B1756" s="12" t="str">
        <f t="shared" si="55"/>
        <v>Maio</v>
      </c>
      <c r="C1756" s="8" t="s">
        <v>2364</v>
      </c>
      <c r="D1756" s="8" t="s">
        <v>664</v>
      </c>
      <c r="E1756" s="8" t="s">
        <v>137</v>
      </c>
      <c r="F1756" s="23">
        <v>46129.48541666667</v>
      </c>
      <c r="G1756" s="8" t="s">
        <v>1035</v>
      </c>
      <c r="H1756" s="23">
        <v>46148</v>
      </c>
      <c r="I1756" s="23">
        <v>46129.48541666667</v>
      </c>
      <c r="J1756" s="10">
        <v>402</v>
      </c>
      <c r="K1756" s="10">
        <v>0</v>
      </c>
      <c r="L1756" s="24">
        <v>0</v>
      </c>
      <c r="M1756" s="10">
        <v>402</v>
      </c>
    </row>
    <row r="1757" spans="1:13" x14ac:dyDescent="0.25">
      <c r="A1757" s="12" t="str">
        <f t="shared" si="54"/>
        <v>5005218NELCIDES JOSE VIEIRARCB46146,6138888889</v>
      </c>
      <c r="B1757" s="12" t="str">
        <f t="shared" si="55"/>
        <v>Maio</v>
      </c>
      <c r="C1757" s="8" t="s">
        <v>2341</v>
      </c>
      <c r="D1757" s="8" t="s">
        <v>664</v>
      </c>
      <c r="E1757" s="8" t="s">
        <v>137</v>
      </c>
      <c r="F1757" s="23">
        <v>46146.613888888889</v>
      </c>
      <c r="G1757" s="8" t="s">
        <v>1045</v>
      </c>
      <c r="H1757" s="23">
        <v>46149</v>
      </c>
      <c r="I1757" s="23">
        <v>46146.613888888889</v>
      </c>
      <c r="J1757" s="10">
        <v>150.28</v>
      </c>
      <c r="K1757" s="10">
        <v>0</v>
      </c>
      <c r="L1757" s="24">
        <v>0</v>
      </c>
      <c r="M1757" s="10">
        <v>150.28</v>
      </c>
    </row>
    <row r="1758" spans="1:13" x14ac:dyDescent="0.25">
      <c r="A1758" s="12" t="str">
        <f t="shared" si="54"/>
        <v>5005218WILLIAM DE SOUZA VIEIRACT46129,4868055556</v>
      </c>
      <c r="B1758" s="12" t="str">
        <f t="shared" si="55"/>
        <v>Maio</v>
      </c>
      <c r="C1758" s="8" t="s">
        <v>2341</v>
      </c>
      <c r="D1758" s="8" t="s">
        <v>664</v>
      </c>
      <c r="E1758" s="8" t="s">
        <v>1542</v>
      </c>
      <c r="F1758" s="23">
        <v>46129.486805555556</v>
      </c>
      <c r="G1758" s="8" t="s">
        <v>1035</v>
      </c>
      <c r="H1758" s="23">
        <v>46148</v>
      </c>
      <c r="I1758" s="23">
        <v>46129.486805555556</v>
      </c>
      <c r="J1758" s="10">
        <v>350</v>
      </c>
      <c r="K1758" s="10">
        <v>0</v>
      </c>
      <c r="L1758" s="24">
        <v>0</v>
      </c>
      <c r="M1758" s="10">
        <v>350</v>
      </c>
    </row>
    <row r="1759" spans="1:13" x14ac:dyDescent="0.25">
      <c r="A1759" s="12" t="str">
        <f t="shared" si="54"/>
        <v>5005219CARLOS ANTONIO PINTOCT46129,4875</v>
      </c>
      <c r="B1759" s="12" t="str">
        <f t="shared" si="55"/>
        <v>Maio</v>
      </c>
      <c r="C1759" s="8" t="s">
        <v>2365</v>
      </c>
      <c r="D1759" s="8" t="s">
        <v>664</v>
      </c>
      <c r="E1759" s="8" t="s">
        <v>36</v>
      </c>
      <c r="F1759" s="23">
        <v>46129.487500000003</v>
      </c>
      <c r="G1759" s="8" t="s">
        <v>1035</v>
      </c>
      <c r="H1759" s="23">
        <v>46148</v>
      </c>
      <c r="I1759" s="23">
        <v>46129.487500000003</v>
      </c>
      <c r="J1759" s="10">
        <v>4229</v>
      </c>
      <c r="K1759" s="10">
        <v>0</v>
      </c>
      <c r="L1759" s="24">
        <v>0</v>
      </c>
      <c r="M1759" s="10">
        <v>4229</v>
      </c>
    </row>
    <row r="1760" spans="1:13" x14ac:dyDescent="0.25">
      <c r="A1760" s="12" t="str">
        <f t="shared" si="54"/>
        <v>5005220JORGE MARTINS BORGES JUNIORCT46129,4888888889</v>
      </c>
      <c r="B1760" s="12" t="str">
        <f t="shared" si="55"/>
        <v>Maio</v>
      </c>
      <c r="C1760" s="8" t="s">
        <v>2366</v>
      </c>
      <c r="D1760" s="8" t="s">
        <v>664</v>
      </c>
      <c r="E1760" s="8" t="s">
        <v>97</v>
      </c>
      <c r="F1760" s="23">
        <v>46129.488888888889</v>
      </c>
      <c r="G1760" s="8" t="s">
        <v>1035</v>
      </c>
      <c r="H1760" s="23">
        <v>46148</v>
      </c>
      <c r="I1760" s="23">
        <v>46129.488888888889</v>
      </c>
      <c r="J1760" s="10">
        <v>2233</v>
      </c>
      <c r="K1760" s="10">
        <v>0</v>
      </c>
      <c r="L1760" s="24">
        <v>0</v>
      </c>
      <c r="M1760" s="10">
        <v>2233</v>
      </c>
    </row>
    <row r="1761" spans="1:13" x14ac:dyDescent="0.25">
      <c r="A1761" s="12" t="str">
        <f t="shared" si="54"/>
        <v>5005221JORGE MARTINS BORGES JUNIORRCB46139,4111111111</v>
      </c>
      <c r="B1761" s="12" t="str">
        <f t="shared" si="55"/>
        <v>Abril</v>
      </c>
      <c r="C1761" s="8" t="s">
        <v>2304</v>
      </c>
      <c r="D1761" s="8" t="s">
        <v>664</v>
      </c>
      <c r="E1761" s="8" t="s">
        <v>97</v>
      </c>
      <c r="F1761" s="23">
        <v>46139.411111111112</v>
      </c>
      <c r="G1761" s="8" t="s">
        <v>1045</v>
      </c>
      <c r="H1761" s="23">
        <v>46142</v>
      </c>
      <c r="I1761" s="23">
        <v>46139.411111111112</v>
      </c>
      <c r="J1761" s="10">
        <v>31.6</v>
      </c>
      <c r="K1761" s="10">
        <v>0</v>
      </c>
      <c r="L1761" s="24">
        <v>0</v>
      </c>
      <c r="M1761" s="10">
        <v>31.6</v>
      </c>
    </row>
    <row r="1762" spans="1:13" x14ac:dyDescent="0.25">
      <c r="A1762" s="12" t="str">
        <f t="shared" si="54"/>
        <v>5005221DANIELLE HEBERT CARVALHO PEREIRACT46129,4909722222</v>
      </c>
      <c r="B1762" s="12" t="str">
        <f t="shared" si="55"/>
        <v>Maio</v>
      </c>
      <c r="C1762" s="8" t="s">
        <v>2304</v>
      </c>
      <c r="D1762" s="8" t="s">
        <v>664</v>
      </c>
      <c r="E1762" s="8" t="s">
        <v>48</v>
      </c>
      <c r="F1762" s="23">
        <v>46129.490972222222</v>
      </c>
      <c r="G1762" s="8" t="s">
        <v>1035</v>
      </c>
      <c r="H1762" s="23">
        <v>46148</v>
      </c>
      <c r="I1762" s="23">
        <v>46129.490972222222</v>
      </c>
      <c r="J1762" s="10">
        <v>1496</v>
      </c>
      <c r="K1762" s="10">
        <v>0</v>
      </c>
      <c r="L1762" s="24">
        <v>0</v>
      </c>
      <c r="M1762" s="10">
        <v>1496</v>
      </c>
    </row>
    <row r="1763" spans="1:13" x14ac:dyDescent="0.25">
      <c r="A1763" s="12" t="str">
        <f t="shared" si="54"/>
        <v>5005222JORGE MARTINS BORGES JUNIORRCB46146,4375</v>
      </c>
      <c r="B1763" s="12" t="str">
        <f t="shared" si="55"/>
        <v>Maio</v>
      </c>
      <c r="C1763" s="8" t="s">
        <v>2342</v>
      </c>
      <c r="D1763" s="8" t="s">
        <v>664</v>
      </c>
      <c r="E1763" s="8" t="s">
        <v>97</v>
      </c>
      <c r="F1763" s="23">
        <v>46146.4375</v>
      </c>
      <c r="G1763" s="8" t="s">
        <v>1045</v>
      </c>
      <c r="H1763" s="23">
        <v>46149</v>
      </c>
      <c r="I1763" s="23">
        <v>46146.4375</v>
      </c>
      <c r="J1763" s="10">
        <v>55.84</v>
      </c>
      <c r="K1763" s="10">
        <v>0</v>
      </c>
      <c r="L1763" s="24">
        <v>0</v>
      </c>
      <c r="M1763" s="10">
        <v>55.84</v>
      </c>
    </row>
    <row r="1764" spans="1:13" x14ac:dyDescent="0.25">
      <c r="A1764" s="12" t="str">
        <f t="shared" si="54"/>
        <v>5005222BRUNO RIBEIRO DOMINGUESCT46129,4923611111</v>
      </c>
      <c r="B1764" s="12" t="str">
        <f t="shared" si="55"/>
        <v>Maio</v>
      </c>
      <c r="C1764" s="8" t="s">
        <v>2342</v>
      </c>
      <c r="D1764" s="8" t="s">
        <v>664</v>
      </c>
      <c r="E1764" s="8" t="s">
        <v>32</v>
      </c>
      <c r="F1764" s="23">
        <v>46129.492361111108</v>
      </c>
      <c r="G1764" s="8" t="s">
        <v>1035</v>
      </c>
      <c r="H1764" s="23">
        <v>46148</v>
      </c>
      <c r="I1764" s="23">
        <v>46129.492361111108</v>
      </c>
      <c r="J1764" s="10">
        <v>812</v>
      </c>
      <c r="K1764" s="10">
        <v>0</v>
      </c>
      <c r="L1764" s="24">
        <v>0</v>
      </c>
      <c r="M1764" s="10">
        <v>812</v>
      </c>
    </row>
    <row r="1765" spans="1:13" x14ac:dyDescent="0.25">
      <c r="A1765" s="12" t="str">
        <f t="shared" si="54"/>
        <v>5005223BRUNO RIBEIRO DOMINGUESRCB46134,7159722222</v>
      </c>
      <c r="B1765" s="12" t="str">
        <f t="shared" si="55"/>
        <v>Abril</v>
      </c>
      <c r="C1765" s="8" t="s">
        <v>2292</v>
      </c>
      <c r="D1765" s="8" t="s">
        <v>664</v>
      </c>
      <c r="E1765" s="8" t="s">
        <v>32</v>
      </c>
      <c r="F1765" s="23">
        <v>46134.71597222222</v>
      </c>
      <c r="G1765" s="8" t="s">
        <v>1045</v>
      </c>
      <c r="H1765" s="23">
        <v>46139</v>
      </c>
      <c r="I1765" s="23">
        <v>46134.71597222222</v>
      </c>
      <c r="J1765" s="10">
        <v>11.8</v>
      </c>
      <c r="K1765" s="10">
        <v>0</v>
      </c>
      <c r="L1765" s="24">
        <v>0</v>
      </c>
      <c r="M1765" s="10">
        <v>11.8</v>
      </c>
    </row>
    <row r="1766" spans="1:13" x14ac:dyDescent="0.25">
      <c r="A1766" s="12" t="str">
        <f t="shared" si="54"/>
        <v>5005223JAIME GOMES PARAGUAICT46129,4958333333</v>
      </c>
      <c r="B1766" s="12" t="str">
        <f t="shared" si="55"/>
        <v>Maio</v>
      </c>
      <c r="C1766" s="8" t="s">
        <v>2292</v>
      </c>
      <c r="D1766" s="8" t="s">
        <v>664</v>
      </c>
      <c r="E1766" s="8" t="s">
        <v>87</v>
      </c>
      <c r="F1766" s="23">
        <v>46129.495833333334</v>
      </c>
      <c r="G1766" s="8" t="s">
        <v>1035</v>
      </c>
      <c r="H1766" s="23">
        <v>46148</v>
      </c>
      <c r="I1766" s="23">
        <v>46129.495833333334</v>
      </c>
      <c r="J1766" s="10">
        <v>1046</v>
      </c>
      <c r="K1766" s="10">
        <v>0</v>
      </c>
      <c r="L1766" s="24">
        <v>0</v>
      </c>
      <c r="M1766" s="10">
        <v>1046</v>
      </c>
    </row>
    <row r="1767" spans="1:13" x14ac:dyDescent="0.25">
      <c r="A1767" s="12" t="str">
        <f t="shared" si="54"/>
        <v>5005224JAIME GOMES PARAGUAIRCB46134,7173611111</v>
      </c>
      <c r="B1767" s="12" t="str">
        <f t="shared" si="55"/>
        <v>Abril</v>
      </c>
      <c r="C1767" s="8" t="s">
        <v>2293</v>
      </c>
      <c r="D1767" s="8" t="s">
        <v>664</v>
      </c>
      <c r="E1767" s="8" t="s">
        <v>87</v>
      </c>
      <c r="F1767" s="23">
        <v>46134.717361111114</v>
      </c>
      <c r="G1767" s="8" t="s">
        <v>1045</v>
      </c>
      <c r="H1767" s="23">
        <v>46139</v>
      </c>
      <c r="I1767" s="23">
        <v>46134.717361111114</v>
      </c>
      <c r="J1767" s="10">
        <v>15.5</v>
      </c>
      <c r="K1767" s="10">
        <v>0</v>
      </c>
      <c r="L1767" s="24">
        <v>0</v>
      </c>
      <c r="M1767" s="10">
        <v>15.5</v>
      </c>
    </row>
    <row r="1768" spans="1:13" x14ac:dyDescent="0.25">
      <c r="A1768" s="12" t="str">
        <f t="shared" si="54"/>
        <v>5005224BRUNO RIBEIRO DOMINGUESRCB46146,4354166667</v>
      </c>
      <c r="B1768" s="12" t="str">
        <f t="shared" si="55"/>
        <v>Maio</v>
      </c>
      <c r="C1768" s="8" t="s">
        <v>2293</v>
      </c>
      <c r="D1768" s="8" t="s">
        <v>664</v>
      </c>
      <c r="E1768" s="8" t="s">
        <v>32</v>
      </c>
      <c r="F1768" s="23">
        <v>46146.435416666667</v>
      </c>
      <c r="G1768" s="8" t="s">
        <v>1045</v>
      </c>
      <c r="H1768" s="23">
        <v>46149</v>
      </c>
      <c r="I1768" s="23">
        <v>46146.435416666667</v>
      </c>
      <c r="J1768" s="10">
        <v>11.4</v>
      </c>
      <c r="K1768" s="10">
        <v>0</v>
      </c>
      <c r="L1768" s="24">
        <v>0</v>
      </c>
      <c r="M1768" s="10">
        <v>11.4</v>
      </c>
    </row>
    <row r="1769" spans="1:13" x14ac:dyDescent="0.25">
      <c r="A1769" s="12" t="str">
        <f t="shared" si="54"/>
        <v>5005224CHAYENE AMARALCT46129,4993055556</v>
      </c>
      <c r="B1769" s="12" t="str">
        <f t="shared" si="55"/>
        <v>Maio</v>
      </c>
      <c r="C1769" s="8" t="s">
        <v>2293</v>
      </c>
      <c r="D1769" s="8" t="s">
        <v>664</v>
      </c>
      <c r="E1769" s="8" t="s">
        <v>1424</v>
      </c>
      <c r="F1769" s="23">
        <v>46129.499305555553</v>
      </c>
      <c r="G1769" s="8" t="s">
        <v>1035</v>
      </c>
      <c r="H1769" s="23">
        <v>46148</v>
      </c>
      <c r="I1769" s="23">
        <v>46129.499305555553</v>
      </c>
      <c r="J1769" s="10">
        <v>1376</v>
      </c>
      <c r="K1769" s="10">
        <v>0</v>
      </c>
      <c r="L1769" s="24">
        <v>0</v>
      </c>
      <c r="M1769" s="10">
        <v>1376</v>
      </c>
    </row>
    <row r="1770" spans="1:13" x14ac:dyDescent="0.25">
      <c r="A1770" s="12" t="str">
        <f t="shared" si="54"/>
        <v>5005225ALAOR CANAVEZ DE MORAES NETOCT46129,5</v>
      </c>
      <c r="B1770" s="12" t="str">
        <f t="shared" si="55"/>
        <v>Maio</v>
      </c>
      <c r="C1770" s="8" t="s">
        <v>2367</v>
      </c>
      <c r="D1770" s="8" t="s">
        <v>664</v>
      </c>
      <c r="E1770" s="8" t="s">
        <v>10</v>
      </c>
      <c r="F1770" s="23">
        <v>46129.5</v>
      </c>
      <c r="G1770" s="8" t="s">
        <v>1035</v>
      </c>
      <c r="H1770" s="23">
        <v>46148</v>
      </c>
      <c r="I1770" s="23">
        <v>46129.5</v>
      </c>
      <c r="J1770" s="10">
        <v>410</v>
      </c>
      <c r="K1770" s="10">
        <v>0</v>
      </c>
      <c r="L1770" s="24">
        <v>0</v>
      </c>
      <c r="M1770" s="10">
        <v>410</v>
      </c>
    </row>
    <row r="1771" spans="1:13" x14ac:dyDescent="0.25">
      <c r="A1771" s="12" t="str">
        <f t="shared" si="54"/>
        <v>5005226MAGNO APARECIDO DE JESUSCT46129,5013888889</v>
      </c>
      <c r="B1771" s="12" t="str">
        <f t="shared" si="55"/>
        <v>Maio</v>
      </c>
      <c r="C1771" s="8" t="s">
        <v>2368</v>
      </c>
      <c r="D1771" s="8" t="s">
        <v>664</v>
      </c>
      <c r="E1771" s="8" t="s">
        <v>115</v>
      </c>
      <c r="F1771" s="23">
        <v>46129.501388888886</v>
      </c>
      <c r="G1771" s="8" t="s">
        <v>1035</v>
      </c>
      <c r="H1771" s="23">
        <v>46148</v>
      </c>
      <c r="I1771" s="23">
        <v>46129.501388888886</v>
      </c>
      <c r="J1771" s="10">
        <v>565</v>
      </c>
      <c r="K1771" s="10">
        <v>0</v>
      </c>
      <c r="L1771" s="24">
        <v>0</v>
      </c>
      <c r="M1771" s="10">
        <v>565</v>
      </c>
    </row>
    <row r="1772" spans="1:13" x14ac:dyDescent="0.25">
      <c r="A1772" s="12" t="str">
        <f t="shared" si="54"/>
        <v>5005227MAGNO APARECIDO DE JESUSRCB46146,6131944444</v>
      </c>
      <c r="B1772" s="12" t="str">
        <f t="shared" si="55"/>
        <v>Maio</v>
      </c>
      <c r="C1772" s="8" t="s">
        <v>2343</v>
      </c>
      <c r="D1772" s="8" t="s">
        <v>664</v>
      </c>
      <c r="E1772" s="8" t="s">
        <v>115</v>
      </c>
      <c r="F1772" s="23">
        <v>46146.613194444442</v>
      </c>
      <c r="G1772" s="8" t="s">
        <v>1045</v>
      </c>
      <c r="H1772" s="23">
        <v>46149</v>
      </c>
      <c r="I1772" s="23">
        <v>46146.613194444442</v>
      </c>
      <c r="J1772" s="10">
        <v>182</v>
      </c>
      <c r="K1772" s="10">
        <v>0</v>
      </c>
      <c r="L1772" s="24">
        <v>0</v>
      </c>
      <c r="M1772" s="10">
        <v>182</v>
      </c>
    </row>
    <row r="1773" spans="1:13" x14ac:dyDescent="0.25">
      <c r="A1773" s="12" t="str">
        <f t="shared" si="54"/>
        <v>5005227RAISSA DE CARVALHO FIORINECT46129,5027777778</v>
      </c>
      <c r="B1773" s="12" t="str">
        <f t="shared" si="55"/>
        <v>Maio</v>
      </c>
      <c r="C1773" s="8" t="s">
        <v>2343</v>
      </c>
      <c r="D1773" s="8" t="s">
        <v>664</v>
      </c>
      <c r="E1773" s="8" t="s">
        <v>163</v>
      </c>
      <c r="F1773" s="23">
        <v>46129.50277777778</v>
      </c>
      <c r="G1773" s="8" t="s">
        <v>1035</v>
      </c>
      <c r="H1773" s="23">
        <v>46148</v>
      </c>
      <c r="I1773" s="23">
        <v>46129.50277777778</v>
      </c>
      <c r="J1773" s="10">
        <v>1350</v>
      </c>
      <c r="K1773" s="10">
        <v>0</v>
      </c>
      <c r="L1773" s="24">
        <v>0</v>
      </c>
      <c r="M1773" s="10">
        <v>1350</v>
      </c>
    </row>
    <row r="1774" spans="1:13" x14ac:dyDescent="0.25">
      <c r="A1774" s="12" t="str">
        <f t="shared" si="54"/>
        <v>5005228BRUNO HENRIQUE DA SILVACT46129,5034722222</v>
      </c>
      <c r="B1774" s="12" t="str">
        <f t="shared" si="55"/>
        <v>Maio</v>
      </c>
      <c r="C1774" s="8" t="s">
        <v>2369</v>
      </c>
      <c r="D1774" s="8" t="s">
        <v>664</v>
      </c>
      <c r="E1774" s="8" t="s">
        <v>29</v>
      </c>
      <c r="F1774" s="23">
        <v>46129.503472222219</v>
      </c>
      <c r="G1774" s="8" t="s">
        <v>1035</v>
      </c>
      <c r="H1774" s="23">
        <v>46148</v>
      </c>
      <c r="I1774" s="23">
        <v>46129.503472222219</v>
      </c>
      <c r="J1774" s="10">
        <v>572</v>
      </c>
      <c r="K1774" s="10">
        <v>0</v>
      </c>
      <c r="L1774" s="24">
        <v>0</v>
      </c>
      <c r="M1774" s="10">
        <v>572</v>
      </c>
    </row>
    <row r="1775" spans="1:13" x14ac:dyDescent="0.25">
      <c r="A1775" s="12" t="str">
        <f t="shared" si="54"/>
        <v>5005229BRUNO HENRIQUE DA SILVARCB46136,4291666667</v>
      </c>
      <c r="B1775" s="12" t="str">
        <f t="shared" si="55"/>
        <v>Abril</v>
      </c>
      <c r="C1775" s="8" t="s">
        <v>2300</v>
      </c>
      <c r="D1775" s="8" t="s">
        <v>664</v>
      </c>
      <c r="E1775" s="8" t="s">
        <v>29</v>
      </c>
      <c r="F1775" s="23">
        <v>46136.429166666669</v>
      </c>
      <c r="G1775" s="8" t="s">
        <v>1045</v>
      </c>
      <c r="H1775" s="23">
        <v>46141</v>
      </c>
      <c r="I1775" s="23">
        <v>46136.429166666669</v>
      </c>
      <c r="J1775" s="10">
        <v>121.2</v>
      </c>
      <c r="K1775" s="10">
        <v>0</v>
      </c>
      <c r="L1775" s="24">
        <v>0</v>
      </c>
      <c r="M1775" s="10">
        <v>121.2</v>
      </c>
    </row>
    <row r="1776" spans="1:13" x14ac:dyDescent="0.25">
      <c r="A1776" s="12" t="str">
        <f t="shared" si="54"/>
        <v>5005229MARCELO MARTINS DE OLIVEIRACT46129,5048611111</v>
      </c>
      <c r="B1776" s="12" t="str">
        <f t="shared" si="55"/>
        <v>Maio</v>
      </c>
      <c r="C1776" s="8" t="s">
        <v>2300</v>
      </c>
      <c r="D1776" s="8" t="s">
        <v>664</v>
      </c>
      <c r="E1776" s="8" t="s">
        <v>121</v>
      </c>
      <c r="F1776" s="23">
        <v>46129.504861111112</v>
      </c>
      <c r="G1776" s="8" t="s">
        <v>1035</v>
      </c>
      <c r="H1776" s="23">
        <v>46148</v>
      </c>
      <c r="I1776" s="23">
        <v>46129.504861111112</v>
      </c>
      <c r="J1776" s="10">
        <v>1758</v>
      </c>
      <c r="K1776" s="10">
        <v>0</v>
      </c>
      <c r="L1776" s="24">
        <v>0</v>
      </c>
      <c r="M1776" s="10">
        <v>1758</v>
      </c>
    </row>
    <row r="1777" spans="1:13" x14ac:dyDescent="0.25">
      <c r="A1777" s="12" t="str">
        <f t="shared" si="54"/>
        <v>5005230MARCELO MARTINS DE OLIVEIRARCB46134,7138888889</v>
      </c>
      <c r="B1777" s="12" t="str">
        <f t="shared" si="55"/>
        <v>Abril</v>
      </c>
      <c r="C1777" s="8" t="s">
        <v>2294</v>
      </c>
      <c r="D1777" s="8" t="s">
        <v>664</v>
      </c>
      <c r="E1777" s="8" t="s">
        <v>121</v>
      </c>
      <c r="F1777" s="23">
        <v>46134.713888888888</v>
      </c>
      <c r="G1777" s="8" t="s">
        <v>1045</v>
      </c>
      <c r="H1777" s="23">
        <v>46139</v>
      </c>
      <c r="I1777" s="23">
        <v>46134.713888888888</v>
      </c>
      <c r="J1777" s="10">
        <v>11</v>
      </c>
      <c r="K1777" s="10">
        <v>0</v>
      </c>
      <c r="L1777" s="24">
        <v>0</v>
      </c>
      <c r="M1777" s="10">
        <v>11</v>
      </c>
    </row>
    <row r="1778" spans="1:13" x14ac:dyDescent="0.25">
      <c r="A1778" s="12" t="str">
        <f t="shared" si="54"/>
        <v>5005230KARINE KEILE DA SILVA BRAGACT46129,50625</v>
      </c>
      <c r="B1778" s="12" t="str">
        <f t="shared" si="55"/>
        <v>Maio</v>
      </c>
      <c r="C1778" s="8" t="s">
        <v>2294</v>
      </c>
      <c r="D1778" s="8" t="s">
        <v>664</v>
      </c>
      <c r="E1778" s="8" t="s">
        <v>1570</v>
      </c>
      <c r="F1778" s="23">
        <v>46129.506249999999</v>
      </c>
      <c r="G1778" s="8" t="s">
        <v>1035</v>
      </c>
      <c r="H1778" s="23">
        <v>46148</v>
      </c>
      <c r="I1778" s="23">
        <v>46129.506249999999</v>
      </c>
      <c r="J1778" s="10">
        <v>703</v>
      </c>
      <c r="K1778" s="10">
        <v>0</v>
      </c>
      <c r="L1778" s="24">
        <v>0</v>
      </c>
      <c r="M1778" s="10">
        <v>703</v>
      </c>
    </row>
    <row r="1779" spans="1:13" x14ac:dyDescent="0.25">
      <c r="A1779" s="12" t="str">
        <f t="shared" si="54"/>
        <v>5005231MARCELO MARTINS DE OLIVEIRARCB46139,4097222222</v>
      </c>
      <c r="B1779" s="12" t="str">
        <f t="shared" si="55"/>
        <v>Abril</v>
      </c>
      <c r="C1779" s="8" t="s">
        <v>2305</v>
      </c>
      <c r="D1779" s="8" t="s">
        <v>664</v>
      </c>
      <c r="E1779" s="8" t="s">
        <v>121</v>
      </c>
      <c r="F1779" s="23">
        <v>46139.409722222219</v>
      </c>
      <c r="G1779" s="8" t="s">
        <v>1045</v>
      </c>
      <c r="H1779" s="23">
        <v>46142</v>
      </c>
      <c r="I1779" s="23">
        <v>46139.409722222219</v>
      </c>
      <c r="J1779" s="10">
        <v>26.8</v>
      </c>
      <c r="K1779" s="10">
        <v>0</v>
      </c>
      <c r="L1779" s="24">
        <v>0</v>
      </c>
      <c r="M1779" s="10">
        <v>26.8</v>
      </c>
    </row>
    <row r="1780" spans="1:13" x14ac:dyDescent="0.25">
      <c r="A1780" s="12" t="str">
        <f t="shared" si="54"/>
        <v>5005231LIDIANE ASSIS ROCHACT46129,5083333333</v>
      </c>
      <c r="B1780" s="12" t="str">
        <f t="shared" si="55"/>
        <v>Maio</v>
      </c>
      <c r="C1780" s="8" t="s">
        <v>2305</v>
      </c>
      <c r="D1780" s="8" t="s">
        <v>664</v>
      </c>
      <c r="E1780" s="8" t="s">
        <v>110</v>
      </c>
      <c r="F1780" s="23">
        <v>46129.508333333331</v>
      </c>
      <c r="G1780" s="8" t="s">
        <v>1035</v>
      </c>
      <c r="H1780" s="23">
        <v>46148</v>
      </c>
      <c r="I1780" s="23">
        <v>46129.508333333331</v>
      </c>
      <c r="J1780" s="10">
        <v>1439</v>
      </c>
      <c r="K1780" s="10">
        <v>0</v>
      </c>
      <c r="L1780" s="24">
        <v>0</v>
      </c>
      <c r="M1780" s="10">
        <v>1439</v>
      </c>
    </row>
    <row r="1781" spans="1:13" x14ac:dyDescent="0.25">
      <c r="A1781" s="12" t="str">
        <f t="shared" si="54"/>
        <v>5005232LIDIANE ASSIS ROCHARCB46134,71875</v>
      </c>
      <c r="B1781" s="12" t="str">
        <f t="shared" si="55"/>
        <v>Abril</v>
      </c>
      <c r="C1781" s="8" t="s">
        <v>2295</v>
      </c>
      <c r="D1781" s="8" t="s">
        <v>664</v>
      </c>
      <c r="E1781" s="8" t="s">
        <v>110</v>
      </c>
      <c r="F1781" s="23">
        <v>46134.71875</v>
      </c>
      <c r="G1781" s="8" t="s">
        <v>1045</v>
      </c>
      <c r="H1781" s="23">
        <v>46139</v>
      </c>
      <c r="I1781" s="23">
        <v>46134.71875</v>
      </c>
      <c r="J1781" s="10">
        <v>49</v>
      </c>
      <c r="K1781" s="10">
        <v>0</v>
      </c>
      <c r="L1781" s="24">
        <v>0</v>
      </c>
      <c r="M1781" s="10">
        <v>49</v>
      </c>
    </row>
    <row r="1782" spans="1:13" x14ac:dyDescent="0.25">
      <c r="A1782" s="12" t="str">
        <f t="shared" si="54"/>
        <v>5005232NATANIELLE SILVA DE SOUZA MARQUESCT46129,5097222222</v>
      </c>
      <c r="B1782" s="12" t="str">
        <f t="shared" si="55"/>
        <v>Maio</v>
      </c>
      <c r="C1782" s="8" t="s">
        <v>2295</v>
      </c>
      <c r="D1782" s="8" t="s">
        <v>664</v>
      </c>
      <c r="E1782" s="8" t="s">
        <v>135</v>
      </c>
      <c r="F1782" s="23">
        <v>46129.509722222225</v>
      </c>
      <c r="G1782" s="8" t="s">
        <v>1035</v>
      </c>
      <c r="H1782" s="23">
        <v>46148</v>
      </c>
      <c r="I1782" s="23">
        <v>46129.509722222225</v>
      </c>
      <c r="J1782" s="10">
        <v>4410</v>
      </c>
      <c r="K1782" s="10">
        <v>0</v>
      </c>
      <c r="L1782" s="24">
        <v>0</v>
      </c>
      <c r="M1782" s="10">
        <v>4410</v>
      </c>
    </row>
    <row r="1783" spans="1:13" x14ac:dyDescent="0.25">
      <c r="A1783" s="12" t="str">
        <f t="shared" si="54"/>
        <v>5005233JOSE MARCIO DA SILVACT46129,5111111111</v>
      </c>
      <c r="B1783" s="12" t="str">
        <f t="shared" si="55"/>
        <v>Maio</v>
      </c>
      <c r="C1783" s="8" t="s">
        <v>2372</v>
      </c>
      <c r="D1783" s="8" t="s">
        <v>664</v>
      </c>
      <c r="E1783" s="8" t="s">
        <v>1576</v>
      </c>
      <c r="F1783" s="23">
        <v>46129.511111111111</v>
      </c>
      <c r="G1783" s="8" t="s">
        <v>1035</v>
      </c>
      <c r="H1783" s="23">
        <v>46148</v>
      </c>
      <c r="I1783" s="23">
        <v>46129.511111111111</v>
      </c>
      <c r="J1783" s="10">
        <v>350</v>
      </c>
      <c r="K1783" s="10">
        <v>0</v>
      </c>
      <c r="L1783" s="24">
        <v>0</v>
      </c>
      <c r="M1783" s="10">
        <v>350</v>
      </c>
    </row>
    <row r="1784" spans="1:13" x14ac:dyDescent="0.25">
      <c r="A1784" s="12" t="str">
        <f t="shared" si="54"/>
        <v>5005234JOSE ANTONIO SILVACT46129,5125</v>
      </c>
      <c r="B1784" s="12" t="str">
        <f t="shared" si="55"/>
        <v>Maio</v>
      </c>
      <c r="C1784" s="8" t="s">
        <v>2373</v>
      </c>
      <c r="D1784" s="8" t="s">
        <v>664</v>
      </c>
      <c r="E1784" s="8" t="s">
        <v>99</v>
      </c>
      <c r="F1784" s="23">
        <v>46129.512499999997</v>
      </c>
      <c r="G1784" s="8" t="s">
        <v>1035</v>
      </c>
      <c r="H1784" s="23">
        <v>46148</v>
      </c>
      <c r="I1784" s="23">
        <v>46129.512499999997</v>
      </c>
      <c r="J1784" s="10">
        <v>1105</v>
      </c>
      <c r="K1784" s="10">
        <v>0</v>
      </c>
      <c r="L1784" s="24">
        <v>0</v>
      </c>
      <c r="M1784" s="10">
        <v>1105</v>
      </c>
    </row>
    <row r="1785" spans="1:13" x14ac:dyDescent="0.25">
      <c r="A1785" s="12" t="str">
        <f t="shared" si="54"/>
        <v>5005235DIOGO BONELA TONHACT46129,5131944444</v>
      </c>
      <c r="B1785" s="12" t="str">
        <f t="shared" si="55"/>
        <v>Maio</v>
      </c>
      <c r="C1785" s="8" t="s">
        <v>2374</v>
      </c>
      <c r="D1785" s="8" t="s">
        <v>664</v>
      </c>
      <c r="E1785" s="8" t="s">
        <v>52</v>
      </c>
      <c r="F1785" s="23">
        <v>46129.513194444444</v>
      </c>
      <c r="G1785" s="8" t="s">
        <v>1035</v>
      </c>
      <c r="H1785" s="23">
        <v>46148</v>
      </c>
      <c r="I1785" s="23">
        <v>46129.513194444444</v>
      </c>
      <c r="J1785" s="10">
        <v>809</v>
      </c>
      <c r="K1785" s="10">
        <v>0</v>
      </c>
      <c r="L1785" s="24">
        <v>0</v>
      </c>
      <c r="M1785" s="10">
        <v>809</v>
      </c>
    </row>
    <row r="1786" spans="1:13" x14ac:dyDescent="0.25">
      <c r="A1786" s="12" t="str">
        <f t="shared" si="54"/>
        <v>5005236THIAGO AUGUSTO DE MEIRACT46129,5138888889</v>
      </c>
      <c r="B1786" s="12" t="str">
        <f t="shared" si="55"/>
        <v>Maio</v>
      </c>
      <c r="C1786" s="8" t="s">
        <v>2375</v>
      </c>
      <c r="D1786" s="8" t="s">
        <v>664</v>
      </c>
      <c r="E1786" s="8" t="s">
        <v>2138</v>
      </c>
      <c r="F1786" s="23">
        <v>46129.513888888891</v>
      </c>
      <c r="G1786" s="8" t="s">
        <v>1035</v>
      </c>
      <c r="H1786" s="23">
        <v>46148</v>
      </c>
      <c r="I1786" s="23">
        <v>46129.513888888891</v>
      </c>
      <c r="J1786" s="10">
        <v>385</v>
      </c>
      <c r="K1786" s="10">
        <v>0</v>
      </c>
      <c r="L1786" s="24">
        <v>0</v>
      </c>
      <c r="M1786" s="10">
        <v>385</v>
      </c>
    </row>
    <row r="1787" spans="1:13" x14ac:dyDescent="0.25">
      <c r="A1787" s="12" t="str">
        <f t="shared" si="54"/>
        <v>5005237BRENDA LUIZA PEREIRACT46129,5152777778</v>
      </c>
      <c r="B1787" s="12" t="str">
        <f t="shared" si="55"/>
        <v>Maio</v>
      </c>
      <c r="C1787" s="8" t="s">
        <v>2376</v>
      </c>
      <c r="D1787" s="8" t="s">
        <v>664</v>
      </c>
      <c r="E1787" s="8" t="s">
        <v>28</v>
      </c>
      <c r="F1787" s="23">
        <v>46129.515277777777</v>
      </c>
      <c r="G1787" s="8" t="s">
        <v>1035</v>
      </c>
      <c r="H1787" s="23">
        <v>46148</v>
      </c>
      <c r="I1787" s="23">
        <v>46129.515277777777</v>
      </c>
      <c r="J1787" s="10">
        <v>1166</v>
      </c>
      <c r="K1787" s="10">
        <v>0</v>
      </c>
      <c r="L1787" s="24">
        <v>0</v>
      </c>
      <c r="M1787" s="10">
        <v>1166</v>
      </c>
    </row>
    <row r="1788" spans="1:13" x14ac:dyDescent="0.25">
      <c r="A1788" s="12" t="str">
        <f t="shared" si="54"/>
        <v>5005238ADRIANO LIANDO DE SOUZACT46129,5166666667</v>
      </c>
      <c r="B1788" s="12" t="str">
        <f t="shared" si="55"/>
        <v>Maio</v>
      </c>
      <c r="C1788" s="8" t="s">
        <v>2377</v>
      </c>
      <c r="D1788" s="8" t="s">
        <v>664</v>
      </c>
      <c r="E1788" s="8" t="s">
        <v>2073</v>
      </c>
      <c r="F1788" s="23">
        <v>46129.51666666667</v>
      </c>
      <c r="G1788" s="8" t="s">
        <v>1035</v>
      </c>
      <c r="H1788" s="23">
        <v>46148</v>
      </c>
      <c r="I1788" s="23">
        <v>46129.51666666667</v>
      </c>
      <c r="J1788" s="10">
        <v>1350</v>
      </c>
      <c r="K1788" s="10">
        <v>0</v>
      </c>
      <c r="L1788" s="24">
        <v>0</v>
      </c>
      <c r="M1788" s="10">
        <v>1350</v>
      </c>
    </row>
    <row r="1789" spans="1:13" x14ac:dyDescent="0.25">
      <c r="A1789" s="12" t="str">
        <f t="shared" si="54"/>
        <v>5005239RENILSON DIAS DE BRITOCT46148,6194444444</v>
      </c>
      <c r="B1789" s="12" t="str">
        <f t="shared" si="55"/>
        <v>Maio</v>
      </c>
      <c r="C1789" s="8" t="s">
        <v>2442</v>
      </c>
      <c r="D1789" s="8" t="s">
        <v>664</v>
      </c>
      <c r="E1789" s="8" t="s">
        <v>1383</v>
      </c>
      <c r="F1789" s="23">
        <v>46148.619444444441</v>
      </c>
      <c r="G1789" s="8" t="s">
        <v>1035</v>
      </c>
      <c r="H1789" s="23">
        <v>46160</v>
      </c>
      <c r="I1789" s="23">
        <v>46148.619444444441</v>
      </c>
      <c r="J1789" s="10">
        <v>1050</v>
      </c>
      <c r="K1789" s="10">
        <v>0</v>
      </c>
      <c r="L1789" s="24">
        <v>0</v>
      </c>
      <c r="M1789" s="10">
        <v>1050</v>
      </c>
    </row>
    <row r="1790" spans="1:13" x14ac:dyDescent="0.25">
      <c r="A1790" s="12" t="str">
        <f t="shared" si="54"/>
        <v>5005240MARCOS FILIPE DE ALCANTARA PEREIRACT46148,6222222222</v>
      </c>
      <c r="B1790" s="12" t="str">
        <f t="shared" si="55"/>
        <v>Maio</v>
      </c>
      <c r="C1790" s="8" t="s">
        <v>2443</v>
      </c>
      <c r="D1790" s="8" t="s">
        <v>664</v>
      </c>
      <c r="E1790" s="8" t="s">
        <v>1385</v>
      </c>
      <c r="F1790" s="23">
        <v>46148.62222222222</v>
      </c>
      <c r="G1790" s="8" t="s">
        <v>1035</v>
      </c>
      <c r="H1790" s="23">
        <v>46160</v>
      </c>
      <c r="I1790" s="23">
        <v>46148.62222222222</v>
      </c>
      <c r="J1790" s="10">
        <v>3626</v>
      </c>
      <c r="K1790" s="10">
        <v>0</v>
      </c>
      <c r="L1790" s="24">
        <v>0</v>
      </c>
      <c r="M1790" s="10">
        <v>3626</v>
      </c>
    </row>
    <row r="1791" spans="1:13" x14ac:dyDescent="0.25">
      <c r="A1791" s="12" t="str">
        <f t="shared" si="54"/>
        <v>5005241CLAUDIONOR GERALDO DE SOUZACT46148,6243055556</v>
      </c>
      <c r="B1791" s="12" t="str">
        <f t="shared" si="55"/>
        <v>Maio</v>
      </c>
      <c r="C1791" s="8" t="s">
        <v>2444</v>
      </c>
      <c r="D1791" s="8" t="s">
        <v>664</v>
      </c>
      <c r="E1791" s="8" t="s">
        <v>1523</v>
      </c>
      <c r="F1791" s="23">
        <v>46148.624305555553</v>
      </c>
      <c r="G1791" s="8" t="s">
        <v>1035</v>
      </c>
      <c r="H1791" s="23">
        <v>46160</v>
      </c>
      <c r="I1791" s="23">
        <v>46148.624305555553</v>
      </c>
      <c r="J1791" s="10">
        <v>1713</v>
      </c>
      <c r="K1791" s="10">
        <v>0</v>
      </c>
      <c r="L1791" s="24">
        <v>0</v>
      </c>
      <c r="M1791" s="10">
        <v>1713</v>
      </c>
    </row>
    <row r="1792" spans="1:13" x14ac:dyDescent="0.25">
      <c r="A1792" s="12" t="str">
        <f t="shared" si="54"/>
        <v>5005242VICTOR HUGO SILVA BALBINOCT46148,625</v>
      </c>
      <c r="B1792" s="12" t="str">
        <f t="shared" si="55"/>
        <v>Maio</v>
      </c>
      <c r="C1792" s="8" t="s">
        <v>2445</v>
      </c>
      <c r="D1792" s="8" t="s">
        <v>664</v>
      </c>
      <c r="E1792" s="8" t="s">
        <v>198</v>
      </c>
      <c r="F1792" s="23">
        <v>46148.625</v>
      </c>
      <c r="G1792" s="8" t="s">
        <v>1035</v>
      </c>
      <c r="H1792" s="23">
        <v>46160</v>
      </c>
      <c r="I1792" s="23">
        <v>46148.625</v>
      </c>
      <c r="J1792" s="10">
        <v>2239</v>
      </c>
      <c r="K1792" s="10">
        <v>0</v>
      </c>
      <c r="L1792" s="24">
        <v>0</v>
      </c>
      <c r="M1792" s="10">
        <v>2239</v>
      </c>
    </row>
    <row r="1793" spans="1:13" x14ac:dyDescent="0.25">
      <c r="A1793" s="12" t="str">
        <f t="shared" si="54"/>
        <v>5005242CLAUDIONOR GERALDO DE SOUZARCB46162,3645833333</v>
      </c>
      <c r="B1793" s="12" t="str">
        <f t="shared" si="55"/>
        <v>Maio</v>
      </c>
      <c r="C1793" s="8" t="s">
        <v>2445</v>
      </c>
      <c r="D1793" s="8" t="s">
        <v>664</v>
      </c>
      <c r="E1793" s="8" t="s">
        <v>1523</v>
      </c>
      <c r="F1793" s="23">
        <v>46162.364583333336</v>
      </c>
      <c r="G1793" s="8" t="s">
        <v>1045</v>
      </c>
      <c r="H1793" s="23">
        <v>46167</v>
      </c>
      <c r="I1793" s="23">
        <v>46162.364583333336</v>
      </c>
      <c r="J1793" s="10">
        <v>46.2</v>
      </c>
      <c r="K1793" s="10">
        <v>0</v>
      </c>
      <c r="L1793" s="24">
        <v>0</v>
      </c>
      <c r="M1793" s="10">
        <v>46.2</v>
      </c>
    </row>
    <row r="1794" spans="1:13" x14ac:dyDescent="0.25">
      <c r="A1794" s="12" t="str">
        <f t="shared" ref="A1794:A1857" si="56">$C1794&amp;$E1794&amp;$G1794&amp;$F1794</f>
        <v>5005243ELIANA HENRIQUE MENDES BARBOSACT46148,6284722222</v>
      </c>
      <c r="B1794" s="12" t="str">
        <f t="shared" si="55"/>
        <v>Maio</v>
      </c>
      <c r="C1794" s="8" t="s">
        <v>2446</v>
      </c>
      <c r="D1794" s="8" t="s">
        <v>664</v>
      </c>
      <c r="E1794" s="8" t="s">
        <v>59</v>
      </c>
      <c r="F1794" s="23">
        <v>46148.628472222219</v>
      </c>
      <c r="G1794" s="8" t="s">
        <v>1035</v>
      </c>
      <c r="H1794" s="23">
        <v>46160</v>
      </c>
      <c r="I1794" s="23">
        <v>46148.628472222219</v>
      </c>
      <c r="J1794" s="10">
        <v>1912</v>
      </c>
      <c r="K1794" s="10">
        <v>0</v>
      </c>
      <c r="L1794" s="24">
        <v>0</v>
      </c>
      <c r="M1794" s="10">
        <v>1912</v>
      </c>
    </row>
    <row r="1795" spans="1:13" x14ac:dyDescent="0.25">
      <c r="A1795" s="12" t="str">
        <f t="shared" si="56"/>
        <v>5005243VICTOR HUGO SILVA BALBINORCB46162,3611111111</v>
      </c>
      <c r="B1795" s="12" t="str">
        <f t="shared" ref="B1795:B1858" si="57">PROPER(TEXT($H1795,"MMMM"))</f>
        <v>Maio</v>
      </c>
      <c r="C1795" s="8" t="s">
        <v>2446</v>
      </c>
      <c r="D1795" s="8" t="s">
        <v>664</v>
      </c>
      <c r="E1795" s="8" t="s">
        <v>198</v>
      </c>
      <c r="F1795" s="23">
        <v>46162.361111111109</v>
      </c>
      <c r="G1795" s="8" t="s">
        <v>1045</v>
      </c>
      <c r="H1795" s="23">
        <v>46167</v>
      </c>
      <c r="I1795" s="23">
        <v>46162.361111111109</v>
      </c>
      <c r="J1795" s="10">
        <v>51.6</v>
      </c>
      <c r="K1795" s="10">
        <v>0</v>
      </c>
      <c r="L1795" s="24">
        <v>0</v>
      </c>
      <c r="M1795" s="10">
        <v>51.6</v>
      </c>
    </row>
    <row r="1796" spans="1:13" x14ac:dyDescent="0.25">
      <c r="A1796" s="12" t="str">
        <f t="shared" si="56"/>
        <v>5005244RAFAEL RODRIGUES FARIACT46148,6305555556</v>
      </c>
      <c r="B1796" s="12" t="str">
        <f t="shared" si="57"/>
        <v>Maio</v>
      </c>
      <c r="C1796" s="8" t="s">
        <v>2447</v>
      </c>
      <c r="D1796" s="8" t="s">
        <v>664</v>
      </c>
      <c r="E1796" s="8" t="s">
        <v>162</v>
      </c>
      <c r="F1796" s="23">
        <v>46148.630555555559</v>
      </c>
      <c r="G1796" s="8" t="s">
        <v>1035</v>
      </c>
      <c r="H1796" s="23">
        <v>46160</v>
      </c>
      <c r="I1796" s="23">
        <v>46148.630555555559</v>
      </c>
      <c r="J1796" s="10">
        <v>3498</v>
      </c>
      <c r="K1796" s="10">
        <v>0</v>
      </c>
      <c r="L1796" s="24">
        <v>0</v>
      </c>
      <c r="M1796" s="10">
        <v>3498</v>
      </c>
    </row>
    <row r="1797" spans="1:13" x14ac:dyDescent="0.25">
      <c r="A1797" s="12" t="str">
        <f t="shared" si="56"/>
        <v>5005244ELIANA HENRIQUE MENDES BARBOSARCB46162,3604166667</v>
      </c>
      <c r="B1797" s="12" t="str">
        <f t="shared" si="57"/>
        <v>Maio</v>
      </c>
      <c r="C1797" s="8" t="s">
        <v>2447</v>
      </c>
      <c r="D1797" s="8" t="s">
        <v>664</v>
      </c>
      <c r="E1797" s="8" t="s">
        <v>59</v>
      </c>
      <c r="F1797" s="23">
        <v>46162.36041666667</v>
      </c>
      <c r="G1797" s="8" t="s">
        <v>1045</v>
      </c>
      <c r="H1797" s="23">
        <v>46167</v>
      </c>
      <c r="I1797" s="23">
        <v>46162.36041666667</v>
      </c>
      <c r="J1797" s="10">
        <v>42.7</v>
      </c>
      <c r="K1797" s="10">
        <v>0</v>
      </c>
      <c r="L1797" s="24">
        <v>0</v>
      </c>
      <c r="M1797" s="10">
        <v>42.7</v>
      </c>
    </row>
    <row r="1798" spans="1:13" x14ac:dyDescent="0.25">
      <c r="A1798" s="12" t="str">
        <f t="shared" si="56"/>
        <v>5005245CRISTIAN ALVES MOREIRACT46148,6326388889</v>
      </c>
      <c r="B1798" s="12" t="str">
        <f t="shared" si="57"/>
        <v>Maio</v>
      </c>
      <c r="C1798" s="8" t="s">
        <v>2448</v>
      </c>
      <c r="D1798" s="8" t="s">
        <v>664</v>
      </c>
      <c r="E1798" s="8" t="s">
        <v>46</v>
      </c>
      <c r="F1798" s="23">
        <v>46148.632638888892</v>
      </c>
      <c r="G1798" s="8" t="s">
        <v>1035</v>
      </c>
      <c r="H1798" s="23">
        <v>46160</v>
      </c>
      <c r="I1798" s="23">
        <v>46148.632638888892</v>
      </c>
      <c r="J1798" s="10">
        <v>1602</v>
      </c>
      <c r="K1798" s="10">
        <v>0</v>
      </c>
      <c r="L1798" s="24">
        <v>0</v>
      </c>
      <c r="M1798" s="10">
        <v>1602</v>
      </c>
    </row>
    <row r="1799" spans="1:13" x14ac:dyDescent="0.25">
      <c r="A1799" s="12" t="str">
        <f t="shared" si="56"/>
        <v>5005246PAULO RICARDO SILVACT46148,6340277778</v>
      </c>
      <c r="B1799" s="12" t="str">
        <f t="shared" si="57"/>
        <v>Maio</v>
      </c>
      <c r="C1799" s="8" t="s">
        <v>2449</v>
      </c>
      <c r="D1799" s="8" t="s">
        <v>664</v>
      </c>
      <c r="E1799" s="8" t="s">
        <v>153</v>
      </c>
      <c r="F1799" s="23">
        <v>46148.634027777778</v>
      </c>
      <c r="G1799" s="8" t="s">
        <v>1035</v>
      </c>
      <c r="H1799" s="23">
        <v>46160</v>
      </c>
      <c r="I1799" s="23">
        <v>46148.634027777778</v>
      </c>
      <c r="J1799" s="10">
        <v>3285</v>
      </c>
      <c r="K1799" s="10">
        <v>0</v>
      </c>
      <c r="L1799" s="24">
        <v>0</v>
      </c>
      <c r="M1799" s="10">
        <v>3285</v>
      </c>
    </row>
    <row r="1800" spans="1:13" x14ac:dyDescent="0.25">
      <c r="A1800" s="12" t="str">
        <f t="shared" si="56"/>
        <v>5005246CRISTIAN ALVES MOREIRARCB46162,3625</v>
      </c>
      <c r="B1800" s="12" t="str">
        <f t="shared" si="57"/>
        <v>Maio</v>
      </c>
      <c r="C1800" s="8" t="s">
        <v>2449</v>
      </c>
      <c r="D1800" s="8" t="s">
        <v>664</v>
      </c>
      <c r="E1800" s="8" t="s">
        <v>46</v>
      </c>
      <c r="F1800" s="23">
        <v>46162.362500000003</v>
      </c>
      <c r="G1800" s="8" t="s">
        <v>1045</v>
      </c>
      <c r="H1800" s="23">
        <v>46167</v>
      </c>
      <c r="I1800" s="23">
        <v>46162.362500000003</v>
      </c>
      <c r="J1800" s="10">
        <v>8.8000000000000007</v>
      </c>
      <c r="K1800" s="10">
        <v>0</v>
      </c>
      <c r="L1800" s="24">
        <v>0</v>
      </c>
      <c r="M1800" s="10">
        <v>8.8000000000000007</v>
      </c>
    </row>
    <row r="1801" spans="1:13" x14ac:dyDescent="0.25">
      <c r="A1801" s="12" t="str">
        <f t="shared" si="56"/>
        <v>5005247PAULO RICARDO SILVARCB46153,7194444444</v>
      </c>
      <c r="B1801" s="12" t="str">
        <f t="shared" si="57"/>
        <v>Maio</v>
      </c>
      <c r="C1801" s="8" t="s">
        <v>2394</v>
      </c>
      <c r="D1801" s="8" t="s">
        <v>664</v>
      </c>
      <c r="E1801" s="8" t="s">
        <v>153</v>
      </c>
      <c r="F1801" s="23">
        <v>46153.719444444447</v>
      </c>
      <c r="G1801" s="8" t="s">
        <v>1045</v>
      </c>
      <c r="H1801" s="23">
        <v>46156</v>
      </c>
      <c r="I1801" s="23">
        <v>46153.719444444447</v>
      </c>
      <c r="J1801" s="10">
        <v>39.4</v>
      </c>
      <c r="K1801" s="10">
        <v>0</v>
      </c>
      <c r="L1801" s="24">
        <v>0</v>
      </c>
      <c r="M1801" s="10">
        <v>39.4</v>
      </c>
    </row>
    <row r="1802" spans="1:13" x14ac:dyDescent="0.25">
      <c r="A1802" s="12" t="str">
        <f t="shared" si="56"/>
        <v>5005247KELISON DINIZ LEMOSCT46148,6354166667</v>
      </c>
      <c r="B1802" s="12" t="str">
        <f t="shared" si="57"/>
        <v>Maio</v>
      </c>
      <c r="C1802" s="8" t="s">
        <v>2394</v>
      </c>
      <c r="D1802" s="8" t="s">
        <v>664</v>
      </c>
      <c r="E1802" s="8" t="s">
        <v>105</v>
      </c>
      <c r="F1802" s="23">
        <v>46148.635416666664</v>
      </c>
      <c r="G1802" s="8" t="s">
        <v>1035</v>
      </c>
      <c r="H1802" s="23">
        <v>46160</v>
      </c>
      <c r="I1802" s="23">
        <v>46148.635416666664</v>
      </c>
      <c r="J1802" s="10">
        <v>4397</v>
      </c>
      <c r="K1802" s="10">
        <v>0</v>
      </c>
      <c r="L1802" s="24">
        <v>0</v>
      </c>
      <c r="M1802" s="10">
        <v>4397</v>
      </c>
    </row>
    <row r="1803" spans="1:13" x14ac:dyDescent="0.25">
      <c r="A1803" s="12" t="str">
        <f t="shared" si="56"/>
        <v>5005248KELISON DINIZ LEMOSRCB46150,3868055556</v>
      </c>
      <c r="B1803" s="12" t="str">
        <f t="shared" si="57"/>
        <v>Maio</v>
      </c>
      <c r="C1803" s="8" t="s">
        <v>2384</v>
      </c>
      <c r="D1803" s="8" t="s">
        <v>664</v>
      </c>
      <c r="E1803" s="8" t="s">
        <v>105</v>
      </c>
      <c r="F1803" s="23">
        <v>46150.386805555558</v>
      </c>
      <c r="G1803" s="8" t="s">
        <v>1045</v>
      </c>
      <c r="H1803" s="23">
        <v>46155</v>
      </c>
      <c r="I1803" s="23">
        <v>46150.386805555558</v>
      </c>
      <c r="J1803" s="10">
        <v>60.72</v>
      </c>
      <c r="K1803" s="10">
        <v>0</v>
      </c>
      <c r="L1803" s="24">
        <v>0</v>
      </c>
      <c r="M1803" s="10">
        <v>60.72</v>
      </c>
    </row>
    <row r="1804" spans="1:13" x14ac:dyDescent="0.25">
      <c r="A1804" s="12" t="str">
        <f t="shared" si="56"/>
        <v>5005248ADRIANO ROBERTOCT46148,6368055556</v>
      </c>
      <c r="B1804" s="12" t="str">
        <f t="shared" si="57"/>
        <v>Maio</v>
      </c>
      <c r="C1804" s="8" t="s">
        <v>2384</v>
      </c>
      <c r="D1804" s="8" t="s">
        <v>664</v>
      </c>
      <c r="E1804" s="8" t="s">
        <v>8</v>
      </c>
      <c r="F1804" s="23">
        <v>46148.636805555558</v>
      </c>
      <c r="G1804" s="8" t="s">
        <v>1035</v>
      </c>
      <c r="H1804" s="23">
        <v>46160</v>
      </c>
      <c r="I1804" s="23">
        <v>46148.636805555558</v>
      </c>
      <c r="J1804" s="10">
        <v>2293</v>
      </c>
      <c r="K1804" s="10">
        <v>0</v>
      </c>
      <c r="L1804" s="24">
        <v>0</v>
      </c>
      <c r="M1804" s="10">
        <v>2293</v>
      </c>
    </row>
    <row r="1805" spans="1:13" x14ac:dyDescent="0.25">
      <c r="A1805" s="12" t="str">
        <f t="shared" si="56"/>
        <v>5005248PAULO RICARDO SILVARCB46161,36875</v>
      </c>
      <c r="B1805" s="12" t="str">
        <f t="shared" si="57"/>
        <v>Maio</v>
      </c>
      <c r="C1805" s="8" t="s">
        <v>2384</v>
      </c>
      <c r="D1805" s="8" t="s">
        <v>664</v>
      </c>
      <c r="E1805" s="8" t="s">
        <v>153</v>
      </c>
      <c r="F1805" s="23">
        <v>46161.368750000001</v>
      </c>
      <c r="G1805" s="8" t="s">
        <v>1045</v>
      </c>
      <c r="H1805" s="23">
        <v>46164</v>
      </c>
      <c r="I1805" s="23">
        <v>46161.368750000001</v>
      </c>
      <c r="J1805" s="10">
        <v>27.6</v>
      </c>
      <c r="K1805" s="10">
        <v>0</v>
      </c>
      <c r="L1805" s="24">
        <v>0</v>
      </c>
      <c r="M1805" s="10">
        <v>27.6</v>
      </c>
    </row>
    <row r="1806" spans="1:13" x14ac:dyDescent="0.25">
      <c r="A1806" s="12" t="str">
        <f t="shared" si="56"/>
        <v>5005250LIDEMBERG RAMOS GABRIELCT46148,6395833333</v>
      </c>
      <c r="B1806" s="12" t="str">
        <f t="shared" si="57"/>
        <v>Maio</v>
      </c>
      <c r="C1806" s="8" t="s">
        <v>2450</v>
      </c>
      <c r="D1806" s="8" t="s">
        <v>664</v>
      </c>
      <c r="E1806" s="8" t="s">
        <v>1539</v>
      </c>
      <c r="F1806" s="23">
        <v>46148.63958333333</v>
      </c>
      <c r="G1806" s="8" t="s">
        <v>1035</v>
      </c>
      <c r="H1806" s="23">
        <v>46160</v>
      </c>
      <c r="I1806" s="23">
        <v>46148.63958333333</v>
      </c>
      <c r="J1806" s="10">
        <v>1400</v>
      </c>
      <c r="K1806" s="10">
        <v>0</v>
      </c>
      <c r="L1806" s="24">
        <v>0</v>
      </c>
      <c r="M1806" s="10">
        <v>1400</v>
      </c>
    </row>
    <row r="1807" spans="1:13" x14ac:dyDescent="0.25">
      <c r="A1807" s="12" t="str">
        <f t="shared" si="56"/>
        <v>5005251NELCIDES JOSE VIEIRACT46148,6430555556</v>
      </c>
      <c r="B1807" s="12" t="str">
        <f t="shared" si="57"/>
        <v>Maio</v>
      </c>
      <c r="C1807" s="8" t="s">
        <v>2451</v>
      </c>
      <c r="D1807" s="8" t="s">
        <v>664</v>
      </c>
      <c r="E1807" s="8" t="s">
        <v>137</v>
      </c>
      <c r="F1807" s="23">
        <v>46148.643055555556</v>
      </c>
      <c r="G1807" s="8" t="s">
        <v>1035</v>
      </c>
      <c r="H1807" s="23">
        <v>46160</v>
      </c>
      <c r="I1807" s="23">
        <v>46148.643055555556</v>
      </c>
      <c r="J1807" s="10">
        <v>3249</v>
      </c>
      <c r="K1807" s="10">
        <v>0</v>
      </c>
      <c r="L1807" s="24">
        <v>0</v>
      </c>
      <c r="M1807" s="10">
        <v>3249</v>
      </c>
    </row>
    <row r="1808" spans="1:13" x14ac:dyDescent="0.25">
      <c r="A1808" s="12" t="str">
        <f t="shared" si="56"/>
        <v>5005252WILLIAM DE SOUZA VIEIRACT46148,6444444444</v>
      </c>
      <c r="B1808" s="12" t="str">
        <f t="shared" si="57"/>
        <v>Maio</v>
      </c>
      <c r="C1808" s="8" t="s">
        <v>2452</v>
      </c>
      <c r="D1808" s="8" t="s">
        <v>664</v>
      </c>
      <c r="E1808" s="8" t="s">
        <v>1542</v>
      </c>
      <c r="F1808" s="23">
        <v>46148.644444444442</v>
      </c>
      <c r="G1808" s="8" t="s">
        <v>1035</v>
      </c>
      <c r="H1808" s="23">
        <v>46160</v>
      </c>
      <c r="I1808" s="23">
        <v>46148.644444444442</v>
      </c>
      <c r="J1808" s="10">
        <v>1050</v>
      </c>
      <c r="K1808" s="10">
        <v>0</v>
      </c>
      <c r="L1808" s="24">
        <v>0</v>
      </c>
      <c r="M1808" s="10">
        <v>1050</v>
      </c>
    </row>
    <row r="1809" spans="1:13" x14ac:dyDescent="0.25">
      <c r="A1809" s="12" t="str">
        <f t="shared" si="56"/>
        <v>5005253JOAO MARCOS DE SOUZA PINTOCT46148,6458333333</v>
      </c>
      <c r="B1809" s="12" t="str">
        <f t="shared" si="57"/>
        <v>Maio</v>
      </c>
      <c r="C1809" s="8" t="s">
        <v>2453</v>
      </c>
      <c r="D1809" s="8" t="s">
        <v>664</v>
      </c>
      <c r="E1809" s="8" t="s">
        <v>1544</v>
      </c>
      <c r="F1809" s="23">
        <v>46148.645833333336</v>
      </c>
      <c r="G1809" s="8" t="s">
        <v>1035</v>
      </c>
      <c r="H1809" s="23">
        <v>46160</v>
      </c>
      <c r="I1809" s="23">
        <v>46148.645833333336</v>
      </c>
      <c r="J1809" s="10">
        <v>1400</v>
      </c>
      <c r="K1809" s="10">
        <v>0</v>
      </c>
      <c r="L1809" s="24">
        <v>0</v>
      </c>
      <c r="M1809" s="10">
        <v>1400</v>
      </c>
    </row>
    <row r="1810" spans="1:13" x14ac:dyDescent="0.25">
      <c r="A1810" s="12" t="str">
        <f t="shared" si="56"/>
        <v>5005254CARLOS ANTONIO PINTOCT46148,6465277778</v>
      </c>
      <c r="B1810" s="12" t="str">
        <f t="shared" si="57"/>
        <v>Maio</v>
      </c>
      <c r="C1810" s="8" t="s">
        <v>2454</v>
      </c>
      <c r="D1810" s="8" t="s">
        <v>664</v>
      </c>
      <c r="E1810" s="8" t="s">
        <v>36</v>
      </c>
      <c r="F1810" s="23">
        <v>46148.646527777775</v>
      </c>
      <c r="G1810" s="8" t="s">
        <v>1035</v>
      </c>
      <c r="H1810" s="23">
        <v>46160</v>
      </c>
      <c r="I1810" s="23">
        <v>46148.646527777775</v>
      </c>
      <c r="J1810" s="10">
        <v>5885</v>
      </c>
      <c r="K1810" s="10">
        <v>0</v>
      </c>
      <c r="L1810" s="24">
        <v>0</v>
      </c>
      <c r="M1810" s="10">
        <v>5885</v>
      </c>
    </row>
    <row r="1811" spans="1:13" x14ac:dyDescent="0.25">
      <c r="A1811" s="12" t="str">
        <f t="shared" si="56"/>
        <v>5005255KAYO BOTELHOCT46148,65</v>
      </c>
      <c r="B1811" s="12" t="str">
        <f t="shared" si="57"/>
        <v>Maio</v>
      </c>
      <c r="C1811" s="8" t="s">
        <v>2455</v>
      </c>
      <c r="D1811" s="8" t="s">
        <v>664</v>
      </c>
      <c r="E1811" s="8" t="s">
        <v>1547</v>
      </c>
      <c r="F1811" s="23">
        <v>46148.65</v>
      </c>
      <c r="G1811" s="8" t="s">
        <v>1035</v>
      </c>
      <c r="H1811" s="23">
        <v>46160</v>
      </c>
      <c r="I1811" s="23">
        <v>46148.65</v>
      </c>
      <c r="J1811" s="10">
        <v>1050</v>
      </c>
      <c r="K1811" s="10">
        <v>0</v>
      </c>
      <c r="L1811" s="24">
        <v>0</v>
      </c>
      <c r="M1811" s="10">
        <v>1050</v>
      </c>
    </row>
    <row r="1812" spans="1:13" x14ac:dyDescent="0.25">
      <c r="A1812" s="12" t="str">
        <f t="shared" si="56"/>
        <v>5005256JOAQUINA DE FATIMA BERTOLDOCT46148,6520833333</v>
      </c>
      <c r="B1812" s="12" t="str">
        <f t="shared" si="57"/>
        <v>Maio</v>
      </c>
      <c r="C1812" s="8" t="s">
        <v>2456</v>
      </c>
      <c r="D1812" s="8" t="s">
        <v>664</v>
      </c>
      <c r="E1812" s="8" t="s">
        <v>1416</v>
      </c>
      <c r="F1812" s="23">
        <v>46148.652083333334</v>
      </c>
      <c r="G1812" s="8" t="s">
        <v>1035</v>
      </c>
      <c r="H1812" s="23">
        <v>46160</v>
      </c>
      <c r="I1812" s="23">
        <v>46148.652083333334</v>
      </c>
      <c r="J1812" s="10">
        <v>1016</v>
      </c>
      <c r="K1812" s="10">
        <v>0</v>
      </c>
      <c r="L1812" s="24">
        <v>0</v>
      </c>
      <c r="M1812" s="10">
        <v>1016</v>
      </c>
    </row>
    <row r="1813" spans="1:13" x14ac:dyDescent="0.25">
      <c r="A1813" s="12" t="str">
        <f t="shared" si="56"/>
        <v>5005257JORGE MARTINS BORGES JUNIORCT46148,6534722222</v>
      </c>
      <c r="B1813" s="12" t="str">
        <f t="shared" si="57"/>
        <v>Maio</v>
      </c>
      <c r="C1813" s="8" t="s">
        <v>2457</v>
      </c>
      <c r="D1813" s="8" t="s">
        <v>664</v>
      </c>
      <c r="E1813" s="8" t="s">
        <v>97</v>
      </c>
      <c r="F1813" s="23">
        <v>46148.65347222222</v>
      </c>
      <c r="G1813" s="8" t="s">
        <v>1035</v>
      </c>
      <c r="H1813" s="23">
        <v>46160</v>
      </c>
      <c r="I1813" s="23">
        <v>46148.65347222222</v>
      </c>
      <c r="J1813" s="10">
        <v>4092</v>
      </c>
      <c r="K1813" s="10">
        <v>0</v>
      </c>
      <c r="L1813" s="24">
        <v>0</v>
      </c>
      <c r="M1813" s="10">
        <v>4092</v>
      </c>
    </row>
    <row r="1814" spans="1:13" x14ac:dyDescent="0.25">
      <c r="A1814" s="12" t="str">
        <f t="shared" si="56"/>
        <v>5005258JORGE MARTINS BORGES JUNIORRCB46153,7201388889</v>
      </c>
      <c r="B1814" s="12" t="str">
        <f t="shared" si="57"/>
        <v>Maio</v>
      </c>
      <c r="C1814" s="8" t="s">
        <v>2395</v>
      </c>
      <c r="D1814" s="8" t="s">
        <v>664</v>
      </c>
      <c r="E1814" s="8" t="s">
        <v>97</v>
      </c>
      <c r="F1814" s="23">
        <v>46153.720138888886</v>
      </c>
      <c r="G1814" s="8" t="s">
        <v>1045</v>
      </c>
      <c r="H1814" s="23">
        <v>46156</v>
      </c>
      <c r="I1814" s="23">
        <v>46153.720138888886</v>
      </c>
      <c r="J1814" s="10">
        <v>278.89999999999998</v>
      </c>
      <c r="K1814" s="10">
        <v>0</v>
      </c>
      <c r="L1814" s="24">
        <v>0</v>
      </c>
      <c r="M1814" s="10">
        <v>278.89999999999998</v>
      </c>
    </row>
    <row r="1815" spans="1:13" x14ac:dyDescent="0.25">
      <c r="A1815" s="12" t="str">
        <f t="shared" si="56"/>
        <v>5005258DANIELLE HEBERT CARVALHO PEREIRACT46148,6541666667</v>
      </c>
      <c r="B1815" s="12" t="str">
        <f t="shared" si="57"/>
        <v>Maio</v>
      </c>
      <c r="C1815" s="8" t="s">
        <v>2395</v>
      </c>
      <c r="D1815" s="8" t="s">
        <v>664</v>
      </c>
      <c r="E1815" s="8" t="s">
        <v>48</v>
      </c>
      <c r="F1815" s="23">
        <v>46148.654166666667</v>
      </c>
      <c r="G1815" s="8" t="s">
        <v>1035</v>
      </c>
      <c r="H1815" s="23">
        <v>46160</v>
      </c>
      <c r="I1815" s="23">
        <v>46148.654166666667</v>
      </c>
      <c r="J1815" s="10">
        <v>4572</v>
      </c>
      <c r="K1815" s="10">
        <v>0</v>
      </c>
      <c r="L1815" s="24">
        <v>0</v>
      </c>
      <c r="M1815" s="10">
        <v>4572</v>
      </c>
    </row>
    <row r="1816" spans="1:13" x14ac:dyDescent="0.25">
      <c r="A1816" s="12" t="str">
        <f t="shared" si="56"/>
        <v>5005259DARLAN DIEGO OLIVEIRA SOARESCT46148,6548611111</v>
      </c>
      <c r="B1816" s="12" t="str">
        <f t="shared" si="57"/>
        <v>Maio</v>
      </c>
      <c r="C1816" s="8" t="s">
        <v>2458</v>
      </c>
      <c r="D1816" s="8" t="s">
        <v>664</v>
      </c>
      <c r="E1816" s="8" t="s">
        <v>1551</v>
      </c>
      <c r="F1816" s="23">
        <v>46148.654861111114</v>
      </c>
      <c r="G1816" s="8" t="s">
        <v>1035</v>
      </c>
      <c r="H1816" s="23">
        <v>46160</v>
      </c>
      <c r="I1816" s="23">
        <v>46148.654861111114</v>
      </c>
      <c r="J1816" s="10">
        <v>770</v>
      </c>
      <c r="K1816" s="10">
        <v>0</v>
      </c>
      <c r="L1816" s="24">
        <v>0</v>
      </c>
      <c r="M1816" s="10">
        <v>770</v>
      </c>
    </row>
    <row r="1817" spans="1:13" x14ac:dyDescent="0.25">
      <c r="A1817" s="12" t="str">
        <f t="shared" si="56"/>
        <v>5005259JORGE MARTINS BORGES JUNIORRCB46161,3694444444</v>
      </c>
      <c r="B1817" s="12" t="str">
        <f t="shared" si="57"/>
        <v>Maio</v>
      </c>
      <c r="C1817" s="8" t="s">
        <v>2458</v>
      </c>
      <c r="D1817" s="8" t="s">
        <v>664</v>
      </c>
      <c r="E1817" s="8" t="s">
        <v>97</v>
      </c>
      <c r="F1817" s="23">
        <v>46161.369444444441</v>
      </c>
      <c r="G1817" s="8" t="s">
        <v>1045</v>
      </c>
      <c r="H1817" s="23">
        <v>46164</v>
      </c>
      <c r="I1817" s="23">
        <v>46161.369444444441</v>
      </c>
      <c r="J1817" s="10">
        <v>11</v>
      </c>
      <c r="K1817" s="10">
        <v>0</v>
      </c>
      <c r="L1817" s="24">
        <v>0</v>
      </c>
      <c r="M1817" s="10">
        <v>11</v>
      </c>
    </row>
    <row r="1818" spans="1:13" x14ac:dyDescent="0.25">
      <c r="A1818" s="12" t="str">
        <f t="shared" si="56"/>
        <v>5005259DANIELLE HEBERT CARVALHO PEREIRARCB46162,3583333333</v>
      </c>
      <c r="B1818" s="12" t="str">
        <f t="shared" si="57"/>
        <v>Maio</v>
      </c>
      <c r="C1818" s="8" t="s">
        <v>2458</v>
      </c>
      <c r="D1818" s="8" t="s">
        <v>664</v>
      </c>
      <c r="E1818" s="8" t="s">
        <v>48</v>
      </c>
      <c r="F1818" s="23">
        <v>46162.35833333333</v>
      </c>
      <c r="G1818" s="8" t="s">
        <v>1045</v>
      </c>
      <c r="H1818" s="23">
        <v>46167</v>
      </c>
      <c r="I1818" s="23">
        <v>46162.35833333333</v>
      </c>
      <c r="J1818" s="10">
        <v>204.05</v>
      </c>
      <c r="K1818" s="10">
        <v>0</v>
      </c>
      <c r="L1818" s="24">
        <v>0</v>
      </c>
      <c r="M1818" s="10">
        <v>204.05</v>
      </c>
    </row>
    <row r="1819" spans="1:13" x14ac:dyDescent="0.25">
      <c r="A1819" s="12" t="str">
        <f t="shared" si="56"/>
        <v>5005260BRUNO RIBEIRO DOMINGUESCT46148,6625</v>
      </c>
      <c r="B1819" s="12" t="str">
        <f t="shared" si="57"/>
        <v>Maio</v>
      </c>
      <c r="C1819" s="8" t="s">
        <v>2459</v>
      </c>
      <c r="D1819" s="8" t="s">
        <v>664</v>
      </c>
      <c r="E1819" s="8" t="s">
        <v>32</v>
      </c>
      <c r="F1819" s="23">
        <v>46148.662499999999</v>
      </c>
      <c r="G1819" s="8" t="s">
        <v>1035</v>
      </c>
      <c r="H1819" s="23">
        <v>46160</v>
      </c>
      <c r="I1819" s="23">
        <v>46148.662499999999</v>
      </c>
      <c r="J1819" s="10">
        <v>2203</v>
      </c>
      <c r="K1819" s="10">
        <v>0</v>
      </c>
      <c r="L1819" s="24">
        <v>0</v>
      </c>
      <c r="M1819" s="10">
        <v>2203</v>
      </c>
    </row>
    <row r="1820" spans="1:13" x14ac:dyDescent="0.25">
      <c r="A1820" s="12" t="str">
        <f t="shared" si="56"/>
        <v>5005260DANIELLE HEBERT CARVALHO PEREIRARCB46181,4673611111</v>
      </c>
      <c r="B1820" s="12" t="str">
        <f t="shared" si="57"/>
        <v>Junho</v>
      </c>
      <c r="C1820" s="8" t="s">
        <v>2459</v>
      </c>
      <c r="D1820" s="8" t="s">
        <v>664</v>
      </c>
      <c r="E1820" s="8" t="s">
        <v>48</v>
      </c>
      <c r="F1820" s="23">
        <v>46181.467361111114</v>
      </c>
      <c r="G1820" s="8" t="s">
        <v>1045</v>
      </c>
      <c r="H1820" s="23">
        <v>46184</v>
      </c>
      <c r="I1820" s="23">
        <v>46181.467361111114</v>
      </c>
      <c r="J1820" s="10">
        <v>98.89</v>
      </c>
      <c r="K1820" s="10">
        <v>0</v>
      </c>
      <c r="L1820" s="24">
        <v>0</v>
      </c>
      <c r="M1820" s="10">
        <v>98.89</v>
      </c>
    </row>
    <row r="1821" spans="1:13" x14ac:dyDescent="0.25">
      <c r="A1821" s="12" t="str">
        <f t="shared" si="56"/>
        <v>5005261JAIME GOMES PARAGUAICT46148,6652777778</v>
      </c>
      <c r="B1821" s="12" t="str">
        <f t="shared" si="57"/>
        <v>Maio</v>
      </c>
      <c r="C1821" s="8" t="s">
        <v>2460</v>
      </c>
      <c r="D1821" s="8" t="s">
        <v>664</v>
      </c>
      <c r="E1821" s="8" t="s">
        <v>87</v>
      </c>
      <c r="F1821" s="23">
        <v>46148.665277777778</v>
      </c>
      <c r="G1821" s="8" t="s">
        <v>1035</v>
      </c>
      <c r="H1821" s="23">
        <v>46160</v>
      </c>
      <c r="I1821" s="23">
        <v>46148.665277777778</v>
      </c>
      <c r="J1821" s="10">
        <v>1445</v>
      </c>
      <c r="K1821" s="10">
        <v>0</v>
      </c>
      <c r="L1821" s="24">
        <v>0</v>
      </c>
      <c r="M1821" s="10">
        <v>1445</v>
      </c>
    </row>
    <row r="1822" spans="1:13" x14ac:dyDescent="0.25">
      <c r="A1822" s="12" t="str">
        <f t="shared" si="56"/>
        <v>5005261BRUNO RIBEIRO DOMINGUESRCB46161,3680555556</v>
      </c>
      <c r="B1822" s="12" t="str">
        <f t="shared" si="57"/>
        <v>Maio</v>
      </c>
      <c r="C1822" s="8" t="s">
        <v>2460</v>
      </c>
      <c r="D1822" s="8" t="s">
        <v>664</v>
      </c>
      <c r="E1822" s="8" t="s">
        <v>32</v>
      </c>
      <c r="F1822" s="23">
        <v>46161.368055555555</v>
      </c>
      <c r="G1822" s="8" t="s">
        <v>1045</v>
      </c>
      <c r="H1822" s="23">
        <v>46164</v>
      </c>
      <c r="I1822" s="23">
        <v>46161.368055555555</v>
      </c>
      <c r="J1822" s="10">
        <v>51.1</v>
      </c>
      <c r="K1822" s="10">
        <v>0</v>
      </c>
      <c r="L1822" s="24">
        <v>0</v>
      </c>
      <c r="M1822" s="10">
        <v>51.1</v>
      </c>
    </row>
    <row r="1823" spans="1:13" x14ac:dyDescent="0.25">
      <c r="A1823" s="12" t="str">
        <f t="shared" si="56"/>
        <v>5005261ELIANA HENRIQUE MENDES BARBOSARCB46181,4694444444</v>
      </c>
      <c r="B1823" s="12" t="str">
        <f t="shared" si="57"/>
        <v>Junho</v>
      </c>
      <c r="C1823" s="8" t="s">
        <v>2460</v>
      </c>
      <c r="D1823" s="8" t="s">
        <v>664</v>
      </c>
      <c r="E1823" s="8" t="s">
        <v>59</v>
      </c>
      <c r="F1823" s="23">
        <v>46181.469444444447</v>
      </c>
      <c r="G1823" s="8" t="s">
        <v>1045</v>
      </c>
      <c r="H1823" s="23">
        <v>46184</v>
      </c>
      <c r="I1823" s="23">
        <v>46181.469444444447</v>
      </c>
      <c r="J1823" s="10">
        <v>46.5</v>
      </c>
      <c r="K1823" s="10">
        <v>0</v>
      </c>
      <c r="L1823" s="24">
        <v>0</v>
      </c>
      <c r="M1823" s="10">
        <v>46.5</v>
      </c>
    </row>
    <row r="1824" spans="1:13" x14ac:dyDescent="0.25">
      <c r="A1824" s="12" t="str">
        <f t="shared" si="56"/>
        <v>5005262CHAYENE AMARALCT46148,6659722222</v>
      </c>
      <c r="B1824" s="12" t="str">
        <f t="shared" si="57"/>
        <v>Maio</v>
      </c>
      <c r="C1824" s="8" t="s">
        <v>2461</v>
      </c>
      <c r="D1824" s="8" t="s">
        <v>664</v>
      </c>
      <c r="E1824" s="8" t="s">
        <v>1424</v>
      </c>
      <c r="F1824" s="23">
        <v>46148.665972222225</v>
      </c>
      <c r="G1824" s="8" t="s">
        <v>1035</v>
      </c>
      <c r="H1824" s="23">
        <v>46160</v>
      </c>
      <c r="I1824" s="23">
        <v>46148.665972222225</v>
      </c>
      <c r="J1824" s="10">
        <v>909</v>
      </c>
      <c r="K1824" s="10">
        <v>0</v>
      </c>
      <c r="L1824" s="24">
        <v>0</v>
      </c>
      <c r="M1824" s="10">
        <v>909</v>
      </c>
    </row>
    <row r="1825" spans="1:13" x14ac:dyDescent="0.25">
      <c r="A1825" s="12" t="str">
        <f t="shared" si="56"/>
        <v>5005262JAIME GOMES PARAGUAIRCB46162,3590277778</v>
      </c>
      <c r="B1825" s="12" t="str">
        <f t="shared" si="57"/>
        <v>Maio</v>
      </c>
      <c r="C1825" s="8" t="s">
        <v>2461</v>
      </c>
      <c r="D1825" s="8" t="s">
        <v>664</v>
      </c>
      <c r="E1825" s="8" t="s">
        <v>87</v>
      </c>
      <c r="F1825" s="23">
        <v>46162.359027777777</v>
      </c>
      <c r="G1825" s="8" t="s">
        <v>1045</v>
      </c>
      <c r="H1825" s="23">
        <v>46167</v>
      </c>
      <c r="I1825" s="23">
        <v>46162.359027777777</v>
      </c>
      <c r="J1825" s="10">
        <v>31</v>
      </c>
      <c r="K1825" s="10">
        <v>0</v>
      </c>
      <c r="L1825" s="24">
        <v>0</v>
      </c>
      <c r="M1825" s="10">
        <v>31</v>
      </c>
    </row>
    <row r="1826" spans="1:13" x14ac:dyDescent="0.25">
      <c r="A1826" s="12" t="str">
        <f t="shared" si="56"/>
        <v>5005263ALAOR CANAVEZ DE MORAES NETOCT46148,6673611111</v>
      </c>
      <c r="B1826" s="12" t="str">
        <f t="shared" si="57"/>
        <v>Maio</v>
      </c>
      <c r="C1826" s="8" t="s">
        <v>2462</v>
      </c>
      <c r="D1826" s="8" t="s">
        <v>664</v>
      </c>
      <c r="E1826" s="8" t="s">
        <v>10</v>
      </c>
      <c r="F1826" s="23">
        <v>46148.667361111111</v>
      </c>
      <c r="G1826" s="8" t="s">
        <v>1035</v>
      </c>
      <c r="H1826" s="23">
        <v>46160</v>
      </c>
      <c r="I1826" s="23">
        <v>46148.667361111111</v>
      </c>
      <c r="J1826" s="10">
        <v>1540</v>
      </c>
      <c r="K1826" s="10">
        <v>0</v>
      </c>
      <c r="L1826" s="24">
        <v>0</v>
      </c>
      <c r="M1826" s="10">
        <v>1540</v>
      </c>
    </row>
    <row r="1827" spans="1:13" x14ac:dyDescent="0.25">
      <c r="A1827" s="12" t="str">
        <f t="shared" si="56"/>
        <v>5005264MAGNO APARECIDO DE JESUSCT46148,66875</v>
      </c>
      <c r="B1827" s="12" t="str">
        <f t="shared" si="57"/>
        <v>Maio</v>
      </c>
      <c r="C1827" s="8" t="s">
        <v>2463</v>
      </c>
      <c r="D1827" s="8" t="s">
        <v>664</v>
      </c>
      <c r="E1827" s="8" t="s">
        <v>115</v>
      </c>
      <c r="F1827" s="23">
        <v>46148.668749999997</v>
      </c>
      <c r="G1827" s="8" t="s">
        <v>1035</v>
      </c>
      <c r="H1827" s="23">
        <v>46160</v>
      </c>
      <c r="I1827" s="23">
        <v>46148.668749999997</v>
      </c>
      <c r="J1827" s="10">
        <v>5908</v>
      </c>
      <c r="K1827" s="10">
        <v>0</v>
      </c>
      <c r="L1827" s="24">
        <v>0</v>
      </c>
      <c r="M1827" s="10">
        <v>5908</v>
      </c>
    </row>
    <row r="1828" spans="1:13" x14ac:dyDescent="0.25">
      <c r="A1828" s="12" t="str">
        <f t="shared" si="56"/>
        <v>5005265MAURILIO PAULINO DA SILVACT46148,6694444444</v>
      </c>
      <c r="B1828" s="12" t="str">
        <f t="shared" si="57"/>
        <v>Maio</v>
      </c>
      <c r="C1828" s="8" t="s">
        <v>2464</v>
      </c>
      <c r="D1828" s="8" t="s">
        <v>664</v>
      </c>
      <c r="E1828" s="8" t="s">
        <v>1562</v>
      </c>
      <c r="F1828" s="23">
        <v>46148.669444444444</v>
      </c>
      <c r="G1828" s="8" t="s">
        <v>1035</v>
      </c>
      <c r="H1828" s="23">
        <v>46160</v>
      </c>
      <c r="I1828" s="23">
        <v>46148.669444444444</v>
      </c>
      <c r="J1828" s="10">
        <v>1683</v>
      </c>
      <c r="K1828" s="10">
        <v>0</v>
      </c>
      <c r="L1828" s="24">
        <v>0</v>
      </c>
      <c r="M1828" s="10">
        <v>1683</v>
      </c>
    </row>
    <row r="1829" spans="1:13" x14ac:dyDescent="0.25">
      <c r="A1829" s="12" t="str">
        <f t="shared" si="56"/>
        <v>5005266PAULO SERGIO FERREIRA VAZCT46148,6708333333</v>
      </c>
      <c r="B1829" s="12" t="str">
        <f t="shared" si="57"/>
        <v>Maio</v>
      </c>
      <c r="C1829" s="8" t="s">
        <v>2465</v>
      </c>
      <c r="D1829" s="8" t="s">
        <v>664</v>
      </c>
      <c r="E1829" s="8" t="s">
        <v>1564</v>
      </c>
      <c r="F1829" s="23">
        <v>46148.67083333333</v>
      </c>
      <c r="G1829" s="8" t="s">
        <v>1035</v>
      </c>
      <c r="H1829" s="23">
        <v>46160</v>
      </c>
      <c r="I1829" s="23">
        <v>46148.67083333333</v>
      </c>
      <c r="J1829" s="10">
        <v>449</v>
      </c>
      <c r="K1829" s="10">
        <v>0</v>
      </c>
      <c r="L1829" s="24">
        <v>0</v>
      </c>
      <c r="M1829" s="10">
        <v>449</v>
      </c>
    </row>
    <row r="1830" spans="1:13" x14ac:dyDescent="0.25">
      <c r="A1830" s="12" t="str">
        <f t="shared" si="56"/>
        <v>5005267ANTONIO CARLOS DA COSTACT46148,6722222222</v>
      </c>
      <c r="B1830" s="12" t="str">
        <f t="shared" si="57"/>
        <v>Maio</v>
      </c>
      <c r="C1830" s="8" t="s">
        <v>2466</v>
      </c>
      <c r="D1830" s="8" t="s">
        <v>664</v>
      </c>
      <c r="E1830" s="8" t="s">
        <v>19</v>
      </c>
      <c r="F1830" s="23">
        <v>46148.672222222223</v>
      </c>
      <c r="G1830" s="8" t="s">
        <v>1035</v>
      </c>
      <c r="H1830" s="23">
        <v>46160</v>
      </c>
      <c r="I1830" s="23">
        <v>46148.672222222223</v>
      </c>
      <c r="J1830" s="10">
        <v>1511</v>
      </c>
      <c r="K1830" s="10">
        <v>0</v>
      </c>
      <c r="L1830" s="24">
        <v>0</v>
      </c>
      <c r="M1830" s="10">
        <v>1511</v>
      </c>
    </row>
    <row r="1831" spans="1:13" x14ac:dyDescent="0.25">
      <c r="A1831" s="12" t="str">
        <f t="shared" si="56"/>
        <v>5005268ANTONIO CARLOS DA COSTARCB46150,3875</v>
      </c>
      <c r="B1831" s="12" t="str">
        <f t="shared" si="57"/>
        <v>Maio</v>
      </c>
      <c r="C1831" s="8" t="s">
        <v>2385</v>
      </c>
      <c r="D1831" s="8" t="s">
        <v>664</v>
      </c>
      <c r="E1831" s="8" t="s">
        <v>19</v>
      </c>
      <c r="F1831" s="23">
        <v>46150.387499999997</v>
      </c>
      <c r="G1831" s="8" t="s">
        <v>1045</v>
      </c>
      <c r="H1831" s="23">
        <v>46155</v>
      </c>
      <c r="I1831" s="23">
        <v>46150.387499999997</v>
      </c>
      <c r="J1831" s="10">
        <v>17.600000000000001</v>
      </c>
      <c r="K1831" s="10">
        <v>0</v>
      </c>
      <c r="L1831" s="24">
        <v>0</v>
      </c>
      <c r="M1831" s="10">
        <v>17.600000000000001</v>
      </c>
    </row>
    <row r="1832" spans="1:13" x14ac:dyDescent="0.25">
      <c r="A1832" s="12" t="str">
        <f t="shared" si="56"/>
        <v>5005268ARTUR SILVA VIANACT46148,6729166667</v>
      </c>
      <c r="B1832" s="12" t="str">
        <f t="shared" si="57"/>
        <v>Maio</v>
      </c>
      <c r="C1832" s="8" t="s">
        <v>2385</v>
      </c>
      <c r="D1832" s="8" t="s">
        <v>664</v>
      </c>
      <c r="E1832" s="8" t="s">
        <v>1429</v>
      </c>
      <c r="F1832" s="23">
        <v>46148.67291666667</v>
      </c>
      <c r="G1832" s="8" t="s">
        <v>1035</v>
      </c>
      <c r="H1832" s="23">
        <v>46160</v>
      </c>
      <c r="I1832" s="23">
        <v>46148.67291666667</v>
      </c>
      <c r="J1832" s="10">
        <v>1504</v>
      </c>
      <c r="K1832" s="10">
        <v>0</v>
      </c>
      <c r="L1832" s="24">
        <v>0</v>
      </c>
      <c r="M1832" s="10">
        <v>1504</v>
      </c>
    </row>
    <row r="1833" spans="1:13" x14ac:dyDescent="0.25">
      <c r="A1833" s="12" t="str">
        <f t="shared" si="56"/>
        <v>5005269RAISSA DE CARVALHO FIORINECT46148,6763888889</v>
      </c>
      <c r="B1833" s="12" t="str">
        <f t="shared" si="57"/>
        <v>Maio</v>
      </c>
      <c r="C1833" s="8" t="s">
        <v>2467</v>
      </c>
      <c r="D1833" s="8" t="s">
        <v>664</v>
      </c>
      <c r="E1833" s="8" t="s">
        <v>163</v>
      </c>
      <c r="F1833" s="23">
        <v>46148.676388888889</v>
      </c>
      <c r="G1833" s="8" t="s">
        <v>1035</v>
      </c>
      <c r="H1833" s="23">
        <v>46160</v>
      </c>
      <c r="I1833" s="23">
        <v>46148.676388888889</v>
      </c>
      <c r="J1833" s="10">
        <v>2461</v>
      </c>
      <c r="K1833" s="10">
        <v>0</v>
      </c>
      <c r="L1833" s="24">
        <v>0</v>
      </c>
      <c r="M1833" s="10">
        <v>2461</v>
      </c>
    </row>
    <row r="1834" spans="1:13" x14ac:dyDescent="0.25">
      <c r="A1834" s="12" t="str">
        <f t="shared" si="56"/>
        <v>5005270BRUNO HENRIQUE DA SILVACT46148,6770833333</v>
      </c>
      <c r="B1834" s="12" t="str">
        <f t="shared" si="57"/>
        <v>Maio</v>
      </c>
      <c r="C1834" s="8" t="s">
        <v>2468</v>
      </c>
      <c r="D1834" s="8" t="s">
        <v>664</v>
      </c>
      <c r="E1834" s="8" t="s">
        <v>29</v>
      </c>
      <c r="F1834" s="23">
        <v>46148.677083333336</v>
      </c>
      <c r="G1834" s="8" t="s">
        <v>1035</v>
      </c>
      <c r="H1834" s="23">
        <v>46160</v>
      </c>
      <c r="I1834" s="23">
        <v>46148.677083333336</v>
      </c>
      <c r="J1834" s="10">
        <v>2837</v>
      </c>
      <c r="K1834" s="10">
        <v>0</v>
      </c>
      <c r="L1834" s="24">
        <v>0</v>
      </c>
      <c r="M1834" s="10">
        <v>2837</v>
      </c>
    </row>
    <row r="1835" spans="1:13" x14ac:dyDescent="0.25">
      <c r="A1835" s="12" t="str">
        <f t="shared" si="56"/>
        <v>5005270RAISSA DE CARVALHO FIORINERCB46162,3576388889</v>
      </c>
      <c r="B1835" s="12" t="str">
        <f t="shared" si="57"/>
        <v>Maio</v>
      </c>
      <c r="C1835" s="8" t="s">
        <v>2468</v>
      </c>
      <c r="D1835" s="8" t="s">
        <v>664</v>
      </c>
      <c r="E1835" s="8" t="s">
        <v>163</v>
      </c>
      <c r="F1835" s="23">
        <v>46162.357638888891</v>
      </c>
      <c r="G1835" s="8" t="s">
        <v>1045</v>
      </c>
      <c r="H1835" s="23">
        <v>46167</v>
      </c>
      <c r="I1835" s="23">
        <v>46162.357638888891</v>
      </c>
      <c r="J1835" s="10">
        <v>15.5</v>
      </c>
      <c r="K1835" s="10">
        <v>0</v>
      </c>
      <c r="L1835" s="24">
        <v>0</v>
      </c>
      <c r="M1835" s="10">
        <v>15.5</v>
      </c>
    </row>
    <row r="1836" spans="1:13" x14ac:dyDescent="0.25">
      <c r="A1836" s="12" t="str">
        <f t="shared" si="56"/>
        <v>5005271BRUNO HENRIQUE DA SILVARCB46150,3881944444</v>
      </c>
      <c r="B1836" s="12" t="str">
        <f t="shared" si="57"/>
        <v>Maio</v>
      </c>
      <c r="C1836" s="8" t="s">
        <v>2386</v>
      </c>
      <c r="D1836" s="8" t="s">
        <v>664</v>
      </c>
      <c r="E1836" s="8" t="s">
        <v>29</v>
      </c>
      <c r="F1836" s="23">
        <v>46150.388194444444</v>
      </c>
      <c r="G1836" s="8" t="s">
        <v>1045</v>
      </c>
      <c r="H1836" s="23">
        <v>46155</v>
      </c>
      <c r="I1836" s="23">
        <v>46150.388194444444</v>
      </c>
      <c r="J1836" s="10">
        <v>120.2</v>
      </c>
      <c r="K1836" s="10">
        <v>0</v>
      </c>
      <c r="L1836" s="24">
        <v>0</v>
      </c>
      <c r="M1836" s="10">
        <v>120.2</v>
      </c>
    </row>
    <row r="1837" spans="1:13" x14ac:dyDescent="0.25">
      <c r="A1837" s="12" t="str">
        <f t="shared" si="56"/>
        <v>5005271MARCELO MARTINS DE OLIVEIRACT46148,6784722222</v>
      </c>
      <c r="B1837" s="12" t="str">
        <f t="shared" si="57"/>
        <v>Maio</v>
      </c>
      <c r="C1837" s="8" t="s">
        <v>2386</v>
      </c>
      <c r="D1837" s="8" t="s">
        <v>664</v>
      </c>
      <c r="E1837" s="8" t="s">
        <v>121</v>
      </c>
      <c r="F1837" s="23">
        <v>46148.678472222222</v>
      </c>
      <c r="G1837" s="8" t="s">
        <v>1035</v>
      </c>
      <c r="H1837" s="23">
        <v>46160</v>
      </c>
      <c r="I1837" s="23">
        <v>46148.678472222222</v>
      </c>
      <c r="J1837" s="10">
        <v>2217</v>
      </c>
      <c r="K1837" s="10">
        <v>0</v>
      </c>
      <c r="L1837" s="24">
        <v>0</v>
      </c>
      <c r="M1837" s="10">
        <v>2217</v>
      </c>
    </row>
    <row r="1838" spans="1:13" x14ac:dyDescent="0.25">
      <c r="A1838" s="12" t="str">
        <f t="shared" si="56"/>
        <v>5005272MARCELO MARTINS DE OLIVEIRARCB46153,7180555556</v>
      </c>
      <c r="B1838" s="12" t="str">
        <f t="shared" si="57"/>
        <v>Maio</v>
      </c>
      <c r="C1838" s="8" t="s">
        <v>2396</v>
      </c>
      <c r="D1838" s="8" t="s">
        <v>664</v>
      </c>
      <c r="E1838" s="8" t="s">
        <v>121</v>
      </c>
      <c r="F1838" s="23">
        <v>46153.718055555553</v>
      </c>
      <c r="G1838" s="8" t="s">
        <v>1045</v>
      </c>
      <c r="H1838" s="23">
        <v>46156</v>
      </c>
      <c r="I1838" s="23">
        <v>46153.718055555553</v>
      </c>
      <c r="J1838" s="10">
        <v>19.5</v>
      </c>
      <c r="K1838" s="10">
        <v>0</v>
      </c>
      <c r="L1838" s="24">
        <v>0</v>
      </c>
      <c r="M1838" s="10">
        <v>19.5</v>
      </c>
    </row>
    <row r="1839" spans="1:13" x14ac:dyDescent="0.25">
      <c r="A1839" s="12" t="str">
        <f t="shared" si="56"/>
        <v>5005272KARINE KEILE DA SILVA BRAGACT46148,6791666667</v>
      </c>
      <c r="B1839" s="12" t="str">
        <f t="shared" si="57"/>
        <v>Maio</v>
      </c>
      <c r="C1839" s="8" t="s">
        <v>2396</v>
      </c>
      <c r="D1839" s="8" t="s">
        <v>664</v>
      </c>
      <c r="E1839" s="8" t="s">
        <v>1570</v>
      </c>
      <c r="F1839" s="23">
        <v>46148.679166666669</v>
      </c>
      <c r="G1839" s="8" t="s">
        <v>1035</v>
      </c>
      <c r="H1839" s="23">
        <v>46160</v>
      </c>
      <c r="I1839" s="23">
        <v>46148.679166666669</v>
      </c>
      <c r="J1839" s="10">
        <v>1815</v>
      </c>
      <c r="K1839" s="10">
        <v>0</v>
      </c>
      <c r="L1839" s="24">
        <v>0</v>
      </c>
      <c r="M1839" s="10">
        <v>1815</v>
      </c>
    </row>
    <row r="1840" spans="1:13" x14ac:dyDescent="0.25">
      <c r="A1840" s="12" t="str">
        <f t="shared" si="56"/>
        <v>5005273LIDIANE ASSIS ROCHACT46148,6805555556</v>
      </c>
      <c r="B1840" s="12" t="str">
        <f t="shared" si="57"/>
        <v>Maio</v>
      </c>
      <c r="C1840" s="8" t="s">
        <v>2469</v>
      </c>
      <c r="D1840" s="8" t="s">
        <v>664</v>
      </c>
      <c r="E1840" s="8" t="s">
        <v>110</v>
      </c>
      <c r="F1840" s="23">
        <v>46148.680555555555</v>
      </c>
      <c r="G1840" s="8" t="s">
        <v>1035</v>
      </c>
      <c r="H1840" s="23">
        <v>46160</v>
      </c>
      <c r="I1840" s="23">
        <v>46148.680555555555</v>
      </c>
      <c r="J1840" s="10">
        <v>1601</v>
      </c>
      <c r="K1840" s="10">
        <v>0</v>
      </c>
      <c r="L1840" s="24">
        <v>0</v>
      </c>
      <c r="M1840" s="10">
        <v>1601</v>
      </c>
    </row>
    <row r="1841" spans="1:13" x14ac:dyDescent="0.25">
      <c r="A1841" s="12" t="str">
        <f t="shared" si="56"/>
        <v>5005274NATANIELLE SILVA DE SOUZA MARQUESCT46148,68125</v>
      </c>
      <c r="B1841" s="12" t="str">
        <f t="shared" si="57"/>
        <v>Maio</v>
      </c>
      <c r="C1841" s="8" t="s">
        <v>2470</v>
      </c>
      <c r="D1841" s="8" t="s">
        <v>664</v>
      </c>
      <c r="E1841" s="8" t="s">
        <v>135</v>
      </c>
      <c r="F1841" s="23">
        <v>46148.681250000001</v>
      </c>
      <c r="G1841" s="8" t="s">
        <v>1035</v>
      </c>
      <c r="H1841" s="23">
        <v>46160</v>
      </c>
      <c r="I1841" s="23">
        <v>46148.681250000001</v>
      </c>
      <c r="J1841" s="10">
        <v>6699</v>
      </c>
      <c r="K1841" s="10">
        <v>0</v>
      </c>
      <c r="L1841" s="24">
        <v>0</v>
      </c>
      <c r="M1841" s="10">
        <v>6699</v>
      </c>
    </row>
    <row r="1842" spans="1:13" x14ac:dyDescent="0.25">
      <c r="A1842" s="12" t="str">
        <f t="shared" si="56"/>
        <v>5005274LIDIANE ASSIS ROCHARCB46181,4715277778</v>
      </c>
      <c r="B1842" s="12" t="str">
        <f t="shared" si="57"/>
        <v>Junho</v>
      </c>
      <c r="C1842" s="8" t="s">
        <v>2470</v>
      </c>
      <c r="D1842" s="8" t="s">
        <v>664</v>
      </c>
      <c r="E1842" s="8" t="s">
        <v>110</v>
      </c>
      <c r="F1842" s="23">
        <v>46181.47152777778</v>
      </c>
      <c r="G1842" s="8" t="s">
        <v>1045</v>
      </c>
      <c r="H1842" s="23">
        <v>46184</v>
      </c>
      <c r="I1842" s="23">
        <v>46181.47152777778</v>
      </c>
      <c r="J1842" s="10">
        <v>144</v>
      </c>
      <c r="K1842" s="10">
        <v>0</v>
      </c>
      <c r="L1842" s="24">
        <v>0</v>
      </c>
      <c r="M1842" s="10">
        <v>144</v>
      </c>
    </row>
    <row r="1843" spans="1:13" x14ac:dyDescent="0.25">
      <c r="A1843" s="12" t="str">
        <f t="shared" si="56"/>
        <v>5005275NATANIELLE SILVA DE SOUZA MARQUESRCB46150,3840277778</v>
      </c>
      <c r="B1843" s="12" t="str">
        <f t="shared" si="57"/>
        <v>Maio</v>
      </c>
      <c r="C1843" s="8" t="s">
        <v>2387</v>
      </c>
      <c r="D1843" s="8" t="s">
        <v>664</v>
      </c>
      <c r="E1843" s="8" t="s">
        <v>135</v>
      </c>
      <c r="F1843" s="23">
        <v>46150.384027777778</v>
      </c>
      <c r="G1843" s="8" t="s">
        <v>1045</v>
      </c>
      <c r="H1843" s="23">
        <v>46155</v>
      </c>
      <c r="I1843" s="23">
        <v>46150.384027777778</v>
      </c>
      <c r="J1843" s="10">
        <v>259.5</v>
      </c>
      <c r="K1843" s="10">
        <v>0</v>
      </c>
      <c r="L1843" s="24">
        <v>0</v>
      </c>
      <c r="M1843" s="10">
        <v>259.5</v>
      </c>
    </row>
    <row r="1844" spans="1:13" x14ac:dyDescent="0.25">
      <c r="A1844" s="12" t="str">
        <f t="shared" si="56"/>
        <v>5005275JOSE MARCIO DA SILVACT46148,6826388889</v>
      </c>
      <c r="B1844" s="12" t="str">
        <f t="shared" si="57"/>
        <v>Maio</v>
      </c>
      <c r="C1844" s="8" t="s">
        <v>2387</v>
      </c>
      <c r="D1844" s="8" t="s">
        <v>664</v>
      </c>
      <c r="E1844" s="8" t="s">
        <v>1576</v>
      </c>
      <c r="F1844" s="23">
        <v>46148.682638888888</v>
      </c>
      <c r="G1844" s="8" t="s">
        <v>1035</v>
      </c>
      <c r="H1844" s="23">
        <v>46160</v>
      </c>
      <c r="I1844" s="23">
        <v>46148.682638888888</v>
      </c>
      <c r="J1844" s="10">
        <v>2450</v>
      </c>
      <c r="K1844" s="10">
        <v>0</v>
      </c>
      <c r="L1844" s="24">
        <v>0</v>
      </c>
      <c r="M1844" s="10">
        <v>2450</v>
      </c>
    </row>
    <row r="1845" spans="1:13" x14ac:dyDescent="0.25">
      <c r="A1845" s="12" t="str">
        <f t="shared" si="56"/>
        <v>5005276JOSE ANTONIO SILVACT46148,6833333333</v>
      </c>
      <c r="B1845" s="12" t="str">
        <f t="shared" si="57"/>
        <v>Maio</v>
      </c>
      <c r="C1845" s="8" t="s">
        <v>2471</v>
      </c>
      <c r="D1845" s="8" t="s">
        <v>664</v>
      </c>
      <c r="E1845" s="8" t="s">
        <v>99</v>
      </c>
      <c r="F1845" s="23">
        <v>46148.683333333334</v>
      </c>
      <c r="G1845" s="8" t="s">
        <v>1035</v>
      </c>
      <c r="H1845" s="23">
        <v>46160</v>
      </c>
      <c r="I1845" s="23">
        <v>46148.683333333334</v>
      </c>
      <c r="J1845" s="10">
        <v>3583</v>
      </c>
      <c r="K1845" s="10">
        <v>0</v>
      </c>
      <c r="L1845" s="24">
        <v>0</v>
      </c>
      <c r="M1845" s="10">
        <v>3583</v>
      </c>
    </row>
    <row r="1846" spans="1:13" x14ac:dyDescent="0.25">
      <c r="A1846" s="12" t="str">
        <f t="shared" si="56"/>
        <v>5005277JOSE ANTONIO SILVARCB46150,3895833333</v>
      </c>
      <c r="B1846" s="12" t="str">
        <f t="shared" si="57"/>
        <v>Maio</v>
      </c>
      <c r="C1846" s="8" t="s">
        <v>2388</v>
      </c>
      <c r="D1846" s="8" t="s">
        <v>664</v>
      </c>
      <c r="E1846" s="8" t="s">
        <v>99</v>
      </c>
      <c r="F1846" s="23">
        <v>46150.38958333333</v>
      </c>
      <c r="G1846" s="8" t="s">
        <v>1045</v>
      </c>
      <c r="H1846" s="23">
        <v>46155</v>
      </c>
      <c r="I1846" s="23">
        <v>46150.38958333333</v>
      </c>
      <c r="J1846" s="10">
        <v>411.4</v>
      </c>
      <c r="K1846" s="10">
        <v>0</v>
      </c>
      <c r="L1846" s="24">
        <v>0</v>
      </c>
      <c r="M1846" s="10">
        <v>411.4</v>
      </c>
    </row>
    <row r="1847" spans="1:13" x14ac:dyDescent="0.25">
      <c r="A1847" s="12" t="str">
        <f t="shared" si="56"/>
        <v>5005277DIOGO BONELA TONHACT46148,6847222222</v>
      </c>
      <c r="B1847" s="12" t="str">
        <f t="shared" si="57"/>
        <v>Maio</v>
      </c>
      <c r="C1847" s="8" t="s">
        <v>2388</v>
      </c>
      <c r="D1847" s="8" t="s">
        <v>664</v>
      </c>
      <c r="E1847" s="8" t="s">
        <v>52</v>
      </c>
      <c r="F1847" s="23">
        <v>46148.68472222222</v>
      </c>
      <c r="G1847" s="8" t="s">
        <v>1035</v>
      </c>
      <c r="H1847" s="23">
        <v>46160</v>
      </c>
      <c r="I1847" s="23">
        <v>46148.68472222222</v>
      </c>
      <c r="J1847" s="10">
        <v>2409</v>
      </c>
      <c r="K1847" s="10">
        <v>0</v>
      </c>
      <c r="L1847" s="24">
        <v>0</v>
      </c>
      <c r="M1847" s="10">
        <v>2409</v>
      </c>
    </row>
    <row r="1848" spans="1:13" x14ac:dyDescent="0.25">
      <c r="A1848" s="12" t="str">
        <f t="shared" si="56"/>
        <v>5005278BRENDA LUIZA PEREIRACT46148,6854166667</v>
      </c>
      <c r="B1848" s="12" t="str">
        <f t="shared" si="57"/>
        <v>Maio</v>
      </c>
      <c r="C1848" s="8" t="s">
        <v>2472</v>
      </c>
      <c r="D1848" s="8" t="s">
        <v>664</v>
      </c>
      <c r="E1848" s="8" t="s">
        <v>28</v>
      </c>
      <c r="F1848" s="23">
        <v>46148.685416666667</v>
      </c>
      <c r="G1848" s="8" t="s">
        <v>1035</v>
      </c>
      <c r="H1848" s="23">
        <v>46160</v>
      </c>
      <c r="I1848" s="23">
        <v>46148.685416666667</v>
      </c>
      <c r="J1848" s="10">
        <v>4673</v>
      </c>
      <c r="K1848" s="10">
        <v>0</v>
      </c>
      <c r="L1848" s="24">
        <v>0</v>
      </c>
      <c r="M1848" s="10">
        <v>4673</v>
      </c>
    </row>
    <row r="1849" spans="1:13" x14ac:dyDescent="0.25">
      <c r="A1849" s="12" t="str">
        <f t="shared" si="56"/>
        <v>5005278DIOGO BONELA TONHARCB46162,3631944444</v>
      </c>
      <c r="B1849" s="12" t="str">
        <f t="shared" si="57"/>
        <v>Maio</v>
      </c>
      <c r="C1849" s="8" t="s">
        <v>2472</v>
      </c>
      <c r="D1849" s="8" t="s">
        <v>664</v>
      </c>
      <c r="E1849" s="8" t="s">
        <v>52</v>
      </c>
      <c r="F1849" s="23">
        <v>46162.363194444442</v>
      </c>
      <c r="G1849" s="8" t="s">
        <v>1045</v>
      </c>
      <c r="H1849" s="23">
        <v>46167</v>
      </c>
      <c r="I1849" s="23">
        <v>46162.363194444442</v>
      </c>
      <c r="J1849" s="10">
        <v>28.6</v>
      </c>
      <c r="K1849" s="10">
        <v>0</v>
      </c>
      <c r="L1849" s="24">
        <v>0</v>
      </c>
      <c r="M1849" s="10">
        <v>28.6</v>
      </c>
    </row>
    <row r="1850" spans="1:13" x14ac:dyDescent="0.25">
      <c r="A1850" s="12" t="str">
        <f t="shared" si="56"/>
        <v>5005279BRENDA LUIZA PEREIRARCB46150,3854166667</v>
      </c>
      <c r="B1850" s="12" t="str">
        <f t="shared" si="57"/>
        <v>Maio</v>
      </c>
      <c r="C1850" s="8" t="s">
        <v>2389</v>
      </c>
      <c r="D1850" s="8" t="s">
        <v>664</v>
      </c>
      <c r="E1850" s="8" t="s">
        <v>28</v>
      </c>
      <c r="F1850" s="23">
        <v>46150.385416666664</v>
      </c>
      <c r="G1850" s="8" t="s">
        <v>1045</v>
      </c>
      <c r="H1850" s="23">
        <v>46155</v>
      </c>
      <c r="I1850" s="23">
        <v>46150.385416666664</v>
      </c>
      <c r="J1850" s="10">
        <v>192.09</v>
      </c>
      <c r="K1850" s="10">
        <v>0</v>
      </c>
      <c r="L1850" s="24">
        <v>0</v>
      </c>
      <c r="M1850" s="10">
        <v>192.09</v>
      </c>
    </row>
    <row r="1851" spans="1:13" x14ac:dyDescent="0.25">
      <c r="A1851" s="12" t="str">
        <f t="shared" si="56"/>
        <v>5005279ADRIANO LIANDO DE SOUZACT46148,6861111111</v>
      </c>
      <c r="B1851" s="12" t="str">
        <f t="shared" si="57"/>
        <v>Maio</v>
      </c>
      <c r="C1851" s="8" t="s">
        <v>2389</v>
      </c>
      <c r="D1851" s="8" t="s">
        <v>664</v>
      </c>
      <c r="E1851" s="8" t="s">
        <v>2073</v>
      </c>
      <c r="F1851" s="23">
        <v>46148.686111111114</v>
      </c>
      <c r="G1851" s="8" t="s">
        <v>1035</v>
      </c>
      <c r="H1851" s="23">
        <v>46160</v>
      </c>
      <c r="I1851" s="23">
        <v>46148.686111111114</v>
      </c>
      <c r="J1851" s="10">
        <v>1740</v>
      </c>
      <c r="K1851" s="10">
        <v>0</v>
      </c>
      <c r="L1851" s="24">
        <v>0</v>
      </c>
      <c r="M1851" s="10">
        <v>1740</v>
      </c>
    </row>
    <row r="1852" spans="1:13" x14ac:dyDescent="0.25">
      <c r="A1852" s="12" t="str">
        <f t="shared" si="56"/>
        <v>5005284RAFAEL RODRIGUES FARIACT46162,6993055556</v>
      </c>
      <c r="B1852" s="12" t="str">
        <f t="shared" si="57"/>
        <v>Junho</v>
      </c>
      <c r="C1852" s="8" t="s">
        <v>2553</v>
      </c>
      <c r="D1852" s="8" t="s">
        <v>664</v>
      </c>
      <c r="E1852" s="8" t="s">
        <v>162</v>
      </c>
      <c r="F1852" s="23">
        <v>46162.699305555558</v>
      </c>
      <c r="G1852" s="8" t="s">
        <v>1035</v>
      </c>
      <c r="H1852" s="23">
        <v>46181</v>
      </c>
      <c r="I1852" s="23">
        <v>46162.699305555558</v>
      </c>
      <c r="J1852" s="10">
        <v>746</v>
      </c>
      <c r="K1852" s="10">
        <v>0</v>
      </c>
      <c r="L1852" s="24">
        <v>0</v>
      </c>
      <c r="M1852" s="10">
        <v>746</v>
      </c>
    </row>
    <row r="1853" spans="1:13" x14ac:dyDescent="0.25">
      <c r="A1853" s="12" t="str">
        <f t="shared" si="56"/>
        <v>5005286CRISTIAN ALVES MOREIRACT46164,3048611111</v>
      </c>
      <c r="B1853" s="12" t="str">
        <f t="shared" si="57"/>
        <v>Junho</v>
      </c>
      <c r="C1853" s="8" t="s">
        <v>2554</v>
      </c>
      <c r="D1853" s="8" t="s">
        <v>664</v>
      </c>
      <c r="E1853" s="8" t="s">
        <v>46</v>
      </c>
      <c r="F1853" s="23">
        <v>46164.304861111108</v>
      </c>
      <c r="G1853" s="8" t="s">
        <v>1035</v>
      </c>
      <c r="H1853" s="23">
        <v>46181</v>
      </c>
      <c r="I1853" s="23">
        <v>46164.304861111108</v>
      </c>
      <c r="J1853" s="10">
        <v>504</v>
      </c>
      <c r="K1853" s="10">
        <v>0</v>
      </c>
      <c r="L1853" s="24">
        <v>0</v>
      </c>
      <c r="M1853" s="10">
        <v>504</v>
      </c>
    </row>
    <row r="1854" spans="1:13" x14ac:dyDescent="0.25">
      <c r="A1854" s="12" t="str">
        <f t="shared" si="56"/>
        <v>5005287PAULO RICARDO SILVACT46164,3055555556</v>
      </c>
      <c r="B1854" s="12" t="str">
        <f t="shared" si="57"/>
        <v>Junho</v>
      </c>
      <c r="C1854" s="8" t="s">
        <v>2555</v>
      </c>
      <c r="D1854" s="8" t="s">
        <v>664</v>
      </c>
      <c r="E1854" s="8" t="s">
        <v>153</v>
      </c>
      <c r="F1854" s="23">
        <v>46164.305555555555</v>
      </c>
      <c r="G1854" s="8" t="s">
        <v>1035</v>
      </c>
      <c r="H1854" s="23">
        <v>46181</v>
      </c>
      <c r="I1854" s="23">
        <v>46164.305555555555</v>
      </c>
      <c r="J1854" s="10">
        <v>2840</v>
      </c>
      <c r="K1854" s="10">
        <v>0</v>
      </c>
      <c r="L1854" s="24">
        <v>0</v>
      </c>
      <c r="M1854" s="10">
        <v>2840</v>
      </c>
    </row>
    <row r="1855" spans="1:13" x14ac:dyDescent="0.25">
      <c r="A1855" s="12" t="str">
        <f t="shared" si="56"/>
        <v>5005288PAULO RICARDO SILVARCB46167,3916666667</v>
      </c>
      <c r="B1855" s="12" t="str">
        <f t="shared" si="57"/>
        <v>Maio</v>
      </c>
      <c r="C1855" s="8" t="s">
        <v>2491</v>
      </c>
      <c r="D1855" s="8" t="s">
        <v>664</v>
      </c>
      <c r="E1855" s="8" t="s">
        <v>153</v>
      </c>
      <c r="F1855" s="23">
        <v>46167.39166666667</v>
      </c>
      <c r="G1855" s="8" t="s">
        <v>1045</v>
      </c>
      <c r="H1855" s="23">
        <v>46170</v>
      </c>
      <c r="I1855" s="23">
        <v>46167.39166666667</v>
      </c>
      <c r="J1855" s="10">
        <v>22.8</v>
      </c>
      <c r="K1855" s="10">
        <v>0</v>
      </c>
      <c r="L1855" s="24">
        <v>0</v>
      </c>
      <c r="M1855" s="10">
        <v>22.8</v>
      </c>
    </row>
    <row r="1856" spans="1:13" x14ac:dyDescent="0.25">
      <c r="A1856" s="12" t="str">
        <f t="shared" si="56"/>
        <v>5005288KELISON DINIZ LEMOSCT46164,3069444444</v>
      </c>
      <c r="B1856" s="12" t="str">
        <f t="shared" si="57"/>
        <v>Junho</v>
      </c>
      <c r="C1856" s="8" t="s">
        <v>2491</v>
      </c>
      <c r="D1856" s="8" t="s">
        <v>664</v>
      </c>
      <c r="E1856" s="8" t="s">
        <v>105</v>
      </c>
      <c r="F1856" s="23">
        <v>46164.306944444441</v>
      </c>
      <c r="G1856" s="8" t="s">
        <v>1035</v>
      </c>
      <c r="H1856" s="23">
        <v>46181</v>
      </c>
      <c r="I1856" s="23">
        <v>46164.306944444441</v>
      </c>
      <c r="J1856" s="10">
        <v>943</v>
      </c>
      <c r="K1856" s="10">
        <v>0</v>
      </c>
      <c r="L1856" s="24">
        <v>0</v>
      </c>
      <c r="M1856" s="10">
        <v>943</v>
      </c>
    </row>
    <row r="1857" spans="1:13" x14ac:dyDescent="0.25">
      <c r="A1857" s="12" t="str">
        <f t="shared" si="56"/>
        <v>5005289PAULO RICARDO SILVARCB46175,4875</v>
      </c>
      <c r="B1857" s="12" t="str">
        <f t="shared" si="57"/>
        <v>Junho</v>
      </c>
      <c r="C1857" s="8" t="s">
        <v>2527</v>
      </c>
      <c r="D1857" s="8" t="s">
        <v>664</v>
      </c>
      <c r="E1857" s="8" t="s">
        <v>153</v>
      </c>
      <c r="F1857" s="23">
        <v>46175.487500000003</v>
      </c>
      <c r="G1857" s="8" t="s">
        <v>1045</v>
      </c>
      <c r="H1857" s="23">
        <v>46178</v>
      </c>
      <c r="I1857" s="23">
        <v>46175.487500000003</v>
      </c>
      <c r="J1857" s="10">
        <v>43.4</v>
      </c>
      <c r="K1857" s="10">
        <v>0</v>
      </c>
      <c r="L1857" s="24">
        <v>0</v>
      </c>
      <c r="M1857" s="10">
        <v>43.4</v>
      </c>
    </row>
    <row r="1858" spans="1:13" x14ac:dyDescent="0.25">
      <c r="A1858" s="12" t="str">
        <f t="shared" ref="A1858:A1921" si="58">$C1858&amp;$E1858&amp;$G1858&amp;$F1858</f>
        <v>5005289ADRIANO ROBERTOCT46164,3083333333</v>
      </c>
      <c r="B1858" s="12" t="str">
        <f t="shared" si="57"/>
        <v>Junho</v>
      </c>
      <c r="C1858" s="8" t="s">
        <v>2527</v>
      </c>
      <c r="D1858" s="8" t="s">
        <v>664</v>
      </c>
      <c r="E1858" s="8" t="s">
        <v>8</v>
      </c>
      <c r="F1858" s="23">
        <v>46164.308333333334</v>
      </c>
      <c r="G1858" s="8" t="s">
        <v>1035</v>
      </c>
      <c r="H1858" s="23">
        <v>46181</v>
      </c>
      <c r="I1858" s="23">
        <v>46164.308333333334</v>
      </c>
      <c r="J1858" s="10">
        <v>2451</v>
      </c>
      <c r="K1858" s="10">
        <v>0</v>
      </c>
      <c r="L1858" s="24">
        <v>0</v>
      </c>
      <c r="M1858" s="10">
        <v>2451</v>
      </c>
    </row>
    <row r="1859" spans="1:13" x14ac:dyDescent="0.25">
      <c r="A1859" s="12" t="str">
        <f t="shared" si="58"/>
        <v>5005290PAULO RICARDO SILVARCB46181,4604166667</v>
      </c>
      <c r="B1859" s="12" t="str">
        <f t="shared" ref="B1859:B1922" si="59">PROPER(TEXT($H1859,"MMMM"))</f>
        <v>Junho</v>
      </c>
      <c r="C1859" s="8" t="s">
        <v>2556</v>
      </c>
      <c r="D1859" s="8" t="s">
        <v>664</v>
      </c>
      <c r="E1859" s="8" t="s">
        <v>153</v>
      </c>
      <c r="F1859" s="23">
        <v>46181.460416666669</v>
      </c>
      <c r="G1859" s="8" t="s">
        <v>1045</v>
      </c>
      <c r="H1859" s="23">
        <v>46184</v>
      </c>
      <c r="I1859" s="23">
        <v>46181.460416666669</v>
      </c>
      <c r="J1859" s="10">
        <v>27.6</v>
      </c>
      <c r="K1859" s="10">
        <v>0</v>
      </c>
      <c r="L1859" s="24">
        <v>0</v>
      </c>
      <c r="M1859" s="10">
        <v>27.6</v>
      </c>
    </row>
    <row r="1860" spans="1:13" x14ac:dyDescent="0.25">
      <c r="A1860" s="12" t="str">
        <f t="shared" si="58"/>
        <v>5005290LIDEMBERG RAMOS GABRIELCT46164,3090277778</v>
      </c>
      <c r="B1860" s="12" t="str">
        <f t="shared" si="59"/>
        <v>Junho</v>
      </c>
      <c r="C1860" s="8" t="s">
        <v>2556</v>
      </c>
      <c r="D1860" s="8" t="s">
        <v>664</v>
      </c>
      <c r="E1860" s="8" t="s">
        <v>1539</v>
      </c>
      <c r="F1860" s="23">
        <v>46164.309027777781</v>
      </c>
      <c r="G1860" s="8" t="s">
        <v>1035</v>
      </c>
      <c r="H1860" s="23">
        <v>46181</v>
      </c>
      <c r="I1860" s="23">
        <v>46164.309027777781</v>
      </c>
      <c r="J1860" s="10">
        <v>350</v>
      </c>
      <c r="K1860" s="10">
        <v>0</v>
      </c>
      <c r="L1860" s="24">
        <v>0</v>
      </c>
      <c r="M1860" s="10">
        <v>350</v>
      </c>
    </row>
    <row r="1861" spans="1:13" x14ac:dyDescent="0.25">
      <c r="A1861" s="12" t="str">
        <f t="shared" si="58"/>
        <v>5005291NELCIDES JOSE VIEIRACT46164,3104166667</v>
      </c>
      <c r="B1861" s="12" t="str">
        <f t="shared" si="59"/>
        <v>Junho</v>
      </c>
      <c r="C1861" s="8" t="s">
        <v>2557</v>
      </c>
      <c r="D1861" s="8" t="s">
        <v>664</v>
      </c>
      <c r="E1861" s="8" t="s">
        <v>137</v>
      </c>
      <c r="F1861" s="23">
        <v>46164.310416666667</v>
      </c>
      <c r="G1861" s="8" t="s">
        <v>1035</v>
      </c>
      <c r="H1861" s="23">
        <v>46181</v>
      </c>
      <c r="I1861" s="23">
        <v>46164.310416666667</v>
      </c>
      <c r="J1861" s="10">
        <v>1993</v>
      </c>
      <c r="K1861" s="10">
        <v>0</v>
      </c>
      <c r="L1861" s="24">
        <v>0</v>
      </c>
      <c r="M1861" s="10">
        <v>1993</v>
      </c>
    </row>
    <row r="1862" spans="1:13" x14ac:dyDescent="0.25">
      <c r="A1862" s="12" t="str">
        <f t="shared" si="58"/>
        <v>5005292NELCIDES JOSE VIEIRARCB46170,6097222222</v>
      </c>
      <c r="B1862" s="12" t="str">
        <f t="shared" si="59"/>
        <v>Junho</v>
      </c>
      <c r="C1862" s="8" t="s">
        <v>2507</v>
      </c>
      <c r="D1862" s="8" t="s">
        <v>664</v>
      </c>
      <c r="E1862" s="8" t="s">
        <v>137</v>
      </c>
      <c r="F1862" s="23">
        <v>46170.609722222223</v>
      </c>
      <c r="G1862" s="8" t="s">
        <v>1045</v>
      </c>
      <c r="H1862" s="23">
        <v>46175</v>
      </c>
      <c r="I1862" s="23">
        <v>46170.609722222223</v>
      </c>
      <c r="J1862" s="10">
        <v>28.7</v>
      </c>
      <c r="K1862" s="10">
        <v>0</v>
      </c>
      <c r="L1862" s="24">
        <v>0</v>
      </c>
      <c r="M1862" s="10">
        <v>28.7</v>
      </c>
    </row>
    <row r="1863" spans="1:13" x14ac:dyDescent="0.25">
      <c r="A1863" s="12" t="str">
        <f t="shared" si="58"/>
        <v>5005292CARLOS ANTONIO PINTOCT46164,3111111111</v>
      </c>
      <c r="B1863" s="12" t="str">
        <f t="shared" si="59"/>
        <v>Junho</v>
      </c>
      <c r="C1863" s="8" t="s">
        <v>2507</v>
      </c>
      <c r="D1863" s="8" t="s">
        <v>664</v>
      </c>
      <c r="E1863" s="8" t="s">
        <v>36</v>
      </c>
      <c r="F1863" s="23">
        <v>46164.311111111114</v>
      </c>
      <c r="G1863" s="8" t="s">
        <v>1035</v>
      </c>
      <c r="H1863" s="23">
        <v>46181</v>
      </c>
      <c r="I1863" s="23">
        <v>46164.311111111114</v>
      </c>
      <c r="J1863" s="10">
        <v>3549</v>
      </c>
      <c r="K1863" s="10">
        <v>0</v>
      </c>
      <c r="L1863" s="24">
        <v>0</v>
      </c>
      <c r="M1863" s="10">
        <v>3549</v>
      </c>
    </row>
    <row r="1864" spans="1:13" x14ac:dyDescent="0.25">
      <c r="A1864" s="12" t="str">
        <f t="shared" si="58"/>
        <v>5005293JORGE MARTINS BORGES JUNIORCT46164,3118055556</v>
      </c>
      <c r="B1864" s="12" t="str">
        <f t="shared" si="59"/>
        <v>Junho</v>
      </c>
      <c r="C1864" s="8" t="s">
        <v>2558</v>
      </c>
      <c r="D1864" s="8" t="s">
        <v>664</v>
      </c>
      <c r="E1864" s="8" t="s">
        <v>97</v>
      </c>
      <c r="F1864" s="23">
        <v>46164.311805555553</v>
      </c>
      <c r="G1864" s="8" t="s">
        <v>1035</v>
      </c>
      <c r="H1864" s="23">
        <v>46181</v>
      </c>
      <c r="I1864" s="23">
        <v>46164.311805555553</v>
      </c>
      <c r="J1864" s="10">
        <v>2946</v>
      </c>
      <c r="K1864" s="10">
        <v>0</v>
      </c>
      <c r="L1864" s="24">
        <v>0</v>
      </c>
      <c r="M1864" s="10">
        <v>2946</v>
      </c>
    </row>
    <row r="1865" spans="1:13" x14ac:dyDescent="0.25">
      <c r="A1865" s="12" t="str">
        <f t="shared" si="58"/>
        <v>5005294JORGE MARTINS BORGES JUNIORRCB46167,3902777778</v>
      </c>
      <c r="B1865" s="12" t="str">
        <f t="shared" si="59"/>
        <v>Maio</v>
      </c>
      <c r="C1865" s="8" t="s">
        <v>2492</v>
      </c>
      <c r="D1865" s="8" t="s">
        <v>664</v>
      </c>
      <c r="E1865" s="8" t="s">
        <v>97</v>
      </c>
      <c r="F1865" s="23">
        <v>46167.390277777777</v>
      </c>
      <c r="G1865" s="8" t="s">
        <v>1045</v>
      </c>
      <c r="H1865" s="23">
        <v>46170</v>
      </c>
      <c r="I1865" s="23">
        <v>46167.390277777777</v>
      </c>
      <c r="J1865" s="10">
        <v>71.8</v>
      </c>
      <c r="K1865" s="10">
        <v>0</v>
      </c>
      <c r="L1865" s="24">
        <v>0</v>
      </c>
      <c r="M1865" s="10">
        <v>71.8</v>
      </c>
    </row>
    <row r="1866" spans="1:13" x14ac:dyDescent="0.25">
      <c r="A1866" s="12" t="str">
        <f t="shared" si="58"/>
        <v>5005294DANIELLE HEBERT CARVALHO PEREIRACT46164,3326388889</v>
      </c>
      <c r="B1866" s="12" t="str">
        <f t="shared" si="59"/>
        <v>Junho</v>
      </c>
      <c r="C1866" s="8" t="s">
        <v>2492</v>
      </c>
      <c r="D1866" s="8" t="s">
        <v>664</v>
      </c>
      <c r="E1866" s="8" t="s">
        <v>48</v>
      </c>
      <c r="F1866" s="23">
        <v>46164.332638888889</v>
      </c>
      <c r="G1866" s="8" t="s">
        <v>1035</v>
      </c>
      <c r="H1866" s="23">
        <v>46192</v>
      </c>
      <c r="I1866" s="23">
        <v>46164.332638888889</v>
      </c>
      <c r="J1866" s="10">
        <v>1615</v>
      </c>
      <c r="K1866" s="10">
        <v>0</v>
      </c>
      <c r="L1866" s="24">
        <v>0</v>
      </c>
      <c r="M1866" s="10">
        <v>1615</v>
      </c>
    </row>
    <row r="1867" spans="1:13" x14ac:dyDescent="0.25">
      <c r="A1867" s="12" t="str">
        <f t="shared" si="58"/>
        <v>5005295JORGE MARTINS BORGES JUNIORRCB46175,4909722222</v>
      </c>
      <c r="B1867" s="12" t="str">
        <f t="shared" si="59"/>
        <v>Junho</v>
      </c>
      <c r="C1867" s="8" t="s">
        <v>2528</v>
      </c>
      <c r="D1867" s="8" t="s">
        <v>664</v>
      </c>
      <c r="E1867" s="8" t="s">
        <v>97</v>
      </c>
      <c r="F1867" s="23">
        <v>46175.490972222222</v>
      </c>
      <c r="G1867" s="8" t="s">
        <v>1045</v>
      </c>
      <c r="H1867" s="23">
        <v>46178</v>
      </c>
      <c r="I1867" s="23">
        <v>46175.490972222222</v>
      </c>
      <c r="J1867" s="10">
        <v>54.42</v>
      </c>
      <c r="K1867" s="10">
        <v>0</v>
      </c>
      <c r="L1867" s="24">
        <v>0</v>
      </c>
      <c r="M1867" s="10">
        <v>54.42</v>
      </c>
    </row>
    <row r="1868" spans="1:13" x14ac:dyDescent="0.25">
      <c r="A1868" s="12" t="str">
        <f t="shared" si="58"/>
        <v>5005295BRUNO RIBEIRO DOMINGUESCT46164,3333333333</v>
      </c>
      <c r="B1868" s="12" t="str">
        <f t="shared" si="59"/>
        <v>Junho</v>
      </c>
      <c r="C1868" s="8" t="s">
        <v>2528</v>
      </c>
      <c r="D1868" s="8" t="s">
        <v>664</v>
      </c>
      <c r="E1868" s="8" t="s">
        <v>32</v>
      </c>
      <c r="F1868" s="23">
        <v>46164.333333333336</v>
      </c>
      <c r="G1868" s="8" t="s">
        <v>1035</v>
      </c>
      <c r="H1868" s="23">
        <v>46181</v>
      </c>
      <c r="I1868" s="23">
        <v>46164.333333333336</v>
      </c>
      <c r="J1868" s="10">
        <v>1522</v>
      </c>
      <c r="K1868" s="10">
        <v>0</v>
      </c>
      <c r="L1868" s="24">
        <v>0</v>
      </c>
      <c r="M1868" s="10">
        <v>1522</v>
      </c>
    </row>
    <row r="1869" spans="1:13" x14ac:dyDescent="0.25">
      <c r="A1869" s="12" t="str">
        <f t="shared" si="58"/>
        <v>5005296BRUNO RIBEIRO DOMINGUESRCB46167,3930555556</v>
      </c>
      <c r="B1869" s="12" t="str">
        <f t="shared" si="59"/>
        <v>Maio</v>
      </c>
      <c r="C1869" s="8" t="s">
        <v>2493</v>
      </c>
      <c r="D1869" s="8" t="s">
        <v>664</v>
      </c>
      <c r="E1869" s="8" t="s">
        <v>32</v>
      </c>
      <c r="F1869" s="23">
        <v>46167.393055555556</v>
      </c>
      <c r="G1869" s="8" t="s">
        <v>1045</v>
      </c>
      <c r="H1869" s="23">
        <v>46170</v>
      </c>
      <c r="I1869" s="23">
        <v>46167.393055555556</v>
      </c>
      <c r="J1869" s="10">
        <v>22.8</v>
      </c>
      <c r="K1869" s="10">
        <v>0</v>
      </c>
      <c r="L1869" s="24">
        <v>0</v>
      </c>
      <c r="M1869" s="10">
        <v>22.8</v>
      </c>
    </row>
    <row r="1870" spans="1:13" x14ac:dyDescent="0.25">
      <c r="A1870" s="12" t="str">
        <f t="shared" si="58"/>
        <v>5005296JAIME GOMES PARAGUAICT46164,3347222222</v>
      </c>
      <c r="B1870" s="12" t="str">
        <f t="shared" si="59"/>
        <v>Junho</v>
      </c>
      <c r="C1870" s="8" t="s">
        <v>2493</v>
      </c>
      <c r="D1870" s="8" t="s">
        <v>664</v>
      </c>
      <c r="E1870" s="8" t="s">
        <v>87</v>
      </c>
      <c r="F1870" s="23">
        <v>46164.334722222222</v>
      </c>
      <c r="G1870" s="8" t="s">
        <v>1035</v>
      </c>
      <c r="H1870" s="23">
        <v>46181</v>
      </c>
      <c r="I1870" s="23">
        <v>46164.334722222222</v>
      </c>
      <c r="J1870" s="10">
        <v>941</v>
      </c>
      <c r="K1870" s="10">
        <v>0</v>
      </c>
      <c r="L1870" s="24">
        <v>0</v>
      </c>
      <c r="M1870" s="10">
        <v>941</v>
      </c>
    </row>
    <row r="1871" spans="1:13" x14ac:dyDescent="0.25">
      <c r="A1871" s="12" t="str">
        <f t="shared" si="58"/>
        <v>5005297MAGNO APARECIDO DE JESUSCT46164,3423611111</v>
      </c>
      <c r="B1871" s="12" t="str">
        <f t="shared" si="59"/>
        <v>Junho</v>
      </c>
      <c r="C1871" s="8" t="s">
        <v>2559</v>
      </c>
      <c r="D1871" s="8" t="s">
        <v>664</v>
      </c>
      <c r="E1871" s="8" t="s">
        <v>115</v>
      </c>
      <c r="F1871" s="23">
        <v>46164.342361111114</v>
      </c>
      <c r="G1871" s="8" t="s">
        <v>1035</v>
      </c>
      <c r="H1871" s="23">
        <v>46181</v>
      </c>
      <c r="I1871" s="23">
        <v>46164.342361111114</v>
      </c>
      <c r="J1871" s="10">
        <v>3823</v>
      </c>
      <c r="K1871" s="10">
        <v>0</v>
      </c>
      <c r="L1871" s="24">
        <v>0</v>
      </c>
      <c r="M1871" s="10">
        <v>3823</v>
      </c>
    </row>
    <row r="1872" spans="1:13" x14ac:dyDescent="0.25">
      <c r="A1872" s="12" t="str">
        <f t="shared" si="58"/>
        <v>5005298MAGNO APARECIDO DE JESUSRCB46170,6076388889</v>
      </c>
      <c r="B1872" s="12" t="str">
        <f t="shared" si="59"/>
        <v>Junho</v>
      </c>
      <c r="C1872" s="8" t="s">
        <v>2508</v>
      </c>
      <c r="D1872" s="8" t="s">
        <v>664</v>
      </c>
      <c r="E1872" s="8" t="s">
        <v>115</v>
      </c>
      <c r="F1872" s="23">
        <v>46170.607638888891</v>
      </c>
      <c r="G1872" s="8" t="s">
        <v>1045</v>
      </c>
      <c r="H1872" s="23">
        <v>46175</v>
      </c>
      <c r="I1872" s="23">
        <v>46170.607638888891</v>
      </c>
      <c r="J1872" s="10">
        <v>204</v>
      </c>
      <c r="K1872" s="10">
        <v>0</v>
      </c>
      <c r="L1872" s="24">
        <v>0</v>
      </c>
      <c r="M1872" s="10">
        <v>204</v>
      </c>
    </row>
    <row r="1873" spans="1:13" x14ac:dyDescent="0.25">
      <c r="A1873" s="12" t="str">
        <f t="shared" si="58"/>
        <v>5005298ANTONIO CARLOS DA COSTACT46164,3479166667</v>
      </c>
      <c r="B1873" s="12" t="str">
        <f t="shared" si="59"/>
        <v>Junho</v>
      </c>
      <c r="C1873" s="8" t="s">
        <v>2508</v>
      </c>
      <c r="D1873" s="8" t="s">
        <v>664</v>
      </c>
      <c r="E1873" s="8" t="s">
        <v>19</v>
      </c>
      <c r="F1873" s="23">
        <v>46164.347916666666</v>
      </c>
      <c r="G1873" s="8" t="s">
        <v>1035</v>
      </c>
      <c r="H1873" s="23">
        <v>46181</v>
      </c>
      <c r="I1873" s="23">
        <v>46164.347916666666</v>
      </c>
      <c r="J1873" s="10">
        <v>1036</v>
      </c>
      <c r="K1873" s="10">
        <v>0</v>
      </c>
      <c r="L1873" s="24">
        <v>0</v>
      </c>
      <c r="M1873" s="10">
        <v>1036</v>
      </c>
    </row>
    <row r="1874" spans="1:13" x14ac:dyDescent="0.25">
      <c r="A1874" s="12" t="str">
        <f t="shared" si="58"/>
        <v>5005299ARTUR SILVA VIANACT46164,3493055556</v>
      </c>
      <c r="B1874" s="12" t="str">
        <f t="shared" si="59"/>
        <v>Junho</v>
      </c>
      <c r="C1874" s="8" t="s">
        <v>2560</v>
      </c>
      <c r="D1874" s="8" t="s">
        <v>664</v>
      </c>
      <c r="E1874" s="8" t="s">
        <v>1429</v>
      </c>
      <c r="F1874" s="23">
        <v>46164.349305555559</v>
      </c>
      <c r="G1874" s="8" t="s">
        <v>1035</v>
      </c>
      <c r="H1874" s="23">
        <v>46181</v>
      </c>
      <c r="I1874" s="23">
        <v>46164.349305555559</v>
      </c>
      <c r="J1874" s="10">
        <v>700</v>
      </c>
      <c r="K1874" s="10">
        <v>0</v>
      </c>
      <c r="L1874" s="24">
        <v>0</v>
      </c>
      <c r="M1874" s="10">
        <v>700</v>
      </c>
    </row>
    <row r="1875" spans="1:13" x14ac:dyDescent="0.25">
      <c r="A1875" s="12" t="str">
        <f t="shared" si="58"/>
        <v>5005300ARTUR SILVA VIANARCB46170,6083333333</v>
      </c>
      <c r="B1875" s="12" t="str">
        <f t="shared" si="59"/>
        <v>Junho</v>
      </c>
      <c r="C1875" s="8" t="s">
        <v>2509</v>
      </c>
      <c r="D1875" s="8" t="s">
        <v>664</v>
      </c>
      <c r="E1875" s="8" t="s">
        <v>1429</v>
      </c>
      <c r="F1875" s="23">
        <v>46170.60833333333</v>
      </c>
      <c r="G1875" s="8" t="s">
        <v>1045</v>
      </c>
      <c r="H1875" s="23">
        <v>46175</v>
      </c>
      <c r="I1875" s="23">
        <v>46170.60833333333</v>
      </c>
      <c r="J1875" s="10">
        <v>49.9</v>
      </c>
      <c r="K1875" s="10">
        <v>0</v>
      </c>
      <c r="L1875" s="24">
        <v>0</v>
      </c>
      <c r="M1875" s="10">
        <v>49.9</v>
      </c>
    </row>
    <row r="1876" spans="1:13" x14ac:dyDescent="0.25">
      <c r="A1876" s="12" t="str">
        <f t="shared" si="58"/>
        <v>5005300RAISSA DE CARVALHO FIORINECT46164,35</v>
      </c>
      <c r="B1876" s="12" t="str">
        <f t="shared" si="59"/>
        <v>Junho</v>
      </c>
      <c r="C1876" s="8" t="s">
        <v>2509</v>
      </c>
      <c r="D1876" s="8" t="s">
        <v>664</v>
      </c>
      <c r="E1876" s="8" t="s">
        <v>163</v>
      </c>
      <c r="F1876" s="23">
        <v>46164.35</v>
      </c>
      <c r="G1876" s="8" t="s">
        <v>1035</v>
      </c>
      <c r="H1876" s="23">
        <v>46181</v>
      </c>
      <c r="I1876" s="23">
        <v>46164.35</v>
      </c>
      <c r="J1876" s="10">
        <v>385</v>
      </c>
      <c r="K1876" s="10">
        <v>0</v>
      </c>
      <c r="L1876" s="24">
        <v>0</v>
      </c>
      <c r="M1876" s="10">
        <v>385</v>
      </c>
    </row>
    <row r="1877" spans="1:13" x14ac:dyDescent="0.25">
      <c r="A1877" s="12" t="str">
        <f t="shared" si="58"/>
        <v>5005301RAISSA DE CARVALHO FIORINERCB46181,4659722222</v>
      </c>
      <c r="B1877" s="12" t="str">
        <f t="shared" si="59"/>
        <v>Junho</v>
      </c>
      <c r="C1877" s="8" t="s">
        <v>2561</v>
      </c>
      <c r="D1877" s="8" t="s">
        <v>664</v>
      </c>
      <c r="E1877" s="8" t="s">
        <v>163</v>
      </c>
      <c r="F1877" s="23">
        <v>46181.46597222222</v>
      </c>
      <c r="G1877" s="8" t="s">
        <v>1045</v>
      </c>
      <c r="H1877" s="23">
        <v>46184</v>
      </c>
      <c r="I1877" s="23">
        <v>46181.46597222222</v>
      </c>
      <c r="J1877" s="10">
        <v>147</v>
      </c>
      <c r="K1877" s="10">
        <v>0</v>
      </c>
      <c r="L1877" s="24">
        <v>0</v>
      </c>
      <c r="M1877" s="10">
        <v>147</v>
      </c>
    </row>
    <row r="1878" spans="1:13" x14ac:dyDescent="0.25">
      <c r="A1878" s="12" t="str">
        <f t="shared" si="58"/>
        <v>5005301BRUNO HENRIQUE DA SILVACT46164,3513888889</v>
      </c>
      <c r="B1878" s="12" t="str">
        <f t="shared" si="59"/>
        <v>Junho</v>
      </c>
      <c r="C1878" s="8" t="s">
        <v>2561</v>
      </c>
      <c r="D1878" s="8" t="s">
        <v>664</v>
      </c>
      <c r="E1878" s="8" t="s">
        <v>29</v>
      </c>
      <c r="F1878" s="23">
        <v>46164.351388888892</v>
      </c>
      <c r="G1878" s="8" t="s">
        <v>1035</v>
      </c>
      <c r="H1878" s="23">
        <v>46181</v>
      </c>
      <c r="I1878" s="23">
        <v>46164.351388888892</v>
      </c>
      <c r="J1878" s="10">
        <v>457</v>
      </c>
      <c r="K1878" s="10">
        <v>0</v>
      </c>
      <c r="L1878" s="24">
        <v>0</v>
      </c>
      <c r="M1878" s="10">
        <v>457</v>
      </c>
    </row>
    <row r="1879" spans="1:13" x14ac:dyDescent="0.25">
      <c r="A1879" s="12" t="str">
        <f t="shared" si="58"/>
        <v>5005302MARCELO MARTINS DE OLIVEIRACT46164,3520833333</v>
      </c>
      <c r="B1879" s="12" t="str">
        <f t="shared" si="59"/>
        <v>Junho</v>
      </c>
      <c r="C1879" s="8" t="s">
        <v>2562</v>
      </c>
      <c r="D1879" s="8" t="s">
        <v>664</v>
      </c>
      <c r="E1879" s="8" t="s">
        <v>121</v>
      </c>
      <c r="F1879" s="23">
        <v>46164.352083333331</v>
      </c>
      <c r="G1879" s="8" t="s">
        <v>1035</v>
      </c>
      <c r="H1879" s="23">
        <v>46181</v>
      </c>
      <c r="I1879" s="23">
        <v>46164.352083333331</v>
      </c>
      <c r="J1879" s="10">
        <v>867</v>
      </c>
      <c r="K1879" s="10">
        <v>0</v>
      </c>
      <c r="L1879" s="24">
        <v>0</v>
      </c>
      <c r="M1879" s="10">
        <v>867</v>
      </c>
    </row>
    <row r="1880" spans="1:13" x14ac:dyDescent="0.25">
      <c r="A1880" s="12" t="str">
        <f t="shared" si="58"/>
        <v>5005303MARCELO MARTINS DE OLIVEIRARCB46175,49375</v>
      </c>
      <c r="B1880" s="12" t="str">
        <f t="shared" si="59"/>
        <v>Junho</v>
      </c>
      <c r="C1880" s="8" t="s">
        <v>2529</v>
      </c>
      <c r="D1880" s="8" t="s">
        <v>664</v>
      </c>
      <c r="E1880" s="8" t="s">
        <v>121</v>
      </c>
      <c r="F1880" s="23">
        <v>46175.493750000001</v>
      </c>
      <c r="G1880" s="8" t="s">
        <v>1045</v>
      </c>
      <c r="H1880" s="23">
        <v>46178</v>
      </c>
      <c r="I1880" s="23">
        <v>46175.493750000001</v>
      </c>
      <c r="J1880" s="10">
        <v>30.5</v>
      </c>
      <c r="K1880" s="10">
        <v>0</v>
      </c>
      <c r="L1880" s="24">
        <v>0</v>
      </c>
      <c r="M1880" s="10">
        <v>30.5</v>
      </c>
    </row>
    <row r="1881" spans="1:13" x14ac:dyDescent="0.25">
      <c r="A1881" s="12" t="str">
        <f t="shared" si="58"/>
        <v>5005303KARINE KEILE DA SILVA BRAGACT46164,3534722222</v>
      </c>
      <c r="B1881" s="12" t="str">
        <f t="shared" si="59"/>
        <v>Junho</v>
      </c>
      <c r="C1881" s="8" t="s">
        <v>2529</v>
      </c>
      <c r="D1881" s="8" t="s">
        <v>664</v>
      </c>
      <c r="E1881" s="8" t="s">
        <v>1570</v>
      </c>
      <c r="F1881" s="23">
        <v>46164.353472222225</v>
      </c>
      <c r="G1881" s="8" t="s">
        <v>1035</v>
      </c>
      <c r="H1881" s="23">
        <v>46181</v>
      </c>
      <c r="I1881" s="23">
        <v>46164.353472222225</v>
      </c>
      <c r="J1881" s="10">
        <v>850</v>
      </c>
      <c r="K1881" s="10">
        <v>0</v>
      </c>
      <c r="L1881" s="24">
        <v>0</v>
      </c>
      <c r="M1881" s="10">
        <v>850</v>
      </c>
    </row>
    <row r="1882" spans="1:13" x14ac:dyDescent="0.25">
      <c r="A1882" s="12" t="str">
        <f t="shared" si="58"/>
        <v>5005304MARCELO MARTINS DE OLIVEIRARCB46181,4618055556</v>
      </c>
      <c r="B1882" s="12" t="str">
        <f t="shared" si="59"/>
        <v>Junho</v>
      </c>
      <c r="C1882" s="8" t="s">
        <v>2563</v>
      </c>
      <c r="D1882" s="8" t="s">
        <v>664</v>
      </c>
      <c r="E1882" s="8" t="s">
        <v>121</v>
      </c>
      <c r="F1882" s="23">
        <v>46181.461805555555</v>
      </c>
      <c r="G1882" s="8" t="s">
        <v>1045</v>
      </c>
      <c r="H1882" s="23">
        <v>46184</v>
      </c>
      <c r="I1882" s="23">
        <v>46181.461805555555</v>
      </c>
      <c r="J1882" s="10">
        <v>22</v>
      </c>
      <c r="K1882" s="10">
        <v>0</v>
      </c>
      <c r="L1882" s="24">
        <v>0</v>
      </c>
      <c r="M1882" s="10">
        <v>22</v>
      </c>
    </row>
    <row r="1883" spans="1:13" x14ac:dyDescent="0.25">
      <c r="A1883" s="12" t="str">
        <f t="shared" si="58"/>
        <v>5005304NATANIELLE SILVA DE SOUZA MARQUESCT46164,3576388889</v>
      </c>
      <c r="B1883" s="12" t="str">
        <f t="shared" si="59"/>
        <v>Junho</v>
      </c>
      <c r="C1883" s="8" t="s">
        <v>2563</v>
      </c>
      <c r="D1883" s="8" t="s">
        <v>664</v>
      </c>
      <c r="E1883" s="8" t="s">
        <v>135</v>
      </c>
      <c r="F1883" s="23">
        <v>46164.357638888891</v>
      </c>
      <c r="G1883" s="8" t="s">
        <v>1035</v>
      </c>
      <c r="H1883" s="23">
        <v>46181</v>
      </c>
      <c r="I1883" s="23">
        <v>46164.357638888891</v>
      </c>
      <c r="J1883" s="10">
        <v>1649</v>
      </c>
      <c r="K1883" s="10">
        <v>0</v>
      </c>
      <c r="L1883" s="24">
        <v>0</v>
      </c>
      <c r="M1883" s="10">
        <v>1649</v>
      </c>
    </row>
    <row r="1884" spans="1:13" x14ac:dyDescent="0.25">
      <c r="A1884" s="12" t="str">
        <f t="shared" si="58"/>
        <v>5005305JOSE ANTONIO SILVACT46164,3590277778</v>
      </c>
      <c r="B1884" s="12" t="str">
        <f t="shared" si="59"/>
        <v>Junho</v>
      </c>
      <c r="C1884" s="8" t="s">
        <v>2565</v>
      </c>
      <c r="D1884" s="8" t="s">
        <v>664</v>
      </c>
      <c r="E1884" s="8" t="s">
        <v>99</v>
      </c>
      <c r="F1884" s="23">
        <v>46164.359027777777</v>
      </c>
      <c r="G1884" s="8" t="s">
        <v>1035</v>
      </c>
      <c r="H1884" s="23">
        <v>46181</v>
      </c>
      <c r="I1884" s="23">
        <v>46164.359027777777</v>
      </c>
      <c r="J1884" s="10">
        <v>1156</v>
      </c>
      <c r="K1884" s="10">
        <v>0</v>
      </c>
      <c r="L1884" s="24">
        <v>0</v>
      </c>
      <c r="M1884" s="10">
        <v>1156</v>
      </c>
    </row>
    <row r="1885" spans="1:13" x14ac:dyDescent="0.25">
      <c r="A1885" s="12" t="str">
        <f t="shared" si="58"/>
        <v>5005306DIOGO BONELA TONHACT46164,3597222222</v>
      </c>
      <c r="B1885" s="12" t="str">
        <f t="shared" si="59"/>
        <v>Junho</v>
      </c>
      <c r="C1885" s="8" t="s">
        <v>2566</v>
      </c>
      <c r="D1885" s="8" t="s">
        <v>664</v>
      </c>
      <c r="E1885" s="8" t="s">
        <v>52</v>
      </c>
      <c r="F1885" s="23">
        <v>46164.359722222223</v>
      </c>
      <c r="G1885" s="8" t="s">
        <v>1035</v>
      </c>
      <c r="H1885" s="23">
        <v>46181</v>
      </c>
      <c r="I1885" s="23">
        <v>46164.359722222223</v>
      </c>
      <c r="J1885" s="10">
        <v>385</v>
      </c>
      <c r="K1885" s="10">
        <v>0</v>
      </c>
      <c r="L1885" s="24">
        <v>0</v>
      </c>
      <c r="M1885" s="10">
        <v>385</v>
      </c>
    </row>
    <row r="1886" spans="1:13" x14ac:dyDescent="0.25">
      <c r="A1886" s="12" t="str">
        <f t="shared" si="58"/>
        <v>5005307BRENDA LUIZA PEREIRACT46164,3604166667</v>
      </c>
      <c r="B1886" s="12" t="str">
        <f t="shared" si="59"/>
        <v>Junho</v>
      </c>
      <c r="C1886" s="8" t="s">
        <v>2567</v>
      </c>
      <c r="D1886" s="8" t="s">
        <v>664</v>
      </c>
      <c r="E1886" s="8" t="s">
        <v>28</v>
      </c>
      <c r="F1886" s="23">
        <v>46164.36041666667</v>
      </c>
      <c r="G1886" s="8" t="s">
        <v>1035</v>
      </c>
      <c r="H1886" s="23">
        <v>46181</v>
      </c>
      <c r="I1886" s="23">
        <v>46164.36041666667</v>
      </c>
      <c r="J1886" s="10">
        <v>3040</v>
      </c>
      <c r="K1886" s="10">
        <v>0</v>
      </c>
      <c r="L1886" s="24">
        <v>0</v>
      </c>
      <c r="M1886" s="10">
        <v>3040</v>
      </c>
    </row>
    <row r="1887" spans="1:13" x14ac:dyDescent="0.25">
      <c r="A1887" s="12" t="str">
        <f t="shared" si="58"/>
        <v>5005308ADRIANO LIANDO DE SOUZACT46164,3611111111</v>
      </c>
      <c r="B1887" s="12" t="str">
        <f t="shared" si="59"/>
        <v>Junho</v>
      </c>
      <c r="C1887" s="8" t="s">
        <v>2568</v>
      </c>
      <c r="D1887" s="8" t="s">
        <v>664</v>
      </c>
      <c r="E1887" s="8" t="s">
        <v>2073</v>
      </c>
      <c r="F1887" s="23">
        <v>46164.361111111109</v>
      </c>
      <c r="G1887" s="8" t="s">
        <v>1035</v>
      </c>
      <c r="H1887" s="23">
        <v>46181</v>
      </c>
      <c r="I1887" s="23">
        <v>46164.361111111109</v>
      </c>
      <c r="J1887" s="10">
        <v>444</v>
      </c>
      <c r="K1887" s="10">
        <v>0</v>
      </c>
      <c r="L1887" s="24">
        <v>0</v>
      </c>
      <c r="M1887" s="10">
        <v>444</v>
      </c>
    </row>
    <row r="1888" spans="1:13" x14ac:dyDescent="0.25">
      <c r="A1888" s="12" t="str">
        <f t="shared" si="58"/>
        <v>5005309JOHNSON RAMOS DE CARVALHOCT46164,3625</v>
      </c>
      <c r="B1888" s="12" t="str">
        <f t="shared" si="59"/>
        <v>Junho</v>
      </c>
      <c r="C1888" s="8" t="s">
        <v>2569</v>
      </c>
      <c r="D1888" s="8" t="s">
        <v>664</v>
      </c>
      <c r="E1888" s="8" t="s">
        <v>94</v>
      </c>
      <c r="F1888" s="23">
        <v>46164.362500000003</v>
      </c>
      <c r="G1888" s="8" t="s">
        <v>1035</v>
      </c>
      <c r="H1888" s="23">
        <v>46181</v>
      </c>
      <c r="I1888" s="23">
        <v>46164.362500000003</v>
      </c>
      <c r="J1888" s="10">
        <v>350</v>
      </c>
      <c r="K1888" s="10">
        <v>0</v>
      </c>
      <c r="L1888" s="24">
        <v>0</v>
      </c>
      <c r="M1888" s="10">
        <v>350</v>
      </c>
    </row>
    <row r="1889" spans="1:13" x14ac:dyDescent="0.25">
      <c r="A1889" s="12" t="str">
        <f t="shared" si="58"/>
        <v>5005310JOHNSON RAMOS DE CARVALHORCB46175,4888888889</v>
      </c>
      <c r="B1889" s="12" t="str">
        <f t="shared" si="59"/>
        <v>Junho</v>
      </c>
      <c r="C1889" s="8" t="s">
        <v>2530</v>
      </c>
      <c r="D1889" s="8" t="s">
        <v>664</v>
      </c>
      <c r="E1889" s="8" t="s">
        <v>94</v>
      </c>
      <c r="F1889" s="23">
        <v>46175.488888888889</v>
      </c>
      <c r="G1889" s="8" t="s">
        <v>1045</v>
      </c>
      <c r="H1889" s="23">
        <v>46178</v>
      </c>
      <c r="I1889" s="23">
        <v>46175.488888888889</v>
      </c>
      <c r="J1889" s="10">
        <v>15.8</v>
      </c>
      <c r="K1889" s="10">
        <v>0</v>
      </c>
      <c r="L1889" s="24">
        <v>0</v>
      </c>
      <c r="M1889" s="10">
        <v>15.8</v>
      </c>
    </row>
    <row r="1890" spans="1:13" x14ac:dyDescent="0.25">
      <c r="A1890" s="12" t="str">
        <f t="shared" si="58"/>
        <v>5005310RENILSON DIAS DE BRITOCT46164,3972222222</v>
      </c>
      <c r="B1890" s="12" t="str">
        <f t="shared" si="59"/>
        <v>Junho</v>
      </c>
      <c r="C1890" s="8" t="s">
        <v>2530</v>
      </c>
      <c r="D1890" s="8" t="s">
        <v>664</v>
      </c>
      <c r="E1890" s="8" t="s">
        <v>1383</v>
      </c>
      <c r="F1890" s="23">
        <v>46164.397222222222</v>
      </c>
      <c r="G1890" s="8" t="s">
        <v>1035</v>
      </c>
      <c r="H1890" s="23">
        <v>46181</v>
      </c>
      <c r="I1890" s="23">
        <v>46164.397222222222</v>
      </c>
      <c r="J1890" s="10">
        <v>350</v>
      </c>
      <c r="K1890" s="10">
        <v>0</v>
      </c>
      <c r="L1890" s="24">
        <v>0</v>
      </c>
      <c r="M1890" s="10">
        <v>350</v>
      </c>
    </row>
    <row r="1891" spans="1:13" x14ac:dyDescent="0.25">
      <c r="A1891" s="12" t="str">
        <f t="shared" si="58"/>
        <v>5005311FABIO LUIZ TEIXEIRA DE ARRUDACT46164,3972222222</v>
      </c>
      <c r="B1891" s="12" t="str">
        <f t="shared" si="59"/>
        <v>Junho</v>
      </c>
      <c r="C1891" s="8" t="s">
        <v>2550</v>
      </c>
      <c r="D1891" s="8" t="s">
        <v>664</v>
      </c>
      <c r="E1891" s="8" t="s">
        <v>1520</v>
      </c>
      <c r="F1891" s="23">
        <v>46164.397222222222</v>
      </c>
      <c r="G1891" s="8" t="s">
        <v>1035</v>
      </c>
      <c r="H1891" s="23">
        <v>46181</v>
      </c>
      <c r="I1891" s="23">
        <v>46164.397222222222</v>
      </c>
      <c r="J1891" s="10">
        <v>2005</v>
      </c>
      <c r="K1891" s="10">
        <v>0</v>
      </c>
      <c r="L1891" s="24">
        <v>0</v>
      </c>
      <c r="M1891" s="10">
        <v>2005</v>
      </c>
    </row>
    <row r="1892" spans="1:13" x14ac:dyDescent="0.25">
      <c r="A1892" s="12" t="str">
        <f t="shared" si="58"/>
        <v>5005311JOHNSON RAMOS DE CARVALHORCB46181,4611111111</v>
      </c>
      <c r="B1892" s="12" t="str">
        <f t="shared" si="59"/>
        <v>Junho</v>
      </c>
      <c r="C1892" s="8" t="s">
        <v>2550</v>
      </c>
      <c r="D1892" s="8" t="s">
        <v>664</v>
      </c>
      <c r="E1892" s="8" t="s">
        <v>94</v>
      </c>
      <c r="F1892" s="23">
        <v>46181.461111111108</v>
      </c>
      <c r="G1892" s="8" t="s">
        <v>1045</v>
      </c>
      <c r="H1892" s="23">
        <v>46184</v>
      </c>
      <c r="I1892" s="23">
        <v>46181.461111111108</v>
      </c>
      <c r="J1892" s="10">
        <v>15.8</v>
      </c>
      <c r="K1892" s="10">
        <v>0</v>
      </c>
      <c r="L1892" s="24">
        <v>0</v>
      </c>
      <c r="M1892" s="10">
        <v>15.8</v>
      </c>
    </row>
    <row r="1893" spans="1:13" x14ac:dyDescent="0.25">
      <c r="A1893" s="12" t="str">
        <f t="shared" si="58"/>
        <v>5005312VICTOR HUGO SILVA BALBINOCT46164,3979166667</v>
      </c>
      <c r="B1893" s="12" t="str">
        <f t="shared" si="59"/>
        <v>Junho</v>
      </c>
      <c r="C1893" s="8" t="s">
        <v>2551</v>
      </c>
      <c r="D1893" s="8" t="s">
        <v>664</v>
      </c>
      <c r="E1893" s="8" t="s">
        <v>198</v>
      </c>
      <c r="F1893" s="23">
        <v>46164.397916666669</v>
      </c>
      <c r="G1893" s="8" t="s">
        <v>1035</v>
      </c>
      <c r="H1893" s="23">
        <v>46181</v>
      </c>
      <c r="I1893" s="23">
        <v>46164.397916666669</v>
      </c>
      <c r="J1893" s="10">
        <v>385</v>
      </c>
      <c r="K1893" s="10">
        <v>0</v>
      </c>
      <c r="L1893" s="24">
        <v>0</v>
      </c>
      <c r="M1893" s="10">
        <v>385</v>
      </c>
    </row>
    <row r="1894" spans="1:13" x14ac:dyDescent="0.25">
      <c r="A1894" s="12" t="str">
        <f t="shared" si="58"/>
        <v>5005313VICTOR HUGO SILVA BALBINORCB46181,4701388889</v>
      </c>
      <c r="B1894" s="12" t="str">
        <f t="shared" si="59"/>
        <v>Junho</v>
      </c>
      <c r="C1894" s="8" t="s">
        <v>2552</v>
      </c>
      <c r="D1894" s="8" t="s">
        <v>664</v>
      </c>
      <c r="E1894" s="8" t="s">
        <v>198</v>
      </c>
      <c r="F1894" s="23">
        <v>46181.470138888886</v>
      </c>
      <c r="G1894" s="8" t="s">
        <v>1045</v>
      </c>
      <c r="H1894" s="23">
        <v>46184</v>
      </c>
      <c r="I1894" s="23">
        <v>46181.470138888886</v>
      </c>
      <c r="J1894" s="10">
        <v>15.5</v>
      </c>
      <c r="K1894" s="10">
        <v>0</v>
      </c>
      <c r="L1894" s="24">
        <v>0</v>
      </c>
      <c r="M1894" s="10">
        <v>15.5</v>
      </c>
    </row>
    <row r="1895" spans="1:13" x14ac:dyDescent="0.25">
      <c r="A1895" s="12" t="str">
        <f t="shared" si="58"/>
        <v>5005313ELIANA HENRIQUE MENDES BARBOSACT46164,3986111111</v>
      </c>
      <c r="B1895" s="12" t="str">
        <f t="shared" si="59"/>
        <v>Junho</v>
      </c>
      <c r="C1895" s="8" t="s">
        <v>2552</v>
      </c>
      <c r="D1895" s="8" t="s">
        <v>664</v>
      </c>
      <c r="E1895" s="8" t="s">
        <v>59</v>
      </c>
      <c r="F1895" s="23">
        <v>46164.398611111108</v>
      </c>
      <c r="G1895" s="8" t="s">
        <v>1035</v>
      </c>
      <c r="H1895" s="23">
        <v>46181</v>
      </c>
      <c r="I1895" s="23">
        <v>46164.398611111108</v>
      </c>
      <c r="J1895" s="10">
        <v>385</v>
      </c>
      <c r="K1895" s="10">
        <v>0</v>
      </c>
      <c r="L1895" s="24">
        <v>0</v>
      </c>
      <c r="M1895" s="10">
        <v>385</v>
      </c>
    </row>
    <row r="1896" spans="1:13" x14ac:dyDescent="0.25">
      <c r="A1896" s="12" t="str">
        <f t="shared" si="58"/>
        <v>5005314DANIELLE HEBERT CARVALHO PEREIRACT46166,7402777778</v>
      </c>
      <c r="B1896" s="12" t="str">
        <f t="shared" si="59"/>
        <v>Junho</v>
      </c>
      <c r="C1896" s="8" t="s">
        <v>2653</v>
      </c>
      <c r="D1896" s="8" t="s">
        <v>664</v>
      </c>
      <c r="E1896" s="8" t="s">
        <v>48</v>
      </c>
      <c r="F1896" s="23">
        <v>46166.740277777775</v>
      </c>
      <c r="G1896" s="8" t="s">
        <v>1035</v>
      </c>
      <c r="H1896" s="23">
        <v>46190</v>
      </c>
      <c r="I1896" s="23">
        <v>46166.740277777775</v>
      </c>
      <c r="J1896" s="10">
        <v>1</v>
      </c>
      <c r="K1896" s="10">
        <v>0</v>
      </c>
      <c r="L1896" s="24">
        <v>0</v>
      </c>
      <c r="M1896" s="10">
        <v>1</v>
      </c>
    </row>
    <row r="1897" spans="1:13" x14ac:dyDescent="0.25">
      <c r="A1897" s="12" t="str">
        <f t="shared" si="58"/>
        <v>5005318ELIANA HENRIQUE MENDES BARBOSACT46171,4826388889</v>
      </c>
      <c r="B1897" s="12" t="str">
        <f t="shared" si="59"/>
        <v>Junho</v>
      </c>
      <c r="C1897" s="8" t="s">
        <v>2621</v>
      </c>
      <c r="D1897" s="8" t="s">
        <v>664</v>
      </c>
      <c r="E1897" s="8" t="s">
        <v>59</v>
      </c>
      <c r="F1897" s="23">
        <v>46171.482638888891</v>
      </c>
      <c r="G1897" s="8" t="s">
        <v>1035</v>
      </c>
      <c r="H1897" s="23">
        <v>46189</v>
      </c>
      <c r="I1897" s="23">
        <v>46171.482638888891</v>
      </c>
      <c r="J1897" s="10">
        <v>385</v>
      </c>
      <c r="K1897" s="10">
        <v>0</v>
      </c>
      <c r="L1897" s="24">
        <v>0</v>
      </c>
      <c r="M1897" s="10">
        <v>385</v>
      </c>
    </row>
    <row r="1898" spans="1:13" x14ac:dyDescent="0.25">
      <c r="A1898" s="12" t="str">
        <f t="shared" si="58"/>
        <v>5005319RAFAEL RODRIGUES FARIACT46171,6215277778</v>
      </c>
      <c r="B1898" s="12" t="str">
        <f t="shared" si="59"/>
        <v>Junho</v>
      </c>
      <c r="C1898" s="8" t="s">
        <v>2651</v>
      </c>
      <c r="D1898" s="8" t="s">
        <v>664</v>
      </c>
      <c r="E1898" s="8" t="s">
        <v>162</v>
      </c>
      <c r="F1898" s="23">
        <v>46171.621527777781</v>
      </c>
      <c r="G1898" s="8" t="s">
        <v>1035</v>
      </c>
      <c r="H1898" s="23">
        <v>46190</v>
      </c>
      <c r="I1898" s="23">
        <v>46171.621527777781</v>
      </c>
      <c r="J1898" s="10">
        <v>385</v>
      </c>
      <c r="K1898" s="10">
        <v>0</v>
      </c>
      <c r="L1898" s="24">
        <v>0</v>
      </c>
      <c r="M1898" s="10">
        <v>385</v>
      </c>
    </row>
    <row r="1899" spans="1:13" x14ac:dyDescent="0.25">
      <c r="A1899" s="12" t="str">
        <f t="shared" si="58"/>
        <v>5005322DIOGO BONELA TONHACT46178,5097222222</v>
      </c>
      <c r="B1899" s="12" t="str">
        <f t="shared" si="59"/>
        <v>Junho</v>
      </c>
      <c r="C1899" s="8" t="s">
        <v>2645</v>
      </c>
      <c r="D1899" s="8" t="s">
        <v>664</v>
      </c>
      <c r="E1899" s="8" t="s">
        <v>52</v>
      </c>
      <c r="F1899" s="23">
        <v>46178.509722222225</v>
      </c>
      <c r="G1899" s="8" t="s">
        <v>1035</v>
      </c>
      <c r="H1899" s="23">
        <v>46189</v>
      </c>
      <c r="I1899" s="23">
        <v>46178.509722222225</v>
      </c>
      <c r="J1899" s="10">
        <v>385</v>
      </c>
      <c r="K1899" s="10">
        <v>0</v>
      </c>
      <c r="L1899" s="24">
        <v>0</v>
      </c>
      <c r="M1899" s="10">
        <v>385</v>
      </c>
    </row>
    <row r="1900" spans="1:13" x14ac:dyDescent="0.25">
      <c r="A1900" s="12" t="str">
        <f t="shared" si="58"/>
        <v>5005324RENILSON DIAS DE BRITOCT46181,9145833333</v>
      </c>
      <c r="B1900" s="12" t="str">
        <f t="shared" si="59"/>
        <v>Junho</v>
      </c>
      <c r="C1900" s="8" t="s">
        <v>2619</v>
      </c>
      <c r="D1900" s="8" t="s">
        <v>664</v>
      </c>
      <c r="E1900" s="8" t="s">
        <v>1383</v>
      </c>
      <c r="F1900" s="23">
        <v>46181.914583333331</v>
      </c>
      <c r="G1900" s="8" t="s">
        <v>1035</v>
      </c>
      <c r="H1900" s="23">
        <v>46189</v>
      </c>
      <c r="I1900" s="23">
        <v>46181.914583333331</v>
      </c>
      <c r="J1900" s="10">
        <v>1050</v>
      </c>
      <c r="K1900" s="10">
        <v>0</v>
      </c>
      <c r="L1900" s="24">
        <v>0</v>
      </c>
      <c r="M1900" s="10">
        <v>1050</v>
      </c>
    </row>
    <row r="1901" spans="1:13" x14ac:dyDescent="0.25">
      <c r="A1901" s="12" t="str">
        <f t="shared" si="58"/>
        <v>5005325VICTOR HUGO SILVA BALBINOCT46181,9201388889</v>
      </c>
      <c r="B1901" s="12" t="str">
        <f t="shared" si="59"/>
        <v>Junho</v>
      </c>
      <c r="C1901" s="8" t="s">
        <v>2620</v>
      </c>
      <c r="D1901" s="8" t="s">
        <v>664</v>
      </c>
      <c r="E1901" s="8" t="s">
        <v>198</v>
      </c>
      <c r="F1901" s="23">
        <v>46181.920138888891</v>
      </c>
      <c r="G1901" s="8" t="s">
        <v>1035</v>
      </c>
      <c r="H1901" s="23">
        <v>46189</v>
      </c>
      <c r="I1901" s="23">
        <v>46181.920138888891</v>
      </c>
      <c r="J1901" s="10">
        <v>1555</v>
      </c>
      <c r="K1901" s="10">
        <v>0</v>
      </c>
      <c r="L1901" s="24">
        <v>0</v>
      </c>
      <c r="M1901" s="10">
        <v>1555</v>
      </c>
    </row>
    <row r="1902" spans="1:13" x14ac:dyDescent="0.25">
      <c r="A1902" s="12" t="str">
        <f t="shared" si="58"/>
        <v>5005326ELIANA HENRIQUE MENDES BARBOSACT46181,9236111111</v>
      </c>
      <c r="B1902" s="12" t="str">
        <f t="shared" si="59"/>
        <v>Junho</v>
      </c>
      <c r="C1902" s="8" t="s">
        <v>2622</v>
      </c>
      <c r="D1902" s="8" t="s">
        <v>664</v>
      </c>
      <c r="E1902" s="8" t="s">
        <v>59</v>
      </c>
      <c r="F1902" s="23">
        <v>46181.923611111109</v>
      </c>
      <c r="G1902" s="8" t="s">
        <v>1035</v>
      </c>
      <c r="H1902" s="23">
        <v>46189</v>
      </c>
      <c r="I1902" s="23">
        <v>46181.923611111109</v>
      </c>
      <c r="J1902" s="10">
        <v>1599</v>
      </c>
      <c r="K1902" s="10">
        <v>0</v>
      </c>
      <c r="L1902" s="24">
        <v>0</v>
      </c>
      <c r="M1902" s="10">
        <v>1599</v>
      </c>
    </row>
    <row r="1903" spans="1:13" x14ac:dyDescent="0.25">
      <c r="A1903" s="12" t="str">
        <f t="shared" si="58"/>
        <v>5005326VICTOR HUGO SILVA BALBINORCB46204,3930555556</v>
      </c>
      <c r="B1903" s="12" t="str">
        <f t="shared" si="59"/>
        <v>Julho</v>
      </c>
      <c r="C1903" s="8" t="s">
        <v>2622</v>
      </c>
      <c r="D1903" s="8" t="s">
        <v>664</v>
      </c>
      <c r="E1903" s="8" t="s">
        <v>198</v>
      </c>
      <c r="F1903" s="23">
        <v>46204.393055555556</v>
      </c>
      <c r="G1903" s="8" t="s">
        <v>1045</v>
      </c>
      <c r="H1903" s="23">
        <v>46209</v>
      </c>
      <c r="I1903" s="23">
        <v>46204.393055555556</v>
      </c>
      <c r="J1903" s="10">
        <v>19.399999999999999</v>
      </c>
      <c r="K1903" s="10">
        <v>0</v>
      </c>
      <c r="L1903" s="24">
        <v>0</v>
      </c>
      <c r="M1903" s="10">
        <v>19.399999999999999</v>
      </c>
    </row>
    <row r="1904" spans="1:13" x14ac:dyDescent="0.25">
      <c r="A1904" s="12" t="str">
        <f t="shared" si="58"/>
        <v>5005327RAFAEL RODRIGUES FARIACT46181,9340277778</v>
      </c>
      <c r="B1904" s="12" t="str">
        <f t="shared" si="59"/>
        <v>Junho</v>
      </c>
      <c r="C1904" s="8" t="s">
        <v>2652</v>
      </c>
      <c r="D1904" s="8" t="s">
        <v>664</v>
      </c>
      <c r="E1904" s="8" t="s">
        <v>162</v>
      </c>
      <c r="F1904" s="23">
        <v>46181.934027777781</v>
      </c>
      <c r="G1904" s="8" t="s">
        <v>1035</v>
      </c>
      <c r="H1904" s="23">
        <v>46190</v>
      </c>
      <c r="I1904" s="23">
        <v>46181.934027777781</v>
      </c>
      <c r="J1904" s="10">
        <v>1636</v>
      </c>
      <c r="K1904" s="10">
        <v>0</v>
      </c>
      <c r="L1904" s="24">
        <v>0</v>
      </c>
      <c r="M1904" s="10">
        <v>1636</v>
      </c>
    </row>
    <row r="1905" spans="1:13" x14ac:dyDescent="0.25">
      <c r="A1905" s="12" t="str">
        <f t="shared" si="58"/>
        <v>5005327VICTOR HUGO SILVA BALBINORCB46210,4409722222</v>
      </c>
      <c r="B1905" s="12" t="str">
        <f t="shared" si="59"/>
        <v>Julho</v>
      </c>
      <c r="C1905" s="8" t="s">
        <v>2652</v>
      </c>
      <c r="D1905" s="8" t="s">
        <v>664</v>
      </c>
      <c r="E1905" s="8" t="s">
        <v>198</v>
      </c>
      <c r="F1905" s="23">
        <v>46210.440972222219</v>
      </c>
      <c r="G1905" s="8" t="s">
        <v>1045</v>
      </c>
      <c r="H1905" s="23">
        <v>46213</v>
      </c>
      <c r="I1905" s="23">
        <v>46210.440972222219</v>
      </c>
      <c r="J1905" s="10">
        <v>84.9</v>
      </c>
      <c r="K1905" s="10">
        <v>0</v>
      </c>
      <c r="L1905" s="24">
        <v>0</v>
      </c>
      <c r="M1905" s="10">
        <v>84.9</v>
      </c>
    </row>
    <row r="1906" spans="1:13" x14ac:dyDescent="0.25">
      <c r="A1906" s="12" t="str">
        <f t="shared" si="58"/>
        <v>5005328CRISTIAN ALVES MOREIRACT46181,9368055556</v>
      </c>
      <c r="B1906" s="12" t="str">
        <f t="shared" si="59"/>
        <v>Junho</v>
      </c>
      <c r="C1906" s="8" t="s">
        <v>2623</v>
      </c>
      <c r="D1906" s="8" t="s">
        <v>664</v>
      </c>
      <c r="E1906" s="8" t="s">
        <v>46</v>
      </c>
      <c r="F1906" s="23">
        <v>46181.936805555553</v>
      </c>
      <c r="G1906" s="8" t="s">
        <v>1035</v>
      </c>
      <c r="H1906" s="23">
        <v>46189</v>
      </c>
      <c r="I1906" s="23">
        <v>46181.936805555553</v>
      </c>
      <c r="J1906" s="10">
        <v>385</v>
      </c>
      <c r="K1906" s="10">
        <v>0</v>
      </c>
      <c r="L1906" s="24">
        <v>0</v>
      </c>
      <c r="M1906" s="10">
        <v>385</v>
      </c>
    </row>
    <row r="1907" spans="1:13" x14ac:dyDescent="0.25">
      <c r="A1907" s="12" t="str">
        <f t="shared" si="58"/>
        <v>5005329PAULO RICARDO SILVACT46181,9576388889</v>
      </c>
      <c r="B1907" s="12" t="str">
        <f t="shared" si="59"/>
        <v>Junho</v>
      </c>
      <c r="C1907" s="8" t="s">
        <v>2624</v>
      </c>
      <c r="D1907" s="8" t="s">
        <v>664</v>
      </c>
      <c r="E1907" s="8" t="s">
        <v>153</v>
      </c>
      <c r="F1907" s="23">
        <v>46181.957638888889</v>
      </c>
      <c r="G1907" s="8" t="s">
        <v>1035</v>
      </c>
      <c r="H1907" s="23">
        <v>46189</v>
      </c>
      <c r="I1907" s="23">
        <v>46181.957638888889</v>
      </c>
      <c r="J1907" s="10">
        <v>3459</v>
      </c>
      <c r="K1907" s="10">
        <v>0</v>
      </c>
      <c r="L1907" s="24">
        <v>0</v>
      </c>
      <c r="M1907" s="10">
        <v>3459</v>
      </c>
    </row>
    <row r="1908" spans="1:13" x14ac:dyDescent="0.25">
      <c r="A1908" s="12" t="str">
        <f t="shared" si="58"/>
        <v>5005330KELISON DINIZ LEMOSCT46182,3263888889</v>
      </c>
      <c r="B1908" s="12" t="str">
        <f t="shared" si="59"/>
        <v>Junho</v>
      </c>
      <c r="C1908" s="8" t="s">
        <v>2625</v>
      </c>
      <c r="D1908" s="8" t="s">
        <v>664</v>
      </c>
      <c r="E1908" s="8" t="s">
        <v>105</v>
      </c>
      <c r="F1908" s="23">
        <v>46182.326388888891</v>
      </c>
      <c r="G1908" s="8" t="s">
        <v>1035</v>
      </c>
      <c r="H1908" s="23">
        <v>46189</v>
      </c>
      <c r="I1908" s="23">
        <v>46182.326388888891</v>
      </c>
      <c r="J1908" s="10">
        <v>871</v>
      </c>
      <c r="K1908" s="10">
        <v>0</v>
      </c>
      <c r="L1908" s="24">
        <v>0</v>
      </c>
      <c r="M1908" s="10">
        <v>871</v>
      </c>
    </row>
    <row r="1909" spans="1:13" x14ac:dyDescent="0.25">
      <c r="A1909" s="12" t="str">
        <f t="shared" si="58"/>
        <v>5005331ADRIANO ROBERTOCT46182,3305555556</v>
      </c>
      <c r="B1909" s="12" t="str">
        <f t="shared" si="59"/>
        <v>Junho</v>
      </c>
      <c r="C1909" s="8" t="s">
        <v>2626</v>
      </c>
      <c r="D1909" s="8" t="s">
        <v>664</v>
      </c>
      <c r="E1909" s="8" t="s">
        <v>8</v>
      </c>
      <c r="F1909" s="23">
        <v>46182.330555555556</v>
      </c>
      <c r="G1909" s="8" t="s">
        <v>1035</v>
      </c>
      <c r="H1909" s="23">
        <v>46189</v>
      </c>
      <c r="I1909" s="23">
        <v>46182.330555555556</v>
      </c>
      <c r="J1909" s="10">
        <v>3150</v>
      </c>
      <c r="K1909" s="10">
        <v>0</v>
      </c>
      <c r="L1909" s="24">
        <v>0</v>
      </c>
      <c r="M1909" s="10">
        <v>3150</v>
      </c>
    </row>
    <row r="1910" spans="1:13" x14ac:dyDescent="0.25">
      <c r="A1910" s="12" t="str">
        <f t="shared" si="58"/>
        <v>5005331KELISON DINIZ LEMOSRCB46196,4708333333</v>
      </c>
      <c r="B1910" s="12" t="str">
        <f t="shared" si="59"/>
        <v>Junho</v>
      </c>
      <c r="C1910" s="8" t="s">
        <v>2626</v>
      </c>
      <c r="D1910" s="8" t="s">
        <v>664</v>
      </c>
      <c r="E1910" s="8" t="s">
        <v>105</v>
      </c>
      <c r="F1910" s="23">
        <v>46196.470833333333</v>
      </c>
      <c r="G1910" s="8" t="s">
        <v>1045</v>
      </c>
      <c r="H1910" s="23">
        <v>46199</v>
      </c>
      <c r="I1910" s="23">
        <v>46196.470833333333</v>
      </c>
      <c r="J1910" s="10">
        <v>25.52</v>
      </c>
      <c r="K1910" s="10">
        <v>0</v>
      </c>
      <c r="L1910" s="24">
        <v>0</v>
      </c>
      <c r="M1910" s="10">
        <v>25.52</v>
      </c>
    </row>
    <row r="1911" spans="1:13" x14ac:dyDescent="0.25">
      <c r="A1911" s="12" t="str">
        <f t="shared" si="58"/>
        <v>5005332RENAN ELTON DIVINOCT46182,3319444444</v>
      </c>
      <c r="B1911" s="12" t="str">
        <f t="shared" si="59"/>
        <v>Junho</v>
      </c>
      <c r="C1911" s="8" t="s">
        <v>2627</v>
      </c>
      <c r="D1911" s="8" t="s">
        <v>664</v>
      </c>
      <c r="E1911" s="8" t="s">
        <v>1409</v>
      </c>
      <c r="F1911" s="23">
        <v>46182.331944444442</v>
      </c>
      <c r="G1911" s="8" t="s">
        <v>1035</v>
      </c>
      <c r="H1911" s="23">
        <v>46189</v>
      </c>
      <c r="I1911" s="23">
        <v>46182.331944444442</v>
      </c>
      <c r="J1911" s="10">
        <v>385</v>
      </c>
      <c r="K1911" s="10">
        <v>0</v>
      </c>
      <c r="L1911" s="24">
        <v>0</v>
      </c>
      <c r="M1911" s="10">
        <v>385</v>
      </c>
    </row>
    <row r="1912" spans="1:13" x14ac:dyDescent="0.25">
      <c r="A1912" s="12" t="str">
        <f t="shared" si="58"/>
        <v>5005333LIDEMBERG RAMOS GABRIELCT46182,3333333333</v>
      </c>
      <c r="B1912" s="12" t="str">
        <f t="shared" si="59"/>
        <v>Junho</v>
      </c>
      <c r="C1912" s="8" t="s">
        <v>2628</v>
      </c>
      <c r="D1912" s="8" t="s">
        <v>664</v>
      </c>
      <c r="E1912" s="8" t="s">
        <v>1539</v>
      </c>
      <c r="F1912" s="23">
        <v>46182.333333333336</v>
      </c>
      <c r="G1912" s="8" t="s">
        <v>1035</v>
      </c>
      <c r="H1912" s="23">
        <v>46189</v>
      </c>
      <c r="I1912" s="23">
        <v>46182.333333333336</v>
      </c>
      <c r="J1912" s="10">
        <v>350</v>
      </c>
      <c r="K1912" s="10">
        <v>0</v>
      </c>
      <c r="L1912" s="24">
        <v>0</v>
      </c>
      <c r="M1912" s="10">
        <v>350</v>
      </c>
    </row>
    <row r="1913" spans="1:13" x14ac:dyDescent="0.25">
      <c r="A1913" s="12" t="str">
        <f t="shared" si="58"/>
        <v>5005334NELCIDES JOSE VIEIRACT46182,3347222222</v>
      </c>
      <c r="B1913" s="12" t="str">
        <f t="shared" si="59"/>
        <v>Junho</v>
      </c>
      <c r="C1913" s="8" t="s">
        <v>2629</v>
      </c>
      <c r="D1913" s="8" t="s">
        <v>664</v>
      </c>
      <c r="E1913" s="8" t="s">
        <v>137</v>
      </c>
      <c r="F1913" s="23">
        <v>46182.334722222222</v>
      </c>
      <c r="G1913" s="8" t="s">
        <v>1035</v>
      </c>
      <c r="H1913" s="23">
        <v>46189</v>
      </c>
      <c r="I1913" s="23">
        <v>46182.334722222222</v>
      </c>
      <c r="J1913" s="10">
        <v>2671</v>
      </c>
      <c r="K1913" s="10">
        <v>0</v>
      </c>
      <c r="L1913" s="24">
        <v>0</v>
      </c>
      <c r="M1913" s="10">
        <v>2671</v>
      </c>
    </row>
    <row r="1914" spans="1:13" x14ac:dyDescent="0.25">
      <c r="A1914" s="12" t="str">
        <f t="shared" si="58"/>
        <v>5005335WILLIAM DE SOUZA VIEIRACT46182,3361111111</v>
      </c>
      <c r="B1914" s="12" t="str">
        <f t="shared" si="59"/>
        <v>Junho</v>
      </c>
      <c r="C1914" s="8" t="s">
        <v>2630</v>
      </c>
      <c r="D1914" s="8" t="s">
        <v>664</v>
      </c>
      <c r="E1914" s="8" t="s">
        <v>1542</v>
      </c>
      <c r="F1914" s="23">
        <v>46182.336111111108</v>
      </c>
      <c r="G1914" s="8" t="s">
        <v>1035</v>
      </c>
      <c r="H1914" s="23">
        <v>46189</v>
      </c>
      <c r="I1914" s="23">
        <v>46182.336111111108</v>
      </c>
      <c r="J1914" s="10">
        <v>1050</v>
      </c>
      <c r="K1914" s="10">
        <v>0</v>
      </c>
      <c r="L1914" s="24">
        <v>0</v>
      </c>
      <c r="M1914" s="10">
        <v>1050</v>
      </c>
    </row>
    <row r="1915" spans="1:13" x14ac:dyDescent="0.25">
      <c r="A1915" s="12" t="str">
        <f t="shared" si="58"/>
        <v>5005336CARLOS ANTONIO PINTOCT46182,3375</v>
      </c>
      <c r="B1915" s="12" t="str">
        <f t="shared" si="59"/>
        <v>Junho</v>
      </c>
      <c r="C1915" s="8" t="s">
        <v>2631</v>
      </c>
      <c r="D1915" s="8" t="s">
        <v>664</v>
      </c>
      <c r="E1915" s="8" t="s">
        <v>36</v>
      </c>
      <c r="F1915" s="23">
        <v>46182.337500000001</v>
      </c>
      <c r="G1915" s="8" t="s">
        <v>1035</v>
      </c>
      <c r="H1915" s="23">
        <v>46189</v>
      </c>
      <c r="I1915" s="23">
        <v>46182.337500000001</v>
      </c>
      <c r="J1915" s="10">
        <v>5071</v>
      </c>
      <c r="K1915" s="10">
        <v>0</v>
      </c>
      <c r="L1915" s="24">
        <v>0</v>
      </c>
      <c r="M1915" s="10">
        <v>5071</v>
      </c>
    </row>
    <row r="1916" spans="1:13" x14ac:dyDescent="0.25">
      <c r="A1916" s="12" t="str">
        <f t="shared" si="58"/>
        <v>5005337ADRIANA DA SILVA SANTOS FERREIRACT46182,3409722222</v>
      </c>
      <c r="B1916" s="12" t="str">
        <f t="shared" si="59"/>
        <v>Junho</v>
      </c>
      <c r="C1916" s="8" t="s">
        <v>2632</v>
      </c>
      <c r="D1916" s="8" t="s">
        <v>664</v>
      </c>
      <c r="E1916" s="8" t="s">
        <v>1413</v>
      </c>
      <c r="F1916" s="23">
        <v>46182.34097222222</v>
      </c>
      <c r="G1916" s="8" t="s">
        <v>1035</v>
      </c>
      <c r="H1916" s="23">
        <v>46189</v>
      </c>
      <c r="I1916" s="23">
        <v>46182.34097222222</v>
      </c>
      <c r="J1916" s="10">
        <v>350</v>
      </c>
      <c r="K1916" s="10">
        <v>0</v>
      </c>
      <c r="L1916" s="24">
        <v>0</v>
      </c>
      <c r="M1916" s="10">
        <v>350</v>
      </c>
    </row>
    <row r="1917" spans="1:13" x14ac:dyDescent="0.25">
      <c r="A1917" s="12" t="str">
        <f t="shared" si="58"/>
        <v>5005338KAYO BOTELHOCT46182,3430555556</v>
      </c>
      <c r="B1917" s="12" t="str">
        <f t="shared" si="59"/>
        <v>Junho</v>
      </c>
      <c r="C1917" s="8" t="s">
        <v>2693</v>
      </c>
      <c r="D1917" s="8" t="s">
        <v>664</v>
      </c>
      <c r="E1917" s="8" t="s">
        <v>1547</v>
      </c>
      <c r="F1917" s="23">
        <v>46182.343055555553</v>
      </c>
      <c r="G1917" s="8" t="s">
        <v>1035</v>
      </c>
      <c r="H1917" s="23">
        <v>46203</v>
      </c>
      <c r="I1917" s="23">
        <v>46182.343055555553</v>
      </c>
      <c r="J1917" s="10">
        <v>1750</v>
      </c>
      <c r="K1917" s="10">
        <v>0</v>
      </c>
      <c r="L1917" s="24">
        <v>0</v>
      </c>
      <c r="M1917" s="10">
        <v>1750</v>
      </c>
    </row>
    <row r="1918" spans="1:13" x14ac:dyDescent="0.25">
      <c r="A1918" s="12" t="str">
        <f t="shared" si="58"/>
        <v>5005339JORGE MARTINS BORGES JUNIORCT46182,3444444444</v>
      </c>
      <c r="B1918" s="12" t="str">
        <f t="shared" si="59"/>
        <v>Junho</v>
      </c>
      <c r="C1918" s="8" t="s">
        <v>2633</v>
      </c>
      <c r="D1918" s="8" t="s">
        <v>664</v>
      </c>
      <c r="E1918" s="8" t="s">
        <v>97</v>
      </c>
      <c r="F1918" s="23">
        <v>46182.344444444447</v>
      </c>
      <c r="G1918" s="8" t="s">
        <v>1035</v>
      </c>
      <c r="H1918" s="23">
        <v>46189</v>
      </c>
      <c r="I1918" s="23">
        <v>46182.344444444447</v>
      </c>
      <c r="J1918" s="10">
        <v>4812</v>
      </c>
      <c r="K1918" s="10">
        <v>0</v>
      </c>
      <c r="L1918" s="24">
        <v>0</v>
      </c>
      <c r="M1918" s="10">
        <v>4812</v>
      </c>
    </row>
    <row r="1919" spans="1:13" x14ac:dyDescent="0.25">
      <c r="A1919" s="12" t="str">
        <f t="shared" si="58"/>
        <v>5005340JORGE MARTINS BORGES JUNIORRCB46188,3722222222</v>
      </c>
      <c r="B1919" s="12" t="str">
        <f t="shared" si="59"/>
        <v>Junho</v>
      </c>
      <c r="C1919" s="8" t="s">
        <v>2604</v>
      </c>
      <c r="D1919" s="8" t="s">
        <v>664</v>
      </c>
      <c r="E1919" s="8" t="s">
        <v>97</v>
      </c>
      <c r="F1919" s="23">
        <v>46188.37222222222</v>
      </c>
      <c r="G1919" s="8" t="s">
        <v>1045</v>
      </c>
      <c r="H1919" s="23">
        <v>46191</v>
      </c>
      <c r="I1919" s="23">
        <v>46188.37222222222</v>
      </c>
      <c r="J1919" s="10">
        <v>35.299999999999997</v>
      </c>
      <c r="K1919" s="10">
        <v>0</v>
      </c>
      <c r="L1919" s="24">
        <v>0</v>
      </c>
      <c r="M1919" s="10">
        <v>35.299999999999997</v>
      </c>
    </row>
    <row r="1920" spans="1:13" x14ac:dyDescent="0.25">
      <c r="A1920" s="12" t="str">
        <f t="shared" si="58"/>
        <v>5005340DANIELLE HEBERT CARVALHO PEREIRACT46182,35</v>
      </c>
      <c r="B1920" s="12" t="str">
        <f t="shared" si="59"/>
        <v>Junho</v>
      </c>
      <c r="C1920" s="8" t="s">
        <v>2604</v>
      </c>
      <c r="D1920" s="8" t="s">
        <v>664</v>
      </c>
      <c r="E1920" s="8" t="s">
        <v>48</v>
      </c>
      <c r="F1920" s="23">
        <v>46182.35</v>
      </c>
      <c r="G1920" s="8" t="s">
        <v>1035</v>
      </c>
      <c r="H1920" s="23">
        <v>46190</v>
      </c>
      <c r="I1920" s="23">
        <v>46182.35</v>
      </c>
      <c r="J1920" s="10">
        <v>1060</v>
      </c>
      <c r="K1920" s="10">
        <v>0</v>
      </c>
      <c r="L1920" s="24">
        <v>0</v>
      </c>
      <c r="M1920" s="10">
        <v>1060</v>
      </c>
    </row>
    <row r="1921" spans="1:13" x14ac:dyDescent="0.25">
      <c r="A1921" s="12" t="str">
        <f t="shared" si="58"/>
        <v>5005341BRUNO RIBEIRO DOMINGUESCT46182,3506944444</v>
      </c>
      <c r="B1921" s="12" t="str">
        <f t="shared" si="59"/>
        <v>Junho</v>
      </c>
      <c r="C1921" s="8" t="s">
        <v>2634</v>
      </c>
      <c r="D1921" s="8" t="s">
        <v>664</v>
      </c>
      <c r="E1921" s="8" t="s">
        <v>32</v>
      </c>
      <c r="F1921" s="23">
        <v>46182.350694444445</v>
      </c>
      <c r="G1921" s="8" t="s">
        <v>1035</v>
      </c>
      <c r="H1921" s="23">
        <v>46189</v>
      </c>
      <c r="I1921" s="23">
        <v>46182.350694444445</v>
      </c>
      <c r="J1921" s="10">
        <v>1245</v>
      </c>
      <c r="K1921" s="10">
        <v>0</v>
      </c>
      <c r="L1921" s="24">
        <v>0</v>
      </c>
      <c r="M1921" s="10">
        <v>1245</v>
      </c>
    </row>
    <row r="1922" spans="1:13" x14ac:dyDescent="0.25">
      <c r="A1922" s="12" t="str">
        <f t="shared" ref="A1922:A1985" si="60">$C1922&amp;$E1922&amp;$G1922&amp;$F1922</f>
        <v>5005341JORGE MARTINS BORGES JUNIORRCB46195,6041666667</v>
      </c>
      <c r="B1922" s="12" t="str">
        <f t="shared" si="59"/>
        <v>Junho</v>
      </c>
      <c r="C1922" s="8" t="s">
        <v>2634</v>
      </c>
      <c r="D1922" s="8" t="s">
        <v>664</v>
      </c>
      <c r="E1922" s="8" t="s">
        <v>97</v>
      </c>
      <c r="F1922" s="23">
        <v>46195.604166666664</v>
      </c>
      <c r="G1922" s="8" t="s">
        <v>1045</v>
      </c>
      <c r="H1922" s="23">
        <v>46198</v>
      </c>
      <c r="I1922" s="23">
        <v>46195.604166666664</v>
      </c>
      <c r="J1922" s="10">
        <v>47.4</v>
      </c>
      <c r="K1922" s="10">
        <v>0</v>
      </c>
      <c r="L1922" s="24">
        <v>0</v>
      </c>
      <c r="M1922" s="10">
        <v>47.4</v>
      </c>
    </row>
    <row r="1923" spans="1:13" x14ac:dyDescent="0.25">
      <c r="A1923" s="12" t="str">
        <f t="shared" si="60"/>
        <v>5005342BRUNO RIBEIRO DOMINGUESRCB46188,3736111111</v>
      </c>
      <c r="B1923" s="12" t="str">
        <f t="shared" ref="B1923:B1986" si="61">PROPER(TEXT($H1923,"MMMM"))</f>
        <v>Junho</v>
      </c>
      <c r="C1923" s="8" t="s">
        <v>2605</v>
      </c>
      <c r="D1923" s="8" t="s">
        <v>664</v>
      </c>
      <c r="E1923" s="8" t="s">
        <v>32</v>
      </c>
      <c r="F1923" s="23">
        <v>46188.373611111114</v>
      </c>
      <c r="G1923" s="8" t="s">
        <v>1045</v>
      </c>
      <c r="H1923" s="23">
        <v>46191</v>
      </c>
      <c r="I1923" s="23">
        <v>46188.373611111114</v>
      </c>
      <c r="J1923" s="10">
        <v>15.8</v>
      </c>
      <c r="K1923" s="10">
        <v>0</v>
      </c>
      <c r="L1923" s="24">
        <v>0</v>
      </c>
      <c r="M1923" s="10">
        <v>15.8</v>
      </c>
    </row>
    <row r="1924" spans="1:13" x14ac:dyDescent="0.25">
      <c r="A1924" s="12" t="str">
        <f t="shared" si="60"/>
        <v>5005342MAGNO APARECIDO DE JESUSCT46182,3638888889</v>
      </c>
      <c r="B1924" s="12" t="str">
        <f t="shared" si="61"/>
        <v>Junho</v>
      </c>
      <c r="C1924" s="8" t="s">
        <v>2605</v>
      </c>
      <c r="D1924" s="8" t="s">
        <v>664</v>
      </c>
      <c r="E1924" s="8" t="s">
        <v>115</v>
      </c>
      <c r="F1924" s="23">
        <v>46182.363888888889</v>
      </c>
      <c r="G1924" s="8" t="s">
        <v>1035</v>
      </c>
      <c r="H1924" s="23">
        <v>46189</v>
      </c>
      <c r="I1924" s="23">
        <v>46182.363888888889</v>
      </c>
      <c r="J1924" s="10">
        <v>5425</v>
      </c>
      <c r="K1924" s="10">
        <v>0</v>
      </c>
      <c r="L1924" s="24">
        <v>0</v>
      </c>
      <c r="M1924" s="10">
        <v>5425</v>
      </c>
    </row>
    <row r="1925" spans="1:13" x14ac:dyDescent="0.25">
      <c r="A1925" s="12" t="str">
        <f t="shared" si="60"/>
        <v>5005343MAURILIO PAULINO DA SILVACT46182,3652777778</v>
      </c>
      <c r="B1925" s="12" t="str">
        <f t="shared" si="61"/>
        <v>Junho</v>
      </c>
      <c r="C1925" s="8" t="s">
        <v>2635</v>
      </c>
      <c r="D1925" s="8" t="s">
        <v>664</v>
      </c>
      <c r="E1925" s="8" t="s">
        <v>1562</v>
      </c>
      <c r="F1925" s="23">
        <v>46182.365277777775</v>
      </c>
      <c r="G1925" s="8" t="s">
        <v>1035</v>
      </c>
      <c r="H1925" s="23">
        <v>46189</v>
      </c>
      <c r="I1925" s="23">
        <v>46182.365277777775</v>
      </c>
      <c r="J1925" s="10">
        <v>350</v>
      </c>
      <c r="K1925" s="10">
        <v>0</v>
      </c>
      <c r="L1925" s="24">
        <v>0</v>
      </c>
      <c r="M1925" s="10">
        <v>350</v>
      </c>
    </row>
    <row r="1926" spans="1:13" x14ac:dyDescent="0.25">
      <c r="A1926" s="12" t="str">
        <f t="shared" si="60"/>
        <v>5005344ANTONIO CARLOS DA COSTACT46182,3666666667</v>
      </c>
      <c r="B1926" s="12" t="str">
        <f t="shared" si="61"/>
        <v>Junho</v>
      </c>
      <c r="C1926" s="8" t="s">
        <v>2636</v>
      </c>
      <c r="D1926" s="8" t="s">
        <v>664</v>
      </c>
      <c r="E1926" s="8" t="s">
        <v>19</v>
      </c>
      <c r="F1926" s="23">
        <v>46182.366666666669</v>
      </c>
      <c r="G1926" s="8" t="s">
        <v>1035</v>
      </c>
      <c r="H1926" s="23">
        <v>46189</v>
      </c>
      <c r="I1926" s="23">
        <v>46182.366666666669</v>
      </c>
      <c r="J1926" s="10">
        <v>6102</v>
      </c>
      <c r="K1926" s="10">
        <v>0</v>
      </c>
      <c r="L1926" s="24">
        <v>0</v>
      </c>
      <c r="M1926" s="10">
        <v>6102</v>
      </c>
    </row>
    <row r="1927" spans="1:13" x14ac:dyDescent="0.25">
      <c r="A1927" s="12" t="str">
        <f t="shared" si="60"/>
        <v>5005345ARTUR SILVA VIANACT46182,3736111111</v>
      </c>
      <c r="B1927" s="12" t="str">
        <f t="shared" si="61"/>
        <v>Junho</v>
      </c>
      <c r="C1927" s="8" t="s">
        <v>2655</v>
      </c>
      <c r="D1927" s="8" t="s">
        <v>664</v>
      </c>
      <c r="E1927" s="8" t="s">
        <v>1429</v>
      </c>
      <c r="F1927" s="23">
        <v>46182.373611111114</v>
      </c>
      <c r="G1927" s="8" t="s">
        <v>1035</v>
      </c>
      <c r="H1927" s="23">
        <v>46190</v>
      </c>
      <c r="I1927" s="23">
        <v>46182.373611111114</v>
      </c>
      <c r="J1927" s="10">
        <v>1365</v>
      </c>
      <c r="K1927" s="10">
        <v>0</v>
      </c>
      <c r="L1927" s="24">
        <v>0</v>
      </c>
      <c r="M1927" s="10">
        <v>1365</v>
      </c>
    </row>
    <row r="1928" spans="1:13" x14ac:dyDescent="0.25">
      <c r="A1928" s="12" t="str">
        <f t="shared" si="60"/>
        <v>5005347BRUNO HENRIQUE DA SILVACT46182,3895833333</v>
      </c>
      <c r="B1928" s="12" t="str">
        <f t="shared" si="61"/>
        <v>Junho</v>
      </c>
      <c r="C1928" s="8" t="s">
        <v>2657</v>
      </c>
      <c r="D1928" s="8" t="s">
        <v>664</v>
      </c>
      <c r="E1928" s="8" t="s">
        <v>29</v>
      </c>
      <c r="F1928" s="23">
        <v>46182.38958333333</v>
      </c>
      <c r="G1928" s="8" t="s">
        <v>1035</v>
      </c>
      <c r="H1928" s="23">
        <v>46190</v>
      </c>
      <c r="I1928" s="23">
        <v>46182.38958333333</v>
      </c>
      <c r="J1928" s="10">
        <v>2249</v>
      </c>
      <c r="K1928" s="10">
        <v>0</v>
      </c>
      <c r="L1928" s="24">
        <v>0</v>
      </c>
      <c r="M1928" s="10">
        <v>2249</v>
      </c>
    </row>
    <row r="1929" spans="1:13" x14ac:dyDescent="0.25">
      <c r="A1929" s="12" t="str">
        <f t="shared" si="60"/>
        <v>5005348DANILO ROSA NUNESCT46182,3909722222</v>
      </c>
      <c r="B1929" s="12" t="str">
        <f t="shared" si="61"/>
        <v>Junho</v>
      </c>
      <c r="C1929" s="8" t="s">
        <v>2639</v>
      </c>
      <c r="D1929" s="8" t="s">
        <v>664</v>
      </c>
      <c r="E1929" s="8" t="s">
        <v>1587</v>
      </c>
      <c r="F1929" s="23">
        <v>46182.390972222223</v>
      </c>
      <c r="G1929" s="8" t="s">
        <v>1035</v>
      </c>
      <c r="H1929" s="23">
        <v>46189</v>
      </c>
      <c r="I1929" s="23">
        <v>46182.390972222223</v>
      </c>
      <c r="J1929" s="10">
        <v>670</v>
      </c>
      <c r="K1929" s="10">
        <v>0</v>
      </c>
      <c r="L1929" s="24">
        <v>0</v>
      </c>
      <c r="M1929" s="10">
        <v>670</v>
      </c>
    </row>
    <row r="1930" spans="1:13" x14ac:dyDescent="0.25">
      <c r="A1930" s="12" t="str">
        <f t="shared" si="60"/>
        <v>5005348BRUNO HENRIQUE DA SILVARCB46197,4111111111</v>
      </c>
      <c r="B1930" s="12" t="str">
        <f t="shared" si="61"/>
        <v>Junho</v>
      </c>
      <c r="C1930" s="8" t="s">
        <v>2639</v>
      </c>
      <c r="D1930" s="8" t="s">
        <v>664</v>
      </c>
      <c r="E1930" s="8" t="s">
        <v>29</v>
      </c>
      <c r="F1930" s="23">
        <v>46197.411111111112</v>
      </c>
      <c r="G1930" s="8" t="s">
        <v>1045</v>
      </c>
      <c r="H1930" s="23">
        <v>46202</v>
      </c>
      <c r="I1930" s="23">
        <v>46197.411111111112</v>
      </c>
      <c r="J1930" s="10">
        <v>90.9</v>
      </c>
      <c r="K1930" s="10">
        <v>0</v>
      </c>
      <c r="L1930" s="24">
        <v>0</v>
      </c>
      <c r="M1930" s="10">
        <v>90.9</v>
      </c>
    </row>
    <row r="1931" spans="1:13" x14ac:dyDescent="0.25">
      <c r="A1931" s="12" t="str">
        <f t="shared" si="60"/>
        <v>5005349MARCELO MARTINS DE OLIVEIRACT46182,4020833333</v>
      </c>
      <c r="B1931" s="12" t="str">
        <f t="shared" si="61"/>
        <v>Junho</v>
      </c>
      <c r="C1931" s="8" t="s">
        <v>2640</v>
      </c>
      <c r="D1931" s="8" t="s">
        <v>664</v>
      </c>
      <c r="E1931" s="8" t="s">
        <v>121</v>
      </c>
      <c r="F1931" s="23">
        <v>46182.402083333334</v>
      </c>
      <c r="G1931" s="8" t="s">
        <v>1035</v>
      </c>
      <c r="H1931" s="23">
        <v>46189</v>
      </c>
      <c r="I1931" s="23">
        <v>46182.402083333334</v>
      </c>
      <c r="J1931" s="10">
        <v>1708</v>
      </c>
      <c r="K1931" s="10">
        <v>0</v>
      </c>
      <c r="L1931" s="24">
        <v>0</v>
      </c>
      <c r="M1931" s="10">
        <v>1708</v>
      </c>
    </row>
    <row r="1932" spans="1:13" x14ac:dyDescent="0.25">
      <c r="A1932" s="12" t="str">
        <f t="shared" si="60"/>
        <v>5005350KARINE KEILE DA SILVA BRAGACT46182,4034722222</v>
      </c>
      <c r="B1932" s="12" t="str">
        <f t="shared" si="61"/>
        <v>Junho</v>
      </c>
      <c r="C1932" s="8" t="s">
        <v>2641</v>
      </c>
      <c r="D1932" s="8" t="s">
        <v>664</v>
      </c>
      <c r="E1932" s="8" t="s">
        <v>1570</v>
      </c>
      <c r="F1932" s="23">
        <v>46182.40347222222</v>
      </c>
      <c r="G1932" s="8" t="s">
        <v>1035</v>
      </c>
      <c r="H1932" s="23">
        <v>46189</v>
      </c>
      <c r="I1932" s="23">
        <v>46182.40347222222</v>
      </c>
      <c r="J1932" s="10">
        <v>700</v>
      </c>
      <c r="K1932" s="10">
        <v>0</v>
      </c>
      <c r="L1932" s="24">
        <v>0</v>
      </c>
      <c r="M1932" s="10">
        <v>700</v>
      </c>
    </row>
    <row r="1933" spans="1:13" x14ac:dyDescent="0.25">
      <c r="A1933" s="12" t="str">
        <f t="shared" si="60"/>
        <v>5005351LIDIANE ASSIS ROCHACT46182,4118055556</v>
      </c>
      <c r="B1933" s="12" t="str">
        <f t="shared" si="61"/>
        <v>Junho</v>
      </c>
      <c r="C1933" s="8" t="s">
        <v>2642</v>
      </c>
      <c r="D1933" s="8" t="s">
        <v>664</v>
      </c>
      <c r="E1933" s="8" t="s">
        <v>110</v>
      </c>
      <c r="F1933" s="23">
        <v>46182.411805555559</v>
      </c>
      <c r="G1933" s="8" t="s">
        <v>1035</v>
      </c>
      <c r="H1933" s="23">
        <v>46189</v>
      </c>
      <c r="I1933" s="23">
        <v>46182.411805555559</v>
      </c>
      <c r="J1933" s="10">
        <v>3219</v>
      </c>
      <c r="K1933" s="10">
        <v>0</v>
      </c>
      <c r="L1933" s="24">
        <v>0</v>
      </c>
      <c r="M1933" s="10">
        <v>3219</v>
      </c>
    </row>
    <row r="1934" spans="1:13" x14ac:dyDescent="0.25">
      <c r="A1934" s="12" t="str">
        <f t="shared" si="60"/>
        <v>5005352NATANIELLE SILVA DE SOUZA MARQUESCT46182,4194444444</v>
      </c>
      <c r="B1934" s="12" t="str">
        <f t="shared" si="61"/>
        <v>Junho</v>
      </c>
      <c r="C1934" s="8" t="s">
        <v>2658</v>
      </c>
      <c r="D1934" s="8" t="s">
        <v>664</v>
      </c>
      <c r="E1934" s="8" t="s">
        <v>135</v>
      </c>
      <c r="F1934" s="23">
        <v>46182.419444444444</v>
      </c>
      <c r="G1934" s="8" t="s">
        <v>1035</v>
      </c>
      <c r="H1934" s="23">
        <v>46190</v>
      </c>
      <c r="I1934" s="23">
        <v>46182.419444444444</v>
      </c>
      <c r="J1934" s="10">
        <v>5944</v>
      </c>
      <c r="K1934" s="10">
        <v>0</v>
      </c>
      <c r="L1934" s="24">
        <v>0</v>
      </c>
      <c r="M1934" s="10">
        <v>5944</v>
      </c>
    </row>
    <row r="1935" spans="1:13" x14ac:dyDescent="0.25">
      <c r="A1935" s="12" t="str">
        <f t="shared" si="60"/>
        <v>5005353JOSE MARCIO DA SILVACT46182,4201388889</v>
      </c>
      <c r="B1935" s="12" t="str">
        <f t="shared" si="61"/>
        <v>Junho</v>
      </c>
      <c r="C1935" s="8" t="s">
        <v>2643</v>
      </c>
      <c r="D1935" s="8" t="s">
        <v>664</v>
      </c>
      <c r="E1935" s="8" t="s">
        <v>1576</v>
      </c>
      <c r="F1935" s="23">
        <v>46182.420138888891</v>
      </c>
      <c r="G1935" s="8" t="s">
        <v>1035</v>
      </c>
      <c r="H1935" s="23">
        <v>46189</v>
      </c>
      <c r="I1935" s="23">
        <v>46182.420138888891</v>
      </c>
      <c r="J1935" s="10">
        <v>1750</v>
      </c>
      <c r="K1935" s="10">
        <v>0</v>
      </c>
      <c r="L1935" s="24">
        <v>0</v>
      </c>
      <c r="M1935" s="10">
        <v>1750</v>
      </c>
    </row>
    <row r="1936" spans="1:13" x14ac:dyDescent="0.25">
      <c r="A1936" s="12" t="str">
        <f t="shared" si="60"/>
        <v>5005353NATANIELLE SILVA DE SOUZA MARQUESRCB46196,4673611111</v>
      </c>
      <c r="B1936" s="12" t="str">
        <f t="shared" si="61"/>
        <v>Junho</v>
      </c>
      <c r="C1936" s="8" t="s">
        <v>2643</v>
      </c>
      <c r="D1936" s="8" t="s">
        <v>664</v>
      </c>
      <c r="E1936" s="8" t="s">
        <v>135</v>
      </c>
      <c r="F1936" s="23">
        <v>46196.467361111114</v>
      </c>
      <c r="G1936" s="8" t="s">
        <v>1045</v>
      </c>
      <c r="H1936" s="23">
        <v>46199</v>
      </c>
      <c r="I1936" s="23">
        <v>46196.467361111114</v>
      </c>
      <c r="J1936" s="10">
        <v>210.02</v>
      </c>
      <c r="K1936" s="10">
        <v>0</v>
      </c>
      <c r="L1936" s="24">
        <v>0</v>
      </c>
      <c r="M1936" s="10">
        <v>210.02</v>
      </c>
    </row>
    <row r="1937" spans="1:13" x14ac:dyDescent="0.25">
      <c r="A1937" s="12" t="str">
        <f t="shared" si="60"/>
        <v>5005354JOSE ANTONIO SILVACT46182,4215277778</v>
      </c>
      <c r="B1937" s="12" t="str">
        <f t="shared" si="61"/>
        <v>Junho</v>
      </c>
      <c r="C1937" s="8" t="s">
        <v>2659</v>
      </c>
      <c r="D1937" s="8" t="s">
        <v>664</v>
      </c>
      <c r="E1937" s="8" t="s">
        <v>99</v>
      </c>
      <c r="F1937" s="23">
        <v>46182.421527777777</v>
      </c>
      <c r="G1937" s="8" t="s">
        <v>1035</v>
      </c>
      <c r="H1937" s="23">
        <v>46190</v>
      </c>
      <c r="I1937" s="23">
        <v>46182.421527777777</v>
      </c>
      <c r="J1937" s="10">
        <v>4458</v>
      </c>
      <c r="K1937" s="10">
        <v>0</v>
      </c>
      <c r="L1937" s="24">
        <v>0</v>
      </c>
      <c r="M1937" s="10">
        <v>4458</v>
      </c>
    </row>
    <row r="1938" spans="1:13" x14ac:dyDescent="0.25">
      <c r="A1938" s="12" t="str">
        <f t="shared" si="60"/>
        <v>5005355DIOGO BONELA TONHACT46182,4284722222</v>
      </c>
      <c r="B1938" s="12" t="str">
        <f t="shared" si="61"/>
        <v>Junho</v>
      </c>
      <c r="C1938" s="8" t="s">
        <v>2646</v>
      </c>
      <c r="D1938" s="8" t="s">
        <v>664</v>
      </c>
      <c r="E1938" s="8" t="s">
        <v>52</v>
      </c>
      <c r="F1938" s="23">
        <v>46182.428472222222</v>
      </c>
      <c r="G1938" s="8" t="s">
        <v>1035</v>
      </c>
      <c r="H1938" s="23">
        <v>46189</v>
      </c>
      <c r="I1938" s="23">
        <v>46182.428472222222</v>
      </c>
      <c r="J1938" s="10">
        <v>2066</v>
      </c>
      <c r="K1938" s="10">
        <v>0</v>
      </c>
      <c r="L1938" s="24">
        <v>0</v>
      </c>
      <c r="M1938" s="10">
        <v>2066</v>
      </c>
    </row>
    <row r="1939" spans="1:13" x14ac:dyDescent="0.25">
      <c r="A1939" s="12" t="str">
        <f t="shared" si="60"/>
        <v>5005355JOSE ANTONIO SILVARCB46196,4680555556</v>
      </c>
      <c r="B1939" s="12" t="str">
        <f t="shared" si="61"/>
        <v>Junho</v>
      </c>
      <c r="C1939" s="8" t="s">
        <v>2646</v>
      </c>
      <c r="D1939" s="8" t="s">
        <v>664</v>
      </c>
      <c r="E1939" s="8" t="s">
        <v>99</v>
      </c>
      <c r="F1939" s="23">
        <v>46196.468055555553</v>
      </c>
      <c r="G1939" s="8" t="s">
        <v>1045</v>
      </c>
      <c r="H1939" s="23">
        <v>46199</v>
      </c>
      <c r="I1939" s="23">
        <v>46196.468055555553</v>
      </c>
      <c r="J1939" s="10">
        <v>157.4</v>
      </c>
      <c r="K1939" s="10">
        <v>0</v>
      </c>
      <c r="L1939" s="24">
        <v>0</v>
      </c>
      <c r="M1939" s="10">
        <v>157.4</v>
      </c>
    </row>
    <row r="1940" spans="1:13" x14ac:dyDescent="0.25">
      <c r="A1940" s="12" t="str">
        <f t="shared" si="60"/>
        <v>5005356BRENDA LUIZA PEREIRACT46182,4298611111</v>
      </c>
      <c r="B1940" s="12" t="str">
        <f t="shared" si="61"/>
        <v>Junho</v>
      </c>
      <c r="C1940" s="8" t="s">
        <v>2647</v>
      </c>
      <c r="D1940" s="8" t="s">
        <v>664</v>
      </c>
      <c r="E1940" s="8" t="s">
        <v>28</v>
      </c>
      <c r="F1940" s="23">
        <v>46182.429861111108</v>
      </c>
      <c r="G1940" s="8" t="s">
        <v>1035</v>
      </c>
      <c r="H1940" s="23">
        <v>46189</v>
      </c>
      <c r="I1940" s="23">
        <v>46182.429861111108</v>
      </c>
      <c r="J1940" s="10">
        <v>3100</v>
      </c>
      <c r="K1940" s="10">
        <v>0</v>
      </c>
      <c r="L1940" s="24">
        <v>0</v>
      </c>
      <c r="M1940" s="10">
        <v>3100</v>
      </c>
    </row>
    <row r="1941" spans="1:13" x14ac:dyDescent="0.25">
      <c r="A1941" s="12" t="str">
        <f t="shared" si="60"/>
        <v>5005357JOHNSON RAMOS DE CARVALHOCT46182,43125</v>
      </c>
      <c r="B1941" s="12" t="str">
        <f t="shared" si="61"/>
        <v>Junho</v>
      </c>
      <c r="C1941" s="8" t="s">
        <v>2648</v>
      </c>
      <c r="D1941" s="8" t="s">
        <v>664</v>
      </c>
      <c r="E1941" s="8" t="s">
        <v>94</v>
      </c>
      <c r="F1941" s="23">
        <v>46182.431250000001</v>
      </c>
      <c r="G1941" s="8" t="s">
        <v>1035</v>
      </c>
      <c r="H1941" s="23">
        <v>46189</v>
      </c>
      <c r="I1941" s="23">
        <v>46182.431250000001</v>
      </c>
      <c r="J1941" s="10">
        <v>845</v>
      </c>
      <c r="K1941" s="10">
        <v>0</v>
      </c>
      <c r="L1941" s="24">
        <v>0</v>
      </c>
      <c r="M1941" s="10">
        <v>845</v>
      </c>
    </row>
    <row r="1942" spans="1:13" x14ac:dyDescent="0.25">
      <c r="A1942" s="12" t="str">
        <f t="shared" si="60"/>
        <v>5005357BRENDA LUIZA PEREIRARCB46196,4694444444</v>
      </c>
      <c r="B1942" s="12" t="str">
        <f t="shared" si="61"/>
        <v>Junho</v>
      </c>
      <c r="C1942" s="8" t="s">
        <v>2648</v>
      </c>
      <c r="D1942" s="8" t="s">
        <v>664</v>
      </c>
      <c r="E1942" s="8" t="s">
        <v>28</v>
      </c>
      <c r="F1942" s="23">
        <v>46196.469444444447</v>
      </c>
      <c r="G1942" s="8" t="s">
        <v>1045</v>
      </c>
      <c r="H1942" s="23">
        <v>46199</v>
      </c>
      <c r="I1942" s="23">
        <v>46196.469444444447</v>
      </c>
      <c r="J1942" s="10">
        <v>186.22</v>
      </c>
      <c r="K1942" s="10">
        <v>0</v>
      </c>
      <c r="L1942" s="24">
        <v>0</v>
      </c>
      <c r="M1942" s="10">
        <v>186.22</v>
      </c>
    </row>
    <row r="1943" spans="1:13" x14ac:dyDescent="0.25">
      <c r="A1943" s="12" t="str">
        <f t="shared" si="60"/>
        <v>5005358ARTUR SILVA VIANACT46182,55625</v>
      </c>
      <c r="B1943" s="12" t="str">
        <f t="shared" si="61"/>
        <v>Junho</v>
      </c>
      <c r="C1943" s="8" t="s">
        <v>2656</v>
      </c>
      <c r="D1943" s="8" t="s">
        <v>664</v>
      </c>
      <c r="E1943" s="8" t="s">
        <v>1429</v>
      </c>
      <c r="F1943" s="23">
        <v>46182.556250000001</v>
      </c>
      <c r="G1943" s="8" t="s">
        <v>1035</v>
      </c>
      <c r="H1943" s="23">
        <v>46190</v>
      </c>
      <c r="I1943" s="23">
        <v>46182.556250000001</v>
      </c>
      <c r="J1943" s="10">
        <v>385</v>
      </c>
      <c r="K1943" s="10">
        <v>0</v>
      </c>
      <c r="L1943" s="24">
        <v>0</v>
      </c>
      <c r="M1943" s="10">
        <v>385</v>
      </c>
    </row>
    <row r="1944" spans="1:13" x14ac:dyDescent="0.25">
      <c r="A1944" s="12" t="str">
        <f t="shared" si="60"/>
        <v>5005360DANIELLE HEBERT CARVALHO PEREIRACT46182,5895833333</v>
      </c>
      <c r="B1944" s="12" t="str">
        <f t="shared" si="61"/>
        <v>Junho</v>
      </c>
      <c r="C1944" s="8" t="s">
        <v>2654</v>
      </c>
      <c r="D1944" s="8" t="s">
        <v>664</v>
      </c>
      <c r="E1944" s="8" t="s">
        <v>48</v>
      </c>
      <c r="F1944" s="23">
        <v>46182.589583333334</v>
      </c>
      <c r="G1944" s="8" t="s">
        <v>1035</v>
      </c>
      <c r="H1944" s="23">
        <v>46190</v>
      </c>
      <c r="I1944" s="23">
        <v>46182.589583333334</v>
      </c>
      <c r="J1944" s="10">
        <v>80</v>
      </c>
      <c r="K1944" s="10">
        <v>0</v>
      </c>
      <c r="L1944" s="24">
        <v>0</v>
      </c>
      <c r="M1944" s="10">
        <v>80</v>
      </c>
    </row>
    <row r="1945" spans="1:13" x14ac:dyDescent="0.25">
      <c r="A1945" s="12" t="str">
        <f t="shared" si="60"/>
        <v>5005362RAISSA DE CARVALHO FIORINECT46182,6625</v>
      </c>
      <c r="B1945" s="12" t="str">
        <f t="shared" si="61"/>
        <v>Junho</v>
      </c>
      <c r="C1945" s="8" t="s">
        <v>2637</v>
      </c>
      <c r="D1945" s="8" t="s">
        <v>664</v>
      </c>
      <c r="E1945" s="8" t="s">
        <v>163</v>
      </c>
      <c r="F1945" s="23">
        <v>46182.662499999999</v>
      </c>
      <c r="G1945" s="8" t="s">
        <v>1035</v>
      </c>
      <c r="H1945" s="23">
        <v>46189</v>
      </c>
      <c r="I1945" s="23">
        <v>46182.662499999999</v>
      </c>
      <c r="J1945" s="10">
        <v>2310</v>
      </c>
      <c r="K1945" s="10">
        <v>0</v>
      </c>
      <c r="L1945" s="24">
        <v>0</v>
      </c>
      <c r="M1945" s="10">
        <v>2310</v>
      </c>
    </row>
    <row r="1946" spans="1:13" x14ac:dyDescent="0.25">
      <c r="A1946" s="12" t="str">
        <f t="shared" si="60"/>
        <v>5005363RAISSA DE CARVALHO FIORINECT46182,6631944444</v>
      </c>
      <c r="B1946" s="12" t="str">
        <f t="shared" si="61"/>
        <v>Junho</v>
      </c>
      <c r="C1946" s="8" t="s">
        <v>2638</v>
      </c>
      <c r="D1946" s="8" t="s">
        <v>664</v>
      </c>
      <c r="E1946" s="8" t="s">
        <v>163</v>
      </c>
      <c r="F1946" s="23">
        <v>46182.663194444445</v>
      </c>
      <c r="G1946" s="8" t="s">
        <v>1035</v>
      </c>
      <c r="H1946" s="23">
        <v>46189</v>
      </c>
      <c r="I1946" s="23">
        <v>46182.663194444445</v>
      </c>
      <c r="J1946" s="10">
        <v>1351</v>
      </c>
      <c r="K1946" s="10">
        <v>0</v>
      </c>
      <c r="L1946" s="24">
        <v>0</v>
      </c>
      <c r="M1946" s="10">
        <v>1351</v>
      </c>
    </row>
    <row r="1947" spans="1:13" x14ac:dyDescent="0.25">
      <c r="A1947" s="12" t="str">
        <f t="shared" si="60"/>
        <v>5005365MARCELO MARTINS DE OLIVEIRACT46183,5847222222</v>
      </c>
      <c r="B1947" s="12" t="str">
        <f t="shared" si="61"/>
        <v>Julho</v>
      </c>
      <c r="C1947" s="8" t="s">
        <v>2736</v>
      </c>
      <c r="D1947" s="8" t="s">
        <v>664</v>
      </c>
      <c r="E1947" s="8" t="s">
        <v>121</v>
      </c>
      <c r="F1947" s="23">
        <v>46183.584722222222</v>
      </c>
      <c r="G1947" s="8" t="s">
        <v>1035</v>
      </c>
      <c r="H1947" s="23">
        <v>46209</v>
      </c>
      <c r="I1947" s="23">
        <v>46183.584722222222</v>
      </c>
      <c r="J1947" s="10">
        <v>350</v>
      </c>
      <c r="K1947" s="10">
        <v>0</v>
      </c>
      <c r="L1947" s="24">
        <v>0</v>
      </c>
      <c r="M1947" s="10">
        <v>350</v>
      </c>
    </row>
    <row r="1948" spans="1:13" x14ac:dyDescent="0.25">
      <c r="A1948" s="12" t="str">
        <f t="shared" si="60"/>
        <v>5005366MARCELO MARTINS DE OLIVEIRARCB46188,3715277778</v>
      </c>
      <c r="B1948" s="12" t="str">
        <f t="shared" si="61"/>
        <v>Junho</v>
      </c>
      <c r="C1948" s="8" t="s">
        <v>2610</v>
      </c>
      <c r="D1948" s="8" t="s">
        <v>664</v>
      </c>
      <c r="E1948" s="8" t="s">
        <v>121</v>
      </c>
      <c r="F1948" s="23">
        <v>46188.371527777781</v>
      </c>
      <c r="G1948" s="8" t="s">
        <v>1045</v>
      </c>
      <c r="H1948" s="23">
        <v>46191</v>
      </c>
      <c r="I1948" s="23">
        <v>46188.371527777781</v>
      </c>
      <c r="J1948" s="10">
        <v>11</v>
      </c>
      <c r="K1948" s="10">
        <v>0</v>
      </c>
      <c r="L1948" s="24">
        <v>0</v>
      </c>
      <c r="M1948" s="10">
        <v>11</v>
      </c>
    </row>
    <row r="1949" spans="1:13" x14ac:dyDescent="0.25">
      <c r="A1949" s="12" t="str">
        <f t="shared" si="60"/>
        <v>5005367MARCELO MARTINS DE OLIVEIRARCB46195,6034722222</v>
      </c>
      <c r="B1949" s="12" t="str">
        <f t="shared" si="61"/>
        <v>Junho</v>
      </c>
      <c r="C1949" s="8" t="s">
        <v>2672</v>
      </c>
      <c r="D1949" s="8" t="s">
        <v>664</v>
      </c>
      <c r="E1949" s="8" t="s">
        <v>121</v>
      </c>
      <c r="F1949" s="23">
        <v>46195.603472222225</v>
      </c>
      <c r="G1949" s="8" t="s">
        <v>1045</v>
      </c>
      <c r="H1949" s="23">
        <v>46198</v>
      </c>
      <c r="I1949" s="23">
        <v>46195.603472222225</v>
      </c>
      <c r="J1949" s="10">
        <v>30.5</v>
      </c>
      <c r="K1949" s="10">
        <v>0</v>
      </c>
      <c r="L1949" s="24">
        <v>0</v>
      </c>
      <c r="M1949" s="10">
        <v>30.5</v>
      </c>
    </row>
    <row r="1950" spans="1:13" x14ac:dyDescent="0.25">
      <c r="A1950" s="12" t="str">
        <f t="shared" si="60"/>
        <v>5005375PAULO RICARDO SILVACT46192,5055555556</v>
      </c>
      <c r="B1950" s="12" t="str">
        <f t="shared" si="61"/>
        <v>Julho</v>
      </c>
      <c r="C1950" s="8" t="s">
        <v>2720</v>
      </c>
      <c r="D1950" s="8" t="s">
        <v>664</v>
      </c>
      <c r="E1950" s="8" t="s">
        <v>153</v>
      </c>
      <c r="F1950" s="23">
        <v>46192.505555555559</v>
      </c>
      <c r="G1950" s="8" t="s">
        <v>1035</v>
      </c>
      <c r="H1950" s="23">
        <v>46209</v>
      </c>
      <c r="I1950" s="23">
        <v>46192.505555555559</v>
      </c>
      <c r="J1950" s="10">
        <v>350</v>
      </c>
      <c r="K1950" s="10">
        <v>0</v>
      </c>
      <c r="L1950" s="24">
        <v>0</v>
      </c>
      <c r="M1950" s="10">
        <v>350</v>
      </c>
    </row>
    <row r="1951" spans="1:13" x14ac:dyDescent="0.25">
      <c r="A1951" s="12" t="str">
        <f t="shared" si="60"/>
        <v>5005380FABIO LUIZ TEIXEIRA DE ARRUDACT46195,6555555556</v>
      </c>
      <c r="B1951" s="12" t="str">
        <f t="shared" si="61"/>
        <v>Julho</v>
      </c>
      <c r="C1951" s="8" t="s">
        <v>2713</v>
      </c>
      <c r="D1951" s="8" t="s">
        <v>664</v>
      </c>
      <c r="E1951" s="8" t="s">
        <v>1520</v>
      </c>
      <c r="F1951" s="23">
        <v>46195.655555555553</v>
      </c>
      <c r="G1951" s="8" t="s">
        <v>1035</v>
      </c>
      <c r="H1951" s="23">
        <v>46209</v>
      </c>
      <c r="I1951" s="23">
        <v>46195.655555555553</v>
      </c>
      <c r="J1951" s="10">
        <v>385</v>
      </c>
      <c r="K1951" s="10">
        <v>0</v>
      </c>
      <c r="L1951" s="24">
        <v>0</v>
      </c>
      <c r="M1951" s="10">
        <v>385</v>
      </c>
    </row>
    <row r="1952" spans="1:13" x14ac:dyDescent="0.25">
      <c r="A1952" s="12" t="str">
        <f t="shared" si="60"/>
        <v>5005382ELIANA HENRIQUE MENDES BARBOSACT46197,4090277778</v>
      </c>
      <c r="B1952" s="12" t="str">
        <f t="shared" si="61"/>
        <v>Julho</v>
      </c>
      <c r="C1952" s="8" t="s">
        <v>2718</v>
      </c>
      <c r="D1952" s="8" t="s">
        <v>664</v>
      </c>
      <c r="E1952" s="8" t="s">
        <v>59</v>
      </c>
      <c r="F1952" s="23">
        <v>46197.40902777778</v>
      </c>
      <c r="G1952" s="8" t="s">
        <v>1035</v>
      </c>
      <c r="H1952" s="23">
        <v>46209</v>
      </c>
      <c r="I1952" s="23">
        <v>46197.40902777778</v>
      </c>
      <c r="J1952" s="10">
        <v>1238</v>
      </c>
      <c r="K1952" s="10">
        <v>0</v>
      </c>
      <c r="L1952" s="24">
        <v>0</v>
      </c>
      <c r="M1952" s="10">
        <v>1238</v>
      </c>
    </row>
    <row r="1953" spans="1:13" x14ac:dyDescent="0.25">
      <c r="A1953" s="12" t="str">
        <f t="shared" si="60"/>
        <v>5005383EDUARDO GAUDENCIO ROSACT46197,4104166667</v>
      </c>
      <c r="B1953" s="12" t="str">
        <f t="shared" si="61"/>
        <v>Julho</v>
      </c>
      <c r="C1953" s="8" t="s">
        <v>2719</v>
      </c>
      <c r="D1953" s="8" t="s">
        <v>664</v>
      </c>
      <c r="E1953" s="8" t="s">
        <v>58</v>
      </c>
      <c r="F1953" s="23">
        <v>46197.410416666666</v>
      </c>
      <c r="G1953" s="8" t="s">
        <v>1035</v>
      </c>
      <c r="H1953" s="23">
        <v>46209</v>
      </c>
      <c r="I1953" s="23">
        <v>46197.410416666666</v>
      </c>
      <c r="J1953" s="10">
        <v>3505</v>
      </c>
      <c r="K1953" s="10">
        <v>0</v>
      </c>
      <c r="L1953" s="24">
        <v>0</v>
      </c>
      <c r="M1953" s="10">
        <v>3505</v>
      </c>
    </row>
    <row r="1954" spans="1:13" x14ac:dyDescent="0.25">
      <c r="A1954" s="12" t="str">
        <f t="shared" si="60"/>
        <v>5005384PAULO RICARDO SILVACT46197,4173611111</v>
      </c>
      <c r="B1954" s="12" t="str">
        <f t="shared" si="61"/>
        <v>Julho</v>
      </c>
      <c r="C1954" s="8" t="s">
        <v>2721</v>
      </c>
      <c r="D1954" s="8" t="s">
        <v>664</v>
      </c>
      <c r="E1954" s="8" t="s">
        <v>153</v>
      </c>
      <c r="F1954" s="23">
        <v>46197.417361111111</v>
      </c>
      <c r="G1954" s="8" t="s">
        <v>1035</v>
      </c>
      <c r="H1954" s="23">
        <v>46209</v>
      </c>
      <c r="I1954" s="23">
        <v>46197.417361111111</v>
      </c>
      <c r="J1954" s="10">
        <v>1319</v>
      </c>
      <c r="K1954" s="10">
        <v>0</v>
      </c>
      <c r="L1954" s="24">
        <v>0</v>
      </c>
      <c r="M1954" s="10">
        <v>1319</v>
      </c>
    </row>
    <row r="1955" spans="1:13" x14ac:dyDescent="0.25">
      <c r="A1955" s="12" t="str">
        <f t="shared" si="60"/>
        <v>5005384EDUARDO GAUDENCIO ROSARCB46210,45</v>
      </c>
      <c r="B1955" s="12" t="str">
        <f t="shared" si="61"/>
        <v>Julho</v>
      </c>
      <c r="C1955" s="8" t="s">
        <v>2721</v>
      </c>
      <c r="D1955" s="8" t="s">
        <v>664</v>
      </c>
      <c r="E1955" s="8" t="s">
        <v>58</v>
      </c>
      <c r="F1955" s="23">
        <v>46210.45</v>
      </c>
      <c r="G1955" s="8" t="s">
        <v>1045</v>
      </c>
      <c r="H1955" s="23">
        <v>46213</v>
      </c>
      <c r="I1955" s="23">
        <v>46210.45</v>
      </c>
      <c r="J1955" s="10">
        <v>253.52</v>
      </c>
      <c r="K1955" s="10">
        <v>0</v>
      </c>
      <c r="L1955" s="24">
        <v>0</v>
      </c>
      <c r="M1955" s="10">
        <v>253.52</v>
      </c>
    </row>
    <row r="1956" spans="1:13" x14ac:dyDescent="0.25">
      <c r="A1956" s="12" t="str">
        <f t="shared" si="60"/>
        <v>5005385ADRIANO ROBERTOCT46197,41875</v>
      </c>
      <c r="B1956" s="12" t="str">
        <f t="shared" si="61"/>
        <v>Julho</v>
      </c>
      <c r="C1956" s="8" t="s">
        <v>2722</v>
      </c>
      <c r="D1956" s="8" t="s">
        <v>664</v>
      </c>
      <c r="E1956" s="8" t="s">
        <v>8</v>
      </c>
      <c r="F1956" s="23">
        <v>46197.418749999997</v>
      </c>
      <c r="G1956" s="8" t="s">
        <v>1035</v>
      </c>
      <c r="H1956" s="23">
        <v>46209</v>
      </c>
      <c r="I1956" s="23">
        <v>46197.418749999997</v>
      </c>
      <c r="J1956" s="10">
        <v>1750</v>
      </c>
      <c r="K1956" s="10">
        <v>0</v>
      </c>
      <c r="L1956" s="24">
        <v>0</v>
      </c>
      <c r="M1956" s="10">
        <v>1750</v>
      </c>
    </row>
    <row r="1957" spans="1:13" x14ac:dyDescent="0.25">
      <c r="A1957" s="12" t="str">
        <f t="shared" si="60"/>
        <v>5005386ADRIANO ROBERTORCB46202,3847222222</v>
      </c>
      <c r="B1957" s="12" t="str">
        <f t="shared" si="61"/>
        <v>Julho</v>
      </c>
      <c r="C1957" s="8" t="s">
        <v>2686</v>
      </c>
      <c r="D1957" s="8" t="s">
        <v>664</v>
      </c>
      <c r="E1957" s="8" t="s">
        <v>8</v>
      </c>
      <c r="F1957" s="23">
        <v>46202.384722222225</v>
      </c>
      <c r="G1957" s="8" t="s">
        <v>1045</v>
      </c>
      <c r="H1957" s="23">
        <v>46205</v>
      </c>
      <c r="I1957" s="23">
        <v>46202.384722222225</v>
      </c>
      <c r="J1957" s="10">
        <v>28</v>
      </c>
      <c r="K1957" s="10">
        <v>0</v>
      </c>
      <c r="L1957" s="24">
        <v>0</v>
      </c>
      <c r="M1957" s="10">
        <v>28</v>
      </c>
    </row>
    <row r="1958" spans="1:13" x14ac:dyDescent="0.25">
      <c r="A1958" s="12" t="str">
        <f t="shared" si="60"/>
        <v>5005386LIDEMBERG RAMOS GABRIELCT46197,4201388889</v>
      </c>
      <c r="B1958" s="12" t="str">
        <f t="shared" si="61"/>
        <v>Julho</v>
      </c>
      <c r="C1958" s="8" t="s">
        <v>2686</v>
      </c>
      <c r="D1958" s="8" t="s">
        <v>664</v>
      </c>
      <c r="E1958" s="8" t="s">
        <v>1539</v>
      </c>
      <c r="F1958" s="23">
        <v>46197.420138888891</v>
      </c>
      <c r="G1958" s="8" t="s">
        <v>1035</v>
      </c>
      <c r="H1958" s="23">
        <v>46209</v>
      </c>
      <c r="I1958" s="23">
        <v>46197.420138888891</v>
      </c>
      <c r="J1958" s="10">
        <v>350</v>
      </c>
      <c r="K1958" s="10">
        <v>0</v>
      </c>
      <c r="L1958" s="24">
        <v>0</v>
      </c>
      <c r="M1958" s="10">
        <v>350</v>
      </c>
    </row>
    <row r="1959" spans="1:13" x14ac:dyDescent="0.25">
      <c r="A1959" s="12" t="str">
        <f t="shared" si="60"/>
        <v>5005387NELCIDES JOSE VIEIRACT46197,4236111111</v>
      </c>
      <c r="B1959" s="12" t="str">
        <f t="shared" si="61"/>
        <v>Julho</v>
      </c>
      <c r="C1959" s="8" t="s">
        <v>2723</v>
      </c>
      <c r="D1959" s="8" t="s">
        <v>664</v>
      </c>
      <c r="E1959" s="8" t="s">
        <v>137</v>
      </c>
      <c r="F1959" s="23">
        <v>46197.423611111109</v>
      </c>
      <c r="G1959" s="8" t="s">
        <v>1035</v>
      </c>
      <c r="H1959" s="23">
        <v>46209</v>
      </c>
      <c r="I1959" s="23">
        <v>46197.423611111109</v>
      </c>
      <c r="J1959" s="10">
        <v>350</v>
      </c>
      <c r="K1959" s="10">
        <v>0</v>
      </c>
      <c r="L1959" s="24">
        <v>0</v>
      </c>
      <c r="M1959" s="10">
        <v>350</v>
      </c>
    </row>
    <row r="1960" spans="1:13" x14ac:dyDescent="0.25">
      <c r="A1960" s="12" t="str">
        <f t="shared" si="60"/>
        <v>5005388WILLIAM DE SOUZA VIEIRACT46197,425</v>
      </c>
      <c r="B1960" s="12" t="str">
        <f t="shared" si="61"/>
        <v>Julho</v>
      </c>
      <c r="C1960" s="8" t="s">
        <v>2724</v>
      </c>
      <c r="D1960" s="8" t="s">
        <v>664</v>
      </c>
      <c r="E1960" s="8" t="s">
        <v>1542</v>
      </c>
      <c r="F1960" s="23">
        <v>46197.425000000003</v>
      </c>
      <c r="G1960" s="8" t="s">
        <v>1035</v>
      </c>
      <c r="H1960" s="23">
        <v>46209</v>
      </c>
      <c r="I1960" s="23">
        <v>46197.425000000003</v>
      </c>
      <c r="J1960" s="10">
        <v>350</v>
      </c>
      <c r="K1960" s="10">
        <v>0</v>
      </c>
      <c r="L1960" s="24">
        <v>0</v>
      </c>
      <c r="M1960" s="10">
        <v>350</v>
      </c>
    </row>
    <row r="1961" spans="1:13" x14ac:dyDescent="0.25">
      <c r="A1961" s="12" t="str">
        <f t="shared" si="60"/>
        <v>5005388NELCIDES JOSE VIEIRARCB46210,4465277778</v>
      </c>
      <c r="B1961" s="12" t="str">
        <f t="shared" si="61"/>
        <v>Julho</v>
      </c>
      <c r="C1961" s="8" t="s">
        <v>2724</v>
      </c>
      <c r="D1961" s="8" t="s">
        <v>664</v>
      </c>
      <c r="E1961" s="8" t="s">
        <v>137</v>
      </c>
      <c r="F1961" s="23">
        <v>46210.446527777778</v>
      </c>
      <c r="G1961" s="8" t="s">
        <v>1045</v>
      </c>
      <c r="H1961" s="23">
        <v>46213</v>
      </c>
      <c r="I1961" s="23">
        <v>46210.446527777778</v>
      </c>
      <c r="J1961" s="10">
        <v>126.28</v>
      </c>
      <c r="K1961" s="10">
        <v>0</v>
      </c>
      <c r="L1961" s="24">
        <v>0</v>
      </c>
      <c r="M1961" s="10">
        <v>126.28</v>
      </c>
    </row>
    <row r="1962" spans="1:13" x14ac:dyDescent="0.25">
      <c r="A1962" s="12" t="str">
        <f t="shared" si="60"/>
        <v>5005389CARLOS ANTONIO PINTOCT46197,4270833333</v>
      </c>
      <c r="B1962" s="12" t="str">
        <f t="shared" si="61"/>
        <v>Julho</v>
      </c>
      <c r="C1962" s="8" t="s">
        <v>2725</v>
      </c>
      <c r="D1962" s="8" t="s">
        <v>664</v>
      </c>
      <c r="E1962" s="8" t="s">
        <v>36</v>
      </c>
      <c r="F1962" s="23">
        <v>46197.427083333336</v>
      </c>
      <c r="G1962" s="8" t="s">
        <v>1035</v>
      </c>
      <c r="H1962" s="23">
        <v>46209</v>
      </c>
      <c r="I1962" s="23">
        <v>46197.427083333336</v>
      </c>
      <c r="J1962" s="10">
        <v>3811</v>
      </c>
      <c r="K1962" s="10">
        <v>0</v>
      </c>
      <c r="L1962" s="24">
        <v>0</v>
      </c>
      <c r="M1962" s="10">
        <v>3811</v>
      </c>
    </row>
    <row r="1963" spans="1:13" x14ac:dyDescent="0.25">
      <c r="A1963" s="12" t="str">
        <f t="shared" si="60"/>
        <v>5005390KAYO BOTELHOCT46197,4277777778</v>
      </c>
      <c r="B1963" s="12" t="str">
        <f t="shared" si="61"/>
        <v>Julho</v>
      </c>
      <c r="C1963" s="8" t="s">
        <v>2726</v>
      </c>
      <c r="D1963" s="8" t="s">
        <v>664</v>
      </c>
      <c r="E1963" s="8" t="s">
        <v>1547</v>
      </c>
      <c r="F1963" s="23">
        <v>46197.427777777775</v>
      </c>
      <c r="G1963" s="8" t="s">
        <v>1035</v>
      </c>
      <c r="H1963" s="23">
        <v>46209</v>
      </c>
      <c r="I1963" s="23">
        <v>46197.427777777775</v>
      </c>
      <c r="J1963" s="10">
        <v>350</v>
      </c>
      <c r="K1963" s="10">
        <v>0</v>
      </c>
      <c r="L1963" s="24">
        <v>0</v>
      </c>
      <c r="M1963" s="10">
        <v>350</v>
      </c>
    </row>
    <row r="1964" spans="1:13" x14ac:dyDescent="0.25">
      <c r="A1964" s="12" t="str">
        <f t="shared" si="60"/>
        <v>5005391JORGE MARTINS BORGES JUNIORCT46197,4291666667</v>
      </c>
      <c r="B1964" s="12" t="str">
        <f t="shared" si="61"/>
        <v>Julho</v>
      </c>
      <c r="C1964" s="8" t="s">
        <v>2727</v>
      </c>
      <c r="D1964" s="8" t="s">
        <v>664</v>
      </c>
      <c r="E1964" s="8" t="s">
        <v>97</v>
      </c>
      <c r="F1964" s="23">
        <v>46197.429166666669</v>
      </c>
      <c r="G1964" s="8" t="s">
        <v>1035</v>
      </c>
      <c r="H1964" s="23">
        <v>46209</v>
      </c>
      <c r="I1964" s="23">
        <v>46197.429166666669</v>
      </c>
      <c r="J1964" s="10">
        <v>1854</v>
      </c>
      <c r="K1964" s="10">
        <v>0</v>
      </c>
      <c r="L1964" s="24">
        <v>0</v>
      </c>
      <c r="M1964" s="10">
        <v>1854</v>
      </c>
    </row>
    <row r="1965" spans="1:13" x14ac:dyDescent="0.25">
      <c r="A1965" s="12" t="str">
        <f t="shared" si="60"/>
        <v>5005392JORGE MARTINS BORGES JUNIORRCB46202,3854166667</v>
      </c>
      <c r="B1965" s="12" t="str">
        <f t="shared" si="61"/>
        <v>Julho</v>
      </c>
      <c r="C1965" s="8" t="s">
        <v>2687</v>
      </c>
      <c r="D1965" s="8" t="s">
        <v>664</v>
      </c>
      <c r="E1965" s="8" t="s">
        <v>97</v>
      </c>
      <c r="F1965" s="23">
        <v>46202.385416666664</v>
      </c>
      <c r="G1965" s="8" t="s">
        <v>1045</v>
      </c>
      <c r="H1965" s="23">
        <v>46205</v>
      </c>
      <c r="I1965" s="23">
        <v>46202.385416666664</v>
      </c>
      <c r="J1965" s="10">
        <v>27.84</v>
      </c>
      <c r="K1965" s="10">
        <v>0</v>
      </c>
      <c r="L1965" s="24">
        <v>0</v>
      </c>
      <c r="M1965" s="10">
        <v>27.84</v>
      </c>
    </row>
    <row r="1966" spans="1:13" x14ac:dyDescent="0.25">
      <c r="A1966" s="12" t="str">
        <f t="shared" si="60"/>
        <v>5005392BRUNO RIBEIRO DOMINGUESCT46197,4298611111</v>
      </c>
      <c r="B1966" s="12" t="str">
        <f t="shared" si="61"/>
        <v>Julho</v>
      </c>
      <c r="C1966" s="8" t="s">
        <v>2687</v>
      </c>
      <c r="D1966" s="8" t="s">
        <v>664</v>
      </c>
      <c r="E1966" s="8" t="s">
        <v>32</v>
      </c>
      <c r="F1966" s="23">
        <v>46197.429861111108</v>
      </c>
      <c r="G1966" s="8" t="s">
        <v>1035</v>
      </c>
      <c r="H1966" s="23">
        <v>46209</v>
      </c>
      <c r="I1966" s="23">
        <v>46197.429861111108</v>
      </c>
      <c r="J1966" s="10">
        <v>492</v>
      </c>
      <c r="K1966" s="10">
        <v>0</v>
      </c>
      <c r="L1966" s="24">
        <v>0</v>
      </c>
      <c r="M1966" s="10">
        <v>492</v>
      </c>
    </row>
    <row r="1967" spans="1:13" x14ac:dyDescent="0.25">
      <c r="A1967" s="12" t="str">
        <f t="shared" si="60"/>
        <v>5005393JORGE MARTINS BORGES JUNIORRCB46209,3784722222</v>
      </c>
      <c r="B1967" s="12" t="str">
        <f t="shared" si="61"/>
        <v>Julho</v>
      </c>
      <c r="C1967" s="8" t="s">
        <v>2728</v>
      </c>
      <c r="D1967" s="8" t="s">
        <v>664</v>
      </c>
      <c r="E1967" s="8" t="s">
        <v>97</v>
      </c>
      <c r="F1967" s="23">
        <v>46209.378472222219</v>
      </c>
      <c r="G1967" s="8" t="s">
        <v>1045</v>
      </c>
      <c r="H1967" s="23">
        <v>46212</v>
      </c>
      <c r="I1967" s="23">
        <v>46209.378472222219</v>
      </c>
      <c r="J1967" s="10">
        <v>61.4</v>
      </c>
      <c r="K1967" s="10">
        <v>0</v>
      </c>
      <c r="L1967" s="24">
        <v>0</v>
      </c>
      <c r="M1967" s="10">
        <v>61.4</v>
      </c>
    </row>
    <row r="1968" spans="1:13" x14ac:dyDescent="0.25">
      <c r="A1968" s="12" t="str">
        <f t="shared" si="60"/>
        <v>5005393BRUNO RIBEIRO DOMINGUESRCB46216,4659722222</v>
      </c>
      <c r="B1968" s="12" t="str">
        <f t="shared" si="61"/>
        <v>Julho</v>
      </c>
      <c r="C1968" s="8" t="s">
        <v>2728</v>
      </c>
      <c r="D1968" s="8" t="s">
        <v>664</v>
      </c>
      <c r="E1968" s="8" t="s">
        <v>32</v>
      </c>
      <c r="F1968" s="23">
        <v>46216.46597222222</v>
      </c>
      <c r="G1968" s="8" t="s">
        <v>1045</v>
      </c>
      <c r="H1968" s="23">
        <v>46219</v>
      </c>
      <c r="I1968" s="23">
        <v>46216.46597222222</v>
      </c>
      <c r="J1968" s="10">
        <v>15.8</v>
      </c>
      <c r="K1968" s="10">
        <v>0</v>
      </c>
      <c r="L1968" s="24">
        <v>0</v>
      </c>
      <c r="M1968" s="10">
        <v>15.8</v>
      </c>
    </row>
    <row r="1969" spans="1:13" x14ac:dyDescent="0.25">
      <c r="A1969" s="12" t="str">
        <f t="shared" si="60"/>
        <v>5005394MAGNO APARECIDO DE JESUSCT46197,4340277778</v>
      </c>
      <c r="B1969" s="12" t="str">
        <f t="shared" si="61"/>
        <v>Julho</v>
      </c>
      <c r="C1969" s="8" t="s">
        <v>2730</v>
      </c>
      <c r="D1969" s="8" t="s">
        <v>664</v>
      </c>
      <c r="E1969" s="8" t="s">
        <v>115</v>
      </c>
      <c r="F1969" s="23">
        <v>46197.434027777781</v>
      </c>
      <c r="G1969" s="8" t="s">
        <v>1035</v>
      </c>
      <c r="H1969" s="23">
        <v>46209</v>
      </c>
      <c r="I1969" s="23">
        <v>46197.434027777781</v>
      </c>
      <c r="J1969" s="10">
        <v>2827</v>
      </c>
      <c r="K1969" s="10">
        <v>0</v>
      </c>
      <c r="L1969" s="24">
        <v>0</v>
      </c>
      <c r="M1969" s="10">
        <v>2827</v>
      </c>
    </row>
    <row r="1970" spans="1:13" x14ac:dyDescent="0.25">
      <c r="A1970" s="12" t="str">
        <f t="shared" si="60"/>
        <v>5005394BRUNO RIBEIRO DOMINGUESRCB46223,4361111111</v>
      </c>
      <c r="B1970" s="12" t="str">
        <f t="shared" si="61"/>
        <v>Julho</v>
      </c>
      <c r="C1970" s="8" t="s">
        <v>2730</v>
      </c>
      <c r="D1970" s="8" t="s">
        <v>664</v>
      </c>
      <c r="E1970" s="8" t="s">
        <v>32</v>
      </c>
      <c r="F1970" s="23">
        <v>46223.436111111114</v>
      </c>
      <c r="G1970" s="8" t="s">
        <v>1045</v>
      </c>
      <c r="H1970" s="23">
        <v>46226</v>
      </c>
      <c r="I1970" s="23">
        <v>46223.436111111114</v>
      </c>
      <c r="J1970" s="10">
        <v>15.8</v>
      </c>
      <c r="K1970" s="10">
        <v>0</v>
      </c>
      <c r="L1970" s="24">
        <v>0</v>
      </c>
      <c r="M1970" s="10">
        <v>15.8</v>
      </c>
    </row>
    <row r="1971" spans="1:13" x14ac:dyDescent="0.25">
      <c r="A1971" s="12" t="str">
        <f t="shared" si="60"/>
        <v>5005395ANTONIO CARLOS DA COSTACT46197,4361111111</v>
      </c>
      <c r="B1971" s="12" t="str">
        <f t="shared" si="61"/>
        <v>Julho</v>
      </c>
      <c r="C1971" s="8" t="s">
        <v>2731</v>
      </c>
      <c r="D1971" s="8" t="s">
        <v>664</v>
      </c>
      <c r="E1971" s="8" t="s">
        <v>19</v>
      </c>
      <c r="F1971" s="23">
        <v>46197.436111111114</v>
      </c>
      <c r="G1971" s="8" t="s">
        <v>1035</v>
      </c>
      <c r="H1971" s="23">
        <v>46209</v>
      </c>
      <c r="I1971" s="23">
        <v>46197.436111111114</v>
      </c>
      <c r="J1971" s="10">
        <v>3437</v>
      </c>
      <c r="K1971" s="10">
        <v>0</v>
      </c>
      <c r="L1971" s="24">
        <v>0</v>
      </c>
      <c r="M1971" s="10">
        <v>3437</v>
      </c>
    </row>
    <row r="1972" spans="1:13" x14ac:dyDescent="0.25">
      <c r="A1972" s="12" t="str">
        <f t="shared" si="60"/>
        <v>5005396ARTUR SILVA VIANACT46197,4381944444</v>
      </c>
      <c r="B1972" s="12" t="str">
        <f t="shared" si="61"/>
        <v>Julho</v>
      </c>
      <c r="C1972" s="8" t="s">
        <v>2732</v>
      </c>
      <c r="D1972" s="8" t="s">
        <v>664</v>
      </c>
      <c r="E1972" s="8" t="s">
        <v>1429</v>
      </c>
      <c r="F1972" s="23">
        <v>46197.438194444447</v>
      </c>
      <c r="G1972" s="8" t="s">
        <v>1035</v>
      </c>
      <c r="H1972" s="23">
        <v>46209</v>
      </c>
      <c r="I1972" s="23">
        <v>46197.438194444447</v>
      </c>
      <c r="J1972" s="10">
        <v>700</v>
      </c>
      <c r="K1972" s="10">
        <v>0</v>
      </c>
      <c r="L1972" s="24">
        <v>0</v>
      </c>
      <c r="M1972" s="10">
        <v>700</v>
      </c>
    </row>
    <row r="1973" spans="1:13" x14ac:dyDescent="0.25">
      <c r="A1973" s="12" t="str">
        <f t="shared" si="60"/>
        <v>5005397RAISSA DE CARVALHO FIORINECT46197,4715277778</v>
      </c>
      <c r="B1973" s="12" t="str">
        <f t="shared" si="61"/>
        <v>Julho</v>
      </c>
      <c r="C1973" s="8" t="s">
        <v>2733</v>
      </c>
      <c r="D1973" s="8" t="s">
        <v>664</v>
      </c>
      <c r="E1973" s="8" t="s">
        <v>163</v>
      </c>
      <c r="F1973" s="23">
        <v>46197.47152777778</v>
      </c>
      <c r="G1973" s="8" t="s">
        <v>1035</v>
      </c>
      <c r="H1973" s="23">
        <v>46209</v>
      </c>
      <c r="I1973" s="23">
        <v>46197.47152777778</v>
      </c>
      <c r="J1973" s="10">
        <v>1162</v>
      </c>
      <c r="K1973" s="10">
        <v>0</v>
      </c>
      <c r="L1973" s="24">
        <v>0</v>
      </c>
      <c r="M1973" s="10">
        <v>1162</v>
      </c>
    </row>
    <row r="1974" spans="1:13" x14ac:dyDescent="0.25">
      <c r="A1974" s="12" t="str">
        <f t="shared" si="60"/>
        <v>5005398BRUNO HENRIQUE DA SILVACT46197,4729166667</v>
      </c>
      <c r="B1974" s="12" t="str">
        <f t="shared" si="61"/>
        <v>Julho</v>
      </c>
      <c r="C1974" s="8" t="s">
        <v>2735</v>
      </c>
      <c r="D1974" s="8" t="s">
        <v>664</v>
      </c>
      <c r="E1974" s="8" t="s">
        <v>29</v>
      </c>
      <c r="F1974" s="23">
        <v>46197.472916666666</v>
      </c>
      <c r="G1974" s="8" t="s">
        <v>1035</v>
      </c>
      <c r="H1974" s="23">
        <v>46209</v>
      </c>
      <c r="I1974" s="23">
        <v>46197.472916666666</v>
      </c>
      <c r="J1974" s="10">
        <v>2477</v>
      </c>
      <c r="K1974" s="10">
        <v>0</v>
      </c>
      <c r="L1974" s="24">
        <v>0</v>
      </c>
      <c r="M1974" s="10">
        <v>2477</v>
      </c>
    </row>
    <row r="1975" spans="1:13" x14ac:dyDescent="0.25">
      <c r="A1975" s="12" t="str">
        <f t="shared" si="60"/>
        <v>5005399MARCELO MARTINS DE OLIVEIRACT46197,4743055556</v>
      </c>
      <c r="B1975" s="12" t="str">
        <f t="shared" si="61"/>
        <v>Julho</v>
      </c>
      <c r="C1975" s="8" t="s">
        <v>2737</v>
      </c>
      <c r="D1975" s="8" t="s">
        <v>664</v>
      </c>
      <c r="E1975" s="8" t="s">
        <v>121</v>
      </c>
      <c r="F1975" s="23">
        <v>46197.474305555559</v>
      </c>
      <c r="G1975" s="8" t="s">
        <v>1035</v>
      </c>
      <c r="H1975" s="23">
        <v>46209</v>
      </c>
      <c r="I1975" s="23">
        <v>46197.474305555559</v>
      </c>
      <c r="J1975" s="10">
        <v>1491</v>
      </c>
      <c r="K1975" s="10">
        <v>0</v>
      </c>
      <c r="L1975" s="24">
        <v>0</v>
      </c>
      <c r="M1975" s="10">
        <v>1491</v>
      </c>
    </row>
    <row r="1976" spans="1:13" x14ac:dyDescent="0.25">
      <c r="A1976" s="12" t="str">
        <f t="shared" si="60"/>
        <v>5005400MARCELO MARTINS DE OLIVEIRARCB46202,38125</v>
      </c>
      <c r="B1976" s="12" t="str">
        <f t="shared" si="61"/>
        <v>Julho</v>
      </c>
      <c r="C1976" s="8" t="s">
        <v>2688</v>
      </c>
      <c r="D1976" s="8" t="s">
        <v>664</v>
      </c>
      <c r="E1976" s="8" t="s">
        <v>121</v>
      </c>
      <c r="F1976" s="23">
        <v>46202.381249999999</v>
      </c>
      <c r="G1976" s="8" t="s">
        <v>1045</v>
      </c>
      <c r="H1976" s="23">
        <v>46205</v>
      </c>
      <c r="I1976" s="23">
        <v>46202.381249999999</v>
      </c>
      <c r="J1976" s="10">
        <v>11</v>
      </c>
      <c r="K1976" s="10">
        <v>0</v>
      </c>
      <c r="L1976" s="24">
        <v>0</v>
      </c>
      <c r="M1976" s="10">
        <v>11</v>
      </c>
    </row>
    <row r="1977" spans="1:13" x14ac:dyDescent="0.25">
      <c r="A1977" s="12" t="str">
        <f t="shared" si="60"/>
        <v>5005400LIDIANE ASSIS ROCHACT46197,4777777778</v>
      </c>
      <c r="B1977" s="12" t="str">
        <f t="shared" si="61"/>
        <v>Julho</v>
      </c>
      <c r="C1977" s="8" t="s">
        <v>2688</v>
      </c>
      <c r="D1977" s="8" t="s">
        <v>664</v>
      </c>
      <c r="E1977" s="8" t="s">
        <v>110</v>
      </c>
      <c r="F1977" s="23">
        <v>46197.477777777778</v>
      </c>
      <c r="G1977" s="8" t="s">
        <v>1035</v>
      </c>
      <c r="H1977" s="23">
        <v>46209</v>
      </c>
      <c r="I1977" s="23">
        <v>46197.477777777778</v>
      </c>
      <c r="J1977" s="10">
        <v>1133</v>
      </c>
      <c r="K1977" s="10">
        <v>0</v>
      </c>
      <c r="L1977" s="24">
        <v>0</v>
      </c>
      <c r="M1977" s="10">
        <v>1133</v>
      </c>
    </row>
    <row r="1978" spans="1:13" x14ac:dyDescent="0.25">
      <c r="A1978" s="12" t="str">
        <f t="shared" si="60"/>
        <v>5005401LIDIANE ASSIS ROCHARCB46204,3972222222</v>
      </c>
      <c r="B1978" s="12" t="str">
        <f t="shared" si="61"/>
        <v>Julho</v>
      </c>
      <c r="C1978" s="8" t="s">
        <v>2699</v>
      </c>
      <c r="D1978" s="8" t="s">
        <v>664</v>
      </c>
      <c r="E1978" s="8" t="s">
        <v>110</v>
      </c>
      <c r="F1978" s="23">
        <v>46204.397222222222</v>
      </c>
      <c r="G1978" s="8" t="s">
        <v>1045</v>
      </c>
      <c r="H1978" s="23">
        <v>46209</v>
      </c>
      <c r="I1978" s="23">
        <v>46204.397222222222</v>
      </c>
      <c r="J1978" s="10">
        <v>131</v>
      </c>
      <c r="K1978" s="10">
        <v>0</v>
      </c>
      <c r="L1978" s="24">
        <v>0</v>
      </c>
      <c r="M1978" s="10">
        <v>131</v>
      </c>
    </row>
    <row r="1979" spans="1:13" x14ac:dyDescent="0.25">
      <c r="A1979" s="12" t="str">
        <f t="shared" si="60"/>
        <v>5005401MARCELO MARTINS DE OLIVEIRARCB46209,3777777778</v>
      </c>
      <c r="B1979" s="12" t="str">
        <f t="shared" si="61"/>
        <v>Julho</v>
      </c>
      <c r="C1979" s="8" t="s">
        <v>2699</v>
      </c>
      <c r="D1979" s="8" t="s">
        <v>664</v>
      </c>
      <c r="E1979" s="8" t="s">
        <v>121</v>
      </c>
      <c r="F1979" s="23">
        <v>46209.37777777778</v>
      </c>
      <c r="G1979" s="8" t="s">
        <v>1045</v>
      </c>
      <c r="H1979" s="23">
        <v>46212</v>
      </c>
      <c r="I1979" s="23">
        <v>46209.37777777778</v>
      </c>
      <c r="J1979" s="10">
        <v>22</v>
      </c>
      <c r="K1979" s="10">
        <v>0</v>
      </c>
      <c r="L1979" s="24">
        <v>0</v>
      </c>
      <c r="M1979" s="10">
        <v>22</v>
      </c>
    </row>
    <row r="1980" spans="1:13" x14ac:dyDescent="0.25">
      <c r="A1980" s="12" t="str">
        <f t="shared" si="60"/>
        <v>5005401NATANIELLE SILVA DE SOUZA MARQUESCT46197,4798611111</v>
      </c>
      <c r="B1980" s="12" t="str">
        <f t="shared" si="61"/>
        <v>Julho</v>
      </c>
      <c r="C1980" s="8" t="s">
        <v>2699</v>
      </c>
      <c r="D1980" s="8" t="s">
        <v>664</v>
      </c>
      <c r="E1980" s="8" t="s">
        <v>135</v>
      </c>
      <c r="F1980" s="23">
        <v>46197.479861111111</v>
      </c>
      <c r="G1980" s="8" t="s">
        <v>1035</v>
      </c>
      <c r="H1980" s="23">
        <v>46209</v>
      </c>
      <c r="I1980" s="23">
        <v>46197.479861111111</v>
      </c>
      <c r="J1980" s="10">
        <v>2406</v>
      </c>
      <c r="K1980" s="10">
        <v>0</v>
      </c>
      <c r="L1980" s="24">
        <v>0</v>
      </c>
      <c r="M1980" s="10">
        <v>2406</v>
      </c>
    </row>
    <row r="1981" spans="1:13" x14ac:dyDescent="0.25">
      <c r="A1981" s="12" t="str">
        <f t="shared" si="60"/>
        <v>5005402JOSE ANTONIO SILVACT46197,48125</v>
      </c>
      <c r="B1981" s="12" t="str">
        <f t="shared" si="61"/>
        <v>Julho</v>
      </c>
      <c r="C1981" s="8" t="s">
        <v>2739</v>
      </c>
      <c r="D1981" s="8" t="s">
        <v>664</v>
      </c>
      <c r="E1981" s="8" t="s">
        <v>99</v>
      </c>
      <c r="F1981" s="23">
        <v>46197.481249999997</v>
      </c>
      <c r="G1981" s="8" t="s">
        <v>1035</v>
      </c>
      <c r="H1981" s="23">
        <v>46209</v>
      </c>
      <c r="I1981" s="23">
        <v>46197.481249999997</v>
      </c>
      <c r="J1981" s="10">
        <v>2214</v>
      </c>
      <c r="K1981" s="10">
        <v>0</v>
      </c>
      <c r="L1981" s="24">
        <v>0</v>
      </c>
      <c r="M1981" s="10">
        <v>2214</v>
      </c>
    </row>
    <row r="1982" spans="1:13" x14ac:dyDescent="0.25">
      <c r="A1982" s="12" t="str">
        <f t="shared" si="60"/>
        <v>5005402LIDIANE ASSIS ROCHARCB46210,4423611111</v>
      </c>
      <c r="B1982" s="12" t="str">
        <f t="shared" si="61"/>
        <v>Julho</v>
      </c>
      <c r="C1982" s="8" t="s">
        <v>2739</v>
      </c>
      <c r="D1982" s="8" t="s">
        <v>664</v>
      </c>
      <c r="E1982" s="8" t="s">
        <v>110</v>
      </c>
      <c r="F1982" s="23">
        <v>46210.442361111112</v>
      </c>
      <c r="G1982" s="8" t="s">
        <v>1045</v>
      </c>
      <c r="H1982" s="23">
        <v>46213</v>
      </c>
      <c r="I1982" s="23">
        <v>46210.442361111112</v>
      </c>
      <c r="J1982" s="10">
        <v>31</v>
      </c>
      <c r="K1982" s="10">
        <v>0</v>
      </c>
      <c r="L1982" s="24">
        <v>0</v>
      </c>
      <c r="M1982" s="10">
        <v>31</v>
      </c>
    </row>
    <row r="1983" spans="1:13" x14ac:dyDescent="0.25">
      <c r="A1983" s="12" t="str">
        <f t="shared" si="60"/>
        <v>5005403DIOGO BONELA TONHACT46197,4826388889</v>
      </c>
      <c r="B1983" s="12" t="str">
        <f t="shared" si="61"/>
        <v>Julho</v>
      </c>
      <c r="C1983" s="8" t="s">
        <v>2740</v>
      </c>
      <c r="D1983" s="8" t="s">
        <v>664</v>
      </c>
      <c r="E1983" s="8" t="s">
        <v>52</v>
      </c>
      <c r="F1983" s="23">
        <v>46197.482638888891</v>
      </c>
      <c r="G1983" s="8" t="s">
        <v>1035</v>
      </c>
      <c r="H1983" s="23">
        <v>46209</v>
      </c>
      <c r="I1983" s="23">
        <v>46197.482638888891</v>
      </c>
      <c r="J1983" s="10">
        <v>416</v>
      </c>
      <c r="K1983" s="10">
        <v>0</v>
      </c>
      <c r="L1983" s="24">
        <v>0</v>
      </c>
      <c r="M1983" s="10">
        <v>416</v>
      </c>
    </row>
    <row r="1984" spans="1:13" x14ac:dyDescent="0.25">
      <c r="A1984" s="12" t="str">
        <f t="shared" si="60"/>
        <v>5005403JOSE ANTONIO SILVARCB46210,4493055556</v>
      </c>
      <c r="B1984" s="12" t="str">
        <f t="shared" si="61"/>
        <v>Julho</v>
      </c>
      <c r="C1984" s="8" t="s">
        <v>2740</v>
      </c>
      <c r="D1984" s="8" t="s">
        <v>664</v>
      </c>
      <c r="E1984" s="8" t="s">
        <v>99</v>
      </c>
      <c r="F1984" s="23">
        <v>46210.449305555558</v>
      </c>
      <c r="G1984" s="8" t="s">
        <v>1045</v>
      </c>
      <c r="H1984" s="23">
        <v>46213</v>
      </c>
      <c r="I1984" s="23">
        <v>46210.449305555558</v>
      </c>
      <c r="J1984" s="10">
        <v>90</v>
      </c>
      <c r="K1984" s="10">
        <v>0</v>
      </c>
      <c r="L1984" s="24">
        <v>0</v>
      </c>
      <c r="M1984" s="10">
        <v>90</v>
      </c>
    </row>
    <row r="1985" spans="1:13" x14ac:dyDescent="0.25">
      <c r="A1985" s="12" t="str">
        <f t="shared" si="60"/>
        <v>5005404BRENDA LUIZA PEREIRACT46197,4840277778</v>
      </c>
      <c r="B1985" s="12" t="str">
        <f t="shared" si="61"/>
        <v>Julho</v>
      </c>
      <c r="C1985" s="8" t="s">
        <v>2741</v>
      </c>
      <c r="D1985" s="8" t="s">
        <v>664</v>
      </c>
      <c r="E1985" s="8" t="s">
        <v>28</v>
      </c>
      <c r="F1985" s="23">
        <v>46197.484027777777</v>
      </c>
      <c r="G1985" s="8" t="s">
        <v>1035</v>
      </c>
      <c r="H1985" s="23">
        <v>46209</v>
      </c>
      <c r="I1985" s="23">
        <v>46197.484027777777</v>
      </c>
      <c r="J1985" s="10">
        <v>942</v>
      </c>
      <c r="K1985" s="10">
        <v>0</v>
      </c>
      <c r="L1985" s="24">
        <v>0</v>
      </c>
      <c r="M1985" s="10">
        <v>942</v>
      </c>
    </row>
    <row r="1986" spans="1:13" x14ac:dyDescent="0.25">
      <c r="A1986" s="12" t="str">
        <f t="shared" ref="A1986:A2049" si="62">$C1986&amp;$E1986&amp;$G1986&amp;$F1986</f>
        <v>5005405JOHNSON RAMOS DE CARVALHOCT46197,4868055556</v>
      </c>
      <c r="B1986" s="12" t="str">
        <f t="shared" si="61"/>
        <v>Julho</v>
      </c>
      <c r="C1986" s="8" t="s">
        <v>2742</v>
      </c>
      <c r="D1986" s="8" t="s">
        <v>664</v>
      </c>
      <c r="E1986" s="8" t="s">
        <v>94</v>
      </c>
      <c r="F1986" s="23">
        <v>46197.486805555556</v>
      </c>
      <c r="G1986" s="8" t="s">
        <v>1035</v>
      </c>
      <c r="H1986" s="23">
        <v>46209</v>
      </c>
      <c r="I1986" s="23">
        <v>46197.486805555556</v>
      </c>
      <c r="J1986" s="10">
        <v>848</v>
      </c>
      <c r="K1986" s="10">
        <v>0</v>
      </c>
      <c r="L1986" s="24">
        <v>0</v>
      </c>
      <c r="M1986" s="10">
        <v>848</v>
      </c>
    </row>
    <row r="1987" spans="1:13" x14ac:dyDescent="0.25">
      <c r="A1987" s="12" t="str">
        <f t="shared" si="62"/>
        <v>5005406JOHNSON RAMOS DE CARVALHORCB46202,3826388889</v>
      </c>
      <c r="B1987" s="12" t="str">
        <f t="shared" ref="B1987:B2050" si="63">PROPER(TEXT($H1987,"MMMM"))</f>
        <v>Julho</v>
      </c>
      <c r="C1987" s="8" t="s">
        <v>2689</v>
      </c>
      <c r="D1987" s="8" t="s">
        <v>664</v>
      </c>
      <c r="E1987" s="8" t="s">
        <v>94</v>
      </c>
      <c r="F1987" s="23">
        <v>46202.382638888892</v>
      </c>
      <c r="G1987" s="8" t="s">
        <v>1045</v>
      </c>
      <c r="H1987" s="23">
        <v>46205</v>
      </c>
      <c r="I1987" s="23">
        <v>46202.382638888892</v>
      </c>
      <c r="J1987" s="10">
        <v>26.8</v>
      </c>
      <c r="K1987" s="10">
        <v>0</v>
      </c>
      <c r="L1987" s="24">
        <v>0</v>
      </c>
      <c r="M1987" s="10">
        <v>26.8</v>
      </c>
    </row>
    <row r="1988" spans="1:13" x14ac:dyDescent="0.25">
      <c r="A1988" s="12" t="str">
        <f t="shared" si="62"/>
        <v>5005406GUSTAVO DE OLIVEIRA SILVACT46197,4895833333</v>
      </c>
      <c r="B1988" s="12" t="str">
        <f t="shared" si="63"/>
        <v>Julho</v>
      </c>
      <c r="C1988" s="8" t="s">
        <v>2689</v>
      </c>
      <c r="D1988" s="8" t="s">
        <v>664</v>
      </c>
      <c r="E1988" s="8" t="s">
        <v>78</v>
      </c>
      <c r="F1988" s="23">
        <v>46197.489583333336</v>
      </c>
      <c r="G1988" s="8" t="s">
        <v>1035</v>
      </c>
      <c r="H1988" s="23">
        <v>46209</v>
      </c>
      <c r="I1988" s="23">
        <v>46197.489583333336</v>
      </c>
      <c r="J1988" s="10">
        <v>2255</v>
      </c>
      <c r="K1988" s="10">
        <v>0</v>
      </c>
      <c r="L1988" s="24">
        <v>0</v>
      </c>
      <c r="M1988" s="10">
        <v>2255</v>
      </c>
    </row>
    <row r="1989" spans="1:13" x14ac:dyDescent="0.25">
      <c r="A1989" s="12" t="str">
        <f t="shared" si="62"/>
        <v>5005407RAISSA DE CARVALHO FIORINECT46197,5423611111</v>
      </c>
      <c r="B1989" s="12" t="str">
        <f t="shared" si="63"/>
        <v>Julho</v>
      </c>
      <c r="C1989" s="8" t="s">
        <v>2734</v>
      </c>
      <c r="D1989" s="8" t="s">
        <v>664</v>
      </c>
      <c r="E1989" s="8" t="s">
        <v>163</v>
      </c>
      <c r="F1989" s="23">
        <v>46197.542361111111</v>
      </c>
      <c r="G1989" s="8" t="s">
        <v>1035</v>
      </c>
      <c r="H1989" s="23">
        <v>46209</v>
      </c>
      <c r="I1989" s="23">
        <v>46197.542361111111</v>
      </c>
      <c r="J1989" s="10">
        <v>385</v>
      </c>
      <c r="K1989" s="10">
        <v>0</v>
      </c>
      <c r="L1989" s="24">
        <v>0</v>
      </c>
      <c r="M1989" s="10">
        <v>385</v>
      </c>
    </row>
    <row r="1990" spans="1:13" x14ac:dyDescent="0.25">
      <c r="A1990" s="12" t="str">
        <f t="shared" si="62"/>
        <v>5005407GUSTAVO DE OLIVEIRA SILVARCB46209,3791666667</v>
      </c>
      <c r="B1990" s="12" t="str">
        <f t="shared" si="63"/>
        <v>Julho</v>
      </c>
      <c r="C1990" s="8" t="s">
        <v>2734</v>
      </c>
      <c r="D1990" s="8" t="s">
        <v>664</v>
      </c>
      <c r="E1990" s="8" t="s">
        <v>78</v>
      </c>
      <c r="F1990" s="23">
        <v>46209.379166666666</v>
      </c>
      <c r="G1990" s="8" t="s">
        <v>1045</v>
      </c>
      <c r="H1990" s="23">
        <v>46212</v>
      </c>
      <c r="I1990" s="23">
        <v>46209.379166666666</v>
      </c>
      <c r="J1990" s="10">
        <v>23.6</v>
      </c>
      <c r="K1990" s="10">
        <v>0</v>
      </c>
      <c r="L1990" s="24">
        <v>0</v>
      </c>
      <c r="M1990" s="10">
        <v>23.6</v>
      </c>
    </row>
    <row r="1991" spans="1:13" x14ac:dyDescent="0.25">
      <c r="A1991" s="12" t="str">
        <f t="shared" si="62"/>
        <v>5005410JAIME GOMES PARAGUAICT46198,6395833333</v>
      </c>
      <c r="B1991" s="12" t="str">
        <f t="shared" si="63"/>
        <v>Julho</v>
      </c>
      <c r="C1991" s="8" t="s">
        <v>2729</v>
      </c>
      <c r="D1991" s="8" t="s">
        <v>664</v>
      </c>
      <c r="E1991" s="8" t="s">
        <v>87</v>
      </c>
      <c r="F1991" s="23">
        <v>46198.63958333333</v>
      </c>
      <c r="G1991" s="8" t="s">
        <v>1035</v>
      </c>
      <c r="H1991" s="23">
        <v>46209</v>
      </c>
      <c r="I1991" s="23">
        <v>46198.63958333333</v>
      </c>
      <c r="J1991" s="10">
        <v>385</v>
      </c>
      <c r="K1991" s="10">
        <v>0</v>
      </c>
      <c r="L1991" s="24">
        <v>0</v>
      </c>
      <c r="M1991" s="10">
        <v>385</v>
      </c>
    </row>
    <row r="1992" spans="1:13" x14ac:dyDescent="0.25">
      <c r="A1992" s="12" t="str">
        <f t="shared" si="62"/>
        <v>5005418BRENDA LUIZA PEREIRARCB46210,4513888889</v>
      </c>
      <c r="B1992" s="12" t="str">
        <f t="shared" si="63"/>
        <v>Julho</v>
      </c>
      <c r="C1992" s="8" t="s">
        <v>2744</v>
      </c>
      <c r="D1992" s="8" t="s">
        <v>664</v>
      </c>
      <c r="E1992" s="8" t="s">
        <v>28</v>
      </c>
      <c r="F1992" s="23">
        <v>46210.451388888891</v>
      </c>
      <c r="G1992" s="8" t="s">
        <v>1045</v>
      </c>
      <c r="H1992" s="23">
        <v>46213</v>
      </c>
      <c r="I1992" s="23">
        <v>46210.451388888891</v>
      </c>
      <c r="J1992" s="10">
        <v>19.89</v>
      </c>
      <c r="K1992" s="10">
        <v>0</v>
      </c>
      <c r="L1992" s="24">
        <v>0</v>
      </c>
      <c r="M1992" s="10">
        <v>19.89</v>
      </c>
    </row>
    <row r="1993" spans="1:13" x14ac:dyDescent="0.25">
      <c r="A1993" s="12" t="str">
        <f t="shared" si="62"/>
        <v>5005419RENILSON DIAS DE BRITOCT46210,8402777778</v>
      </c>
      <c r="B1993" s="12" t="str">
        <f t="shared" si="63"/>
        <v>Julho</v>
      </c>
      <c r="C1993" s="8" t="s">
        <v>2798</v>
      </c>
      <c r="D1993" s="8" t="s">
        <v>664</v>
      </c>
      <c r="E1993" s="8" t="s">
        <v>1383</v>
      </c>
      <c r="F1993" s="23">
        <v>46210.840277777781</v>
      </c>
      <c r="G1993" s="8" t="s">
        <v>1035</v>
      </c>
      <c r="H1993" s="23">
        <v>46220</v>
      </c>
      <c r="I1993" s="23">
        <v>46210.840277777781</v>
      </c>
      <c r="J1993" s="10">
        <v>2100</v>
      </c>
      <c r="K1993" s="10">
        <v>0</v>
      </c>
      <c r="L1993" s="24">
        <v>0</v>
      </c>
      <c r="M1993" s="10">
        <v>2100</v>
      </c>
    </row>
    <row r="1994" spans="1:13" x14ac:dyDescent="0.25">
      <c r="A1994" s="12" t="str">
        <f t="shared" si="62"/>
        <v>5005420VICTOR HUGO SILVA BALBINOCT46210,8416666667</v>
      </c>
      <c r="B1994" s="12" t="str">
        <f t="shared" si="63"/>
        <v>Julho</v>
      </c>
      <c r="C1994" s="8" t="s">
        <v>2799</v>
      </c>
      <c r="D1994" s="8" t="s">
        <v>664</v>
      </c>
      <c r="E1994" s="8" t="s">
        <v>198</v>
      </c>
      <c r="F1994" s="23">
        <v>46210.841666666667</v>
      </c>
      <c r="G1994" s="8" t="s">
        <v>1035</v>
      </c>
      <c r="H1994" s="23">
        <v>46220</v>
      </c>
      <c r="I1994" s="23">
        <v>46210.841666666667</v>
      </c>
      <c r="J1994" s="10">
        <v>1461</v>
      </c>
      <c r="K1994" s="10">
        <v>0</v>
      </c>
      <c r="L1994" s="24">
        <v>0</v>
      </c>
      <c r="M1994" s="10">
        <v>1461</v>
      </c>
    </row>
    <row r="1995" spans="1:13" x14ac:dyDescent="0.25">
      <c r="A1995" s="12" t="str">
        <f t="shared" si="62"/>
        <v>5005421ELIANA HENRIQUE MENDES BARBOSACT46210,8430555556</v>
      </c>
      <c r="B1995" s="12" t="str">
        <f t="shared" si="63"/>
        <v>Julho</v>
      </c>
      <c r="C1995" s="8" t="s">
        <v>2800</v>
      </c>
      <c r="D1995" s="8" t="s">
        <v>664</v>
      </c>
      <c r="E1995" s="8" t="s">
        <v>59</v>
      </c>
      <c r="F1995" s="23">
        <v>46210.843055555553</v>
      </c>
      <c r="G1995" s="8" t="s">
        <v>1035</v>
      </c>
      <c r="H1995" s="23">
        <v>46220</v>
      </c>
      <c r="I1995" s="23">
        <v>46210.843055555553</v>
      </c>
      <c r="J1995" s="10">
        <v>2575</v>
      </c>
      <c r="K1995" s="10">
        <v>0</v>
      </c>
      <c r="L1995" s="24">
        <v>0</v>
      </c>
      <c r="M1995" s="10">
        <v>2575</v>
      </c>
    </row>
    <row r="1996" spans="1:13" x14ac:dyDescent="0.25">
      <c r="A1996" s="12" t="str">
        <f t="shared" si="62"/>
        <v>5005422RAFAEL RODRIGUES FARIACT46210,84375</v>
      </c>
      <c r="B1996" s="12" t="str">
        <f t="shared" si="63"/>
        <v>Julho</v>
      </c>
      <c r="C1996" s="8" t="s">
        <v>2801</v>
      </c>
      <c r="D1996" s="8" t="s">
        <v>664</v>
      </c>
      <c r="E1996" s="8" t="s">
        <v>162</v>
      </c>
      <c r="F1996" s="23">
        <v>46210.84375</v>
      </c>
      <c r="G1996" s="8" t="s">
        <v>1035</v>
      </c>
      <c r="H1996" s="23">
        <v>46220</v>
      </c>
      <c r="I1996" s="23">
        <v>46210.84375</v>
      </c>
      <c r="J1996" s="10">
        <v>1448</v>
      </c>
      <c r="K1996" s="10">
        <v>0</v>
      </c>
      <c r="L1996" s="24">
        <v>0</v>
      </c>
      <c r="M1996" s="10">
        <v>1448</v>
      </c>
    </row>
    <row r="1997" spans="1:13" x14ac:dyDescent="0.25">
      <c r="A1997" s="12" t="str">
        <f t="shared" si="62"/>
        <v>5005423EDUARDO GAUDENCIO ROSACT46210,8458333333</v>
      </c>
      <c r="B1997" s="12" t="str">
        <f t="shared" si="63"/>
        <v>Julho</v>
      </c>
      <c r="C1997" s="8" t="s">
        <v>2802</v>
      </c>
      <c r="D1997" s="8" t="s">
        <v>664</v>
      </c>
      <c r="E1997" s="8" t="s">
        <v>58</v>
      </c>
      <c r="F1997" s="23">
        <v>46210.845833333333</v>
      </c>
      <c r="G1997" s="8" t="s">
        <v>1035</v>
      </c>
      <c r="H1997" s="23">
        <v>46220</v>
      </c>
      <c r="I1997" s="23">
        <v>46210.845833333333</v>
      </c>
      <c r="J1997" s="10">
        <v>6770</v>
      </c>
      <c r="K1997" s="10">
        <v>0</v>
      </c>
      <c r="L1997" s="24">
        <v>0</v>
      </c>
      <c r="M1997" s="10">
        <v>6770</v>
      </c>
    </row>
    <row r="1998" spans="1:13" x14ac:dyDescent="0.25">
      <c r="A1998" s="12" t="str">
        <f t="shared" si="62"/>
        <v>5005424CRISTIAN ALVES MOREIRACT46210,8465277778</v>
      </c>
      <c r="B1998" s="12" t="str">
        <f t="shared" si="63"/>
        <v>Julho</v>
      </c>
      <c r="C1998" s="8" t="s">
        <v>2803</v>
      </c>
      <c r="D1998" s="8" t="s">
        <v>664</v>
      </c>
      <c r="E1998" s="8" t="s">
        <v>46</v>
      </c>
      <c r="F1998" s="23">
        <v>46210.84652777778</v>
      </c>
      <c r="G1998" s="8" t="s">
        <v>1035</v>
      </c>
      <c r="H1998" s="23">
        <v>46220</v>
      </c>
      <c r="I1998" s="23">
        <v>46210.84652777778</v>
      </c>
      <c r="J1998" s="10">
        <v>770</v>
      </c>
      <c r="K1998" s="10">
        <v>0</v>
      </c>
      <c r="L1998" s="24">
        <v>0</v>
      </c>
      <c r="M1998" s="10">
        <v>770</v>
      </c>
    </row>
    <row r="1999" spans="1:13" x14ac:dyDescent="0.25">
      <c r="A1999" s="12" t="str">
        <f t="shared" si="62"/>
        <v>5005425PAULO RICARDO SILVACT46210,8472222222</v>
      </c>
      <c r="B1999" s="12" t="str">
        <f t="shared" si="63"/>
        <v>Julho</v>
      </c>
      <c r="C1999" s="8" t="s">
        <v>2804</v>
      </c>
      <c r="D1999" s="8" t="s">
        <v>664</v>
      </c>
      <c r="E1999" s="8" t="s">
        <v>153</v>
      </c>
      <c r="F1999" s="23">
        <v>46210.847222222219</v>
      </c>
      <c r="G1999" s="8" t="s">
        <v>1035</v>
      </c>
      <c r="H1999" s="23">
        <v>46220</v>
      </c>
      <c r="I1999" s="23">
        <v>46210.847222222219</v>
      </c>
      <c r="J1999" s="10">
        <v>4140</v>
      </c>
      <c r="K1999" s="10">
        <v>0</v>
      </c>
      <c r="L1999" s="24">
        <v>0</v>
      </c>
      <c r="M1999" s="10">
        <v>4140</v>
      </c>
    </row>
    <row r="2000" spans="1:13" x14ac:dyDescent="0.25">
      <c r="A2000" s="12" t="str">
        <f t="shared" si="62"/>
        <v>5005426ADRIANO ROBERTOCT46210,8486111111</v>
      </c>
      <c r="B2000" s="12" t="str">
        <f t="shared" si="63"/>
        <v>Julho</v>
      </c>
      <c r="C2000" s="8" t="s">
        <v>2805</v>
      </c>
      <c r="D2000" s="8" t="s">
        <v>664</v>
      </c>
      <c r="E2000" s="8" t="s">
        <v>8</v>
      </c>
      <c r="F2000" s="23">
        <v>46210.848611111112</v>
      </c>
      <c r="G2000" s="8" t="s">
        <v>1035</v>
      </c>
      <c r="H2000" s="23">
        <v>46220</v>
      </c>
      <c r="I2000" s="23">
        <v>46210.848611111112</v>
      </c>
      <c r="J2000" s="10">
        <v>3575</v>
      </c>
      <c r="K2000" s="10">
        <v>0</v>
      </c>
      <c r="L2000" s="24">
        <v>0</v>
      </c>
      <c r="M2000" s="10">
        <v>3575</v>
      </c>
    </row>
    <row r="2001" spans="1:13" x14ac:dyDescent="0.25">
      <c r="A2001" s="12" t="str">
        <f t="shared" si="62"/>
        <v>5005427NELCIDES JOSE VIEIRACT46210,85</v>
      </c>
      <c r="B2001" s="12" t="str">
        <f t="shared" si="63"/>
        <v>Julho</v>
      </c>
      <c r="C2001" s="8" t="s">
        <v>2806</v>
      </c>
      <c r="D2001" s="8" t="s">
        <v>664</v>
      </c>
      <c r="E2001" s="8" t="s">
        <v>137</v>
      </c>
      <c r="F2001" s="23">
        <v>46210.85</v>
      </c>
      <c r="G2001" s="8" t="s">
        <v>1035</v>
      </c>
      <c r="H2001" s="23">
        <v>46220</v>
      </c>
      <c r="I2001" s="23">
        <v>46210.85</v>
      </c>
      <c r="J2001" s="10">
        <v>4418</v>
      </c>
      <c r="K2001" s="10">
        <v>0</v>
      </c>
      <c r="L2001" s="24">
        <v>0</v>
      </c>
      <c r="M2001" s="10">
        <v>4418</v>
      </c>
    </row>
    <row r="2002" spans="1:13" x14ac:dyDescent="0.25">
      <c r="A2002" s="12" t="str">
        <f t="shared" si="62"/>
        <v>5005428WILLIAM DE SOUZA VIEIRACT46210,8506944444</v>
      </c>
      <c r="B2002" s="12" t="str">
        <f t="shared" si="63"/>
        <v>Julho</v>
      </c>
      <c r="C2002" s="8" t="s">
        <v>2807</v>
      </c>
      <c r="D2002" s="8" t="s">
        <v>664</v>
      </c>
      <c r="E2002" s="8" t="s">
        <v>1542</v>
      </c>
      <c r="F2002" s="23">
        <v>46210.850694444445</v>
      </c>
      <c r="G2002" s="8" t="s">
        <v>1035</v>
      </c>
      <c r="H2002" s="23">
        <v>46220</v>
      </c>
      <c r="I2002" s="23">
        <v>46210.850694444445</v>
      </c>
      <c r="J2002" s="10">
        <v>350</v>
      </c>
      <c r="K2002" s="10">
        <v>0</v>
      </c>
      <c r="L2002" s="24">
        <v>0</v>
      </c>
      <c r="M2002" s="10">
        <v>350</v>
      </c>
    </row>
    <row r="2003" spans="1:13" x14ac:dyDescent="0.25">
      <c r="A2003" s="12" t="str">
        <f t="shared" si="62"/>
        <v>5005429JOAO MARCOS DE SOUZA PINTOCT46210,8513888889</v>
      </c>
      <c r="B2003" s="12" t="str">
        <f t="shared" si="63"/>
        <v>Julho</v>
      </c>
      <c r="C2003" s="8" t="s">
        <v>2808</v>
      </c>
      <c r="D2003" s="8" t="s">
        <v>664</v>
      </c>
      <c r="E2003" s="8" t="s">
        <v>1544</v>
      </c>
      <c r="F2003" s="23">
        <v>46210.851388888892</v>
      </c>
      <c r="G2003" s="8" t="s">
        <v>1035</v>
      </c>
      <c r="H2003" s="23">
        <v>46220</v>
      </c>
      <c r="I2003" s="23">
        <v>46210.851388888892</v>
      </c>
      <c r="J2003" s="10">
        <v>700</v>
      </c>
      <c r="K2003" s="10">
        <v>0</v>
      </c>
      <c r="L2003" s="24">
        <v>0</v>
      </c>
      <c r="M2003" s="10">
        <v>700</v>
      </c>
    </row>
    <row r="2004" spans="1:13" x14ac:dyDescent="0.25">
      <c r="A2004" s="12" t="str">
        <f t="shared" si="62"/>
        <v>5005430CARLOS ANTONIO PINTOCT46210,8527777778</v>
      </c>
      <c r="B2004" s="12" t="str">
        <f t="shared" si="63"/>
        <v>Julho</v>
      </c>
      <c r="C2004" s="8" t="s">
        <v>2809</v>
      </c>
      <c r="D2004" s="8" t="s">
        <v>664</v>
      </c>
      <c r="E2004" s="8" t="s">
        <v>36</v>
      </c>
      <c r="F2004" s="23">
        <v>46210.852777777778</v>
      </c>
      <c r="G2004" s="8" t="s">
        <v>1035</v>
      </c>
      <c r="H2004" s="23">
        <v>46220</v>
      </c>
      <c r="I2004" s="23">
        <v>46210.852777777778</v>
      </c>
      <c r="J2004" s="10">
        <v>5436</v>
      </c>
      <c r="K2004" s="10">
        <v>0</v>
      </c>
      <c r="L2004" s="24">
        <v>0</v>
      </c>
      <c r="M2004" s="10">
        <v>5436</v>
      </c>
    </row>
    <row r="2005" spans="1:13" x14ac:dyDescent="0.25">
      <c r="A2005" s="12" t="str">
        <f t="shared" si="62"/>
        <v>5005431ADRIANA DA SILVA SANTOS FERREIRACT46210,8534722222</v>
      </c>
      <c r="B2005" s="12" t="str">
        <f t="shared" si="63"/>
        <v>Julho</v>
      </c>
      <c r="C2005" s="8" t="s">
        <v>2810</v>
      </c>
      <c r="D2005" s="8" t="s">
        <v>664</v>
      </c>
      <c r="E2005" s="8" t="s">
        <v>1413</v>
      </c>
      <c r="F2005" s="23">
        <v>46210.853472222225</v>
      </c>
      <c r="G2005" s="8" t="s">
        <v>1035</v>
      </c>
      <c r="H2005" s="23">
        <v>46220</v>
      </c>
      <c r="I2005" s="23">
        <v>46210.853472222225</v>
      </c>
      <c r="J2005" s="10">
        <v>1050</v>
      </c>
      <c r="K2005" s="10">
        <v>0</v>
      </c>
      <c r="L2005" s="24">
        <v>0</v>
      </c>
      <c r="M2005" s="10">
        <v>1050</v>
      </c>
    </row>
    <row r="2006" spans="1:13" x14ac:dyDescent="0.25">
      <c r="A2006" s="12" t="str">
        <f t="shared" si="62"/>
        <v>5005432JORGE MARTINS BORGES JUNIORCT46210,8548611111</v>
      </c>
      <c r="B2006" s="12" t="str">
        <f t="shared" si="63"/>
        <v>Julho</v>
      </c>
      <c r="C2006" s="8" t="s">
        <v>2811</v>
      </c>
      <c r="D2006" s="8" t="s">
        <v>664</v>
      </c>
      <c r="E2006" s="8" t="s">
        <v>97</v>
      </c>
      <c r="F2006" s="23">
        <v>46210.854861111111</v>
      </c>
      <c r="G2006" s="8" t="s">
        <v>1035</v>
      </c>
      <c r="H2006" s="23">
        <v>46220</v>
      </c>
      <c r="I2006" s="23">
        <v>46210.854861111111</v>
      </c>
      <c r="J2006" s="10">
        <v>4377</v>
      </c>
      <c r="K2006" s="10">
        <v>0</v>
      </c>
      <c r="L2006" s="24">
        <v>0</v>
      </c>
      <c r="M2006" s="10">
        <v>4377</v>
      </c>
    </row>
    <row r="2007" spans="1:13" x14ac:dyDescent="0.25">
      <c r="A2007" s="12" t="str">
        <f t="shared" si="62"/>
        <v>5005433JORGE MARTINS BORGES JUNIORRCB46216,4645833333</v>
      </c>
      <c r="B2007" s="12" t="str">
        <f t="shared" si="63"/>
        <v>Julho</v>
      </c>
      <c r="C2007" s="8" t="s">
        <v>2756</v>
      </c>
      <c r="D2007" s="8" t="s">
        <v>664</v>
      </c>
      <c r="E2007" s="8" t="s">
        <v>97</v>
      </c>
      <c r="F2007" s="23">
        <v>46216.464583333334</v>
      </c>
      <c r="G2007" s="8" t="s">
        <v>1045</v>
      </c>
      <c r="H2007" s="23">
        <v>46219</v>
      </c>
      <c r="I2007" s="23">
        <v>46216.464583333334</v>
      </c>
      <c r="J2007" s="10">
        <v>15.8</v>
      </c>
      <c r="K2007" s="10">
        <v>0</v>
      </c>
      <c r="L2007" s="24">
        <v>0</v>
      </c>
      <c r="M2007" s="10">
        <v>15.8</v>
      </c>
    </row>
    <row r="2008" spans="1:13" x14ac:dyDescent="0.25">
      <c r="A2008" s="12" t="str">
        <f t="shared" si="62"/>
        <v>5005433JAIME GOMES PARAGUAICT46210,85625</v>
      </c>
      <c r="B2008" s="12" t="str">
        <f t="shared" si="63"/>
        <v>Julho</v>
      </c>
      <c r="C2008" s="8" t="s">
        <v>2756</v>
      </c>
      <c r="D2008" s="8" t="s">
        <v>664</v>
      </c>
      <c r="E2008" s="8" t="s">
        <v>87</v>
      </c>
      <c r="F2008" s="23">
        <v>46210.856249999997</v>
      </c>
      <c r="G2008" s="8" t="s">
        <v>1035</v>
      </c>
      <c r="H2008" s="23">
        <v>46220</v>
      </c>
      <c r="I2008" s="23">
        <v>46210.856249999997</v>
      </c>
      <c r="J2008" s="10">
        <v>2277</v>
      </c>
      <c r="K2008" s="10">
        <v>0</v>
      </c>
      <c r="L2008" s="24">
        <v>0</v>
      </c>
      <c r="M2008" s="10">
        <v>2277</v>
      </c>
    </row>
    <row r="2009" spans="1:13" x14ac:dyDescent="0.25">
      <c r="A2009" s="12" t="str">
        <f t="shared" si="62"/>
        <v>5005434MAGNO APARECIDO DE JESUSCT46210,8569444444</v>
      </c>
      <c r="B2009" s="12" t="str">
        <f t="shared" si="63"/>
        <v>Julho</v>
      </c>
      <c r="C2009" s="8" t="s">
        <v>2812</v>
      </c>
      <c r="D2009" s="8" t="s">
        <v>664</v>
      </c>
      <c r="E2009" s="8" t="s">
        <v>115</v>
      </c>
      <c r="F2009" s="23">
        <v>46210.856944444444</v>
      </c>
      <c r="G2009" s="8" t="s">
        <v>1035</v>
      </c>
      <c r="H2009" s="23">
        <v>46220</v>
      </c>
      <c r="I2009" s="23">
        <v>46210.856944444444</v>
      </c>
      <c r="J2009" s="10">
        <v>3503</v>
      </c>
      <c r="K2009" s="10">
        <v>0</v>
      </c>
      <c r="L2009" s="24">
        <v>0</v>
      </c>
      <c r="M2009" s="10">
        <v>3503</v>
      </c>
    </row>
    <row r="2010" spans="1:13" x14ac:dyDescent="0.25">
      <c r="A2010" s="12" t="str">
        <f t="shared" si="62"/>
        <v>5005434JORGE MARTINS BORGES JUNIORRCB46223,4326388889</v>
      </c>
      <c r="B2010" s="12" t="str">
        <f t="shared" si="63"/>
        <v>Julho</v>
      </c>
      <c r="C2010" s="8" t="s">
        <v>2812</v>
      </c>
      <c r="D2010" s="8" t="s">
        <v>664</v>
      </c>
      <c r="E2010" s="8" t="s">
        <v>97</v>
      </c>
      <c r="F2010" s="23">
        <v>46223.432638888888</v>
      </c>
      <c r="G2010" s="8" t="s">
        <v>1045</v>
      </c>
      <c r="H2010" s="23">
        <v>46226</v>
      </c>
      <c r="I2010" s="23">
        <v>46223.432638888888</v>
      </c>
      <c r="J2010" s="10">
        <v>11</v>
      </c>
      <c r="K2010" s="10">
        <v>0</v>
      </c>
      <c r="L2010" s="24">
        <v>0</v>
      </c>
      <c r="M2010" s="10">
        <v>11</v>
      </c>
    </row>
    <row r="2011" spans="1:13" x14ac:dyDescent="0.25">
      <c r="A2011" s="12" t="str">
        <f t="shared" si="62"/>
        <v>5005435ANTONIO CARLOS DA COSTACT46210,8583333333</v>
      </c>
      <c r="B2011" s="12" t="str">
        <f t="shared" si="63"/>
        <v>Julho</v>
      </c>
      <c r="C2011" s="8" t="s">
        <v>2813</v>
      </c>
      <c r="D2011" s="8" t="s">
        <v>664</v>
      </c>
      <c r="E2011" s="8" t="s">
        <v>19</v>
      </c>
      <c r="F2011" s="23">
        <v>46210.85833333333</v>
      </c>
      <c r="G2011" s="8" t="s">
        <v>1035</v>
      </c>
      <c r="H2011" s="23">
        <v>46220</v>
      </c>
      <c r="I2011" s="23">
        <v>46210.85833333333</v>
      </c>
      <c r="J2011" s="10">
        <v>4990</v>
      </c>
      <c r="K2011" s="10">
        <v>0</v>
      </c>
      <c r="L2011" s="24">
        <v>0</v>
      </c>
      <c r="M2011" s="10">
        <v>4990</v>
      </c>
    </row>
    <row r="2012" spans="1:13" x14ac:dyDescent="0.25">
      <c r="A2012" s="12" t="str">
        <f t="shared" si="62"/>
        <v>5005436ARTUR SILVA VIANACT46210,8597222222</v>
      </c>
      <c r="B2012" s="12" t="str">
        <f t="shared" si="63"/>
        <v>Julho</v>
      </c>
      <c r="C2012" s="8" t="s">
        <v>2814</v>
      </c>
      <c r="D2012" s="8" t="s">
        <v>664</v>
      </c>
      <c r="E2012" s="8" t="s">
        <v>1429</v>
      </c>
      <c r="F2012" s="23">
        <v>46210.859722222223</v>
      </c>
      <c r="G2012" s="8" t="s">
        <v>1035</v>
      </c>
      <c r="H2012" s="23">
        <v>46220</v>
      </c>
      <c r="I2012" s="23">
        <v>46210.859722222223</v>
      </c>
      <c r="J2012" s="10">
        <v>2450</v>
      </c>
      <c r="K2012" s="10">
        <v>0</v>
      </c>
      <c r="L2012" s="24">
        <v>0</v>
      </c>
      <c r="M2012" s="10">
        <v>2450</v>
      </c>
    </row>
    <row r="2013" spans="1:13" x14ac:dyDescent="0.25">
      <c r="A2013" s="12" t="str">
        <f t="shared" si="62"/>
        <v>5005437RAISSA DE CARVALHO FIORINECT46210,8604166667</v>
      </c>
      <c r="B2013" s="12" t="str">
        <f t="shared" si="63"/>
        <v>Julho</v>
      </c>
      <c r="C2013" s="8" t="s">
        <v>2815</v>
      </c>
      <c r="D2013" s="8" t="s">
        <v>664</v>
      </c>
      <c r="E2013" s="8" t="s">
        <v>163</v>
      </c>
      <c r="F2013" s="23">
        <v>46210.86041666667</v>
      </c>
      <c r="G2013" s="8" t="s">
        <v>1035</v>
      </c>
      <c r="H2013" s="23">
        <v>46220</v>
      </c>
      <c r="I2013" s="23">
        <v>46210.86041666667</v>
      </c>
      <c r="J2013" s="10">
        <v>4822</v>
      </c>
      <c r="K2013" s="10">
        <v>0</v>
      </c>
      <c r="L2013" s="24">
        <v>0</v>
      </c>
      <c r="M2013" s="10">
        <v>4822</v>
      </c>
    </row>
    <row r="2014" spans="1:13" x14ac:dyDescent="0.25">
      <c r="A2014" s="12" t="str">
        <f t="shared" si="62"/>
        <v>5005438BRUNO HENRIQUE DA SILVACT46210,8618055556</v>
      </c>
      <c r="B2014" s="12" t="str">
        <f t="shared" si="63"/>
        <v>Julho</v>
      </c>
      <c r="C2014" s="8" t="s">
        <v>2816</v>
      </c>
      <c r="D2014" s="8" t="s">
        <v>664</v>
      </c>
      <c r="E2014" s="8" t="s">
        <v>29</v>
      </c>
      <c r="F2014" s="23">
        <v>46210.861805555556</v>
      </c>
      <c r="G2014" s="8" t="s">
        <v>1035</v>
      </c>
      <c r="H2014" s="23">
        <v>46220</v>
      </c>
      <c r="I2014" s="23">
        <v>46210.861805555556</v>
      </c>
      <c r="J2014" s="10">
        <v>2176</v>
      </c>
      <c r="K2014" s="10">
        <v>0</v>
      </c>
      <c r="L2014" s="24">
        <v>0</v>
      </c>
      <c r="M2014" s="10">
        <v>2176</v>
      </c>
    </row>
    <row r="2015" spans="1:13" x14ac:dyDescent="0.25">
      <c r="A2015" s="12" t="str">
        <f t="shared" si="62"/>
        <v>5005439BRUNO HENRIQUE DA SILVARCB46217,4923611111</v>
      </c>
      <c r="B2015" s="12" t="str">
        <f t="shared" si="63"/>
        <v>Julho</v>
      </c>
      <c r="C2015" s="8" t="s">
        <v>2761</v>
      </c>
      <c r="D2015" s="8" t="s">
        <v>664</v>
      </c>
      <c r="E2015" s="8" t="s">
        <v>29</v>
      </c>
      <c r="F2015" s="23">
        <v>46217.492361111108</v>
      </c>
      <c r="G2015" s="8" t="s">
        <v>1045</v>
      </c>
      <c r="H2015" s="23">
        <v>46220</v>
      </c>
      <c r="I2015" s="23">
        <v>46217.492361111108</v>
      </c>
      <c r="J2015" s="10">
        <v>123.1</v>
      </c>
      <c r="K2015" s="10">
        <v>0</v>
      </c>
      <c r="L2015" s="24">
        <v>0</v>
      </c>
      <c r="M2015" s="10">
        <v>123.1</v>
      </c>
    </row>
    <row r="2016" spans="1:13" x14ac:dyDescent="0.25">
      <c r="A2016" s="12" t="str">
        <f t="shared" si="62"/>
        <v>5005439MARCELO MARTINS DE OLIVEIRACT46210,8631944444</v>
      </c>
      <c r="B2016" s="12" t="str">
        <f t="shared" si="63"/>
        <v>Julho</v>
      </c>
      <c r="C2016" s="8" t="s">
        <v>2761</v>
      </c>
      <c r="D2016" s="8" t="s">
        <v>664</v>
      </c>
      <c r="E2016" s="8" t="s">
        <v>121</v>
      </c>
      <c r="F2016" s="23">
        <v>46210.863194444442</v>
      </c>
      <c r="G2016" s="8" t="s">
        <v>1035</v>
      </c>
      <c r="H2016" s="23">
        <v>46220</v>
      </c>
      <c r="I2016" s="23">
        <v>46210.863194444442</v>
      </c>
      <c r="J2016" s="10">
        <v>2162</v>
      </c>
      <c r="K2016" s="10">
        <v>0</v>
      </c>
      <c r="L2016" s="24">
        <v>0</v>
      </c>
      <c r="M2016" s="10">
        <v>2162</v>
      </c>
    </row>
    <row r="2017" spans="1:13" x14ac:dyDescent="0.25">
      <c r="A2017" s="12" t="str">
        <f t="shared" si="62"/>
        <v>5005440MARCELO MARTINS DE OLIVEIRARCB46216,4652777778</v>
      </c>
      <c r="B2017" s="12" t="str">
        <f t="shared" si="63"/>
        <v>Julho</v>
      </c>
      <c r="C2017" s="8" t="s">
        <v>2757</v>
      </c>
      <c r="D2017" s="8" t="s">
        <v>664</v>
      </c>
      <c r="E2017" s="8" t="s">
        <v>121</v>
      </c>
      <c r="F2017" s="23">
        <v>46216.465277777781</v>
      </c>
      <c r="G2017" s="8" t="s">
        <v>1045</v>
      </c>
      <c r="H2017" s="23">
        <v>46219</v>
      </c>
      <c r="I2017" s="23">
        <v>46216.465277777781</v>
      </c>
      <c r="J2017" s="10">
        <v>30.5</v>
      </c>
      <c r="K2017" s="10">
        <v>0</v>
      </c>
      <c r="L2017" s="24">
        <v>0</v>
      </c>
      <c r="M2017" s="10">
        <v>30.5</v>
      </c>
    </row>
    <row r="2018" spans="1:13" x14ac:dyDescent="0.25">
      <c r="A2018" s="12" t="str">
        <f t="shared" si="62"/>
        <v>5005440LIDIANE ASSIS ROCHACT46210,8645833333</v>
      </c>
      <c r="B2018" s="12" t="str">
        <f t="shared" si="63"/>
        <v>Julho</v>
      </c>
      <c r="C2018" s="8" t="s">
        <v>2757</v>
      </c>
      <c r="D2018" s="8" t="s">
        <v>664</v>
      </c>
      <c r="E2018" s="8" t="s">
        <v>110</v>
      </c>
      <c r="F2018" s="23">
        <v>46210.864583333336</v>
      </c>
      <c r="G2018" s="8" t="s">
        <v>1035</v>
      </c>
      <c r="H2018" s="23">
        <v>46220</v>
      </c>
      <c r="I2018" s="23">
        <v>46210.864583333336</v>
      </c>
      <c r="J2018" s="10">
        <v>3927</v>
      </c>
      <c r="K2018" s="10">
        <v>0</v>
      </c>
      <c r="L2018" s="24">
        <v>0</v>
      </c>
      <c r="M2018" s="10">
        <v>3927</v>
      </c>
    </row>
    <row r="2019" spans="1:13" x14ac:dyDescent="0.25">
      <c r="A2019" s="12" t="str">
        <f t="shared" si="62"/>
        <v>5005441NATANIELLE SILVA DE SOUZA MARQUESCT46210,8659722222</v>
      </c>
      <c r="B2019" s="12" t="str">
        <f t="shared" si="63"/>
        <v>Julho</v>
      </c>
      <c r="C2019" s="8" t="s">
        <v>2817</v>
      </c>
      <c r="D2019" s="8" t="s">
        <v>664</v>
      </c>
      <c r="E2019" s="8" t="s">
        <v>135</v>
      </c>
      <c r="F2019" s="23">
        <v>46210.865972222222</v>
      </c>
      <c r="G2019" s="8" t="s">
        <v>1035</v>
      </c>
      <c r="H2019" s="23">
        <v>46220</v>
      </c>
      <c r="I2019" s="23">
        <v>46210.865972222222</v>
      </c>
      <c r="J2019" s="10">
        <v>5254</v>
      </c>
      <c r="K2019" s="10">
        <v>0</v>
      </c>
      <c r="L2019" s="24">
        <v>0</v>
      </c>
      <c r="M2019" s="10">
        <v>5254</v>
      </c>
    </row>
    <row r="2020" spans="1:13" x14ac:dyDescent="0.25">
      <c r="A2020" s="12" t="str">
        <f t="shared" si="62"/>
        <v>5005441MARCELO MARTINS DE OLIVEIRARCB46223,4340277778</v>
      </c>
      <c r="B2020" s="12" t="str">
        <f t="shared" si="63"/>
        <v>Julho</v>
      </c>
      <c r="C2020" s="8" t="s">
        <v>2817</v>
      </c>
      <c r="D2020" s="8" t="s">
        <v>664</v>
      </c>
      <c r="E2020" s="8" t="s">
        <v>121</v>
      </c>
      <c r="F2020" s="23">
        <v>46223.434027777781</v>
      </c>
      <c r="G2020" s="8" t="s">
        <v>1045</v>
      </c>
      <c r="H2020" s="23">
        <v>46226</v>
      </c>
      <c r="I2020" s="23">
        <v>46223.434027777781</v>
      </c>
      <c r="J2020" s="10">
        <v>30.5</v>
      </c>
      <c r="K2020" s="10">
        <v>0</v>
      </c>
      <c r="L2020" s="24">
        <v>0</v>
      </c>
      <c r="M2020" s="10">
        <v>30.5</v>
      </c>
    </row>
    <row r="2021" spans="1:13" x14ac:dyDescent="0.25">
      <c r="A2021" s="12" t="str">
        <f t="shared" si="62"/>
        <v>5005442NATANIELLE SILVA DE SOUZA MARQUESRCB46217,4333333333</v>
      </c>
      <c r="B2021" s="12" t="str">
        <f t="shared" si="63"/>
        <v>Julho</v>
      </c>
      <c r="C2021" s="8" t="s">
        <v>2762</v>
      </c>
      <c r="D2021" s="8" t="s">
        <v>664</v>
      </c>
      <c r="E2021" s="8" t="s">
        <v>135</v>
      </c>
      <c r="F2021" s="23">
        <v>46217.433333333334</v>
      </c>
      <c r="G2021" s="8" t="s">
        <v>1045</v>
      </c>
      <c r="H2021" s="23">
        <v>46220</v>
      </c>
      <c r="I2021" s="23">
        <v>46217.433333333334</v>
      </c>
      <c r="J2021" s="10">
        <v>233.6</v>
      </c>
      <c r="K2021" s="10">
        <v>0</v>
      </c>
      <c r="L2021" s="24">
        <v>0</v>
      </c>
      <c r="M2021" s="10">
        <v>233.6</v>
      </c>
    </row>
    <row r="2022" spans="1:13" x14ac:dyDescent="0.25">
      <c r="A2022" s="12" t="str">
        <f t="shared" si="62"/>
        <v>5005442JOSE MARCIO DA SILVACT46210,8666666667</v>
      </c>
      <c r="B2022" s="12" t="str">
        <f t="shared" si="63"/>
        <v>Julho</v>
      </c>
      <c r="C2022" s="8" t="s">
        <v>2762</v>
      </c>
      <c r="D2022" s="8" t="s">
        <v>664</v>
      </c>
      <c r="E2022" s="8" t="s">
        <v>1576</v>
      </c>
      <c r="F2022" s="23">
        <v>46210.866666666669</v>
      </c>
      <c r="G2022" s="8" t="s">
        <v>1035</v>
      </c>
      <c r="H2022" s="23">
        <v>46220</v>
      </c>
      <c r="I2022" s="23">
        <v>46210.866666666669</v>
      </c>
      <c r="J2022" s="10">
        <v>1750</v>
      </c>
      <c r="K2022" s="10">
        <v>0</v>
      </c>
      <c r="L2022" s="24">
        <v>0</v>
      </c>
      <c r="M2022" s="10">
        <v>1750</v>
      </c>
    </row>
    <row r="2023" spans="1:13" x14ac:dyDescent="0.25">
      <c r="A2023" s="12" t="str">
        <f t="shared" si="62"/>
        <v>5005443JOSE ANTONIO SILVACT46210,86875</v>
      </c>
      <c r="B2023" s="12" t="str">
        <f t="shared" si="63"/>
        <v>Julho</v>
      </c>
      <c r="C2023" s="8" t="s">
        <v>2819</v>
      </c>
      <c r="D2023" s="8" t="s">
        <v>664</v>
      </c>
      <c r="E2023" s="8" t="s">
        <v>99</v>
      </c>
      <c r="F2023" s="23">
        <v>46210.868750000001</v>
      </c>
      <c r="G2023" s="8" t="s">
        <v>1035</v>
      </c>
      <c r="H2023" s="23">
        <v>46220</v>
      </c>
      <c r="I2023" s="23">
        <v>46210.868750000001</v>
      </c>
      <c r="J2023" s="10">
        <v>4211</v>
      </c>
      <c r="K2023" s="10">
        <v>0</v>
      </c>
      <c r="L2023" s="24">
        <v>0</v>
      </c>
      <c r="M2023" s="10">
        <v>4211</v>
      </c>
    </row>
    <row r="2024" spans="1:13" x14ac:dyDescent="0.25">
      <c r="A2024" s="12" t="str">
        <f t="shared" si="62"/>
        <v>5005444JOSE ANTONIO SILVARCB46217,43125</v>
      </c>
      <c r="B2024" s="12" t="str">
        <f t="shared" si="63"/>
        <v>Julho</v>
      </c>
      <c r="C2024" s="8" t="s">
        <v>2763</v>
      </c>
      <c r="D2024" s="8" t="s">
        <v>664</v>
      </c>
      <c r="E2024" s="8" t="s">
        <v>99</v>
      </c>
      <c r="F2024" s="23">
        <v>46217.431250000001</v>
      </c>
      <c r="G2024" s="8" t="s">
        <v>1045</v>
      </c>
      <c r="H2024" s="23">
        <v>46220</v>
      </c>
      <c r="I2024" s="23">
        <v>46217.431250000001</v>
      </c>
      <c r="J2024" s="10">
        <v>540</v>
      </c>
      <c r="K2024" s="10">
        <v>0</v>
      </c>
      <c r="L2024" s="24">
        <v>0</v>
      </c>
      <c r="M2024" s="10">
        <v>540</v>
      </c>
    </row>
    <row r="2025" spans="1:13" x14ac:dyDescent="0.25">
      <c r="A2025" s="12" t="str">
        <f t="shared" si="62"/>
        <v>5005444DIOGO BONELA TONHACT46210,8694444444</v>
      </c>
      <c r="B2025" s="12" t="str">
        <f t="shared" si="63"/>
        <v>Julho</v>
      </c>
      <c r="C2025" s="8" t="s">
        <v>2763</v>
      </c>
      <c r="D2025" s="8" t="s">
        <v>664</v>
      </c>
      <c r="E2025" s="8" t="s">
        <v>52</v>
      </c>
      <c r="F2025" s="23">
        <v>46210.869444444441</v>
      </c>
      <c r="G2025" s="8" t="s">
        <v>1035</v>
      </c>
      <c r="H2025" s="23">
        <v>46220</v>
      </c>
      <c r="I2025" s="23">
        <v>46210.869444444441</v>
      </c>
      <c r="J2025" s="10">
        <v>479</v>
      </c>
      <c r="K2025" s="10">
        <v>0</v>
      </c>
      <c r="L2025" s="24">
        <v>0</v>
      </c>
      <c r="M2025" s="10">
        <v>479</v>
      </c>
    </row>
    <row r="2026" spans="1:13" x14ac:dyDescent="0.25">
      <c r="A2026" s="12" t="str">
        <f t="shared" si="62"/>
        <v>5005445BRENDA LUIZA PEREIRACT46210,8701388889</v>
      </c>
      <c r="B2026" s="12" t="str">
        <f t="shared" si="63"/>
        <v>Julho</v>
      </c>
      <c r="C2026" s="8" t="s">
        <v>2820</v>
      </c>
      <c r="D2026" s="8" t="s">
        <v>664</v>
      </c>
      <c r="E2026" s="8" t="s">
        <v>28</v>
      </c>
      <c r="F2026" s="23">
        <v>46210.870138888888</v>
      </c>
      <c r="G2026" s="8" t="s">
        <v>1035</v>
      </c>
      <c r="H2026" s="23">
        <v>46220</v>
      </c>
      <c r="I2026" s="23">
        <v>46210.870138888888</v>
      </c>
      <c r="J2026" s="10">
        <v>3510</v>
      </c>
      <c r="K2026" s="10">
        <v>0</v>
      </c>
      <c r="L2026" s="24">
        <v>0</v>
      </c>
      <c r="M2026" s="10">
        <v>3510</v>
      </c>
    </row>
    <row r="2027" spans="1:13" x14ac:dyDescent="0.25">
      <c r="A2027" s="12" t="str">
        <f t="shared" si="62"/>
        <v>5005446JOHNSON RAMOS DE CARVALHOCT46210,8715277778</v>
      </c>
      <c r="B2027" s="12" t="str">
        <f t="shared" si="63"/>
        <v>Julho</v>
      </c>
      <c r="C2027" s="8" t="s">
        <v>2821</v>
      </c>
      <c r="D2027" s="8" t="s">
        <v>664</v>
      </c>
      <c r="E2027" s="8" t="s">
        <v>94</v>
      </c>
      <c r="F2027" s="23">
        <v>46210.871527777781</v>
      </c>
      <c r="G2027" s="8" t="s">
        <v>1035</v>
      </c>
      <c r="H2027" s="23">
        <v>46220</v>
      </c>
      <c r="I2027" s="23">
        <v>46210.871527777781</v>
      </c>
      <c r="J2027" s="10">
        <v>1971</v>
      </c>
      <c r="K2027" s="10">
        <v>0</v>
      </c>
      <c r="L2027" s="24">
        <v>0</v>
      </c>
      <c r="M2027" s="10">
        <v>1971</v>
      </c>
    </row>
    <row r="2028" spans="1:13" x14ac:dyDescent="0.25">
      <c r="A2028" s="12" t="str">
        <f t="shared" si="62"/>
        <v>5005447GUSTAVO DE OLIVEIRA SILVACT46210,8722222222</v>
      </c>
      <c r="B2028" s="12" t="str">
        <f t="shared" si="63"/>
        <v>Julho</v>
      </c>
      <c r="C2028" s="8" t="s">
        <v>2822</v>
      </c>
      <c r="D2028" s="8" t="s">
        <v>664</v>
      </c>
      <c r="E2028" s="8" t="s">
        <v>78</v>
      </c>
      <c r="F2028" s="23">
        <v>46210.87222222222</v>
      </c>
      <c r="G2028" s="8" t="s">
        <v>1035</v>
      </c>
      <c r="H2028" s="23">
        <v>46220</v>
      </c>
      <c r="I2028" s="23">
        <v>46210.87222222222</v>
      </c>
      <c r="J2028" s="10">
        <v>3022</v>
      </c>
      <c r="K2028" s="10">
        <v>0</v>
      </c>
      <c r="L2028" s="24">
        <v>0</v>
      </c>
      <c r="M2028" s="10">
        <v>3022</v>
      </c>
    </row>
    <row r="2029" spans="1:13" x14ac:dyDescent="0.25">
      <c r="A2029" s="12" t="str">
        <f t="shared" si="62"/>
        <v>5005450LIDIANE ASSIS ROCHARCB46216,4597222222</v>
      </c>
      <c r="B2029" s="12" t="str">
        <f t="shared" si="63"/>
        <v>Julho</v>
      </c>
      <c r="C2029" s="8" t="s">
        <v>2758</v>
      </c>
      <c r="D2029" s="8" t="s">
        <v>664</v>
      </c>
      <c r="E2029" s="8" t="s">
        <v>110</v>
      </c>
      <c r="F2029" s="23">
        <v>46216.459722222222</v>
      </c>
      <c r="G2029" s="8" t="s">
        <v>1045</v>
      </c>
      <c r="H2029" s="23">
        <v>46219</v>
      </c>
      <c r="I2029" s="23">
        <v>46216.459722222222</v>
      </c>
      <c r="J2029" s="10">
        <v>31</v>
      </c>
      <c r="K2029" s="10">
        <v>0</v>
      </c>
      <c r="L2029" s="24">
        <v>0</v>
      </c>
      <c r="M2029" s="10">
        <v>31</v>
      </c>
    </row>
    <row r="2030" spans="1:13" x14ac:dyDescent="0.25">
      <c r="A2030" s="12" t="str">
        <f t="shared" si="62"/>
        <v>5005451RENILSON DIAS DE BRITOCT46223,5736111111</v>
      </c>
      <c r="B2030" s="12" t="str">
        <f t="shared" si="63"/>
        <v>Agosto</v>
      </c>
      <c r="C2030" s="8" t="s">
        <v>2894</v>
      </c>
      <c r="D2030" s="8" t="s">
        <v>664</v>
      </c>
      <c r="E2030" s="8" t="s">
        <v>1383</v>
      </c>
      <c r="F2030" s="23">
        <v>46223.573611111111</v>
      </c>
      <c r="G2030" s="8" t="s">
        <v>1035</v>
      </c>
      <c r="H2030" s="23">
        <v>46240</v>
      </c>
      <c r="I2030" s="23">
        <v>46223.573611111111</v>
      </c>
      <c r="J2030" s="10">
        <v>1050</v>
      </c>
      <c r="K2030" s="10">
        <v>0</v>
      </c>
      <c r="L2030" s="24">
        <v>0</v>
      </c>
      <c r="M2030" s="10">
        <v>1050</v>
      </c>
    </row>
    <row r="2031" spans="1:13" x14ac:dyDescent="0.25">
      <c r="A2031" s="12" t="str">
        <f t="shared" si="62"/>
        <v>5005452FABIO LUIZ TEIXEIRA DE ARRUDACT46223,575</v>
      </c>
      <c r="B2031" s="12" t="str">
        <f t="shared" si="63"/>
        <v>Agosto</v>
      </c>
      <c r="C2031" s="8" t="s">
        <v>2895</v>
      </c>
      <c r="D2031" s="8" t="s">
        <v>664</v>
      </c>
      <c r="E2031" s="8" t="s">
        <v>1520</v>
      </c>
      <c r="F2031" s="23">
        <v>46223.574999999997</v>
      </c>
      <c r="G2031" s="8" t="s">
        <v>1035</v>
      </c>
      <c r="H2031" s="23">
        <v>46240</v>
      </c>
      <c r="I2031" s="23">
        <v>46223.574999999997</v>
      </c>
      <c r="J2031" s="10">
        <v>770</v>
      </c>
      <c r="K2031" s="10">
        <v>0</v>
      </c>
      <c r="L2031" s="24">
        <v>0</v>
      </c>
      <c r="M2031" s="10">
        <v>770</v>
      </c>
    </row>
    <row r="2032" spans="1:13" x14ac:dyDescent="0.25">
      <c r="A2032" s="12" t="str">
        <f t="shared" si="62"/>
        <v>5005453VICTOR HUGO SILVA BALBINOCT46223,5763888889</v>
      </c>
      <c r="B2032" s="12" t="str">
        <f t="shared" si="63"/>
        <v>Agosto</v>
      </c>
      <c r="C2032" s="8" t="s">
        <v>2897</v>
      </c>
      <c r="D2032" s="8" t="s">
        <v>664</v>
      </c>
      <c r="E2032" s="8" t="s">
        <v>198</v>
      </c>
      <c r="F2032" s="23">
        <v>46223.576388888891</v>
      </c>
      <c r="G2032" s="8" t="s">
        <v>1035</v>
      </c>
      <c r="H2032" s="23">
        <v>46240</v>
      </c>
      <c r="I2032" s="23">
        <v>46223.576388888891</v>
      </c>
      <c r="J2032" s="10">
        <v>1155</v>
      </c>
      <c r="K2032" s="10">
        <v>0</v>
      </c>
      <c r="L2032" s="24">
        <v>0</v>
      </c>
      <c r="M2032" s="10">
        <v>1155</v>
      </c>
    </row>
    <row r="2033" spans="1:13" x14ac:dyDescent="0.25">
      <c r="A2033" s="12" t="str">
        <f t="shared" si="62"/>
        <v>5005454RAMON BATISTA FURTUOSOCT46223,5777777778</v>
      </c>
      <c r="B2033" s="12" t="str">
        <f t="shared" si="63"/>
        <v>Agosto</v>
      </c>
      <c r="C2033" s="8" t="s">
        <v>3011</v>
      </c>
      <c r="D2033" s="8" t="s">
        <v>664</v>
      </c>
      <c r="E2033" s="8" t="s">
        <v>1690</v>
      </c>
      <c r="F2033" s="23">
        <v>46223.577777777777</v>
      </c>
      <c r="G2033" s="8" t="s">
        <v>1035</v>
      </c>
      <c r="H2033" s="23">
        <v>46254</v>
      </c>
      <c r="I2033" s="23">
        <v>46223.577777777777</v>
      </c>
      <c r="J2033" s="10">
        <v>770</v>
      </c>
      <c r="K2033" s="10">
        <v>0</v>
      </c>
      <c r="L2033" s="24">
        <v>0</v>
      </c>
      <c r="M2033" s="10">
        <v>770</v>
      </c>
    </row>
    <row r="2034" spans="1:13" x14ac:dyDescent="0.25">
      <c r="A2034" s="12" t="str">
        <f t="shared" si="62"/>
        <v>5005455EDUARDO GAUDENCIO ROSACT46223,5798611111</v>
      </c>
      <c r="B2034" s="12" t="str">
        <f t="shared" si="63"/>
        <v>Agosto</v>
      </c>
      <c r="C2034" s="8" t="s">
        <v>2899</v>
      </c>
      <c r="D2034" s="8" t="s">
        <v>664</v>
      </c>
      <c r="E2034" s="8" t="s">
        <v>58</v>
      </c>
      <c r="F2034" s="23">
        <v>46223.579861111109</v>
      </c>
      <c r="G2034" s="8" t="s">
        <v>1035</v>
      </c>
      <c r="H2034" s="23">
        <v>46240</v>
      </c>
      <c r="I2034" s="23">
        <v>46223.579861111109</v>
      </c>
      <c r="J2034" s="10">
        <v>5151</v>
      </c>
      <c r="K2034" s="10">
        <v>0</v>
      </c>
      <c r="L2034" s="24">
        <v>0</v>
      </c>
      <c r="M2034" s="10">
        <v>5151</v>
      </c>
    </row>
    <row r="2035" spans="1:13" x14ac:dyDescent="0.25">
      <c r="A2035" s="12" t="str">
        <f t="shared" si="62"/>
        <v>5005456EDUARDO GAUDENCIO ROSARCB46227,2423611111</v>
      </c>
      <c r="B2035" s="12" t="str">
        <f t="shared" si="63"/>
        <v>Julho</v>
      </c>
      <c r="C2035" s="8" t="s">
        <v>2852</v>
      </c>
      <c r="D2035" s="8" t="s">
        <v>664</v>
      </c>
      <c r="E2035" s="8" t="s">
        <v>58</v>
      </c>
      <c r="F2035" s="23">
        <v>46227.242361111108</v>
      </c>
      <c r="G2035" s="8" t="s">
        <v>1045</v>
      </c>
      <c r="H2035" s="23">
        <v>46232</v>
      </c>
      <c r="I2035" s="23">
        <v>46227.242361111108</v>
      </c>
      <c r="J2035" s="10">
        <v>189.16</v>
      </c>
      <c r="K2035" s="10">
        <v>0</v>
      </c>
      <c r="L2035" s="24">
        <v>0</v>
      </c>
      <c r="M2035" s="10">
        <v>189.16</v>
      </c>
    </row>
    <row r="2036" spans="1:13" x14ac:dyDescent="0.25">
      <c r="A2036" s="12" t="str">
        <f t="shared" si="62"/>
        <v>5005456CRISTIAN ALVES MOREIRACT46223,5805555556</v>
      </c>
      <c r="B2036" s="12" t="str">
        <f t="shared" si="63"/>
        <v>Agosto</v>
      </c>
      <c r="C2036" s="8" t="s">
        <v>2852</v>
      </c>
      <c r="D2036" s="8" t="s">
        <v>664</v>
      </c>
      <c r="E2036" s="8" t="s">
        <v>46</v>
      </c>
      <c r="F2036" s="23">
        <v>46223.580555555556</v>
      </c>
      <c r="G2036" s="8" t="s">
        <v>1035</v>
      </c>
      <c r="H2036" s="23">
        <v>46240</v>
      </c>
      <c r="I2036" s="23">
        <v>46223.580555555556</v>
      </c>
      <c r="J2036" s="10">
        <v>1675</v>
      </c>
      <c r="K2036" s="10">
        <v>0</v>
      </c>
      <c r="L2036" s="24">
        <v>0</v>
      </c>
      <c r="M2036" s="10">
        <v>1675</v>
      </c>
    </row>
    <row r="2037" spans="1:13" x14ac:dyDescent="0.25">
      <c r="A2037" s="12" t="str">
        <f t="shared" si="62"/>
        <v>5005457CRISTIAN ALVES MOREIRARCB46224,3743055556</v>
      </c>
      <c r="B2037" s="12" t="str">
        <f t="shared" si="63"/>
        <v>Julho</v>
      </c>
      <c r="C2037" s="8" t="s">
        <v>2832</v>
      </c>
      <c r="D2037" s="8" t="s">
        <v>664</v>
      </c>
      <c r="E2037" s="8" t="s">
        <v>46</v>
      </c>
      <c r="F2037" s="23">
        <v>46224.374305555553</v>
      </c>
      <c r="G2037" s="8" t="s">
        <v>1045</v>
      </c>
      <c r="H2037" s="23">
        <v>46227</v>
      </c>
      <c r="I2037" s="23">
        <v>46224.374305555553</v>
      </c>
      <c r="J2037" s="10">
        <v>54.4</v>
      </c>
      <c r="K2037" s="10">
        <v>0</v>
      </c>
      <c r="L2037" s="24">
        <v>0</v>
      </c>
      <c r="M2037" s="10">
        <v>54.4</v>
      </c>
    </row>
    <row r="2038" spans="1:13" x14ac:dyDescent="0.25">
      <c r="A2038" s="12" t="str">
        <f t="shared" si="62"/>
        <v>5005457PAULO RICARDO SILVACT46223,5819444444</v>
      </c>
      <c r="B2038" s="12" t="str">
        <f t="shared" si="63"/>
        <v>Agosto</v>
      </c>
      <c r="C2038" s="8" t="s">
        <v>2832</v>
      </c>
      <c r="D2038" s="8" t="s">
        <v>664</v>
      </c>
      <c r="E2038" s="8" t="s">
        <v>153</v>
      </c>
      <c r="F2038" s="23">
        <v>46223.581944444442</v>
      </c>
      <c r="G2038" s="8" t="s">
        <v>1035</v>
      </c>
      <c r="H2038" s="23">
        <v>46240</v>
      </c>
      <c r="I2038" s="23">
        <v>46223.581944444442</v>
      </c>
      <c r="J2038" s="10">
        <v>2241</v>
      </c>
      <c r="K2038" s="10">
        <v>0</v>
      </c>
      <c r="L2038" s="24">
        <v>0</v>
      </c>
      <c r="M2038" s="10">
        <v>2241</v>
      </c>
    </row>
    <row r="2039" spans="1:13" x14ac:dyDescent="0.25">
      <c r="A2039" s="12" t="str">
        <f t="shared" si="62"/>
        <v>5005458ADRIANO ROBERTOCT46223,5826388889</v>
      </c>
      <c r="B2039" s="12" t="str">
        <f t="shared" si="63"/>
        <v>Agosto</v>
      </c>
      <c r="C2039" s="8" t="s">
        <v>2900</v>
      </c>
      <c r="D2039" s="8" t="s">
        <v>664</v>
      </c>
      <c r="E2039" s="8" t="s">
        <v>8</v>
      </c>
      <c r="F2039" s="23">
        <v>46223.582638888889</v>
      </c>
      <c r="G2039" s="8" t="s">
        <v>1035</v>
      </c>
      <c r="H2039" s="23">
        <v>46240</v>
      </c>
      <c r="I2039" s="23">
        <v>46223.582638888889</v>
      </c>
      <c r="J2039" s="10">
        <v>1050</v>
      </c>
      <c r="K2039" s="10">
        <v>0</v>
      </c>
      <c r="L2039" s="24">
        <v>0</v>
      </c>
      <c r="M2039" s="10">
        <v>1050</v>
      </c>
    </row>
    <row r="2040" spans="1:13" x14ac:dyDescent="0.25">
      <c r="A2040" s="12" t="str">
        <f t="shared" si="62"/>
        <v>5005459RENAN ELTON DIVINOCT46223,5833333333</v>
      </c>
      <c r="B2040" s="12" t="str">
        <f t="shared" si="63"/>
        <v>Agosto</v>
      </c>
      <c r="C2040" s="8" t="s">
        <v>2901</v>
      </c>
      <c r="D2040" s="8" t="s">
        <v>664</v>
      </c>
      <c r="E2040" s="8" t="s">
        <v>1409</v>
      </c>
      <c r="F2040" s="23">
        <v>46223.583333333336</v>
      </c>
      <c r="G2040" s="8" t="s">
        <v>1035</v>
      </c>
      <c r="H2040" s="23">
        <v>46240</v>
      </c>
      <c r="I2040" s="23">
        <v>46223.583333333336</v>
      </c>
      <c r="J2040" s="10">
        <v>796</v>
      </c>
      <c r="K2040" s="10">
        <v>0</v>
      </c>
      <c r="L2040" s="24">
        <v>0</v>
      </c>
      <c r="M2040" s="10">
        <v>796</v>
      </c>
    </row>
    <row r="2041" spans="1:13" x14ac:dyDescent="0.25">
      <c r="A2041" s="12" t="str">
        <f t="shared" si="62"/>
        <v>5005460NELCIDES JOSE VIEIRACT46223,5847222222</v>
      </c>
      <c r="B2041" s="12" t="str">
        <f t="shared" si="63"/>
        <v>Agosto</v>
      </c>
      <c r="C2041" s="8" t="s">
        <v>2902</v>
      </c>
      <c r="D2041" s="8" t="s">
        <v>664</v>
      </c>
      <c r="E2041" s="8" t="s">
        <v>137</v>
      </c>
      <c r="F2041" s="23">
        <v>46223.584722222222</v>
      </c>
      <c r="G2041" s="8" t="s">
        <v>1035</v>
      </c>
      <c r="H2041" s="23">
        <v>46240</v>
      </c>
      <c r="I2041" s="23">
        <v>46223.584722222222</v>
      </c>
      <c r="J2041" s="10">
        <v>1821</v>
      </c>
      <c r="K2041" s="10">
        <v>0</v>
      </c>
      <c r="L2041" s="24">
        <v>0</v>
      </c>
      <c r="M2041" s="10">
        <v>1821</v>
      </c>
    </row>
    <row r="2042" spans="1:13" x14ac:dyDescent="0.25">
      <c r="A2042" s="12" t="str">
        <f t="shared" si="62"/>
        <v>5005461WILLIAM DE SOUZA VIEIRACT46223,5868055556</v>
      </c>
      <c r="B2042" s="12" t="str">
        <f t="shared" si="63"/>
        <v>Agosto</v>
      </c>
      <c r="C2042" s="8" t="s">
        <v>2903</v>
      </c>
      <c r="D2042" s="8" t="s">
        <v>664</v>
      </c>
      <c r="E2042" s="8" t="s">
        <v>1542</v>
      </c>
      <c r="F2042" s="23">
        <v>46223.586805555555</v>
      </c>
      <c r="G2042" s="8" t="s">
        <v>1035</v>
      </c>
      <c r="H2042" s="23">
        <v>46240</v>
      </c>
      <c r="I2042" s="23">
        <v>46223.586805555555</v>
      </c>
      <c r="J2042" s="10">
        <v>350</v>
      </c>
      <c r="K2042" s="10">
        <v>0</v>
      </c>
      <c r="L2042" s="24">
        <v>0</v>
      </c>
      <c r="M2042" s="10">
        <v>350</v>
      </c>
    </row>
    <row r="2043" spans="1:13" x14ac:dyDescent="0.25">
      <c r="A2043" s="12" t="str">
        <f t="shared" si="62"/>
        <v>5005462CARLOS ANTONIO PINTOCT46223,5881944444</v>
      </c>
      <c r="B2043" s="12" t="str">
        <f t="shared" si="63"/>
        <v>Agosto</v>
      </c>
      <c r="C2043" s="8" t="s">
        <v>2904</v>
      </c>
      <c r="D2043" s="8" t="s">
        <v>664</v>
      </c>
      <c r="E2043" s="8" t="s">
        <v>36</v>
      </c>
      <c r="F2043" s="23">
        <v>46223.588194444441</v>
      </c>
      <c r="G2043" s="8" t="s">
        <v>1035</v>
      </c>
      <c r="H2043" s="23">
        <v>46240</v>
      </c>
      <c r="I2043" s="23">
        <v>46223.588194444441</v>
      </c>
      <c r="J2043" s="10">
        <v>4492</v>
      </c>
      <c r="K2043" s="10">
        <v>0</v>
      </c>
      <c r="L2043" s="24">
        <v>0</v>
      </c>
      <c r="M2043" s="10">
        <v>4492</v>
      </c>
    </row>
    <row r="2044" spans="1:13" x14ac:dyDescent="0.25">
      <c r="A2044" s="12" t="str">
        <f t="shared" si="62"/>
        <v>5005463ADRIANA DA SILVA SANTOS FERREIRACT46223,5895833333</v>
      </c>
      <c r="B2044" s="12" t="str">
        <f t="shared" si="63"/>
        <v>Agosto</v>
      </c>
      <c r="C2044" s="8" t="s">
        <v>2905</v>
      </c>
      <c r="D2044" s="8" t="s">
        <v>664</v>
      </c>
      <c r="E2044" s="8" t="s">
        <v>1413</v>
      </c>
      <c r="F2044" s="23">
        <v>46223.589583333334</v>
      </c>
      <c r="G2044" s="8" t="s">
        <v>1035</v>
      </c>
      <c r="H2044" s="23">
        <v>46240</v>
      </c>
      <c r="I2044" s="23">
        <v>46223.589583333334</v>
      </c>
      <c r="J2044" s="10">
        <v>2450</v>
      </c>
      <c r="K2044" s="10">
        <v>0</v>
      </c>
      <c r="L2044" s="24">
        <v>0</v>
      </c>
      <c r="M2044" s="10">
        <v>2450</v>
      </c>
    </row>
    <row r="2045" spans="1:13" x14ac:dyDescent="0.25">
      <c r="A2045" s="12" t="str">
        <f t="shared" si="62"/>
        <v>5005464KAYO BOTELHOCT46223,5909722222</v>
      </c>
      <c r="B2045" s="12" t="str">
        <f t="shared" si="63"/>
        <v>Agosto</v>
      </c>
      <c r="C2045" s="8" t="s">
        <v>2906</v>
      </c>
      <c r="D2045" s="8" t="s">
        <v>664</v>
      </c>
      <c r="E2045" s="8" t="s">
        <v>1547</v>
      </c>
      <c r="F2045" s="23">
        <v>46223.59097222222</v>
      </c>
      <c r="G2045" s="8" t="s">
        <v>1035</v>
      </c>
      <c r="H2045" s="23">
        <v>46240</v>
      </c>
      <c r="I2045" s="23">
        <v>46223.59097222222</v>
      </c>
      <c r="J2045" s="10">
        <v>850</v>
      </c>
      <c r="K2045" s="10">
        <v>0</v>
      </c>
      <c r="L2045" s="24">
        <v>0</v>
      </c>
      <c r="M2045" s="10">
        <v>850</v>
      </c>
    </row>
    <row r="2046" spans="1:13" x14ac:dyDescent="0.25">
      <c r="A2046" s="12" t="str">
        <f t="shared" si="62"/>
        <v>5005465JORGE MARTINS BORGES JUNIORCT46223,5958333333</v>
      </c>
      <c r="B2046" s="12" t="str">
        <f t="shared" si="63"/>
        <v>Agosto</v>
      </c>
      <c r="C2046" s="8" t="s">
        <v>2907</v>
      </c>
      <c r="D2046" s="8" t="s">
        <v>664</v>
      </c>
      <c r="E2046" s="8" t="s">
        <v>97</v>
      </c>
      <c r="F2046" s="23">
        <v>46223.595833333333</v>
      </c>
      <c r="G2046" s="8" t="s">
        <v>1035</v>
      </c>
      <c r="H2046" s="23">
        <v>46240</v>
      </c>
      <c r="I2046" s="23">
        <v>46223.595833333333</v>
      </c>
      <c r="J2046" s="10">
        <v>3324</v>
      </c>
      <c r="K2046" s="10">
        <v>0</v>
      </c>
      <c r="L2046" s="24">
        <v>0</v>
      </c>
      <c r="M2046" s="10">
        <v>3324</v>
      </c>
    </row>
    <row r="2047" spans="1:13" x14ac:dyDescent="0.25">
      <c r="A2047" s="12" t="str">
        <f t="shared" si="62"/>
        <v>5005466DANIELLE HEBERT CARVALHO PEREIRACT46223,5979166667</v>
      </c>
      <c r="B2047" s="12" t="str">
        <f t="shared" si="63"/>
        <v>Agosto</v>
      </c>
      <c r="C2047" s="8" t="s">
        <v>2908</v>
      </c>
      <c r="D2047" s="8" t="s">
        <v>664</v>
      </c>
      <c r="E2047" s="8" t="s">
        <v>48</v>
      </c>
      <c r="F2047" s="23">
        <v>46223.597916666666</v>
      </c>
      <c r="G2047" s="8" t="s">
        <v>1035</v>
      </c>
      <c r="H2047" s="23">
        <v>46240</v>
      </c>
      <c r="I2047" s="23">
        <v>46223.597916666666</v>
      </c>
      <c r="J2047" s="10">
        <v>2158</v>
      </c>
      <c r="K2047" s="10">
        <v>0</v>
      </c>
      <c r="L2047" s="24">
        <v>0</v>
      </c>
      <c r="M2047" s="10">
        <v>2158</v>
      </c>
    </row>
    <row r="2048" spans="1:13" x14ac:dyDescent="0.25">
      <c r="A2048" s="12" t="str">
        <f t="shared" si="62"/>
        <v>5005467BRUNO RIBEIRO DOMINGUESCT46223,6</v>
      </c>
      <c r="B2048" s="12" t="str">
        <f t="shared" si="63"/>
        <v>Agosto</v>
      </c>
      <c r="C2048" s="8" t="s">
        <v>2909</v>
      </c>
      <c r="D2048" s="8" t="s">
        <v>664</v>
      </c>
      <c r="E2048" s="8" t="s">
        <v>32</v>
      </c>
      <c r="F2048" s="23">
        <v>46223.6</v>
      </c>
      <c r="G2048" s="8" t="s">
        <v>1035</v>
      </c>
      <c r="H2048" s="23">
        <v>46240</v>
      </c>
      <c r="I2048" s="23">
        <v>46223.6</v>
      </c>
      <c r="J2048" s="10">
        <v>1399</v>
      </c>
      <c r="K2048" s="10">
        <v>0</v>
      </c>
      <c r="L2048" s="24">
        <v>0</v>
      </c>
      <c r="M2048" s="10">
        <v>1399</v>
      </c>
    </row>
    <row r="2049" spans="1:13" x14ac:dyDescent="0.25">
      <c r="A2049" s="12" t="str">
        <f t="shared" si="62"/>
        <v>5005468JAIME GOMES PARAGUAICT46223,6013888889</v>
      </c>
      <c r="B2049" s="12" t="str">
        <f t="shared" si="63"/>
        <v>Agosto</v>
      </c>
      <c r="C2049" s="8" t="s">
        <v>2910</v>
      </c>
      <c r="D2049" s="8" t="s">
        <v>664</v>
      </c>
      <c r="E2049" s="8" t="s">
        <v>87</v>
      </c>
      <c r="F2049" s="23">
        <v>46223.601388888892</v>
      </c>
      <c r="G2049" s="8" t="s">
        <v>1035</v>
      </c>
      <c r="H2049" s="23">
        <v>46240</v>
      </c>
      <c r="I2049" s="23">
        <v>46223.601388888892</v>
      </c>
      <c r="J2049" s="10">
        <v>3369</v>
      </c>
      <c r="K2049" s="10">
        <v>0</v>
      </c>
      <c r="L2049" s="24">
        <v>0</v>
      </c>
      <c r="M2049" s="10">
        <v>3369</v>
      </c>
    </row>
    <row r="2050" spans="1:13" x14ac:dyDescent="0.25">
      <c r="A2050" s="12" t="str">
        <f t="shared" ref="A2050:A2113" si="64">$C2050&amp;$E2050&amp;$G2050&amp;$F2050</f>
        <v>5005469ALAOR CANAVEZ DE MORAES NETOCT46223,6027777778</v>
      </c>
      <c r="B2050" s="12" t="str">
        <f t="shared" si="63"/>
        <v>Agosto</v>
      </c>
      <c r="C2050" s="8" t="s">
        <v>2911</v>
      </c>
      <c r="D2050" s="8" t="s">
        <v>664</v>
      </c>
      <c r="E2050" s="8" t="s">
        <v>10</v>
      </c>
      <c r="F2050" s="23">
        <v>46223.602777777778</v>
      </c>
      <c r="G2050" s="8" t="s">
        <v>1035</v>
      </c>
      <c r="H2050" s="23">
        <v>46240</v>
      </c>
      <c r="I2050" s="23">
        <v>46223.602777777778</v>
      </c>
      <c r="J2050" s="10">
        <v>1447</v>
      </c>
      <c r="K2050" s="10">
        <v>0</v>
      </c>
      <c r="L2050" s="24">
        <v>0</v>
      </c>
      <c r="M2050" s="10">
        <v>1447</v>
      </c>
    </row>
    <row r="2051" spans="1:13" x14ac:dyDescent="0.25">
      <c r="A2051" s="12" t="str">
        <f t="shared" si="64"/>
        <v>5005470ALAOR CANAVEZ DE MORAES NETORCB46224,3736111111</v>
      </c>
      <c r="B2051" s="12" t="str">
        <f t="shared" ref="B2051:B2114" si="65">PROPER(TEXT($H2051,"MMMM"))</f>
        <v>Julho</v>
      </c>
      <c r="C2051" s="8" t="s">
        <v>2833</v>
      </c>
      <c r="D2051" s="8" t="s">
        <v>664</v>
      </c>
      <c r="E2051" s="8" t="s">
        <v>10</v>
      </c>
      <c r="F2051" s="23">
        <v>46224.373611111114</v>
      </c>
      <c r="G2051" s="8" t="s">
        <v>1045</v>
      </c>
      <c r="H2051" s="23">
        <v>46227</v>
      </c>
      <c r="I2051" s="23">
        <v>46224.373611111114</v>
      </c>
      <c r="J2051" s="10">
        <v>112.6</v>
      </c>
      <c r="K2051" s="10">
        <v>0</v>
      </c>
      <c r="L2051" s="24">
        <v>0</v>
      </c>
      <c r="M2051" s="10">
        <v>112.6</v>
      </c>
    </row>
    <row r="2052" spans="1:13" x14ac:dyDescent="0.25">
      <c r="A2052" s="12" t="str">
        <f t="shared" si="64"/>
        <v>5005470MAGNO APARECIDO DE JESUSCT46223,6041666667</v>
      </c>
      <c r="B2052" s="12" t="str">
        <f t="shared" si="65"/>
        <v>Agosto</v>
      </c>
      <c r="C2052" s="8" t="s">
        <v>2833</v>
      </c>
      <c r="D2052" s="8" t="s">
        <v>664</v>
      </c>
      <c r="E2052" s="8" t="s">
        <v>115</v>
      </c>
      <c r="F2052" s="23">
        <v>46223.604166666664</v>
      </c>
      <c r="G2052" s="8" t="s">
        <v>1035</v>
      </c>
      <c r="H2052" s="23">
        <v>46240</v>
      </c>
      <c r="I2052" s="23">
        <v>46223.604166666664</v>
      </c>
      <c r="J2052" s="10">
        <v>3852</v>
      </c>
      <c r="K2052" s="10">
        <v>0</v>
      </c>
      <c r="L2052" s="24">
        <v>0</v>
      </c>
      <c r="M2052" s="10">
        <v>3852</v>
      </c>
    </row>
    <row r="2053" spans="1:13" x14ac:dyDescent="0.25">
      <c r="A2053" s="12" t="str">
        <f t="shared" si="64"/>
        <v>5005471ANTONIO CARLOS DA COSTACT46223,6055555556</v>
      </c>
      <c r="B2053" s="12" t="str">
        <f t="shared" si="65"/>
        <v>Agosto</v>
      </c>
      <c r="C2053" s="8" t="s">
        <v>2912</v>
      </c>
      <c r="D2053" s="8" t="s">
        <v>664</v>
      </c>
      <c r="E2053" s="8" t="s">
        <v>19</v>
      </c>
      <c r="F2053" s="23">
        <v>46223.605555555558</v>
      </c>
      <c r="G2053" s="8" t="s">
        <v>1035</v>
      </c>
      <c r="H2053" s="23">
        <v>46240</v>
      </c>
      <c r="I2053" s="23">
        <v>46223.605555555558</v>
      </c>
      <c r="J2053" s="10">
        <v>1889</v>
      </c>
      <c r="K2053" s="10">
        <v>0</v>
      </c>
      <c r="L2053" s="24">
        <v>0</v>
      </c>
      <c r="M2053" s="10">
        <v>1889</v>
      </c>
    </row>
    <row r="2054" spans="1:13" x14ac:dyDescent="0.25">
      <c r="A2054" s="12" t="str">
        <f t="shared" si="64"/>
        <v>5005472ARTUR SILVA VIANACT46223,6069444444</v>
      </c>
      <c r="B2054" s="12" t="str">
        <f t="shared" si="65"/>
        <v>Agosto</v>
      </c>
      <c r="C2054" s="8" t="s">
        <v>2913</v>
      </c>
      <c r="D2054" s="8" t="s">
        <v>664</v>
      </c>
      <c r="E2054" s="8" t="s">
        <v>1429</v>
      </c>
      <c r="F2054" s="23">
        <v>46223.606944444444</v>
      </c>
      <c r="G2054" s="8" t="s">
        <v>1035</v>
      </c>
      <c r="H2054" s="23">
        <v>46240</v>
      </c>
      <c r="I2054" s="23">
        <v>46223.606944444444</v>
      </c>
      <c r="J2054" s="10">
        <v>1400</v>
      </c>
      <c r="K2054" s="10">
        <v>0</v>
      </c>
      <c r="L2054" s="24">
        <v>0</v>
      </c>
      <c r="M2054" s="10">
        <v>1400</v>
      </c>
    </row>
    <row r="2055" spans="1:13" x14ac:dyDescent="0.25">
      <c r="A2055" s="12" t="str">
        <f t="shared" si="64"/>
        <v>5005473RAISSA DE CARVALHO FIORINECT46223,6083333333</v>
      </c>
      <c r="B2055" s="12" t="str">
        <f t="shared" si="65"/>
        <v>Agosto</v>
      </c>
      <c r="C2055" s="8" t="s">
        <v>2914</v>
      </c>
      <c r="D2055" s="8" t="s">
        <v>664</v>
      </c>
      <c r="E2055" s="8" t="s">
        <v>163</v>
      </c>
      <c r="F2055" s="23">
        <v>46223.60833333333</v>
      </c>
      <c r="G2055" s="8" t="s">
        <v>1035</v>
      </c>
      <c r="H2055" s="23">
        <v>46240</v>
      </c>
      <c r="I2055" s="23">
        <v>46223.60833333333</v>
      </c>
      <c r="J2055" s="10">
        <v>2074</v>
      </c>
      <c r="K2055" s="10">
        <v>0</v>
      </c>
      <c r="L2055" s="24">
        <v>0</v>
      </c>
      <c r="M2055" s="10">
        <v>2074</v>
      </c>
    </row>
    <row r="2056" spans="1:13" x14ac:dyDescent="0.25">
      <c r="A2056" s="12" t="str">
        <f t="shared" si="64"/>
        <v>5005474MARCELO MARTINS DE OLIVEIRACT46223,6111111111</v>
      </c>
      <c r="B2056" s="12" t="str">
        <f t="shared" si="65"/>
        <v>Agosto</v>
      </c>
      <c r="C2056" s="8" t="s">
        <v>2915</v>
      </c>
      <c r="D2056" s="8" t="s">
        <v>664</v>
      </c>
      <c r="E2056" s="8" t="s">
        <v>121</v>
      </c>
      <c r="F2056" s="23">
        <v>46223.611111111109</v>
      </c>
      <c r="G2056" s="8" t="s">
        <v>1035</v>
      </c>
      <c r="H2056" s="23">
        <v>46240</v>
      </c>
      <c r="I2056" s="23">
        <v>46223.611111111109</v>
      </c>
      <c r="J2056" s="10">
        <v>1335</v>
      </c>
      <c r="K2056" s="10">
        <v>0</v>
      </c>
      <c r="L2056" s="24">
        <v>0</v>
      </c>
      <c r="M2056" s="10">
        <v>1335</v>
      </c>
    </row>
    <row r="2057" spans="1:13" x14ac:dyDescent="0.25">
      <c r="A2057" s="12" t="str">
        <f t="shared" si="64"/>
        <v>5005475MARCELO MARTINS DE OLIVEIRARCB46230,4048611111</v>
      </c>
      <c r="B2057" s="12" t="str">
        <f t="shared" si="65"/>
        <v>Julho</v>
      </c>
      <c r="C2057" s="8" t="s">
        <v>2855</v>
      </c>
      <c r="D2057" s="8" t="s">
        <v>664</v>
      </c>
      <c r="E2057" s="8" t="s">
        <v>121</v>
      </c>
      <c r="F2057" s="23">
        <v>46230.404861111114</v>
      </c>
      <c r="G2057" s="8" t="s">
        <v>1045</v>
      </c>
      <c r="H2057" s="23">
        <v>46233</v>
      </c>
      <c r="I2057" s="23">
        <v>46230.404861111114</v>
      </c>
      <c r="J2057" s="10">
        <v>22</v>
      </c>
      <c r="K2057" s="10">
        <v>0</v>
      </c>
      <c r="L2057" s="24">
        <v>0</v>
      </c>
      <c r="M2057" s="10">
        <v>22</v>
      </c>
    </row>
    <row r="2058" spans="1:13" x14ac:dyDescent="0.25">
      <c r="A2058" s="12" t="str">
        <f t="shared" si="64"/>
        <v>5005475LIDIANE ASSIS ROCHACT46223,6131944444</v>
      </c>
      <c r="B2058" s="12" t="str">
        <f t="shared" si="65"/>
        <v>Agosto</v>
      </c>
      <c r="C2058" s="8" t="s">
        <v>2855</v>
      </c>
      <c r="D2058" s="8" t="s">
        <v>664</v>
      </c>
      <c r="E2058" s="8" t="s">
        <v>110</v>
      </c>
      <c r="F2058" s="23">
        <v>46223.613194444442</v>
      </c>
      <c r="G2058" s="8" t="s">
        <v>1035</v>
      </c>
      <c r="H2058" s="23">
        <v>46240</v>
      </c>
      <c r="I2058" s="23">
        <v>46223.613194444442</v>
      </c>
      <c r="J2058" s="10">
        <v>3814</v>
      </c>
      <c r="K2058" s="10">
        <v>0</v>
      </c>
      <c r="L2058" s="24">
        <v>0</v>
      </c>
      <c r="M2058" s="10">
        <v>3814</v>
      </c>
    </row>
    <row r="2059" spans="1:13" x14ac:dyDescent="0.25">
      <c r="A2059" s="12" t="str">
        <f t="shared" si="64"/>
        <v>5005476LIDIANE ASSIS ROCHARCB46224,3715277778</v>
      </c>
      <c r="B2059" s="12" t="str">
        <f t="shared" si="65"/>
        <v>Julho</v>
      </c>
      <c r="C2059" s="8" t="s">
        <v>2834</v>
      </c>
      <c r="D2059" s="8" t="s">
        <v>664</v>
      </c>
      <c r="E2059" s="8" t="s">
        <v>110</v>
      </c>
      <c r="F2059" s="23">
        <v>46224.371527777781</v>
      </c>
      <c r="G2059" s="8" t="s">
        <v>1045</v>
      </c>
      <c r="H2059" s="23">
        <v>46227</v>
      </c>
      <c r="I2059" s="23">
        <v>46224.371527777781</v>
      </c>
      <c r="J2059" s="10">
        <v>92.4</v>
      </c>
      <c r="K2059" s="10">
        <v>0</v>
      </c>
      <c r="L2059" s="24">
        <v>0</v>
      </c>
      <c r="M2059" s="10">
        <v>92.4</v>
      </c>
    </row>
    <row r="2060" spans="1:13" x14ac:dyDescent="0.25">
      <c r="A2060" s="12" t="str">
        <f t="shared" si="64"/>
        <v>5005476MARCELO MARTINS DE OLIVEIRARCB46237,3583333333</v>
      </c>
      <c r="B2060" s="12" t="str">
        <f t="shared" si="65"/>
        <v>Agosto</v>
      </c>
      <c r="C2060" s="8" t="s">
        <v>2834</v>
      </c>
      <c r="D2060" s="8" t="s">
        <v>664</v>
      </c>
      <c r="E2060" s="8" t="s">
        <v>121</v>
      </c>
      <c r="F2060" s="23">
        <v>46237.35833333333</v>
      </c>
      <c r="G2060" s="8" t="s">
        <v>1045</v>
      </c>
      <c r="H2060" s="23">
        <v>46240</v>
      </c>
      <c r="I2060" s="23">
        <v>46237.35833333333</v>
      </c>
      <c r="J2060" s="10">
        <v>11</v>
      </c>
      <c r="K2060" s="10">
        <v>0</v>
      </c>
      <c r="L2060" s="24">
        <v>0</v>
      </c>
      <c r="M2060" s="10">
        <v>11</v>
      </c>
    </row>
    <row r="2061" spans="1:13" x14ac:dyDescent="0.25">
      <c r="A2061" s="12" t="str">
        <f t="shared" si="64"/>
        <v>5005476NATANIELLE SILVA DE SOUZA MARQUESCT46223,6145833333</v>
      </c>
      <c r="B2061" s="12" t="str">
        <f t="shared" si="65"/>
        <v>Agosto</v>
      </c>
      <c r="C2061" s="8" t="s">
        <v>2834</v>
      </c>
      <c r="D2061" s="8" t="s">
        <v>664</v>
      </c>
      <c r="E2061" s="8" t="s">
        <v>135</v>
      </c>
      <c r="F2061" s="23">
        <v>46223.614583333336</v>
      </c>
      <c r="G2061" s="8" t="s">
        <v>1035</v>
      </c>
      <c r="H2061" s="23">
        <v>46240</v>
      </c>
      <c r="I2061" s="23">
        <v>46223.614583333336</v>
      </c>
      <c r="J2061" s="10">
        <v>3652</v>
      </c>
      <c r="K2061" s="10">
        <v>0</v>
      </c>
      <c r="L2061" s="24">
        <v>0</v>
      </c>
      <c r="M2061" s="10">
        <v>3652</v>
      </c>
    </row>
    <row r="2062" spans="1:13" x14ac:dyDescent="0.25">
      <c r="A2062" s="12" t="str">
        <f t="shared" si="64"/>
        <v>5005477JOSE MARCIO DA SILVACT46223,6159722222</v>
      </c>
      <c r="B2062" s="12" t="str">
        <f t="shared" si="65"/>
        <v>Agosto</v>
      </c>
      <c r="C2062" s="8" t="s">
        <v>2916</v>
      </c>
      <c r="D2062" s="8" t="s">
        <v>664</v>
      </c>
      <c r="E2062" s="8" t="s">
        <v>1576</v>
      </c>
      <c r="F2062" s="23">
        <v>46223.615972222222</v>
      </c>
      <c r="G2062" s="8" t="s">
        <v>1035</v>
      </c>
      <c r="H2062" s="23">
        <v>46240</v>
      </c>
      <c r="I2062" s="23">
        <v>46223.615972222222</v>
      </c>
      <c r="J2062" s="10">
        <v>2541</v>
      </c>
      <c r="K2062" s="10">
        <v>0</v>
      </c>
      <c r="L2062" s="24">
        <v>0</v>
      </c>
      <c r="M2062" s="10">
        <v>2541</v>
      </c>
    </row>
    <row r="2063" spans="1:13" x14ac:dyDescent="0.25">
      <c r="A2063" s="12" t="str">
        <f t="shared" si="64"/>
        <v>5005478JOSE ANTONIO SILVACT46223,6173611111</v>
      </c>
      <c r="B2063" s="12" t="str">
        <f t="shared" si="65"/>
        <v>Agosto</v>
      </c>
      <c r="C2063" s="8" t="s">
        <v>2917</v>
      </c>
      <c r="D2063" s="8" t="s">
        <v>664</v>
      </c>
      <c r="E2063" s="8" t="s">
        <v>99</v>
      </c>
      <c r="F2063" s="23">
        <v>46223.617361111108</v>
      </c>
      <c r="G2063" s="8" t="s">
        <v>1035</v>
      </c>
      <c r="H2063" s="23">
        <v>46240</v>
      </c>
      <c r="I2063" s="23">
        <v>46223.617361111108</v>
      </c>
      <c r="J2063" s="10">
        <v>2754</v>
      </c>
      <c r="K2063" s="10">
        <v>0</v>
      </c>
      <c r="L2063" s="24">
        <v>0</v>
      </c>
      <c r="M2063" s="10">
        <v>2754</v>
      </c>
    </row>
    <row r="2064" spans="1:13" x14ac:dyDescent="0.25">
      <c r="A2064" s="12" t="str">
        <f t="shared" si="64"/>
        <v>5005479JOSE ANTONIO SILVARCB46227,2409722222</v>
      </c>
      <c r="B2064" s="12" t="str">
        <f t="shared" si="65"/>
        <v>Julho</v>
      </c>
      <c r="C2064" s="8" t="s">
        <v>2853</v>
      </c>
      <c r="D2064" s="8" t="s">
        <v>664</v>
      </c>
      <c r="E2064" s="8" t="s">
        <v>99</v>
      </c>
      <c r="F2064" s="23">
        <v>46227.240972222222</v>
      </c>
      <c r="G2064" s="8" t="s">
        <v>1045</v>
      </c>
      <c r="H2064" s="23">
        <v>46232</v>
      </c>
      <c r="I2064" s="23">
        <v>46227.240972222222</v>
      </c>
      <c r="J2064" s="10">
        <v>105</v>
      </c>
      <c r="K2064" s="10">
        <v>0</v>
      </c>
      <c r="L2064" s="24">
        <v>0</v>
      </c>
      <c r="M2064" s="10">
        <v>105</v>
      </c>
    </row>
    <row r="2065" spans="1:13" x14ac:dyDescent="0.25">
      <c r="A2065" s="12" t="str">
        <f t="shared" si="64"/>
        <v>5005479DIOGO BONELA TONHACT46223,61875</v>
      </c>
      <c r="B2065" s="12" t="str">
        <f t="shared" si="65"/>
        <v>Agosto</v>
      </c>
      <c r="C2065" s="8" t="s">
        <v>2853</v>
      </c>
      <c r="D2065" s="8" t="s">
        <v>664</v>
      </c>
      <c r="E2065" s="8" t="s">
        <v>52</v>
      </c>
      <c r="F2065" s="23">
        <v>46223.618750000001</v>
      </c>
      <c r="G2065" s="8" t="s">
        <v>1035</v>
      </c>
      <c r="H2065" s="23">
        <v>46240</v>
      </c>
      <c r="I2065" s="23">
        <v>46223.618750000001</v>
      </c>
      <c r="J2065" s="10">
        <v>770</v>
      </c>
      <c r="K2065" s="10">
        <v>0</v>
      </c>
      <c r="L2065" s="24">
        <v>0</v>
      </c>
      <c r="M2065" s="10">
        <v>770</v>
      </c>
    </row>
    <row r="2066" spans="1:13" x14ac:dyDescent="0.25">
      <c r="A2066" s="12" t="str">
        <f t="shared" si="64"/>
        <v>5005480BRENDA LUIZA PEREIRACT46223,6201388889</v>
      </c>
      <c r="B2066" s="12" t="str">
        <f t="shared" si="65"/>
        <v>Agosto</v>
      </c>
      <c r="C2066" s="8" t="s">
        <v>2918</v>
      </c>
      <c r="D2066" s="8" t="s">
        <v>664</v>
      </c>
      <c r="E2066" s="8" t="s">
        <v>28</v>
      </c>
      <c r="F2066" s="23">
        <v>46223.620138888888</v>
      </c>
      <c r="G2066" s="8" t="s">
        <v>1035</v>
      </c>
      <c r="H2066" s="23">
        <v>46240</v>
      </c>
      <c r="I2066" s="23">
        <v>46223.620138888888</v>
      </c>
      <c r="J2066" s="10">
        <v>1822</v>
      </c>
      <c r="K2066" s="10">
        <v>0</v>
      </c>
      <c r="L2066" s="24">
        <v>0</v>
      </c>
      <c r="M2066" s="10">
        <v>1822</v>
      </c>
    </row>
    <row r="2067" spans="1:13" x14ac:dyDescent="0.25">
      <c r="A2067" s="12" t="str">
        <f t="shared" si="64"/>
        <v>5005481RAPHAEL PRAIS COSTA OLIVEIRACT46223,6215277778</v>
      </c>
      <c r="B2067" s="12" t="str">
        <f t="shared" si="65"/>
        <v>Agosto</v>
      </c>
      <c r="C2067" s="8" t="s">
        <v>2921</v>
      </c>
      <c r="D2067" s="8" t="s">
        <v>664</v>
      </c>
      <c r="E2067" s="8" t="s">
        <v>2922</v>
      </c>
      <c r="F2067" s="23">
        <v>46223.621527777781</v>
      </c>
      <c r="G2067" s="8" t="s">
        <v>1035</v>
      </c>
      <c r="H2067" s="23">
        <v>46240</v>
      </c>
      <c r="I2067" s="23">
        <v>46223.621527777781</v>
      </c>
      <c r="J2067" s="10">
        <v>440</v>
      </c>
      <c r="K2067" s="10">
        <v>0</v>
      </c>
      <c r="L2067" s="24">
        <v>0</v>
      </c>
      <c r="M2067" s="10">
        <v>440</v>
      </c>
    </row>
    <row r="2068" spans="1:13" x14ac:dyDescent="0.25">
      <c r="A2068" s="12" t="str">
        <f t="shared" si="64"/>
        <v>5005482JOHNSON RAMOS DE CARVALHOCT46223,6222222222</v>
      </c>
      <c r="B2068" s="12" t="str">
        <f t="shared" si="65"/>
        <v>Agosto</v>
      </c>
      <c r="C2068" s="8" t="s">
        <v>2919</v>
      </c>
      <c r="D2068" s="8" t="s">
        <v>664</v>
      </c>
      <c r="E2068" s="8" t="s">
        <v>94</v>
      </c>
      <c r="F2068" s="23">
        <v>46223.62222222222</v>
      </c>
      <c r="G2068" s="8" t="s">
        <v>1035</v>
      </c>
      <c r="H2068" s="23">
        <v>46240</v>
      </c>
      <c r="I2068" s="23">
        <v>46223.62222222222</v>
      </c>
      <c r="J2068" s="10">
        <v>364</v>
      </c>
      <c r="K2068" s="10">
        <v>0</v>
      </c>
      <c r="L2068" s="24">
        <v>0</v>
      </c>
      <c r="M2068" s="10">
        <v>364</v>
      </c>
    </row>
    <row r="2069" spans="1:13" x14ac:dyDescent="0.25">
      <c r="A2069" s="12" t="str">
        <f t="shared" si="64"/>
        <v>5005483GUSTAVO DE OLIVEIRA SILVACT46223,6243055556</v>
      </c>
      <c r="B2069" s="12" t="str">
        <f t="shared" si="65"/>
        <v>Agosto</v>
      </c>
      <c r="C2069" s="8" t="s">
        <v>2920</v>
      </c>
      <c r="D2069" s="8" t="s">
        <v>664</v>
      </c>
      <c r="E2069" s="8" t="s">
        <v>78</v>
      </c>
      <c r="F2069" s="23">
        <v>46223.624305555553</v>
      </c>
      <c r="G2069" s="8" t="s">
        <v>1035</v>
      </c>
      <c r="H2069" s="23">
        <v>46240</v>
      </c>
      <c r="I2069" s="23">
        <v>46223.624305555553</v>
      </c>
      <c r="J2069" s="10">
        <v>901</v>
      </c>
      <c r="K2069" s="10">
        <v>0</v>
      </c>
      <c r="L2069" s="24">
        <v>0</v>
      </c>
      <c r="M2069" s="10">
        <v>901</v>
      </c>
    </row>
    <row r="2070" spans="1:13" x14ac:dyDescent="0.25">
      <c r="A2070" s="12" t="str">
        <f t="shared" si="64"/>
        <v>5005484GUSTAVO DE OLIVEIRA SILVARCB46230,40625</v>
      </c>
      <c r="B2070" s="12" t="str">
        <f t="shared" si="65"/>
        <v>Julho</v>
      </c>
      <c r="C2070" s="8" t="s">
        <v>2856</v>
      </c>
      <c r="D2070" s="8" t="s">
        <v>664</v>
      </c>
      <c r="E2070" s="8" t="s">
        <v>78</v>
      </c>
      <c r="F2070" s="23">
        <v>46230.40625</v>
      </c>
      <c r="G2070" s="8" t="s">
        <v>1045</v>
      </c>
      <c r="H2070" s="23">
        <v>46233</v>
      </c>
      <c r="I2070" s="23">
        <v>46230.40625</v>
      </c>
      <c r="J2070" s="10">
        <v>56</v>
      </c>
      <c r="K2070" s="10">
        <v>0</v>
      </c>
      <c r="L2070" s="24">
        <v>0</v>
      </c>
      <c r="M2070" s="10">
        <v>56</v>
      </c>
    </row>
    <row r="2071" spans="1:13" x14ac:dyDescent="0.25">
      <c r="A2071" s="12" t="str">
        <f t="shared" si="64"/>
        <v>5005485RENILSON DIAS DE BRITOCT46238,6125</v>
      </c>
      <c r="B2071" s="12" t="str">
        <f t="shared" si="65"/>
        <v>Agosto</v>
      </c>
      <c r="C2071" s="8" t="s">
        <v>2954</v>
      </c>
      <c r="D2071" s="8" t="s">
        <v>664</v>
      </c>
      <c r="E2071" s="8" t="s">
        <v>1383</v>
      </c>
      <c r="F2071" s="23">
        <v>46238.612500000003</v>
      </c>
      <c r="G2071" s="8" t="s">
        <v>1035</v>
      </c>
      <c r="H2071" s="23">
        <v>46251</v>
      </c>
      <c r="I2071" s="23">
        <v>46238.612500000003</v>
      </c>
      <c r="J2071" s="10">
        <v>700</v>
      </c>
      <c r="K2071" s="10">
        <v>0</v>
      </c>
      <c r="L2071" s="24">
        <v>0</v>
      </c>
      <c r="M2071" s="10">
        <v>700</v>
      </c>
    </row>
    <row r="2072" spans="1:13" x14ac:dyDescent="0.25">
      <c r="A2072" s="12" t="str">
        <f t="shared" si="64"/>
        <v>5005486EDUARDO GAUDENCIO ROSACT46238,6145833333</v>
      </c>
      <c r="B2072" s="12" t="str">
        <f t="shared" si="65"/>
        <v>Agosto</v>
      </c>
      <c r="C2072" s="8" t="s">
        <v>2956</v>
      </c>
      <c r="D2072" s="8" t="s">
        <v>664</v>
      </c>
      <c r="E2072" s="8" t="s">
        <v>58</v>
      </c>
      <c r="F2072" s="23">
        <v>46238.614583333336</v>
      </c>
      <c r="G2072" s="8" t="s">
        <v>1035</v>
      </c>
      <c r="H2072" s="23">
        <v>46251</v>
      </c>
      <c r="I2072" s="23">
        <v>46238.614583333336</v>
      </c>
      <c r="J2072" s="10">
        <v>4288</v>
      </c>
      <c r="K2072" s="10">
        <v>0</v>
      </c>
      <c r="L2072" s="24">
        <v>0</v>
      </c>
      <c r="M2072" s="10">
        <v>4288</v>
      </c>
    </row>
    <row r="2073" spans="1:13" x14ac:dyDescent="0.25">
      <c r="A2073" s="12" t="str">
        <f t="shared" si="64"/>
        <v>5005487CRISTIAN ALVES MOREIRACT46238,6159722222</v>
      </c>
      <c r="B2073" s="12" t="str">
        <f t="shared" si="65"/>
        <v>Agosto</v>
      </c>
      <c r="C2073" s="8" t="s">
        <v>2957</v>
      </c>
      <c r="D2073" s="8" t="s">
        <v>664</v>
      </c>
      <c r="E2073" s="8" t="s">
        <v>46</v>
      </c>
      <c r="F2073" s="23">
        <v>46238.615972222222</v>
      </c>
      <c r="G2073" s="8" t="s">
        <v>1035</v>
      </c>
      <c r="H2073" s="23">
        <v>46251</v>
      </c>
      <c r="I2073" s="23">
        <v>46238.615972222222</v>
      </c>
      <c r="J2073" s="10">
        <v>691</v>
      </c>
      <c r="K2073" s="10">
        <v>0</v>
      </c>
      <c r="L2073" s="24">
        <v>0</v>
      </c>
      <c r="M2073" s="10">
        <v>691</v>
      </c>
    </row>
    <row r="2074" spans="1:13" x14ac:dyDescent="0.25">
      <c r="A2074" s="12" t="str">
        <f t="shared" si="64"/>
        <v>5005488PAULO RICARDO SILVACT46238,6173611111</v>
      </c>
      <c r="B2074" s="12" t="str">
        <f t="shared" si="65"/>
        <v>Agosto</v>
      </c>
      <c r="C2074" s="8" t="s">
        <v>2958</v>
      </c>
      <c r="D2074" s="8" t="s">
        <v>664</v>
      </c>
      <c r="E2074" s="8" t="s">
        <v>153</v>
      </c>
      <c r="F2074" s="23">
        <v>46238.617361111108</v>
      </c>
      <c r="G2074" s="8" t="s">
        <v>1035</v>
      </c>
      <c r="H2074" s="23">
        <v>46251</v>
      </c>
      <c r="I2074" s="23">
        <v>46238.617361111108</v>
      </c>
      <c r="J2074" s="10">
        <v>2425</v>
      </c>
      <c r="K2074" s="10">
        <v>0</v>
      </c>
      <c r="L2074" s="24">
        <v>0</v>
      </c>
      <c r="M2074" s="10">
        <v>2425</v>
      </c>
    </row>
    <row r="2075" spans="1:13" x14ac:dyDescent="0.25">
      <c r="A2075" s="12" t="str">
        <f t="shared" si="64"/>
        <v>5005489ADRIANO ROBERTOCT46238,61875</v>
      </c>
      <c r="B2075" s="12" t="str">
        <f t="shared" si="65"/>
        <v>Agosto</v>
      </c>
      <c r="C2075" s="8" t="s">
        <v>2959</v>
      </c>
      <c r="D2075" s="8" t="s">
        <v>664</v>
      </c>
      <c r="E2075" s="8" t="s">
        <v>8</v>
      </c>
      <c r="F2075" s="23">
        <v>46238.618750000001</v>
      </c>
      <c r="G2075" s="8" t="s">
        <v>1035</v>
      </c>
      <c r="H2075" s="23">
        <v>46251</v>
      </c>
      <c r="I2075" s="23">
        <v>46238.618750000001</v>
      </c>
      <c r="J2075" s="10">
        <v>2162</v>
      </c>
      <c r="K2075" s="10">
        <v>0</v>
      </c>
      <c r="L2075" s="24">
        <v>0</v>
      </c>
      <c r="M2075" s="10">
        <v>2162</v>
      </c>
    </row>
    <row r="2076" spans="1:13" x14ac:dyDescent="0.25">
      <c r="A2076" s="12" t="str">
        <f t="shared" si="64"/>
        <v>5005490NELCIDES JOSE VIEIRACT46238,6215277778</v>
      </c>
      <c r="B2076" s="12" t="str">
        <f t="shared" si="65"/>
        <v>Agosto</v>
      </c>
      <c r="C2076" s="8" t="s">
        <v>2962</v>
      </c>
      <c r="D2076" s="8" t="s">
        <v>664</v>
      </c>
      <c r="E2076" s="8" t="s">
        <v>137</v>
      </c>
      <c r="F2076" s="23">
        <v>46238.621527777781</v>
      </c>
      <c r="G2076" s="8" t="s">
        <v>1035</v>
      </c>
      <c r="H2076" s="23">
        <v>46251</v>
      </c>
      <c r="I2076" s="23">
        <v>46238.621527777781</v>
      </c>
      <c r="J2076" s="10">
        <v>700</v>
      </c>
      <c r="K2076" s="10">
        <v>0</v>
      </c>
      <c r="L2076" s="24">
        <v>0</v>
      </c>
      <c r="M2076" s="10">
        <v>700</v>
      </c>
    </row>
    <row r="2077" spans="1:13" x14ac:dyDescent="0.25">
      <c r="A2077" s="12" t="str">
        <f t="shared" si="64"/>
        <v>5005491NELCIDES JOSE VIEIRARCB46241,6173611111</v>
      </c>
      <c r="B2077" s="12" t="str">
        <f t="shared" si="65"/>
        <v>Agosto</v>
      </c>
      <c r="C2077" s="8" t="s">
        <v>2926</v>
      </c>
      <c r="D2077" s="8" t="s">
        <v>664</v>
      </c>
      <c r="E2077" s="8" t="s">
        <v>137</v>
      </c>
      <c r="F2077" s="23">
        <v>46241.617361111108</v>
      </c>
      <c r="G2077" s="8" t="s">
        <v>1045</v>
      </c>
      <c r="H2077" s="23">
        <v>46246</v>
      </c>
      <c r="I2077" s="23">
        <v>46241.617361111108</v>
      </c>
      <c r="J2077" s="10">
        <v>28.7</v>
      </c>
      <c r="K2077" s="10">
        <v>0</v>
      </c>
      <c r="L2077" s="24">
        <v>0</v>
      </c>
      <c r="M2077" s="10">
        <v>28.7</v>
      </c>
    </row>
    <row r="2078" spans="1:13" x14ac:dyDescent="0.25">
      <c r="A2078" s="12" t="str">
        <f t="shared" si="64"/>
        <v>5005491WILLIAM DE SOUZA VIEIRACT46238,6256944444</v>
      </c>
      <c r="B2078" s="12" t="str">
        <f t="shared" si="65"/>
        <v>Agosto</v>
      </c>
      <c r="C2078" s="8" t="s">
        <v>2926</v>
      </c>
      <c r="D2078" s="8" t="s">
        <v>664</v>
      </c>
      <c r="E2078" s="8" t="s">
        <v>1542</v>
      </c>
      <c r="F2078" s="23">
        <v>46238.625694444447</v>
      </c>
      <c r="G2078" s="8" t="s">
        <v>1035</v>
      </c>
      <c r="H2078" s="23">
        <v>46251</v>
      </c>
      <c r="I2078" s="23">
        <v>46238.625694444447</v>
      </c>
      <c r="J2078" s="10">
        <v>700</v>
      </c>
      <c r="K2078" s="10">
        <v>0</v>
      </c>
      <c r="L2078" s="24">
        <v>0</v>
      </c>
      <c r="M2078" s="10">
        <v>700</v>
      </c>
    </row>
    <row r="2079" spans="1:13" x14ac:dyDescent="0.25">
      <c r="A2079" s="12" t="str">
        <f t="shared" si="64"/>
        <v>5005492CARLOS ANTONIO PINTOCT46238,6319444444</v>
      </c>
      <c r="B2079" s="12" t="str">
        <f t="shared" si="65"/>
        <v>Agosto</v>
      </c>
      <c r="C2079" s="8" t="s">
        <v>2963</v>
      </c>
      <c r="D2079" s="8" t="s">
        <v>664</v>
      </c>
      <c r="E2079" s="8" t="s">
        <v>36</v>
      </c>
      <c r="F2079" s="23">
        <v>46238.631944444445</v>
      </c>
      <c r="G2079" s="8" t="s">
        <v>1035</v>
      </c>
      <c r="H2079" s="23">
        <v>46251</v>
      </c>
      <c r="I2079" s="23">
        <v>46238.631944444445</v>
      </c>
      <c r="J2079" s="10">
        <v>3700</v>
      </c>
      <c r="K2079" s="10">
        <v>0</v>
      </c>
      <c r="L2079" s="24">
        <v>0</v>
      </c>
      <c r="M2079" s="10">
        <v>3700</v>
      </c>
    </row>
    <row r="2080" spans="1:13" x14ac:dyDescent="0.25">
      <c r="A2080" s="12" t="str">
        <f t="shared" si="64"/>
        <v>5005493ADRIANA DA SILVA SANTOS FERREIRACT46238,6326388889</v>
      </c>
      <c r="B2080" s="12" t="str">
        <f t="shared" si="65"/>
        <v>Agosto</v>
      </c>
      <c r="C2080" s="8" t="s">
        <v>2964</v>
      </c>
      <c r="D2080" s="8" t="s">
        <v>664</v>
      </c>
      <c r="E2080" s="8" t="s">
        <v>1413</v>
      </c>
      <c r="F2080" s="23">
        <v>46238.632638888892</v>
      </c>
      <c r="G2080" s="8" t="s">
        <v>1035</v>
      </c>
      <c r="H2080" s="23">
        <v>46251</v>
      </c>
      <c r="I2080" s="23">
        <v>46238.632638888892</v>
      </c>
      <c r="J2080" s="10">
        <v>1080</v>
      </c>
      <c r="K2080" s="10">
        <v>0</v>
      </c>
      <c r="L2080" s="24">
        <v>0</v>
      </c>
      <c r="M2080" s="10">
        <v>1080</v>
      </c>
    </row>
    <row r="2081" spans="1:13" x14ac:dyDescent="0.25">
      <c r="A2081" s="12" t="str">
        <f t="shared" si="64"/>
        <v>5005494JORGE MARTINS BORGES JUNIORCT46238,6340277778</v>
      </c>
      <c r="B2081" s="12" t="str">
        <f t="shared" si="65"/>
        <v>Agosto</v>
      </c>
      <c r="C2081" s="8" t="s">
        <v>2965</v>
      </c>
      <c r="D2081" s="8" t="s">
        <v>664</v>
      </c>
      <c r="E2081" s="8" t="s">
        <v>97</v>
      </c>
      <c r="F2081" s="23">
        <v>46238.634027777778</v>
      </c>
      <c r="G2081" s="8" t="s">
        <v>1035</v>
      </c>
      <c r="H2081" s="23">
        <v>46251</v>
      </c>
      <c r="I2081" s="23">
        <v>46238.634027777778</v>
      </c>
      <c r="J2081" s="10">
        <v>741</v>
      </c>
      <c r="K2081" s="10">
        <v>0</v>
      </c>
      <c r="L2081" s="24">
        <v>0</v>
      </c>
      <c r="M2081" s="10">
        <v>741</v>
      </c>
    </row>
    <row r="2082" spans="1:13" x14ac:dyDescent="0.25">
      <c r="A2082" s="12" t="str">
        <f t="shared" si="64"/>
        <v>5005495JAIME GOMES PARAGUAICT46238,6347222222</v>
      </c>
      <c r="B2082" s="12" t="str">
        <f t="shared" si="65"/>
        <v>Agosto</v>
      </c>
      <c r="C2082" s="8" t="s">
        <v>2967</v>
      </c>
      <c r="D2082" s="8" t="s">
        <v>664</v>
      </c>
      <c r="E2082" s="8" t="s">
        <v>87</v>
      </c>
      <c r="F2082" s="23">
        <v>46238.634722222225</v>
      </c>
      <c r="G2082" s="8" t="s">
        <v>1035</v>
      </c>
      <c r="H2082" s="23">
        <v>46251</v>
      </c>
      <c r="I2082" s="23">
        <v>46238.634722222225</v>
      </c>
      <c r="J2082" s="10">
        <v>836</v>
      </c>
      <c r="K2082" s="10">
        <v>0</v>
      </c>
      <c r="L2082" s="24">
        <v>0</v>
      </c>
      <c r="M2082" s="10">
        <v>836</v>
      </c>
    </row>
    <row r="2083" spans="1:13" x14ac:dyDescent="0.25">
      <c r="A2083" s="12" t="str">
        <f t="shared" si="64"/>
        <v>5005496ALAOR CANAVEZ DE MORAES NETOCT46238,6354166667</v>
      </c>
      <c r="B2083" s="12" t="str">
        <f t="shared" si="65"/>
        <v>Agosto</v>
      </c>
      <c r="C2083" s="8" t="s">
        <v>2968</v>
      </c>
      <c r="D2083" s="8" t="s">
        <v>664</v>
      </c>
      <c r="E2083" s="8" t="s">
        <v>10</v>
      </c>
      <c r="F2083" s="23">
        <v>46238.635416666664</v>
      </c>
      <c r="G2083" s="8" t="s">
        <v>1035</v>
      </c>
      <c r="H2083" s="23">
        <v>46251</v>
      </c>
      <c r="I2083" s="23">
        <v>46238.635416666664</v>
      </c>
      <c r="J2083" s="10">
        <v>961</v>
      </c>
      <c r="K2083" s="10">
        <v>0</v>
      </c>
      <c r="L2083" s="24">
        <v>0</v>
      </c>
      <c r="M2083" s="10">
        <v>961</v>
      </c>
    </row>
    <row r="2084" spans="1:13" x14ac:dyDescent="0.25">
      <c r="A2084" s="12" t="str">
        <f t="shared" si="64"/>
        <v>5005497MAGNO APARECIDO DE JESUSCT46238,6368055556</v>
      </c>
      <c r="B2084" s="12" t="str">
        <f t="shared" si="65"/>
        <v>Agosto</v>
      </c>
      <c r="C2084" s="8" t="s">
        <v>2969</v>
      </c>
      <c r="D2084" s="8" t="s">
        <v>664</v>
      </c>
      <c r="E2084" s="8" t="s">
        <v>115</v>
      </c>
      <c r="F2084" s="23">
        <v>46238.636805555558</v>
      </c>
      <c r="G2084" s="8" t="s">
        <v>1035</v>
      </c>
      <c r="H2084" s="23">
        <v>46251</v>
      </c>
      <c r="I2084" s="23">
        <v>46238.636805555558</v>
      </c>
      <c r="J2084" s="10">
        <v>3295</v>
      </c>
      <c r="K2084" s="10">
        <v>0</v>
      </c>
      <c r="L2084" s="24">
        <v>0</v>
      </c>
      <c r="M2084" s="10">
        <v>3295</v>
      </c>
    </row>
    <row r="2085" spans="1:13" x14ac:dyDescent="0.25">
      <c r="A2085" s="12" t="str">
        <f t="shared" si="64"/>
        <v>5005498ANTONIO CARLOS DA COSTACT46238,6375</v>
      </c>
      <c r="B2085" s="12" t="str">
        <f t="shared" si="65"/>
        <v>Agosto</v>
      </c>
      <c r="C2085" s="8" t="s">
        <v>2970</v>
      </c>
      <c r="D2085" s="8" t="s">
        <v>664</v>
      </c>
      <c r="E2085" s="8" t="s">
        <v>19</v>
      </c>
      <c r="F2085" s="23">
        <v>46238.637499999997</v>
      </c>
      <c r="G2085" s="8" t="s">
        <v>1035</v>
      </c>
      <c r="H2085" s="23">
        <v>46251</v>
      </c>
      <c r="I2085" s="23">
        <v>46238.637499999997</v>
      </c>
      <c r="J2085" s="10">
        <v>6742</v>
      </c>
      <c r="K2085" s="10">
        <v>0</v>
      </c>
      <c r="L2085" s="24">
        <v>0</v>
      </c>
      <c r="M2085" s="10">
        <v>6742</v>
      </c>
    </row>
    <row r="2086" spans="1:13" x14ac:dyDescent="0.25">
      <c r="A2086" s="12" t="str">
        <f t="shared" si="64"/>
        <v>5005500RAISSA DE CARVALHO FIORINECT46238,6409722222</v>
      </c>
      <c r="B2086" s="12" t="str">
        <f t="shared" si="65"/>
        <v>Agosto</v>
      </c>
      <c r="C2086" s="8" t="s">
        <v>2971</v>
      </c>
      <c r="D2086" s="8" t="s">
        <v>664</v>
      </c>
      <c r="E2086" s="8" t="s">
        <v>163</v>
      </c>
      <c r="F2086" s="23">
        <v>46238.640972222223</v>
      </c>
      <c r="G2086" s="8" t="s">
        <v>1035</v>
      </c>
      <c r="H2086" s="23">
        <v>46251</v>
      </c>
      <c r="I2086" s="23">
        <v>46238.640972222223</v>
      </c>
      <c r="J2086" s="10">
        <v>462</v>
      </c>
      <c r="K2086" s="10">
        <v>0</v>
      </c>
      <c r="L2086" s="24">
        <v>0</v>
      </c>
      <c r="M2086" s="10">
        <v>462</v>
      </c>
    </row>
    <row r="2087" spans="1:13" x14ac:dyDescent="0.25">
      <c r="A2087" s="12" t="str">
        <f t="shared" si="64"/>
        <v>5005501MARCELO MARTINS DE OLIVEIRACT46238,6423611111</v>
      </c>
      <c r="B2087" s="12" t="str">
        <f t="shared" si="65"/>
        <v>Agosto</v>
      </c>
      <c r="C2087" s="8" t="s">
        <v>2975</v>
      </c>
      <c r="D2087" s="8" t="s">
        <v>664</v>
      </c>
      <c r="E2087" s="8" t="s">
        <v>121</v>
      </c>
      <c r="F2087" s="23">
        <v>46238.642361111109</v>
      </c>
      <c r="G2087" s="8" t="s">
        <v>1035</v>
      </c>
      <c r="H2087" s="23">
        <v>46251</v>
      </c>
      <c r="I2087" s="23">
        <v>46238.642361111109</v>
      </c>
      <c r="J2087" s="10">
        <v>2617</v>
      </c>
      <c r="K2087" s="10">
        <v>0</v>
      </c>
      <c r="L2087" s="24">
        <v>0</v>
      </c>
      <c r="M2087" s="10">
        <v>2617</v>
      </c>
    </row>
    <row r="2088" spans="1:13" x14ac:dyDescent="0.25">
      <c r="A2088" s="12" t="str">
        <f t="shared" si="64"/>
        <v>5005502MARCELO MARTINS DE OLIVEIRARCB46244,4284722222</v>
      </c>
      <c r="B2088" s="12" t="str">
        <f t="shared" si="65"/>
        <v>Agosto</v>
      </c>
      <c r="C2088" s="8" t="s">
        <v>2934</v>
      </c>
      <c r="D2088" s="8" t="s">
        <v>664</v>
      </c>
      <c r="E2088" s="8" t="s">
        <v>121</v>
      </c>
      <c r="F2088" s="23">
        <v>46244.428472222222</v>
      </c>
      <c r="G2088" s="8" t="s">
        <v>1045</v>
      </c>
      <c r="H2088" s="23">
        <v>46247</v>
      </c>
      <c r="I2088" s="23">
        <v>46244.428472222222</v>
      </c>
      <c r="J2088" s="10">
        <v>19.5</v>
      </c>
      <c r="K2088" s="10">
        <v>0</v>
      </c>
      <c r="L2088" s="24">
        <v>0</v>
      </c>
      <c r="M2088" s="10">
        <v>19.5</v>
      </c>
    </row>
    <row r="2089" spans="1:13" x14ac:dyDescent="0.25">
      <c r="A2089" s="12" t="str">
        <f t="shared" si="64"/>
        <v>5005502LIDIANE ASSIS ROCHACT46238,64375</v>
      </c>
      <c r="B2089" s="12" t="str">
        <f t="shared" si="65"/>
        <v>Agosto</v>
      </c>
      <c r="C2089" s="8" t="s">
        <v>2934</v>
      </c>
      <c r="D2089" s="8" t="s">
        <v>664</v>
      </c>
      <c r="E2089" s="8" t="s">
        <v>110</v>
      </c>
      <c r="F2089" s="23">
        <v>46238.643750000003</v>
      </c>
      <c r="G2089" s="8" t="s">
        <v>1035</v>
      </c>
      <c r="H2089" s="23">
        <v>46251</v>
      </c>
      <c r="I2089" s="23">
        <v>46238.643750000003</v>
      </c>
      <c r="J2089" s="10">
        <v>1675</v>
      </c>
      <c r="K2089" s="10">
        <v>0</v>
      </c>
      <c r="L2089" s="24">
        <v>0</v>
      </c>
      <c r="M2089" s="10">
        <v>1675</v>
      </c>
    </row>
    <row r="2090" spans="1:13" x14ac:dyDescent="0.25">
      <c r="A2090" s="12" t="str">
        <f t="shared" si="64"/>
        <v>5005503NATANIELLE SILVA DE SOUZA MARQUESCT46238,6444444444</v>
      </c>
      <c r="B2090" s="12" t="str">
        <f t="shared" si="65"/>
        <v>Agosto</v>
      </c>
      <c r="C2090" s="8" t="s">
        <v>2976</v>
      </c>
      <c r="D2090" s="8" t="s">
        <v>664</v>
      </c>
      <c r="E2090" s="8" t="s">
        <v>135</v>
      </c>
      <c r="F2090" s="23">
        <v>46238.644444444442</v>
      </c>
      <c r="G2090" s="8" t="s">
        <v>1035</v>
      </c>
      <c r="H2090" s="23">
        <v>46251</v>
      </c>
      <c r="I2090" s="23">
        <v>46238.644444444442</v>
      </c>
      <c r="J2090" s="10">
        <v>7408</v>
      </c>
      <c r="K2090" s="10">
        <v>0</v>
      </c>
      <c r="L2090" s="24">
        <v>0</v>
      </c>
      <c r="M2090" s="10">
        <v>7408</v>
      </c>
    </row>
    <row r="2091" spans="1:13" x14ac:dyDescent="0.25">
      <c r="A2091" s="12" t="str">
        <f t="shared" si="64"/>
        <v>5005504NATANIELLE SILVA DE SOUZA MARQUESRCB46241,6194444444</v>
      </c>
      <c r="B2091" s="12" t="str">
        <f t="shared" si="65"/>
        <v>Agosto</v>
      </c>
      <c r="C2091" s="8" t="s">
        <v>2927</v>
      </c>
      <c r="D2091" s="8" t="s">
        <v>664</v>
      </c>
      <c r="E2091" s="8" t="s">
        <v>135</v>
      </c>
      <c r="F2091" s="23">
        <v>46241.619444444441</v>
      </c>
      <c r="G2091" s="8" t="s">
        <v>1045</v>
      </c>
      <c r="H2091" s="23">
        <v>46251</v>
      </c>
      <c r="I2091" s="23">
        <v>46241.619444444441</v>
      </c>
      <c r="J2091" s="10">
        <v>209.95</v>
      </c>
      <c r="K2091" s="10">
        <v>0</v>
      </c>
      <c r="L2091" s="24">
        <v>0</v>
      </c>
      <c r="M2091" s="10">
        <v>209.95</v>
      </c>
    </row>
    <row r="2092" spans="1:13" x14ac:dyDescent="0.25">
      <c r="A2092" s="12" t="str">
        <f t="shared" si="64"/>
        <v>5005504JOSE MARCIO DA SILVACT46238,6451388889</v>
      </c>
      <c r="B2092" s="12" t="str">
        <f t="shared" si="65"/>
        <v>Agosto</v>
      </c>
      <c r="C2092" s="8" t="s">
        <v>2927</v>
      </c>
      <c r="D2092" s="8" t="s">
        <v>664</v>
      </c>
      <c r="E2092" s="8" t="s">
        <v>1576</v>
      </c>
      <c r="F2092" s="23">
        <v>46238.645138888889</v>
      </c>
      <c r="G2092" s="8" t="s">
        <v>1035</v>
      </c>
      <c r="H2092" s="23">
        <v>46251</v>
      </c>
      <c r="I2092" s="23">
        <v>46238.645138888889</v>
      </c>
      <c r="J2092" s="10">
        <v>2100</v>
      </c>
      <c r="K2092" s="10">
        <v>0</v>
      </c>
      <c r="L2092" s="24">
        <v>0</v>
      </c>
      <c r="M2092" s="10">
        <v>2100</v>
      </c>
    </row>
    <row r="2093" spans="1:13" x14ac:dyDescent="0.25">
      <c r="A2093" s="12" t="str">
        <f t="shared" si="64"/>
        <v>5005505JOSE ANTONIO SILVACT46238,6479166667</v>
      </c>
      <c r="B2093" s="12" t="str">
        <f t="shared" si="65"/>
        <v>Agosto</v>
      </c>
      <c r="C2093" s="8" t="s">
        <v>2977</v>
      </c>
      <c r="D2093" s="8" t="s">
        <v>664</v>
      </c>
      <c r="E2093" s="8" t="s">
        <v>99</v>
      </c>
      <c r="F2093" s="23">
        <v>46238.647916666669</v>
      </c>
      <c r="G2093" s="8" t="s">
        <v>1035</v>
      </c>
      <c r="H2093" s="23">
        <v>46251</v>
      </c>
      <c r="I2093" s="23">
        <v>46238.647916666669</v>
      </c>
      <c r="J2093" s="10">
        <v>4953</v>
      </c>
      <c r="K2093" s="10">
        <v>0</v>
      </c>
      <c r="L2093" s="24">
        <v>0</v>
      </c>
      <c r="M2093" s="10">
        <v>4953</v>
      </c>
    </row>
    <row r="2094" spans="1:13" x14ac:dyDescent="0.25">
      <c r="A2094" s="12" t="str">
        <f t="shared" si="64"/>
        <v>5005506JOSE ANTONIO SILVARCB46241,6152777778</v>
      </c>
      <c r="B2094" s="12" t="str">
        <f t="shared" si="65"/>
        <v>Agosto</v>
      </c>
      <c r="C2094" s="8" t="s">
        <v>2929</v>
      </c>
      <c r="D2094" s="8" t="s">
        <v>664</v>
      </c>
      <c r="E2094" s="8" t="s">
        <v>99</v>
      </c>
      <c r="F2094" s="23">
        <v>46241.615277777775</v>
      </c>
      <c r="G2094" s="8" t="s">
        <v>1045</v>
      </c>
      <c r="H2094" s="23">
        <v>46246</v>
      </c>
      <c r="I2094" s="23">
        <v>46241.615277777775</v>
      </c>
      <c r="J2094" s="10">
        <v>179</v>
      </c>
      <c r="K2094" s="10">
        <v>0</v>
      </c>
      <c r="L2094" s="24">
        <v>0</v>
      </c>
      <c r="M2094" s="10">
        <v>179</v>
      </c>
    </row>
    <row r="2095" spans="1:13" x14ac:dyDescent="0.25">
      <c r="A2095" s="12" t="str">
        <f t="shared" si="64"/>
        <v>5005506BRENDA LUIZA PEREIRACT46238,6486111111</v>
      </c>
      <c r="B2095" s="12" t="str">
        <f t="shared" si="65"/>
        <v>Agosto</v>
      </c>
      <c r="C2095" s="8" t="s">
        <v>2929</v>
      </c>
      <c r="D2095" s="8" t="s">
        <v>664</v>
      </c>
      <c r="E2095" s="8" t="s">
        <v>28</v>
      </c>
      <c r="F2095" s="23">
        <v>46238.648611111108</v>
      </c>
      <c r="G2095" s="8" t="s">
        <v>1035</v>
      </c>
      <c r="H2095" s="23">
        <v>46251</v>
      </c>
      <c r="I2095" s="23">
        <v>46238.648611111108</v>
      </c>
      <c r="J2095" s="10">
        <v>455</v>
      </c>
      <c r="K2095" s="10">
        <v>0</v>
      </c>
      <c r="L2095" s="24">
        <v>0</v>
      </c>
      <c r="M2095" s="10">
        <v>455</v>
      </c>
    </row>
    <row r="2096" spans="1:13" x14ac:dyDescent="0.25">
      <c r="A2096" s="12" t="str">
        <f t="shared" si="64"/>
        <v>5005507JOHNSON RAMOS DE CARVALHOCT46238,65</v>
      </c>
      <c r="B2096" s="12" t="str">
        <f t="shared" si="65"/>
        <v>Agosto</v>
      </c>
      <c r="C2096" s="8" t="s">
        <v>2978</v>
      </c>
      <c r="D2096" s="8" t="s">
        <v>664</v>
      </c>
      <c r="E2096" s="8" t="s">
        <v>94</v>
      </c>
      <c r="F2096" s="23">
        <v>46238.65</v>
      </c>
      <c r="G2096" s="8" t="s">
        <v>1035</v>
      </c>
      <c r="H2096" s="23">
        <v>46251</v>
      </c>
      <c r="I2096" s="23">
        <v>46238.65</v>
      </c>
      <c r="J2096" s="10">
        <v>353</v>
      </c>
      <c r="K2096" s="10">
        <v>0</v>
      </c>
      <c r="L2096" s="24">
        <v>0</v>
      </c>
      <c r="M2096" s="10">
        <v>353</v>
      </c>
    </row>
    <row r="2097" spans="1:13" x14ac:dyDescent="0.25">
      <c r="A2097" s="12" t="str">
        <f t="shared" si="64"/>
        <v>5005507JOSE ANTONIO SILVARCB46254,6263888889</v>
      </c>
      <c r="B2097" s="12" t="str">
        <f t="shared" si="65"/>
        <v>Agosto</v>
      </c>
      <c r="C2097" s="8" t="s">
        <v>2978</v>
      </c>
      <c r="D2097" s="8" t="s">
        <v>664</v>
      </c>
      <c r="E2097" s="8" t="s">
        <v>99</v>
      </c>
      <c r="F2097" s="23">
        <v>46254.626388888886</v>
      </c>
      <c r="G2097" s="8" t="s">
        <v>1045</v>
      </c>
      <c r="H2097" s="23">
        <v>46259</v>
      </c>
      <c r="I2097" s="23">
        <v>46254.626388888886</v>
      </c>
      <c r="J2097" s="10">
        <v>31.6</v>
      </c>
      <c r="K2097" s="10">
        <v>0</v>
      </c>
      <c r="L2097" s="24">
        <v>0</v>
      </c>
      <c r="M2097" s="10">
        <v>31.6</v>
      </c>
    </row>
    <row r="2098" spans="1:13" x14ac:dyDescent="0.25">
      <c r="A2098" s="12" t="str">
        <f t="shared" si="64"/>
        <v>5005508JOHNSON RAMOS DE CARVALHORCB46258,4701388889</v>
      </c>
      <c r="B2098" s="12" t="str">
        <f t="shared" si="65"/>
        <v>Agosto</v>
      </c>
      <c r="C2098" s="8" t="s">
        <v>1054</v>
      </c>
      <c r="D2098" s="8" t="s">
        <v>664</v>
      </c>
      <c r="E2098" s="8" t="s">
        <v>94</v>
      </c>
      <c r="F2098" s="23">
        <v>46258.470138888886</v>
      </c>
      <c r="G2098" s="8" t="s">
        <v>1045</v>
      </c>
      <c r="H2098" s="23">
        <v>46261</v>
      </c>
      <c r="I2098" s="23">
        <v>46258.470138888886</v>
      </c>
      <c r="J2098" s="10">
        <v>56</v>
      </c>
      <c r="K2098" s="10">
        <v>0</v>
      </c>
      <c r="L2098" s="24">
        <v>0</v>
      </c>
      <c r="M2098" s="10">
        <v>56</v>
      </c>
    </row>
    <row r="2099" spans="1:13" x14ac:dyDescent="0.25">
      <c r="A2099" s="12" t="str">
        <f t="shared" si="64"/>
        <v>5005509JOHNSON RAMOS DE CARVALHORCB46265,4256944444</v>
      </c>
      <c r="B2099" s="12" t="str">
        <f t="shared" si="65"/>
        <v>Setembro</v>
      </c>
      <c r="C2099" s="8" t="s">
        <v>1056</v>
      </c>
      <c r="D2099" s="8" t="s">
        <v>664</v>
      </c>
      <c r="E2099" s="8" t="s">
        <v>94</v>
      </c>
      <c r="F2099" s="23">
        <v>46265.425694444442</v>
      </c>
      <c r="G2099" s="8" t="s">
        <v>1045</v>
      </c>
      <c r="H2099" s="23">
        <v>46268</v>
      </c>
      <c r="I2099" s="23">
        <v>46265.425694444442</v>
      </c>
      <c r="J2099" s="10">
        <v>17.8</v>
      </c>
      <c r="K2099" s="10">
        <v>0</v>
      </c>
      <c r="L2099" s="24">
        <v>0</v>
      </c>
      <c r="M2099" s="10">
        <v>17.8</v>
      </c>
    </row>
    <row r="2100" spans="1:13" x14ac:dyDescent="0.25">
      <c r="A2100" s="12" t="str">
        <f t="shared" si="64"/>
        <v>5005511FABIO LUIZ TEIXEIRA DE ARRUDACT46253,6131944444</v>
      </c>
      <c r="B2100" s="12" t="str">
        <f t="shared" si="65"/>
        <v>Setembro</v>
      </c>
      <c r="C2100" s="8" t="s">
        <v>3061</v>
      </c>
      <c r="D2100" s="8" t="s">
        <v>664</v>
      </c>
      <c r="E2100" s="8" t="s">
        <v>1520</v>
      </c>
      <c r="F2100" s="23">
        <v>46253.613194444442</v>
      </c>
      <c r="G2100" s="8" t="s">
        <v>1035</v>
      </c>
      <c r="H2100" s="23">
        <v>46273</v>
      </c>
      <c r="I2100" s="23">
        <v>46253.613194444442</v>
      </c>
      <c r="J2100" s="10">
        <v>1710</v>
      </c>
      <c r="K2100" s="10">
        <v>0</v>
      </c>
      <c r="L2100" s="24">
        <v>0</v>
      </c>
      <c r="M2100" s="10">
        <v>1710</v>
      </c>
    </row>
    <row r="2101" spans="1:13" x14ac:dyDescent="0.25">
      <c r="A2101" s="12" t="str">
        <f t="shared" si="64"/>
        <v>5005512ELIANA HENRIQUE MENDES BARBOSACT46253,6145833333</v>
      </c>
      <c r="B2101" s="12" t="str">
        <f t="shared" si="65"/>
        <v>Setembro</v>
      </c>
      <c r="C2101" s="8" t="s">
        <v>3062</v>
      </c>
      <c r="D2101" s="8" t="s">
        <v>664</v>
      </c>
      <c r="E2101" s="8" t="s">
        <v>59</v>
      </c>
      <c r="F2101" s="23">
        <v>46253.614583333336</v>
      </c>
      <c r="G2101" s="8" t="s">
        <v>1035</v>
      </c>
      <c r="H2101" s="23">
        <v>46273</v>
      </c>
      <c r="I2101" s="23">
        <v>46253.614583333336</v>
      </c>
      <c r="J2101" s="10">
        <v>965</v>
      </c>
      <c r="K2101" s="10">
        <v>0</v>
      </c>
      <c r="L2101" s="24">
        <v>0</v>
      </c>
      <c r="M2101" s="10">
        <v>965</v>
      </c>
    </row>
    <row r="2102" spans="1:13" x14ac:dyDescent="0.25">
      <c r="A2102" s="12" t="str">
        <f t="shared" si="64"/>
        <v>5005513EDUARDO GAUDENCIO ROSACT46253,6159722222</v>
      </c>
      <c r="B2102" s="12" t="str">
        <f t="shared" si="65"/>
        <v>Setembro</v>
      </c>
      <c r="C2102" s="8" t="s">
        <v>3063</v>
      </c>
      <c r="D2102" s="8" t="s">
        <v>664</v>
      </c>
      <c r="E2102" s="8" t="s">
        <v>58</v>
      </c>
      <c r="F2102" s="23">
        <v>46253.615972222222</v>
      </c>
      <c r="G2102" s="8" t="s">
        <v>1035</v>
      </c>
      <c r="H2102" s="23">
        <v>46273</v>
      </c>
      <c r="I2102" s="23">
        <v>46253.615972222222</v>
      </c>
      <c r="J2102" s="10">
        <v>2597</v>
      </c>
      <c r="K2102" s="10">
        <v>0</v>
      </c>
      <c r="L2102" s="24">
        <v>0</v>
      </c>
      <c r="M2102" s="10">
        <v>2597</v>
      </c>
    </row>
    <row r="2103" spans="1:13" x14ac:dyDescent="0.25">
      <c r="A2103" s="12" t="str">
        <f t="shared" si="64"/>
        <v>5005514EDUARDO GAUDENCIO ROSARCB46254,6305555556</v>
      </c>
      <c r="B2103" s="12" t="str">
        <f t="shared" si="65"/>
        <v>Agosto</v>
      </c>
      <c r="C2103" s="8" t="s">
        <v>3012</v>
      </c>
      <c r="D2103" s="8" t="s">
        <v>664</v>
      </c>
      <c r="E2103" s="8" t="s">
        <v>58</v>
      </c>
      <c r="F2103" s="23">
        <v>46254.630555555559</v>
      </c>
      <c r="G2103" s="8" t="s">
        <v>1045</v>
      </c>
      <c r="H2103" s="23">
        <v>46259</v>
      </c>
      <c r="I2103" s="23">
        <v>46254.630555555559</v>
      </c>
      <c r="J2103" s="10">
        <v>151.54</v>
      </c>
      <c r="K2103" s="10">
        <v>0</v>
      </c>
      <c r="L2103" s="24">
        <v>0</v>
      </c>
      <c r="M2103" s="10">
        <v>151.54</v>
      </c>
    </row>
    <row r="2104" spans="1:13" x14ac:dyDescent="0.25">
      <c r="A2104" s="12" t="str">
        <f t="shared" si="64"/>
        <v>5005514CRISTIAN ALVES MOREIRACT46253,6166666667</v>
      </c>
      <c r="B2104" s="12" t="str">
        <f t="shared" si="65"/>
        <v>Setembro</v>
      </c>
      <c r="C2104" s="8" t="s">
        <v>3012</v>
      </c>
      <c r="D2104" s="8" t="s">
        <v>664</v>
      </c>
      <c r="E2104" s="8" t="s">
        <v>46</v>
      </c>
      <c r="F2104" s="23">
        <v>46253.616666666669</v>
      </c>
      <c r="G2104" s="8" t="s">
        <v>1035</v>
      </c>
      <c r="H2104" s="23">
        <v>46273</v>
      </c>
      <c r="I2104" s="23">
        <v>46253.616666666669</v>
      </c>
      <c r="J2104" s="10">
        <v>385</v>
      </c>
      <c r="K2104" s="10">
        <v>0</v>
      </c>
      <c r="L2104" s="24">
        <v>0</v>
      </c>
      <c r="M2104" s="10">
        <v>385</v>
      </c>
    </row>
    <row r="2105" spans="1:13" x14ac:dyDescent="0.25">
      <c r="A2105" s="12" t="str">
        <f t="shared" si="64"/>
        <v>5005515PAULO RICARDO SILVACT46253,6208333333</v>
      </c>
      <c r="B2105" s="12" t="str">
        <f t="shared" si="65"/>
        <v>Setembro</v>
      </c>
      <c r="C2105" s="8" t="s">
        <v>3064</v>
      </c>
      <c r="D2105" s="8" t="s">
        <v>664</v>
      </c>
      <c r="E2105" s="8" t="s">
        <v>153</v>
      </c>
      <c r="F2105" s="23">
        <v>46253.620833333334</v>
      </c>
      <c r="G2105" s="8" t="s">
        <v>1035</v>
      </c>
      <c r="H2105" s="23">
        <v>46273</v>
      </c>
      <c r="I2105" s="23">
        <v>46253.620833333334</v>
      </c>
      <c r="J2105" s="10">
        <v>1913</v>
      </c>
      <c r="K2105" s="10">
        <v>0</v>
      </c>
      <c r="L2105" s="24">
        <v>0</v>
      </c>
      <c r="M2105" s="10">
        <v>1913</v>
      </c>
    </row>
    <row r="2106" spans="1:13" x14ac:dyDescent="0.25">
      <c r="A2106" s="12" t="str">
        <f t="shared" si="64"/>
        <v>5005516WILLIAM DE SOUZA VIEIRACT46253,6222222222</v>
      </c>
      <c r="B2106" s="12" t="str">
        <f t="shared" si="65"/>
        <v>Setembro</v>
      </c>
      <c r="C2106" s="8" t="s">
        <v>3065</v>
      </c>
      <c r="D2106" s="8" t="s">
        <v>664</v>
      </c>
      <c r="E2106" s="8" t="s">
        <v>1542</v>
      </c>
      <c r="F2106" s="23">
        <v>46253.62222222222</v>
      </c>
      <c r="G2106" s="8" t="s">
        <v>1035</v>
      </c>
      <c r="H2106" s="23">
        <v>46273</v>
      </c>
      <c r="I2106" s="23">
        <v>46253.62222222222</v>
      </c>
      <c r="J2106" s="10">
        <v>700</v>
      </c>
      <c r="K2106" s="10">
        <v>0</v>
      </c>
      <c r="L2106" s="24">
        <v>0</v>
      </c>
      <c r="M2106" s="10">
        <v>700</v>
      </c>
    </row>
    <row r="2107" spans="1:13" x14ac:dyDescent="0.25">
      <c r="A2107" s="12" t="str">
        <f t="shared" si="64"/>
        <v>5005517CARLOS ANTONIO PINTOCT46253,6229166667</v>
      </c>
      <c r="B2107" s="12" t="str">
        <f t="shared" si="65"/>
        <v>Setembro</v>
      </c>
      <c r="C2107" s="8" t="s">
        <v>3066</v>
      </c>
      <c r="D2107" s="8" t="s">
        <v>664</v>
      </c>
      <c r="E2107" s="8" t="s">
        <v>36</v>
      </c>
      <c r="F2107" s="23">
        <v>46253.622916666667</v>
      </c>
      <c r="G2107" s="8" t="s">
        <v>1035</v>
      </c>
      <c r="H2107" s="23">
        <v>46273</v>
      </c>
      <c r="I2107" s="23">
        <v>46253.622916666667</v>
      </c>
      <c r="J2107" s="10">
        <v>4214</v>
      </c>
      <c r="K2107" s="10">
        <v>0</v>
      </c>
      <c r="L2107" s="24">
        <v>0</v>
      </c>
      <c r="M2107" s="10">
        <v>4214</v>
      </c>
    </row>
    <row r="2108" spans="1:13" x14ac:dyDescent="0.25">
      <c r="A2108" s="12" t="str">
        <f t="shared" si="64"/>
        <v>5005518ADRIANA DA SILVA SANTOS FERREIRACT46253,6243055556</v>
      </c>
      <c r="B2108" s="12" t="str">
        <f t="shared" si="65"/>
        <v>Setembro</v>
      </c>
      <c r="C2108" s="8" t="s">
        <v>3067</v>
      </c>
      <c r="D2108" s="8" t="s">
        <v>664</v>
      </c>
      <c r="E2108" s="8" t="s">
        <v>1413</v>
      </c>
      <c r="F2108" s="23">
        <v>46253.624305555553</v>
      </c>
      <c r="G2108" s="8" t="s">
        <v>1035</v>
      </c>
      <c r="H2108" s="23">
        <v>46273</v>
      </c>
      <c r="I2108" s="23">
        <v>46253.624305555553</v>
      </c>
      <c r="J2108" s="10">
        <v>350</v>
      </c>
      <c r="K2108" s="10">
        <v>0</v>
      </c>
      <c r="L2108" s="24">
        <v>0</v>
      </c>
      <c r="M2108" s="10">
        <v>350</v>
      </c>
    </row>
    <row r="2109" spans="1:13" x14ac:dyDescent="0.25">
      <c r="A2109" s="12" t="str">
        <f t="shared" si="64"/>
        <v>5005519JORGE MARTINS BORGES JUNIORCT46253,6256944444</v>
      </c>
      <c r="B2109" s="12" t="str">
        <f t="shared" si="65"/>
        <v>Setembro</v>
      </c>
      <c r="C2109" s="8" t="s">
        <v>3068</v>
      </c>
      <c r="D2109" s="8" t="s">
        <v>664</v>
      </c>
      <c r="E2109" s="8" t="s">
        <v>97</v>
      </c>
      <c r="F2109" s="23">
        <v>46253.625694444447</v>
      </c>
      <c r="G2109" s="8" t="s">
        <v>1035</v>
      </c>
      <c r="H2109" s="23">
        <v>46273</v>
      </c>
      <c r="I2109" s="23">
        <v>46253.625694444447</v>
      </c>
      <c r="J2109" s="10">
        <v>1634</v>
      </c>
      <c r="K2109" s="10">
        <v>0</v>
      </c>
      <c r="L2109" s="24">
        <v>0</v>
      </c>
      <c r="M2109" s="10">
        <v>1634</v>
      </c>
    </row>
    <row r="2110" spans="1:13" x14ac:dyDescent="0.25">
      <c r="A2110" s="12" t="str">
        <f t="shared" si="64"/>
        <v>5005520JORGE MARTINS BORGES JUNIORRCB46265,425</v>
      </c>
      <c r="B2110" s="12" t="str">
        <f t="shared" si="65"/>
        <v>Setembro</v>
      </c>
      <c r="C2110" s="8" t="s">
        <v>3034</v>
      </c>
      <c r="D2110" s="8" t="s">
        <v>664</v>
      </c>
      <c r="E2110" s="8" t="s">
        <v>97</v>
      </c>
      <c r="F2110" s="23">
        <v>46265.425000000003</v>
      </c>
      <c r="G2110" s="8" t="s">
        <v>1045</v>
      </c>
      <c r="H2110" s="23">
        <v>46268</v>
      </c>
      <c r="I2110" s="23">
        <v>46265.425000000003</v>
      </c>
      <c r="J2110" s="10">
        <v>112</v>
      </c>
      <c r="K2110" s="10">
        <v>0</v>
      </c>
      <c r="L2110" s="24">
        <v>0</v>
      </c>
      <c r="M2110" s="10">
        <v>112</v>
      </c>
    </row>
    <row r="2111" spans="1:13" x14ac:dyDescent="0.25">
      <c r="A2111" s="12" t="str">
        <f t="shared" si="64"/>
        <v>5005520DANIELLE HEBERT CARVALHO PEREIRACT46253,6263888889</v>
      </c>
      <c r="B2111" s="12" t="str">
        <f t="shared" si="65"/>
        <v>Setembro</v>
      </c>
      <c r="C2111" s="8" t="s">
        <v>3034</v>
      </c>
      <c r="D2111" s="8" t="s">
        <v>664</v>
      </c>
      <c r="E2111" s="8" t="s">
        <v>48</v>
      </c>
      <c r="F2111" s="23">
        <v>46253.626388888886</v>
      </c>
      <c r="G2111" s="8" t="s">
        <v>1035</v>
      </c>
      <c r="H2111" s="23">
        <v>46273</v>
      </c>
      <c r="I2111" s="23">
        <v>46253.626388888886</v>
      </c>
      <c r="J2111" s="10">
        <v>946</v>
      </c>
      <c r="K2111" s="10">
        <v>0</v>
      </c>
      <c r="L2111" s="24">
        <v>0</v>
      </c>
      <c r="M2111" s="10">
        <v>946</v>
      </c>
    </row>
    <row r="2112" spans="1:13" x14ac:dyDescent="0.25">
      <c r="A2112" s="12" t="str">
        <f t="shared" si="64"/>
        <v>5005521ALAOR CANAVEZ DE MORAES NETOCT46253,6284722222</v>
      </c>
      <c r="B2112" s="12" t="str">
        <f t="shared" si="65"/>
        <v>Setembro</v>
      </c>
      <c r="C2112" s="8" t="s">
        <v>3069</v>
      </c>
      <c r="D2112" s="8" t="s">
        <v>664</v>
      </c>
      <c r="E2112" s="8" t="s">
        <v>10</v>
      </c>
      <c r="F2112" s="23">
        <v>46253.628472222219</v>
      </c>
      <c r="G2112" s="8" t="s">
        <v>1035</v>
      </c>
      <c r="H2112" s="23">
        <v>46273</v>
      </c>
      <c r="I2112" s="23">
        <v>46253.628472222219</v>
      </c>
      <c r="J2112" s="10">
        <v>385</v>
      </c>
      <c r="K2112" s="10">
        <v>0</v>
      </c>
      <c r="L2112" s="24">
        <v>0</v>
      </c>
      <c r="M2112" s="10">
        <v>385</v>
      </c>
    </row>
    <row r="2113" spans="1:13" x14ac:dyDescent="0.25">
      <c r="A2113" s="12" t="str">
        <f t="shared" si="64"/>
        <v>5005522ALAOR CANAVEZ DE MORAES NETORCB46260,3604166667</v>
      </c>
      <c r="B2113" s="12" t="str">
        <f t="shared" si="65"/>
        <v>Agosto</v>
      </c>
      <c r="C2113" s="8" t="s">
        <v>3023</v>
      </c>
      <c r="D2113" s="8" t="s">
        <v>664</v>
      </c>
      <c r="E2113" s="8" t="s">
        <v>10</v>
      </c>
      <c r="F2113" s="23">
        <v>46260.36041666667</v>
      </c>
      <c r="G2113" s="8" t="s">
        <v>1045</v>
      </c>
      <c r="H2113" s="23">
        <v>46265</v>
      </c>
      <c r="I2113" s="23">
        <v>46260.36041666667</v>
      </c>
      <c r="J2113" s="10">
        <v>97.1</v>
      </c>
      <c r="K2113" s="10">
        <v>0</v>
      </c>
      <c r="L2113" s="24">
        <v>0</v>
      </c>
      <c r="M2113" s="10">
        <v>97.1</v>
      </c>
    </row>
    <row r="2114" spans="1:13" x14ac:dyDescent="0.25">
      <c r="A2114" s="12" t="str">
        <f t="shared" ref="A2114:A2177" si="66">$C2114&amp;$E2114&amp;$G2114&amp;$F2114</f>
        <v>5005522MAGNO APARECIDO DE JESUSCT46253,6291666667</v>
      </c>
      <c r="B2114" s="12" t="str">
        <f t="shared" si="65"/>
        <v>Setembro</v>
      </c>
      <c r="C2114" s="8" t="s">
        <v>3023</v>
      </c>
      <c r="D2114" s="8" t="s">
        <v>664</v>
      </c>
      <c r="E2114" s="8" t="s">
        <v>115</v>
      </c>
      <c r="F2114" s="23">
        <v>46253.629166666666</v>
      </c>
      <c r="G2114" s="8" t="s">
        <v>1035</v>
      </c>
      <c r="H2114" s="23">
        <v>46273</v>
      </c>
      <c r="I2114" s="23">
        <v>46253.629166666666</v>
      </c>
      <c r="J2114" s="10">
        <v>1553</v>
      </c>
      <c r="K2114" s="10">
        <v>0</v>
      </c>
      <c r="L2114" s="24">
        <v>0</v>
      </c>
      <c r="M2114" s="10">
        <v>1553</v>
      </c>
    </row>
    <row r="2115" spans="1:13" x14ac:dyDescent="0.25">
      <c r="A2115" s="12" t="str">
        <f t="shared" si="66"/>
        <v>5005523ANTONIO CARLOS DA COSTACT46253,6319444444</v>
      </c>
      <c r="B2115" s="12" t="str">
        <f t="shared" ref="B2115:B2178" si="67">PROPER(TEXT($H2115,"MMMM"))</f>
        <v>Setembro</v>
      </c>
      <c r="C2115" s="8" t="s">
        <v>3070</v>
      </c>
      <c r="D2115" s="8" t="s">
        <v>664</v>
      </c>
      <c r="E2115" s="8" t="s">
        <v>19</v>
      </c>
      <c r="F2115" s="23">
        <v>46253.631944444445</v>
      </c>
      <c r="G2115" s="8" t="s">
        <v>1035</v>
      </c>
      <c r="H2115" s="23">
        <v>46273</v>
      </c>
      <c r="I2115" s="23">
        <v>46253.631944444445</v>
      </c>
      <c r="J2115" s="10">
        <v>1310</v>
      </c>
      <c r="K2115" s="10">
        <v>0</v>
      </c>
      <c r="L2115" s="24">
        <v>0</v>
      </c>
      <c r="M2115" s="10">
        <v>1310</v>
      </c>
    </row>
    <row r="2116" spans="1:13" x14ac:dyDescent="0.25">
      <c r="A2116" s="12" t="str">
        <f t="shared" si="66"/>
        <v>5005524RAISSA DE CARVALHO FIORINECT46253,6333333333</v>
      </c>
      <c r="B2116" s="12" t="str">
        <f t="shared" si="67"/>
        <v>Setembro</v>
      </c>
      <c r="C2116" s="8" t="s">
        <v>3071</v>
      </c>
      <c r="D2116" s="8" t="s">
        <v>664</v>
      </c>
      <c r="E2116" s="8" t="s">
        <v>163</v>
      </c>
      <c r="F2116" s="23">
        <v>46253.633333333331</v>
      </c>
      <c r="G2116" s="8" t="s">
        <v>1035</v>
      </c>
      <c r="H2116" s="23">
        <v>46273</v>
      </c>
      <c r="I2116" s="23">
        <v>46253.633333333331</v>
      </c>
      <c r="J2116" s="10">
        <v>577</v>
      </c>
      <c r="K2116" s="10">
        <v>0</v>
      </c>
      <c r="L2116" s="24">
        <v>0</v>
      </c>
      <c r="M2116" s="10">
        <v>577</v>
      </c>
    </row>
    <row r="2117" spans="1:13" x14ac:dyDescent="0.25">
      <c r="A2117" s="12" t="str">
        <f t="shared" si="66"/>
        <v>5005525MARCELO MARTINS DE OLIVEIRACT46253,6347222222</v>
      </c>
      <c r="B2117" s="12" t="str">
        <f t="shared" si="67"/>
        <v>Setembro</v>
      </c>
      <c r="C2117" s="8" t="s">
        <v>3072</v>
      </c>
      <c r="D2117" s="8" t="s">
        <v>664</v>
      </c>
      <c r="E2117" s="8" t="s">
        <v>121</v>
      </c>
      <c r="F2117" s="23">
        <v>46253.634722222225</v>
      </c>
      <c r="G2117" s="8" t="s">
        <v>1035</v>
      </c>
      <c r="H2117" s="23">
        <v>46273</v>
      </c>
      <c r="I2117" s="23">
        <v>46253.634722222225</v>
      </c>
      <c r="J2117" s="10">
        <v>814</v>
      </c>
      <c r="K2117" s="10">
        <v>0</v>
      </c>
      <c r="L2117" s="24">
        <v>0</v>
      </c>
      <c r="M2117" s="10">
        <v>814</v>
      </c>
    </row>
    <row r="2118" spans="1:13" x14ac:dyDescent="0.25">
      <c r="A2118" s="12" t="str">
        <f t="shared" si="66"/>
        <v>5005526MARCELO MARTINS DE OLIVEIRARCB46258,4680555556</v>
      </c>
      <c r="B2118" s="12" t="str">
        <f t="shared" si="67"/>
        <v>Agosto</v>
      </c>
      <c r="C2118" s="8" t="s">
        <v>3019</v>
      </c>
      <c r="D2118" s="8" t="s">
        <v>664</v>
      </c>
      <c r="E2118" s="8" t="s">
        <v>121</v>
      </c>
      <c r="F2118" s="23">
        <v>46258.468055555553</v>
      </c>
      <c r="G2118" s="8" t="s">
        <v>1045</v>
      </c>
      <c r="H2118" s="23">
        <v>46261</v>
      </c>
      <c r="I2118" s="23">
        <v>46258.468055555553</v>
      </c>
      <c r="J2118" s="10">
        <v>26.8</v>
      </c>
      <c r="K2118" s="10">
        <v>0</v>
      </c>
      <c r="L2118" s="24">
        <v>0</v>
      </c>
      <c r="M2118" s="10">
        <v>26.8</v>
      </c>
    </row>
    <row r="2119" spans="1:13" x14ac:dyDescent="0.25">
      <c r="A2119" s="12" t="str">
        <f t="shared" si="66"/>
        <v>5005526NATANIELLE SILVA DE SOUZA MARQUESCT46253,6361111111</v>
      </c>
      <c r="B2119" s="12" t="str">
        <f t="shared" si="67"/>
        <v>Setembro</v>
      </c>
      <c r="C2119" s="8" t="s">
        <v>3019</v>
      </c>
      <c r="D2119" s="8" t="s">
        <v>664</v>
      </c>
      <c r="E2119" s="8" t="s">
        <v>135</v>
      </c>
      <c r="F2119" s="23">
        <v>46253.636111111111</v>
      </c>
      <c r="G2119" s="8" t="s">
        <v>1035</v>
      </c>
      <c r="H2119" s="23">
        <v>46273</v>
      </c>
      <c r="I2119" s="23">
        <v>46253.636111111111</v>
      </c>
      <c r="J2119" s="10">
        <v>1431</v>
      </c>
      <c r="K2119" s="10">
        <v>0</v>
      </c>
      <c r="L2119" s="24">
        <v>0</v>
      </c>
      <c r="M2119" s="10">
        <v>1431</v>
      </c>
    </row>
    <row r="2120" spans="1:13" x14ac:dyDescent="0.25">
      <c r="A2120" s="12" t="str">
        <f t="shared" si="66"/>
        <v>5005527NATANIELLE SILVA DE SOUZA MARQUESRCB46254,6291666667</v>
      </c>
      <c r="B2120" s="12" t="str">
        <f t="shared" si="67"/>
        <v>Agosto</v>
      </c>
      <c r="C2120" s="8" t="s">
        <v>3013</v>
      </c>
      <c r="D2120" s="8" t="s">
        <v>664</v>
      </c>
      <c r="E2120" s="8" t="s">
        <v>135</v>
      </c>
      <c r="F2120" s="23">
        <v>46254.629166666666</v>
      </c>
      <c r="G2120" s="8" t="s">
        <v>1045</v>
      </c>
      <c r="H2120" s="23">
        <v>46259</v>
      </c>
      <c r="I2120" s="23">
        <v>46254.629166666666</v>
      </c>
      <c r="J2120" s="10">
        <v>45.64</v>
      </c>
      <c r="K2120" s="10">
        <v>0</v>
      </c>
      <c r="L2120" s="24">
        <v>0</v>
      </c>
      <c r="M2120" s="10">
        <v>45.64</v>
      </c>
    </row>
    <row r="2121" spans="1:13" x14ac:dyDescent="0.25">
      <c r="A2121" s="12" t="str">
        <f t="shared" si="66"/>
        <v>500552752.395.444. ADRIANO ROBERTOCT46253,6381944444</v>
      </c>
      <c r="B2121" s="12" t="str">
        <f t="shared" si="67"/>
        <v>Setembro</v>
      </c>
      <c r="C2121" s="8" t="s">
        <v>3013</v>
      </c>
      <c r="D2121" s="8" t="s">
        <v>664</v>
      </c>
      <c r="E2121" s="8" t="s">
        <v>3074</v>
      </c>
      <c r="F2121" s="23">
        <v>46253.638194444444</v>
      </c>
      <c r="G2121" s="8" t="s">
        <v>1035</v>
      </c>
      <c r="H2121" s="23">
        <v>46273</v>
      </c>
      <c r="I2121" s="23">
        <v>46253.638194444444</v>
      </c>
      <c r="J2121" s="10">
        <v>1050</v>
      </c>
      <c r="K2121" s="10">
        <v>0</v>
      </c>
      <c r="L2121" s="24">
        <v>0</v>
      </c>
      <c r="M2121" s="10">
        <v>1050</v>
      </c>
    </row>
    <row r="2122" spans="1:13" x14ac:dyDescent="0.25">
      <c r="A2122" s="12" t="str">
        <f t="shared" si="66"/>
        <v>5005538MARCELO MARTINS DE OLIVEIRARCB46265,4243055556</v>
      </c>
      <c r="B2122" s="12" t="str">
        <f t="shared" si="67"/>
        <v>Setembro</v>
      </c>
      <c r="C2122" s="8" t="s">
        <v>1066</v>
      </c>
      <c r="D2122" s="8" t="s">
        <v>664</v>
      </c>
      <c r="E2122" s="8" t="s">
        <v>121</v>
      </c>
      <c r="F2122" s="23">
        <v>46265.424305555556</v>
      </c>
      <c r="G2122" s="8" t="s">
        <v>1045</v>
      </c>
      <c r="H2122" s="23">
        <v>46268</v>
      </c>
      <c r="I2122" s="23">
        <v>46265.424305555556</v>
      </c>
      <c r="J2122" s="10">
        <v>25.2</v>
      </c>
      <c r="K2122" s="10">
        <v>0</v>
      </c>
      <c r="L2122" s="24">
        <v>0</v>
      </c>
      <c r="M2122" s="10">
        <v>25.2</v>
      </c>
    </row>
    <row r="2123" spans="1:13" x14ac:dyDescent="0.25">
      <c r="A2123" s="12" t="str">
        <f t="shared" si="66"/>
        <v>5005539MARCELO MARTINS DE OLIVEIRARCB46273,3798611111</v>
      </c>
      <c r="B2123" s="12" t="str">
        <f t="shared" si="67"/>
        <v>Setembro</v>
      </c>
      <c r="C2123" s="8" t="s">
        <v>1065</v>
      </c>
      <c r="D2123" s="8" t="s">
        <v>664</v>
      </c>
      <c r="E2123" s="8" t="s">
        <v>121</v>
      </c>
      <c r="F2123" s="23">
        <v>46273.379861111112</v>
      </c>
      <c r="G2123" s="8" t="s">
        <v>1045</v>
      </c>
      <c r="H2123" s="23">
        <v>46276</v>
      </c>
      <c r="I2123" s="23">
        <v>46273.379861111112</v>
      </c>
      <c r="J2123" s="10">
        <v>101.5</v>
      </c>
      <c r="K2123" s="10">
        <v>0</v>
      </c>
      <c r="L2123" s="24">
        <v>0</v>
      </c>
      <c r="M2123" s="10">
        <v>101.5</v>
      </c>
    </row>
    <row r="2124" spans="1:13" x14ac:dyDescent="0.25">
      <c r="A2124" s="12" t="str">
        <f t="shared" si="66"/>
        <v>5005568RENILSON DIAS DE BRITOCT46273,475</v>
      </c>
      <c r="B2124" s="12" t="str">
        <f t="shared" si="67"/>
        <v>Setembro</v>
      </c>
      <c r="C2124" s="8" t="s">
        <v>3100</v>
      </c>
      <c r="D2124" s="8" t="s">
        <v>664</v>
      </c>
      <c r="E2124" s="8" t="s">
        <v>1383</v>
      </c>
      <c r="F2124" s="23">
        <v>46273.474999999999</v>
      </c>
      <c r="G2124" s="8" t="s">
        <v>1035</v>
      </c>
      <c r="H2124" s="23">
        <v>46281</v>
      </c>
      <c r="I2124" s="23">
        <v>46273.474999999999</v>
      </c>
      <c r="J2124" s="10">
        <v>1050</v>
      </c>
      <c r="K2124" s="10">
        <v>0</v>
      </c>
      <c r="L2124" s="24">
        <v>0</v>
      </c>
      <c r="M2124" s="10">
        <v>1050</v>
      </c>
    </row>
    <row r="2125" spans="1:13" x14ac:dyDescent="0.25">
      <c r="A2125" s="12" t="str">
        <f t="shared" si="66"/>
        <v>5005569ELIANA HENRIQUE MENDES BARBOSACT46273,4770833333</v>
      </c>
      <c r="B2125" s="12" t="str">
        <f t="shared" si="67"/>
        <v>Setembro</v>
      </c>
      <c r="C2125" s="8" t="s">
        <v>3101</v>
      </c>
      <c r="D2125" s="8" t="s">
        <v>664</v>
      </c>
      <c r="E2125" s="8" t="s">
        <v>59</v>
      </c>
      <c r="F2125" s="23">
        <v>46273.477083333331</v>
      </c>
      <c r="G2125" s="8" t="s">
        <v>1035</v>
      </c>
      <c r="H2125" s="23">
        <v>46281</v>
      </c>
      <c r="I2125" s="23">
        <v>46273.477083333331</v>
      </c>
      <c r="J2125" s="10">
        <v>875</v>
      </c>
      <c r="K2125" s="10">
        <v>0</v>
      </c>
      <c r="L2125" s="24">
        <v>0</v>
      </c>
      <c r="M2125" s="10">
        <v>875</v>
      </c>
    </row>
    <row r="2126" spans="1:13" x14ac:dyDescent="0.25">
      <c r="A2126" s="12" t="str">
        <f t="shared" si="66"/>
        <v>5005570EDUARDO GAUDENCIO ROSACT46273,4902777778</v>
      </c>
      <c r="B2126" s="12" t="str">
        <f t="shared" si="67"/>
        <v>Setembro</v>
      </c>
      <c r="C2126" s="8" t="s">
        <v>3102</v>
      </c>
      <c r="D2126" s="8" t="s">
        <v>664</v>
      </c>
      <c r="E2126" s="8" t="s">
        <v>58</v>
      </c>
      <c r="F2126" s="23">
        <v>46273.490277777775</v>
      </c>
      <c r="G2126" s="8" t="s">
        <v>1035</v>
      </c>
      <c r="H2126" s="23">
        <v>46281</v>
      </c>
      <c r="I2126" s="23">
        <v>46273.490277777775</v>
      </c>
      <c r="J2126" s="10">
        <v>5776</v>
      </c>
      <c r="K2126" s="10">
        <v>0</v>
      </c>
      <c r="L2126" s="24">
        <v>0</v>
      </c>
      <c r="M2126" s="10">
        <v>5776</v>
      </c>
    </row>
    <row r="2127" spans="1:13" x14ac:dyDescent="0.25">
      <c r="A2127" s="12" t="str">
        <f t="shared" si="66"/>
        <v>5005571CRISTIAN ALVES MOREIRACT46273,5020833333</v>
      </c>
      <c r="B2127" s="12" t="str">
        <f t="shared" si="67"/>
        <v>Setembro</v>
      </c>
      <c r="C2127" s="8" t="s">
        <v>3103</v>
      </c>
      <c r="D2127" s="8" t="s">
        <v>664</v>
      </c>
      <c r="E2127" s="8" t="s">
        <v>46</v>
      </c>
      <c r="F2127" s="23">
        <v>46273.502083333333</v>
      </c>
      <c r="G2127" s="8" t="s">
        <v>1035</v>
      </c>
      <c r="H2127" s="23">
        <v>46281</v>
      </c>
      <c r="I2127" s="23">
        <v>46273.502083333333</v>
      </c>
      <c r="J2127" s="10">
        <v>1161</v>
      </c>
      <c r="K2127" s="10">
        <v>0</v>
      </c>
      <c r="L2127" s="24">
        <v>0</v>
      </c>
      <c r="M2127" s="10">
        <v>1161</v>
      </c>
    </row>
    <row r="2128" spans="1:13" x14ac:dyDescent="0.25">
      <c r="A2128" s="12" t="str">
        <f t="shared" si="66"/>
        <v>5005572PAULO RICARDO SILVACT46273,55625</v>
      </c>
      <c r="B2128" s="12" t="str">
        <f t="shared" si="67"/>
        <v>Setembro</v>
      </c>
      <c r="C2128" s="8" t="s">
        <v>3104</v>
      </c>
      <c r="D2128" s="8" t="s">
        <v>664</v>
      </c>
      <c r="E2128" s="8" t="s">
        <v>153</v>
      </c>
      <c r="F2128" s="23">
        <v>46273.556250000001</v>
      </c>
      <c r="G2128" s="8" t="s">
        <v>1035</v>
      </c>
      <c r="H2128" s="23">
        <v>46281</v>
      </c>
      <c r="I2128" s="23">
        <v>46273.556250000001</v>
      </c>
      <c r="J2128" s="10">
        <v>2278</v>
      </c>
      <c r="K2128" s="10">
        <v>0</v>
      </c>
      <c r="L2128" s="24">
        <v>0</v>
      </c>
      <c r="M2128" s="10">
        <v>2278</v>
      </c>
    </row>
    <row r="2129" spans="1:13" x14ac:dyDescent="0.25">
      <c r="A2129" s="12" t="str">
        <f t="shared" si="66"/>
        <v>5005573RENAN ELTON DIVINOCT46273,5576388889</v>
      </c>
      <c r="B2129" s="12" t="str">
        <f t="shared" si="67"/>
        <v>Setembro</v>
      </c>
      <c r="C2129" s="8" t="s">
        <v>3105</v>
      </c>
      <c r="D2129" s="8" t="s">
        <v>664</v>
      </c>
      <c r="E2129" s="8" t="s">
        <v>1409</v>
      </c>
      <c r="F2129" s="23">
        <v>46273.557638888888</v>
      </c>
      <c r="G2129" s="8" t="s">
        <v>1035</v>
      </c>
      <c r="H2129" s="23">
        <v>46281</v>
      </c>
      <c r="I2129" s="23">
        <v>46273.557638888888</v>
      </c>
      <c r="J2129" s="10">
        <v>385</v>
      </c>
      <c r="K2129" s="10">
        <v>0</v>
      </c>
      <c r="L2129" s="24">
        <v>0</v>
      </c>
      <c r="M2129" s="10">
        <v>385</v>
      </c>
    </row>
    <row r="2130" spans="1:13" x14ac:dyDescent="0.25">
      <c r="A2130" s="12" t="str">
        <f t="shared" si="66"/>
        <v>5005574NELCIDES JOSE VIEIRACT46273,5631944444</v>
      </c>
      <c r="B2130" s="12" t="str">
        <f t="shared" si="67"/>
        <v>Setembro</v>
      </c>
      <c r="C2130" s="8" t="s">
        <v>3106</v>
      </c>
      <c r="D2130" s="8" t="s">
        <v>664</v>
      </c>
      <c r="E2130" s="8" t="s">
        <v>137</v>
      </c>
      <c r="F2130" s="23">
        <v>46273.563194444447</v>
      </c>
      <c r="G2130" s="8" t="s">
        <v>1035</v>
      </c>
      <c r="H2130" s="23">
        <v>46281</v>
      </c>
      <c r="I2130" s="23">
        <v>46273.563194444447</v>
      </c>
      <c r="J2130" s="10">
        <v>2719</v>
      </c>
      <c r="K2130" s="10">
        <v>0</v>
      </c>
      <c r="L2130" s="24">
        <v>0</v>
      </c>
      <c r="M2130" s="10">
        <v>2719</v>
      </c>
    </row>
    <row r="2131" spans="1:13" x14ac:dyDescent="0.25">
      <c r="A2131" s="12" t="str">
        <f t="shared" si="66"/>
        <v>5005575WILLIAM DE SOUZA VIEIRACT46273,5638888889</v>
      </c>
      <c r="B2131" s="12" t="str">
        <f t="shared" si="67"/>
        <v>Setembro</v>
      </c>
      <c r="C2131" s="8" t="s">
        <v>3107</v>
      </c>
      <c r="D2131" s="8" t="s">
        <v>664</v>
      </c>
      <c r="E2131" s="8" t="s">
        <v>1542</v>
      </c>
      <c r="F2131" s="23">
        <v>46273.563888888886</v>
      </c>
      <c r="G2131" s="8" t="s">
        <v>1035</v>
      </c>
      <c r="H2131" s="23">
        <v>46281</v>
      </c>
      <c r="I2131" s="23">
        <v>46273.563888888886</v>
      </c>
      <c r="J2131" s="10">
        <v>1050</v>
      </c>
      <c r="K2131" s="10">
        <v>0</v>
      </c>
      <c r="L2131" s="24">
        <v>0</v>
      </c>
      <c r="M2131" s="10">
        <v>1050</v>
      </c>
    </row>
    <row r="2132" spans="1:13" x14ac:dyDescent="0.25">
      <c r="A2132" s="12" t="str">
        <f t="shared" si="66"/>
        <v>5005576CARLOS ANTONIO PINTOCT46273,5763888889</v>
      </c>
      <c r="B2132" s="12" t="str">
        <f t="shared" si="67"/>
        <v>Setembro</v>
      </c>
      <c r="C2132" s="8" t="s">
        <v>3108</v>
      </c>
      <c r="D2132" s="8" t="s">
        <v>664</v>
      </c>
      <c r="E2132" s="8" t="s">
        <v>36</v>
      </c>
      <c r="F2132" s="23">
        <v>46273.576388888891</v>
      </c>
      <c r="G2132" s="8" t="s">
        <v>1035</v>
      </c>
      <c r="H2132" s="23">
        <v>46281</v>
      </c>
      <c r="I2132" s="23">
        <v>46273.576388888891</v>
      </c>
      <c r="J2132" s="10">
        <v>5839</v>
      </c>
      <c r="K2132" s="10">
        <v>0</v>
      </c>
      <c r="L2132" s="24">
        <v>0</v>
      </c>
      <c r="M2132" s="10">
        <v>5839</v>
      </c>
    </row>
    <row r="2133" spans="1:13" x14ac:dyDescent="0.25">
      <c r="A2133" s="12" t="str">
        <f t="shared" si="66"/>
        <v>5005577ADRIANA DA SILVA SANTOS FERREIRACT46273,58125</v>
      </c>
      <c r="B2133" s="12" t="str">
        <f t="shared" si="67"/>
        <v>Setembro</v>
      </c>
      <c r="C2133" s="8" t="s">
        <v>3109</v>
      </c>
      <c r="D2133" s="8" t="s">
        <v>664</v>
      </c>
      <c r="E2133" s="8" t="s">
        <v>1413</v>
      </c>
      <c r="F2133" s="23">
        <v>46273.581250000003</v>
      </c>
      <c r="G2133" s="8" t="s">
        <v>1035</v>
      </c>
      <c r="H2133" s="23">
        <v>46281</v>
      </c>
      <c r="I2133" s="23">
        <v>46273.581250000003</v>
      </c>
      <c r="J2133" s="10">
        <v>1655</v>
      </c>
      <c r="K2133" s="10">
        <v>0</v>
      </c>
      <c r="L2133" s="24">
        <v>0</v>
      </c>
      <c r="M2133" s="10">
        <v>1655</v>
      </c>
    </row>
    <row r="2134" spans="1:13" x14ac:dyDescent="0.25">
      <c r="A2134" s="12" t="str">
        <f t="shared" si="66"/>
        <v>5005578KAYO BOTELHOCT46273,5826388889</v>
      </c>
      <c r="B2134" s="12" t="str">
        <f t="shared" si="67"/>
        <v>Setembro</v>
      </c>
      <c r="C2134" s="8" t="s">
        <v>3110</v>
      </c>
      <c r="D2134" s="8" t="s">
        <v>664</v>
      </c>
      <c r="E2134" s="8" t="s">
        <v>1547</v>
      </c>
      <c r="F2134" s="23">
        <v>46273.582638888889</v>
      </c>
      <c r="G2134" s="8" t="s">
        <v>1035</v>
      </c>
      <c r="H2134" s="23">
        <v>46281</v>
      </c>
      <c r="I2134" s="23">
        <v>46273.582638888889</v>
      </c>
      <c r="J2134" s="10">
        <v>1213</v>
      </c>
      <c r="K2134" s="10">
        <v>0</v>
      </c>
      <c r="L2134" s="24">
        <v>0</v>
      </c>
      <c r="M2134" s="10">
        <v>1213</v>
      </c>
    </row>
    <row r="2135" spans="1:13" x14ac:dyDescent="0.25">
      <c r="A2135" s="12" t="str">
        <f t="shared" si="66"/>
        <v>5005579JORGE MARTINS BORGES JUNIORCT46273,5833333333</v>
      </c>
      <c r="B2135" s="12" t="str">
        <f t="shared" si="67"/>
        <v>Setembro</v>
      </c>
      <c r="C2135" s="8" t="s">
        <v>3111</v>
      </c>
      <c r="D2135" s="8" t="s">
        <v>664</v>
      </c>
      <c r="E2135" s="8" t="s">
        <v>97</v>
      </c>
      <c r="F2135" s="23">
        <v>46273.583333333336</v>
      </c>
      <c r="G2135" s="8" t="s">
        <v>1035</v>
      </c>
      <c r="H2135" s="23">
        <v>46281</v>
      </c>
      <c r="I2135" s="23">
        <v>46273.583333333336</v>
      </c>
      <c r="J2135" s="10">
        <v>2832</v>
      </c>
      <c r="K2135" s="10">
        <v>0</v>
      </c>
      <c r="L2135" s="24">
        <v>0</v>
      </c>
      <c r="M2135" s="10">
        <v>2832</v>
      </c>
    </row>
    <row r="2136" spans="1:13" x14ac:dyDescent="0.25">
      <c r="A2136" s="12" t="str">
        <f t="shared" si="66"/>
        <v>5005580JORGE MARTINS BORGES JUNIORRCB46279,3958333333</v>
      </c>
      <c r="B2136" s="12" t="str">
        <f t="shared" si="67"/>
        <v>Setembro</v>
      </c>
      <c r="C2136" s="8" t="s">
        <v>3084</v>
      </c>
      <c r="D2136" s="8" t="s">
        <v>664</v>
      </c>
      <c r="E2136" s="8" t="s">
        <v>97</v>
      </c>
      <c r="F2136" s="23">
        <v>46279.395833333336</v>
      </c>
      <c r="G2136" s="8" t="s">
        <v>1045</v>
      </c>
      <c r="H2136" s="23">
        <v>46282</v>
      </c>
      <c r="I2136" s="23">
        <v>46279.395833333336</v>
      </c>
      <c r="J2136" s="10">
        <v>32.9</v>
      </c>
      <c r="K2136" s="10">
        <v>0</v>
      </c>
      <c r="L2136" s="24">
        <v>0</v>
      </c>
      <c r="M2136" s="10">
        <v>32.9</v>
      </c>
    </row>
    <row r="2137" spans="1:13" x14ac:dyDescent="0.25">
      <c r="A2137" s="12" t="str">
        <f t="shared" si="66"/>
        <v>5005580DANIELLE HEBERT CARVALHO PEREIRACT46273,5923611111</v>
      </c>
      <c r="B2137" s="12" t="str">
        <f t="shared" si="67"/>
        <v>Setembro</v>
      </c>
      <c r="C2137" s="8" t="s">
        <v>3084</v>
      </c>
      <c r="D2137" s="8" t="s">
        <v>664</v>
      </c>
      <c r="E2137" s="8" t="s">
        <v>48</v>
      </c>
      <c r="F2137" s="23">
        <v>46273.592361111114</v>
      </c>
      <c r="G2137" s="8" t="s">
        <v>1035</v>
      </c>
      <c r="H2137" s="23">
        <v>46281</v>
      </c>
      <c r="I2137" s="23">
        <v>46273.592361111114</v>
      </c>
      <c r="J2137" s="10">
        <v>1039</v>
      </c>
      <c r="K2137" s="10">
        <v>0</v>
      </c>
      <c r="L2137" s="24">
        <v>0</v>
      </c>
      <c r="M2137" s="10">
        <v>1039</v>
      </c>
    </row>
    <row r="2138" spans="1:13" x14ac:dyDescent="0.25">
      <c r="A2138" s="12" t="str">
        <f t="shared" si="66"/>
        <v>5005581BRUNO RIBEIRO DOMINGUESCT46273,59375</v>
      </c>
      <c r="B2138" s="12" t="str">
        <f t="shared" si="67"/>
        <v>Setembro</v>
      </c>
      <c r="C2138" s="8" t="s">
        <v>3112</v>
      </c>
      <c r="D2138" s="8" t="s">
        <v>664</v>
      </c>
      <c r="E2138" s="8" t="s">
        <v>32</v>
      </c>
      <c r="F2138" s="23">
        <v>46273.59375</v>
      </c>
      <c r="G2138" s="8" t="s">
        <v>1035</v>
      </c>
      <c r="H2138" s="23">
        <v>46281</v>
      </c>
      <c r="I2138" s="23">
        <v>46273.59375</v>
      </c>
      <c r="J2138" s="10">
        <v>350</v>
      </c>
      <c r="K2138" s="10">
        <v>0</v>
      </c>
      <c r="L2138" s="24">
        <v>0</v>
      </c>
      <c r="M2138" s="10">
        <v>350</v>
      </c>
    </row>
    <row r="2139" spans="1:13" x14ac:dyDescent="0.25">
      <c r="A2139" s="12" t="str">
        <f t="shared" si="66"/>
        <v>5005582JAIME GOMES PARAGUAICT46273,6083333333</v>
      </c>
      <c r="B2139" s="12" t="str">
        <f t="shared" si="67"/>
        <v>Setembro</v>
      </c>
      <c r="C2139" s="8" t="s">
        <v>3113</v>
      </c>
      <c r="D2139" s="8" t="s">
        <v>664</v>
      </c>
      <c r="E2139" s="8" t="s">
        <v>87</v>
      </c>
      <c r="F2139" s="23">
        <v>46273.60833333333</v>
      </c>
      <c r="G2139" s="8" t="s">
        <v>1035</v>
      </c>
      <c r="H2139" s="23">
        <v>46281</v>
      </c>
      <c r="I2139" s="23">
        <v>46273.60833333333</v>
      </c>
      <c r="J2139" s="10">
        <v>3432</v>
      </c>
      <c r="K2139" s="10">
        <v>0</v>
      </c>
      <c r="L2139" s="24">
        <v>0</v>
      </c>
      <c r="M2139" s="10">
        <v>3432</v>
      </c>
    </row>
    <row r="2140" spans="1:13" x14ac:dyDescent="0.25">
      <c r="A2140" s="12" t="str">
        <f t="shared" si="66"/>
        <v>5005583ALAOR CANAVEZ DE MORAES NETOCT46273,6131944444</v>
      </c>
      <c r="B2140" s="12" t="str">
        <f t="shared" si="67"/>
        <v>Setembro</v>
      </c>
      <c r="C2140" s="8" t="s">
        <v>3114</v>
      </c>
      <c r="D2140" s="8" t="s">
        <v>664</v>
      </c>
      <c r="E2140" s="8" t="s">
        <v>10</v>
      </c>
      <c r="F2140" s="23">
        <v>46273.613194444442</v>
      </c>
      <c r="G2140" s="8" t="s">
        <v>1035</v>
      </c>
      <c r="H2140" s="23">
        <v>46281</v>
      </c>
      <c r="I2140" s="23">
        <v>46273.613194444442</v>
      </c>
      <c r="J2140" s="10">
        <v>2111</v>
      </c>
      <c r="K2140" s="10">
        <v>0</v>
      </c>
      <c r="L2140" s="24">
        <v>0</v>
      </c>
      <c r="M2140" s="10">
        <v>2111</v>
      </c>
    </row>
    <row r="2141" spans="1:13" x14ac:dyDescent="0.25">
      <c r="A2141" s="12" t="str">
        <f t="shared" si="66"/>
        <v>5005584MAGNO APARECIDO DE JESUSCT46273,6256944444</v>
      </c>
      <c r="B2141" s="12" t="str">
        <f t="shared" si="67"/>
        <v>Setembro</v>
      </c>
      <c r="C2141" s="8" t="s">
        <v>3115</v>
      </c>
      <c r="D2141" s="8" t="s">
        <v>664</v>
      </c>
      <c r="E2141" s="8" t="s">
        <v>115</v>
      </c>
      <c r="F2141" s="23">
        <v>46273.625694444447</v>
      </c>
      <c r="G2141" s="8" t="s">
        <v>1035</v>
      </c>
      <c r="H2141" s="23">
        <v>46281</v>
      </c>
      <c r="I2141" s="23">
        <v>46273.625694444447</v>
      </c>
      <c r="J2141" s="10">
        <v>3953</v>
      </c>
      <c r="K2141" s="10">
        <v>0</v>
      </c>
      <c r="L2141" s="24">
        <v>0</v>
      </c>
      <c r="M2141" s="10">
        <v>3953</v>
      </c>
    </row>
    <row r="2142" spans="1:13" x14ac:dyDescent="0.25">
      <c r="A2142" s="12" t="str">
        <f t="shared" si="66"/>
        <v>5005585ANTONIO CARLOS DA COSTACT46273,6361111111</v>
      </c>
      <c r="B2142" s="12" t="str">
        <f t="shared" si="67"/>
        <v>Setembro</v>
      </c>
      <c r="C2142" s="8" t="s">
        <v>3116</v>
      </c>
      <c r="D2142" s="8" t="s">
        <v>664</v>
      </c>
      <c r="E2142" s="8" t="s">
        <v>19</v>
      </c>
      <c r="F2142" s="23">
        <v>46273.636111111111</v>
      </c>
      <c r="G2142" s="8" t="s">
        <v>1035</v>
      </c>
      <c r="H2142" s="23">
        <v>46281</v>
      </c>
      <c r="I2142" s="23">
        <v>46273.636111111111</v>
      </c>
      <c r="J2142" s="10">
        <v>4390</v>
      </c>
      <c r="K2142" s="10">
        <v>0</v>
      </c>
      <c r="L2142" s="24">
        <v>0</v>
      </c>
      <c r="M2142" s="10">
        <v>4390</v>
      </c>
    </row>
    <row r="2143" spans="1:13" x14ac:dyDescent="0.25">
      <c r="A2143" s="12" t="str">
        <f t="shared" si="66"/>
        <v>5005586ARTUR SILVA VIANACT46273,6375</v>
      </c>
      <c r="B2143" s="12" t="str">
        <f t="shared" si="67"/>
        <v>Setembro</v>
      </c>
      <c r="C2143" s="8" t="s">
        <v>3117</v>
      </c>
      <c r="D2143" s="8" t="s">
        <v>664</v>
      </c>
      <c r="E2143" s="8" t="s">
        <v>1429</v>
      </c>
      <c r="F2143" s="23">
        <v>46273.637499999997</v>
      </c>
      <c r="G2143" s="8" t="s">
        <v>1035</v>
      </c>
      <c r="H2143" s="23">
        <v>46281</v>
      </c>
      <c r="I2143" s="23">
        <v>46273.637499999997</v>
      </c>
      <c r="J2143" s="10">
        <v>700</v>
      </c>
      <c r="K2143" s="10">
        <v>0</v>
      </c>
      <c r="L2143" s="24">
        <v>0</v>
      </c>
      <c r="M2143" s="10">
        <v>700</v>
      </c>
    </row>
    <row r="2144" spans="1:13" x14ac:dyDescent="0.25">
      <c r="A2144" s="12" t="str">
        <f t="shared" si="66"/>
        <v>5005587RAISSA DE CARVALHO FIORINECT46273,6388888889</v>
      </c>
      <c r="B2144" s="12" t="str">
        <f t="shared" si="67"/>
        <v>Setembro</v>
      </c>
      <c r="C2144" s="8" t="s">
        <v>3118</v>
      </c>
      <c r="D2144" s="8" t="s">
        <v>664</v>
      </c>
      <c r="E2144" s="8" t="s">
        <v>163</v>
      </c>
      <c r="F2144" s="23">
        <v>46273.638888888891</v>
      </c>
      <c r="G2144" s="8" t="s">
        <v>1035</v>
      </c>
      <c r="H2144" s="23">
        <v>46281</v>
      </c>
      <c r="I2144" s="23">
        <v>46273.638888888891</v>
      </c>
      <c r="J2144" s="10">
        <v>2251</v>
      </c>
      <c r="K2144" s="10">
        <v>0</v>
      </c>
      <c r="L2144" s="24">
        <v>0</v>
      </c>
      <c r="M2144" s="10">
        <v>2251</v>
      </c>
    </row>
    <row r="2145" spans="1:13" x14ac:dyDescent="0.25">
      <c r="A2145" s="12" t="str">
        <f t="shared" si="66"/>
        <v>5005588MARCELO MARTINS DE OLIVEIRACT46273,6402777778</v>
      </c>
      <c r="B2145" s="12" t="str">
        <f t="shared" si="67"/>
        <v>Setembro</v>
      </c>
      <c r="C2145" s="8" t="s">
        <v>3119</v>
      </c>
      <c r="D2145" s="8" t="s">
        <v>664</v>
      </c>
      <c r="E2145" s="8" t="s">
        <v>121</v>
      </c>
      <c r="F2145" s="23">
        <v>46273.640277777777</v>
      </c>
      <c r="G2145" s="8" t="s">
        <v>1035</v>
      </c>
      <c r="H2145" s="23">
        <v>46281</v>
      </c>
      <c r="I2145" s="23">
        <v>46273.640277777777</v>
      </c>
      <c r="J2145" s="10">
        <v>3119</v>
      </c>
      <c r="K2145" s="10">
        <v>0</v>
      </c>
      <c r="L2145" s="24">
        <v>0</v>
      </c>
      <c r="M2145" s="10">
        <v>3119</v>
      </c>
    </row>
    <row r="2146" spans="1:13" x14ac:dyDescent="0.25">
      <c r="A2146" s="12" t="str">
        <f t="shared" si="66"/>
        <v>5005589MARCELO MARTINS DE OLIVEIRARCB46279,39375</v>
      </c>
      <c r="B2146" s="12" t="str">
        <f t="shared" si="67"/>
        <v>Setembro</v>
      </c>
      <c r="C2146" s="8" t="s">
        <v>3085</v>
      </c>
      <c r="D2146" s="8" t="s">
        <v>664</v>
      </c>
      <c r="E2146" s="8" t="s">
        <v>121</v>
      </c>
      <c r="F2146" s="23">
        <v>46279.393750000003</v>
      </c>
      <c r="G2146" s="8" t="s">
        <v>1045</v>
      </c>
      <c r="H2146" s="23">
        <v>46282</v>
      </c>
      <c r="I2146" s="23">
        <v>46279.393750000003</v>
      </c>
      <c r="J2146" s="10">
        <v>12.6</v>
      </c>
      <c r="K2146" s="10">
        <v>0</v>
      </c>
      <c r="L2146" s="24">
        <v>0</v>
      </c>
      <c r="M2146" s="10">
        <v>12.6</v>
      </c>
    </row>
    <row r="2147" spans="1:13" x14ac:dyDescent="0.25">
      <c r="A2147" s="12" t="str">
        <f t="shared" si="66"/>
        <v>5005589NATANIELLE SILVA DE SOUZA MARQUESCT46273,6416666667</v>
      </c>
      <c r="B2147" s="12" t="str">
        <f t="shared" si="67"/>
        <v>Setembro</v>
      </c>
      <c r="C2147" s="8" t="s">
        <v>3085</v>
      </c>
      <c r="D2147" s="8" t="s">
        <v>664</v>
      </c>
      <c r="E2147" s="8" t="s">
        <v>135</v>
      </c>
      <c r="F2147" s="23">
        <v>46273.64166666667</v>
      </c>
      <c r="G2147" s="8" t="s">
        <v>1035</v>
      </c>
      <c r="H2147" s="23">
        <v>46281</v>
      </c>
      <c r="I2147" s="23">
        <v>46273.64166666667</v>
      </c>
      <c r="J2147" s="10">
        <v>2622</v>
      </c>
      <c r="K2147" s="10">
        <v>0</v>
      </c>
      <c r="L2147" s="24">
        <v>0</v>
      </c>
      <c r="M2147" s="10">
        <v>2622</v>
      </c>
    </row>
    <row r="2148" spans="1:13" x14ac:dyDescent="0.25">
      <c r="A2148" s="12" t="str">
        <f t="shared" si="66"/>
        <v>5005590JOSE MARCIO DA SILVACT46273,64375</v>
      </c>
      <c r="B2148" s="12" t="str">
        <f t="shared" si="67"/>
        <v>Setembro</v>
      </c>
      <c r="C2148" s="8" t="s">
        <v>3120</v>
      </c>
      <c r="D2148" s="8" t="s">
        <v>664</v>
      </c>
      <c r="E2148" s="8" t="s">
        <v>1576</v>
      </c>
      <c r="F2148" s="23">
        <v>46273.643750000003</v>
      </c>
      <c r="G2148" s="8" t="s">
        <v>1035</v>
      </c>
      <c r="H2148" s="23">
        <v>46281</v>
      </c>
      <c r="I2148" s="23">
        <v>46273.643750000003</v>
      </c>
      <c r="J2148" s="10">
        <v>2600</v>
      </c>
      <c r="K2148" s="10">
        <v>0</v>
      </c>
      <c r="L2148" s="24">
        <v>0</v>
      </c>
      <c r="M2148" s="10">
        <v>2600</v>
      </c>
    </row>
    <row r="2149" spans="1:13" x14ac:dyDescent="0.25">
      <c r="A2149" s="12" t="str">
        <f t="shared" si="66"/>
        <v>5005590MARCELO MARTINS DE OLIVEIRARCB46286,6173611111</v>
      </c>
      <c r="B2149" s="12" t="str">
        <f t="shared" si="67"/>
        <v>Setembro</v>
      </c>
      <c r="C2149" s="8" t="s">
        <v>3120</v>
      </c>
      <c r="D2149" s="8" t="s">
        <v>664</v>
      </c>
      <c r="E2149" s="8" t="s">
        <v>121</v>
      </c>
      <c r="F2149" s="23">
        <v>46286.617361111108</v>
      </c>
      <c r="G2149" s="8" t="s">
        <v>1045</v>
      </c>
      <c r="H2149" s="23">
        <v>46289</v>
      </c>
      <c r="I2149" s="23">
        <v>46286.617361111108</v>
      </c>
      <c r="J2149" s="10">
        <v>93.4</v>
      </c>
      <c r="K2149" s="10">
        <v>0</v>
      </c>
      <c r="L2149" s="24">
        <v>0</v>
      </c>
      <c r="M2149" s="10">
        <v>93.4</v>
      </c>
    </row>
    <row r="2150" spans="1:13" x14ac:dyDescent="0.25">
      <c r="A2150" s="12" t="str">
        <f t="shared" si="66"/>
        <v>5005591JOSE ANTONIO SILVACT46273,6444444444</v>
      </c>
      <c r="B2150" s="12" t="str">
        <f t="shared" si="67"/>
        <v>Setembro</v>
      </c>
      <c r="C2150" s="8" t="s">
        <v>3121</v>
      </c>
      <c r="D2150" s="8" t="s">
        <v>664</v>
      </c>
      <c r="E2150" s="8" t="s">
        <v>99</v>
      </c>
      <c r="F2150" s="23">
        <v>46273.644444444442</v>
      </c>
      <c r="G2150" s="8" t="s">
        <v>1035</v>
      </c>
      <c r="H2150" s="23">
        <v>46281</v>
      </c>
      <c r="I2150" s="23">
        <v>46273.644444444442</v>
      </c>
      <c r="J2150" s="10">
        <v>4458</v>
      </c>
      <c r="K2150" s="10">
        <v>0</v>
      </c>
      <c r="L2150" s="24">
        <v>0</v>
      </c>
      <c r="M2150" s="10">
        <v>4458</v>
      </c>
    </row>
    <row r="2151" spans="1:13" x14ac:dyDescent="0.25">
      <c r="A2151" s="12" t="str">
        <f t="shared" si="66"/>
        <v>5005591MARCELO MARTINS DE OLIVEIRARCB46293,4548611111</v>
      </c>
      <c r="B2151" s="12" t="str">
        <f t="shared" si="67"/>
        <v>Outubro</v>
      </c>
      <c r="C2151" s="8" t="s">
        <v>3121</v>
      </c>
      <c r="D2151" s="8" t="s">
        <v>664</v>
      </c>
      <c r="E2151" s="8" t="s">
        <v>121</v>
      </c>
      <c r="F2151" s="23">
        <v>46293.454861111109</v>
      </c>
      <c r="G2151" s="8" t="s">
        <v>1045</v>
      </c>
      <c r="H2151" s="23">
        <v>46301</v>
      </c>
      <c r="I2151" s="23">
        <v>46293.454861111109</v>
      </c>
      <c r="J2151" s="10">
        <v>32.9</v>
      </c>
      <c r="K2151" s="10">
        <v>0</v>
      </c>
      <c r="L2151" s="24">
        <v>0</v>
      </c>
      <c r="M2151" s="10">
        <v>32.9</v>
      </c>
    </row>
    <row r="2152" spans="1:13" x14ac:dyDescent="0.25">
      <c r="A2152" s="12" t="str">
        <f t="shared" si="66"/>
        <v>5005592DIOGO BONELA TONHACT46273,6458333333</v>
      </c>
      <c r="B2152" s="12" t="str">
        <f t="shared" si="67"/>
        <v>Setembro</v>
      </c>
      <c r="C2152" s="8" t="s">
        <v>3122</v>
      </c>
      <c r="D2152" s="8" t="s">
        <v>664</v>
      </c>
      <c r="E2152" s="8" t="s">
        <v>52</v>
      </c>
      <c r="F2152" s="23">
        <v>46273.645833333336</v>
      </c>
      <c r="G2152" s="8" t="s">
        <v>1035</v>
      </c>
      <c r="H2152" s="23">
        <v>46281</v>
      </c>
      <c r="I2152" s="23">
        <v>46273.645833333336</v>
      </c>
      <c r="J2152" s="10">
        <v>944</v>
      </c>
      <c r="K2152" s="10">
        <v>0</v>
      </c>
      <c r="L2152" s="24">
        <v>0</v>
      </c>
      <c r="M2152" s="10">
        <v>944</v>
      </c>
    </row>
    <row r="2153" spans="1:13" x14ac:dyDescent="0.25">
      <c r="A2153" s="12" t="str">
        <f t="shared" si="66"/>
        <v>5005592JOSE ANTONIO SILVARCB46282,3111111111</v>
      </c>
      <c r="B2153" s="12" t="str">
        <f t="shared" si="67"/>
        <v>Setembro</v>
      </c>
      <c r="C2153" s="8" t="s">
        <v>3122</v>
      </c>
      <c r="D2153" s="8" t="s">
        <v>664</v>
      </c>
      <c r="E2153" s="8" t="s">
        <v>99</v>
      </c>
      <c r="F2153" s="23">
        <v>46282.311111111114</v>
      </c>
      <c r="G2153" s="8" t="s">
        <v>1045</v>
      </c>
      <c r="H2153" s="23">
        <v>46287</v>
      </c>
      <c r="I2153" s="23">
        <v>46282.311111111114</v>
      </c>
      <c r="J2153" s="10">
        <v>300.2</v>
      </c>
      <c r="K2153" s="10">
        <v>0</v>
      </c>
      <c r="L2153" s="24">
        <v>0</v>
      </c>
      <c r="M2153" s="10">
        <v>300.2</v>
      </c>
    </row>
    <row r="2154" spans="1:13" x14ac:dyDescent="0.25">
      <c r="A2154" s="12" t="str">
        <f t="shared" si="66"/>
        <v>5005592MARCELO MARTINS DE OLIVEIRARCB46300,4111111111</v>
      </c>
      <c r="B2154" s="12" t="str">
        <f t="shared" si="67"/>
        <v>Outubro</v>
      </c>
      <c r="C2154" s="8" t="s">
        <v>3122</v>
      </c>
      <c r="D2154" s="8" t="s">
        <v>664</v>
      </c>
      <c r="E2154" s="8" t="s">
        <v>121</v>
      </c>
      <c r="F2154" s="23">
        <v>46300.411111111112</v>
      </c>
      <c r="G2154" s="8" t="s">
        <v>1045</v>
      </c>
      <c r="H2154" s="23">
        <v>46303</v>
      </c>
      <c r="I2154" s="23">
        <v>46300.411111111112</v>
      </c>
      <c r="J2154" s="10">
        <v>69.8</v>
      </c>
      <c r="K2154" s="10">
        <v>0</v>
      </c>
      <c r="L2154" s="24">
        <v>0</v>
      </c>
      <c r="M2154" s="10">
        <v>69.8</v>
      </c>
    </row>
    <row r="2155" spans="1:13" x14ac:dyDescent="0.25">
      <c r="A2155" s="12" t="str">
        <f t="shared" si="66"/>
        <v>5005593THIAGO AUGUSTO DE MEIRACT46273,6493055556</v>
      </c>
      <c r="B2155" s="12" t="str">
        <f t="shared" si="67"/>
        <v>Setembro</v>
      </c>
      <c r="C2155" s="8" t="s">
        <v>3123</v>
      </c>
      <c r="D2155" s="8" t="s">
        <v>664</v>
      </c>
      <c r="E2155" s="8" t="s">
        <v>2138</v>
      </c>
      <c r="F2155" s="23">
        <v>46273.649305555555</v>
      </c>
      <c r="G2155" s="8" t="s">
        <v>1035</v>
      </c>
      <c r="H2155" s="23">
        <v>46281</v>
      </c>
      <c r="I2155" s="23">
        <v>46273.649305555555</v>
      </c>
      <c r="J2155" s="10">
        <v>424</v>
      </c>
      <c r="K2155" s="10">
        <v>0</v>
      </c>
      <c r="L2155" s="24">
        <v>0</v>
      </c>
      <c r="M2155" s="10">
        <v>424</v>
      </c>
    </row>
    <row r="2156" spans="1:13" x14ac:dyDescent="0.25">
      <c r="A2156" s="12" t="str">
        <f t="shared" si="66"/>
        <v>5005594JOHNSON RAMOS DE CARVALHOCT46273,65</v>
      </c>
      <c r="B2156" s="12" t="str">
        <f t="shared" si="67"/>
        <v>Setembro</v>
      </c>
      <c r="C2156" s="8" t="s">
        <v>3124</v>
      </c>
      <c r="D2156" s="8" t="s">
        <v>664</v>
      </c>
      <c r="E2156" s="8" t="s">
        <v>94</v>
      </c>
      <c r="F2156" s="23">
        <v>46273.65</v>
      </c>
      <c r="G2156" s="8" t="s">
        <v>1035</v>
      </c>
      <c r="H2156" s="23">
        <v>46281</v>
      </c>
      <c r="I2156" s="23">
        <v>46273.65</v>
      </c>
      <c r="J2156" s="10">
        <v>1707</v>
      </c>
      <c r="K2156" s="10">
        <v>0</v>
      </c>
      <c r="L2156" s="24">
        <v>0</v>
      </c>
      <c r="M2156" s="10">
        <v>1707</v>
      </c>
    </row>
    <row r="2157" spans="1:13" x14ac:dyDescent="0.25">
      <c r="A2157" s="12" t="str">
        <f t="shared" si="66"/>
        <v>5005595JOHNSON RAMOS DE CARVALHORCB46279,3951388889</v>
      </c>
      <c r="B2157" s="12" t="str">
        <f t="shared" si="67"/>
        <v>Setembro</v>
      </c>
      <c r="C2157" s="8" t="s">
        <v>3086</v>
      </c>
      <c r="D2157" s="8" t="s">
        <v>664</v>
      </c>
      <c r="E2157" s="8" t="s">
        <v>94</v>
      </c>
      <c r="F2157" s="23">
        <v>46279.395138888889</v>
      </c>
      <c r="G2157" s="8" t="s">
        <v>1045</v>
      </c>
      <c r="H2157" s="23">
        <v>46282</v>
      </c>
      <c r="I2157" s="23">
        <v>46279.395138888889</v>
      </c>
      <c r="J2157" s="10">
        <v>17.8</v>
      </c>
      <c r="K2157" s="10">
        <v>0</v>
      </c>
      <c r="L2157" s="24">
        <v>0</v>
      </c>
      <c r="M2157" s="10">
        <v>17.8</v>
      </c>
    </row>
    <row r="2158" spans="1:13" x14ac:dyDescent="0.25">
      <c r="A2158" s="12" t="str">
        <f t="shared" si="66"/>
        <v>500559552.395.444. ADRIANO ROBERTOCT46273,6534722222</v>
      </c>
      <c r="B2158" s="12" t="str">
        <f t="shared" si="67"/>
        <v>Setembro</v>
      </c>
      <c r="C2158" s="8" t="s">
        <v>3086</v>
      </c>
      <c r="D2158" s="8" t="s">
        <v>664</v>
      </c>
      <c r="E2158" s="8" t="s">
        <v>3074</v>
      </c>
      <c r="F2158" s="23">
        <v>46273.65347222222</v>
      </c>
      <c r="G2158" s="8" t="s">
        <v>1035</v>
      </c>
      <c r="H2158" s="23">
        <v>46281</v>
      </c>
      <c r="I2158" s="23">
        <v>46273.65347222222</v>
      </c>
      <c r="J2158" s="10">
        <v>2878</v>
      </c>
      <c r="K2158" s="10">
        <v>0</v>
      </c>
      <c r="L2158" s="24">
        <v>0</v>
      </c>
      <c r="M2158" s="10">
        <v>2878</v>
      </c>
    </row>
    <row r="2159" spans="1:13" x14ac:dyDescent="0.25">
      <c r="A2159" s="12" t="str">
        <f t="shared" si="66"/>
        <v>5005596JOHNSON RAMOS DE CARVALHORCB46293,4555555556</v>
      </c>
      <c r="B2159" s="12" t="str">
        <f t="shared" si="67"/>
        <v>Outubro</v>
      </c>
      <c r="C2159" s="8" t="s">
        <v>1120</v>
      </c>
      <c r="D2159" s="8" t="s">
        <v>664</v>
      </c>
      <c r="E2159" s="8" t="s">
        <v>94</v>
      </c>
      <c r="F2159" s="23">
        <v>46293.455555555556</v>
      </c>
      <c r="G2159" s="8" t="s">
        <v>1045</v>
      </c>
      <c r="H2159" s="23">
        <v>46296</v>
      </c>
      <c r="I2159" s="23">
        <v>46293.455555555556</v>
      </c>
      <c r="J2159" s="10">
        <v>17.8</v>
      </c>
      <c r="K2159" s="10">
        <v>0</v>
      </c>
      <c r="L2159" s="24">
        <v>0</v>
      </c>
      <c r="M2159" s="10">
        <v>17.8</v>
      </c>
    </row>
    <row r="2160" spans="1:13" x14ac:dyDescent="0.25">
      <c r="A2160" s="12" t="str">
        <f t="shared" si="66"/>
        <v>5005611NATANIELLE SILVA DE SOUZA MARQUESRCB46282,3125</v>
      </c>
      <c r="B2160" s="12" t="str">
        <f t="shared" si="67"/>
        <v>Setembro</v>
      </c>
      <c r="C2160" s="8" t="s">
        <v>1221</v>
      </c>
      <c r="D2160" s="8" t="s">
        <v>664</v>
      </c>
      <c r="E2160" s="8" t="s">
        <v>135</v>
      </c>
      <c r="F2160" s="23">
        <v>46282.3125</v>
      </c>
      <c r="G2160" s="8" t="s">
        <v>1045</v>
      </c>
      <c r="H2160" s="23">
        <v>46287</v>
      </c>
      <c r="I2160" s="23">
        <v>46282.3125</v>
      </c>
      <c r="J2160" s="10">
        <v>143.84</v>
      </c>
      <c r="K2160" s="10">
        <v>0</v>
      </c>
      <c r="L2160" s="24">
        <v>0</v>
      </c>
      <c r="M2160" s="10">
        <v>143.84</v>
      </c>
    </row>
    <row r="2161" spans="1:13" x14ac:dyDescent="0.25">
      <c r="A2161" s="12" t="str">
        <f t="shared" si="66"/>
        <v>5005615EDUARDO GAUDENCIO ROSARCB46282,3131944444</v>
      </c>
      <c r="B2161" s="12" t="str">
        <f t="shared" si="67"/>
        <v>Setembro</v>
      </c>
      <c r="C2161" s="8" t="s">
        <v>3141</v>
      </c>
      <c r="D2161" s="8" t="s">
        <v>664</v>
      </c>
      <c r="E2161" s="8" t="s">
        <v>58</v>
      </c>
      <c r="F2161" s="23">
        <v>46282.313194444447</v>
      </c>
      <c r="G2161" s="8" t="s">
        <v>1045</v>
      </c>
      <c r="H2161" s="23">
        <v>46287</v>
      </c>
      <c r="I2161" s="23">
        <v>46282.313194444447</v>
      </c>
      <c r="J2161" s="10">
        <v>227.2</v>
      </c>
      <c r="K2161" s="10">
        <v>0</v>
      </c>
      <c r="L2161" s="24">
        <v>0</v>
      </c>
      <c r="M2161" s="10">
        <v>227.2</v>
      </c>
    </row>
    <row r="2162" spans="1:13" x14ac:dyDescent="0.25">
      <c r="A2162" s="12" t="str">
        <f t="shared" si="66"/>
        <v>5005623JORGE MARTINS BORGES JUNIORRCB46286,6180555556</v>
      </c>
      <c r="B2162" s="12" t="str">
        <f t="shared" si="67"/>
        <v>Setembro</v>
      </c>
      <c r="C2162" s="8" t="s">
        <v>1229</v>
      </c>
      <c r="D2162" s="8" t="s">
        <v>664</v>
      </c>
      <c r="E2162" s="8" t="s">
        <v>97</v>
      </c>
      <c r="F2162" s="23">
        <v>46286.618055555555</v>
      </c>
      <c r="G2162" s="8" t="s">
        <v>1045</v>
      </c>
      <c r="H2162" s="23">
        <v>46289</v>
      </c>
      <c r="I2162" s="23">
        <v>46286.618055555555</v>
      </c>
      <c r="J2162" s="10">
        <v>115</v>
      </c>
      <c r="K2162" s="10">
        <v>0</v>
      </c>
      <c r="L2162" s="24">
        <v>0</v>
      </c>
      <c r="M2162" s="10">
        <v>115</v>
      </c>
    </row>
    <row r="2163" spans="1:13" x14ac:dyDescent="0.25">
      <c r="A2163" s="12" t="str">
        <f t="shared" si="66"/>
        <v>500563815.312.878 ELIANA HENRIQUE MENDES BARBOSACT46287,6020833333</v>
      </c>
      <c r="B2163" s="12" t="str">
        <f t="shared" si="67"/>
        <v>Outubro</v>
      </c>
      <c r="C2163" s="8" t="s">
        <v>3221</v>
      </c>
      <c r="D2163" s="8" t="s">
        <v>664</v>
      </c>
      <c r="E2163" s="8" t="s">
        <v>3222</v>
      </c>
      <c r="F2163" s="23">
        <v>46287.602083333331</v>
      </c>
      <c r="G2163" s="8" t="s">
        <v>1035</v>
      </c>
      <c r="H2163" s="23">
        <v>46301</v>
      </c>
      <c r="I2163" s="23">
        <v>46287.602083333331</v>
      </c>
      <c r="J2163" s="10">
        <v>861</v>
      </c>
      <c r="K2163" s="10">
        <v>0</v>
      </c>
      <c r="L2163" s="24">
        <v>0</v>
      </c>
      <c r="M2163" s="10">
        <v>861</v>
      </c>
    </row>
    <row r="2164" spans="1:13" x14ac:dyDescent="0.25">
      <c r="A2164" s="12" t="str">
        <f t="shared" si="66"/>
        <v>5005639EDUARDO GAUDENCIO ROSACT46287,6055555556</v>
      </c>
      <c r="B2164" s="12" t="str">
        <f t="shared" si="67"/>
        <v>Outubro</v>
      </c>
      <c r="C2164" s="8" t="s">
        <v>3200</v>
      </c>
      <c r="D2164" s="8" t="s">
        <v>664</v>
      </c>
      <c r="E2164" s="8" t="s">
        <v>58</v>
      </c>
      <c r="F2164" s="23">
        <v>46287.605555555558</v>
      </c>
      <c r="G2164" s="8" t="s">
        <v>1035</v>
      </c>
      <c r="H2164" s="23">
        <v>46301</v>
      </c>
      <c r="I2164" s="23">
        <v>46287.605555555558</v>
      </c>
      <c r="J2164" s="10">
        <v>4041</v>
      </c>
      <c r="K2164" s="10">
        <v>0</v>
      </c>
      <c r="L2164" s="24">
        <v>0</v>
      </c>
      <c r="M2164" s="10">
        <v>4041</v>
      </c>
    </row>
    <row r="2165" spans="1:13" x14ac:dyDescent="0.25">
      <c r="A2165" s="12" t="str">
        <f t="shared" si="66"/>
        <v>5005640CRISTIAN ALVES MOREIRACT46287,6097222222</v>
      </c>
      <c r="B2165" s="12" t="str">
        <f t="shared" si="67"/>
        <v>Outubro</v>
      </c>
      <c r="C2165" s="8" t="s">
        <v>3201</v>
      </c>
      <c r="D2165" s="8" t="s">
        <v>664</v>
      </c>
      <c r="E2165" s="8" t="s">
        <v>46</v>
      </c>
      <c r="F2165" s="23">
        <v>46287.609722222223</v>
      </c>
      <c r="G2165" s="8" t="s">
        <v>1035</v>
      </c>
      <c r="H2165" s="23">
        <v>46301</v>
      </c>
      <c r="I2165" s="23">
        <v>46287.609722222223</v>
      </c>
      <c r="J2165" s="10">
        <v>808</v>
      </c>
      <c r="K2165" s="10">
        <v>0</v>
      </c>
      <c r="L2165" s="24">
        <v>0</v>
      </c>
      <c r="M2165" s="10">
        <v>808</v>
      </c>
    </row>
    <row r="2166" spans="1:13" x14ac:dyDescent="0.25">
      <c r="A2166" s="12" t="str">
        <f t="shared" si="66"/>
        <v>5005641PAULO RICARDO SILVACT46287,6118055556</v>
      </c>
      <c r="B2166" s="12" t="str">
        <f t="shared" si="67"/>
        <v>Outubro</v>
      </c>
      <c r="C2166" s="8" t="s">
        <v>3202</v>
      </c>
      <c r="D2166" s="8" t="s">
        <v>664</v>
      </c>
      <c r="E2166" s="8" t="s">
        <v>153</v>
      </c>
      <c r="F2166" s="23">
        <v>46287.611805555556</v>
      </c>
      <c r="G2166" s="8" t="s">
        <v>1035</v>
      </c>
      <c r="H2166" s="23">
        <v>46301</v>
      </c>
      <c r="I2166" s="23">
        <v>46287.611805555556</v>
      </c>
      <c r="J2166" s="10">
        <v>2438</v>
      </c>
      <c r="K2166" s="10">
        <v>0</v>
      </c>
      <c r="L2166" s="24">
        <v>0</v>
      </c>
      <c r="M2166" s="10">
        <v>2438</v>
      </c>
    </row>
    <row r="2167" spans="1:13" x14ac:dyDescent="0.25">
      <c r="A2167" s="12" t="str">
        <f t="shared" si="66"/>
        <v>5005642RENAN ELTON DIVINOCT46287,6131944444</v>
      </c>
      <c r="B2167" s="12" t="str">
        <f t="shared" si="67"/>
        <v>Outubro</v>
      </c>
      <c r="C2167" s="8" t="s">
        <v>3203</v>
      </c>
      <c r="D2167" s="8" t="s">
        <v>664</v>
      </c>
      <c r="E2167" s="8" t="s">
        <v>1409</v>
      </c>
      <c r="F2167" s="23">
        <v>46287.613194444442</v>
      </c>
      <c r="G2167" s="8" t="s">
        <v>1035</v>
      </c>
      <c r="H2167" s="23">
        <v>46301</v>
      </c>
      <c r="I2167" s="23">
        <v>46287.613194444442</v>
      </c>
      <c r="J2167" s="10">
        <v>421</v>
      </c>
      <c r="K2167" s="10">
        <v>0</v>
      </c>
      <c r="L2167" s="24">
        <v>0</v>
      </c>
      <c r="M2167" s="10">
        <v>421</v>
      </c>
    </row>
    <row r="2168" spans="1:13" x14ac:dyDescent="0.25">
      <c r="A2168" s="12" t="str">
        <f t="shared" si="66"/>
        <v>5005643NELCIDES JOSE VIEIRACT46287,6138888889</v>
      </c>
      <c r="B2168" s="12" t="str">
        <f t="shared" si="67"/>
        <v>Outubro</v>
      </c>
      <c r="C2168" s="8" t="s">
        <v>3204</v>
      </c>
      <c r="D2168" s="8" t="s">
        <v>664</v>
      </c>
      <c r="E2168" s="8" t="s">
        <v>137</v>
      </c>
      <c r="F2168" s="23">
        <v>46287.613888888889</v>
      </c>
      <c r="G2168" s="8" t="s">
        <v>1035</v>
      </c>
      <c r="H2168" s="23">
        <v>46301</v>
      </c>
      <c r="I2168" s="23">
        <v>46287.613888888889</v>
      </c>
      <c r="J2168" s="10">
        <v>2050</v>
      </c>
      <c r="K2168" s="10">
        <v>0</v>
      </c>
      <c r="L2168" s="24">
        <v>0</v>
      </c>
      <c r="M2168" s="10">
        <v>2050</v>
      </c>
    </row>
    <row r="2169" spans="1:13" x14ac:dyDescent="0.25">
      <c r="A2169" s="12" t="str">
        <f t="shared" si="66"/>
        <v>5005644CARLOS ANTONIO PINTOCT46287,6173611111</v>
      </c>
      <c r="B2169" s="12" t="str">
        <f t="shared" si="67"/>
        <v>Outubro</v>
      </c>
      <c r="C2169" s="8" t="s">
        <v>3205</v>
      </c>
      <c r="D2169" s="8" t="s">
        <v>664</v>
      </c>
      <c r="E2169" s="8" t="s">
        <v>36</v>
      </c>
      <c r="F2169" s="23">
        <v>46287.617361111108</v>
      </c>
      <c r="G2169" s="8" t="s">
        <v>1035</v>
      </c>
      <c r="H2169" s="23">
        <v>46301</v>
      </c>
      <c r="I2169" s="23">
        <v>46287.617361111108</v>
      </c>
      <c r="J2169" s="10">
        <v>3973</v>
      </c>
      <c r="K2169" s="10">
        <v>0</v>
      </c>
      <c r="L2169" s="24">
        <v>0</v>
      </c>
      <c r="M2169" s="10">
        <v>3973</v>
      </c>
    </row>
    <row r="2170" spans="1:13" x14ac:dyDescent="0.25">
      <c r="A2170" s="12" t="str">
        <f t="shared" si="66"/>
        <v>5005645ADRIANA DA SILVA SANTOS FERREIRACT46287,61875</v>
      </c>
      <c r="B2170" s="12" t="str">
        <f t="shared" si="67"/>
        <v>Outubro</v>
      </c>
      <c r="C2170" s="8" t="s">
        <v>3206</v>
      </c>
      <c r="D2170" s="8" t="s">
        <v>664</v>
      </c>
      <c r="E2170" s="8" t="s">
        <v>1413</v>
      </c>
      <c r="F2170" s="23">
        <v>46287.618750000001</v>
      </c>
      <c r="G2170" s="8" t="s">
        <v>1035</v>
      </c>
      <c r="H2170" s="23">
        <v>46301</v>
      </c>
      <c r="I2170" s="23">
        <v>46287.618750000001</v>
      </c>
      <c r="J2170" s="10">
        <v>350</v>
      </c>
      <c r="K2170" s="10">
        <v>0</v>
      </c>
      <c r="L2170" s="24">
        <v>0</v>
      </c>
      <c r="M2170" s="10">
        <v>350</v>
      </c>
    </row>
    <row r="2171" spans="1:13" x14ac:dyDescent="0.25">
      <c r="A2171" s="12" t="str">
        <f t="shared" si="66"/>
        <v>5005646JORGE MARTINS BORGES JUNIORCT46287,6194444444</v>
      </c>
      <c r="B2171" s="12" t="str">
        <f t="shared" si="67"/>
        <v>Outubro</v>
      </c>
      <c r="C2171" s="8" t="s">
        <v>3207</v>
      </c>
      <c r="D2171" s="8" t="s">
        <v>664</v>
      </c>
      <c r="E2171" s="8" t="s">
        <v>97</v>
      </c>
      <c r="F2171" s="23">
        <v>46287.619444444441</v>
      </c>
      <c r="G2171" s="8" t="s">
        <v>1035</v>
      </c>
      <c r="H2171" s="23">
        <v>46301</v>
      </c>
      <c r="I2171" s="23">
        <v>46287.619444444441</v>
      </c>
      <c r="J2171" s="10">
        <v>1249</v>
      </c>
      <c r="K2171" s="10">
        <v>0</v>
      </c>
      <c r="L2171" s="24">
        <v>0</v>
      </c>
      <c r="M2171" s="10">
        <v>1249</v>
      </c>
    </row>
    <row r="2172" spans="1:13" x14ac:dyDescent="0.25">
      <c r="A2172" s="12" t="str">
        <f t="shared" si="66"/>
        <v>5005647JORGE MARTINS BORGES JUNIORRCB46300,4118055556</v>
      </c>
      <c r="B2172" s="12" t="str">
        <f t="shared" si="67"/>
        <v>Outubro</v>
      </c>
      <c r="C2172" s="8" t="s">
        <v>3196</v>
      </c>
      <c r="D2172" s="8" t="s">
        <v>664</v>
      </c>
      <c r="E2172" s="8" t="s">
        <v>97</v>
      </c>
      <c r="F2172" s="23">
        <v>46300.411805555559</v>
      </c>
      <c r="G2172" s="8" t="s">
        <v>1045</v>
      </c>
      <c r="H2172" s="23">
        <v>46303</v>
      </c>
      <c r="I2172" s="23">
        <v>46300.411805555559</v>
      </c>
      <c r="J2172" s="10">
        <v>54.25</v>
      </c>
      <c r="K2172" s="10">
        <v>0</v>
      </c>
      <c r="L2172" s="24">
        <v>0</v>
      </c>
      <c r="M2172" s="10">
        <v>54.25</v>
      </c>
    </row>
    <row r="2173" spans="1:13" x14ac:dyDescent="0.25">
      <c r="A2173" s="12" t="str">
        <f t="shared" si="66"/>
        <v>5005647JAIME GOMES PARAGUAICT46287,6208333333</v>
      </c>
      <c r="B2173" s="12" t="str">
        <f t="shared" si="67"/>
        <v>Outubro</v>
      </c>
      <c r="C2173" s="8" t="s">
        <v>3196</v>
      </c>
      <c r="D2173" s="8" t="s">
        <v>664</v>
      </c>
      <c r="E2173" s="8" t="s">
        <v>87</v>
      </c>
      <c r="F2173" s="23">
        <v>46287.620833333334</v>
      </c>
      <c r="G2173" s="8" t="s">
        <v>1035</v>
      </c>
      <c r="H2173" s="23">
        <v>46301</v>
      </c>
      <c r="I2173" s="23">
        <v>46287.620833333334</v>
      </c>
      <c r="J2173" s="10">
        <v>1417</v>
      </c>
      <c r="K2173" s="10">
        <v>0</v>
      </c>
      <c r="L2173" s="24">
        <v>0</v>
      </c>
      <c r="M2173" s="10">
        <v>1417</v>
      </c>
    </row>
    <row r="2174" spans="1:13" x14ac:dyDescent="0.25">
      <c r="A2174" s="12" t="str">
        <f t="shared" si="66"/>
        <v>5005648MAGNO APARECIDO DE JESUSCT46287,6215277778</v>
      </c>
      <c r="B2174" s="12" t="str">
        <f t="shared" si="67"/>
        <v>Outubro</v>
      </c>
      <c r="C2174" s="8" t="s">
        <v>3209</v>
      </c>
      <c r="D2174" s="8" t="s">
        <v>664</v>
      </c>
      <c r="E2174" s="8" t="s">
        <v>115</v>
      </c>
      <c r="F2174" s="23">
        <v>46287.621527777781</v>
      </c>
      <c r="G2174" s="8" t="s">
        <v>1035</v>
      </c>
      <c r="H2174" s="23">
        <v>46301</v>
      </c>
      <c r="I2174" s="23">
        <v>46287.621527777781</v>
      </c>
      <c r="J2174" s="10">
        <v>668</v>
      </c>
      <c r="K2174" s="10">
        <v>0</v>
      </c>
      <c r="L2174" s="24">
        <v>0</v>
      </c>
      <c r="M2174" s="10">
        <v>668</v>
      </c>
    </row>
    <row r="2175" spans="1:13" x14ac:dyDescent="0.25">
      <c r="A2175" s="12" t="str">
        <f t="shared" si="66"/>
        <v>5005649NATANIELLE SILVA DE SOUZA MARQUESCT46287,6229166667</v>
      </c>
      <c r="B2175" s="12" t="str">
        <f t="shared" si="67"/>
        <v>Outubro</v>
      </c>
      <c r="C2175" s="8" t="s">
        <v>3210</v>
      </c>
      <c r="D2175" s="8" t="s">
        <v>664</v>
      </c>
      <c r="E2175" s="8" t="s">
        <v>135</v>
      </c>
      <c r="F2175" s="23">
        <v>46287.622916666667</v>
      </c>
      <c r="G2175" s="8" t="s">
        <v>1035</v>
      </c>
      <c r="H2175" s="23">
        <v>46301</v>
      </c>
      <c r="I2175" s="23">
        <v>46287.622916666667</v>
      </c>
      <c r="J2175" s="10">
        <v>3091</v>
      </c>
      <c r="K2175" s="10">
        <v>0</v>
      </c>
      <c r="L2175" s="24">
        <v>0</v>
      </c>
      <c r="M2175" s="10">
        <v>3091</v>
      </c>
    </row>
    <row r="2176" spans="1:13" x14ac:dyDescent="0.25">
      <c r="A2176" s="12" t="str">
        <f t="shared" si="66"/>
        <v>5005650JOSE ANTONIO SILVACT46287,625</v>
      </c>
      <c r="B2176" s="12" t="str">
        <f t="shared" si="67"/>
        <v>Outubro</v>
      </c>
      <c r="C2176" s="8" t="s">
        <v>3212</v>
      </c>
      <c r="D2176" s="8" t="s">
        <v>664</v>
      </c>
      <c r="E2176" s="8" t="s">
        <v>99</v>
      </c>
      <c r="F2176" s="23">
        <v>46287.625</v>
      </c>
      <c r="G2176" s="8" t="s">
        <v>1035</v>
      </c>
      <c r="H2176" s="23">
        <v>46301</v>
      </c>
      <c r="I2176" s="23">
        <v>46287.625</v>
      </c>
      <c r="J2176" s="10">
        <v>2414</v>
      </c>
      <c r="K2176" s="10">
        <v>0</v>
      </c>
      <c r="L2176" s="24">
        <v>0</v>
      </c>
      <c r="M2176" s="10">
        <v>2414</v>
      </c>
    </row>
    <row r="2177" spans="1:13" x14ac:dyDescent="0.25">
      <c r="A2177" s="12" t="str">
        <f t="shared" si="66"/>
        <v>5005651DIOGO BONELA TONHACT46287,6256944444</v>
      </c>
      <c r="B2177" s="12" t="str">
        <f t="shared" si="67"/>
        <v>Outubro</v>
      </c>
      <c r="C2177" s="8" t="s">
        <v>3213</v>
      </c>
      <c r="D2177" s="8" t="s">
        <v>664</v>
      </c>
      <c r="E2177" s="8" t="s">
        <v>52</v>
      </c>
      <c r="F2177" s="23">
        <v>46287.625694444447</v>
      </c>
      <c r="G2177" s="8" t="s">
        <v>1035</v>
      </c>
      <c r="H2177" s="23">
        <v>46301</v>
      </c>
      <c r="I2177" s="23">
        <v>46287.625694444447</v>
      </c>
      <c r="J2177" s="10">
        <v>385</v>
      </c>
      <c r="K2177" s="10">
        <v>0</v>
      </c>
      <c r="L2177" s="24">
        <v>0</v>
      </c>
      <c r="M2177" s="10">
        <v>385</v>
      </c>
    </row>
    <row r="2178" spans="1:13" x14ac:dyDescent="0.25">
      <c r="A2178" s="12" t="str">
        <f t="shared" ref="A2178:A2241" si="68">$C2178&amp;$E2178&amp;$G2178&amp;$F2178</f>
        <v>500565260.167.550 MARCELO MARTINS DE OLIVEIRACT46287,6375</v>
      </c>
      <c r="B2178" s="12" t="str">
        <f t="shared" si="67"/>
        <v>Outubro</v>
      </c>
      <c r="C2178" s="8" t="s">
        <v>3214</v>
      </c>
      <c r="D2178" s="8" t="s">
        <v>664</v>
      </c>
      <c r="E2178" s="8" t="s">
        <v>3215</v>
      </c>
      <c r="F2178" s="23">
        <v>46287.637499999997</v>
      </c>
      <c r="G2178" s="8" t="s">
        <v>1035</v>
      </c>
      <c r="H2178" s="23">
        <v>46301</v>
      </c>
      <c r="I2178" s="23">
        <v>46287.637499999997</v>
      </c>
      <c r="J2178" s="10">
        <v>2295</v>
      </c>
      <c r="K2178" s="10">
        <v>0</v>
      </c>
      <c r="L2178" s="24">
        <v>0</v>
      </c>
      <c r="M2178" s="10">
        <v>2295</v>
      </c>
    </row>
    <row r="2179" spans="1:13" x14ac:dyDescent="0.25">
      <c r="A2179" s="12" t="str">
        <f t="shared" si="68"/>
        <v>500565352.395.444. ADRIANO ROBERTOCT46287,6381944444</v>
      </c>
      <c r="B2179" s="12" t="str">
        <f t="shared" ref="B2179:B2242" si="69">PROPER(TEXT($H2179,"MMMM"))</f>
        <v>Outubro</v>
      </c>
      <c r="C2179" s="8" t="s">
        <v>3216</v>
      </c>
      <c r="D2179" s="8" t="s">
        <v>664</v>
      </c>
      <c r="E2179" s="8" t="s">
        <v>3074</v>
      </c>
      <c r="F2179" s="23">
        <v>46287.638194444444</v>
      </c>
      <c r="G2179" s="8" t="s">
        <v>1035</v>
      </c>
      <c r="H2179" s="23">
        <v>46301</v>
      </c>
      <c r="I2179" s="23">
        <v>46287.638194444444</v>
      </c>
      <c r="J2179" s="10">
        <v>1765</v>
      </c>
      <c r="K2179" s="10">
        <v>0</v>
      </c>
      <c r="L2179" s="24">
        <v>0</v>
      </c>
      <c r="M2179" s="10">
        <v>1765</v>
      </c>
    </row>
    <row r="2180" spans="1:13" x14ac:dyDescent="0.25">
      <c r="A2180" s="12" t="str">
        <f t="shared" si="68"/>
        <v>500565552.081.532 ANTONIO CARLOS DA COSTACT46287,6402777778</v>
      </c>
      <c r="B2180" s="12" t="str">
        <f t="shared" si="69"/>
        <v>Outubro</v>
      </c>
      <c r="C2180" s="8" t="s">
        <v>3217</v>
      </c>
      <c r="D2180" s="8" t="s">
        <v>664</v>
      </c>
      <c r="E2180" s="8" t="s">
        <v>3218</v>
      </c>
      <c r="F2180" s="23">
        <v>46287.640277777777</v>
      </c>
      <c r="G2180" s="8" t="s">
        <v>1035</v>
      </c>
      <c r="H2180" s="23">
        <v>46301</v>
      </c>
      <c r="I2180" s="23">
        <v>46287.640277777777</v>
      </c>
      <c r="J2180" s="10">
        <v>3246</v>
      </c>
      <c r="K2180" s="10">
        <v>0</v>
      </c>
      <c r="L2180" s="24">
        <v>0</v>
      </c>
      <c r="M2180" s="10">
        <v>3246</v>
      </c>
    </row>
    <row r="2181" spans="1:13" x14ac:dyDescent="0.25">
      <c r="A2181" s="12" t="str">
        <f t="shared" si="68"/>
        <v>5005656ISIS MARIA DE CARVALHO FIORINECT46287,6409722222</v>
      </c>
      <c r="B2181" s="12" t="str">
        <f t="shared" si="69"/>
        <v>Outubro</v>
      </c>
      <c r="C2181" s="8" t="s">
        <v>3219</v>
      </c>
      <c r="D2181" s="8" t="s">
        <v>664</v>
      </c>
      <c r="E2181" s="8" t="s">
        <v>3220</v>
      </c>
      <c r="F2181" s="23">
        <v>46287.640972222223</v>
      </c>
      <c r="G2181" s="8" t="s">
        <v>1035</v>
      </c>
      <c r="H2181" s="23">
        <v>46301</v>
      </c>
      <c r="I2181" s="23">
        <v>46287.640972222223</v>
      </c>
      <c r="J2181" s="10">
        <v>1155</v>
      </c>
      <c r="K2181" s="10">
        <v>0</v>
      </c>
      <c r="L2181" s="24">
        <v>0</v>
      </c>
      <c r="M2181" s="10">
        <v>1155</v>
      </c>
    </row>
    <row r="2182" spans="1:13" x14ac:dyDescent="0.25">
      <c r="A2182" s="12" t="str">
        <f t="shared" si="68"/>
        <v>5005657BRUNO RIBEIRO DOMINGUESCT46287,6548611111</v>
      </c>
      <c r="B2182" s="12" t="str">
        <f t="shared" si="69"/>
        <v>Outubro</v>
      </c>
      <c r="C2182" s="8" t="s">
        <v>3208</v>
      </c>
      <c r="D2182" s="8" t="s">
        <v>664</v>
      </c>
      <c r="E2182" s="8" t="s">
        <v>32</v>
      </c>
      <c r="F2182" s="23">
        <v>46287.654861111114</v>
      </c>
      <c r="G2182" s="8" t="s">
        <v>1035</v>
      </c>
      <c r="H2182" s="23">
        <v>46301</v>
      </c>
      <c r="I2182" s="23">
        <v>46287.654861111114</v>
      </c>
      <c r="J2182" s="10">
        <v>350</v>
      </c>
      <c r="K2182" s="10">
        <v>0</v>
      </c>
      <c r="L2182" s="24">
        <v>0</v>
      </c>
      <c r="M2182" s="10">
        <v>350</v>
      </c>
    </row>
    <row r="2183" spans="1:13" x14ac:dyDescent="0.25">
      <c r="A2183" s="12" t="str">
        <f t="shared" si="68"/>
        <v>5005658RENILSON DIAS DE BRITOCT46287,6638888889</v>
      </c>
      <c r="B2183" s="12" t="str">
        <f t="shared" si="69"/>
        <v>Outubro</v>
      </c>
      <c r="C2183" s="8" t="s">
        <v>3199</v>
      </c>
      <c r="D2183" s="8" t="s">
        <v>664</v>
      </c>
      <c r="E2183" s="8" t="s">
        <v>1383</v>
      </c>
      <c r="F2183" s="23">
        <v>46287.663888888892</v>
      </c>
      <c r="G2183" s="8" t="s">
        <v>1035</v>
      </c>
      <c r="H2183" s="23">
        <v>46301</v>
      </c>
      <c r="I2183" s="23">
        <v>46287.663888888892</v>
      </c>
      <c r="J2183" s="10">
        <v>350</v>
      </c>
      <c r="K2183" s="10">
        <v>0</v>
      </c>
      <c r="L2183" s="24">
        <v>0</v>
      </c>
      <c r="M2183" s="10">
        <v>350</v>
      </c>
    </row>
    <row r="2184" spans="1:13" x14ac:dyDescent="0.25">
      <c r="A2184" s="12" t="str">
        <f t="shared" si="68"/>
        <v>5005713JOSE ANTONIO SILVARCB46296,4618055556</v>
      </c>
      <c r="B2184" s="12" t="str">
        <f t="shared" si="69"/>
        <v>Outubro</v>
      </c>
      <c r="C2184" s="8" t="s">
        <v>1313</v>
      </c>
      <c r="D2184" s="8" t="s">
        <v>664</v>
      </c>
      <c r="E2184" s="8" t="s">
        <v>99</v>
      </c>
      <c r="F2184" s="23">
        <v>46296.461805555555</v>
      </c>
      <c r="G2184" s="8" t="s">
        <v>1045</v>
      </c>
      <c r="H2184" s="23">
        <v>46301</v>
      </c>
      <c r="I2184" s="23">
        <v>46296.461805555555</v>
      </c>
      <c r="J2184" s="10">
        <v>154</v>
      </c>
      <c r="K2184" s="10">
        <v>0</v>
      </c>
      <c r="L2184" s="24">
        <v>0</v>
      </c>
      <c r="M2184" s="10">
        <v>154</v>
      </c>
    </row>
    <row r="2185" spans="1:13" x14ac:dyDescent="0.25">
      <c r="A2185" s="12" t="str">
        <f t="shared" si="68"/>
        <v>5005715NATANIELLE SILVA DE SOUZA MARQUESRCB46296,4645833333</v>
      </c>
      <c r="B2185" s="12" t="str">
        <f t="shared" si="69"/>
        <v>Outubro</v>
      </c>
      <c r="C2185" s="8" t="s">
        <v>1315</v>
      </c>
      <c r="D2185" s="8" t="s">
        <v>664</v>
      </c>
      <c r="E2185" s="8" t="s">
        <v>135</v>
      </c>
      <c r="F2185" s="23">
        <v>46296.464583333334</v>
      </c>
      <c r="G2185" s="8" t="s">
        <v>1045</v>
      </c>
      <c r="H2185" s="23">
        <v>46301</v>
      </c>
      <c r="I2185" s="23">
        <v>46296.464583333334</v>
      </c>
      <c r="J2185" s="10">
        <v>102.48</v>
      </c>
      <c r="K2185" s="10">
        <v>0</v>
      </c>
      <c r="L2185" s="24">
        <v>0</v>
      </c>
      <c r="M2185" s="10">
        <v>102.48</v>
      </c>
    </row>
    <row r="2186" spans="1:13" x14ac:dyDescent="0.25">
      <c r="A2186" s="12" t="str">
        <f t="shared" si="68"/>
        <v>50232RECAPAGEM RECATEC LTDA.NSE46011</v>
      </c>
      <c r="B2186" s="12" t="str">
        <f t="shared" si="69"/>
        <v>Janeiro</v>
      </c>
      <c r="C2186" s="8" t="s">
        <v>1589</v>
      </c>
      <c r="D2186" s="8" t="s">
        <v>1354</v>
      </c>
      <c r="E2186" s="8" t="s">
        <v>166</v>
      </c>
      <c r="F2186" s="23">
        <v>46011</v>
      </c>
      <c r="G2186" s="8" t="s">
        <v>665</v>
      </c>
      <c r="H2186" s="23">
        <v>46041</v>
      </c>
      <c r="I2186" s="23">
        <v>46034.704861111109</v>
      </c>
      <c r="J2186" s="10">
        <v>2972.5</v>
      </c>
      <c r="K2186" s="10">
        <v>0</v>
      </c>
      <c r="L2186" s="24">
        <v>0</v>
      </c>
      <c r="M2186" s="10">
        <v>2972.5</v>
      </c>
    </row>
    <row r="2187" spans="1:13" x14ac:dyDescent="0.25">
      <c r="A2187" s="12" t="str">
        <f t="shared" si="68"/>
        <v>50232RECAPAGEM RECATEC LTDA.NSE46011</v>
      </c>
      <c r="B2187" s="12" t="str">
        <f t="shared" si="69"/>
        <v>Fevereiro</v>
      </c>
      <c r="C2187" s="8" t="s">
        <v>1589</v>
      </c>
      <c r="D2187" s="8" t="s">
        <v>1354</v>
      </c>
      <c r="E2187" s="8" t="s">
        <v>166</v>
      </c>
      <c r="F2187" s="23">
        <v>46011</v>
      </c>
      <c r="G2187" s="8" t="s">
        <v>665</v>
      </c>
      <c r="H2187" s="23">
        <v>46071</v>
      </c>
      <c r="I2187" s="23">
        <v>46034.704861111109</v>
      </c>
      <c r="J2187" s="10">
        <v>2972.5</v>
      </c>
      <c r="K2187" s="10">
        <v>0</v>
      </c>
      <c r="L2187" s="24">
        <v>0</v>
      </c>
      <c r="M2187" s="10">
        <v>2972.5</v>
      </c>
    </row>
    <row r="2188" spans="1:13" x14ac:dyDescent="0.25">
      <c r="A2188" s="12" t="str">
        <f t="shared" si="68"/>
        <v>50232RECAPAGEM RECATEC LTDA.NSE46011</v>
      </c>
      <c r="B2188" s="12" t="str">
        <f t="shared" si="69"/>
        <v>Março</v>
      </c>
      <c r="C2188" s="8" t="s">
        <v>1589</v>
      </c>
      <c r="D2188" s="8" t="s">
        <v>1354</v>
      </c>
      <c r="E2188" s="8" t="s">
        <v>166</v>
      </c>
      <c r="F2188" s="23">
        <v>46011</v>
      </c>
      <c r="G2188" s="8" t="s">
        <v>665</v>
      </c>
      <c r="H2188" s="23">
        <v>46101</v>
      </c>
      <c r="I2188" s="23">
        <v>46034.704861111109</v>
      </c>
      <c r="J2188" s="10">
        <v>2972.5</v>
      </c>
      <c r="K2188" s="10">
        <v>0</v>
      </c>
      <c r="L2188" s="24">
        <v>0</v>
      </c>
      <c r="M2188" s="10">
        <v>2972.5</v>
      </c>
    </row>
    <row r="2189" spans="1:13" x14ac:dyDescent="0.25">
      <c r="A2189" s="12" t="str">
        <f t="shared" si="68"/>
        <v>50232RECAPAGEM RECATEC LTDA.NSE46011</v>
      </c>
      <c r="B2189" s="12" t="str">
        <f t="shared" si="69"/>
        <v>Abril</v>
      </c>
      <c r="C2189" s="8" t="s">
        <v>1589</v>
      </c>
      <c r="D2189" s="8" t="s">
        <v>1354</v>
      </c>
      <c r="E2189" s="8" t="s">
        <v>166</v>
      </c>
      <c r="F2189" s="23">
        <v>46011</v>
      </c>
      <c r="G2189" s="8" t="s">
        <v>665</v>
      </c>
      <c r="H2189" s="23">
        <v>46132</v>
      </c>
      <c r="I2189" s="23">
        <v>46034.704861111109</v>
      </c>
      <c r="J2189" s="10">
        <v>2972.5</v>
      </c>
      <c r="K2189" s="10">
        <v>0</v>
      </c>
      <c r="L2189" s="24">
        <v>0</v>
      </c>
      <c r="M2189" s="10">
        <v>2972.5</v>
      </c>
    </row>
    <row r="2190" spans="1:13" x14ac:dyDescent="0.25">
      <c r="A2190" s="12" t="str">
        <f t="shared" si="68"/>
        <v>502892026PREFEITURA MUNICIPAL DE CONTAGEMIM46174,5861111111</v>
      </c>
      <c r="B2190" s="12" t="str">
        <f t="shared" si="69"/>
        <v>Junho</v>
      </c>
      <c r="C2190" s="8" t="s">
        <v>2572</v>
      </c>
      <c r="D2190" s="8" t="s">
        <v>1354</v>
      </c>
      <c r="E2190" s="8" t="s">
        <v>1470</v>
      </c>
      <c r="F2190" s="23">
        <v>46174.586111111108</v>
      </c>
      <c r="G2190" s="8" t="s">
        <v>1142</v>
      </c>
      <c r="H2190" s="23">
        <v>46183</v>
      </c>
      <c r="I2190" s="23">
        <v>46174.586111111108</v>
      </c>
      <c r="J2190" s="10">
        <v>386.44</v>
      </c>
      <c r="K2190" s="10">
        <v>0</v>
      </c>
      <c r="L2190" s="24">
        <v>0</v>
      </c>
      <c r="M2190" s="10">
        <v>386.44</v>
      </c>
    </row>
    <row r="2191" spans="1:13" x14ac:dyDescent="0.25">
      <c r="A2191" s="12" t="str">
        <f t="shared" si="68"/>
        <v>50911361SUELLEN LOPES TEIXEIXA 01663559686NSE46091</v>
      </c>
      <c r="B2191" s="12" t="str">
        <f t="shared" si="69"/>
        <v>Abril</v>
      </c>
      <c r="C2191" s="8" t="s">
        <v>903</v>
      </c>
      <c r="D2191" s="8" t="s">
        <v>664</v>
      </c>
      <c r="E2191" s="8" t="s">
        <v>183</v>
      </c>
      <c r="F2191" s="23">
        <v>46091</v>
      </c>
      <c r="G2191" s="8" t="s">
        <v>665</v>
      </c>
      <c r="H2191" s="23">
        <v>46118</v>
      </c>
      <c r="I2191" s="23">
        <v>46091</v>
      </c>
      <c r="J2191" s="10">
        <v>360</v>
      </c>
      <c r="K2191" s="10">
        <v>0</v>
      </c>
      <c r="L2191" s="24">
        <v>0</v>
      </c>
      <c r="M2191" s="10">
        <v>360</v>
      </c>
    </row>
    <row r="2192" spans="1:13" x14ac:dyDescent="0.25">
      <c r="A2192" s="12" t="str">
        <f t="shared" si="68"/>
        <v>51RUAN SMITH GARCIA CARDOSORCB46128,3777777778</v>
      </c>
      <c r="B2192" s="12" t="str">
        <f t="shared" si="69"/>
        <v>Abril</v>
      </c>
      <c r="C2192" s="8" t="s">
        <v>2274</v>
      </c>
      <c r="D2192" s="8" t="s">
        <v>664</v>
      </c>
      <c r="E2192" s="8" t="s">
        <v>175</v>
      </c>
      <c r="F2192" s="23">
        <v>46128.37777777778</v>
      </c>
      <c r="G2192" s="8" t="s">
        <v>1045</v>
      </c>
      <c r="H2192" s="23">
        <v>46134</v>
      </c>
      <c r="I2192" s="23">
        <v>46128.37777777778</v>
      </c>
      <c r="J2192" s="10">
        <v>66</v>
      </c>
      <c r="K2192" s="10">
        <v>0</v>
      </c>
      <c r="L2192" s="24">
        <v>0</v>
      </c>
      <c r="M2192" s="10">
        <v>66</v>
      </c>
    </row>
    <row r="2193" spans="1:13" x14ac:dyDescent="0.25">
      <c r="A2193" s="12" t="str">
        <f t="shared" si="68"/>
        <v>51GABRIEL MOUTINHO ALBINORCB46286,61875</v>
      </c>
      <c r="B2193" s="12" t="str">
        <f t="shared" si="69"/>
        <v>Setembro</v>
      </c>
      <c r="C2193" s="8" t="s">
        <v>2274</v>
      </c>
      <c r="D2193" s="8" t="s">
        <v>664</v>
      </c>
      <c r="E2193" s="8" t="s">
        <v>73</v>
      </c>
      <c r="F2193" s="23">
        <v>46286.618750000001</v>
      </c>
      <c r="G2193" s="8" t="s">
        <v>1045</v>
      </c>
      <c r="H2193" s="23">
        <v>46289</v>
      </c>
      <c r="I2193" s="23">
        <v>46286.618750000001</v>
      </c>
      <c r="J2193" s="10">
        <v>160</v>
      </c>
      <c r="K2193" s="10">
        <v>0</v>
      </c>
      <c r="L2193" s="24">
        <v>0</v>
      </c>
      <c r="M2193" s="10">
        <v>160</v>
      </c>
    </row>
    <row r="2194" spans="1:13" x14ac:dyDescent="0.25">
      <c r="A2194" s="12" t="str">
        <f t="shared" si="68"/>
        <v>5103RECAPAGEM RECATEC LTDA.NSE46154</v>
      </c>
      <c r="B2194" s="12" t="str">
        <f t="shared" si="69"/>
        <v>Junho</v>
      </c>
      <c r="C2194" s="8" t="s">
        <v>904</v>
      </c>
      <c r="D2194" s="8" t="s">
        <v>664</v>
      </c>
      <c r="E2194" s="8" t="s">
        <v>166</v>
      </c>
      <c r="F2194" s="23">
        <v>46154</v>
      </c>
      <c r="G2194" s="8" t="s">
        <v>665</v>
      </c>
      <c r="H2194" s="23">
        <v>46184</v>
      </c>
      <c r="I2194" s="23">
        <v>46155</v>
      </c>
      <c r="J2194" s="10">
        <v>1410</v>
      </c>
      <c r="K2194" s="10">
        <v>0</v>
      </c>
      <c r="L2194" s="24">
        <v>0</v>
      </c>
      <c r="M2194" s="10">
        <v>1410</v>
      </c>
    </row>
    <row r="2195" spans="1:13" x14ac:dyDescent="0.25">
      <c r="A2195" s="12" t="str">
        <f t="shared" si="68"/>
        <v>5103RECAPAGEM RECATEC LTDA.NSE46154</v>
      </c>
      <c r="B2195" s="12" t="str">
        <f t="shared" si="69"/>
        <v>Julho</v>
      </c>
      <c r="C2195" s="8" t="s">
        <v>904</v>
      </c>
      <c r="D2195" s="8" t="s">
        <v>664</v>
      </c>
      <c r="E2195" s="8" t="s">
        <v>166</v>
      </c>
      <c r="F2195" s="23">
        <v>46154</v>
      </c>
      <c r="G2195" s="8" t="s">
        <v>665</v>
      </c>
      <c r="H2195" s="23">
        <v>46216</v>
      </c>
      <c r="I2195" s="23">
        <v>46155</v>
      </c>
      <c r="J2195" s="10">
        <v>1410</v>
      </c>
      <c r="K2195" s="10">
        <v>0</v>
      </c>
      <c r="L2195" s="24">
        <v>0</v>
      </c>
      <c r="M2195" s="10">
        <v>1410</v>
      </c>
    </row>
    <row r="2196" spans="1:13" x14ac:dyDescent="0.25">
      <c r="A2196" s="12" t="str">
        <f t="shared" si="68"/>
        <v>5103RECAPAGEM RECATEC LTDA.NSE46154</v>
      </c>
      <c r="B2196" s="12" t="str">
        <f t="shared" si="69"/>
        <v>Agosto</v>
      </c>
      <c r="C2196" s="8" t="s">
        <v>904</v>
      </c>
      <c r="D2196" s="8" t="s">
        <v>664</v>
      </c>
      <c r="E2196" s="8" t="s">
        <v>166</v>
      </c>
      <c r="F2196" s="23">
        <v>46154</v>
      </c>
      <c r="G2196" s="8" t="s">
        <v>665</v>
      </c>
      <c r="H2196" s="23">
        <v>46244</v>
      </c>
      <c r="I2196" s="23">
        <v>46155</v>
      </c>
      <c r="J2196" s="10">
        <v>1410</v>
      </c>
      <c r="K2196" s="10">
        <v>0</v>
      </c>
      <c r="L2196" s="24">
        <v>0</v>
      </c>
      <c r="M2196" s="10">
        <v>1410</v>
      </c>
    </row>
    <row r="2197" spans="1:13" x14ac:dyDescent="0.25">
      <c r="A2197" s="12" t="str">
        <f t="shared" si="68"/>
        <v>51226GW REFORMADORA LTDANSE45975</v>
      </c>
      <c r="B2197" s="12" t="str">
        <f t="shared" si="69"/>
        <v>Janeiro</v>
      </c>
      <c r="C2197" s="8" t="s">
        <v>1481</v>
      </c>
      <c r="D2197" s="8" t="s">
        <v>1354</v>
      </c>
      <c r="E2197" s="8" t="s">
        <v>81</v>
      </c>
      <c r="F2197" s="23">
        <v>45975</v>
      </c>
      <c r="G2197" s="8" t="s">
        <v>665</v>
      </c>
      <c r="H2197" s="23">
        <v>46035</v>
      </c>
      <c r="I2197" s="23">
        <v>45980</v>
      </c>
      <c r="J2197" s="10">
        <v>2216.66</v>
      </c>
      <c r="K2197" s="10">
        <v>0</v>
      </c>
      <c r="L2197" s="24">
        <v>0</v>
      </c>
      <c r="M2197" s="10">
        <v>2216.66</v>
      </c>
    </row>
    <row r="2198" spans="1:13" x14ac:dyDescent="0.25">
      <c r="A2198" s="12" t="str">
        <f t="shared" si="68"/>
        <v>51226GW REFORMADORA LTDANSE45975</v>
      </c>
      <c r="B2198" s="12" t="str">
        <f t="shared" si="69"/>
        <v>Fevereiro</v>
      </c>
      <c r="C2198" s="8" t="s">
        <v>1481</v>
      </c>
      <c r="D2198" s="8" t="s">
        <v>1354</v>
      </c>
      <c r="E2198" s="8" t="s">
        <v>81</v>
      </c>
      <c r="F2198" s="23">
        <v>45975</v>
      </c>
      <c r="G2198" s="8" t="s">
        <v>665</v>
      </c>
      <c r="H2198" s="23">
        <v>46065</v>
      </c>
      <c r="I2198" s="23">
        <v>45980</v>
      </c>
      <c r="J2198" s="10">
        <v>2216.67</v>
      </c>
      <c r="K2198" s="10">
        <v>0</v>
      </c>
      <c r="L2198" s="24">
        <v>0</v>
      </c>
      <c r="M2198" s="10">
        <v>2216.67</v>
      </c>
    </row>
    <row r="2199" spans="1:13" x14ac:dyDescent="0.25">
      <c r="A2199" s="12" t="str">
        <f t="shared" si="68"/>
        <v>51240832TICKET SOLUCOES HDFGT S/ANSE45961</v>
      </c>
      <c r="B2199" s="12" t="str">
        <f t="shared" si="69"/>
        <v>Janeiro</v>
      </c>
      <c r="C2199" s="8" t="s">
        <v>1582</v>
      </c>
      <c r="D2199" s="8" t="s">
        <v>1583</v>
      </c>
      <c r="E2199" s="8" t="s">
        <v>189</v>
      </c>
      <c r="F2199" s="23">
        <v>45961</v>
      </c>
      <c r="G2199" s="8" t="s">
        <v>665</v>
      </c>
      <c r="H2199" s="23">
        <v>46041</v>
      </c>
      <c r="I2199" s="23">
        <v>45993</v>
      </c>
      <c r="J2199" s="10">
        <v>118087.34</v>
      </c>
      <c r="K2199" s="10">
        <v>0</v>
      </c>
      <c r="L2199" s="24">
        <v>0</v>
      </c>
      <c r="M2199" s="10">
        <v>118087.34</v>
      </c>
    </row>
    <row r="2200" spans="1:13" x14ac:dyDescent="0.25">
      <c r="A2200" s="12" t="str">
        <f t="shared" si="68"/>
        <v>514546TELERISCO - INFORMACOES INTEGRADAS DE RISCOS S.ANFS46240</v>
      </c>
      <c r="B2200" s="12" t="str">
        <f t="shared" si="69"/>
        <v>Setembro</v>
      </c>
      <c r="C2200" s="8" t="s">
        <v>655</v>
      </c>
      <c r="D2200" s="8" t="s">
        <v>664</v>
      </c>
      <c r="E2200" s="8" t="s">
        <v>186</v>
      </c>
      <c r="F2200" s="23">
        <v>46240</v>
      </c>
      <c r="G2200" s="8" t="s">
        <v>614</v>
      </c>
      <c r="H2200" s="23">
        <v>46274</v>
      </c>
      <c r="I2200" s="23">
        <v>46254</v>
      </c>
      <c r="J2200" s="10">
        <v>8834.74</v>
      </c>
      <c r="K2200" s="10">
        <v>0</v>
      </c>
      <c r="L2200" s="24">
        <v>0</v>
      </c>
      <c r="M2200" s="10">
        <v>8291.4</v>
      </c>
    </row>
    <row r="2201" spans="1:13" x14ac:dyDescent="0.25">
      <c r="A2201" s="12" t="str">
        <f t="shared" si="68"/>
        <v>514546-1708-87MINISTERIO DA FAZENDAIM46259,5291666667</v>
      </c>
      <c r="B2201" s="12" t="str">
        <f t="shared" si="69"/>
        <v>Setembro</v>
      </c>
      <c r="C2201" s="8" t="s">
        <v>3136</v>
      </c>
      <c r="D2201" s="8" t="s">
        <v>664</v>
      </c>
      <c r="E2201" s="8" t="s">
        <v>1503</v>
      </c>
      <c r="F2201" s="23">
        <v>46259.529166666667</v>
      </c>
      <c r="G2201" s="8" t="s">
        <v>1142</v>
      </c>
      <c r="H2201" s="23">
        <v>46285</v>
      </c>
      <c r="I2201" s="23">
        <v>46259.529166666667</v>
      </c>
      <c r="J2201" s="10">
        <v>132.52000000000001</v>
      </c>
      <c r="K2201" s="10">
        <v>0</v>
      </c>
      <c r="L2201" s="24">
        <v>0</v>
      </c>
      <c r="M2201" s="10">
        <v>132.52000000000001</v>
      </c>
    </row>
    <row r="2202" spans="1:13" x14ac:dyDescent="0.25">
      <c r="A2202" s="12" t="str">
        <f t="shared" si="68"/>
        <v>514546-5952-87MINISTERIO DA FAZENDAIM46259,53125</v>
      </c>
      <c r="B2202" s="12" t="str">
        <f t="shared" si="69"/>
        <v>Setembro</v>
      </c>
      <c r="C2202" s="8" t="s">
        <v>3137</v>
      </c>
      <c r="D2202" s="8" t="s">
        <v>664</v>
      </c>
      <c r="E2202" s="8" t="s">
        <v>1503</v>
      </c>
      <c r="F2202" s="23">
        <v>46259.53125</v>
      </c>
      <c r="G2202" s="8" t="s">
        <v>1142</v>
      </c>
      <c r="H2202" s="23">
        <v>46285</v>
      </c>
      <c r="I2202" s="23">
        <v>46259.53125</v>
      </c>
      <c r="J2202" s="10">
        <v>410.82</v>
      </c>
      <c r="K2202" s="10">
        <v>0</v>
      </c>
      <c r="L2202" s="24">
        <v>0</v>
      </c>
      <c r="M2202" s="10">
        <v>410.82</v>
      </c>
    </row>
    <row r="2203" spans="1:13" x14ac:dyDescent="0.25">
      <c r="A2203" s="12" t="str">
        <f t="shared" si="68"/>
        <v>51471993TICKET SOLUCOES HDFGT S/ANSE45991</v>
      </c>
      <c r="B2203" s="12" t="str">
        <f t="shared" si="69"/>
        <v>Fevereiro</v>
      </c>
      <c r="C2203" s="8" t="s">
        <v>1883</v>
      </c>
      <c r="D2203" s="8" t="s">
        <v>1583</v>
      </c>
      <c r="E2203" s="8" t="s">
        <v>189</v>
      </c>
      <c r="F2203" s="23">
        <v>45991</v>
      </c>
      <c r="G2203" s="8" t="s">
        <v>665</v>
      </c>
      <c r="H2203" s="23">
        <v>46072</v>
      </c>
      <c r="I2203" s="23">
        <v>46021</v>
      </c>
      <c r="J2203" s="10">
        <v>102833.73</v>
      </c>
      <c r="K2203" s="10">
        <v>0</v>
      </c>
      <c r="L2203" s="24">
        <v>0</v>
      </c>
      <c r="M2203" s="10">
        <v>103208.11</v>
      </c>
    </row>
    <row r="2204" spans="1:13" x14ac:dyDescent="0.25">
      <c r="A2204" s="12" t="str">
        <f t="shared" si="68"/>
        <v>51753082TICKET SOLUCOES HDFGT S/ANSE46024</v>
      </c>
      <c r="B2204" s="12" t="str">
        <f t="shared" si="69"/>
        <v>Março</v>
      </c>
      <c r="C2204" s="8" t="s">
        <v>2098</v>
      </c>
      <c r="D2204" s="8" t="s">
        <v>1583</v>
      </c>
      <c r="E2204" s="8" t="s">
        <v>189</v>
      </c>
      <c r="F2204" s="23">
        <v>46024</v>
      </c>
      <c r="G2204" s="8" t="s">
        <v>665</v>
      </c>
      <c r="H2204" s="23">
        <v>46104</v>
      </c>
      <c r="I2204" s="23">
        <v>46056</v>
      </c>
      <c r="J2204" s="10">
        <v>109949.85</v>
      </c>
      <c r="K2204" s="10">
        <v>0</v>
      </c>
      <c r="L2204" s="24">
        <v>377.37</v>
      </c>
      <c r="M2204" s="10">
        <v>110327.22</v>
      </c>
    </row>
    <row r="2205" spans="1:13" x14ac:dyDescent="0.25">
      <c r="A2205" s="12" t="str">
        <f t="shared" si="68"/>
        <v>51977031TICKET SOLUCOES HDFGT S/ANSE46054</v>
      </c>
      <c r="B2205" s="12" t="str">
        <f t="shared" si="69"/>
        <v>Abril</v>
      </c>
      <c r="C2205" s="8" t="s">
        <v>2289</v>
      </c>
      <c r="D2205" s="8" t="s">
        <v>1583</v>
      </c>
      <c r="E2205" s="8" t="s">
        <v>189</v>
      </c>
      <c r="F2205" s="23">
        <v>46054</v>
      </c>
      <c r="G2205" s="8" t="s">
        <v>665</v>
      </c>
      <c r="H2205" s="23">
        <v>46134</v>
      </c>
      <c r="I2205" s="23">
        <v>46092</v>
      </c>
      <c r="J2205" s="10">
        <v>99513.45</v>
      </c>
      <c r="K2205" s="10">
        <v>0</v>
      </c>
      <c r="L2205" s="24">
        <v>0</v>
      </c>
      <c r="M2205" s="10">
        <v>99908.79</v>
      </c>
    </row>
    <row r="2206" spans="1:13" x14ac:dyDescent="0.25">
      <c r="A2206" s="12" t="str">
        <f t="shared" si="68"/>
        <v>52RUAN SMITH GARCIA CARDOSORCB46136,4270833333</v>
      </c>
      <c r="B2206" s="12" t="str">
        <f t="shared" si="69"/>
        <v>Abril</v>
      </c>
      <c r="C2206" s="8" t="s">
        <v>905</v>
      </c>
      <c r="D2206" s="8" t="s">
        <v>664</v>
      </c>
      <c r="E2206" s="8" t="s">
        <v>175</v>
      </c>
      <c r="F2206" s="23">
        <v>46136.427083333336</v>
      </c>
      <c r="G2206" s="8" t="s">
        <v>1045</v>
      </c>
      <c r="H2206" s="23">
        <v>46141</v>
      </c>
      <c r="I2206" s="23">
        <v>46136.427083333336</v>
      </c>
      <c r="J2206" s="10">
        <v>95</v>
      </c>
      <c r="K2206" s="10">
        <v>0</v>
      </c>
      <c r="L2206" s="24">
        <v>0</v>
      </c>
      <c r="M2206" s="10">
        <v>95</v>
      </c>
    </row>
    <row r="2207" spans="1:13" x14ac:dyDescent="0.25">
      <c r="A2207" s="12" t="str">
        <f t="shared" si="68"/>
        <v>52MECANICA CRISTO REI LTDANSE46136</v>
      </c>
      <c r="B2207" s="12" t="str">
        <f t="shared" si="69"/>
        <v>Maio</v>
      </c>
      <c r="C2207" s="8" t="s">
        <v>905</v>
      </c>
      <c r="D2207" s="8" t="s">
        <v>1354</v>
      </c>
      <c r="E2207" s="8" t="s">
        <v>125</v>
      </c>
      <c r="F2207" s="23">
        <v>46136</v>
      </c>
      <c r="G2207" s="8" t="s">
        <v>665</v>
      </c>
      <c r="H2207" s="23">
        <v>46166</v>
      </c>
      <c r="I2207" s="23">
        <v>46147</v>
      </c>
      <c r="J2207" s="10">
        <v>190</v>
      </c>
      <c r="K2207" s="10">
        <v>0</v>
      </c>
      <c r="L2207" s="24">
        <v>0</v>
      </c>
      <c r="M2207" s="10">
        <v>190</v>
      </c>
    </row>
    <row r="2208" spans="1:13" x14ac:dyDescent="0.25">
      <c r="A2208" s="12" t="str">
        <f t="shared" si="68"/>
        <v>52CLAUDINEY ALMEIDA DE SOUZANSE46148</v>
      </c>
      <c r="B2208" s="12" t="str">
        <f t="shared" si="69"/>
        <v>Junho</v>
      </c>
      <c r="C2208" s="8" t="s">
        <v>905</v>
      </c>
      <c r="D2208" s="8" t="s">
        <v>1354</v>
      </c>
      <c r="E2208" s="8" t="s">
        <v>44</v>
      </c>
      <c r="F2208" s="23">
        <v>46148</v>
      </c>
      <c r="G2208" s="8" t="s">
        <v>665</v>
      </c>
      <c r="H2208" s="23">
        <v>46181</v>
      </c>
      <c r="I2208" s="23">
        <v>46153</v>
      </c>
      <c r="J2208" s="10">
        <v>840</v>
      </c>
      <c r="K2208" s="10">
        <v>0</v>
      </c>
      <c r="L2208" s="24">
        <v>0</v>
      </c>
      <c r="M2208" s="10">
        <v>840</v>
      </c>
    </row>
    <row r="2209" spans="1:13" x14ac:dyDescent="0.25">
      <c r="A2209" s="12" t="str">
        <f t="shared" si="68"/>
        <v>52CAM LANTERNAGEM E PINTURA LTDANSE46246</v>
      </c>
      <c r="B2209" s="12" t="str">
        <f t="shared" si="69"/>
        <v>Setembro</v>
      </c>
      <c r="C2209" s="8" t="s">
        <v>905</v>
      </c>
      <c r="D2209" s="8" t="s">
        <v>1354</v>
      </c>
      <c r="E2209" s="8" t="s">
        <v>34</v>
      </c>
      <c r="F2209" s="23">
        <v>46246</v>
      </c>
      <c r="G2209" s="8" t="s">
        <v>665</v>
      </c>
      <c r="H2209" s="23">
        <v>46275</v>
      </c>
      <c r="I2209" s="23">
        <v>46252</v>
      </c>
      <c r="J2209" s="10">
        <v>500</v>
      </c>
      <c r="K2209" s="10">
        <v>0</v>
      </c>
      <c r="L2209" s="24">
        <v>0</v>
      </c>
      <c r="M2209" s="10">
        <v>500</v>
      </c>
    </row>
    <row r="2210" spans="1:13" x14ac:dyDescent="0.25">
      <c r="A2210" s="12" t="str">
        <f t="shared" si="68"/>
        <v>52GABRIEL MOUTINHO ALBINORCB46289,4604166667</v>
      </c>
      <c r="B2210" s="12" t="str">
        <f t="shared" si="69"/>
        <v>Setembro</v>
      </c>
      <c r="C2210" s="8" t="s">
        <v>905</v>
      </c>
      <c r="D2210" s="8" t="s">
        <v>664</v>
      </c>
      <c r="E2210" s="8" t="s">
        <v>73</v>
      </c>
      <c r="F2210" s="23">
        <v>46289.460416666669</v>
      </c>
      <c r="G2210" s="8" t="s">
        <v>1045</v>
      </c>
      <c r="H2210" s="23">
        <v>46294</v>
      </c>
      <c r="I2210" s="23">
        <v>46289.460416666669</v>
      </c>
      <c r="J2210" s="10">
        <v>55</v>
      </c>
      <c r="K2210" s="10">
        <v>0</v>
      </c>
      <c r="L2210" s="24">
        <v>0</v>
      </c>
      <c r="M2210" s="10">
        <v>55</v>
      </c>
    </row>
    <row r="2211" spans="1:13" x14ac:dyDescent="0.25">
      <c r="A2211" s="12" t="str">
        <f t="shared" si="68"/>
        <v>52026-87HENRIQUE GALAMBA RODRIGUES DOS ANJOSDEP46155,4027777778</v>
      </c>
      <c r="B2211" s="12" t="str">
        <f t="shared" si="69"/>
        <v>Maio</v>
      </c>
      <c r="C2211" s="8" t="s">
        <v>2402</v>
      </c>
      <c r="D2211" s="8" t="s">
        <v>664</v>
      </c>
      <c r="E2211" s="8" t="s">
        <v>84</v>
      </c>
      <c r="F2211" s="23">
        <v>46155.402777777781</v>
      </c>
      <c r="G2211" s="8" t="s">
        <v>1043</v>
      </c>
      <c r="H2211" s="23">
        <v>46156</v>
      </c>
      <c r="I2211" s="23">
        <v>46155.402777777781</v>
      </c>
      <c r="J2211" s="10">
        <v>3000</v>
      </c>
      <c r="K2211" s="10">
        <v>0</v>
      </c>
      <c r="L2211" s="24">
        <v>0</v>
      </c>
      <c r="M2211" s="10">
        <v>3000</v>
      </c>
    </row>
    <row r="2212" spans="1:13" x14ac:dyDescent="0.25">
      <c r="A2212" s="12" t="str">
        <f t="shared" si="68"/>
        <v>52026-87SECRETARIA DE ESTADO DA FAZENDA DE MINAS GERAISim46175,6305555556</v>
      </c>
      <c r="B2212" s="12" t="str">
        <f t="shared" si="69"/>
        <v>Junho</v>
      </c>
      <c r="C2212" s="8" t="s">
        <v>2402</v>
      </c>
      <c r="D2212" s="8" t="s">
        <v>664</v>
      </c>
      <c r="E2212" s="8" t="s">
        <v>1454</v>
      </c>
      <c r="F2212" s="23">
        <v>46175.630555555559</v>
      </c>
      <c r="G2212" s="8" t="s">
        <v>1248</v>
      </c>
      <c r="H2212" s="23">
        <v>46181</v>
      </c>
      <c r="I2212" s="23">
        <v>46175.630555555559</v>
      </c>
      <c r="J2212" s="10">
        <v>1760.32</v>
      </c>
      <c r="K2212" s="10">
        <v>0</v>
      </c>
      <c r="L2212" s="24">
        <v>0</v>
      </c>
      <c r="M2212" s="10">
        <v>1760.32</v>
      </c>
    </row>
    <row r="2213" spans="1:13" x14ac:dyDescent="0.25">
      <c r="A2213" s="12" t="str">
        <f t="shared" si="68"/>
        <v>52204638TICKET SOLUCOES HDFGT S/ANSE46082</v>
      </c>
      <c r="B2213" s="12" t="str">
        <f t="shared" si="69"/>
        <v>Maio</v>
      </c>
      <c r="C2213" s="8" t="s">
        <v>2481</v>
      </c>
      <c r="D2213" s="8" t="s">
        <v>1354</v>
      </c>
      <c r="E2213" s="8" t="s">
        <v>189</v>
      </c>
      <c r="F2213" s="23">
        <v>46082</v>
      </c>
      <c r="G2213" s="8" t="s">
        <v>665</v>
      </c>
      <c r="H2213" s="23">
        <v>46162</v>
      </c>
      <c r="I2213" s="23">
        <v>46125</v>
      </c>
      <c r="J2213" s="10">
        <v>91751.41</v>
      </c>
      <c r="K2213" s="7"/>
      <c r="L2213" s="24">
        <v>0</v>
      </c>
      <c r="M2213" s="10">
        <v>90978.7</v>
      </c>
    </row>
    <row r="2214" spans="1:13" x14ac:dyDescent="0.25">
      <c r="A2214" s="12" t="str">
        <f t="shared" si="68"/>
        <v>52248997SUELLEN LOPES TEIXEIXA 01663559686NSE46198</v>
      </c>
      <c r="B2214" s="12" t="str">
        <f t="shared" si="69"/>
        <v>Agosto</v>
      </c>
      <c r="C2214" s="8" t="s">
        <v>906</v>
      </c>
      <c r="D2214" s="8" t="s">
        <v>664</v>
      </c>
      <c r="E2214" s="8" t="s">
        <v>183</v>
      </c>
      <c r="F2214" s="23">
        <v>46198</v>
      </c>
      <c r="G2214" s="8" t="s">
        <v>665</v>
      </c>
      <c r="H2214" s="23">
        <v>46240</v>
      </c>
      <c r="I2214" s="23">
        <v>46202</v>
      </c>
      <c r="J2214" s="10">
        <v>3800.7</v>
      </c>
      <c r="K2214" s="10">
        <v>0</v>
      </c>
      <c r="L2214" s="24">
        <v>0</v>
      </c>
      <c r="M2214" s="10">
        <v>3800.7</v>
      </c>
    </row>
    <row r="2215" spans="1:13" x14ac:dyDescent="0.25">
      <c r="A2215" s="12" t="str">
        <f t="shared" si="68"/>
        <v>52248998SUELLEN LOPES TEIXEIXA 01663559686RCB46290,3145833333</v>
      </c>
      <c r="B2215" s="12" t="str">
        <f t="shared" si="69"/>
        <v>Setembro</v>
      </c>
      <c r="C2215" s="8" t="s">
        <v>3166</v>
      </c>
      <c r="D2215" s="8" t="s">
        <v>664</v>
      </c>
      <c r="E2215" s="8" t="s">
        <v>183</v>
      </c>
      <c r="F2215" s="23">
        <v>46290.314583333333</v>
      </c>
      <c r="G2215" s="8" t="s">
        <v>1045</v>
      </c>
      <c r="H2215" s="23">
        <v>46295</v>
      </c>
      <c r="I2215" s="23">
        <v>46290.314583333333</v>
      </c>
      <c r="J2215" s="10">
        <v>600</v>
      </c>
      <c r="K2215" s="10">
        <v>0</v>
      </c>
      <c r="L2215" s="24">
        <v>0</v>
      </c>
      <c r="M2215" s="10">
        <v>600</v>
      </c>
    </row>
    <row r="2216" spans="1:13" x14ac:dyDescent="0.25">
      <c r="A2216" s="12" t="str">
        <f t="shared" si="68"/>
        <v>5244AUTO DIESEL PECAS E SERVICOS LTDANFE46255</v>
      </c>
      <c r="B2216" s="12" t="str">
        <f t="shared" si="69"/>
        <v>Setembro</v>
      </c>
      <c r="C2216" s="8" t="s">
        <v>556</v>
      </c>
      <c r="D2216" s="8" t="s">
        <v>664</v>
      </c>
      <c r="E2216" s="8" t="s">
        <v>23</v>
      </c>
      <c r="F2216" s="23">
        <v>46255</v>
      </c>
      <c r="G2216" s="8" t="s">
        <v>380</v>
      </c>
      <c r="H2216" s="23">
        <v>46285</v>
      </c>
      <c r="I2216" s="23">
        <v>46259</v>
      </c>
      <c r="J2216" s="10">
        <v>640</v>
      </c>
      <c r="K2216" s="10">
        <v>0</v>
      </c>
      <c r="L2216" s="24">
        <v>0</v>
      </c>
      <c r="M2216" s="10">
        <v>640</v>
      </c>
    </row>
    <row r="2217" spans="1:13" x14ac:dyDescent="0.25">
      <c r="A2217" s="12" t="str">
        <f t="shared" si="68"/>
        <v>52450397TICKET SOLUCOES HDFGT S/ANSE46113</v>
      </c>
      <c r="B2217" s="12" t="str">
        <f t="shared" si="69"/>
        <v>Junho</v>
      </c>
      <c r="C2217" s="8" t="s">
        <v>2668</v>
      </c>
      <c r="D2217" s="8" t="s">
        <v>1354</v>
      </c>
      <c r="E2217" s="8" t="s">
        <v>189</v>
      </c>
      <c r="F2217" s="23">
        <v>46113</v>
      </c>
      <c r="G2217" s="8" t="s">
        <v>665</v>
      </c>
      <c r="H2217" s="23">
        <v>46195</v>
      </c>
      <c r="I2217" s="23">
        <v>46164</v>
      </c>
      <c r="J2217" s="10">
        <v>117716.5</v>
      </c>
      <c r="K2217" s="10">
        <v>0</v>
      </c>
      <c r="L2217" s="24">
        <v>0</v>
      </c>
      <c r="M2217" s="10">
        <v>117716.5</v>
      </c>
    </row>
    <row r="2218" spans="1:13" x14ac:dyDescent="0.25">
      <c r="A2218" s="12" t="str">
        <f t="shared" si="68"/>
        <v>52708611TICKET SOLUCOES HDFGT S/ANSE46146</v>
      </c>
      <c r="B2218" s="12" t="str">
        <f t="shared" si="69"/>
        <v>Julho</v>
      </c>
      <c r="C2218" s="8" t="s">
        <v>2829</v>
      </c>
      <c r="D2218" s="8" t="s">
        <v>1354</v>
      </c>
      <c r="E2218" s="8" t="s">
        <v>189</v>
      </c>
      <c r="F2218" s="23">
        <v>46146</v>
      </c>
      <c r="G2218" s="8" t="s">
        <v>665</v>
      </c>
      <c r="H2218" s="23">
        <v>46223</v>
      </c>
      <c r="I2218" s="23">
        <v>46188</v>
      </c>
      <c r="J2218" s="10">
        <v>104622.69</v>
      </c>
      <c r="K2218" s="10">
        <v>0</v>
      </c>
      <c r="L2218" s="24">
        <v>0</v>
      </c>
      <c r="M2218" s="10">
        <v>104622.69</v>
      </c>
    </row>
    <row r="2219" spans="1:13" x14ac:dyDescent="0.25">
      <c r="A2219" s="12" t="str">
        <f t="shared" si="68"/>
        <v>52940333TICKET SOLUCOES HDFGT S/ANSE46174</v>
      </c>
      <c r="B2219" s="12" t="str">
        <f t="shared" si="69"/>
        <v>Agosto</v>
      </c>
      <c r="C2219" s="8" t="s">
        <v>3008</v>
      </c>
      <c r="D2219" s="8" t="s">
        <v>1354</v>
      </c>
      <c r="E2219" s="8" t="s">
        <v>189</v>
      </c>
      <c r="F2219" s="23">
        <v>46174</v>
      </c>
      <c r="G2219" s="8" t="s">
        <v>665</v>
      </c>
      <c r="H2219" s="23">
        <v>46254</v>
      </c>
      <c r="I2219" s="23">
        <v>46235</v>
      </c>
      <c r="J2219" s="10">
        <v>105939.79</v>
      </c>
      <c r="K2219" s="10">
        <v>0</v>
      </c>
      <c r="L2219" s="24">
        <v>0</v>
      </c>
      <c r="M2219" s="10">
        <v>105939.79</v>
      </c>
    </row>
    <row r="2220" spans="1:13" x14ac:dyDescent="0.25">
      <c r="A2220" s="12" t="str">
        <f t="shared" si="68"/>
        <v>53RUAN SMITH GARCIA CARDOSORCB46140,4381944444</v>
      </c>
      <c r="B2220" s="12" t="str">
        <f t="shared" si="69"/>
        <v>Maio</v>
      </c>
      <c r="C2220" s="8" t="s">
        <v>907</v>
      </c>
      <c r="D2220" s="8" t="s">
        <v>664</v>
      </c>
      <c r="E2220" s="8" t="s">
        <v>175</v>
      </c>
      <c r="F2220" s="23">
        <v>46140.438194444447</v>
      </c>
      <c r="G2220" s="8" t="s">
        <v>1045</v>
      </c>
      <c r="H2220" s="23">
        <v>46146</v>
      </c>
      <c r="I2220" s="23">
        <v>46140.438194444447</v>
      </c>
      <c r="J2220" s="10">
        <v>80</v>
      </c>
      <c r="K2220" s="10">
        <v>0</v>
      </c>
      <c r="L2220" s="24">
        <v>0</v>
      </c>
      <c r="M2220" s="10">
        <v>80</v>
      </c>
    </row>
    <row r="2221" spans="1:13" x14ac:dyDescent="0.25">
      <c r="A2221" s="12" t="str">
        <f t="shared" si="68"/>
        <v>53CLAUDINEY ALMEIDA DE SOUZANSE46183</v>
      </c>
      <c r="B2221" s="12" t="str">
        <f t="shared" si="69"/>
        <v>Julho</v>
      </c>
      <c r="C2221" s="8" t="s">
        <v>907</v>
      </c>
      <c r="D2221" s="8" t="s">
        <v>1354</v>
      </c>
      <c r="E2221" s="8" t="s">
        <v>44</v>
      </c>
      <c r="F2221" s="23">
        <v>46183</v>
      </c>
      <c r="G2221" s="8" t="s">
        <v>665</v>
      </c>
      <c r="H2221" s="23">
        <v>46209</v>
      </c>
      <c r="I2221" s="23">
        <v>46189</v>
      </c>
      <c r="J2221" s="10">
        <v>310</v>
      </c>
      <c r="K2221" s="10">
        <v>0</v>
      </c>
      <c r="L2221" s="24">
        <v>0</v>
      </c>
      <c r="M2221" s="10">
        <v>310</v>
      </c>
    </row>
    <row r="2222" spans="1:13" x14ac:dyDescent="0.25">
      <c r="A2222" s="12" t="str">
        <f t="shared" si="68"/>
        <v>53GABRIEL MOUTINHO ALBINORCB46293,4590277778</v>
      </c>
      <c r="B2222" s="12" t="str">
        <f t="shared" si="69"/>
        <v>Outubro</v>
      </c>
      <c r="C2222" s="8" t="s">
        <v>907</v>
      </c>
      <c r="D2222" s="8" t="s">
        <v>664</v>
      </c>
      <c r="E2222" s="8" t="s">
        <v>73</v>
      </c>
      <c r="F2222" s="23">
        <v>46293.459027777775</v>
      </c>
      <c r="G2222" s="8" t="s">
        <v>1045</v>
      </c>
      <c r="H2222" s="23">
        <v>46296</v>
      </c>
      <c r="I2222" s="23">
        <v>46293.459027777775</v>
      </c>
      <c r="J2222" s="10">
        <v>380</v>
      </c>
      <c r="K2222" s="10">
        <v>0</v>
      </c>
      <c r="L2222" s="24">
        <v>0</v>
      </c>
      <c r="M2222" s="10">
        <v>380</v>
      </c>
    </row>
    <row r="2223" spans="1:13" x14ac:dyDescent="0.25">
      <c r="A2223" s="12" t="str">
        <f t="shared" si="68"/>
        <v>53ANTONIO ALCIDES AFONSONSE46273</v>
      </c>
      <c r="B2223" s="12" t="str">
        <f t="shared" si="69"/>
        <v>Outubro</v>
      </c>
      <c r="C2223" s="8" t="s">
        <v>907</v>
      </c>
      <c r="D2223" s="8" t="s">
        <v>1354</v>
      </c>
      <c r="E2223" s="8" t="s">
        <v>18</v>
      </c>
      <c r="F2223" s="23">
        <v>46273</v>
      </c>
      <c r="G2223" s="8" t="s">
        <v>665</v>
      </c>
      <c r="H2223" s="23">
        <v>46303</v>
      </c>
      <c r="I2223" s="23">
        <v>46273</v>
      </c>
      <c r="J2223" s="10">
        <v>100</v>
      </c>
      <c r="K2223" s="10">
        <v>0</v>
      </c>
      <c r="L2223" s="24">
        <v>0</v>
      </c>
      <c r="M2223" s="10">
        <v>100</v>
      </c>
    </row>
    <row r="2224" spans="1:13" x14ac:dyDescent="0.25">
      <c r="A2224" s="12" t="str">
        <f t="shared" si="68"/>
        <v>530ROCHA POMBO ANDRADE E CAPETTI ADVOGADOS (FERNANDO CARNEIRO)NSE45996</v>
      </c>
      <c r="B2224" s="12" t="str">
        <f t="shared" si="69"/>
        <v>Janeiro</v>
      </c>
      <c r="C2224" s="8" t="s">
        <v>1636</v>
      </c>
      <c r="D2224" s="8" t="s">
        <v>664</v>
      </c>
      <c r="E2224" s="8" t="s">
        <v>169</v>
      </c>
      <c r="F2224" s="23">
        <v>45996</v>
      </c>
      <c r="G2224" s="8" t="s">
        <v>665</v>
      </c>
      <c r="H2224" s="23">
        <v>46050</v>
      </c>
      <c r="I2224" s="23">
        <v>45996</v>
      </c>
      <c r="J2224" s="10">
        <v>1400</v>
      </c>
      <c r="K2224" s="10">
        <v>0</v>
      </c>
      <c r="L2224" s="24">
        <v>0</v>
      </c>
      <c r="M2224" s="10">
        <v>1313.9</v>
      </c>
    </row>
    <row r="2225" spans="1:13" x14ac:dyDescent="0.25">
      <c r="A2225" s="12" t="str">
        <f t="shared" si="68"/>
        <v>530-1708-87MINISTERIO DA FAZENDAIM46001,4201388889</v>
      </c>
      <c r="B2225" s="12" t="str">
        <f t="shared" si="69"/>
        <v>Janeiro</v>
      </c>
      <c r="C2225" s="8" t="s">
        <v>1510</v>
      </c>
      <c r="D2225" s="8" t="s">
        <v>664</v>
      </c>
      <c r="E2225" s="8" t="s">
        <v>1503</v>
      </c>
      <c r="F2225" s="23">
        <v>46001.420138888891</v>
      </c>
      <c r="G2225" s="8" t="s">
        <v>1142</v>
      </c>
      <c r="H2225" s="23">
        <v>46042</v>
      </c>
      <c r="I2225" s="23">
        <v>46001.420138888891</v>
      </c>
      <c r="J2225" s="10">
        <v>21</v>
      </c>
      <c r="K2225" s="10">
        <v>0</v>
      </c>
      <c r="L2225" s="24">
        <v>0</v>
      </c>
      <c r="M2225" s="10">
        <v>21</v>
      </c>
    </row>
    <row r="2226" spans="1:13" x14ac:dyDescent="0.25">
      <c r="A2226" s="12" t="str">
        <f t="shared" si="68"/>
        <v>530-5952-87MINISTERIO DA FAZENDAIM46001,4277777778</v>
      </c>
      <c r="B2226" s="12" t="str">
        <f t="shared" si="69"/>
        <v>Janeiro</v>
      </c>
      <c r="C2226" s="8" t="s">
        <v>1511</v>
      </c>
      <c r="D2226" s="8" t="s">
        <v>664</v>
      </c>
      <c r="E2226" s="8" t="s">
        <v>1503</v>
      </c>
      <c r="F2226" s="23">
        <v>46001.427777777775</v>
      </c>
      <c r="G2226" s="8" t="s">
        <v>1142</v>
      </c>
      <c r="H2226" s="23">
        <v>46042</v>
      </c>
      <c r="I2226" s="23">
        <v>46001.427777777775</v>
      </c>
      <c r="J2226" s="10">
        <v>65.099999999999994</v>
      </c>
      <c r="K2226" s="10">
        <v>0</v>
      </c>
      <c r="L2226" s="24">
        <v>0</v>
      </c>
      <c r="M2226" s="10">
        <v>65.099999999999994</v>
      </c>
    </row>
    <row r="2227" spans="1:13" x14ac:dyDescent="0.25">
      <c r="A2227" s="12" t="str">
        <f t="shared" si="68"/>
        <v>53262356TICKET SOLUCOES HDFGT S/ANSE46213</v>
      </c>
      <c r="B2227" s="12" t="str">
        <f t="shared" si="69"/>
        <v>Setembro</v>
      </c>
      <c r="C2227" s="8" t="s">
        <v>3169</v>
      </c>
      <c r="D2227" s="8" t="s">
        <v>1354</v>
      </c>
      <c r="E2227" s="8" t="s">
        <v>189</v>
      </c>
      <c r="F2227" s="23">
        <v>46213</v>
      </c>
      <c r="G2227" s="8" t="s">
        <v>665</v>
      </c>
      <c r="H2227" s="23">
        <v>46293</v>
      </c>
      <c r="I2227" s="23">
        <v>46274</v>
      </c>
      <c r="J2227" s="10">
        <v>111118.28</v>
      </c>
      <c r="K2227" s="10">
        <v>0</v>
      </c>
      <c r="L2227" s="24">
        <v>0</v>
      </c>
      <c r="M2227" s="10">
        <v>111118.28</v>
      </c>
    </row>
    <row r="2228" spans="1:13" x14ac:dyDescent="0.25">
      <c r="A2228" s="12" t="str">
        <f t="shared" si="68"/>
        <v>5359PREVCENTER MANUTENÇAÕ E COMERCIO LTDANFE46113</v>
      </c>
      <c r="B2228" s="12" t="str">
        <f t="shared" si="69"/>
        <v>Maio</v>
      </c>
      <c r="C2228" s="8" t="s">
        <v>559</v>
      </c>
      <c r="D2228" s="8" t="s">
        <v>664</v>
      </c>
      <c r="E2228" s="8" t="s">
        <v>560</v>
      </c>
      <c r="F2228" s="23">
        <v>46113</v>
      </c>
      <c r="G2228" s="8" t="s">
        <v>380</v>
      </c>
      <c r="H2228" s="23">
        <v>46143</v>
      </c>
      <c r="I2228" s="23">
        <v>46121</v>
      </c>
      <c r="J2228" s="10">
        <v>1548.59</v>
      </c>
      <c r="K2228" s="10">
        <v>0</v>
      </c>
      <c r="L2228" s="24">
        <v>0</v>
      </c>
      <c r="M2228" s="10">
        <v>1548.59</v>
      </c>
    </row>
    <row r="2229" spans="1:13" x14ac:dyDescent="0.25">
      <c r="A2229" s="12" t="str">
        <f t="shared" si="68"/>
        <v>54RUAN SMITH GARCIA CARDOSORCB46151,7166666667</v>
      </c>
      <c r="B2229" s="12" t="str">
        <f t="shared" si="69"/>
        <v>Maio</v>
      </c>
      <c r="C2229" s="8" t="s">
        <v>909</v>
      </c>
      <c r="D2229" s="8" t="s">
        <v>664</v>
      </c>
      <c r="E2229" s="8" t="s">
        <v>175</v>
      </c>
      <c r="F2229" s="23">
        <v>46151.716666666667</v>
      </c>
      <c r="G2229" s="8" t="s">
        <v>1045</v>
      </c>
      <c r="H2229" s="23">
        <v>46156</v>
      </c>
      <c r="I2229" s="23">
        <v>46151.716666666667</v>
      </c>
      <c r="J2229" s="10">
        <v>95</v>
      </c>
      <c r="K2229" s="10">
        <v>0</v>
      </c>
      <c r="L2229" s="24">
        <v>0</v>
      </c>
      <c r="M2229" s="10">
        <v>95</v>
      </c>
    </row>
    <row r="2230" spans="1:13" x14ac:dyDescent="0.25">
      <c r="A2230" s="12" t="str">
        <f t="shared" si="68"/>
        <v>54CLAUDINEY ALMEIDA DE SOUZANSE46210</v>
      </c>
      <c r="B2230" s="12" t="str">
        <f t="shared" si="69"/>
        <v>Agosto</v>
      </c>
      <c r="C2230" s="8" t="s">
        <v>909</v>
      </c>
      <c r="D2230" s="8" t="s">
        <v>1354</v>
      </c>
      <c r="E2230" s="8" t="s">
        <v>44</v>
      </c>
      <c r="F2230" s="23">
        <v>46210</v>
      </c>
      <c r="G2230" s="8" t="s">
        <v>665</v>
      </c>
      <c r="H2230" s="23">
        <v>46240</v>
      </c>
      <c r="I2230" s="23">
        <v>46211</v>
      </c>
      <c r="J2230" s="10">
        <v>1130</v>
      </c>
      <c r="K2230" s="10">
        <v>0</v>
      </c>
      <c r="L2230" s="24">
        <v>0</v>
      </c>
      <c r="M2230" s="10">
        <v>1130</v>
      </c>
    </row>
    <row r="2231" spans="1:13" x14ac:dyDescent="0.25">
      <c r="A2231" s="12" t="str">
        <f t="shared" si="68"/>
        <v>54GABRIEL MOUTINHO ALBINORCB46296,4583333333</v>
      </c>
      <c r="B2231" s="12" t="str">
        <f t="shared" si="69"/>
        <v>Outubro</v>
      </c>
      <c r="C2231" s="8" t="s">
        <v>909</v>
      </c>
      <c r="D2231" s="8" t="s">
        <v>664</v>
      </c>
      <c r="E2231" s="8" t="s">
        <v>73</v>
      </c>
      <c r="F2231" s="23">
        <v>46296.458333333336</v>
      </c>
      <c r="G2231" s="8" t="s">
        <v>1045</v>
      </c>
      <c r="H2231" s="23">
        <v>46301</v>
      </c>
      <c r="I2231" s="23">
        <v>46296.458333333336</v>
      </c>
      <c r="J2231" s="10">
        <v>56.36</v>
      </c>
      <c r="K2231" s="10">
        <v>0</v>
      </c>
      <c r="L2231" s="24">
        <v>0</v>
      </c>
      <c r="M2231" s="10">
        <v>56.36</v>
      </c>
    </row>
    <row r="2232" spans="1:13" x14ac:dyDescent="0.25">
      <c r="A2232" s="12" t="str">
        <f t="shared" si="68"/>
        <v>541RC TRUCK CENTER S/ANSE46147</v>
      </c>
      <c r="B2232" s="12" t="str">
        <f t="shared" si="69"/>
        <v>Junho</v>
      </c>
      <c r="C2232" s="8" t="s">
        <v>910</v>
      </c>
      <c r="D2232" s="8" t="s">
        <v>1354</v>
      </c>
      <c r="E2232" s="8" t="s">
        <v>164</v>
      </c>
      <c r="F2232" s="23">
        <v>46147</v>
      </c>
      <c r="G2232" s="8" t="s">
        <v>665</v>
      </c>
      <c r="H2232" s="23">
        <v>46179</v>
      </c>
      <c r="I2232" s="23">
        <v>46153</v>
      </c>
      <c r="J2232" s="10">
        <v>1389</v>
      </c>
      <c r="K2232" s="10">
        <v>0</v>
      </c>
      <c r="L2232" s="24">
        <v>0</v>
      </c>
      <c r="M2232" s="10">
        <v>1333.44</v>
      </c>
    </row>
    <row r="2233" spans="1:13" x14ac:dyDescent="0.25">
      <c r="A2233" s="12" t="str">
        <f t="shared" si="68"/>
        <v>54679Grupo Casas Bahia S.ANFE45982</v>
      </c>
      <c r="B2233" s="12" t="str">
        <f t="shared" si="69"/>
        <v>Janeiro</v>
      </c>
      <c r="C2233" s="8" t="s">
        <v>1608</v>
      </c>
      <c r="D2233" s="8" t="s">
        <v>1400</v>
      </c>
      <c r="E2233" s="8" t="s">
        <v>1609</v>
      </c>
      <c r="F2233" s="23">
        <v>45982</v>
      </c>
      <c r="G2233" s="8" t="s">
        <v>380</v>
      </c>
      <c r="H2233" s="23">
        <v>46041</v>
      </c>
      <c r="I2233" s="23">
        <v>45986</v>
      </c>
      <c r="J2233" s="10">
        <v>873.75</v>
      </c>
      <c r="K2233" s="10">
        <v>0</v>
      </c>
      <c r="L2233" s="24">
        <v>0</v>
      </c>
      <c r="M2233" s="10">
        <v>873.75</v>
      </c>
    </row>
    <row r="2234" spans="1:13" x14ac:dyDescent="0.25">
      <c r="A2234" s="12" t="str">
        <f t="shared" si="68"/>
        <v>54679Grupo Casas Bahia S.ANFE45982</v>
      </c>
      <c r="B2234" s="12" t="str">
        <f t="shared" si="69"/>
        <v>Fevereiro</v>
      </c>
      <c r="C2234" s="8" t="s">
        <v>1608</v>
      </c>
      <c r="D2234" s="8" t="s">
        <v>1400</v>
      </c>
      <c r="E2234" s="8" t="s">
        <v>1609</v>
      </c>
      <c r="F2234" s="23">
        <v>45982</v>
      </c>
      <c r="G2234" s="8" t="s">
        <v>380</v>
      </c>
      <c r="H2234" s="23">
        <v>46071</v>
      </c>
      <c r="I2234" s="23">
        <v>45986</v>
      </c>
      <c r="J2234" s="10">
        <v>873.75</v>
      </c>
      <c r="K2234" s="10">
        <v>0</v>
      </c>
      <c r="L2234" s="24">
        <v>0</v>
      </c>
      <c r="M2234" s="10">
        <v>873.75</v>
      </c>
    </row>
    <row r="2235" spans="1:13" x14ac:dyDescent="0.25">
      <c r="A2235" s="12" t="str">
        <f t="shared" si="68"/>
        <v>54679Grupo Casas Bahia S.ANFE45982</v>
      </c>
      <c r="B2235" s="12" t="str">
        <f t="shared" si="69"/>
        <v>Março</v>
      </c>
      <c r="C2235" s="8" t="s">
        <v>1608</v>
      </c>
      <c r="D2235" s="8" t="s">
        <v>1400</v>
      </c>
      <c r="E2235" s="8" t="s">
        <v>1609</v>
      </c>
      <c r="F2235" s="23">
        <v>45982</v>
      </c>
      <c r="G2235" s="8" t="s">
        <v>380</v>
      </c>
      <c r="H2235" s="23">
        <v>46099</v>
      </c>
      <c r="I2235" s="23">
        <v>45986</v>
      </c>
      <c r="J2235" s="10">
        <v>873.75</v>
      </c>
      <c r="K2235" s="10">
        <v>0</v>
      </c>
      <c r="L2235" s="24">
        <v>0</v>
      </c>
      <c r="M2235" s="10">
        <v>873.75</v>
      </c>
    </row>
    <row r="2236" spans="1:13" x14ac:dyDescent="0.25">
      <c r="A2236" s="12" t="str">
        <f t="shared" si="68"/>
        <v>55RUAN SMITH GARCIA CARDOSORCB46156,56875</v>
      </c>
      <c r="B2236" s="12" t="str">
        <f t="shared" si="69"/>
        <v>Maio</v>
      </c>
      <c r="C2236" s="8" t="s">
        <v>2406</v>
      </c>
      <c r="D2236" s="8" t="s">
        <v>664</v>
      </c>
      <c r="E2236" s="8" t="s">
        <v>175</v>
      </c>
      <c r="F2236" s="23">
        <v>46156.568749999999</v>
      </c>
      <c r="G2236" s="8" t="s">
        <v>1045</v>
      </c>
      <c r="H2236" s="23">
        <v>46161</v>
      </c>
      <c r="I2236" s="23">
        <v>46156.568749999999</v>
      </c>
      <c r="J2236" s="10">
        <v>96</v>
      </c>
      <c r="K2236" s="10">
        <v>0</v>
      </c>
      <c r="L2236" s="24">
        <v>0</v>
      </c>
      <c r="M2236" s="10">
        <v>96</v>
      </c>
    </row>
    <row r="2237" spans="1:13" x14ac:dyDescent="0.25">
      <c r="A2237" s="12" t="str">
        <f t="shared" si="68"/>
        <v>56MGS PRINTERNSE46077</v>
      </c>
      <c r="B2237" s="12" t="str">
        <f t="shared" si="69"/>
        <v>Abril</v>
      </c>
      <c r="C2237" s="8" t="s">
        <v>914</v>
      </c>
      <c r="D2237" s="8" t="s">
        <v>664</v>
      </c>
      <c r="E2237" s="8" t="s">
        <v>128</v>
      </c>
      <c r="F2237" s="23">
        <v>46077</v>
      </c>
      <c r="G2237" s="8" t="s">
        <v>665</v>
      </c>
      <c r="H2237" s="23">
        <v>46118</v>
      </c>
      <c r="I2237" s="23">
        <v>46077</v>
      </c>
      <c r="J2237" s="10">
        <v>418.1</v>
      </c>
      <c r="K2237" s="10">
        <v>0</v>
      </c>
      <c r="L2237" s="24">
        <v>0</v>
      </c>
      <c r="M2237" s="10">
        <v>418.1</v>
      </c>
    </row>
    <row r="2238" spans="1:13" x14ac:dyDescent="0.25">
      <c r="A2238" s="12" t="str">
        <f t="shared" si="68"/>
        <v>56RUAN SMITH GARCIA CARDOSORCB46165,3895833333</v>
      </c>
      <c r="B2238" s="12" t="str">
        <f t="shared" si="69"/>
        <v>Maio</v>
      </c>
      <c r="C2238" s="8" t="s">
        <v>914</v>
      </c>
      <c r="D2238" s="8" t="s">
        <v>664</v>
      </c>
      <c r="E2238" s="8" t="s">
        <v>175</v>
      </c>
      <c r="F2238" s="23">
        <v>46165.38958333333</v>
      </c>
      <c r="G2238" s="8" t="s">
        <v>1045</v>
      </c>
      <c r="H2238" s="23">
        <v>46170</v>
      </c>
      <c r="I2238" s="23">
        <v>46165.38958333333</v>
      </c>
      <c r="J2238" s="10">
        <v>95</v>
      </c>
      <c r="K2238" s="10">
        <v>0</v>
      </c>
      <c r="L2238" s="24">
        <v>0</v>
      </c>
      <c r="M2238" s="10">
        <v>95</v>
      </c>
    </row>
    <row r="2239" spans="1:13" x14ac:dyDescent="0.25">
      <c r="A2239" s="12" t="str">
        <f t="shared" si="68"/>
        <v>5676OCP EXAMES OCUPACIONAIS LTDANSE46118</v>
      </c>
      <c r="B2239" s="12" t="str">
        <f t="shared" si="69"/>
        <v>Junho</v>
      </c>
      <c r="C2239" s="8" t="s">
        <v>915</v>
      </c>
      <c r="D2239" s="8" t="s">
        <v>664</v>
      </c>
      <c r="E2239" s="8" t="s">
        <v>140</v>
      </c>
      <c r="F2239" s="23">
        <v>46118</v>
      </c>
      <c r="G2239" s="8" t="s">
        <v>665</v>
      </c>
      <c r="H2239" s="23">
        <v>46179</v>
      </c>
      <c r="I2239" s="23">
        <v>46118</v>
      </c>
      <c r="J2239" s="10">
        <v>2430.5</v>
      </c>
      <c r="K2239" s="10">
        <v>0</v>
      </c>
      <c r="L2239" s="24">
        <v>0</v>
      </c>
      <c r="M2239" s="10">
        <v>2281.0100000000002</v>
      </c>
    </row>
    <row r="2240" spans="1:13" x14ac:dyDescent="0.25">
      <c r="A2240" s="12" t="str">
        <f t="shared" si="68"/>
        <v>5676-1708-87MINISTERIO DA FAZENDAim46127,38125</v>
      </c>
      <c r="B2240" s="12" t="str">
        <f t="shared" si="69"/>
        <v>Maio</v>
      </c>
      <c r="C2240" s="8" t="s">
        <v>2432</v>
      </c>
      <c r="D2240" s="8" t="s">
        <v>664</v>
      </c>
      <c r="E2240" s="8" t="s">
        <v>1503</v>
      </c>
      <c r="F2240" s="23">
        <v>46127.381249999999</v>
      </c>
      <c r="G2240" s="8" t="s">
        <v>1248</v>
      </c>
      <c r="H2240" s="23">
        <v>46162</v>
      </c>
      <c r="I2240" s="23">
        <v>46127.381249999999</v>
      </c>
      <c r="J2240" s="10">
        <v>36.46</v>
      </c>
      <c r="K2240" s="10">
        <v>0</v>
      </c>
      <c r="L2240" s="24">
        <v>0</v>
      </c>
      <c r="M2240" s="10">
        <v>36.46</v>
      </c>
    </row>
    <row r="2241" spans="1:13" x14ac:dyDescent="0.25">
      <c r="A2241" s="12" t="str">
        <f t="shared" si="68"/>
        <v>5676-5952-87MINISTERIO DA FAZENDAim46127,3875</v>
      </c>
      <c r="B2241" s="12" t="str">
        <f t="shared" si="69"/>
        <v>Maio</v>
      </c>
      <c r="C2241" s="8" t="s">
        <v>2433</v>
      </c>
      <c r="D2241" s="8" t="s">
        <v>664</v>
      </c>
      <c r="E2241" s="8" t="s">
        <v>1503</v>
      </c>
      <c r="F2241" s="23">
        <v>46127.387499999997</v>
      </c>
      <c r="G2241" s="8" t="s">
        <v>1248</v>
      </c>
      <c r="H2241" s="23">
        <v>46162</v>
      </c>
      <c r="I2241" s="23">
        <v>46127.387499999997</v>
      </c>
      <c r="J2241" s="10">
        <v>113.02</v>
      </c>
      <c r="K2241" s="10">
        <v>0</v>
      </c>
      <c r="L2241" s="24">
        <v>0</v>
      </c>
      <c r="M2241" s="10">
        <v>113.02</v>
      </c>
    </row>
    <row r="2242" spans="1:13" x14ac:dyDescent="0.25">
      <c r="A2242" s="12" t="str">
        <f t="shared" ref="A2242:A2305" si="70">$C2242&amp;$E2242&amp;$G2242&amp;$F2242</f>
        <v>57CLAUDINEY ALMEIDA DE SOUZANSE46241</v>
      </c>
      <c r="B2242" s="12" t="str">
        <f t="shared" si="69"/>
        <v>Setembro</v>
      </c>
      <c r="C2242" s="8" t="s">
        <v>916</v>
      </c>
      <c r="D2242" s="8" t="s">
        <v>1354</v>
      </c>
      <c r="E2242" s="8" t="s">
        <v>44</v>
      </c>
      <c r="F2242" s="23">
        <v>46241</v>
      </c>
      <c r="G2242" s="8" t="s">
        <v>665</v>
      </c>
      <c r="H2242" s="23">
        <v>46273</v>
      </c>
      <c r="I2242" s="23">
        <v>46245</v>
      </c>
      <c r="J2242" s="10">
        <v>310</v>
      </c>
      <c r="K2242" s="10">
        <v>0</v>
      </c>
      <c r="L2242" s="24">
        <v>0</v>
      </c>
      <c r="M2242" s="10">
        <v>310</v>
      </c>
    </row>
    <row r="2243" spans="1:13" x14ac:dyDescent="0.25">
      <c r="A2243" s="12" t="str">
        <f t="shared" si="70"/>
        <v>5708RECAPAGEM RECATEC LTDA.NSE46169</v>
      </c>
      <c r="B2243" s="12" t="str">
        <f t="shared" ref="B2243:B2306" si="71">PROPER(TEXT($H2243,"MMMM"))</f>
        <v>Julho</v>
      </c>
      <c r="C2243" s="8" t="s">
        <v>917</v>
      </c>
      <c r="D2243" s="8" t="s">
        <v>1354</v>
      </c>
      <c r="E2243" s="8" t="s">
        <v>166</v>
      </c>
      <c r="F2243" s="23">
        <v>46169</v>
      </c>
      <c r="G2243" s="8" t="s">
        <v>665</v>
      </c>
      <c r="H2243" s="23">
        <v>46230</v>
      </c>
      <c r="I2243" s="23">
        <v>46202</v>
      </c>
      <c r="J2243" s="10">
        <v>5600</v>
      </c>
      <c r="K2243" s="10">
        <v>0</v>
      </c>
      <c r="L2243" s="24">
        <v>0</v>
      </c>
      <c r="M2243" s="10">
        <v>5600</v>
      </c>
    </row>
    <row r="2244" spans="1:13" x14ac:dyDescent="0.25">
      <c r="A2244" s="12" t="str">
        <f t="shared" si="70"/>
        <v>5708RECAPAGEM RECATEC LTDA.NSE46169</v>
      </c>
      <c r="B2244" s="12" t="str">
        <f t="shared" si="71"/>
        <v>Agosto</v>
      </c>
      <c r="C2244" s="8" t="s">
        <v>917</v>
      </c>
      <c r="D2244" s="8" t="s">
        <v>1354</v>
      </c>
      <c r="E2244" s="8" t="s">
        <v>166</v>
      </c>
      <c r="F2244" s="23">
        <v>46169</v>
      </c>
      <c r="G2244" s="8" t="s">
        <v>665</v>
      </c>
      <c r="H2244" s="23">
        <v>46259</v>
      </c>
      <c r="I2244" s="23">
        <v>46202</v>
      </c>
      <c r="J2244" s="10">
        <v>5600</v>
      </c>
      <c r="K2244" s="10">
        <v>0</v>
      </c>
      <c r="L2244" s="24">
        <v>0</v>
      </c>
      <c r="M2244" s="10">
        <v>5600</v>
      </c>
    </row>
    <row r="2245" spans="1:13" x14ac:dyDescent="0.25">
      <c r="A2245" s="12" t="str">
        <f t="shared" si="70"/>
        <v>580VIA TRUCK COMERCIO E SERVICOS LTDANSE46182</v>
      </c>
      <c r="B2245" s="12" t="str">
        <f t="shared" si="71"/>
        <v>Julho</v>
      </c>
      <c r="C2245" s="8" t="s">
        <v>918</v>
      </c>
      <c r="D2245" s="8" t="s">
        <v>1354</v>
      </c>
      <c r="E2245" s="8" t="s">
        <v>195</v>
      </c>
      <c r="F2245" s="23">
        <v>46182</v>
      </c>
      <c r="G2245" s="8" t="s">
        <v>665</v>
      </c>
      <c r="H2245" s="23">
        <v>46209</v>
      </c>
      <c r="I2245" s="23">
        <v>46188</v>
      </c>
      <c r="J2245" s="10">
        <v>540</v>
      </c>
      <c r="K2245" s="10">
        <v>0</v>
      </c>
      <c r="L2245" s="24">
        <v>0</v>
      </c>
      <c r="M2245" s="10">
        <v>513</v>
      </c>
    </row>
    <row r="2246" spans="1:13" x14ac:dyDescent="0.25">
      <c r="A2246" s="12" t="str">
        <f t="shared" si="70"/>
        <v>581AVANSAT TECNOLOGIAS E SERVS EM SEGURANCA LTDANSE46063</v>
      </c>
      <c r="B2246" s="12" t="str">
        <f t="shared" si="71"/>
        <v>Março</v>
      </c>
      <c r="C2246" s="8" t="s">
        <v>919</v>
      </c>
      <c r="D2246" s="8" t="s">
        <v>1354</v>
      </c>
      <c r="E2246" s="8" t="s">
        <v>24</v>
      </c>
      <c r="F2246" s="23">
        <v>46063</v>
      </c>
      <c r="G2246" s="8" t="s">
        <v>665</v>
      </c>
      <c r="H2246" s="23">
        <v>46087</v>
      </c>
      <c r="I2246" s="23">
        <v>46064</v>
      </c>
      <c r="J2246" s="10">
        <v>11929.32</v>
      </c>
      <c r="K2246" s="10">
        <v>0</v>
      </c>
      <c r="L2246" s="24">
        <v>0</v>
      </c>
      <c r="M2246" s="10">
        <v>11929.32</v>
      </c>
    </row>
    <row r="2247" spans="1:13" x14ac:dyDescent="0.25">
      <c r="A2247" s="12" t="str">
        <f t="shared" si="70"/>
        <v>582AVANSAT TECNOLOGIAS E SERVS EM SEGURANCA LTDANSE46063</v>
      </c>
      <c r="B2247" s="12" t="str">
        <f t="shared" si="71"/>
        <v>Março</v>
      </c>
      <c r="C2247" s="8" t="s">
        <v>920</v>
      </c>
      <c r="D2247" s="8" t="s">
        <v>1354</v>
      </c>
      <c r="E2247" s="8" t="s">
        <v>24</v>
      </c>
      <c r="F2247" s="23">
        <v>46063</v>
      </c>
      <c r="G2247" s="8" t="s">
        <v>665</v>
      </c>
      <c r="H2247" s="23">
        <v>46087</v>
      </c>
      <c r="I2247" s="23">
        <v>46086</v>
      </c>
      <c r="J2247" s="10">
        <v>11179</v>
      </c>
      <c r="K2247" s="10">
        <v>0</v>
      </c>
      <c r="L2247" s="24">
        <v>0</v>
      </c>
      <c r="M2247" s="10">
        <v>10491.5</v>
      </c>
    </row>
    <row r="2248" spans="1:13" x14ac:dyDescent="0.25">
      <c r="A2248" s="12" t="str">
        <f t="shared" si="70"/>
        <v>582-1708-87MINISTERIO DA FAZENDAIM46066,3388888889</v>
      </c>
      <c r="B2248" s="12" t="str">
        <f t="shared" si="71"/>
        <v>Março</v>
      </c>
      <c r="C2248" s="8" t="s">
        <v>2078</v>
      </c>
      <c r="D2248" s="8" t="s">
        <v>664</v>
      </c>
      <c r="E2248" s="8" t="s">
        <v>1503</v>
      </c>
      <c r="F2248" s="23">
        <v>46066.338888888888</v>
      </c>
      <c r="G2248" s="8" t="s">
        <v>1142</v>
      </c>
      <c r="H2248" s="23">
        <v>46101</v>
      </c>
      <c r="I2248" s="23">
        <v>46066.338888888888</v>
      </c>
      <c r="J2248" s="10">
        <v>167.69</v>
      </c>
      <c r="K2248" s="10">
        <v>0</v>
      </c>
      <c r="L2248" s="24">
        <v>0</v>
      </c>
      <c r="M2248" s="10">
        <v>167.69</v>
      </c>
    </row>
    <row r="2249" spans="1:13" x14ac:dyDescent="0.25">
      <c r="A2249" s="12" t="str">
        <f t="shared" si="70"/>
        <v>582-5952-87MINISTERIO DA FAZENDAIM46066,3430555556</v>
      </c>
      <c r="B2249" s="12" t="str">
        <f t="shared" si="71"/>
        <v>Março</v>
      </c>
      <c r="C2249" s="8" t="s">
        <v>2079</v>
      </c>
      <c r="D2249" s="8" t="s">
        <v>664</v>
      </c>
      <c r="E2249" s="8" t="s">
        <v>1503</v>
      </c>
      <c r="F2249" s="23">
        <v>46066.343055555553</v>
      </c>
      <c r="G2249" s="8" t="s">
        <v>1142</v>
      </c>
      <c r="H2249" s="23">
        <v>46101</v>
      </c>
      <c r="I2249" s="23">
        <v>46066.343055555553</v>
      </c>
      <c r="J2249" s="10">
        <v>519.82000000000005</v>
      </c>
      <c r="K2249" s="10">
        <v>0</v>
      </c>
      <c r="L2249" s="24">
        <v>0</v>
      </c>
      <c r="M2249" s="10">
        <v>519.82000000000005</v>
      </c>
    </row>
    <row r="2250" spans="1:13" x14ac:dyDescent="0.25">
      <c r="A2250" s="12" t="str">
        <f t="shared" si="70"/>
        <v>59MECANICA CRISTO REI LTDANSE46153</v>
      </c>
      <c r="B2250" s="12" t="str">
        <f t="shared" si="71"/>
        <v>Junho</v>
      </c>
      <c r="C2250" s="8" t="s">
        <v>921</v>
      </c>
      <c r="D2250" s="8" t="s">
        <v>1354</v>
      </c>
      <c r="E2250" s="8" t="s">
        <v>125</v>
      </c>
      <c r="F2250" s="23">
        <v>46153</v>
      </c>
      <c r="G2250" s="8" t="s">
        <v>665</v>
      </c>
      <c r="H2250" s="23">
        <v>46183</v>
      </c>
      <c r="I2250" s="23">
        <v>46163</v>
      </c>
      <c r="J2250" s="10">
        <v>180</v>
      </c>
      <c r="K2250" s="10">
        <v>0</v>
      </c>
      <c r="L2250" s="24">
        <v>0</v>
      </c>
      <c r="M2250" s="10">
        <v>174.01</v>
      </c>
    </row>
    <row r="2251" spans="1:13" x14ac:dyDescent="0.25">
      <c r="A2251" s="12" t="str">
        <f t="shared" si="70"/>
        <v>59CLAUDINEY ALMEIDA DE SOUZANSE46269</v>
      </c>
      <c r="B2251" s="12" t="str">
        <f t="shared" si="71"/>
        <v>Outubro</v>
      </c>
      <c r="C2251" s="8" t="s">
        <v>921</v>
      </c>
      <c r="D2251" s="8" t="s">
        <v>1354</v>
      </c>
      <c r="E2251" s="8" t="s">
        <v>44</v>
      </c>
      <c r="F2251" s="23">
        <v>46269</v>
      </c>
      <c r="G2251" s="8" t="s">
        <v>665</v>
      </c>
      <c r="H2251" s="23">
        <v>46301</v>
      </c>
      <c r="I2251" s="23">
        <v>46273</v>
      </c>
      <c r="J2251" s="10">
        <v>840</v>
      </c>
      <c r="K2251" s="10">
        <v>0</v>
      </c>
      <c r="L2251" s="24">
        <v>0</v>
      </c>
      <c r="M2251" s="10">
        <v>840</v>
      </c>
    </row>
    <row r="2252" spans="1:13" x14ac:dyDescent="0.25">
      <c r="A2252" s="12" t="str">
        <f t="shared" si="70"/>
        <v>590MINAS MAQUINAS SA | NOVA LIMANSE46094</v>
      </c>
      <c r="B2252" s="12" t="str">
        <f t="shared" si="71"/>
        <v>Abril</v>
      </c>
      <c r="C2252" s="8" t="s">
        <v>922</v>
      </c>
      <c r="D2252" s="8" t="s">
        <v>1354</v>
      </c>
      <c r="E2252" s="8" t="s">
        <v>133</v>
      </c>
      <c r="F2252" s="23">
        <v>46094</v>
      </c>
      <c r="G2252" s="8" t="s">
        <v>665</v>
      </c>
      <c r="H2252" s="23">
        <v>46124</v>
      </c>
      <c r="I2252" s="23">
        <v>46100</v>
      </c>
      <c r="J2252" s="10">
        <v>927</v>
      </c>
      <c r="K2252" s="10">
        <v>0</v>
      </c>
      <c r="L2252" s="24">
        <v>0</v>
      </c>
      <c r="M2252" s="10">
        <v>927</v>
      </c>
    </row>
    <row r="2253" spans="1:13" x14ac:dyDescent="0.25">
      <c r="A2253" s="12" t="str">
        <f t="shared" si="70"/>
        <v>6JOAO BRAGA BATISTARCB46028,5715277778</v>
      </c>
      <c r="B2253" s="12" t="str">
        <f t="shared" si="71"/>
        <v>Janeiro</v>
      </c>
      <c r="C2253" s="8" t="s">
        <v>923</v>
      </c>
      <c r="D2253" s="8" t="s">
        <v>664</v>
      </c>
      <c r="E2253" s="8" t="s">
        <v>1444</v>
      </c>
      <c r="F2253" s="23">
        <v>46028.571527777778</v>
      </c>
      <c r="G2253" s="8" t="s">
        <v>1045</v>
      </c>
      <c r="H2253" s="23">
        <v>46031</v>
      </c>
      <c r="I2253" s="23">
        <v>46028.571527777778</v>
      </c>
      <c r="J2253" s="10">
        <v>263.68</v>
      </c>
      <c r="K2253" s="10">
        <v>0</v>
      </c>
      <c r="L2253" s="24">
        <v>0</v>
      </c>
      <c r="M2253" s="10">
        <v>263.68</v>
      </c>
    </row>
    <row r="2254" spans="1:13" x14ac:dyDescent="0.25">
      <c r="A2254" s="12" t="str">
        <f t="shared" si="70"/>
        <v>6WALACE ROCHA DE SOUZARCB46029,4263888889</v>
      </c>
      <c r="B2254" s="12" t="str">
        <f t="shared" si="71"/>
        <v>Janeiro</v>
      </c>
      <c r="C2254" s="8" t="s">
        <v>923</v>
      </c>
      <c r="D2254" s="8" t="s">
        <v>664</v>
      </c>
      <c r="E2254" s="8" t="s">
        <v>200</v>
      </c>
      <c r="F2254" s="23">
        <v>46029.426388888889</v>
      </c>
      <c r="G2254" s="8" t="s">
        <v>1045</v>
      </c>
      <c r="H2254" s="23">
        <v>46034</v>
      </c>
      <c r="I2254" s="23">
        <v>46029.426388888889</v>
      </c>
      <c r="J2254" s="10">
        <v>58.5</v>
      </c>
      <c r="K2254" s="10">
        <v>0</v>
      </c>
      <c r="L2254" s="24">
        <v>0</v>
      </c>
      <c r="M2254" s="10">
        <v>58.5</v>
      </c>
    </row>
    <row r="2255" spans="1:13" x14ac:dyDescent="0.25">
      <c r="A2255" s="12" t="str">
        <f t="shared" si="70"/>
        <v>6VALDECI TONIMRCB46029,4291666667</v>
      </c>
      <c r="B2255" s="12" t="str">
        <f t="shared" si="71"/>
        <v>Janeiro</v>
      </c>
      <c r="C2255" s="8" t="s">
        <v>923</v>
      </c>
      <c r="D2255" s="8" t="s">
        <v>664</v>
      </c>
      <c r="E2255" s="8" t="s">
        <v>193</v>
      </c>
      <c r="F2255" s="23">
        <v>46029.429166666669</v>
      </c>
      <c r="G2255" s="8" t="s">
        <v>1045</v>
      </c>
      <c r="H2255" s="23">
        <v>46034</v>
      </c>
      <c r="I2255" s="23">
        <v>46029.429166666669</v>
      </c>
      <c r="J2255" s="10">
        <v>146.19999999999999</v>
      </c>
      <c r="K2255" s="10">
        <v>0</v>
      </c>
      <c r="L2255" s="24">
        <v>0</v>
      </c>
      <c r="M2255" s="10">
        <v>146.19999999999999</v>
      </c>
    </row>
    <row r="2256" spans="1:13" x14ac:dyDescent="0.25">
      <c r="A2256" s="12" t="str">
        <f t="shared" si="70"/>
        <v>6WESLLEY FRANCO CALVISRCB46031,5958333333</v>
      </c>
      <c r="B2256" s="12" t="str">
        <f t="shared" si="71"/>
        <v>Janeiro</v>
      </c>
      <c r="C2256" s="8" t="s">
        <v>923</v>
      </c>
      <c r="D2256" s="8" t="s">
        <v>664</v>
      </c>
      <c r="E2256" s="8" t="s">
        <v>202</v>
      </c>
      <c r="F2256" s="23">
        <v>46031.595833333333</v>
      </c>
      <c r="G2256" s="8" t="s">
        <v>1045</v>
      </c>
      <c r="H2256" s="23">
        <v>46036</v>
      </c>
      <c r="I2256" s="23">
        <v>46031.595833333333</v>
      </c>
      <c r="J2256" s="10">
        <v>60</v>
      </c>
      <c r="K2256" s="10">
        <v>0</v>
      </c>
      <c r="L2256" s="24">
        <v>0</v>
      </c>
      <c r="M2256" s="10">
        <v>60</v>
      </c>
    </row>
    <row r="2257" spans="1:13" x14ac:dyDescent="0.25">
      <c r="A2257" s="12" t="str">
        <f t="shared" si="70"/>
        <v>6DANIELA CHAVES MARIANORCB46034,4430555556</v>
      </c>
      <c r="B2257" s="12" t="str">
        <f t="shared" si="71"/>
        <v>Janeiro</v>
      </c>
      <c r="C2257" s="8" t="s">
        <v>923</v>
      </c>
      <c r="D2257" s="8" t="s">
        <v>664</v>
      </c>
      <c r="E2257" s="8" t="s">
        <v>47</v>
      </c>
      <c r="F2257" s="23">
        <v>46034.443055555559</v>
      </c>
      <c r="G2257" s="8" t="s">
        <v>1045</v>
      </c>
      <c r="H2257" s="23">
        <v>46037</v>
      </c>
      <c r="I2257" s="23">
        <v>46034.443055555559</v>
      </c>
      <c r="J2257" s="10">
        <v>140</v>
      </c>
      <c r="K2257" s="10">
        <v>0</v>
      </c>
      <c r="L2257" s="24">
        <v>0</v>
      </c>
      <c r="M2257" s="10">
        <v>140</v>
      </c>
    </row>
    <row r="2258" spans="1:13" x14ac:dyDescent="0.25">
      <c r="A2258" s="12" t="str">
        <f t="shared" si="70"/>
        <v>6PAULO HENRIQUE FERREIRA DA CRUZRCB46042,6097222222</v>
      </c>
      <c r="B2258" s="12" t="str">
        <f t="shared" si="71"/>
        <v>Janeiro</v>
      </c>
      <c r="C2258" s="8" t="s">
        <v>923</v>
      </c>
      <c r="D2258" s="8" t="s">
        <v>664</v>
      </c>
      <c r="E2258" s="8" t="s">
        <v>152</v>
      </c>
      <c r="F2258" s="23">
        <v>46042.609722222223</v>
      </c>
      <c r="G2258" s="8" t="s">
        <v>1045</v>
      </c>
      <c r="H2258" s="23">
        <v>46045</v>
      </c>
      <c r="I2258" s="23">
        <v>46042.609722222223</v>
      </c>
      <c r="J2258" s="10">
        <v>96.25</v>
      </c>
      <c r="K2258" s="10">
        <v>0</v>
      </c>
      <c r="L2258" s="24">
        <v>0</v>
      </c>
      <c r="M2258" s="10">
        <v>96.25</v>
      </c>
    </row>
    <row r="2259" spans="1:13" x14ac:dyDescent="0.25">
      <c r="A2259" s="12" t="str">
        <f t="shared" si="70"/>
        <v>6RAFAEL RODRIGUESRCB46044,6222222222</v>
      </c>
      <c r="B2259" s="12" t="str">
        <f t="shared" si="71"/>
        <v>Janeiro</v>
      </c>
      <c r="C2259" s="8" t="s">
        <v>923</v>
      </c>
      <c r="D2259" s="8" t="s">
        <v>664</v>
      </c>
      <c r="E2259" s="8" t="s">
        <v>161</v>
      </c>
      <c r="F2259" s="23">
        <v>46044.62222222222</v>
      </c>
      <c r="G2259" s="8" t="s">
        <v>1045</v>
      </c>
      <c r="H2259" s="23">
        <v>46049</v>
      </c>
      <c r="I2259" s="23">
        <v>46044.62222222222</v>
      </c>
      <c r="J2259" s="10">
        <v>92.88</v>
      </c>
      <c r="K2259" s="10">
        <v>0</v>
      </c>
      <c r="L2259" s="24">
        <v>0</v>
      </c>
      <c r="M2259" s="10">
        <v>92.88</v>
      </c>
    </row>
    <row r="2260" spans="1:13" x14ac:dyDescent="0.25">
      <c r="A2260" s="12" t="str">
        <f t="shared" si="70"/>
        <v>6CORREIOS AGUA BRANCARCB46055,4340277778</v>
      </c>
      <c r="B2260" s="12" t="str">
        <f t="shared" si="71"/>
        <v>Fevereiro</v>
      </c>
      <c r="C2260" s="8" t="s">
        <v>923</v>
      </c>
      <c r="D2260" s="8" t="s">
        <v>664</v>
      </c>
      <c r="E2260" s="8" t="s">
        <v>45</v>
      </c>
      <c r="F2260" s="23">
        <v>46055.434027777781</v>
      </c>
      <c r="G2260" s="8" t="s">
        <v>1045</v>
      </c>
      <c r="H2260" s="23">
        <v>46058</v>
      </c>
      <c r="I2260" s="23">
        <v>46055.434027777781</v>
      </c>
      <c r="J2260" s="10">
        <v>92.15</v>
      </c>
      <c r="K2260" s="10">
        <v>0</v>
      </c>
      <c r="L2260" s="24">
        <v>0</v>
      </c>
      <c r="M2260" s="10">
        <v>92.15</v>
      </c>
    </row>
    <row r="2261" spans="1:13" x14ac:dyDescent="0.25">
      <c r="A2261" s="12" t="str">
        <f t="shared" si="70"/>
        <v>6RODOLFO GUILHERME BERNARDES NORBERTORCB46057,4013888889</v>
      </c>
      <c r="B2261" s="12" t="str">
        <f t="shared" si="71"/>
        <v>Fevereiro</v>
      </c>
      <c r="C2261" s="8" t="s">
        <v>923</v>
      </c>
      <c r="D2261" s="8" t="s">
        <v>664</v>
      </c>
      <c r="E2261" s="8" t="s">
        <v>171</v>
      </c>
      <c r="F2261" s="23">
        <v>46057.401388888888</v>
      </c>
      <c r="G2261" s="8" t="s">
        <v>1045</v>
      </c>
      <c r="H2261" s="23">
        <v>46062</v>
      </c>
      <c r="I2261" s="23">
        <v>46057.401388888888</v>
      </c>
      <c r="J2261" s="10">
        <v>100</v>
      </c>
      <c r="K2261" s="10">
        <v>0</v>
      </c>
      <c r="L2261" s="24">
        <v>0</v>
      </c>
      <c r="M2261" s="10">
        <v>100</v>
      </c>
    </row>
    <row r="2262" spans="1:13" x14ac:dyDescent="0.25">
      <c r="A2262" s="12" t="str">
        <f t="shared" si="70"/>
        <v>6HIGOR RODNEY CIMINI DA COSTANSE46031</v>
      </c>
      <c r="B2262" s="12" t="str">
        <f t="shared" si="71"/>
        <v>Fevereiro</v>
      </c>
      <c r="C2262" s="8" t="s">
        <v>923</v>
      </c>
      <c r="D2262" s="8" t="s">
        <v>1354</v>
      </c>
      <c r="E2262" s="8" t="s">
        <v>85</v>
      </c>
      <c r="F2262" s="23">
        <v>46031</v>
      </c>
      <c r="G2262" s="8" t="s">
        <v>665</v>
      </c>
      <c r="H2262" s="23">
        <v>46059</v>
      </c>
      <c r="I2262" s="23">
        <v>46034</v>
      </c>
      <c r="J2262" s="10">
        <v>12450</v>
      </c>
      <c r="K2262" s="10">
        <v>0</v>
      </c>
      <c r="L2262" s="24">
        <v>0</v>
      </c>
      <c r="M2262" s="10">
        <v>12450</v>
      </c>
    </row>
    <row r="2263" spans="1:13" x14ac:dyDescent="0.25">
      <c r="A2263" s="12" t="str">
        <f t="shared" si="70"/>
        <v>6LL BATERIAS E AUTO-ELETRICA LTDANSE46031</v>
      </c>
      <c r="B2263" s="12" t="str">
        <f t="shared" si="71"/>
        <v>Fevereiro</v>
      </c>
      <c r="C2263" s="8" t="s">
        <v>923</v>
      </c>
      <c r="D2263" s="8" t="s">
        <v>1354</v>
      </c>
      <c r="E2263" s="8" t="s">
        <v>111</v>
      </c>
      <c r="F2263" s="23">
        <v>46031</v>
      </c>
      <c r="G2263" s="8" t="s">
        <v>665</v>
      </c>
      <c r="H2263" s="23">
        <v>46062</v>
      </c>
      <c r="I2263" s="23">
        <v>46034</v>
      </c>
      <c r="J2263" s="10">
        <v>1070</v>
      </c>
      <c r="K2263" s="10">
        <v>0</v>
      </c>
      <c r="L2263" s="24">
        <v>0</v>
      </c>
      <c r="M2263" s="10">
        <v>1070</v>
      </c>
    </row>
    <row r="2264" spans="1:13" x14ac:dyDescent="0.25">
      <c r="A2264" s="12" t="str">
        <f t="shared" si="70"/>
        <v>6MAURO CAVALCANTE RODRIGUESRCB46071,4465277778</v>
      </c>
      <c r="B2264" s="12" t="str">
        <f t="shared" si="71"/>
        <v>Fevereiro</v>
      </c>
      <c r="C2264" s="8" t="s">
        <v>923</v>
      </c>
      <c r="D2264" s="8" t="s">
        <v>664</v>
      </c>
      <c r="E2264" s="8" t="s">
        <v>1584</v>
      </c>
      <c r="F2264" s="23">
        <v>46071.446527777778</v>
      </c>
      <c r="G2264" s="8" t="s">
        <v>1045</v>
      </c>
      <c r="H2264" s="23">
        <v>46076</v>
      </c>
      <c r="I2264" s="23">
        <v>46071.446527777778</v>
      </c>
      <c r="J2264" s="10">
        <v>155.19999999999999</v>
      </c>
      <c r="K2264" s="10">
        <v>0</v>
      </c>
      <c r="L2264" s="24">
        <v>0</v>
      </c>
      <c r="M2264" s="10">
        <v>155.19999999999999</v>
      </c>
    </row>
    <row r="2265" spans="1:13" x14ac:dyDescent="0.25">
      <c r="A2265" s="12" t="str">
        <f t="shared" si="70"/>
        <v>6ANTONIO SILVA DE SOUSARCB46072,61875</v>
      </c>
      <c r="B2265" s="12" t="str">
        <f t="shared" si="71"/>
        <v>Fevereiro</v>
      </c>
      <c r="C2265" s="8" t="s">
        <v>923</v>
      </c>
      <c r="D2265" s="8" t="s">
        <v>664</v>
      </c>
      <c r="E2265" s="8" t="s">
        <v>20</v>
      </c>
      <c r="F2265" s="23">
        <v>46072.618750000001</v>
      </c>
      <c r="G2265" s="8" t="s">
        <v>1045</v>
      </c>
      <c r="H2265" s="23">
        <v>46077</v>
      </c>
      <c r="I2265" s="23">
        <v>46072.618750000001</v>
      </c>
      <c r="J2265" s="10">
        <v>95</v>
      </c>
      <c r="K2265" s="10">
        <v>0</v>
      </c>
      <c r="L2265" s="24">
        <v>0</v>
      </c>
      <c r="M2265" s="10">
        <v>95</v>
      </c>
    </row>
    <row r="2266" spans="1:13" x14ac:dyDescent="0.25">
      <c r="A2266" s="12" t="str">
        <f t="shared" si="70"/>
        <v>6JESLEY WILLIAM MIRANDA DE SOUZARCB46080,4083333333</v>
      </c>
      <c r="B2266" s="12" t="str">
        <f t="shared" si="71"/>
        <v>Março</v>
      </c>
      <c r="C2266" s="8" t="s">
        <v>923</v>
      </c>
      <c r="D2266" s="8" t="s">
        <v>664</v>
      </c>
      <c r="E2266" s="8" t="s">
        <v>90</v>
      </c>
      <c r="F2266" s="23">
        <v>46080.408333333333</v>
      </c>
      <c r="G2266" s="8" t="s">
        <v>1045</v>
      </c>
      <c r="H2266" s="23">
        <v>46085</v>
      </c>
      <c r="I2266" s="23">
        <v>46080.408333333333</v>
      </c>
      <c r="J2266" s="10">
        <v>120</v>
      </c>
      <c r="K2266" s="10">
        <v>0</v>
      </c>
      <c r="L2266" s="24">
        <v>0</v>
      </c>
      <c r="M2266" s="10">
        <v>120</v>
      </c>
    </row>
    <row r="2267" spans="1:13" x14ac:dyDescent="0.25">
      <c r="A2267" s="12" t="str">
        <f t="shared" si="70"/>
        <v>6FERNANDA SANTOS SOARESRCB46087,4013888889</v>
      </c>
      <c r="B2267" s="12" t="str">
        <f t="shared" si="71"/>
        <v>Março</v>
      </c>
      <c r="C2267" s="8" t="s">
        <v>923</v>
      </c>
      <c r="D2267" s="8" t="s">
        <v>664</v>
      </c>
      <c r="E2267" s="8" t="s">
        <v>68</v>
      </c>
      <c r="F2267" s="23">
        <v>46087.401388888888</v>
      </c>
      <c r="G2267" s="8" t="s">
        <v>1045</v>
      </c>
      <c r="H2267" s="23">
        <v>46093</v>
      </c>
      <c r="I2267" s="23">
        <v>46087.401388888888</v>
      </c>
      <c r="J2267" s="10">
        <v>162.94999999999999</v>
      </c>
      <c r="K2267" s="10">
        <v>0</v>
      </c>
      <c r="L2267" s="24">
        <v>0</v>
      </c>
      <c r="M2267" s="10">
        <v>162.94999999999999</v>
      </c>
    </row>
    <row r="2268" spans="1:13" x14ac:dyDescent="0.25">
      <c r="A2268" s="12" t="str">
        <f t="shared" si="70"/>
        <v>6LAIENE LOPES TEIXEIRARCB46087,3993055556</v>
      </c>
      <c r="B2268" s="12" t="str">
        <f t="shared" si="71"/>
        <v>Março</v>
      </c>
      <c r="C2268" s="8" t="s">
        <v>923</v>
      </c>
      <c r="D2268" s="8" t="s">
        <v>664</v>
      </c>
      <c r="E2268" s="8" t="s">
        <v>106</v>
      </c>
      <c r="F2268" s="23">
        <v>46087.399305555555</v>
      </c>
      <c r="G2268" s="8" t="s">
        <v>1045</v>
      </c>
      <c r="H2268" s="23">
        <v>46093</v>
      </c>
      <c r="I2268" s="23">
        <v>46087.399305555555</v>
      </c>
      <c r="J2268" s="10">
        <v>224</v>
      </c>
      <c r="K2268" s="10">
        <v>0</v>
      </c>
      <c r="L2268" s="24">
        <v>0</v>
      </c>
      <c r="M2268" s="10">
        <v>224</v>
      </c>
    </row>
    <row r="2269" spans="1:13" x14ac:dyDescent="0.25">
      <c r="A2269" s="12" t="str">
        <f t="shared" si="70"/>
        <v>6PATRICIA JUSTINA DE ALMEIDARCB46087,4006944444</v>
      </c>
      <c r="B2269" s="12" t="str">
        <f t="shared" si="71"/>
        <v>Março</v>
      </c>
      <c r="C2269" s="8" t="s">
        <v>923</v>
      </c>
      <c r="D2269" s="8" t="s">
        <v>664</v>
      </c>
      <c r="E2269" s="8" t="s">
        <v>148</v>
      </c>
      <c r="F2269" s="23">
        <v>46087.400694444441</v>
      </c>
      <c r="G2269" s="8" t="s">
        <v>1045</v>
      </c>
      <c r="H2269" s="23">
        <v>46093</v>
      </c>
      <c r="I2269" s="23">
        <v>46087.400694444441</v>
      </c>
      <c r="J2269" s="10">
        <v>473</v>
      </c>
      <c r="K2269" s="10">
        <v>0</v>
      </c>
      <c r="L2269" s="24">
        <v>0</v>
      </c>
      <c r="M2269" s="10">
        <v>473</v>
      </c>
    </row>
    <row r="2270" spans="1:13" x14ac:dyDescent="0.25">
      <c r="A2270" s="12" t="str">
        <f t="shared" si="70"/>
        <v>6TIAGO FERNANDO DOS SANTOS SILVARCB46097,6659722222</v>
      </c>
      <c r="B2270" s="12" t="str">
        <f t="shared" si="71"/>
        <v>Março</v>
      </c>
      <c r="C2270" s="8" t="s">
        <v>923</v>
      </c>
      <c r="D2270" s="8" t="s">
        <v>664</v>
      </c>
      <c r="E2270" s="8" t="s">
        <v>188</v>
      </c>
      <c r="F2270" s="23">
        <v>46097.665972222225</v>
      </c>
      <c r="G2270" s="8" t="s">
        <v>1045</v>
      </c>
      <c r="H2270" s="23">
        <v>46100</v>
      </c>
      <c r="I2270" s="23">
        <v>46097.665972222225</v>
      </c>
      <c r="J2270" s="10">
        <v>400</v>
      </c>
      <c r="K2270" s="10">
        <v>0</v>
      </c>
      <c r="L2270" s="24">
        <v>0</v>
      </c>
      <c r="M2270" s="10">
        <v>400</v>
      </c>
    </row>
    <row r="2271" spans="1:13" x14ac:dyDescent="0.25">
      <c r="A2271" s="12" t="str">
        <f t="shared" si="70"/>
        <v>6RODRIGO CORREARCB46099,6770833333</v>
      </c>
      <c r="B2271" s="12" t="str">
        <f t="shared" si="71"/>
        <v>Março</v>
      </c>
      <c r="C2271" s="8" t="s">
        <v>923</v>
      </c>
      <c r="D2271" s="8" t="s">
        <v>664</v>
      </c>
      <c r="E2271" s="8" t="s">
        <v>172</v>
      </c>
      <c r="F2271" s="23">
        <v>46099.677083333336</v>
      </c>
      <c r="G2271" s="8" t="s">
        <v>1045</v>
      </c>
      <c r="H2271" s="23">
        <v>46104</v>
      </c>
      <c r="I2271" s="23">
        <v>46099.677083333336</v>
      </c>
      <c r="J2271" s="10">
        <v>320</v>
      </c>
      <c r="K2271" s="10">
        <v>0</v>
      </c>
      <c r="L2271" s="24">
        <v>0</v>
      </c>
      <c r="M2271" s="10">
        <v>320</v>
      </c>
    </row>
    <row r="2272" spans="1:13" x14ac:dyDescent="0.25">
      <c r="A2272" s="12" t="str">
        <f t="shared" si="70"/>
        <v>6ANTONIO ALCIDES AFONSONSE46086</v>
      </c>
      <c r="B2272" s="12" t="str">
        <f t="shared" si="71"/>
        <v>Abril</v>
      </c>
      <c r="C2272" s="8" t="s">
        <v>923</v>
      </c>
      <c r="D2272" s="8" t="s">
        <v>1354</v>
      </c>
      <c r="E2272" s="8" t="s">
        <v>18</v>
      </c>
      <c r="F2272" s="23">
        <v>46086</v>
      </c>
      <c r="G2272" s="8" t="s">
        <v>665</v>
      </c>
      <c r="H2272" s="23">
        <v>46118</v>
      </c>
      <c r="I2272" s="23">
        <v>46087</v>
      </c>
      <c r="J2272" s="10">
        <v>200</v>
      </c>
      <c r="K2272" s="10">
        <v>0</v>
      </c>
      <c r="L2272" s="24">
        <v>0</v>
      </c>
      <c r="M2272" s="10">
        <v>200</v>
      </c>
    </row>
    <row r="2273" spans="1:13" x14ac:dyDescent="0.25">
      <c r="A2273" s="12" t="str">
        <f t="shared" si="70"/>
        <v>6LEANDRO CARVALHO SILVARCB46120,6034722222</v>
      </c>
      <c r="B2273" s="12" t="str">
        <f t="shared" si="71"/>
        <v>Abril</v>
      </c>
      <c r="C2273" s="8" t="s">
        <v>923</v>
      </c>
      <c r="D2273" s="8" t="s">
        <v>664</v>
      </c>
      <c r="E2273" s="8" t="s">
        <v>107</v>
      </c>
      <c r="F2273" s="23">
        <v>46120.603472222225</v>
      </c>
      <c r="G2273" s="8" t="s">
        <v>1045</v>
      </c>
      <c r="H2273" s="23">
        <v>46125</v>
      </c>
      <c r="I2273" s="23">
        <v>46120.603472222225</v>
      </c>
      <c r="J2273" s="10">
        <v>93.18</v>
      </c>
      <c r="K2273" s="10">
        <v>0</v>
      </c>
      <c r="L2273" s="24">
        <v>0</v>
      </c>
      <c r="M2273" s="10">
        <v>93.18</v>
      </c>
    </row>
    <row r="2274" spans="1:13" x14ac:dyDescent="0.25">
      <c r="A2274" s="12" t="str">
        <f t="shared" si="70"/>
        <v>6ENERGISA MINAS GERAIS DISTRIBUIDORA DE ENERGIA S.A.RCB46162,45</v>
      </c>
      <c r="B2274" s="12" t="str">
        <f t="shared" si="71"/>
        <v>Maio</v>
      </c>
      <c r="C2274" s="8" t="s">
        <v>923</v>
      </c>
      <c r="D2274" s="8" t="s">
        <v>664</v>
      </c>
      <c r="E2274" s="8" t="s">
        <v>62</v>
      </c>
      <c r="F2274" s="23">
        <v>46162.45</v>
      </c>
      <c r="G2274" s="8" t="s">
        <v>1045</v>
      </c>
      <c r="H2274" s="23">
        <v>46168</v>
      </c>
      <c r="I2274" s="23">
        <v>46162.45</v>
      </c>
      <c r="J2274" s="10">
        <v>107.72</v>
      </c>
      <c r="K2274" s="10">
        <v>0</v>
      </c>
      <c r="L2274" s="24">
        <v>0</v>
      </c>
      <c r="M2274" s="10">
        <v>107.72</v>
      </c>
    </row>
    <row r="2275" spans="1:13" x14ac:dyDescent="0.25">
      <c r="A2275" s="12" t="str">
        <f t="shared" si="70"/>
        <v>6DIONIZIO JOSE DE CASSIO PINTORCB46164,49375</v>
      </c>
      <c r="B2275" s="12" t="str">
        <f t="shared" si="71"/>
        <v>Maio</v>
      </c>
      <c r="C2275" s="8" t="s">
        <v>923</v>
      </c>
      <c r="D2275" s="8" t="s">
        <v>664</v>
      </c>
      <c r="E2275" s="8" t="s">
        <v>53</v>
      </c>
      <c r="F2275" s="23">
        <v>46164.493750000001</v>
      </c>
      <c r="G2275" s="8" t="s">
        <v>1045</v>
      </c>
      <c r="H2275" s="23">
        <v>46169</v>
      </c>
      <c r="I2275" s="23">
        <v>46164.493750000001</v>
      </c>
      <c r="J2275" s="10">
        <v>235</v>
      </c>
      <c r="K2275" s="10">
        <v>0</v>
      </c>
      <c r="L2275" s="24">
        <v>0</v>
      </c>
      <c r="M2275" s="10">
        <v>235</v>
      </c>
    </row>
    <row r="2276" spans="1:13" x14ac:dyDescent="0.25">
      <c r="A2276" s="12" t="str">
        <f t="shared" si="70"/>
        <v>6DEMETRIO GRIGORIO DA SILVARCB46175,4854166667</v>
      </c>
      <c r="B2276" s="12" t="str">
        <f t="shared" si="71"/>
        <v>Junho</v>
      </c>
      <c r="C2276" s="8" t="s">
        <v>923</v>
      </c>
      <c r="D2276" s="8" t="s">
        <v>664</v>
      </c>
      <c r="E2276" s="8" t="s">
        <v>50</v>
      </c>
      <c r="F2276" s="23">
        <v>46175.48541666667</v>
      </c>
      <c r="G2276" s="8" t="s">
        <v>1045</v>
      </c>
      <c r="H2276" s="23">
        <v>46178</v>
      </c>
      <c r="I2276" s="23">
        <v>46175.48541666667</v>
      </c>
      <c r="J2276" s="10">
        <v>144.36000000000001</v>
      </c>
      <c r="K2276" s="10">
        <v>0</v>
      </c>
      <c r="L2276" s="24">
        <v>0</v>
      </c>
      <c r="M2276" s="10">
        <v>144.36000000000001</v>
      </c>
    </row>
    <row r="2277" spans="1:13" x14ac:dyDescent="0.25">
      <c r="A2277" s="12" t="str">
        <f t="shared" si="70"/>
        <v>6PAULO SILAS GOMES SOARESRCB46191,4590277778</v>
      </c>
      <c r="B2277" s="12" t="str">
        <f t="shared" si="71"/>
        <v>Junho</v>
      </c>
      <c r="C2277" s="8" t="s">
        <v>923</v>
      </c>
      <c r="D2277" s="8" t="s">
        <v>664</v>
      </c>
      <c r="E2277" s="8" t="s">
        <v>154</v>
      </c>
      <c r="F2277" s="23">
        <v>46191.459027777775</v>
      </c>
      <c r="G2277" s="8" t="s">
        <v>1045</v>
      </c>
      <c r="H2277" s="23">
        <v>46196</v>
      </c>
      <c r="I2277" s="23">
        <v>46191.459027777775</v>
      </c>
      <c r="J2277" s="10">
        <v>68</v>
      </c>
      <c r="K2277" s="10">
        <v>0</v>
      </c>
      <c r="L2277" s="24">
        <v>0</v>
      </c>
      <c r="M2277" s="10">
        <v>68</v>
      </c>
    </row>
    <row r="2278" spans="1:13" x14ac:dyDescent="0.25">
      <c r="A2278" s="12" t="str">
        <f t="shared" si="70"/>
        <v>6ANA PAULA DE ALMEIDA ARAUJORCB46195,3041666667</v>
      </c>
      <c r="B2278" s="12" t="str">
        <f t="shared" si="71"/>
        <v>Junho</v>
      </c>
      <c r="C2278" s="8" t="s">
        <v>923</v>
      </c>
      <c r="D2278" s="8" t="s">
        <v>664</v>
      </c>
      <c r="E2278" s="8" t="s">
        <v>12</v>
      </c>
      <c r="F2278" s="23">
        <v>46195.304166666669</v>
      </c>
      <c r="G2278" s="8" t="s">
        <v>1045</v>
      </c>
      <c r="H2278" s="23">
        <v>46199</v>
      </c>
      <c r="I2278" s="23">
        <v>46195.304166666669</v>
      </c>
      <c r="J2278" s="10">
        <v>126.6</v>
      </c>
      <c r="K2278" s="10">
        <v>0</v>
      </c>
      <c r="L2278" s="24">
        <v>0</v>
      </c>
      <c r="M2278" s="10">
        <v>126.6</v>
      </c>
    </row>
    <row r="2279" spans="1:13" x14ac:dyDescent="0.25">
      <c r="A2279" s="12" t="str">
        <f t="shared" si="70"/>
        <v>6MOISES DA COSTA AZEVEDORCB46205,3555555556</v>
      </c>
      <c r="B2279" s="12" t="str">
        <f t="shared" si="71"/>
        <v>Julho</v>
      </c>
      <c r="C2279" s="8" t="s">
        <v>923</v>
      </c>
      <c r="D2279" s="8" t="s">
        <v>664</v>
      </c>
      <c r="E2279" s="8" t="s">
        <v>134</v>
      </c>
      <c r="F2279" s="23">
        <v>46205.355555555558</v>
      </c>
      <c r="G2279" s="8" t="s">
        <v>1045</v>
      </c>
      <c r="H2279" s="23">
        <v>46210</v>
      </c>
      <c r="I2279" s="23">
        <v>46205.355555555558</v>
      </c>
      <c r="J2279" s="10">
        <v>68</v>
      </c>
      <c r="K2279" s="10">
        <v>0</v>
      </c>
      <c r="L2279" s="24">
        <v>0</v>
      </c>
      <c r="M2279" s="10">
        <v>68</v>
      </c>
    </row>
    <row r="2280" spans="1:13" x14ac:dyDescent="0.25">
      <c r="A2280" s="12" t="str">
        <f t="shared" si="70"/>
        <v>6ILDEON FERREIRA SANTOSRCB46209,3833333333</v>
      </c>
      <c r="B2280" s="12" t="str">
        <f t="shared" si="71"/>
        <v>Julho</v>
      </c>
      <c r="C2280" s="8" t="s">
        <v>923</v>
      </c>
      <c r="D2280" s="8" t="s">
        <v>664</v>
      </c>
      <c r="E2280" s="8" t="s">
        <v>86</v>
      </c>
      <c r="F2280" s="23">
        <v>46209.383333333331</v>
      </c>
      <c r="G2280" s="8" t="s">
        <v>1045</v>
      </c>
      <c r="H2280" s="23">
        <v>46212</v>
      </c>
      <c r="I2280" s="23">
        <v>46209.383333333331</v>
      </c>
      <c r="J2280" s="10">
        <v>100</v>
      </c>
      <c r="K2280" s="10">
        <v>0</v>
      </c>
      <c r="L2280" s="24">
        <v>0</v>
      </c>
      <c r="M2280" s="10">
        <v>100</v>
      </c>
    </row>
    <row r="2281" spans="1:13" x14ac:dyDescent="0.25">
      <c r="A2281" s="12" t="str">
        <f t="shared" si="70"/>
        <v>6ANDRE GOMES DA SILVARCB46209,6777777778</v>
      </c>
      <c r="B2281" s="12" t="str">
        <f t="shared" si="71"/>
        <v>Julho</v>
      </c>
      <c r="C2281" s="8" t="s">
        <v>923</v>
      </c>
      <c r="D2281" s="8" t="s">
        <v>664</v>
      </c>
      <c r="E2281" s="8" t="s">
        <v>14</v>
      </c>
      <c r="F2281" s="23">
        <v>46209.677777777775</v>
      </c>
      <c r="G2281" s="8" t="s">
        <v>1045</v>
      </c>
      <c r="H2281" s="23">
        <v>46212</v>
      </c>
      <c r="I2281" s="23">
        <v>46209.677777777775</v>
      </c>
      <c r="J2281" s="10">
        <v>145</v>
      </c>
      <c r="K2281" s="10">
        <v>0</v>
      </c>
      <c r="L2281" s="24">
        <v>0</v>
      </c>
      <c r="M2281" s="10">
        <v>145</v>
      </c>
    </row>
    <row r="2282" spans="1:13" x14ac:dyDescent="0.25">
      <c r="A2282" s="12" t="str">
        <f t="shared" si="70"/>
        <v>6CARLOS ANTONIO PINTORCB46217,4326388889</v>
      </c>
      <c r="B2282" s="12" t="str">
        <f t="shared" si="71"/>
        <v>Julho</v>
      </c>
      <c r="C2282" s="8" t="s">
        <v>923</v>
      </c>
      <c r="D2282" s="8" t="s">
        <v>664</v>
      </c>
      <c r="E2282" s="8" t="s">
        <v>36</v>
      </c>
      <c r="F2282" s="23">
        <v>46217.432638888888</v>
      </c>
      <c r="G2282" s="8" t="s">
        <v>1045</v>
      </c>
      <c r="H2282" s="23">
        <v>46220</v>
      </c>
      <c r="I2282" s="23">
        <v>46217.432638888888</v>
      </c>
      <c r="J2282" s="10">
        <v>74.8</v>
      </c>
      <c r="K2282" s="10">
        <v>0</v>
      </c>
      <c r="L2282" s="24">
        <v>0</v>
      </c>
      <c r="M2282" s="10">
        <v>74.8</v>
      </c>
    </row>
    <row r="2283" spans="1:13" x14ac:dyDescent="0.25">
      <c r="A2283" s="12" t="str">
        <f t="shared" si="70"/>
        <v>6MARAJO NAVEGACAO COMERCIO E TRANSPORTE DE PASSAGEIROS LTDARCB46232,3409722222</v>
      </c>
      <c r="B2283" s="12" t="str">
        <f t="shared" si="71"/>
        <v>Agosto</v>
      </c>
      <c r="C2283" s="8" t="s">
        <v>923</v>
      </c>
      <c r="D2283" s="8" t="s">
        <v>664</v>
      </c>
      <c r="E2283" s="8" t="s">
        <v>118</v>
      </c>
      <c r="F2283" s="23">
        <v>46232.34097222222</v>
      </c>
      <c r="G2283" s="8" t="s">
        <v>1045</v>
      </c>
      <c r="H2283" s="23">
        <v>46238</v>
      </c>
      <c r="I2283" s="23">
        <v>46232.34097222222</v>
      </c>
      <c r="J2283" s="10">
        <v>728</v>
      </c>
      <c r="K2283" s="10">
        <v>0</v>
      </c>
      <c r="L2283" s="24">
        <v>0</v>
      </c>
      <c r="M2283" s="10">
        <v>728</v>
      </c>
    </row>
    <row r="2284" spans="1:13" x14ac:dyDescent="0.25">
      <c r="A2284" s="12" t="str">
        <f t="shared" si="70"/>
        <v>6EXPRESSO TRANSPORTE LTDARCB46232,3395833333</v>
      </c>
      <c r="B2284" s="12" t="str">
        <f t="shared" si="71"/>
        <v>Agosto</v>
      </c>
      <c r="C2284" s="8" t="s">
        <v>923</v>
      </c>
      <c r="D2284" s="8" t="s">
        <v>664</v>
      </c>
      <c r="E2284" s="8" t="s">
        <v>66</v>
      </c>
      <c r="F2284" s="23">
        <v>46232.339583333334</v>
      </c>
      <c r="G2284" s="8" t="s">
        <v>1045</v>
      </c>
      <c r="H2284" s="23">
        <v>46238</v>
      </c>
      <c r="I2284" s="23">
        <v>46232.339583333334</v>
      </c>
      <c r="J2284" s="10">
        <v>4108</v>
      </c>
      <c r="K2284" s="10">
        <v>0</v>
      </c>
      <c r="L2284" s="24">
        <v>0</v>
      </c>
      <c r="M2284" s="10">
        <v>4108</v>
      </c>
    </row>
    <row r="2285" spans="1:13" x14ac:dyDescent="0.25">
      <c r="A2285" s="12" t="str">
        <f t="shared" si="70"/>
        <v>6KATHLEEN KRISLEY AMBROSIO LARARCB46247,3875</v>
      </c>
      <c r="B2285" s="12" t="str">
        <f t="shared" si="71"/>
        <v>Agosto</v>
      </c>
      <c r="C2285" s="8" t="s">
        <v>923</v>
      </c>
      <c r="D2285" s="8" t="s">
        <v>664</v>
      </c>
      <c r="E2285" s="8" t="s">
        <v>104</v>
      </c>
      <c r="F2285" s="23">
        <v>46247.387499999997</v>
      </c>
      <c r="G2285" s="8" t="s">
        <v>1045</v>
      </c>
      <c r="H2285" s="23">
        <v>46252</v>
      </c>
      <c r="I2285" s="23">
        <v>46247.387499999997</v>
      </c>
      <c r="J2285" s="10">
        <v>136.46</v>
      </c>
      <c r="K2285" s="10">
        <v>0</v>
      </c>
      <c r="L2285" s="24">
        <v>0</v>
      </c>
      <c r="M2285" s="10">
        <v>136.46</v>
      </c>
    </row>
    <row r="2286" spans="1:13" x14ac:dyDescent="0.25">
      <c r="A2286" s="12" t="str">
        <f t="shared" si="70"/>
        <v>6ANDERSON LUIS FROES DE JESUSRCB46255,2979166667</v>
      </c>
      <c r="B2286" s="12" t="str">
        <f t="shared" si="71"/>
        <v>Agosto</v>
      </c>
      <c r="C2286" s="8" t="s">
        <v>923</v>
      </c>
      <c r="D2286" s="8" t="s">
        <v>664</v>
      </c>
      <c r="E2286" s="8" t="s">
        <v>13</v>
      </c>
      <c r="F2286" s="23">
        <v>46255.29791666667</v>
      </c>
      <c r="G2286" s="8" t="s">
        <v>1045</v>
      </c>
      <c r="H2286" s="23">
        <v>46260</v>
      </c>
      <c r="I2286" s="23">
        <v>46255.29791666667</v>
      </c>
      <c r="J2286" s="10">
        <v>19</v>
      </c>
      <c r="K2286" s="10">
        <v>0</v>
      </c>
      <c r="L2286" s="24">
        <v>0</v>
      </c>
      <c r="M2286" s="10">
        <v>19</v>
      </c>
    </row>
    <row r="2287" spans="1:13" x14ac:dyDescent="0.25">
      <c r="A2287" s="12" t="str">
        <f t="shared" si="70"/>
        <v>6RODRIGO DE SOUZA MANTOVANIRCB46286,6451388889</v>
      </c>
      <c r="B2287" s="12" t="str">
        <f t="shared" si="71"/>
        <v>Setembro</v>
      </c>
      <c r="C2287" s="8" t="s">
        <v>923</v>
      </c>
      <c r="D2287" s="8" t="s">
        <v>664</v>
      </c>
      <c r="E2287" s="8" t="s">
        <v>173</v>
      </c>
      <c r="F2287" s="23">
        <v>46286.645138888889</v>
      </c>
      <c r="G2287" s="8" t="s">
        <v>1045</v>
      </c>
      <c r="H2287" s="23">
        <v>46289</v>
      </c>
      <c r="I2287" s="23">
        <v>46286.645138888889</v>
      </c>
      <c r="J2287" s="10">
        <v>186.79</v>
      </c>
      <c r="K2287" s="10">
        <v>0</v>
      </c>
      <c r="L2287" s="24">
        <v>0</v>
      </c>
      <c r="M2287" s="10">
        <v>186.79</v>
      </c>
    </row>
    <row r="2288" spans="1:13" x14ac:dyDescent="0.25">
      <c r="A2288" s="12" t="str">
        <f t="shared" si="70"/>
        <v>6FERNANDO TOMAS DA SILVARCB46300,4131944444</v>
      </c>
      <c r="B2288" s="12" t="str">
        <f t="shared" si="71"/>
        <v>Outubro</v>
      </c>
      <c r="C2288" s="8" t="s">
        <v>923</v>
      </c>
      <c r="D2288" s="8" t="s">
        <v>664</v>
      </c>
      <c r="E2288" s="8" t="s">
        <v>218</v>
      </c>
      <c r="F2288" s="23">
        <v>46300.413194444445</v>
      </c>
      <c r="G2288" s="8" t="s">
        <v>1045</v>
      </c>
      <c r="H2288" s="23">
        <v>46303</v>
      </c>
      <c r="I2288" s="23">
        <v>46300.413194444445</v>
      </c>
      <c r="J2288" s="10">
        <v>17.8</v>
      </c>
      <c r="K2288" s="10">
        <v>0</v>
      </c>
      <c r="L2288" s="24">
        <v>0</v>
      </c>
      <c r="M2288" s="10">
        <v>17.8</v>
      </c>
    </row>
    <row r="2289" spans="1:13" x14ac:dyDescent="0.25">
      <c r="A2289" s="12" t="str">
        <f t="shared" si="70"/>
        <v>60ZAMBALDI AUTO CENTER LTDANSE46087</v>
      </c>
      <c r="B2289" s="12" t="str">
        <f t="shared" si="71"/>
        <v>Abril</v>
      </c>
      <c r="C2289" s="8" t="s">
        <v>924</v>
      </c>
      <c r="D2289" s="8" t="s">
        <v>1354</v>
      </c>
      <c r="E2289" s="8" t="s">
        <v>204</v>
      </c>
      <c r="F2289" s="23">
        <v>46087</v>
      </c>
      <c r="G2289" s="8" t="s">
        <v>665</v>
      </c>
      <c r="H2289" s="23">
        <v>46118</v>
      </c>
      <c r="I2289" s="23">
        <v>46090</v>
      </c>
      <c r="J2289" s="10">
        <v>350</v>
      </c>
      <c r="K2289" s="10">
        <v>0</v>
      </c>
      <c r="L2289" s="24">
        <v>0</v>
      </c>
      <c r="M2289" s="10">
        <v>343</v>
      </c>
    </row>
    <row r="2290" spans="1:13" x14ac:dyDescent="0.25">
      <c r="A2290" s="12" t="str">
        <f t="shared" si="70"/>
        <v>60MECANICA CRISTO REI LTDANSE46153</v>
      </c>
      <c r="B2290" s="12" t="str">
        <f t="shared" si="71"/>
        <v>Junho</v>
      </c>
      <c r="C2290" s="8" t="s">
        <v>924</v>
      </c>
      <c r="D2290" s="8" t="s">
        <v>1354</v>
      </c>
      <c r="E2290" s="8" t="s">
        <v>125</v>
      </c>
      <c r="F2290" s="23">
        <v>46153</v>
      </c>
      <c r="G2290" s="8" t="s">
        <v>665</v>
      </c>
      <c r="H2290" s="23">
        <v>46183</v>
      </c>
      <c r="I2290" s="23">
        <v>46163</v>
      </c>
      <c r="J2290" s="10">
        <v>470</v>
      </c>
      <c r="K2290" s="10">
        <v>0</v>
      </c>
      <c r="L2290" s="24">
        <v>0</v>
      </c>
      <c r="M2290" s="10">
        <v>454.35</v>
      </c>
    </row>
    <row r="2291" spans="1:13" x14ac:dyDescent="0.25">
      <c r="A2291" s="12" t="str">
        <f t="shared" si="70"/>
        <v>6042026THIAGO AUGUSTO DE MEIRACT46111</v>
      </c>
      <c r="B2291" s="12" t="str">
        <f t="shared" si="71"/>
        <v>Abril</v>
      </c>
      <c r="C2291" s="8" t="s">
        <v>2187</v>
      </c>
      <c r="D2291" s="8" t="s">
        <v>664</v>
      </c>
      <c r="E2291" s="8" t="s">
        <v>2138</v>
      </c>
      <c r="F2291" s="23">
        <v>46111</v>
      </c>
      <c r="G2291" s="8" t="s">
        <v>1035</v>
      </c>
      <c r="H2291" s="23">
        <v>46118</v>
      </c>
      <c r="I2291" s="23">
        <v>46111</v>
      </c>
      <c r="J2291" s="10">
        <v>3097</v>
      </c>
      <c r="K2291" s="10">
        <v>0</v>
      </c>
      <c r="L2291" s="24">
        <v>0</v>
      </c>
      <c r="M2291" s="10">
        <v>3097</v>
      </c>
    </row>
    <row r="2292" spans="1:13" x14ac:dyDescent="0.25">
      <c r="A2292" s="12" t="str">
        <f t="shared" si="70"/>
        <v>6068LL BATERIAS E AUTO-ELETRICA LTDANFE45996</v>
      </c>
      <c r="B2292" s="12" t="str">
        <f t="shared" si="71"/>
        <v>Janeiro</v>
      </c>
      <c r="C2292" s="8" t="s">
        <v>1374</v>
      </c>
      <c r="D2292" s="8" t="s">
        <v>664</v>
      </c>
      <c r="E2292" s="8" t="s">
        <v>111</v>
      </c>
      <c r="F2292" s="23">
        <v>45996</v>
      </c>
      <c r="G2292" s="8" t="s">
        <v>380</v>
      </c>
      <c r="H2292" s="23">
        <v>46026</v>
      </c>
      <c r="I2292" s="23">
        <v>45999</v>
      </c>
      <c r="J2292" s="10">
        <v>1780</v>
      </c>
      <c r="K2292" s="10">
        <v>0</v>
      </c>
      <c r="L2292" s="24">
        <v>0</v>
      </c>
      <c r="M2292" s="10">
        <v>1780</v>
      </c>
    </row>
    <row r="2293" spans="1:13" x14ac:dyDescent="0.25">
      <c r="A2293" s="12" t="str">
        <f t="shared" si="70"/>
        <v>6120LL BATERIAS E AUTO-ELETRICA LTDANFE46031</v>
      </c>
      <c r="B2293" s="12" t="str">
        <f t="shared" si="71"/>
        <v>Fevereiro</v>
      </c>
      <c r="C2293" s="8" t="s">
        <v>562</v>
      </c>
      <c r="D2293" s="8" t="s">
        <v>664</v>
      </c>
      <c r="E2293" s="8" t="s">
        <v>111</v>
      </c>
      <c r="F2293" s="23">
        <v>46031</v>
      </c>
      <c r="G2293" s="8" t="s">
        <v>380</v>
      </c>
      <c r="H2293" s="23">
        <v>46062</v>
      </c>
      <c r="I2293" s="23">
        <v>46034</v>
      </c>
      <c r="J2293" s="10">
        <v>435</v>
      </c>
      <c r="K2293" s="10">
        <v>0</v>
      </c>
      <c r="L2293" s="24">
        <v>0</v>
      </c>
      <c r="M2293" s="10">
        <v>435</v>
      </c>
    </row>
    <row r="2294" spans="1:13" x14ac:dyDescent="0.25">
      <c r="A2294" s="12" t="str">
        <f t="shared" si="70"/>
        <v>6160941BTT TELECOMUNICACOES S.A.FT46014</v>
      </c>
      <c r="B2294" s="12" t="str">
        <f t="shared" si="71"/>
        <v>Fevereiro</v>
      </c>
      <c r="C2294" s="8" t="s">
        <v>277</v>
      </c>
      <c r="D2294" s="8" t="s">
        <v>1400</v>
      </c>
      <c r="E2294" s="8" t="s">
        <v>33</v>
      </c>
      <c r="F2294" s="23">
        <v>46014</v>
      </c>
      <c r="G2294" s="8" t="s">
        <v>232</v>
      </c>
      <c r="H2294" s="23">
        <v>46063</v>
      </c>
      <c r="I2294" s="23">
        <v>46042</v>
      </c>
      <c r="J2294" s="10">
        <v>199</v>
      </c>
      <c r="K2294" s="10">
        <v>0</v>
      </c>
      <c r="L2294" s="24">
        <v>0</v>
      </c>
      <c r="M2294" s="10">
        <v>199</v>
      </c>
    </row>
    <row r="2295" spans="1:13" x14ac:dyDescent="0.25">
      <c r="A2295" s="12" t="str">
        <f t="shared" si="70"/>
        <v>6164LL BATERIAS E AUTO-ELETRICA LTDANFE46063</v>
      </c>
      <c r="B2295" s="12" t="str">
        <f t="shared" si="71"/>
        <v>Março</v>
      </c>
      <c r="C2295" s="8" t="s">
        <v>564</v>
      </c>
      <c r="D2295" s="8" t="s">
        <v>664</v>
      </c>
      <c r="E2295" s="8" t="s">
        <v>111</v>
      </c>
      <c r="F2295" s="23">
        <v>46063</v>
      </c>
      <c r="G2295" s="8" t="s">
        <v>380</v>
      </c>
      <c r="H2295" s="23">
        <v>46093</v>
      </c>
      <c r="I2295" s="23">
        <v>46064</v>
      </c>
      <c r="J2295" s="10">
        <v>750</v>
      </c>
      <c r="K2295" s="10">
        <v>0</v>
      </c>
      <c r="L2295" s="24">
        <v>0</v>
      </c>
      <c r="M2295" s="10">
        <v>750</v>
      </c>
    </row>
    <row r="2296" spans="1:13" x14ac:dyDescent="0.25">
      <c r="A2296" s="12" t="str">
        <f t="shared" si="70"/>
        <v>6165LL BATERIAS E AUTO-ELETRICA LTDANFE46063</v>
      </c>
      <c r="B2296" s="12" t="str">
        <f t="shared" si="71"/>
        <v>Março</v>
      </c>
      <c r="C2296" s="8" t="s">
        <v>565</v>
      </c>
      <c r="D2296" s="8" t="s">
        <v>664</v>
      </c>
      <c r="E2296" s="8" t="s">
        <v>111</v>
      </c>
      <c r="F2296" s="23">
        <v>46063</v>
      </c>
      <c r="G2296" s="8" t="s">
        <v>380</v>
      </c>
      <c r="H2296" s="23">
        <v>46093</v>
      </c>
      <c r="I2296" s="23">
        <v>46064</v>
      </c>
      <c r="J2296" s="10">
        <v>150</v>
      </c>
      <c r="K2296" s="10">
        <v>0</v>
      </c>
      <c r="L2296" s="24">
        <v>0</v>
      </c>
      <c r="M2296" s="10">
        <v>150</v>
      </c>
    </row>
    <row r="2297" spans="1:13" x14ac:dyDescent="0.25">
      <c r="A2297" s="12" t="str">
        <f t="shared" si="70"/>
        <v>61855RG PNEUS LTDANFE45957</v>
      </c>
      <c r="B2297" s="12" t="str">
        <f t="shared" si="71"/>
        <v>Janeiro</v>
      </c>
      <c r="C2297" s="8" t="s">
        <v>1596</v>
      </c>
      <c r="D2297" s="8" t="s">
        <v>1597</v>
      </c>
      <c r="E2297" s="8" t="s">
        <v>167</v>
      </c>
      <c r="F2297" s="23">
        <v>45957</v>
      </c>
      <c r="G2297" s="8" t="s">
        <v>380</v>
      </c>
      <c r="H2297" s="23">
        <v>46041</v>
      </c>
      <c r="I2297" s="23">
        <v>45965</v>
      </c>
      <c r="J2297" s="10">
        <v>3304</v>
      </c>
      <c r="K2297" s="10">
        <v>0</v>
      </c>
      <c r="L2297" s="24">
        <v>0</v>
      </c>
      <c r="M2297" s="10">
        <v>3304</v>
      </c>
    </row>
    <row r="2298" spans="1:13" x14ac:dyDescent="0.25">
      <c r="A2298" s="12" t="str">
        <f t="shared" si="70"/>
        <v>62026-87HENRIQUE GALAMBA RODRIGUES DOS ANJOSDEP46156,4534722222</v>
      </c>
      <c r="B2298" s="12" t="str">
        <f t="shared" si="71"/>
        <v>Junho</v>
      </c>
      <c r="C2298" s="8" t="s">
        <v>2543</v>
      </c>
      <c r="D2298" s="8" t="s">
        <v>664</v>
      </c>
      <c r="E2298" s="8" t="s">
        <v>84</v>
      </c>
      <c r="F2298" s="23">
        <v>46156.453472222223</v>
      </c>
      <c r="G2298" s="8" t="s">
        <v>1043</v>
      </c>
      <c r="H2298" s="23">
        <v>46179</v>
      </c>
      <c r="I2298" s="23">
        <v>46156.453472222223</v>
      </c>
      <c r="J2298" s="10">
        <v>3000</v>
      </c>
      <c r="K2298" s="10">
        <v>0</v>
      </c>
      <c r="L2298" s="24">
        <v>0</v>
      </c>
      <c r="M2298" s="10">
        <v>3000</v>
      </c>
    </row>
    <row r="2299" spans="1:13" x14ac:dyDescent="0.25">
      <c r="A2299" s="12" t="str">
        <f t="shared" si="70"/>
        <v>6207LL BATERIAS E AUTO-ELETRICA LTDANFE46090</v>
      </c>
      <c r="B2299" s="12" t="str">
        <f t="shared" si="71"/>
        <v>Abril</v>
      </c>
      <c r="C2299" s="8" t="s">
        <v>566</v>
      </c>
      <c r="D2299" s="8" t="s">
        <v>664</v>
      </c>
      <c r="E2299" s="8" t="s">
        <v>111</v>
      </c>
      <c r="F2299" s="23">
        <v>46090</v>
      </c>
      <c r="G2299" s="8" t="s">
        <v>380</v>
      </c>
      <c r="H2299" s="23">
        <v>46120</v>
      </c>
      <c r="I2299" s="23">
        <v>46091</v>
      </c>
      <c r="J2299" s="10">
        <v>37</v>
      </c>
      <c r="K2299" s="10">
        <v>0</v>
      </c>
      <c r="L2299" s="24">
        <v>0</v>
      </c>
      <c r="M2299" s="10">
        <v>37</v>
      </c>
    </row>
    <row r="2300" spans="1:13" x14ac:dyDescent="0.25">
      <c r="A2300" s="12" t="str">
        <f t="shared" si="70"/>
        <v>627VIA TRUCK COMERCIO E SERVICOS LTDANSE46198</v>
      </c>
      <c r="B2300" s="12" t="str">
        <f t="shared" si="71"/>
        <v>Julho</v>
      </c>
      <c r="C2300" s="8" t="s">
        <v>925</v>
      </c>
      <c r="D2300" s="8" t="s">
        <v>1354</v>
      </c>
      <c r="E2300" s="8" t="s">
        <v>195</v>
      </c>
      <c r="F2300" s="23">
        <v>46198</v>
      </c>
      <c r="G2300" s="8" t="s">
        <v>665</v>
      </c>
      <c r="H2300" s="23">
        <v>46228</v>
      </c>
      <c r="I2300" s="23">
        <v>46199</v>
      </c>
      <c r="J2300" s="10">
        <v>682.6</v>
      </c>
      <c r="K2300" s="10">
        <v>0</v>
      </c>
      <c r="L2300" s="24">
        <v>0</v>
      </c>
      <c r="M2300" s="10">
        <v>648.47</v>
      </c>
    </row>
    <row r="2301" spans="1:13" x14ac:dyDescent="0.25">
      <c r="A2301" s="12" t="str">
        <f t="shared" si="70"/>
        <v>630VIA TRUCK COMERCIO E SERVICOS LTDANSE46202</v>
      </c>
      <c r="B2301" s="12" t="str">
        <f t="shared" si="71"/>
        <v>Julho</v>
      </c>
      <c r="C2301" s="8" t="s">
        <v>926</v>
      </c>
      <c r="D2301" s="8" t="s">
        <v>1354</v>
      </c>
      <c r="E2301" s="8" t="s">
        <v>195</v>
      </c>
      <c r="F2301" s="23">
        <v>46202</v>
      </c>
      <c r="G2301" s="8" t="s">
        <v>665</v>
      </c>
      <c r="H2301" s="23">
        <v>46232</v>
      </c>
      <c r="I2301" s="23">
        <v>46202</v>
      </c>
      <c r="J2301" s="10">
        <v>2320</v>
      </c>
      <c r="K2301" s="10">
        <v>0</v>
      </c>
      <c r="L2301" s="24">
        <v>0</v>
      </c>
      <c r="M2301" s="10">
        <v>2204</v>
      </c>
    </row>
    <row r="2302" spans="1:13" x14ac:dyDescent="0.25">
      <c r="A2302" s="12" t="str">
        <f t="shared" si="70"/>
        <v>6308LL BATERIAS E AUTO-ELETRICA LTDANFE46148</v>
      </c>
      <c r="B2302" s="12" t="str">
        <f t="shared" si="71"/>
        <v>Junho</v>
      </c>
      <c r="C2302" s="8" t="s">
        <v>567</v>
      </c>
      <c r="D2302" s="8" t="s">
        <v>664</v>
      </c>
      <c r="E2302" s="8" t="s">
        <v>111</v>
      </c>
      <c r="F2302" s="23">
        <v>46148</v>
      </c>
      <c r="G2302" s="8" t="s">
        <v>380</v>
      </c>
      <c r="H2302" s="23">
        <v>46179</v>
      </c>
      <c r="I2302" s="23">
        <v>46153</v>
      </c>
      <c r="J2302" s="10">
        <v>335</v>
      </c>
      <c r="K2302" s="10">
        <v>0</v>
      </c>
      <c r="L2302" s="24">
        <v>0</v>
      </c>
      <c r="M2302" s="10">
        <v>335</v>
      </c>
    </row>
    <row r="2303" spans="1:13" x14ac:dyDescent="0.25">
      <c r="A2303" s="12" t="str">
        <f t="shared" si="70"/>
        <v>6333LL BATERIAS E AUTO-ELETRICA LTDANFE46163</v>
      </c>
      <c r="B2303" s="12" t="str">
        <f t="shared" si="71"/>
        <v>Junho</v>
      </c>
      <c r="C2303" s="8" t="s">
        <v>568</v>
      </c>
      <c r="D2303" s="8" t="s">
        <v>664</v>
      </c>
      <c r="E2303" s="8" t="s">
        <v>111</v>
      </c>
      <c r="F2303" s="23">
        <v>46163</v>
      </c>
      <c r="G2303" s="8" t="s">
        <v>380</v>
      </c>
      <c r="H2303" s="23">
        <v>46192</v>
      </c>
      <c r="I2303" s="23">
        <v>46163</v>
      </c>
      <c r="J2303" s="10">
        <v>226</v>
      </c>
      <c r="K2303" s="10">
        <v>0</v>
      </c>
      <c r="L2303" s="24">
        <v>0</v>
      </c>
      <c r="M2303" s="10">
        <v>226</v>
      </c>
    </row>
    <row r="2304" spans="1:13" x14ac:dyDescent="0.25">
      <c r="A2304" s="12" t="str">
        <f t="shared" si="70"/>
        <v>64MYRELLE ALVES RIBEIRONSE46043</v>
      </c>
      <c r="B2304" s="12" t="str">
        <f t="shared" si="71"/>
        <v>Janeiro</v>
      </c>
      <c r="C2304" s="8" t="s">
        <v>927</v>
      </c>
      <c r="D2304" s="8" t="s">
        <v>1354</v>
      </c>
      <c r="E2304" s="8" t="s">
        <v>812</v>
      </c>
      <c r="F2304" s="23">
        <v>46043</v>
      </c>
      <c r="G2304" s="8" t="s">
        <v>665</v>
      </c>
      <c r="H2304" s="23">
        <v>46043</v>
      </c>
      <c r="I2304" s="23">
        <v>46043</v>
      </c>
      <c r="J2304" s="10">
        <v>4800</v>
      </c>
      <c r="K2304" s="10">
        <v>0</v>
      </c>
      <c r="L2304" s="24">
        <v>0</v>
      </c>
      <c r="M2304" s="10">
        <v>4800</v>
      </c>
    </row>
    <row r="2305" spans="1:13" x14ac:dyDescent="0.25">
      <c r="A2305" s="12" t="str">
        <f t="shared" si="70"/>
        <v>64RUAN SMITH GARCIA CARDOSORCB46181,6354166667</v>
      </c>
      <c r="B2305" s="12" t="str">
        <f t="shared" si="71"/>
        <v>Junho</v>
      </c>
      <c r="C2305" s="8" t="s">
        <v>927</v>
      </c>
      <c r="D2305" s="8" t="s">
        <v>664</v>
      </c>
      <c r="E2305" s="8" t="s">
        <v>175</v>
      </c>
      <c r="F2305" s="23">
        <v>46181.635416666664</v>
      </c>
      <c r="G2305" s="8" t="s">
        <v>1045</v>
      </c>
      <c r="H2305" s="23">
        <v>46184</v>
      </c>
      <c r="I2305" s="23">
        <v>46181.635416666664</v>
      </c>
      <c r="J2305" s="10">
        <v>95</v>
      </c>
      <c r="K2305" s="10">
        <v>0</v>
      </c>
      <c r="L2305" s="24">
        <v>0</v>
      </c>
      <c r="M2305" s="10">
        <v>95</v>
      </c>
    </row>
    <row r="2306" spans="1:13" x14ac:dyDescent="0.25">
      <c r="A2306" s="12" t="str">
        <f t="shared" ref="A2306:A2369" si="72">$C2306&amp;$E2306&amp;$G2306&amp;$F2306</f>
        <v>6420LL BATERIAS E AUTO-ELETRICA LTDANFE46209</v>
      </c>
      <c r="B2306" s="12" t="str">
        <f t="shared" si="71"/>
        <v>Agosto</v>
      </c>
      <c r="C2306" s="8" t="s">
        <v>569</v>
      </c>
      <c r="D2306" s="8" t="s">
        <v>664</v>
      </c>
      <c r="E2306" s="8" t="s">
        <v>111</v>
      </c>
      <c r="F2306" s="23">
        <v>46209</v>
      </c>
      <c r="G2306" s="8" t="s">
        <v>380</v>
      </c>
      <c r="H2306" s="23">
        <v>46239</v>
      </c>
      <c r="I2306" s="23">
        <v>46210</v>
      </c>
      <c r="J2306" s="10">
        <v>295</v>
      </c>
      <c r="K2306" s="10">
        <v>0</v>
      </c>
      <c r="L2306" s="24">
        <v>0</v>
      </c>
      <c r="M2306" s="10">
        <v>295</v>
      </c>
    </row>
    <row r="2307" spans="1:13" x14ac:dyDescent="0.25">
      <c r="A2307" s="12" t="str">
        <f t="shared" si="72"/>
        <v>642322026PREFEITURA MUNICIPAL DE CONTAGEMim46205,4881944444</v>
      </c>
      <c r="B2307" s="12" t="str">
        <f t="shared" ref="B2307:B2370" si="73">PROPER(TEXT($H2307,"MMMM"))</f>
        <v>Julho</v>
      </c>
      <c r="C2307" s="8" t="s">
        <v>2753</v>
      </c>
      <c r="D2307" s="8" t="s">
        <v>1354</v>
      </c>
      <c r="E2307" s="8" t="s">
        <v>1470</v>
      </c>
      <c r="F2307" s="23">
        <v>46205.488194444442</v>
      </c>
      <c r="G2307" s="8" t="s">
        <v>1248</v>
      </c>
      <c r="H2307" s="23">
        <v>46213</v>
      </c>
      <c r="I2307" s="23">
        <v>46205.488194444442</v>
      </c>
      <c r="J2307" s="10">
        <v>684</v>
      </c>
      <c r="K2307" s="10">
        <v>0</v>
      </c>
      <c r="L2307" s="24">
        <v>0</v>
      </c>
      <c r="M2307" s="10">
        <v>684</v>
      </c>
    </row>
    <row r="2308" spans="1:13" x14ac:dyDescent="0.25">
      <c r="A2308" s="12" t="str">
        <f t="shared" si="72"/>
        <v>65RUAN SMITH GARCIA CARDOSORCB46182,3361111111</v>
      </c>
      <c r="B2308" s="12" t="str">
        <f t="shared" si="73"/>
        <v>Junho</v>
      </c>
      <c r="C2308" s="8" t="s">
        <v>928</v>
      </c>
      <c r="D2308" s="8" t="s">
        <v>664</v>
      </c>
      <c r="E2308" s="8" t="s">
        <v>175</v>
      </c>
      <c r="F2308" s="23">
        <v>46182.336111111108</v>
      </c>
      <c r="G2308" s="8" t="s">
        <v>1045</v>
      </c>
      <c r="H2308" s="23">
        <v>46185</v>
      </c>
      <c r="I2308" s="23">
        <v>46182.336111111108</v>
      </c>
      <c r="J2308" s="10">
        <v>19</v>
      </c>
      <c r="K2308" s="10">
        <v>0</v>
      </c>
      <c r="L2308" s="24">
        <v>0</v>
      </c>
      <c r="M2308" s="10">
        <v>19</v>
      </c>
    </row>
    <row r="2309" spans="1:13" x14ac:dyDescent="0.25">
      <c r="A2309" s="12" t="str">
        <f t="shared" si="72"/>
        <v>651VIA TRUCK COMERCIO E SERVICOS LTDANFS46218</v>
      </c>
      <c r="B2309" s="12" t="str">
        <f t="shared" si="73"/>
        <v>Agosto</v>
      </c>
      <c r="C2309" s="8" t="s">
        <v>657</v>
      </c>
      <c r="D2309" s="8" t="s">
        <v>1354</v>
      </c>
      <c r="E2309" s="8" t="s">
        <v>195</v>
      </c>
      <c r="F2309" s="23">
        <v>46218</v>
      </c>
      <c r="G2309" s="8" t="s">
        <v>614</v>
      </c>
      <c r="H2309" s="23">
        <v>46248</v>
      </c>
      <c r="I2309" s="23">
        <v>46220</v>
      </c>
      <c r="J2309" s="10">
        <v>700</v>
      </c>
      <c r="K2309" s="10">
        <v>0</v>
      </c>
      <c r="L2309" s="24">
        <v>0</v>
      </c>
      <c r="M2309" s="10">
        <v>665</v>
      </c>
    </row>
    <row r="2310" spans="1:13" x14ac:dyDescent="0.25">
      <c r="A2310" s="12" t="str">
        <f t="shared" si="72"/>
        <v>6523CENTRO DE INTEGRACAO EMPRESA ESCOLA DE MINAS GERAISFT46104</v>
      </c>
      <c r="B2310" s="12" t="str">
        <f t="shared" si="73"/>
        <v>Maio</v>
      </c>
      <c r="C2310" s="8" t="s">
        <v>278</v>
      </c>
      <c r="D2310" s="8" t="s">
        <v>664</v>
      </c>
      <c r="E2310" s="8" t="s">
        <v>39</v>
      </c>
      <c r="F2310" s="23">
        <v>46104</v>
      </c>
      <c r="G2310" s="8" t="s">
        <v>232</v>
      </c>
      <c r="H2310" s="23">
        <v>46148</v>
      </c>
      <c r="I2310" s="23">
        <v>46107</v>
      </c>
      <c r="J2310" s="10">
        <v>1208</v>
      </c>
      <c r="K2310" s="10">
        <v>0</v>
      </c>
      <c r="L2310" s="24">
        <v>0</v>
      </c>
      <c r="M2310" s="10">
        <v>1208</v>
      </c>
    </row>
    <row r="2311" spans="1:13" x14ac:dyDescent="0.25">
      <c r="A2311" s="12" t="str">
        <f t="shared" si="72"/>
        <v>66ANDRE LUIZ MAYERNSE46028</v>
      </c>
      <c r="B2311" s="12" t="str">
        <f t="shared" si="73"/>
        <v>Janeiro</v>
      </c>
      <c r="C2311" s="8" t="s">
        <v>658</v>
      </c>
      <c r="D2311" s="8" t="s">
        <v>664</v>
      </c>
      <c r="E2311" s="8" t="s">
        <v>16</v>
      </c>
      <c r="F2311" s="23">
        <v>46028</v>
      </c>
      <c r="G2311" s="8" t="s">
        <v>665</v>
      </c>
      <c r="H2311" s="23">
        <v>46048</v>
      </c>
      <c r="I2311" s="23">
        <v>46028</v>
      </c>
      <c r="J2311" s="10">
        <v>740</v>
      </c>
      <c r="K2311" s="10">
        <v>0</v>
      </c>
      <c r="L2311" s="24">
        <v>0</v>
      </c>
      <c r="M2311" s="10">
        <v>740</v>
      </c>
    </row>
    <row r="2312" spans="1:13" x14ac:dyDescent="0.25">
      <c r="A2312" s="12" t="str">
        <f t="shared" si="72"/>
        <v>66RUAN SMITH GARCIA CARDOSORCB46192,5</v>
      </c>
      <c r="B2312" s="12" t="str">
        <f t="shared" si="73"/>
        <v>Junho</v>
      </c>
      <c r="C2312" s="8" t="s">
        <v>658</v>
      </c>
      <c r="D2312" s="8" t="s">
        <v>664</v>
      </c>
      <c r="E2312" s="8" t="s">
        <v>175</v>
      </c>
      <c r="F2312" s="23">
        <v>46192.5</v>
      </c>
      <c r="G2312" s="8" t="s">
        <v>1045</v>
      </c>
      <c r="H2312" s="23">
        <v>46198</v>
      </c>
      <c r="I2312" s="23">
        <v>46192.5</v>
      </c>
      <c r="J2312" s="10">
        <v>114</v>
      </c>
      <c r="K2312" s="10">
        <v>0</v>
      </c>
      <c r="L2312" s="24">
        <v>0</v>
      </c>
      <c r="M2312" s="10">
        <v>114</v>
      </c>
    </row>
    <row r="2313" spans="1:13" x14ac:dyDescent="0.25">
      <c r="A2313" s="12" t="str">
        <f t="shared" si="72"/>
        <v>66NAYARA REZENDE BARBOSA RODRIGUES DA CUNHANFS46189</v>
      </c>
      <c r="B2313" s="12" t="str">
        <f t="shared" si="73"/>
        <v>Julho</v>
      </c>
      <c r="C2313" s="8" t="s">
        <v>658</v>
      </c>
      <c r="D2313" s="8" t="s">
        <v>1400</v>
      </c>
      <c r="E2313" s="8" t="s">
        <v>136</v>
      </c>
      <c r="F2313" s="23">
        <v>46189</v>
      </c>
      <c r="G2313" s="8" t="s">
        <v>614</v>
      </c>
      <c r="H2313" s="23">
        <v>46212</v>
      </c>
      <c r="I2313" s="23">
        <v>46204</v>
      </c>
      <c r="J2313" s="10">
        <v>1040</v>
      </c>
      <c r="K2313" s="10">
        <v>0</v>
      </c>
      <c r="L2313" s="24">
        <v>0</v>
      </c>
      <c r="M2313" s="10">
        <v>1040</v>
      </c>
    </row>
    <row r="2314" spans="1:13" x14ac:dyDescent="0.25">
      <c r="A2314" s="12" t="str">
        <f t="shared" si="72"/>
        <v>66CAMPOS VEICULOS LTDA - PRIME AUTO CENTERNFS46224</v>
      </c>
      <c r="B2314" s="12" t="str">
        <f t="shared" si="73"/>
        <v>Agosto</v>
      </c>
      <c r="C2314" s="8" t="s">
        <v>658</v>
      </c>
      <c r="D2314" s="8" t="s">
        <v>1354</v>
      </c>
      <c r="E2314" s="8" t="s">
        <v>35</v>
      </c>
      <c r="F2314" s="23">
        <v>46224</v>
      </c>
      <c r="G2314" s="8" t="s">
        <v>614</v>
      </c>
      <c r="H2314" s="23">
        <v>46255</v>
      </c>
      <c r="I2314" s="23">
        <v>46235</v>
      </c>
      <c r="J2314" s="10">
        <v>2250</v>
      </c>
      <c r="K2314" s="10">
        <v>52.72</v>
      </c>
      <c r="L2314" s="24">
        <v>0</v>
      </c>
      <c r="M2314" s="10">
        <v>2107.2800000000002</v>
      </c>
    </row>
    <row r="2315" spans="1:13" x14ac:dyDescent="0.25">
      <c r="A2315" s="12" t="str">
        <f t="shared" si="72"/>
        <v>6680OCP EXAMES OCUPACIONAIS LTDANSE46136</v>
      </c>
      <c r="B2315" s="12" t="str">
        <f t="shared" si="73"/>
        <v>Junho</v>
      </c>
      <c r="C2315" s="8" t="s">
        <v>929</v>
      </c>
      <c r="D2315" s="8" t="s">
        <v>664</v>
      </c>
      <c r="E2315" s="8" t="s">
        <v>140</v>
      </c>
      <c r="F2315" s="23">
        <v>46136</v>
      </c>
      <c r="G2315" s="8" t="s">
        <v>665</v>
      </c>
      <c r="H2315" s="23">
        <v>46179</v>
      </c>
      <c r="I2315" s="23">
        <v>46139</v>
      </c>
      <c r="J2315" s="10">
        <v>5895.59</v>
      </c>
      <c r="K2315" s="10">
        <v>0</v>
      </c>
      <c r="L2315" s="24">
        <v>0</v>
      </c>
      <c r="M2315" s="10">
        <v>5533.01</v>
      </c>
    </row>
    <row r="2316" spans="1:13" x14ac:dyDescent="0.25">
      <c r="A2316" s="12" t="str">
        <f t="shared" si="72"/>
        <v>6680-1708-87MINISTERIO DA FAZENDAIM46142,6222222222</v>
      </c>
      <c r="B2316" s="12" t="str">
        <f t="shared" si="73"/>
        <v>Maio</v>
      </c>
      <c r="C2316" s="8" t="s">
        <v>2434</v>
      </c>
      <c r="D2316" s="8" t="s">
        <v>664</v>
      </c>
      <c r="E2316" s="8" t="s">
        <v>1503</v>
      </c>
      <c r="F2316" s="23">
        <v>46142.62222222222</v>
      </c>
      <c r="G2316" s="8" t="s">
        <v>1142</v>
      </c>
      <c r="H2316" s="23">
        <v>46162</v>
      </c>
      <c r="I2316" s="23">
        <v>46142.62222222222</v>
      </c>
      <c r="J2316" s="10">
        <v>88.43</v>
      </c>
      <c r="K2316" s="10">
        <v>0</v>
      </c>
      <c r="L2316" s="24">
        <v>0</v>
      </c>
      <c r="M2316" s="10">
        <v>88.43</v>
      </c>
    </row>
    <row r="2317" spans="1:13" x14ac:dyDescent="0.25">
      <c r="A2317" s="12" t="str">
        <f t="shared" si="72"/>
        <v>6680-5952-87MINISTERIO DA FAZENDAIM46142,6236111111</v>
      </c>
      <c r="B2317" s="12" t="str">
        <f t="shared" si="73"/>
        <v>Maio</v>
      </c>
      <c r="C2317" s="8" t="s">
        <v>2435</v>
      </c>
      <c r="D2317" s="8" t="s">
        <v>664</v>
      </c>
      <c r="E2317" s="8" t="s">
        <v>1503</v>
      </c>
      <c r="F2317" s="23">
        <v>46142.623611111114</v>
      </c>
      <c r="G2317" s="8" t="s">
        <v>1142</v>
      </c>
      <c r="H2317" s="23">
        <v>46162</v>
      </c>
      <c r="I2317" s="23">
        <v>46142.623611111114</v>
      </c>
      <c r="J2317" s="10">
        <v>274.14</v>
      </c>
      <c r="K2317" s="10">
        <v>0</v>
      </c>
      <c r="L2317" s="24">
        <v>0</v>
      </c>
      <c r="M2317" s="10">
        <v>274.14</v>
      </c>
    </row>
    <row r="2318" spans="1:13" x14ac:dyDescent="0.25">
      <c r="A2318" s="12" t="str">
        <f t="shared" si="72"/>
        <v>67FABIO ALVES PRATESNSE46090</v>
      </c>
      <c r="B2318" s="12" t="str">
        <f t="shared" si="73"/>
        <v>Abril</v>
      </c>
      <c r="C2318" s="8" t="s">
        <v>930</v>
      </c>
      <c r="D2318" s="8" t="s">
        <v>1354</v>
      </c>
      <c r="E2318" s="8" t="s">
        <v>67</v>
      </c>
      <c r="F2318" s="23">
        <v>46090</v>
      </c>
      <c r="G2318" s="8" t="s">
        <v>665</v>
      </c>
      <c r="H2318" s="23">
        <v>46118</v>
      </c>
      <c r="I2318" s="23">
        <v>46091</v>
      </c>
      <c r="J2318" s="10">
        <v>2700</v>
      </c>
      <c r="K2318" s="10">
        <v>0</v>
      </c>
      <c r="L2318" s="24">
        <v>0</v>
      </c>
      <c r="M2318" s="10">
        <v>2700</v>
      </c>
    </row>
    <row r="2319" spans="1:13" x14ac:dyDescent="0.25">
      <c r="A2319" s="12" t="str">
        <f t="shared" si="72"/>
        <v>67RUAN SMITH GARCIA CARDOSORCB46199,4465277778</v>
      </c>
      <c r="B2319" s="12" t="str">
        <f t="shared" si="73"/>
        <v>Julho</v>
      </c>
      <c r="C2319" s="8" t="s">
        <v>930</v>
      </c>
      <c r="D2319" s="8" t="s">
        <v>664</v>
      </c>
      <c r="E2319" s="8" t="s">
        <v>175</v>
      </c>
      <c r="F2319" s="23">
        <v>46199.446527777778</v>
      </c>
      <c r="G2319" s="8" t="s">
        <v>1045</v>
      </c>
      <c r="H2319" s="23">
        <v>46204</v>
      </c>
      <c r="I2319" s="23">
        <v>46199.446527777778</v>
      </c>
      <c r="J2319" s="10">
        <v>95</v>
      </c>
      <c r="K2319" s="10">
        <v>0</v>
      </c>
      <c r="L2319" s="24">
        <v>0</v>
      </c>
      <c r="M2319" s="10">
        <v>95</v>
      </c>
    </row>
    <row r="2320" spans="1:13" x14ac:dyDescent="0.25">
      <c r="A2320" s="12" t="str">
        <f t="shared" si="72"/>
        <v>670AVANSAT TECNOLOGIAS E SERVS EM SEGURANCA LTDANSE46085</v>
      </c>
      <c r="B2320" s="12" t="str">
        <f t="shared" si="73"/>
        <v>Abril</v>
      </c>
      <c r="C2320" s="8" t="s">
        <v>933</v>
      </c>
      <c r="D2320" s="8" t="s">
        <v>1354</v>
      </c>
      <c r="E2320" s="8" t="s">
        <v>24</v>
      </c>
      <c r="F2320" s="23">
        <v>46085</v>
      </c>
      <c r="G2320" s="8" t="s">
        <v>665</v>
      </c>
      <c r="H2320" s="23">
        <v>46118</v>
      </c>
      <c r="I2320" s="23">
        <v>46087</v>
      </c>
      <c r="J2320" s="10">
        <v>5941.35</v>
      </c>
      <c r="K2320" s="10">
        <v>0</v>
      </c>
      <c r="L2320" s="24">
        <v>0</v>
      </c>
      <c r="M2320" s="10">
        <v>5575.96</v>
      </c>
    </row>
    <row r="2321" spans="1:13" x14ac:dyDescent="0.25">
      <c r="A2321" s="12" t="str">
        <f t="shared" si="72"/>
        <v>670-1708-87MINISTERIO DA FAZENDAIM46099,7277777778</v>
      </c>
      <c r="B2321" s="12" t="str">
        <f t="shared" si="73"/>
        <v>Abril</v>
      </c>
      <c r="C2321" s="8" t="s">
        <v>2238</v>
      </c>
      <c r="D2321" s="8" t="s">
        <v>664</v>
      </c>
      <c r="E2321" s="8" t="s">
        <v>1503</v>
      </c>
      <c r="F2321" s="23">
        <v>46099.727777777778</v>
      </c>
      <c r="G2321" s="8" t="s">
        <v>1142</v>
      </c>
      <c r="H2321" s="23">
        <v>46132</v>
      </c>
      <c r="I2321" s="23">
        <v>46099.727777777778</v>
      </c>
      <c r="J2321" s="10">
        <v>89.12</v>
      </c>
      <c r="K2321" s="10">
        <v>0</v>
      </c>
      <c r="L2321" s="24">
        <v>0</v>
      </c>
      <c r="M2321" s="10">
        <v>89.12</v>
      </c>
    </row>
    <row r="2322" spans="1:13" x14ac:dyDescent="0.25">
      <c r="A2322" s="12" t="str">
        <f t="shared" si="72"/>
        <v>670-5952-87MINISTERIO DA FAZENDAIM46099,7291666667</v>
      </c>
      <c r="B2322" s="12" t="str">
        <f t="shared" si="73"/>
        <v>Abril</v>
      </c>
      <c r="C2322" s="8" t="s">
        <v>2239</v>
      </c>
      <c r="D2322" s="8" t="s">
        <v>664</v>
      </c>
      <c r="E2322" s="8" t="s">
        <v>1503</v>
      </c>
      <c r="F2322" s="23">
        <v>46099.729166666664</v>
      </c>
      <c r="G2322" s="8" t="s">
        <v>1142</v>
      </c>
      <c r="H2322" s="23">
        <v>46132</v>
      </c>
      <c r="I2322" s="23">
        <v>46099.729166666664</v>
      </c>
      <c r="J2322" s="10">
        <v>276.27</v>
      </c>
      <c r="K2322" s="10">
        <v>0</v>
      </c>
      <c r="L2322" s="24">
        <v>0</v>
      </c>
      <c r="M2322" s="10">
        <v>276.27</v>
      </c>
    </row>
    <row r="2323" spans="1:13" x14ac:dyDescent="0.25">
      <c r="A2323" s="12" t="str">
        <f t="shared" si="72"/>
        <v>6709882VIA VAREJÃO/SANFE46156</v>
      </c>
      <c r="B2323" s="12" t="str">
        <f t="shared" si="73"/>
        <v>Junho</v>
      </c>
      <c r="C2323" s="8" t="s">
        <v>570</v>
      </c>
      <c r="D2323" s="8" t="s">
        <v>1400</v>
      </c>
      <c r="E2323" s="8" t="s">
        <v>196</v>
      </c>
      <c r="F2323" s="23">
        <v>46156</v>
      </c>
      <c r="G2323" s="8" t="s">
        <v>380</v>
      </c>
      <c r="H2323" s="23">
        <v>46195</v>
      </c>
      <c r="I2323" s="23">
        <v>46185</v>
      </c>
      <c r="J2323" s="10">
        <v>720.93</v>
      </c>
      <c r="K2323" s="10">
        <v>0</v>
      </c>
      <c r="L2323" s="24">
        <v>0</v>
      </c>
      <c r="M2323" s="10">
        <v>720.94</v>
      </c>
    </row>
    <row r="2324" spans="1:13" x14ac:dyDescent="0.25">
      <c r="A2324" s="12" t="str">
        <f t="shared" si="72"/>
        <v>6709882VIA VAREJÃO/SANFE46156</v>
      </c>
      <c r="B2324" s="12" t="str">
        <f t="shared" si="73"/>
        <v>Julho</v>
      </c>
      <c r="C2324" s="8" t="s">
        <v>570</v>
      </c>
      <c r="D2324" s="8" t="s">
        <v>1400</v>
      </c>
      <c r="E2324" s="8" t="s">
        <v>196</v>
      </c>
      <c r="F2324" s="23">
        <v>46156</v>
      </c>
      <c r="G2324" s="8" t="s">
        <v>380</v>
      </c>
      <c r="H2324" s="23">
        <v>46223</v>
      </c>
      <c r="I2324" s="23">
        <v>46185</v>
      </c>
      <c r="J2324" s="10">
        <v>720.93</v>
      </c>
      <c r="K2324" s="10">
        <v>0</v>
      </c>
      <c r="L2324" s="24">
        <v>0</v>
      </c>
      <c r="M2324" s="10">
        <v>720.93</v>
      </c>
    </row>
    <row r="2325" spans="1:13" x14ac:dyDescent="0.25">
      <c r="A2325" s="12" t="str">
        <f t="shared" si="72"/>
        <v>6709882VIA VAREJÃO/SANFE46156</v>
      </c>
      <c r="B2325" s="12" t="str">
        <f t="shared" si="73"/>
        <v>Agosto</v>
      </c>
      <c r="C2325" s="8" t="s">
        <v>570</v>
      </c>
      <c r="D2325" s="8" t="s">
        <v>1400</v>
      </c>
      <c r="E2325" s="8" t="s">
        <v>196</v>
      </c>
      <c r="F2325" s="23">
        <v>46156</v>
      </c>
      <c r="G2325" s="8" t="s">
        <v>380</v>
      </c>
      <c r="H2325" s="23">
        <v>46254</v>
      </c>
      <c r="I2325" s="23">
        <v>46185</v>
      </c>
      <c r="J2325" s="10">
        <v>720.94</v>
      </c>
      <c r="K2325" s="10">
        <v>0</v>
      </c>
      <c r="L2325" s="24">
        <v>0</v>
      </c>
      <c r="M2325" s="10">
        <v>720.93</v>
      </c>
    </row>
    <row r="2326" spans="1:13" x14ac:dyDescent="0.25">
      <c r="A2326" s="12" t="str">
        <f t="shared" si="72"/>
        <v>671AVANSAT TECNOLOGIAS E SERVS EM SEGURANCA LTDANSE46087</v>
      </c>
      <c r="B2326" s="12" t="str">
        <f t="shared" si="73"/>
        <v>Abril</v>
      </c>
      <c r="C2326" s="8" t="s">
        <v>934</v>
      </c>
      <c r="D2326" s="8" t="s">
        <v>1354</v>
      </c>
      <c r="E2326" s="8" t="s">
        <v>24</v>
      </c>
      <c r="F2326" s="23">
        <v>46087</v>
      </c>
      <c r="G2326" s="8" t="s">
        <v>665</v>
      </c>
      <c r="H2326" s="23">
        <v>46118</v>
      </c>
      <c r="I2326" s="23">
        <v>46087</v>
      </c>
      <c r="J2326" s="10">
        <v>11929.32</v>
      </c>
      <c r="K2326" s="10">
        <v>0</v>
      </c>
      <c r="L2326" s="24">
        <v>0</v>
      </c>
      <c r="M2326" s="10">
        <v>11929.32</v>
      </c>
    </row>
    <row r="2327" spans="1:13" x14ac:dyDescent="0.25">
      <c r="A2327" s="12" t="str">
        <f t="shared" si="72"/>
        <v>6745898VIA VAREJÃO/SANFE46171</v>
      </c>
      <c r="B2327" s="12" t="str">
        <f t="shared" si="73"/>
        <v>Junho</v>
      </c>
      <c r="C2327" s="8" t="s">
        <v>571</v>
      </c>
      <c r="D2327" s="8" t="s">
        <v>1400</v>
      </c>
      <c r="E2327" s="8" t="s">
        <v>196</v>
      </c>
      <c r="F2327" s="23">
        <v>46171</v>
      </c>
      <c r="G2327" s="8" t="s">
        <v>380</v>
      </c>
      <c r="H2327" s="23">
        <v>46195</v>
      </c>
      <c r="I2327" s="23">
        <v>46185</v>
      </c>
      <c r="J2327" s="10">
        <v>173.62</v>
      </c>
      <c r="K2327" s="10">
        <v>0</v>
      </c>
      <c r="L2327" s="24">
        <v>0</v>
      </c>
      <c r="M2327" s="10">
        <v>173.62</v>
      </c>
    </row>
    <row r="2328" spans="1:13" x14ac:dyDescent="0.25">
      <c r="A2328" s="12" t="str">
        <f t="shared" si="72"/>
        <v>6745898VIA VAREJÃO/SANFE46171</v>
      </c>
      <c r="B2328" s="12" t="str">
        <f t="shared" si="73"/>
        <v>Julho</v>
      </c>
      <c r="C2328" s="8" t="s">
        <v>571</v>
      </c>
      <c r="D2328" s="8" t="s">
        <v>1400</v>
      </c>
      <c r="E2328" s="8" t="s">
        <v>196</v>
      </c>
      <c r="F2328" s="23">
        <v>46171</v>
      </c>
      <c r="G2328" s="8" t="s">
        <v>380</v>
      </c>
      <c r="H2328" s="23">
        <v>46223</v>
      </c>
      <c r="I2328" s="23">
        <v>46185</v>
      </c>
      <c r="J2328" s="10">
        <v>173.62</v>
      </c>
      <c r="K2328" s="10">
        <v>0</v>
      </c>
      <c r="L2328" s="24">
        <v>0</v>
      </c>
      <c r="M2328" s="10">
        <v>173.62</v>
      </c>
    </row>
    <row r="2329" spans="1:13" x14ac:dyDescent="0.25">
      <c r="A2329" s="12" t="str">
        <f t="shared" si="72"/>
        <v>6745898VIA VAREJÃO/SANFE46171</v>
      </c>
      <c r="B2329" s="12" t="str">
        <f t="shared" si="73"/>
        <v>Agosto</v>
      </c>
      <c r="C2329" s="8" t="s">
        <v>571</v>
      </c>
      <c r="D2329" s="8" t="s">
        <v>1400</v>
      </c>
      <c r="E2329" s="8" t="s">
        <v>196</v>
      </c>
      <c r="F2329" s="23">
        <v>46171</v>
      </c>
      <c r="G2329" s="8" t="s">
        <v>380</v>
      </c>
      <c r="H2329" s="23">
        <v>46254</v>
      </c>
      <c r="I2329" s="23">
        <v>46185</v>
      </c>
      <c r="J2329" s="10">
        <v>173.62</v>
      </c>
      <c r="K2329" s="10">
        <v>0</v>
      </c>
      <c r="L2329" s="24">
        <v>0</v>
      </c>
      <c r="M2329" s="10">
        <v>173.62</v>
      </c>
    </row>
    <row r="2330" spans="1:13" x14ac:dyDescent="0.25">
      <c r="A2330" s="12" t="str">
        <f t="shared" si="72"/>
        <v>68RUAN SMITH GARCIA CARDOSORCB46205,35625</v>
      </c>
      <c r="B2330" s="12" t="str">
        <f t="shared" si="73"/>
        <v>Julho</v>
      </c>
      <c r="C2330" s="8" t="s">
        <v>2701</v>
      </c>
      <c r="D2330" s="8" t="s">
        <v>664</v>
      </c>
      <c r="E2330" s="8" t="s">
        <v>175</v>
      </c>
      <c r="F2330" s="23">
        <v>46205.356249999997</v>
      </c>
      <c r="G2330" s="8" t="s">
        <v>1045</v>
      </c>
      <c r="H2330" s="23">
        <v>46210</v>
      </c>
      <c r="I2330" s="23">
        <v>46205.356249999997</v>
      </c>
      <c r="J2330" s="10">
        <v>95</v>
      </c>
      <c r="K2330" s="10">
        <v>0</v>
      </c>
      <c r="L2330" s="24">
        <v>0</v>
      </c>
      <c r="M2330" s="10">
        <v>95</v>
      </c>
    </row>
    <row r="2331" spans="1:13" x14ac:dyDescent="0.25">
      <c r="A2331" s="12" t="str">
        <f t="shared" si="72"/>
        <v>686MECANICA DIESEL DE VANS LTDANSE46251</v>
      </c>
      <c r="B2331" s="12" t="str">
        <f t="shared" si="73"/>
        <v>Setembro</v>
      </c>
      <c r="C2331" s="8" t="s">
        <v>935</v>
      </c>
      <c r="D2331" s="8" t="s">
        <v>1354</v>
      </c>
      <c r="E2331" s="8" t="s">
        <v>126</v>
      </c>
      <c r="F2331" s="23">
        <v>46251</v>
      </c>
      <c r="G2331" s="8" t="s">
        <v>665</v>
      </c>
      <c r="H2331" s="23">
        <v>46282</v>
      </c>
      <c r="I2331" s="23">
        <v>46252</v>
      </c>
      <c r="J2331" s="10">
        <v>1930</v>
      </c>
      <c r="K2331" s="10">
        <v>0</v>
      </c>
      <c r="L2331" s="24">
        <v>0</v>
      </c>
      <c r="M2331" s="10">
        <v>1930</v>
      </c>
    </row>
    <row r="2332" spans="1:13" x14ac:dyDescent="0.25">
      <c r="A2332" s="12" t="str">
        <f t="shared" si="72"/>
        <v>6867640PLUXEE BENEFICIOS BRASIL S.A.ND45662</v>
      </c>
      <c r="B2332" s="12" t="str">
        <f t="shared" si="73"/>
        <v>Fevereiro</v>
      </c>
      <c r="C2332" s="8" t="s">
        <v>337</v>
      </c>
      <c r="D2332" s="8" t="s">
        <v>664</v>
      </c>
      <c r="E2332" s="8" t="s">
        <v>157</v>
      </c>
      <c r="F2332" s="23">
        <v>45662</v>
      </c>
      <c r="G2332" s="8" t="s">
        <v>338</v>
      </c>
      <c r="H2332" s="23">
        <v>46057</v>
      </c>
      <c r="I2332" s="23">
        <v>46028</v>
      </c>
      <c r="J2332" s="10">
        <v>1260</v>
      </c>
      <c r="K2332" s="10">
        <v>0</v>
      </c>
      <c r="L2332" s="24">
        <v>0</v>
      </c>
      <c r="M2332" s="10">
        <v>1260</v>
      </c>
    </row>
    <row r="2333" spans="1:13" x14ac:dyDescent="0.25">
      <c r="A2333" s="12" t="str">
        <f t="shared" si="72"/>
        <v>6867640/87PLUXEE BENEFICIOS BRASIL S.A.NSE46027,3194444444</v>
      </c>
      <c r="B2333" s="12" t="str">
        <f t="shared" si="73"/>
        <v>Fevereiro</v>
      </c>
      <c r="C2333" s="8" t="s">
        <v>1456</v>
      </c>
      <c r="D2333" s="8" t="s">
        <v>664</v>
      </c>
      <c r="E2333" s="8" t="s">
        <v>157</v>
      </c>
      <c r="F2333" s="23">
        <v>46027.319444444445</v>
      </c>
      <c r="G2333" s="8" t="s">
        <v>665</v>
      </c>
      <c r="H2333" s="23">
        <v>46057</v>
      </c>
      <c r="I2333" s="23">
        <v>46028.319444444445</v>
      </c>
      <c r="J2333" s="10">
        <v>1260</v>
      </c>
      <c r="K2333" s="10">
        <v>0</v>
      </c>
      <c r="L2333" s="24">
        <v>0</v>
      </c>
      <c r="M2333" s="10">
        <v>1260</v>
      </c>
    </row>
    <row r="2334" spans="1:13" x14ac:dyDescent="0.25">
      <c r="A2334" s="12" t="str">
        <f t="shared" si="72"/>
        <v>69LL BATERIAS E AUTO-ELETRICA LTDANSE46162</v>
      </c>
      <c r="B2334" s="12" t="str">
        <f t="shared" si="73"/>
        <v>Junho</v>
      </c>
      <c r="C2334" s="8" t="s">
        <v>937</v>
      </c>
      <c r="D2334" s="8" t="s">
        <v>1354</v>
      </c>
      <c r="E2334" s="8" t="s">
        <v>111</v>
      </c>
      <c r="F2334" s="23">
        <v>46162</v>
      </c>
      <c r="G2334" s="8" t="s">
        <v>665</v>
      </c>
      <c r="H2334" s="23">
        <v>46192</v>
      </c>
      <c r="I2334" s="23">
        <v>46163</v>
      </c>
      <c r="J2334" s="10">
        <v>1480</v>
      </c>
      <c r="K2334" s="10">
        <v>0</v>
      </c>
      <c r="L2334" s="24">
        <v>0</v>
      </c>
      <c r="M2334" s="10">
        <v>1423.61</v>
      </c>
    </row>
    <row r="2335" spans="1:13" x14ac:dyDescent="0.25">
      <c r="A2335" s="12" t="str">
        <f t="shared" si="72"/>
        <v>69RUAN SMITH GARCIA CARDOSORCB46209,3756944444</v>
      </c>
      <c r="B2335" s="12" t="str">
        <f t="shared" si="73"/>
        <v>Julho</v>
      </c>
      <c r="C2335" s="8" t="s">
        <v>937</v>
      </c>
      <c r="D2335" s="8" t="s">
        <v>664</v>
      </c>
      <c r="E2335" s="8" t="s">
        <v>175</v>
      </c>
      <c r="F2335" s="23">
        <v>46209.375694444447</v>
      </c>
      <c r="G2335" s="8" t="s">
        <v>1045</v>
      </c>
      <c r="H2335" s="23">
        <v>46212</v>
      </c>
      <c r="I2335" s="23">
        <v>46209.375694444447</v>
      </c>
      <c r="J2335" s="10">
        <v>21</v>
      </c>
      <c r="K2335" s="10">
        <v>0</v>
      </c>
      <c r="L2335" s="24">
        <v>0</v>
      </c>
      <c r="M2335" s="10">
        <v>21</v>
      </c>
    </row>
    <row r="2336" spans="1:13" x14ac:dyDescent="0.25">
      <c r="A2336" s="12" t="str">
        <f t="shared" si="72"/>
        <v>695VIA TRUCK COMERCIO E SERVICOS LTDANSE46244</v>
      </c>
      <c r="B2336" s="12" t="str">
        <f t="shared" si="73"/>
        <v>Setembro</v>
      </c>
      <c r="C2336" s="8" t="s">
        <v>938</v>
      </c>
      <c r="D2336" s="8" t="s">
        <v>1354</v>
      </c>
      <c r="E2336" s="8" t="s">
        <v>195</v>
      </c>
      <c r="F2336" s="23">
        <v>46244</v>
      </c>
      <c r="G2336" s="8" t="s">
        <v>665</v>
      </c>
      <c r="H2336" s="23">
        <v>46274</v>
      </c>
      <c r="I2336" s="23">
        <v>46245</v>
      </c>
      <c r="J2336" s="10">
        <v>1272.5</v>
      </c>
      <c r="K2336" s="10">
        <v>0</v>
      </c>
      <c r="L2336" s="24">
        <v>0</v>
      </c>
      <c r="M2336" s="10">
        <v>1208.8699999999999</v>
      </c>
    </row>
    <row r="2337" spans="1:13" x14ac:dyDescent="0.25">
      <c r="A2337" s="12" t="str">
        <f t="shared" si="72"/>
        <v>6967993PLUXEE BENEFICIOS BRASIL S.A.ND46044</v>
      </c>
      <c r="B2337" s="12" t="str">
        <f t="shared" si="73"/>
        <v>Janeiro</v>
      </c>
      <c r="C2337" s="8" t="s">
        <v>340</v>
      </c>
      <c r="D2337" s="8" t="s">
        <v>1618</v>
      </c>
      <c r="E2337" s="8" t="s">
        <v>157</v>
      </c>
      <c r="F2337" s="23">
        <v>46044</v>
      </c>
      <c r="G2337" s="8" t="s">
        <v>338</v>
      </c>
      <c r="H2337" s="23">
        <v>46050</v>
      </c>
      <c r="I2337" s="23">
        <v>46045</v>
      </c>
      <c r="J2337" s="10">
        <v>10800</v>
      </c>
      <c r="K2337" s="10">
        <v>0</v>
      </c>
      <c r="L2337" s="24">
        <v>0</v>
      </c>
      <c r="M2337" s="10">
        <v>10800</v>
      </c>
    </row>
    <row r="2338" spans="1:13" x14ac:dyDescent="0.25">
      <c r="A2338" s="12" t="str">
        <f t="shared" si="72"/>
        <v>6967993/87PLUXEE BENEFICIOS BRASIL S.A.NSE46044</v>
      </c>
      <c r="B2338" s="12" t="str">
        <f t="shared" si="73"/>
        <v>Fevereiro</v>
      </c>
      <c r="C2338" s="8" t="s">
        <v>1632</v>
      </c>
      <c r="D2338" s="8" t="s">
        <v>664</v>
      </c>
      <c r="E2338" s="8" t="s">
        <v>157</v>
      </c>
      <c r="F2338" s="23">
        <v>46044</v>
      </c>
      <c r="G2338" s="8" t="s">
        <v>665</v>
      </c>
      <c r="H2338" s="23">
        <v>46074</v>
      </c>
      <c r="I2338" s="23">
        <v>46045</v>
      </c>
      <c r="J2338" s="10">
        <v>10800</v>
      </c>
      <c r="K2338" s="10">
        <v>0</v>
      </c>
      <c r="L2338" s="24">
        <v>0</v>
      </c>
      <c r="M2338" s="10">
        <v>10800</v>
      </c>
    </row>
    <row r="2339" spans="1:13" x14ac:dyDescent="0.25">
      <c r="A2339" s="12" t="str">
        <f t="shared" si="72"/>
        <v>6967999PLUXEE BENEFICIOS BRASIL S.A.ND46044</v>
      </c>
      <c r="B2339" s="12" t="str">
        <f t="shared" si="73"/>
        <v>Janeiro</v>
      </c>
      <c r="C2339" s="8" t="s">
        <v>341</v>
      </c>
      <c r="D2339" s="8" t="s">
        <v>1618</v>
      </c>
      <c r="E2339" s="8" t="s">
        <v>157</v>
      </c>
      <c r="F2339" s="23">
        <v>46044</v>
      </c>
      <c r="G2339" s="8" t="s">
        <v>338</v>
      </c>
      <c r="H2339" s="23">
        <v>46050</v>
      </c>
      <c r="I2339" s="23">
        <v>46045</v>
      </c>
      <c r="J2339" s="10">
        <v>7110</v>
      </c>
      <c r="K2339" s="10">
        <v>0</v>
      </c>
      <c r="L2339" s="24">
        <v>0</v>
      </c>
      <c r="M2339" s="10">
        <v>7110</v>
      </c>
    </row>
    <row r="2340" spans="1:13" x14ac:dyDescent="0.25">
      <c r="A2340" s="12" t="str">
        <f t="shared" si="72"/>
        <v>6967999/87PLUXEE BENEFICIOS BRASIL S.A.NSE46044</v>
      </c>
      <c r="B2340" s="12" t="str">
        <f t="shared" si="73"/>
        <v>Fevereiro</v>
      </c>
      <c r="C2340" s="8" t="s">
        <v>1633</v>
      </c>
      <c r="D2340" s="8" t="s">
        <v>664</v>
      </c>
      <c r="E2340" s="8" t="s">
        <v>157</v>
      </c>
      <c r="F2340" s="23">
        <v>46044</v>
      </c>
      <c r="G2340" s="8" t="s">
        <v>665</v>
      </c>
      <c r="H2340" s="23">
        <v>46074</v>
      </c>
      <c r="I2340" s="23">
        <v>46045</v>
      </c>
      <c r="J2340" s="10">
        <v>7110</v>
      </c>
      <c r="K2340" s="10">
        <v>0</v>
      </c>
      <c r="L2340" s="24">
        <v>0</v>
      </c>
      <c r="M2340" s="10">
        <v>7110</v>
      </c>
    </row>
    <row r="2341" spans="1:13" x14ac:dyDescent="0.25">
      <c r="A2341" s="12" t="str">
        <f t="shared" si="72"/>
        <v>6968005PLUXEE BENEFICIOS BRASIL S.A.ND46044</v>
      </c>
      <c r="B2341" s="12" t="str">
        <f t="shared" si="73"/>
        <v>Janeiro</v>
      </c>
      <c r="C2341" s="8" t="s">
        <v>342</v>
      </c>
      <c r="D2341" s="8" t="s">
        <v>1618</v>
      </c>
      <c r="E2341" s="8" t="s">
        <v>157</v>
      </c>
      <c r="F2341" s="23">
        <v>46044</v>
      </c>
      <c r="G2341" s="8" t="s">
        <v>338</v>
      </c>
      <c r="H2341" s="23">
        <v>46050</v>
      </c>
      <c r="I2341" s="23">
        <v>46045</v>
      </c>
      <c r="J2341" s="10">
        <v>63990</v>
      </c>
      <c r="K2341" s="10">
        <v>1523.21</v>
      </c>
      <c r="L2341" s="24">
        <v>0</v>
      </c>
      <c r="M2341" s="10">
        <v>62466.79</v>
      </c>
    </row>
    <row r="2342" spans="1:13" x14ac:dyDescent="0.25">
      <c r="A2342" s="12" t="str">
        <f t="shared" si="72"/>
        <v>6968005/87PLUXEE BENEFICIOS BRASIL S.A.NSE46044</v>
      </c>
      <c r="B2342" s="12" t="str">
        <f t="shared" si="73"/>
        <v>Fevereiro</v>
      </c>
      <c r="C2342" s="8" t="s">
        <v>1634</v>
      </c>
      <c r="D2342" s="8" t="s">
        <v>664</v>
      </c>
      <c r="E2342" s="8" t="s">
        <v>157</v>
      </c>
      <c r="F2342" s="23">
        <v>46044</v>
      </c>
      <c r="G2342" s="8" t="s">
        <v>665</v>
      </c>
      <c r="H2342" s="23">
        <v>46074</v>
      </c>
      <c r="I2342" s="23">
        <v>46048</v>
      </c>
      <c r="J2342" s="10">
        <v>63990</v>
      </c>
      <c r="K2342" s="10">
        <v>1523.21</v>
      </c>
      <c r="L2342" s="24">
        <v>0</v>
      </c>
      <c r="M2342" s="10">
        <v>62466.79</v>
      </c>
    </row>
    <row r="2343" spans="1:13" x14ac:dyDescent="0.25">
      <c r="A2343" s="12" t="str">
        <f t="shared" si="72"/>
        <v>6968028PLUXEE BENEFICIOS BRASIL S.A.ND46044</v>
      </c>
      <c r="B2343" s="12" t="str">
        <f t="shared" si="73"/>
        <v>Janeiro</v>
      </c>
      <c r="C2343" s="8" t="s">
        <v>343</v>
      </c>
      <c r="D2343" s="8" t="s">
        <v>1618</v>
      </c>
      <c r="E2343" s="8" t="s">
        <v>157</v>
      </c>
      <c r="F2343" s="23">
        <v>46044</v>
      </c>
      <c r="G2343" s="8" t="s">
        <v>338</v>
      </c>
      <c r="H2343" s="23">
        <v>46050</v>
      </c>
      <c r="I2343" s="23">
        <v>46045</v>
      </c>
      <c r="J2343" s="10">
        <v>1140</v>
      </c>
      <c r="K2343" s="10">
        <v>0</v>
      </c>
      <c r="L2343" s="24">
        <v>0</v>
      </c>
      <c r="M2343" s="10">
        <v>1140</v>
      </c>
    </row>
    <row r="2344" spans="1:13" x14ac:dyDescent="0.25">
      <c r="A2344" s="12" t="str">
        <f t="shared" si="72"/>
        <v>6968028/87PLUXEE BENEFICIOS BRASIL S.A.NSE46044</v>
      </c>
      <c r="B2344" s="12" t="str">
        <f t="shared" si="73"/>
        <v>Fevereiro</v>
      </c>
      <c r="C2344" s="8" t="s">
        <v>1635</v>
      </c>
      <c r="D2344" s="8" t="s">
        <v>664</v>
      </c>
      <c r="E2344" s="8" t="s">
        <v>157</v>
      </c>
      <c r="F2344" s="23">
        <v>46044</v>
      </c>
      <c r="G2344" s="8" t="s">
        <v>665</v>
      </c>
      <c r="H2344" s="23">
        <v>46074</v>
      </c>
      <c r="I2344" s="23">
        <v>46045</v>
      </c>
      <c r="J2344" s="10">
        <v>1140</v>
      </c>
      <c r="K2344" s="10">
        <v>0</v>
      </c>
      <c r="L2344" s="24">
        <v>0</v>
      </c>
      <c r="M2344" s="10">
        <v>1140</v>
      </c>
    </row>
    <row r="2345" spans="1:13" x14ac:dyDescent="0.25">
      <c r="A2345" s="12" t="str">
        <f t="shared" si="72"/>
        <v>7FERNANDO GONÇALVES DE SOUZARCB46028,575</v>
      </c>
      <c r="B2345" s="12" t="str">
        <f t="shared" si="73"/>
        <v>Janeiro</v>
      </c>
      <c r="C2345" s="8" t="s">
        <v>1442</v>
      </c>
      <c r="D2345" s="8" t="s">
        <v>664</v>
      </c>
      <c r="E2345" s="8" t="s">
        <v>1443</v>
      </c>
      <c r="F2345" s="23">
        <v>46028.574999999997</v>
      </c>
      <c r="G2345" s="8" t="s">
        <v>1045</v>
      </c>
      <c r="H2345" s="23">
        <v>46031</v>
      </c>
      <c r="I2345" s="23">
        <v>46028.574999999997</v>
      </c>
      <c r="J2345" s="10">
        <v>22</v>
      </c>
      <c r="K2345" s="10">
        <v>0</v>
      </c>
      <c r="L2345" s="24">
        <v>0</v>
      </c>
      <c r="M2345" s="10">
        <v>22</v>
      </c>
    </row>
    <row r="2346" spans="1:13" x14ac:dyDescent="0.25">
      <c r="A2346" s="12" t="str">
        <f t="shared" si="72"/>
        <v>7WALACE ROCHA DE SOUZARCB46030,6743055556</v>
      </c>
      <c r="B2346" s="12" t="str">
        <f t="shared" si="73"/>
        <v>Janeiro</v>
      </c>
      <c r="C2346" s="8" t="s">
        <v>1442</v>
      </c>
      <c r="D2346" s="8" t="s">
        <v>664</v>
      </c>
      <c r="E2346" s="8" t="s">
        <v>200</v>
      </c>
      <c r="F2346" s="23">
        <v>46030.674305555556</v>
      </c>
      <c r="G2346" s="8" t="s">
        <v>1045</v>
      </c>
      <c r="H2346" s="23">
        <v>46035</v>
      </c>
      <c r="I2346" s="23">
        <v>46030.674305555556</v>
      </c>
      <c r="J2346" s="10">
        <v>345</v>
      </c>
      <c r="K2346" s="10">
        <v>0</v>
      </c>
      <c r="L2346" s="24">
        <v>0</v>
      </c>
      <c r="M2346" s="10">
        <v>345</v>
      </c>
    </row>
    <row r="2347" spans="1:13" x14ac:dyDescent="0.25">
      <c r="A2347" s="12" t="str">
        <f t="shared" si="72"/>
        <v>7VALDECI TONIMRCB46043,4152777778</v>
      </c>
      <c r="B2347" s="12" t="str">
        <f t="shared" si="73"/>
        <v>Janeiro</v>
      </c>
      <c r="C2347" s="8" t="s">
        <v>1442</v>
      </c>
      <c r="D2347" s="8" t="s">
        <v>664</v>
      </c>
      <c r="E2347" s="8" t="s">
        <v>193</v>
      </c>
      <c r="F2347" s="23">
        <v>46043.415277777778</v>
      </c>
      <c r="G2347" s="8" t="s">
        <v>1045</v>
      </c>
      <c r="H2347" s="23">
        <v>46048</v>
      </c>
      <c r="I2347" s="23">
        <v>46043.415277777778</v>
      </c>
      <c r="J2347" s="10">
        <v>79.599999999999994</v>
      </c>
      <c r="K2347" s="10">
        <v>0</v>
      </c>
      <c r="L2347" s="24">
        <v>0</v>
      </c>
      <c r="M2347" s="10">
        <v>79.599999999999994</v>
      </c>
    </row>
    <row r="2348" spans="1:13" x14ac:dyDescent="0.25">
      <c r="A2348" s="12" t="str">
        <f t="shared" si="72"/>
        <v>7DANIELA CHAVES MARIANORCB46045,4347222222</v>
      </c>
      <c r="B2348" s="12" t="str">
        <f t="shared" si="73"/>
        <v>Janeiro</v>
      </c>
      <c r="C2348" s="8" t="s">
        <v>1442</v>
      </c>
      <c r="D2348" s="8" t="s">
        <v>664</v>
      </c>
      <c r="E2348" s="8" t="s">
        <v>47</v>
      </c>
      <c r="F2348" s="23">
        <v>46045.43472222222</v>
      </c>
      <c r="G2348" s="8" t="s">
        <v>1045</v>
      </c>
      <c r="H2348" s="23">
        <v>46050</v>
      </c>
      <c r="I2348" s="23">
        <v>46045.43472222222</v>
      </c>
      <c r="J2348" s="10">
        <v>120</v>
      </c>
      <c r="K2348" s="10">
        <v>0</v>
      </c>
      <c r="L2348" s="24">
        <v>0</v>
      </c>
      <c r="M2348" s="10">
        <v>120</v>
      </c>
    </row>
    <row r="2349" spans="1:13" x14ac:dyDescent="0.25">
      <c r="A2349" s="12" t="str">
        <f t="shared" si="72"/>
        <v>7CORREIOS AGUA BRANCARCB46072,6180555556</v>
      </c>
      <c r="B2349" s="12" t="str">
        <f t="shared" si="73"/>
        <v>Fevereiro</v>
      </c>
      <c r="C2349" s="8" t="s">
        <v>1442</v>
      </c>
      <c r="D2349" s="8" t="s">
        <v>664</v>
      </c>
      <c r="E2349" s="8" t="s">
        <v>45</v>
      </c>
      <c r="F2349" s="23">
        <v>46072.618055555555</v>
      </c>
      <c r="G2349" s="8" t="s">
        <v>1045</v>
      </c>
      <c r="H2349" s="23">
        <v>46077</v>
      </c>
      <c r="I2349" s="23">
        <v>46072.618055555555</v>
      </c>
      <c r="J2349" s="10">
        <v>84.4</v>
      </c>
      <c r="K2349" s="10">
        <v>0</v>
      </c>
      <c r="L2349" s="24">
        <v>0</v>
      </c>
      <c r="M2349" s="10">
        <v>84.4</v>
      </c>
    </row>
    <row r="2350" spans="1:13" x14ac:dyDescent="0.25">
      <c r="A2350" s="12" t="str">
        <f t="shared" si="72"/>
        <v>7PAULO HENRIQUE FERREIRA DA CRUZRCB46072,6625</v>
      </c>
      <c r="B2350" s="12" t="str">
        <f t="shared" si="73"/>
        <v>Fevereiro</v>
      </c>
      <c r="C2350" s="8" t="s">
        <v>1442</v>
      </c>
      <c r="D2350" s="8" t="s">
        <v>664</v>
      </c>
      <c r="E2350" s="8" t="s">
        <v>152</v>
      </c>
      <c r="F2350" s="23">
        <v>46072.662499999999</v>
      </c>
      <c r="G2350" s="8" t="s">
        <v>1045</v>
      </c>
      <c r="H2350" s="23">
        <v>46077</v>
      </c>
      <c r="I2350" s="23">
        <v>46072.662499999999</v>
      </c>
      <c r="J2350" s="10">
        <v>733</v>
      </c>
      <c r="K2350" s="10">
        <v>0</v>
      </c>
      <c r="L2350" s="24">
        <v>0</v>
      </c>
      <c r="M2350" s="10">
        <v>733</v>
      </c>
    </row>
    <row r="2351" spans="1:13" x14ac:dyDescent="0.25">
      <c r="A2351" s="12" t="str">
        <f t="shared" si="72"/>
        <v>7RAFAEL RODRIGUESRCB46080,4076388889</v>
      </c>
      <c r="B2351" s="12" t="str">
        <f t="shared" si="73"/>
        <v>Março</v>
      </c>
      <c r="C2351" s="8" t="s">
        <v>1442</v>
      </c>
      <c r="D2351" s="8" t="s">
        <v>664</v>
      </c>
      <c r="E2351" s="8" t="s">
        <v>161</v>
      </c>
      <c r="F2351" s="23">
        <v>46080.407638888886</v>
      </c>
      <c r="G2351" s="8" t="s">
        <v>1045</v>
      </c>
      <c r="H2351" s="23">
        <v>46085</v>
      </c>
      <c r="I2351" s="23">
        <v>46080.407638888886</v>
      </c>
      <c r="J2351" s="10">
        <v>100</v>
      </c>
      <c r="K2351" s="10">
        <v>0</v>
      </c>
      <c r="L2351" s="24">
        <v>0</v>
      </c>
      <c r="M2351" s="10">
        <v>100</v>
      </c>
    </row>
    <row r="2352" spans="1:13" x14ac:dyDescent="0.25">
      <c r="A2352" s="12" t="str">
        <f t="shared" si="72"/>
        <v>7MAURO CAVALCANTE RODRIGUESRCB46085,51875</v>
      </c>
      <c r="B2352" s="12" t="str">
        <f t="shared" si="73"/>
        <v>Março</v>
      </c>
      <c r="C2352" s="8" t="s">
        <v>1442</v>
      </c>
      <c r="D2352" s="8" t="s">
        <v>664</v>
      </c>
      <c r="E2352" s="8" t="s">
        <v>1584</v>
      </c>
      <c r="F2352" s="23">
        <v>46085.518750000003</v>
      </c>
      <c r="G2352" s="8" t="s">
        <v>1045</v>
      </c>
      <c r="H2352" s="23">
        <v>46091</v>
      </c>
      <c r="I2352" s="23">
        <v>46085.518750000003</v>
      </c>
      <c r="J2352" s="10">
        <v>28</v>
      </c>
      <c r="K2352" s="10">
        <v>0</v>
      </c>
      <c r="L2352" s="24">
        <v>0</v>
      </c>
      <c r="M2352" s="10">
        <v>28</v>
      </c>
    </row>
    <row r="2353" spans="1:13" x14ac:dyDescent="0.25">
      <c r="A2353" s="12" t="str">
        <f t="shared" si="72"/>
        <v>7RODOLFO GUILHERME BERNARDES NORBERTORCB46085,5243055556</v>
      </c>
      <c r="B2353" s="12" t="str">
        <f t="shared" si="73"/>
        <v>Março</v>
      </c>
      <c r="C2353" s="8" t="s">
        <v>1442</v>
      </c>
      <c r="D2353" s="8" t="s">
        <v>664</v>
      </c>
      <c r="E2353" s="8" t="s">
        <v>171</v>
      </c>
      <c r="F2353" s="23">
        <v>46085.524305555555</v>
      </c>
      <c r="G2353" s="8" t="s">
        <v>1045</v>
      </c>
      <c r="H2353" s="23">
        <v>46091</v>
      </c>
      <c r="I2353" s="23">
        <v>46085.524305555555</v>
      </c>
      <c r="J2353" s="10">
        <v>100</v>
      </c>
      <c r="K2353" s="10">
        <v>0</v>
      </c>
      <c r="L2353" s="24">
        <v>0</v>
      </c>
      <c r="M2353" s="10">
        <v>100</v>
      </c>
    </row>
    <row r="2354" spans="1:13" x14ac:dyDescent="0.25">
      <c r="A2354" s="12" t="str">
        <f t="shared" si="72"/>
        <v>7ANTONIO SILVA DE SOUSARCB46087,4027777778</v>
      </c>
      <c r="B2354" s="12" t="str">
        <f t="shared" si="73"/>
        <v>Março</v>
      </c>
      <c r="C2354" s="8" t="s">
        <v>1442</v>
      </c>
      <c r="D2354" s="8" t="s">
        <v>664</v>
      </c>
      <c r="E2354" s="8" t="s">
        <v>20</v>
      </c>
      <c r="F2354" s="23">
        <v>46087.402777777781</v>
      </c>
      <c r="G2354" s="8" t="s">
        <v>1045</v>
      </c>
      <c r="H2354" s="23">
        <v>46093</v>
      </c>
      <c r="I2354" s="23">
        <v>46087.402777777781</v>
      </c>
      <c r="J2354" s="10">
        <v>95</v>
      </c>
      <c r="K2354" s="10">
        <v>0</v>
      </c>
      <c r="L2354" s="24">
        <v>0</v>
      </c>
      <c r="M2354" s="10">
        <v>95</v>
      </c>
    </row>
    <row r="2355" spans="1:13" x14ac:dyDescent="0.25">
      <c r="A2355" s="12" t="str">
        <f t="shared" si="72"/>
        <v>7JESLEY WILLIAM MIRANDA DE SOUZARCB46105,6229166667</v>
      </c>
      <c r="B2355" s="12" t="str">
        <f t="shared" si="73"/>
        <v>Março</v>
      </c>
      <c r="C2355" s="8" t="s">
        <v>1442</v>
      </c>
      <c r="D2355" s="8" t="s">
        <v>664</v>
      </c>
      <c r="E2355" s="8" t="s">
        <v>90</v>
      </c>
      <c r="F2355" s="23">
        <v>46105.622916666667</v>
      </c>
      <c r="G2355" s="8" t="s">
        <v>1045</v>
      </c>
      <c r="H2355" s="23">
        <v>46108</v>
      </c>
      <c r="I2355" s="23">
        <v>46105.622916666667</v>
      </c>
      <c r="J2355" s="10">
        <v>120</v>
      </c>
      <c r="K2355" s="10">
        <v>0</v>
      </c>
      <c r="L2355" s="24">
        <v>0</v>
      </c>
      <c r="M2355" s="10">
        <v>120</v>
      </c>
    </row>
    <row r="2356" spans="1:13" x14ac:dyDescent="0.25">
      <c r="A2356" s="12" t="str">
        <f t="shared" si="72"/>
        <v>7WESLLEY FRANCO CALVISRCB46107,6236111111</v>
      </c>
      <c r="B2356" s="12" t="str">
        <f t="shared" si="73"/>
        <v>Março</v>
      </c>
      <c r="C2356" s="8" t="s">
        <v>1442</v>
      </c>
      <c r="D2356" s="8" t="s">
        <v>664</v>
      </c>
      <c r="E2356" s="8" t="s">
        <v>202</v>
      </c>
      <c r="F2356" s="23">
        <v>46107.623611111114</v>
      </c>
      <c r="G2356" s="8" t="s">
        <v>1045</v>
      </c>
      <c r="H2356" s="23">
        <v>46112</v>
      </c>
      <c r="I2356" s="23">
        <v>46107.623611111114</v>
      </c>
      <c r="J2356" s="10">
        <v>38</v>
      </c>
      <c r="K2356" s="10">
        <v>0</v>
      </c>
      <c r="L2356" s="24">
        <v>0</v>
      </c>
      <c r="M2356" s="10">
        <v>38</v>
      </c>
    </row>
    <row r="2357" spans="1:13" x14ac:dyDescent="0.25">
      <c r="A2357" s="12" t="str">
        <f t="shared" si="72"/>
        <v>7FERNANDA SANTOS SOARESRCB46108,4819444444</v>
      </c>
      <c r="B2357" s="12" t="str">
        <f t="shared" si="73"/>
        <v>Abril</v>
      </c>
      <c r="C2357" s="8" t="s">
        <v>1442</v>
      </c>
      <c r="D2357" s="8" t="s">
        <v>664</v>
      </c>
      <c r="E2357" s="8" t="s">
        <v>68</v>
      </c>
      <c r="F2357" s="23">
        <v>46108.481944444444</v>
      </c>
      <c r="G2357" s="8" t="s">
        <v>1045</v>
      </c>
      <c r="H2357" s="23">
        <v>46113</v>
      </c>
      <c r="I2357" s="23">
        <v>46108.481944444444</v>
      </c>
      <c r="J2357" s="10">
        <v>29.7</v>
      </c>
      <c r="K2357" s="10">
        <v>0</v>
      </c>
      <c r="L2357" s="24">
        <v>0</v>
      </c>
      <c r="M2357" s="10">
        <v>29.7</v>
      </c>
    </row>
    <row r="2358" spans="1:13" x14ac:dyDescent="0.25">
      <c r="A2358" s="12" t="str">
        <f t="shared" si="72"/>
        <v>7LAIENE LOPES TEIXEIRARCB46120,6020833333</v>
      </c>
      <c r="B2358" s="12" t="str">
        <f t="shared" si="73"/>
        <v>Abril</v>
      </c>
      <c r="C2358" s="8" t="s">
        <v>1442</v>
      </c>
      <c r="D2358" s="8" t="s">
        <v>664</v>
      </c>
      <c r="E2358" s="8" t="s">
        <v>106</v>
      </c>
      <c r="F2358" s="23">
        <v>46120.602083333331</v>
      </c>
      <c r="G2358" s="8" t="s">
        <v>1045</v>
      </c>
      <c r="H2358" s="23">
        <v>46125</v>
      </c>
      <c r="I2358" s="23">
        <v>46120.602083333331</v>
      </c>
      <c r="J2358" s="10">
        <v>228.5</v>
      </c>
      <c r="K2358" s="10">
        <v>0</v>
      </c>
      <c r="L2358" s="24">
        <v>0</v>
      </c>
      <c r="M2358" s="10">
        <v>228.5</v>
      </c>
    </row>
    <row r="2359" spans="1:13" x14ac:dyDescent="0.25">
      <c r="A2359" s="12" t="str">
        <f t="shared" si="72"/>
        <v>7PATRICIA JUSTINA DE ALMEIDARCB46120,6006944444</v>
      </c>
      <c r="B2359" s="12" t="str">
        <f t="shared" si="73"/>
        <v>Abril</v>
      </c>
      <c r="C2359" s="8" t="s">
        <v>1442</v>
      </c>
      <c r="D2359" s="8" t="s">
        <v>664</v>
      </c>
      <c r="E2359" s="8" t="s">
        <v>148</v>
      </c>
      <c r="F2359" s="23">
        <v>46120.600694444445</v>
      </c>
      <c r="G2359" s="8" t="s">
        <v>1045</v>
      </c>
      <c r="H2359" s="23">
        <v>46125</v>
      </c>
      <c r="I2359" s="23">
        <v>46120.600694444445</v>
      </c>
      <c r="J2359" s="10">
        <v>512.1</v>
      </c>
      <c r="K2359" s="10">
        <v>0</v>
      </c>
      <c r="L2359" s="24">
        <v>0</v>
      </c>
      <c r="M2359" s="10">
        <v>512.1</v>
      </c>
    </row>
    <row r="2360" spans="1:13" x14ac:dyDescent="0.25">
      <c r="A2360" s="12" t="str">
        <f t="shared" si="72"/>
        <v>7RODRIGO CORREARCB46126,3645833333</v>
      </c>
      <c r="B2360" s="12" t="str">
        <f t="shared" si="73"/>
        <v>Abril</v>
      </c>
      <c r="C2360" s="8" t="s">
        <v>1442</v>
      </c>
      <c r="D2360" s="8" t="s">
        <v>664</v>
      </c>
      <c r="E2360" s="8" t="s">
        <v>172</v>
      </c>
      <c r="F2360" s="23">
        <v>46126.364583333336</v>
      </c>
      <c r="G2360" s="8" t="s">
        <v>1045</v>
      </c>
      <c r="H2360" s="23">
        <v>46129</v>
      </c>
      <c r="I2360" s="23">
        <v>46126.364583333336</v>
      </c>
      <c r="J2360" s="10">
        <v>40</v>
      </c>
      <c r="K2360" s="10">
        <v>0</v>
      </c>
      <c r="L2360" s="24">
        <v>0</v>
      </c>
      <c r="M2360" s="10">
        <v>40</v>
      </c>
    </row>
    <row r="2361" spans="1:13" x14ac:dyDescent="0.25">
      <c r="A2361" s="12" t="str">
        <f t="shared" si="72"/>
        <v>7TIAGO FERNANDO DOS SANTOS SILVARCB46128,3763888889</v>
      </c>
      <c r="B2361" s="12" t="str">
        <f t="shared" si="73"/>
        <v>Abril</v>
      </c>
      <c r="C2361" s="8" t="s">
        <v>1442</v>
      </c>
      <c r="D2361" s="8" t="s">
        <v>664</v>
      </c>
      <c r="E2361" s="8" t="s">
        <v>188</v>
      </c>
      <c r="F2361" s="23">
        <v>46128.376388888886</v>
      </c>
      <c r="G2361" s="8" t="s">
        <v>1045</v>
      </c>
      <c r="H2361" s="23">
        <v>46134</v>
      </c>
      <c r="I2361" s="23">
        <v>46128.376388888886</v>
      </c>
      <c r="J2361" s="10">
        <v>220</v>
      </c>
      <c r="K2361" s="10">
        <v>0</v>
      </c>
      <c r="L2361" s="24">
        <v>0</v>
      </c>
      <c r="M2361" s="10">
        <v>220</v>
      </c>
    </row>
    <row r="2362" spans="1:13" x14ac:dyDescent="0.25">
      <c r="A2362" s="12" t="str">
        <f t="shared" si="72"/>
        <v>7DIONIZIO JOSE DE CASSIO PINTORCB46175,4993055556</v>
      </c>
      <c r="B2362" s="12" t="str">
        <f t="shared" si="73"/>
        <v>Junho</v>
      </c>
      <c r="C2362" s="8" t="s">
        <v>1442</v>
      </c>
      <c r="D2362" s="8" t="s">
        <v>664</v>
      </c>
      <c r="E2362" s="8" t="s">
        <v>53</v>
      </c>
      <c r="F2362" s="23">
        <v>46175.499305555553</v>
      </c>
      <c r="G2362" s="8" t="s">
        <v>1045</v>
      </c>
      <c r="H2362" s="23">
        <v>46178</v>
      </c>
      <c r="I2362" s="23">
        <v>46175.499305555553</v>
      </c>
      <c r="J2362" s="10">
        <v>90</v>
      </c>
      <c r="K2362" s="10">
        <v>0</v>
      </c>
      <c r="L2362" s="24">
        <v>0</v>
      </c>
      <c r="M2362" s="10">
        <v>90</v>
      </c>
    </row>
    <row r="2363" spans="1:13" x14ac:dyDescent="0.25">
      <c r="A2363" s="12" t="str">
        <f t="shared" si="72"/>
        <v>7ENERGISA MINAS GERAIS DISTRIBUIDORA DE ENERGIA S.A.RCB46184,35625</v>
      </c>
      <c r="B2363" s="12" t="str">
        <f t="shared" si="73"/>
        <v>Junho</v>
      </c>
      <c r="C2363" s="8" t="s">
        <v>1442</v>
      </c>
      <c r="D2363" s="8" t="s">
        <v>664</v>
      </c>
      <c r="E2363" s="8" t="s">
        <v>62</v>
      </c>
      <c r="F2363" s="23">
        <v>46184.356249999997</v>
      </c>
      <c r="G2363" s="8" t="s">
        <v>1045</v>
      </c>
      <c r="H2363" s="23">
        <v>46190</v>
      </c>
      <c r="I2363" s="23">
        <v>46184.356249999997</v>
      </c>
      <c r="J2363" s="10">
        <v>162.4</v>
      </c>
      <c r="K2363" s="10">
        <v>0</v>
      </c>
      <c r="L2363" s="24">
        <v>0</v>
      </c>
      <c r="M2363" s="10">
        <v>162.4</v>
      </c>
    </row>
    <row r="2364" spans="1:13" x14ac:dyDescent="0.25">
      <c r="A2364" s="12" t="str">
        <f t="shared" si="72"/>
        <v>7LEANDRO CARVALHO SILVARCB46190,6111111111</v>
      </c>
      <c r="B2364" s="12" t="str">
        <f t="shared" si="73"/>
        <v>Junho</v>
      </c>
      <c r="C2364" s="8" t="s">
        <v>1442</v>
      </c>
      <c r="D2364" s="8" t="s">
        <v>664</v>
      </c>
      <c r="E2364" s="8" t="s">
        <v>107</v>
      </c>
      <c r="F2364" s="23">
        <v>46190.611111111109</v>
      </c>
      <c r="G2364" s="8" t="s">
        <v>1045</v>
      </c>
      <c r="H2364" s="23">
        <v>46195</v>
      </c>
      <c r="I2364" s="23">
        <v>46190.611111111109</v>
      </c>
      <c r="J2364" s="10">
        <v>492</v>
      </c>
      <c r="K2364" s="10">
        <v>0</v>
      </c>
      <c r="L2364" s="24">
        <v>0</v>
      </c>
      <c r="M2364" s="10">
        <v>492</v>
      </c>
    </row>
    <row r="2365" spans="1:13" x14ac:dyDescent="0.25">
      <c r="A2365" s="12" t="str">
        <f t="shared" si="72"/>
        <v>7PAULO SILAS GOMES SOARESRCB46199,4451388889</v>
      </c>
      <c r="B2365" s="12" t="str">
        <f t="shared" si="73"/>
        <v>Julho</v>
      </c>
      <c r="C2365" s="8" t="s">
        <v>1442</v>
      </c>
      <c r="D2365" s="8" t="s">
        <v>664</v>
      </c>
      <c r="E2365" s="8" t="s">
        <v>154</v>
      </c>
      <c r="F2365" s="23">
        <v>46199.445138888892</v>
      </c>
      <c r="G2365" s="8" t="s">
        <v>1045</v>
      </c>
      <c r="H2365" s="23">
        <v>46204</v>
      </c>
      <c r="I2365" s="23">
        <v>46199.445138888892</v>
      </c>
      <c r="J2365" s="10">
        <v>263.68</v>
      </c>
      <c r="K2365" s="10">
        <v>0</v>
      </c>
      <c r="L2365" s="24">
        <v>0</v>
      </c>
      <c r="M2365" s="10">
        <v>263.68</v>
      </c>
    </row>
    <row r="2366" spans="1:13" x14ac:dyDescent="0.25">
      <c r="A2366" s="12" t="str">
        <f t="shared" si="72"/>
        <v>7ANA PAULA DE ALMEIDA ARAUJORCB46218,6145833333</v>
      </c>
      <c r="B2366" s="12" t="str">
        <f t="shared" si="73"/>
        <v>Julho</v>
      </c>
      <c r="C2366" s="8" t="s">
        <v>1442</v>
      </c>
      <c r="D2366" s="8" t="s">
        <v>664</v>
      </c>
      <c r="E2366" s="8" t="s">
        <v>12</v>
      </c>
      <c r="F2366" s="23">
        <v>46218.614583333336</v>
      </c>
      <c r="G2366" s="8" t="s">
        <v>1045</v>
      </c>
      <c r="H2366" s="23">
        <v>46223</v>
      </c>
      <c r="I2366" s="23">
        <v>46218.614583333336</v>
      </c>
      <c r="J2366" s="10">
        <v>15</v>
      </c>
      <c r="K2366" s="10">
        <v>0</v>
      </c>
      <c r="L2366" s="24">
        <v>0</v>
      </c>
      <c r="M2366" s="10">
        <v>15</v>
      </c>
    </row>
    <row r="2367" spans="1:13" x14ac:dyDescent="0.25">
      <c r="A2367" s="12" t="str">
        <f t="shared" si="72"/>
        <v>7ANDRE GOMES DA SILVARCB46225,5743055556</v>
      </c>
      <c r="B2367" s="12" t="str">
        <f t="shared" si="73"/>
        <v>Julho</v>
      </c>
      <c r="C2367" s="8" t="s">
        <v>1442</v>
      </c>
      <c r="D2367" s="8" t="s">
        <v>664</v>
      </c>
      <c r="E2367" s="8" t="s">
        <v>14</v>
      </c>
      <c r="F2367" s="23">
        <v>46225.574305555558</v>
      </c>
      <c r="G2367" s="8" t="s">
        <v>1045</v>
      </c>
      <c r="H2367" s="23">
        <v>46230</v>
      </c>
      <c r="I2367" s="23">
        <v>46225.574305555558</v>
      </c>
      <c r="J2367" s="10">
        <v>96</v>
      </c>
      <c r="K2367" s="10">
        <v>0</v>
      </c>
      <c r="L2367" s="24">
        <v>0</v>
      </c>
      <c r="M2367" s="10">
        <v>96</v>
      </c>
    </row>
    <row r="2368" spans="1:13" x14ac:dyDescent="0.25">
      <c r="A2368" s="12" t="str">
        <f t="shared" si="72"/>
        <v>7CARLOS ANTONIO PINTORCB46227,2416666667</v>
      </c>
      <c r="B2368" s="12" t="str">
        <f t="shared" si="73"/>
        <v>Julho</v>
      </c>
      <c r="C2368" s="8" t="s">
        <v>1442</v>
      </c>
      <c r="D2368" s="8" t="s">
        <v>664</v>
      </c>
      <c r="E2368" s="8" t="s">
        <v>36</v>
      </c>
      <c r="F2368" s="23">
        <v>46227.241666666669</v>
      </c>
      <c r="G2368" s="8" t="s">
        <v>1045</v>
      </c>
      <c r="H2368" s="23">
        <v>46232</v>
      </c>
      <c r="I2368" s="23">
        <v>46227.241666666669</v>
      </c>
      <c r="J2368" s="10">
        <v>74.8</v>
      </c>
      <c r="K2368" s="10">
        <v>0</v>
      </c>
      <c r="L2368" s="24">
        <v>0</v>
      </c>
      <c r="M2368" s="10">
        <v>74.8</v>
      </c>
    </row>
    <row r="2369" spans="1:13" x14ac:dyDescent="0.25">
      <c r="A2369" s="12" t="str">
        <f t="shared" si="72"/>
        <v>7ILDEON FERREIRA SANTOSRCB46238,3722222222</v>
      </c>
      <c r="B2369" s="12" t="str">
        <f t="shared" si="73"/>
        <v>Agosto</v>
      </c>
      <c r="C2369" s="8" t="s">
        <v>1442</v>
      </c>
      <c r="D2369" s="8" t="s">
        <v>664</v>
      </c>
      <c r="E2369" s="8" t="s">
        <v>86</v>
      </c>
      <c r="F2369" s="23">
        <v>46238.37222222222</v>
      </c>
      <c r="G2369" s="8" t="s">
        <v>1045</v>
      </c>
      <c r="H2369" s="23">
        <v>46241</v>
      </c>
      <c r="I2369" s="23">
        <v>46238.37222222222</v>
      </c>
      <c r="J2369" s="10">
        <v>140</v>
      </c>
      <c r="K2369" s="10">
        <v>0</v>
      </c>
      <c r="L2369" s="24">
        <v>0</v>
      </c>
      <c r="M2369" s="10">
        <v>140</v>
      </c>
    </row>
    <row r="2370" spans="1:13" x14ac:dyDescent="0.25">
      <c r="A2370" s="12" t="str">
        <f t="shared" ref="A2370:A2433" si="74">$C2370&amp;$E2370&amp;$G2370&amp;$F2370</f>
        <v>7MARAJO NAVEGACAO COMERCIO E TRANSPORTE DE PASSAGEIROS LTDARCB46246,6111111111</v>
      </c>
      <c r="B2370" s="12" t="str">
        <f t="shared" si="73"/>
        <v>Agosto</v>
      </c>
      <c r="C2370" s="8" t="s">
        <v>1442</v>
      </c>
      <c r="D2370" s="8" t="s">
        <v>664</v>
      </c>
      <c r="E2370" s="8" t="s">
        <v>118</v>
      </c>
      <c r="F2370" s="23">
        <v>46246.611111111109</v>
      </c>
      <c r="G2370" s="8" t="s">
        <v>1045</v>
      </c>
      <c r="H2370" s="23">
        <v>46251</v>
      </c>
      <c r="I2370" s="23">
        <v>46246.611111111109</v>
      </c>
      <c r="J2370" s="10">
        <v>1144</v>
      </c>
      <c r="K2370" s="10">
        <v>0</v>
      </c>
      <c r="L2370" s="24">
        <v>0</v>
      </c>
      <c r="M2370" s="10">
        <v>1144</v>
      </c>
    </row>
    <row r="2371" spans="1:13" x14ac:dyDescent="0.25">
      <c r="A2371" s="12" t="str">
        <f t="shared" si="74"/>
        <v>7EXPRESSO TRANSPORTE LTDARCB46246,6097222222</v>
      </c>
      <c r="B2371" s="12" t="str">
        <f t="shared" ref="B2371:B2434" si="75">PROPER(TEXT($H2371,"MMMM"))</f>
        <v>Agosto</v>
      </c>
      <c r="C2371" s="8" t="s">
        <v>1442</v>
      </c>
      <c r="D2371" s="8" t="s">
        <v>664</v>
      </c>
      <c r="E2371" s="8" t="s">
        <v>66</v>
      </c>
      <c r="F2371" s="23">
        <v>46246.609722222223</v>
      </c>
      <c r="G2371" s="8" t="s">
        <v>1045</v>
      </c>
      <c r="H2371" s="23">
        <v>46251</v>
      </c>
      <c r="I2371" s="23">
        <v>46246.609722222223</v>
      </c>
      <c r="J2371" s="10">
        <v>2964</v>
      </c>
      <c r="K2371" s="10">
        <v>0</v>
      </c>
      <c r="L2371" s="24">
        <v>0</v>
      </c>
      <c r="M2371" s="10">
        <v>2964</v>
      </c>
    </row>
    <row r="2372" spans="1:13" x14ac:dyDescent="0.25">
      <c r="A2372" s="12" t="str">
        <f t="shared" si="74"/>
        <v>7ANDERSON LUIS FROES DE JESUSRCB46259,4097222222</v>
      </c>
      <c r="B2372" s="12" t="str">
        <f t="shared" si="75"/>
        <v>Agosto</v>
      </c>
      <c r="C2372" s="8" t="s">
        <v>1442</v>
      </c>
      <c r="D2372" s="8" t="s">
        <v>664</v>
      </c>
      <c r="E2372" s="8" t="s">
        <v>13</v>
      </c>
      <c r="F2372" s="23">
        <v>46259.409722222219</v>
      </c>
      <c r="G2372" s="8" t="s">
        <v>1045</v>
      </c>
      <c r="H2372" s="23">
        <v>46262</v>
      </c>
      <c r="I2372" s="23">
        <v>46259.409722222219</v>
      </c>
      <c r="J2372" s="10">
        <v>70</v>
      </c>
      <c r="K2372" s="10">
        <v>0</v>
      </c>
      <c r="L2372" s="24">
        <v>0</v>
      </c>
      <c r="M2372" s="10">
        <v>70</v>
      </c>
    </row>
    <row r="2373" spans="1:13" x14ac:dyDescent="0.25">
      <c r="A2373" s="12" t="str">
        <f t="shared" si="74"/>
        <v>7KATHLEEN KRISLEY AMBROSIO LARARCB46260,45</v>
      </c>
      <c r="B2373" s="12" t="str">
        <f t="shared" si="75"/>
        <v>Agosto</v>
      </c>
      <c r="C2373" s="8" t="s">
        <v>1442</v>
      </c>
      <c r="D2373" s="8" t="s">
        <v>664</v>
      </c>
      <c r="E2373" s="8" t="s">
        <v>104</v>
      </c>
      <c r="F2373" s="23">
        <v>46260.45</v>
      </c>
      <c r="G2373" s="8" t="s">
        <v>1045</v>
      </c>
      <c r="H2373" s="23">
        <v>46265</v>
      </c>
      <c r="I2373" s="23">
        <v>46260.45</v>
      </c>
      <c r="J2373" s="10">
        <v>297.20999999999998</v>
      </c>
      <c r="K2373" s="10">
        <v>0</v>
      </c>
      <c r="L2373" s="24">
        <v>0</v>
      </c>
      <c r="M2373" s="10">
        <v>297.20999999999998</v>
      </c>
    </row>
    <row r="2374" spans="1:13" x14ac:dyDescent="0.25">
      <c r="A2374" s="12" t="str">
        <f t="shared" si="74"/>
        <v>70RUAN SMITH GARCIA CARDOSORCB46213,4875</v>
      </c>
      <c r="B2374" s="12" t="str">
        <f t="shared" si="75"/>
        <v>Julho</v>
      </c>
      <c r="C2374" s="8" t="s">
        <v>2754</v>
      </c>
      <c r="D2374" s="8" t="s">
        <v>664</v>
      </c>
      <c r="E2374" s="8" t="s">
        <v>175</v>
      </c>
      <c r="F2374" s="23">
        <v>46213.487500000003</v>
      </c>
      <c r="G2374" s="8" t="s">
        <v>1045</v>
      </c>
      <c r="H2374" s="23">
        <v>46218</v>
      </c>
      <c r="I2374" s="23">
        <v>46213.487500000003</v>
      </c>
      <c r="J2374" s="10">
        <v>95</v>
      </c>
      <c r="K2374" s="10">
        <v>0</v>
      </c>
      <c r="L2374" s="24">
        <v>0</v>
      </c>
      <c r="M2374" s="10">
        <v>95</v>
      </c>
    </row>
    <row r="2375" spans="1:13" x14ac:dyDescent="0.25">
      <c r="A2375" s="12" t="str">
        <f t="shared" si="74"/>
        <v>7084TREVISO BETIM VEICULOS LTDANSE46098</v>
      </c>
      <c r="B2375" s="12" t="str">
        <f t="shared" si="75"/>
        <v>Abril</v>
      </c>
      <c r="C2375" s="8" t="s">
        <v>939</v>
      </c>
      <c r="D2375" s="8" t="s">
        <v>1354</v>
      </c>
      <c r="E2375" s="8" t="s">
        <v>190</v>
      </c>
      <c r="F2375" s="23">
        <v>46098</v>
      </c>
      <c r="G2375" s="8" t="s">
        <v>665</v>
      </c>
      <c r="H2375" s="23">
        <v>46126</v>
      </c>
      <c r="I2375" s="23">
        <v>46100</v>
      </c>
      <c r="J2375" s="10">
        <v>1231.99</v>
      </c>
      <c r="K2375" s="10">
        <v>0</v>
      </c>
      <c r="L2375" s="24">
        <v>0</v>
      </c>
      <c r="M2375" s="10">
        <v>1231.99</v>
      </c>
    </row>
    <row r="2376" spans="1:13" x14ac:dyDescent="0.25">
      <c r="A2376" s="12" t="str">
        <f t="shared" si="74"/>
        <v>709AUTO CENTER RM LTDANSE46203</v>
      </c>
      <c r="B2376" s="12" t="str">
        <f t="shared" si="75"/>
        <v>Agosto</v>
      </c>
      <c r="C2376" s="8" t="s">
        <v>940</v>
      </c>
      <c r="D2376" s="8" t="s">
        <v>1354</v>
      </c>
      <c r="E2376" s="8" t="s">
        <v>22</v>
      </c>
      <c r="F2376" s="23">
        <v>46203</v>
      </c>
      <c r="G2376" s="8" t="s">
        <v>665</v>
      </c>
      <c r="H2376" s="23">
        <v>46240</v>
      </c>
      <c r="I2376" s="23">
        <v>46203</v>
      </c>
      <c r="J2376" s="10">
        <v>2600</v>
      </c>
      <c r="K2376" s="10">
        <v>0</v>
      </c>
      <c r="L2376" s="24">
        <v>0</v>
      </c>
      <c r="M2376" s="10">
        <v>2496</v>
      </c>
    </row>
    <row r="2377" spans="1:13" x14ac:dyDescent="0.25">
      <c r="A2377" s="12" t="str">
        <f t="shared" si="74"/>
        <v>71RUAN SMITH GARCIA CARDOSORCB46224,3756944444</v>
      </c>
      <c r="B2377" s="12" t="str">
        <f t="shared" si="75"/>
        <v>Julho</v>
      </c>
      <c r="C2377" s="8" t="s">
        <v>2835</v>
      </c>
      <c r="D2377" s="8" t="s">
        <v>664</v>
      </c>
      <c r="E2377" s="8" t="s">
        <v>175</v>
      </c>
      <c r="F2377" s="23">
        <v>46224.375694444447</v>
      </c>
      <c r="G2377" s="8" t="s">
        <v>1045</v>
      </c>
      <c r="H2377" s="23">
        <v>46227</v>
      </c>
      <c r="I2377" s="23">
        <v>46224.375694444447</v>
      </c>
      <c r="J2377" s="10">
        <v>95</v>
      </c>
      <c r="K2377" s="10">
        <v>0</v>
      </c>
      <c r="L2377" s="24">
        <v>0</v>
      </c>
      <c r="M2377" s="10">
        <v>95</v>
      </c>
    </row>
    <row r="2378" spans="1:13" x14ac:dyDescent="0.25">
      <c r="A2378" s="12" t="str">
        <f t="shared" si="74"/>
        <v>71000REALGLASS ATACADO E VAREJO LTDANFE46234</v>
      </c>
      <c r="B2378" s="12" t="str">
        <f t="shared" si="75"/>
        <v>Agosto</v>
      </c>
      <c r="C2378" s="8" t="s">
        <v>572</v>
      </c>
      <c r="D2378" s="8" t="s">
        <v>1400</v>
      </c>
      <c r="E2378" s="8" t="s">
        <v>165</v>
      </c>
      <c r="F2378" s="23">
        <v>46234</v>
      </c>
      <c r="G2378" s="8" t="s">
        <v>380</v>
      </c>
      <c r="H2378" s="23">
        <v>46265</v>
      </c>
      <c r="I2378" s="23">
        <v>46237</v>
      </c>
      <c r="J2378" s="10">
        <v>860</v>
      </c>
      <c r="K2378" s="10">
        <v>0</v>
      </c>
      <c r="L2378" s="24">
        <v>0</v>
      </c>
      <c r="M2378" s="10">
        <v>860</v>
      </c>
    </row>
    <row r="2379" spans="1:13" x14ac:dyDescent="0.25">
      <c r="A2379" s="12" t="str">
        <f t="shared" si="74"/>
        <v>71018REALGLASS ATACADO E VAREJO LTDANFE46237</v>
      </c>
      <c r="B2379" s="12" t="str">
        <f t="shared" si="75"/>
        <v>Setembro</v>
      </c>
      <c r="C2379" s="8" t="s">
        <v>574</v>
      </c>
      <c r="D2379" s="8" t="s">
        <v>1400</v>
      </c>
      <c r="E2379" s="8" t="s">
        <v>165</v>
      </c>
      <c r="F2379" s="23">
        <v>46237</v>
      </c>
      <c r="G2379" s="8" t="s">
        <v>380</v>
      </c>
      <c r="H2379" s="23">
        <v>46267</v>
      </c>
      <c r="I2379" s="23">
        <v>46245</v>
      </c>
      <c r="J2379" s="10">
        <v>920</v>
      </c>
      <c r="K2379" s="10">
        <v>0</v>
      </c>
      <c r="L2379" s="24">
        <v>0</v>
      </c>
      <c r="M2379" s="10">
        <v>920</v>
      </c>
    </row>
    <row r="2380" spans="1:13" x14ac:dyDescent="0.25">
      <c r="A2380" s="12" t="str">
        <f t="shared" si="74"/>
        <v>71022REALGLASS ATACADO E VAREJO LTDANFE46237</v>
      </c>
      <c r="B2380" s="12" t="str">
        <f t="shared" si="75"/>
        <v>Setembro</v>
      </c>
      <c r="C2380" s="8" t="s">
        <v>575</v>
      </c>
      <c r="D2380" s="8" t="s">
        <v>1400</v>
      </c>
      <c r="E2380" s="8" t="s">
        <v>165</v>
      </c>
      <c r="F2380" s="23">
        <v>46237</v>
      </c>
      <c r="G2380" s="8" t="s">
        <v>380</v>
      </c>
      <c r="H2380" s="23">
        <v>46267</v>
      </c>
      <c r="I2380" s="23">
        <v>46245</v>
      </c>
      <c r="J2380" s="10">
        <v>920</v>
      </c>
      <c r="K2380" s="10">
        <v>0</v>
      </c>
      <c r="L2380" s="24">
        <v>0</v>
      </c>
      <c r="M2380" s="10">
        <v>920</v>
      </c>
    </row>
    <row r="2381" spans="1:13" x14ac:dyDescent="0.25">
      <c r="A2381" s="12" t="str">
        <f t="shared" si="74"/>
        <v>71119REALGLASS ATACADO E VAREJO LTDANFE46240</v>
      </c>
      <c r="B2381" s="12" t="str">
        <f t="shared" si="75"/>
        <v>Setembro</v>
      </c>
      <c r="C2381" s="8" t="s">
        <v>576</v>
      </c>
      <c r="D2381" s="8" t="s">
        <v>1400</v>
      </c>
      <c r="E2381" s="8" t="s">
        <v>165</v>
      </c>
      <c r="F2381" s="23">
        <v>46240</v>
      </c>
      <c r="G2381" s="8" t="s">
        <v>380</v>
      </c>
      <c r="H2381" s="23">
        <v>46272</v>
      </c>
      <c r="I2381" s="23">
        <v>46245</v>
      </c>
      <c r="J2381" s="10">
        <v>920</v>
      </c>
      <c r="K2381" s="10">
        <v>0</v>
      </c>
      <c r="L2381" s="24">
        <v>0</v>
      </c>
      <c r="M2381" s="10">
        <v>920</v>
      </c>
    </row>
    <row r="2382" spans="1:13" x14ac:dyDescent="0.25">
      <c r="A2382" s="12" t="str">
        <f t="shared" si="74"/>
        <v>711427SASCAR TECNOLOGIA E SEGURANÇA AUTOMOTICA S/ANSE45996</v>
      </c>
      <c r="B2382" s="12" t="str">
        <f t="shared" si="75"/>
        <v>Janeiro</v>
      </c>
      <c r="C2382" s="8" t="s">
        <v>1446</v>
      </c>
      <c r="D2382" s="8" t="s">
        <v>1354</v>
      </c>
      <c r="E2382" s="8" t="s">
        <v>179</v>
      </c>
      <c r="F2382" s="23">
        <v>45996</v>
      </c>
      <c r="G2382" s="8" t="s">
        <v>665</v>
      </c>
      <c r="H2382" s="23">
        <v>46029</v>
      </c>
      <c r="I2382" s="23">
        <v>45996</v>
      </c>
      <c r="J2382" s="10">
        <v>357.45</v>
      </c>
      <c r="K2382" s="10">
        <v>0</v>
      </c>
      <c r="L2382" s="24">
        <v>0</v>
      </c>
      <c r="M2382" s="10">
        <v>357.45</v>
      </c>
    </row>
    <row r="2383" spans="1:13" x14ac:dyDescent="0.25">
      <c r="A2383" s="12" t="str">
        <f t="shared" si="74"/>
        <v>712GFP AUTO ELETRICA LTDANSE46268</v>
      </c>
      <c r="B2383" s="12" t="str">
        <f t="shared" si="75"/>
        <v>Setembro</v>
      </c>
      <c r="C2383" s="8" t="s">
        <v>942</v>
      </c>
      <c r="D2383" s="8" t="s">
        <v>1354</v>
      </c>
      <c r="E2383" s="8" t="s">
        <v>211</v>
      </c>
      <c r="F2383" s="23">
        <v>46268</v>
      </c>
      <c r="G2383" s="8" t="s">
        <v>665</v>
      </c>
      <c r="H2383" s="23">
        <v>46295</v>
      </c>
      <c r="I2383" s="23">
        <v>46273</v>
      </c>
      <c r="J2383" s="10">
        <v>250</v>
      </c>
      <c r="K2383" s="10">
        <v>0</v>
      </c>
      <c r="L2383" s="24">
        <v>0</v>
      </c>
      <c r="M2383" s="10">
        <v>240</v>
      </c>
    </row>
    <row r="2384" spans="1:13" x14ac:dyDescent="0.25">
      <c r="A2384" s="12" t="str">
        <f t="shared" si="74"/>
        <v>714ROCHA POMBO ANDRADE E CAPETTI ADVOGADOS (FERNANDO CARNEIRO)NSE46030</v>
      </c>
      <c r="B2384" s="12" t="str">
        <f t="shared" si="75"/>
        <v>Fevereiro</v>
      </c>
      <c r="C2384" s="8" t="s">
        <v>944</v>
      </c>
      <c r="D2384" s="8" t="s">
        <v>664</v>
      </c>
      <c r="E2384" s="8" t="s">
        <v>169</v>
      </c>
      <c r="F2384" s="23">
        <v>46030</v>
      </c>
      <c r="G2384" s="8" t="s">
        <v>665</v>
      </c>
      <c r="H2384" s="23">
        <v>46073</v>
      </c>
      <c r="I2384" s="23">
        <v>46030</v>
      </c>
      <c r="J2384" s="10">
        <v>1400</v>
      </c>
      <c r="K2384" s="10">
        <v>0</v>
      </c>
      <c r="L2384" s="24">
        <v>0</v>
      </c>
      <c r="M2384" s="10">
        <v>1313.9</v>
      </c>
    </row>
    <row r="2385" spans="1:13" x14ac:dyDescent="0.25">
      <c r="A2385" s="12" t="str">
        <f t="shared" si="74"/>
        <v>714-1708-87MINISTERIO DA FAZENDAIM46037,5173611111</v>
      </c>
      <c r="B2385" s="12" t="str">
        <f t="shared" si="75"/>
        <v>Fevereiro</v>
      </c>
      <c r="C2385" s="8" t="s">
        <v>1770</v>
      </c>
      <c r="D2385" s="8" t="s">
        <v>664</v>
      </c>
      <c r="E2385" s="8" t="s">
        <v>1503</v>
      </c>
      <c r="F2385" s="23">
        <v>46037.517361111109</v>
      </c>
      <c r="G2385" s="8" t="s">
        <v>1142</v>
      </c>
      <c r="H2385" s="23">
        <v>46073</v>
      </c>
      <c r="I2385" s="23">
        <v>46037.517361111109</v>
      </c>
      <c r="J2385" s="10">
        <v>21</v>
      </c>
      <c r="K2385" s="10">
        <v>0</v>
      </c>
      <c r="L2385" s="24">
        <v>0</v>
      </c>
      <c r="M2385" s="10">
        <v>21</v>
      </c>
    </row>
    <row r="2386" spans="1:13" x14ac:dyDescent="0.25">
      <c r="A2386" s="12" t="str">
        <f t="shared" si="74"/>
        <v>714-5952-87MINISTERIO DA FAZENDAIM46037,5194444444</v>
      </c>
      <c r="B2386" s="12" t="str">
        <f t="shared" si="75"/>
        <v>Fevereiro</v>
      </c>
      <c r="C2386" s="8" t="s">
        <v>1771</v>
      </c>
      <c r="D2386" s="8" t="s">
        <v>664</v>
      </c>
      <c r="E2386" s="8" t="s">
        <v>1503</v>
      </c>
      <c r="F2386" s="23">
        <v>46037.519444444442</v>
      </c>
      <c r="G2386" s="8" t="s">
        <v>1142</v>
      </c>
      <c r="H2386" s="23">
        <v>46073</v>
      </c>
      <c r="I2386" s="23">
        <v>46037.519444444442</v>
      </c>
      <c r="J2386" s="10">
        <v>65.099999999999994</v>
      </c>
      <c r="K2386" s="10">
        <v>0</v>
      </c>
      <c r="L2386" s="24">
        <v>0</v>
      </c>
      <c r="M2386" s="10">
        <v>65.099999999999994</v>
      </c>
    </row>
    <row r="2387" spans="1:13" x14ac:dyDescent="0.25">
      <c r="A2387" s="12" t="str">
        <f t="shared" si="74"/>
        <v>716MECANICA DIESEL DE VANS LTDANSE46255</v>
      </c>
      <c r="B2387" s="12" t="str">
        <f t="shared" si="75"/>
        <v>Setembro</v>
      </c>
      <c r="C2387" s="8" t="s">
        <v>945</v>
      </c>
      <c r="D2387" s="8" t="s">
        <v>1354</v>
      </c>
      <c r="E2387" s="8" t="s">
        <v>126</v>
      </c>
      <c r="F2387" s="23">
        <v>46255</v>
      </c>
      <c r="G2387" s="8" t="s">
        <v>665</v>
      </c>
      <c r="H2387" s="23">
        <v>46286</v>
      </c>
      <c r="I2387" s="23">
        <v>46255</v>
      </c>
      <c r="J2387" s="10">
        <v>5470</v>
      </c>
      <c r="K2387" s="10">
        <v>0</v>
      </c>
      <c r="L2387" s="24">
        <v>0</v>
      </c>
      <c r="M2387" s="10">
        <v>5470</v>
      </c>
    </row>
    <row r="2388" spans="1:13" x14ac:dyDescent="0.25">
      <c r="A2388" s="12" t="str">
        <f t="shared" si="74"/>
        <v>7197767PLUXEE BENEFICIOS BRASIL S.A.ND46076</v>
      </c>
      <c r="B2388" s="12" t="str">
        <f t="shared" si="75"/>
        <v>Março</v>
      </c>
      <c r="C2388" s="8" t="s">
        <v>344</v>
      </c>
      <c r="D2388" s="8" t="s">
        <v>1618</v>
      </c>
      <c r="E2388" s="8" t="s">
        <v>157</v>
      </c>
      <c r="F2388" s="23">
        <v>46076</v>
      </c>
      <c r="G2388" s="8" t="s">
        <v>338</v>
      </c>
      <c r="H2388" s="23">
        <v>46106</v>
      </c>
      <c r="I2388" s="23">
        <v>46077</v>
      </c>
      <c r="J2388" s="10">
        <v>1320</v>
      </c>
      <c r="K2388" s="10">
        <v>0</v>
      </c>
      <c r="L2388" s="24">
        <v>0</v>
      </c>
      <c r="M2388" s="10">
        <v>1320</v>
      </c>
    </row>
    <row r="2389" spans="1:13" x14ac:dyDescent="0.25">
      <c r="A2389" s="12" t="str">
        <f t="shared" si="74"/>
        <v>7197767/87PLUXEE BENEFICIOS BRASIL S.A.NSE46076</v>
      </c>
      <c r="B2389" s="12" t="str">
        <f t="shared" si="75"/>
        <v>Março</v>
      </c>
      <c r="C2389" s="8" t="s">
        <v>1925</v>
      </c>
      <c r="D2389" s="8" t="s">
        <v>664</v>
      </c>
      <c r="E2389" s="8" t="s">
        <v>157</v>
      </c>
      <c r="F2389" s="23">
        <v>46076</v>
      </c>
      <c r="G2389" s="8" t="s">
        <v>665</v>
      </c>
      <c r="H2389" s="23">
        <v>46106</v>
      </c>
      <c r="I2389" s="23">
        <v>46077</v>
      </c>
      <c r="J2389" s="10">
        <v>1320</v>
      </c>
      <c r="K2389" s="10">
        <v>0</v>
      </c>
      <c r="L2389" s="24">
        <v>0</v>
      </c>
      <c r="M2389" s="10">
        <v>1320</v>
      </c>
    </row>
    <row r="2390" spans="1:13" x14ac:dyDescent="0.25">
      <c r="A2390" s="12" t="str">
        <f t="shared" si="74"/>
        <v>7198312PLUXEE BENEFICIOS BRASIL S.A.ND46076</v>
      </c>
      <c r="B2390" s="12" t="str">
        <f t="shared" si="75"/>
        <v>Março</v>
      </c>
      <c r="C2390" s="8" t="s">
        <v>345</v>
      </c>
      <c r="D2390" s="8" t="s">
        <v>1618</v>
      </c>
      <c r="E2390" s="8" t="s">
        <v>157</v>
      </c>
      <c r="F2390" s="23">
        <v>46076</v>
      </c>
      <c r="G2390" s="8" t="s">
        <v>338</v>
      </c>
      <c r="H2390" s="23">
        <v>46106</v>
      </c>
      <c r="I2390" s="23">
        <v>46077</v>
      </c>
      <c r="J2390" s="10">
        <v>10440</v>
      </c>
      <c r="K2390" s="10">
        <v>0</v>
      </c>
      <c r="L2390" s="24">
        <v>0</v>
      </c>
      <c r="M2390" s="10">
        <v>10440</v>
      </c>
    </row>
    <row r="2391" spans="1:13" x14ac:dyDescent="0.25">
      <c r="A2391" s="12" t="str">
        <f t="shared" si="74"/>
        <v>7198312/87PLUXEE BENEFICIOS BRASIL S.A.NSE46076</v>
      </c>
      <c r="B2391" s="12" t="str">
        <f t="shared" si="75"/>
        <v>Março</v>
      </c>
      <c r="C2391" s="8" t="s">
        <v>1926</v>
      </c>
      <c r="D2391" s="8" t="s">
        <v>664</v>
      </c>
      <c r="E2391" s="8" t="s">
        <v>157</v>
      </c>
      <c r="F2391" s="23">
        <v>46076</v>
      </c>
      <c r="G2391" s="8" t="s">
        <v>665</v>
      </c>
      <c r="H2391" s="23">
        <v>46106</v>
      </c>
      <c r="I2391" s="23">
        <v>46077</v>
      </c>
      <c r="J2391" s="10">
        <v>10440</v>
      </c>
      <c r="K2391" s="10">
        <v>0</v>
      </c>
      <c r="L2391" s="24">
        <v>0</v>
      </c>
      <c r="M2391" s="10">
        <v>10440</v>
      </c>
    </row>
    <row r="2392" spans="1:13" x14ac:dyDescent="0.25">
      <c r="A2392" s="12" t="str">
        <f t="shared" si="74"/>
        <v>7198355PLUXEE BENEFICIOS BRASIL S.A.ND46076</v>
      </c>
      <c r="B2392" s="12" t="str">
        <f t="shared" si="75"/>
        <v>Março</v>
      </c>
      <c r="C2392" s="8" t="s">
        <v>346</v>
      </c>
      <c r="D2392" s="8" t="s">
        <v>1618</v>
      </c>
      <c r="E2392" s="8" t="s">
        <v>157</v>
      </c>
      <c r="F2392" s="23">
        <v>46076</v>
      </c>
      <c r="G2392" s="8" t="s">
        <v>338</v>
      </c>
      <c r="H2392" s="23">
        <v>46106</v>
      </c>
      <c r="I2392" s="23">
        <v>46077</v>
      </c>
      <c r="J2392" s="10">
        <v>7665</v>
      </c>
      <c r="K2392" s="10">
        <v>0</v>
      </c>
      <c r="L2392" s="24">
        <v>0</v>
      </c>
      <c r="M2392" s="10">
        <v>7665</v>
      </c>
    </row>
    <row r="2393" spans="1:13" x14ac:dyDescent="0.25">
      <c r="A2393" s="12" t="str">
        <f t="shared" si="74"/>
        <v>7198355/87PLUXEE BENEFICIOS BRASIL S.A.NSE46076</v>
      </c>
      <c r="B2393" s="12" t="str">
        <f t="shared" si="75"/>
        <v>Março</v>
      </c>
      <c r="C2393" s="8" t="s">
        <v>1927</v>
      </c>
      <c r="D2393" s="8" t="s">
        <v>664</v>
      </c>
      <c r="E2393" s="8" t="s">
        <v>157</v>
      </c>
      <c r="F2393" s="23">
        <v>46076</v>
      </c>
      <c r="G2393" s="8" t="s">
        <v>665</v>
      </c>
      <c r="H2393" s="23">
        <v>46106</v>
      </c>
      <c r="I2393" s="23">
        <v>46077</v>
      </c>
      <c r="J2393" s="10">
        <v>7665</v>
      </c>
      <c r="K2393" s="10">
        <v>0</v>
      </c>
      <c r="L2393" s="24">
        <v>0</v>
      </c>
      <c r="M2393" s="10">
        <v>7665</v>
      </c>
    </row>
    <row r="2394" spans="1:13" x14ac:dyDescent="0.25">
      <c r="A2394" s="12" t="str">
        <f t="shared" si="74"/>
        <v>7198572PLUXEE BENEFICIOS BRASIL S.A.ND46076</v>
      </c>
      <c r="B2394" s="12" t="str">
        <f t="shared" si="75"/>
        <v>Março</v>
      </c>
      <c r="C2394" s="8" t="s">
        <v>347</v>
      </c>
      <c r="D2394" s="8" t="s">
        <v>1618</v>
      </c>
      <c r="E2394" s="8" t="s">
        <v>157</v>
      </c>
      <c r="F2394" s="23">
        <v>46076</v>
      </c>
      <c r="G2394" s="8" t="s">
        <v>338</v>
      </c>
      <c r="H2394" s="23">
        <v>46106</v>
      </c>
      <c r="I2394" s="23">
        <v>46077</v>
      </c>
      <c r="J2394" s="10">
        <v>68985</v>
      </c>
      <c r="K2394" s="10">
        <v>0</v>
      </c>
      <c r="L2394" s="24">
        <v>0</v>
      </c>
      <c r="M2394" s="10">
        <v>68985</v>
      </c>
    </row>
    <row r="2395" spans="1:13" x14ac:dyDescent="0.25">
      <c r="A2395" s="12" t="str">
        <f t="shared" si="74"/>
        <v>7198572/87PLUXEE BENEFICIOS BRASIL S.A.NSE46076</v>
      </c>
      <c r="B2395" s="12" t="str">
        <f t="shared" si="75"/>
        <v>Março</v>
      </c>
      <c r="C2395" s="8" t="s">
        <v>1928</v>
      </c>
      <c r="D2395" s="8" t="s">
        <v>664</v>
      </c>
      <c r="E2395" s="8" t="s">
        <v>157</v>
      </c>
      <c r="F2395" s="23">
        <v>46076</v>
      </c>
      <c r="G2395" s="8" t="s">
        <v>665</v>
      </c>
      <c r="H2395" s="23">
        <v>46106</v>
      </c>
      <c r="I2395" s="23">
        <v>46077</v>
      </c>
      <c r="J2395" s="10">
        <v>68985</v>
      </c>
      <c r="K2395" s="10">
        <v>0</v>
      </c>
      <c r="L2395" s="24">
        <v>0</v>
      </c>
      <c r="M2395" s="10">
        <v>68985</v>
      </c>
    </row>
    <row r="2396" spans="1:13" x14ac:dyDescent="0.25">
      <c r="A2396" s="12" t="str">
        <f t="shared" si="74"/>
        <v>72RUAN SMITH GARCIA CARDOSORCB46226,3395833333</v>
      </c>
      <c r="B2396" s="12" t="str">
        <f t="shared" si="75"/>
        <v>Julho</v>
      </c>
      <c r="C2396" s="8" t="s">
        <v>2844</v>
      </c>
      <c r="D2396" s="8" t="s">
        <v>664</v>
      </c>
      <c r="E2396" s="8" t="s">
        <v>175</v>
      </c>
      <c r="F2396" s="23">
        <v>46226.339583333334</v>
      </c>
      <c r="G2396" s="8" t="s">
        <v>1045</v>
      </c>
      <c r="H2396" s="23">
        <v>46231</v>
      </c>
      <c r="I2396" s="23">
        <v>46226.339583333334</v>
      </c>
      <c r="J2396" s="10">
        <v>116</v>
      </c>
      <c r="K2396" s="10">
        <v>0</v>
      </c>
      <c r="L2396" s="24">
        <v>0</v>
      </c>
      <c r="M2396" s="10">
        <v>116</v>
      </c>
    </row>
    <row r="2397" spans="1:13" x14ac:dyDescent="0.25">
      <c r="A2397" s="12" t="str">
        <f t="shared" si="74"/>
        <v>72026-87HENRIQUE GALAMBA RODRIGUES DOS ANJOSDEP46187,4152777778</v>
      </c>
      <c r="B2397" s="12" t="str">
        <f t="shared" si="75"/>
        <v>Julho</v>
      </c>
      <c r="C2397" s="8" t="s">
        <v>2706</v>
      </c>
      <c r="D2397" s="8" t="s">
        <v>664</v>
      </c>
      <c r="E2397" s="8" t="s">
        <v>84</v>
      </c>
      <c r="F2397" s="23">
        <v>46187.415277777778</v>
      </c>
      <c r="G2397" s="8" t="s">
        <v>1043</v>
      </c>
      <c r="H2397" s="23">
        <v>46209</v>
      </c>
      <c r="I2397" s="23">
        <v>46187.415277777778</v>
      </c>
      <c r="J2397" s="10">
        <v>3000</v>
      </c>
      <c r="K2397" s="10">
        <v>0</v>
      </c>
      <c r="L2397" s="24">
        <v>0</v>
      </c>
      <c r="M2397" s="10">
        <v>3000</v>
      </c>
    </row>
    <row r="2398" spans="1:13" x14ac:dyDescent="0.25">
      <c r="A2398" s="12" t="str">
        <f t="shared" si="74"/>
        <v>72026-87SECRETARIA DE ESTADO DA FAZENDA DE MINAS GERAISIM46238,5784722222</v>
      </c>
      <c r="B2398" s="12" t="str">
        <f t="shared" si="75"/>
        <v>Agosto</v>
      </c>
      <c r="C2398" s="8" t="s">
        <v>2706</v>
      </c>
      <c r="D2398" s="8" t="s">
        <v>664</v>
      </c>
      <c r="E2398" s="8" t="s">
        <v>1454</v>
      </c>
      <c r="F2398" s="23">
        <v>46238.578472222223</v>
      </c>
      <c r="G2398" s="8" t="s">
        <v>1142</v>
      </c>
      <c r="H2398" s="23">
        <v>46244</v>
      </c>
      <c r="I2398" s="23">
        <v>46238.578472222223</v>
      </c>
      <c r="J2398" s="10">
        <v>1146.0899999999999</v>
      </c>
      <c r="K2398" s="10">
        <v>0</v>
      </c>
      <c r="L2398" s="24">
        <v>0</v>
      </c>
      <c r="M2398" s="10">
        <v>1146.0899999999999</v>
      </c>
    </row>
    <row r="2399" spans="1:13" x14ac:dyDescent="0.25">
      <c r="A2399" s="12" t="str">
        <f t="shared" si="74"/>
        <v>73MGS PRINTERNSE46106,4722222222</v>
      </c>
      <c r="B2399" s="12" t="str">
        <f t="shared" si="75"/>
        <v>Maio</v>
      </c>
      <c r="C2399" s="8" t="s">
        <v>2358</v>
      </c>
      <c r="D2399" s="8" t="s">
        <v>1354</v>
      </c>
      <c r="E2399" s="8" t="s">
        <v>128</v>
      </c>
      <c r="F2399" s="23">
        <v>46106.472222222219</v>
      </c>
      <c r="G2399" s="8" t="s">
        <v>665</v>
      </c>
      <c r="H2399" s="23">
        <v>46148</v>
      </c>
      <c r="I2399" s="23">
        <v>46106.472222222219</v>
      </c>
      <c r="J2399" s="10">
        <v>404.7</v>
      </c>
      <c r="K2399" s="10">
        <v>0</v>
      </c>
      <c r="L2399" s="24">
        <v>0</v>
      </c>
      <c r="M2399" s="10">
        <v>404.7</v>
      </c>
    </row>
    <row r="2400" spans="1:13" x14ac:dyDescent="0.25">
      <c r="A2400" s="12" t="str">
        <f t="shared" si="74"/>
        <v>73RUAN SMITH GARCIA CARDOSORCB46262,4368055556</v>
      </c>
      <c r="B2400" s="12" t="str">
        <f t="shared" si="75"/>
        <v>Setembro</v>
      </c>
      <c r="C2400" s="8" t="s">
        <v>2358</v>
      </c>
      <c r="D2400" s="8" t="s">
        <v>664</v>
      </c>
      <c r="E2400" s="8" t="s">
        <v>175</v>
      </c>
      <c r="F2400" s="23">
        <v>46262.436805555553</v>
      </c>
      <c r="G2400" s="8" t="s">
        <v>1045</v>
      </c>
      <c r="H2400" s="23">
        <v>46267</v>
      </c>
      <c r="I2400" s="23">
        <v>46262.436805555553</v>
      </c>
      <c r="J2400" s="10">
        <v>114</v>
      </c>
      <c r="K2400" s="10">
        <v>0</v>
      </c>
      <c r="L2400" s="24">
        <v>0</v>
      </c>
      <c r="M2400" s="10">
        <v>114</v>
      </c>
    </row>
    <row r="2401" spans="1:13" x14ac:dyDescent="0.25">
      <c r="A2401" s="12" t="str">
        <f t="shared" si="74"/>
        <v>74FABIO ALVES PRATESNSE46126</v>
      </c>
      <c r="B2401" s="12" t="str">
        <f t="shared" si="75"/>
        <v>Maio</v>
      </c>
      <c r="C2401" s="8" t="s">
        <v>659</v>
      </c>
      <c r="D2401" s="8" t="s">
        <v>1354</v>
      </c>
      <c r="E2401" s="8" t="s">
        <v>67</v>
      </c>
      <c r="F2401" s="23">
        <v>46126</v>
      </c>
      <c r="G2401" s="8" t="s">
        <v>665</v>
      </c>
      <c r="H2401" s="23">
        <v>46148</v>
      </c>
      <c r="I2401" s="23">
        <v>46126</v>
      </c>
      <c r="J2401" s="10">
        <v>2700</v>
      </c>
      <c r="K2401" s="10">
        <v>0</v>
      </c>
      <c r="L2401" s="24">
        <v>0</v>
      </c>
      <c r="M2401" s="10">
        <v>2700</v>
      </c>
    </row>
    <row r="2402" spans="1:13" x14ac:dyDescent="0.25">
      <c r="A2402" s="12" t="str">
        <f t="shared" si="74"/>
        <v>74MECANICA CRISTO REI LTDANFS46169</v>
      </c>
      <c r="B2402" s="12" t="str">
        <f t="shared" si="75"/>
        <v>Junho</v>
      </c>
      <c r="C2402" s="8" t="s">
        <v>659</v>
      </c>
      <c r="D2402" s="8" t="s">
        <v>1354</v>
      </c>
      <c r="E2402" s="8" t="s">
        <v>125</v>
      </c>
      <c r="F2402" s="23">
        <v>46169</v>
      </c>
      <c r="G2402" s="8" t="s">
        <v>614</v>
      </c>
      <c r="H2402" s="23">
        <v>46199</v>
      </c>
      <c r="I2402" s="23">
        <v>46176</v>
      </c>
      <c r="J2402" s="10">
        <v>550</v>
      </c>
      <c r="K2402" s="10">
        <v>0</v>
      </c>
      <c r="L2402" s="24">
        <v>0</v>
      </c>
      <c r="M2402" s="10">
        <v>550</v>
      </c>
    </row>
    <row r="2403" spans="1:13" x14ac:dyDescent="0.25">
      <c r="A2403" s="12" t="str">
        <f t="shared" si="74"/>
        <v>7426547PLUXEE BENEFICIOS BRASIL S.A.ND46104</v>
      </c>
      <c r="B2403" s="12" t="str">
        <f t="shared" si="75"/>
        <v>Abril</v>
      </c>
      <c r="C2403" s="8" t="s">
        <v>348</v>
      </c>
      <c r="D2403" s="8" t="s">
        <v>1618</v>
      </c>
      <c r="E2403" s="8" t="s">
        <v>157</v>
      </c>
      <c r="F2403" s="23">
        <v>46104</v>
      </c>
      <c r="G2403" s="8" t="s">
        <v>338</v>
      </c>
      <c r="H2403" s="23">
        <v>46134</v>
      </c>
      <c r="I2403" s="23">
        <v>46105</v>
      </c>
      <c r="J2403" s="10">
        <v>67527</v>
      </c>
      <c r="K2403" s="10">
        <v>0</v>
      </c>
      <c r="L2403" s="24">
        <v>0</v>
      </c>
      <c r="M2403" s="10">
        <v>67527</v>
      </c>
    </row>
    <row r="2404" spans="1:13" x14ac:dyDescent="0.25">
      <c r="A2404" s="12" t="str">
        <f t="shared" si="74"/>
        <v>7426547/87PLUXEE BENEFICIOS BRASIL S.A.nse46104</v>
      </c>
      <c r="B2404" s="12" t="str">
        <f t="shared" si="75"/>
        <v>Abril</v>
      </c>
      <c r="C2404" s="8" t="s">
        <v>2124</v>
      </c>
      <c r="D2404" s="8" t="s">
        <v>664</v>
      </c>
      <c r="E2404" s="8" t="s">
        <v>157</v>
      </c>
      <c r="F2404" s="23">
        <v>46104</v>
      </c>
      <c r="G2404" s="8" t="s">
        <v>2125</v>
      </c>
      <c r="H2404" s="23">
        <v>46134</v>
      </c>
      <c r="I2404" s="23">
        <v>46105</v>
      </c>
      <c r="J2404" s="10">
        <v>67527</v>
      </c>
      <c r="K2404" s="10">
        <v>0</v>
      </c>
      <c r="L2404" s="24">
        <v>0</v>
      </c>
      <c r="M2404" s="10">
        <v>67527</v>
      </c>
    </row>
    <row r="2405" spans="1:13" x14ac:dyDescent="0.25">
      <c r="A2405" s="12" t="str">
        <f t="shared" si="74"/>
        <v>7426559PLUXEE BENEFICIOS BRASIL S.A.ND46104</v>
      </c>
      <c r="B2405" s="12" t="str">
        <f t="shared" si="75"/>
        <v>Abril</v>
      </c>
      <c r="C2405" s="8" t="s">
        <v>349</v>
      </c>
      <c r="D2405" s="8" t="s">
        <v>1618</v>
      </c>
      <c r="E2405" s="8" t="s">
        <v>157</v>
      </c>
      <c r="F2405" s="23">
        <v>46104</v>
      </c>
      <c r="G2405" s="8" t="s">
        <v>338</v>
      </c>
      <c r="H2405" s="23">
        <v>46134</v>
      </c>
      <c r="I2405" s="23">
        <v>46105</v>
      </c>
      <c r="J2405" s="10">
        <v>10980</v>
      </c>
      <c r="K2405" s="10">
        <v>0</v>
      </c>
      <c r="L2405" s="24">
        <v>0</v>
      </c>
      <c r="M2405" s="10">
        <v>10980</v>
      </c>
    </row>
    <row r="2406" spans="1:13" x14ac:dyDescent="0.25">
      <c r="A2406" s="12" t="str">
        <f t="shared" si="74"/>
        <v>7426559/87PLUXEE BENEFICIOS BRASIL S.A.NSE46104</v>
      </c>
      <c r="B2406" s="12" t="str">
        <f t="shared" si="75"/>
        <v>Abril</v>
      </c>
      <c r="C2406" s="8" t="s">
        <v>2126</v>
      </c>
      <c r="D2406" s="8" t="s">
        <v>664</v>
      </c>
      <c r="E2406" s="8" t="s">
        <v>157</v>
      </c>
      <c r="F2406" s="23">
        <v>46104</v>
      </c>
      <c r="G2406" s="8" t="s">
        <v>665</v>
      </c>
      <c r="H2406" s="23">
        <v>46134</v>
      </c>
      <c r="I2406" s="23">
        <v>46105</v>
      </c>
      <c r="J2406" s="10">
        <v>10980</v>
      </c>
      <c r="K2406" s="10">
        <v>0</v>
      </c>
      <c r="L2406" s="24">
        <v>0</v>
      </c>
      <c r="M2406" s="10">
        <v>10980</v>
      </c>
    </row>
    <row r="2407" spans="1:13" x14ac:dyDescent="0.25">
      <c r="A2407" s="12" t="str">
        <f t="shared" si="74"/>
        <v>7426561PLUXEE BENEFICIOS BRASIL S.A.ND46104</v>
      </c>
      <c r="B2407" s="12" t="str">
        <f t="shared" si="75"/>
        <v>Abril</v>
      </c>
      <c r="C2407" s="8" t="s">
        <v>350</v>
      </c>
      <c r="D2407" s="8" t="s">
        <v>1618</v>
      </c>
      <c r="E2407" s="8" t="s">
        <v>157</v>
      </c>
      <c r="F2407" s="23">
        <v>46104</v>
      </c>
      <c r="G2407" s="8" t="s">
        <v>338</v>
      </c>
      <c r="H2407" s="23">
        <v>46134</v>
      </c>
      <c r="I2407" s="23">
        <v>46105</v>
      </c>
      <c r="J2407" s="10">
        <v>7503</v>
      </c>
      <c r="K2407" s="10">
        <v>0</v>
      </c>
      <c r="L2407" s="24">
        <v>0</v>
      </c>
      <c r="M2407" s="10">
        <v>7503</v>
      </c>
    </row>
    <row r="2408" spans="1:13" x14ac:dyDescent="0.25">
      <c r="A2408" s="12" t="str">
        <f t="shared" si="74"/>
        <v>7426561/87PLUXEE BENEFICIOS BRASIL S.A.NSE46104</v>
      </c>
      <c r="B2408" s="12" t="str">
        <f t="shared" si="75"/>
        <v>Abril</v>
      </c>
      <c r="C2408" s="8" t="s">
        <v>2127</v>
      </c>
      <c r="D2408" s="8" t="s">
        <v>664</v>
      </c>
      <c r="E2408" s="8" t="s">
        <v>157</v>
      </c>
      <c r="F2408" s="23">
        <v>46104</v>
      </c>
      <c r="G2408" s="8" t="s">
        <v>665</v>
      </c>
      <c r="H2408" s="23">
        <v>46134</v>
      </c>
      <c r="I2408" s="23">
        <v>46105</v>
      </c>
      <c r="J2408" s="10">
        <v>7503</v>
      </c>
      <c r="K2408" s="10">
        <v>0</v>
      </c>
      <c r="L2408" s="24">
        <v>0</v>
      </c>
      <c r="M2408" s="10">
        <v>7503</v>
      </c>
    </row>
    <row r="2409" spans="1:13" x14ac:dyDescent="0.25">
      <c r="A2409" s="12" t="str">
        <f t="shared" si="74"/>
        <v>7426568PLUXEE BENEFICIOS BRASIL S.A.ND46104</v>
      </c>
      <c r="B2409" s="12" t="str">
        <f t="shared" si="75"/>
        <v>Abril</v>
      </c>
      <c r="C2409" s="8" t="s">
        <v>351</v>
      </c>
      <c r="D2409" s="8" t="s">
        <v>1618</v>
      </c>
      <c r="E2409" s="8" t="s">
        <v>157</v>
      </c>
      <c r="F2409" s="23">
        <v>46104</v>
      </c>
      <c r="G2409" s="8" t="s">
        <v>338</v>
      </c>
      <c r="H2409" s="23">
        <v>46134</v>
      </c>
      <c r="I2409" s="23">
        <v>46105</v>
      </c>
      <c r="J2409" s="10">
        <v>1200</v>
      </c>
      <c r="K2409" s="10">
        <v>0</v>
      </c>
      <c r="L2409" s="24">
        <v>0</v>
      </c>
      <c r="M2409" s="10">
        <v>1200</v>
      </c>
    </row>
    <row r="2410" spans="1:13" x14ac:dyDescent="0.25">
      <c r="A2410" s="12" t="str">
        <f t="shared" si="74"/>
        <v>7426568/87PLUXEE BENEFICIOS BRASIL S.A.NSE46104</v>
      </c>
      <c r="B2410" s="12" t="str">
        <f t="shared" si="75"/>
        <v>Abril</v>
      </c>
      <c r="C2410" s="8" t="s">
        <v>2128</v>
      </c>
      <c r="D2410" s="8" t="s">
        <v>664</v>
      </c>
      <c r="E2410" s="8" t="s">
        <v>157</v>
      </c>
      <c r="F2410" s="23">
        <v>46104</v>
      </c>
      <c r="G2410" s="8" t="s">
        <v>665</v>
      </c>
      <c r="H2410" s="23">
        <v>46134</v>
      </c>
      <c r="I2410" s="23">
        <v>46105</v>
      </c>
      <c r="J2410" s="10">
        <v>1200</v>
      </c>
      <c r="K2410" s="10">
        <v>0</v>
      </c>
      <c r="L2410" s="24">
        <v>0</v>
      </c>
      <c r="M2410" s="10">
        <v>1200</v>
      </c>
    </row>
    <row r="2411" spans="1:13" x14ac:dyDescent="0.25">
      <c r="A2411" s="12" t="str">
        <f t="shared" si="74"/>
        <v>744AUTO DIESEL PECAS E SERVICOS LTDANSE46226</v>
      </c>
      <c r="B2411" s="12" t="str">
        <f t="shared" si="75"/>
        <v>Agosto</v>
      </c>
      <c r="C2411" s="8" t="s">
        <v>946</v>
      </c>
      <c r="D2411" s="8" t="s">
        <v>1354</v>
      </c>
      <c r="E2411" s="8" t="s">
        <v>23</v>
      </c>
      <c r="F2411" s="23">
        <v>46226</v>
      </c>
      <c r="G2411" s="8" t="s">
        <v>665</v>
      </c>
      <c r="H2411" s="23">
        <v>46261</v>
      </c>
      <c r="I2411" s="23">
        <v>46226</v>
      </c>
      <c r="J2411" s="10">
        <v>500</v>
      </c>
      <c r="K2411" s="10">
        <v>0</v>
      </c>
      <c r="L2411" s="24">
        <v>0</v>
      </c>
      <c r="M2411" s="10">
        <v>500</v>
      </c>
    </row>
    <row r="2412" spans="1:13" x14ac:dyDescent="0.25">
      <c r="A2412" s="12" t="str">
        <f t="shared" si="74"/>
        <v>7447BETIM TACOGRAFO LTDANFE46038</v>
      </c>
      <c r="B2412" s="12" t="str">
        <f t="shared" si="75"/>
        <v>Janeiro</v>
      </c>
      <c r="C2412" s="8" t="s">
        <v>578</v>
      </c>
      <c r="D2412" s="8" t="s">
        <v>664</v>
      </c>
      <c r="E2412" s="8" t="s">
        <v>26</v>
      </c>
      <c r="F2412" s="23">
        <v>46038</v>
      </c>
      <c r="G2412" s="8" t="s">
        <v>380</v>
      </c>
      <c r="H2412" s="23">
        <v>46045</v>
      </c>
      <c r="I2412" s="23">
        <v>46041</v>
      </c>
      <c r="J2412" s="10">
        <v>390</v>
      </c>
      <c r="K2412" s="10">
        <v>0</v>
      </c>
      <c r="L2412" s="24">
        <v>0</v>
      </c>
      <c r="M2412" s="10">
        <v>390</v>
      </c>
    </row>
    <row r="2413" spans="1:13" x14ac:dyDescent="0.25">
      <c r="A2413" s="12" t="str">
        <f t="shared" si="74"/>
        <v>746021SASCAR TECNOLOGIA E SEGURANÇA AUTOMOTICA S/ANSE46030</v>
      </c>
      <c r="B2413" s="12" t="str">
        <f t="shared" si="75"/>
        <v>Fevereiro</v>
      </c>
      <c r="C2413" s="8" t="s">
        <v>947</v>
      </c>
      <c r="D2413" s="8" t="s">
        <v>1354</v>
      </c>
      <c r="E2413" s="8" t="s">
        <v>179</v>
      </c>
      <c r="F2413" s="23">
        <v>46030</v>
      </c>
      <c r="G2413" s="8" t="s">
        <v>665</v>
      </c>
      <c r="H2413" s="23">
        <v>46062</v>
      </c>
      <c r="I2413" s="23">
        <v>46031</v>
      </c>
      <c r="J2413" s="10">
        <v>357.45</v>
      </c>
      <c r="K2413" s="10">
        <v>0</v>
      </c>
      <c r="L2413" s="24">
        <v>0</v>
      </c>
      <c r="M2413" s="10">
        <v>357.45</v>
      </c>
    </row>
    <row r="2414" spans="1:13" x14ac:dyDescent="0.25">
      <c r="A2414" s="12" t="str">
        <f t="shared" si="74"/>
        <v>75MECANICA CRISTO REI LTDANFS46169</v>
      </c>
      <c r="B2414" s="12" t="str">
        <f t="shared" si="75"/>
        <v>Junho</v>
      </c>
      <c r="C2414" s="8" t="s">
        <v>660</v>
      </c>
      <c r="D2414" s="8" t="s">
        <v>1354</v>
      </c>
      <c r="E2414" s="8" t="s">
        <v>125</v>
      </c>
      <c r="F2414" s="23">
        <v>46169</v>
      </c>
      <c r="G2414" s="8" t="s">
        <v>614</v>
      </c>
      <c r="H2414" s="23">
        <v>46199</v>
      </c>
      <c r="I2414" s="23">
        <v>46176</v>
      </c>
      <c r="J2414" s="10">
        <v>435</v>
      </c>
      <c r="K2414" s="10">
        <v>0</v>
      </c>
      <c r="L2414" s="24">
        <v>0</v>
      </c>
      <c r="M2414" s="10">
        <v>435</v>
      </c>
    </row>
    <row r="2415" spans="1:13" x14ac:dyDescent="0.25">
      <c r="A2415" s="12" t="str">
        <f t="shared" si="74"/>
        <v>754VIA TRUCK COMERCIO E SERVICOS LTDANSE46266</v>
      </c>
      <c r="B2415" s="12" t="str">
        <f t="shared" si="75"/>
        <v>Outubro</v>
      </c>
      <c r="C2415" s="8" t="s">
        <v>948</v>
      </c>
      <c r="D2415" s="8" t="s">
        <v>1354</v>
      </c>
      <c r="E2415" s="8" t="s">
        <v>195</v>
      </c>
      <c r="F2415" s="23">
        <v>46266</v>
      </c>
      <c r="G2415" s="8" t="s">
        <v>665</v>
      </c>
      <c r="H2415" s="23">
        <v>46296</v>
      </c>
      <c r="I2415" s="23">
        <v>46273</v>
      </c>
      <c r="J2415" s="10">
        <v>580</v>
      </c>
      <c r="K2415" s="10">
        <v>0</v>
      </c>
      <c r="L2415" s="24">
        <v>0</v>
      </c>
      <c r="M2415" s="10">
        <v>551</v>
      </c>
    </row>
    <row r="2416" spans="1:13" x14ac:dyDescent="0.25">
      <c r="A2416" s="12" t="str">
        <f t="shared" si="74"/>
        <v>755VIA TRUCK COMERCIO E SERVICOS LTDANSE46266</v>
      </c>
      <c r="B2416" s="12" t="str">
        <f t="shared" si="75"/>
        <v>Outubro</v>
      </c>
      <c r="C2416" s="8" t="s">
        <v>949</v>
      </c>
      <c r="D2416" s="8" t="s">
        <v>1354</v>
      </c>
      <c r="E2416" s="8" t="s">
        <v>195</v>
      </c>
      <c r="F2416" s="23">
        <v>46266</v>
      </c>
      <c r="G2416" s="8" t="s">
        <v>665</v>
      </c>
      <c r="H2416" s="23">
        <v>46296</v>
      </c>
      <c r="I2416" s="23">
        <v>46273</v>
      </c>
      <c r="J2416" s="10">
        <v>540</v>
      </c>
      <c r="K2416" s="10">
        <v>0</v>
      </c>
      <c r="L2416" s="24">
        <v>0</v>
      </c>
      <c r="M2416" s="10">
        <v>513</v>
      </c>
    </row>
    <row r="2417" spans="1:13" x14ac:dyDescent="0.25">
      <c r="A2417" s="12" t="str">
        <f t="shared" si="74"/>
        <v>756VIA TRUCK COMERCIO E SERVICOS LTDANSE46266</v>
      </c>
      <c r="B2417" s="12" t="str">
        <f t="shared" si="75"/>
        <v>Outubro</v>
      </c>
      <c r="C2417" s="8" t="s">
        <v>950</v>
      </c>
      <c r="D2417" s="8" t="s">
        <v>1354</v>
      </c>
      <c r="E2417" s="8" t="s">
        <v>195</v>
      </c>
      <c r="F2417" s="23">
        <v>46266</v>
      </c>
      <c r="G2417" s="8" t="s">
        <v>665</v>
      </c>
      <c r="H2417" s="23">
        <v>46296</v>
      </c>
      <c r="I2417" s="23">
        <v>46273</v>
      </c>
      <c r="J2417" s="10">
        <v>440</v>
      </c>
      <c r="K2417" s="10">
        <v>0</v>
      </c>
      <c r="L2417" s="24">
        <v>0</v>
      </c>
      <c r="M2417" s="10">
        <v>418</v>
      </c>
    </row>
    <row r="2418" spans="1:13" x14ac:dyDescent="0.25">
      <c r="A2418" s="12" t="str">
        <f t="shared" si="74"/>
        <v>7634578PLUXEE BENEFICIOS BRASIL S.A.ND46129</v>
      </c>
      <c r="B2418" s="12" t="str">
        <f t="shared" si="75"/>
        <v>Maio</v>
      </c>
      <c r="C2418" s="8" t="s">
        <v>352</v>
      </c>
      <c r="D2418" s="8" t="s">
        <v>1618</v>
      </c>
      <c r="E2418" s="8" t="s">
        <v>157</v>
      </c>
      <c r="F2418" s="23">
        <v>46129</v>
      </c>
      <c r="G2418" s="8" t="s">
        <v>338</v>
      </c>
      <c r="H2418" s="23">
        <v>46159</v>
      </c>
      <c r="I2418" s="23">
        <v>46134</v>
      </c>
      <c r="J2418" s="10">
        <v>64179</v>
      </c>
      <c r="K2418" s="10">
        <v>0</v>
      </c>
      <c r="L2418" s="24">
        <v>0</v>
      </c>
      <c r="M2418" s="10">
        <v>64179</v>
      </c>
    </row>
    <row r="2419" spans="1:13" x14ac:dyDescent="0.25">
      <c r="A2419" s="12" t="str">
        <f t="shared" si="74"/>
        <v>7634578/87PLUXEE BENEFICIOS BRASIL S.A.NSE46129</v>
      </c>
      <c r="B2419" s="12" t="str">
        <f t="shared" si="75"/>
        <v>Maio</v>
      </c>
      <c r="C2419" s="8" t="s">
        <v>2313</v>
      </c>
      <c r="D2419" s="8" t="s">
        <v>664</v>
      </c>
      <c r="E2419" s="8" t="s">
        <v>157</v>
      </c>
      <c r="F2419" s="23">
        <v>46129</v>
      </c>
      <c r="G2419" s="8" t="s">
        <v>665</v>
      </c>
      <c r="H2419" s="23">
        <v>46159</v>
      </c>
      <c r="I2419" s="23">
        <v>46134</v>
      </c>
      <c r="J2419" s="10">
        <v>64179</v>
      </c>
      <c r="K2419" s="10">
        <v>0</v>
      </c>
      <c r="L2419" s="24">
        <v>0</v>
      </c>
      <c r="M2419" s="10">
        <v>64179</v>
      </c>
    </row>
    <row r="2420" spans="1:13" x14ac:dyDescent="0.25">
      <c r="A2420" s="12" t="str">
        <f t="shared" si="74"/>
        <v>7634582PLUXEE BENEFICIOS BRASIL S.A.ND46129</v>
      </c>
      <c r="B2420" s="12" t="str">
        <f t="shared" si="75"/>
        <v>Maio</v>
      </c>
      <c r="C2420" s="8" t="s">
        <v>353</v>
      </c>
      <c r="D2420" s="8" t="s">
        <v>1618</v>
      </c>
      <c r="E2420" s="8" t="s">
        <v>157</v>
      </c>
      <c r="F2420" s="23">
        <v>46129</v>
      </c>
      <c r="G2420" s="8" t="s">
        <v>338</v>
      </c>
      <c r="H2420" s="23">
        <v>46159</v>
      </c>
      <c r="I2420" s="23">
        <v>46134</v>
      </c>
      <c r="J2420" s="10">
        <v>10710</v>
      </c>
      <c r="K2420" s="10">
        <v>0</v>
      </c>
      <c r="L2420" s="24">
        <v>0</v>
      </c>
      <c r="M2420" s="10">
        <v>10710</v>
      </c>
    </row>
    <row r="2421" spans="1:13" x14ac:dyDescent="0.25">
      <c r="A2421" s="12" t="str">
        <f t="shared" si="74"/>
        <v>7634582/87PLUXEE BENEFICIOS BRASIL S.A.NSE46129</v>
      </c>
      <c r="B2421" s="12" t="str">
        <f t="shared" si="75"/>
        <v>Maio</v>
      </c>
      <c r="C2421" s="8" t="s">
        <v>2314</v>
      </c>
      <c r="D2421" s="8" t="s">
        <v>664</v>
      </c>
      <c r="E2421" s="8" t="s">
        <v>157</v>
      </c>
      <c r="F2421" s="23">
        <v>46129</v>
      </c>
      <c r="G2421" s="8" t="s">
        <v>665</v>
      </c>
      <c r="H2421" s="23">
        <v>46159</v>
      </c>
      <c r="I2421" s="23">
        <v>46134</v>
      </c>
      <c r="J2421" s="10">
        <v>10710</v>
      </c>
      <c r="K2421" s="10">
        <v>0</v>
      </c>
      <c r="L2421" s="24">
        <v>0</v>
      </c>
      <c r="M2421" s="10">
        <v>10710</v>
      </c>
    </row>
    <row r="2422" spans="1:13" x14ac:dyDescent="0.25">
      <c r="A2422" s="12" t="str">
        <f t="shared" si="74"/>
        <v>7634592PLUXEE BENEFICIOS BRASIL S.A.ND46129</v>
      </c>
      <c r="B2422" s="12" t="str">
        <f t="shared" si="75"/>
        <v>Maio</v>
      </c>
      <c r="C2422" s="8" t="s">
        <v>354</v>
      </c>
      <c r="D2422" s="8" t="s">
        <v>1618</v>
      </c>
      <c r="E2422" s="8" t="s">
        <v>157</v>
      </c>
      <c r="F2422" s="23">
        <v>46129</v>
      </c>
      <c r="G2422" s="8" t="s">
        <v>338</v>
      </c>
      <c r="H2422" s="23">
        <v>46159</v>
      </c>
      <c r="I2422" s="23">
        <v>46134</v>
      </c>
      <c r="J2422" s="10">
        <v>7131</v>
      </c>
      <c r="K2422" s="10">
        <v>0</v>
      </c>
      <c r="L2422" s="24">
        <v>0</v>
      </c>
      <c r="M2422" s="10">
        <v>7131</v>
      </c>
    </row>
    <row r="2423" spans="1:13" x14ac:dyDescent="0.25">
      <c r="A2423" s="12" t="str">
        <f t="shared" si="74"/>
        <v>7634592PLUXEE BENEFICIOS BRASIL S.A.NSE46129</v>
      </c>
      <c r="B2423" s="12" t="str">
        <f t="shared" si="75"/>
        <v>Maio</v>
      </c>
      <c r="C2423" s="8" t="s">
        <v>354</v>
      </c>
      <c r="D2423" s="8" t="s">
        <v>664</v>
      </c>
      <c r="E2423" s="8" t="s">
        <v>157</v>
      </c>
      <c r="F2423" s="23">
        <v>46129</v>
      </c>
      <c r="G2423" s="8" t="s">
        <v>665</v>
      </c>
      <c r="H2423" s="23">
        <v>46159</v>
      </c>
      <c r="I2423" s="23">
        <v>46134</v>
      </c>
      <c r="J2423" s="10">
        <v>7131</v>
      </c>
      <c r="K2423" s="10">
        <v>0</v>
      </c>
      <c r="L2423" s="24">
        <v>0</v>
      </c>
      <c r="M2423" s="10">
        <v>7131</v>
      </c>
    </row>
    <row r="2424" spans="1:13" x14ac:dyDescent="0.25">
      <c r="A2424" s="12" t="str">
        <f t="shared" si="74"/>
        <v>7634666PLUXEE BENEFICIOS BRASIL S.A.ND46129</v>
      </c>
      <c r="B2424" s="12" t="str">
        <f t="shared" si="75"/>
        <v>Maio</v>
      </c>
      <c r="C2424" s="8" t="s">
        <v>355</v>
      </c>
      <c r="D2424" s="8" t="s">
        <v>1618</v>
      </c>
      <c r="E2424" s="8" t="s">
        <v>157</v>
      </c>
      <c r="F2424" s="23">
        <v>46129</v>
      </c>
      <c r="G2424" s="8" t="s">
        <v>338</v>
      </c>
      <c r="H2424" s="23">
        <v>46159</v>
      </c>
      <c r="I2424" s="23">
        <v>46134</v>
      </c>
      <c r="J2424" s="10">
        <v>1200</v>
      </c>
      <c r="K2424" s="10">
        <v>0</v>
      </c>
      <c r="L2424" s="24">
        <v>0</v>
      </c>
      <c r="M2424" s="10">
        <v>1200</v>
      </c>
    </row>
    <row r="2425" spans="1:13" x14ac:dyDescent="0.25">
      <c r="A2425" s="12" t="str">
        <f t="shared" si="74"/>
        <v>7634666/87PLUXEE BENEFICIOS BRASIL S.A.NSE46129</v>
      </c>
      <c r="B2425" s="12" t="str">
        <f t="shared" si="75"/>
        <v>Maio</v>
      </c>
      <c r="C2425" s="8" t="s">
        <v>2315</v>
      </c>
      <c r="D2425" s="8" t="s">
        <v>664</v>
      </c>
      <c r="E2425" s="8" t="s">
        <v>157</v>
      </c>
      <c r="F2425" s="23">
        <v>46129</v>
      </c>
      <c r="G2425" s="8" t="s">
        <v>665</v>
      </c>
      <c r="H2425" s="23">
        <v>46159</v>
      </c>
      <c r="I2425" s="23">
        <v>46134</v>
      </c>
      <c r="J2425" s="10">
        <v>1200</v>
      </c>
      <c r="K2425" s="10">
        <v>0</v>
      </c>
      <c r="L2425" s="24">
        <v>0</v>
      </c>
      <c r="M2425" s="10">
        <v>1200</v>
      </c>
    </row>
    <row r="2426" spans="1:13" x14ac:dyDescent="0.25">
      <c r="A2426" s="12" t="str">
        <f t="shared" si="74"/>
        <v>764AUTO DIESEL PECAS E SERVICOS LTDANSE46231</v>
      </c>
      <c r="B2426" s="12" t="str">
        <f t="shared" si="75"/>
        <v>Agosto</v>
      </c>
      <c r="C2426" s="8" t="s">
        <v>951</v>
      </c>
      <c r="D2426" s="8" t="s">
        <v>1354</v>
      </c>
      <c r="E2426" s="8" t="s">
        <v>23</v>
      </c>
      <c r="F2426" s="23">
        <v>46231</v>
      </c>
      <c r="G2426" s="8" t="s">
        <v>665</v>
      </c>
      <c r="H2426" s="23">
        <v>46261</v>
      </c>
      <c r="I2426" s="23">
        <v>46232</v>
      </c>
      <c r="J2426" s="10">
        <v>500</v>
      </c>
      <c r="K2426" s="10">
        <v>0</v>
      </c>
      <c r="L2426" s="24">
        <v>0</v>
      </c>
      <c r="M2426" s="10">
        <v>500</v>
      </c>
    </row>
    <row r="2427" spans="1:13" x14ac:dyDescent="0.25">
      <c r="A2427" s="12" t="str">
        <f t="shared" si="74"/>
        <v>766AUTO DIESEL PECAS E SERVICOS LTDANSE46231</v>
      </c>
      <c r="B2427" s="12" t="str">
        <f t="shared" si="75"/>
        <v>Agosto</v>
      </c>
      <c r="C2427" s="8" t="s">
        <v>952</v>
      </c>
      <c r="D2427" s="8" t="s">
        <v>1354</v>
      </c>
      <c r="E2427" s="8" t="s">
        <v>23</v>
      </c>
      <c r="F2427" s="23">
        <v>46231</v>
      </c>
      <c r="G2427" s="8" t="s">
        <v>665</v>
      </c>
      <c r="H2427" s="23">
        <v>46261</v>
      </c>
      <c r="I2427" s="23">
        <v>46232</v>
      </c>
      <c r="J2427" s="10">
        <v>500</v>
      </c>
      <c r="K2427" s="10">
        <v>0</v>
      </c>
      <c r="L2427" s="24">
        <v>0</v>
      </c>
      <c r="M2427" s="10">
        <v>500</v>
      </c>
    </row>
    <row r="2428" spans="1:13" x14ac:dyDescent="0.25">
      <c r="A2428" s="12" t="str">
        <f t="shared" si="74"/>
        <v>769792026PREFEITURA MUNICIPAL DE CONTAGEMIM46237,3548611111</v>
      </c>
      <c r="B2428" s="12" t="str">
        <f t="shared" si="75"/>
        <v>Agosto</v>
      </c>
      <c r="C2428" s="8" t="s">
        <v>2933</v>
      </c>
      <c r="D2428" s="8" t="s">
        <v>1354</v>
      </c>
      <c r="E2428" s="8" t="s">
        <v>1470</v>
      </c>
      <c r="F2428" s="23">
        <v>46237.354861111111</v>
      </c>
      <c r="G2428" s="8" t="s">
        <v>1142</v>
      </c>
      <c r="H2428" s="23">
        <v>46244</v>
      </c>
      <c r="I2428" s="23">
        <v>46241.354861111111</v>
      </c>
      <c r="J2428" s="10">
        <v>896.99</v>
      </c>
      <c r="K2428" s="10">
        <v>0</v>
      </c>
      <c r="L2428" s="24">
        <v>0</v>
      </c>
      <c r="M2428" s="10">
        <v>896.99</v>
      </c>
    </row>
    <row r="2429" spans="1:13" x14ac:dyDescent="0.25">
      <c r="A2429" s="12" t="str">
        <f t="shared" si="74"/>
        <v>7724RECAPAGEM RECATEC LTDA.NSE46227</v>
      </c>
      <c r="B2429" s="12" t="str">
        <f t="shared" si="75"/>
        <v>Agosto</v>
      </c>
      <c r="C2429" s="8" t="s">
        <v>953</v>
      </c>
      <c r="D2429" s="8" t="s">
        <v>1354</v>
      </c>
      <c r="E2429" s="8" t="s">
        <v>166</v>
      </c>
      <c r="F2429" s="23">
        <v>46227</v>
      </c>
      <c r="G2429" s="8" t="s">
        <v>665</v>
      </c>
      <c r="H2429" s="23">
        <v>46258</v>
      </c>
      <c r="I2429" s="23">
        <v>46231</v>
      </c>
      <c r="J2429" s="10">
        <v>2364.67</v>
      </c>
      <c r="K2429" s="10">
        <v>0</v>
      </c>
      <c r="L2429" s="24">
        <v>0</v>
      </c>
      <c r="M2429" s="10">
        <v>2364.67</v>
      </c>
    </row>
    <row r="2430" spans="1:13" x14ac:dyDescent="0.25">
      <c r="A2430" s="12" t="str">
        <f t="shared" si="74"/>
        <v>7724RECAPAGEM RECATEC LTDA.NSE46227</v>
      </c>
      <c r="B2430" s="12" t="str">
        <f t="shared" si="75"/>
        <v>Setembro</v>
      </c>
      <c r="C2430" s="8" t="s">
        <v>953</v>
      </c>
      <c r="D2430" s="8" t="s">
        <v>1354</v>
      </c>
      <c r="E2430" s="8" t="s">
        <v>166</v>
      </c>
      <c r="F2430" s="23">
        <v>46227</v>
      </c>
      <c r="G2430" s="8" t="s">
        <v>665</v>
      </c>
      <c r="H2430" s="23">
        <v>46287</v>
      </c>
      <c r="I2430" s="23">
        <v>46231</v>
      </c>
      <c r="J2430" s="10">
        <v>2364.67</v>
      </c>
      <c r="K2430" s="10">
        <v>0</v>
      </c>
      <c r="L2430" s="24">
        <v>0</v>
      </c>
      <c r="M2430" s="10">
        <v>2364.67</v>
      </c>
    </row>
    <row r="2431" spans="1:13" x14ac:dyDescent="0.25">
      <c r="A2431" s="12" t="str">
        <f t="shared" si="74"/>
        <v>78ZAMBALDI AUTO CENTER LTDANSE46119</v>
      </c>
      <c r="B2431" s="12" t="str">
        <f t="shared" si="75"/>
        <v>Maio</v>
      </c>
      <c r="C2431" s="8" t="s">
        <v>954</v>
      </c>
      <c r="D2431" s="8" t="s">
        <v>1354</v>
      </c>
      <c r="E2431" s="8" t="s">
        <v>204</v>
      </c>
      <c r="F2431" s="23">
        <v>46119</v>
      </c>
      <c r="G2431" s="8" t="s">
        <v>665</v>
      </c>
      <c r="H2431" s="23">
        <v>46149</v>
      </c>
      <c r="I2431" s="23">
        <v>46120</v>
      </c>
      <c r="J2431" s="10">
        <v>250</v>
      </c>
      <c r="K2431" s="10">
        <v>0</v>
      </c>
      <c r="L2431" s="24">
        <v>0</v>
      </c>
      <c r="M2431" s="10">
        <v>245</v>
      </c>
    </row>
    <row r="2432" spans="1:13" x14ac:dyDescent="0.25">
      <c r="A2432" s="12" t="str">
        <f t="shared" si="74"/>
        <v>780AVANSAT TECNOLOGIAS E SERVS EM SEGURANCA LTDANSE46119</v>
      </c>
      <c r="B2432" s="12" t="str">
        <f t="shared" si="75"/>
        <v>Maio</v>
      </c>
      <c r="C2432" s="8" t="s">
        <v>955</v>
      </c>
      <c r="D2432" s="8" t="s">
        <v>1354</v>
      </c>
      <c r="E2432" s="8" t="s">
        <v>24</v>
      </c>
      <c r="F2432" s="23">
        <v>46119</v>
      </c>
      <c r="G2432" s="8" t="s">
        <v>665</v>
      </c>
      <c r="H2432" s="23">
        <v>46148</v>
      </c>
      <c r="I2432" s="23">
        <v>46120</v>
      </c>
      <c r="J2432" s="10">
        <v>11929.32</v>
      </c>
      <c r="K2432" s="10">
        <v>0</v>
      </c>
      <c r="L2432" s="24">
        <v>0</v>
      </c>
      <c r="M2432" s="10">
        <v>11929.32</v>
      </c>
    </row>
    <row r="2433" spans="1:13" x14ac:dyDescent="0.25">
      <c r="A2433" s="12" t="str">
        <f t="shared" si="74"/>
        <v>781AVANSAT TECNOLOGIAS E SERVS EM SEGURANCA LTDANSE46119</v>
      </c>
      <c r="B2433" s="12" t="str">
        <f t="shared" si="75"/>
        <v>Maio</v>
      </c>
      <c r="C2433" s="8" t="s">
        <v>956</v>
      </c>
      <c r="D2433" s="8" t="s">
        <v>1354</v>
      </c>
      <c r="E2433" s="8" t="s">
        <v>24</v>
      </c>
      <c r="F2433" s="23">
        <v>46119</v>
      </c>
      <c r="G2433" s="8" t="s">
        <v>665</v>
      </c>
      <c r="H2433" s="23">
        <v>46148</v>
      </c>
      <c r="I2433" s="23">
        <v>46120</v>
      </c>
      <c r="J2433" s="10">
        <v>4149.54</v>
      </c>
      <c r="K2433" s="10">
        <v>0</v>
      </c>
      <c r="L2433" s="24">
        <v>0</v>
      </c>
      <c r="M2433" s="10">
        <v>3894.34</v>
      </c>
    </row>
    <row r="2434" spans="1:13" x14ac:dyDescent="0.25">
      <c r="A2434" s="12" t="str">
        <f t="shared" ref="A2434:A2497" si="76">$C2434&amp;$E2434&amp;$G2434&amp;$F2434</f>
        <v>781-1708-87MINISTERIO DA FAZENDAIM46135,4041666667</v>
      </c>
      <c r="B2434" s="12" t="str">
        <f t="shared" si="75"/>
        <v>Maio</v>
      </c>
      <c r="C2434" s="8" t="s">
        <v>2436</v>
      </c>
      <c r="D2434" s="8" t="s">
        <v>664</v>
      </c>
      <c r="E2434" s="8" t="s">
        <v>1503</v>
      </c>
      <c r="F2434" s="23">
        <v>46135.404166666667</v>
      </c>
      <c r="G2434" s="8" t="s">
        <v>1142</v>
      </c>
      <c r="H2434" s="23">
        <v>46162</v>
      </c>
      <c r="I2434" s="23">
        <v>46135.404166666667</v>
      </c>
      <c r="J2434" s="10">
        <v>62.24</v>
      </c>
      <c r="K2434" s="10">
        <v>0</v>
      </c>
      <c r="L2434" s="24">
        <v>0</v>
      </c>
      <c r="M2434" s="10">
        <v>62.24</v>
      </c>
    </row>
    <row r="2435" spans="1:13" x14ac:dyDescent="0.25">
      <c r="A2435" s="12" t="str">
        <f t="shared" si="76"/>
        <v>7814DISTRIBUIDORA IDEAL PECAS LTDANFE46099</v>
      </c>
      <c r="B2435" s="12" t="str">
        <f t="shared" ref="B2435:B2498" si="77">PROPER(TEXT($H2435,"MMMM"))</f>
        <v>Abril</v>
      </c>
      <c r="C2435" s="8" t="s">
        <v>580</v>
      </c>
      <c r="D2435" s="8" t="s">
        <v>664</v>
      </c>
      <c r="E2435" s="8" t="s">
        <v>581</v>
      </c>
      <c r="F2435" s="23">
        <v>46099</v>
      </c>
      <c r="G2435" s="8" t="s">
        <v>380</v>
      </c>
      <c r="H2435" s="23">
        <v>46129</v>
      </c>
      <c r="I2435" s="23">
        <v>46108</v>
      </c>
      <c r="J2435" s="10">
        <v>2000</v>
      </c>
      <c r="K2435" s="10">
        <v>0</v>
      </c>
      <c r="L2435" s="24">
        <v>0</v>
      </c>
      <c r="M2435" s="10">
        <v>2000</v>
      </c>
    </row>
    <row r="2436" spans="1:13" x14ac:dyDescent="0.25">
      <c r="A2436" s="12" t="str">
        <f t="shared" si="76"/>
        <v>7814DISTRIBUIDORA IDEAL PECAS LTDANFE46099</v>
      </c>
      <c r="B2436" s="12" t="str">
        <f t="shared" si="77"/>
        <v>Maio</v>
      </c>
      <c r="C2436" s="8" t="s">
        <v>580</v>
      </c>
      <c r="D2436" s="8" t="s">
        <v>664</v>
      </c>
      <c r="E2436" s="8" t="s">
        <v>581</v>
      </c>
      <c r="F2436" s="23">
        <v>46099</v>
      </c>
      <c r="G2436" s="8" t="s">
        <v>380</v>
      </c>
      <c r="H2436" s="23">
        <v>46159</v>
      </c>
      <c r="I2436" s="23">
        <v>46108</v>
      </c>
      <c r="J2436" s="10">
        <v>2000</v>
      </c>
      <c r="K2436" s="10">
        <v>0</v>
      </c>
      <c r="L2436" s="24">
        <v>0</v>
      </c>
      <c r="M2436" s="10">
        <v>2000</v>
      </c>
    </row>
    <row r="2437" spans="1:13" x14ac:dyDescent="0.25">
      <c r="A2437" s="12" t="str">
        <f t="shared" si="76"/>
        <v>781-5952-87MINISTERIO DA FAZENDAIM46135,4048611111</v>
      </c>
      <c r="B2437" s="12" t="str">
        <f t="shared" si="77"/>
        <v>Maio</v>
      </c>
      <c r="C2437" s="8" t="s">
        <v>2437</v>
      </c>
      <c r="D2437" s="8" t="s">
        <v>664</v>
      </c>
      <c r="E2437" s="8" t="s">
        <v>1503</v>
      </c>
      <c r="F2437" s="23">
        <v>46135.404861111114</v>
      </c>
      <c r="G2437" s="8" t="s">
        <v>1142</v>
      </c>
      <c r="H2437" s="23">
        <v>46162</v>
      </c>
      <c r="I2437" s="23">
        <v>46135.404861111114</v>
      </c>
      <c r="J2437" s="10">
        <v>192.95</v>
      </c>
      <c r="K2437" s="10">
        <v>0</v>
      </c>
      <c r="L2437" s="24">
        <v>0</v>
      </c>
      <c r="M2437" s="10">
        <v>192.95</v>
      </c>
    </row>
    <row r="2438" spans="1:13" x14ac:dyDescent="0.25">
      <c r="A2438" s="12" t="str">
        <f t="shared" si="76"/>
        <v>784275SASCAR TECNOLOGIA E SEGURANÇA AUTOMOTICA S/ANSE46059</v>
      </c>
      <c r="B2438" s="12" t="str">
        <f t="shared" si="77"/>
        <v>Março</v>
      </c>
      <c r="C2438" s="8" t="s">
        <v>957</v>
      </c>
      <c r="D2438" s="8" t="s">
        <v>1354</v>
      </c>
      <c r="E2438" s="8" t="s">
        <v>179</v>
      </c>
      <c r="F2438" s="23">
        <v>46059</v>
      </c>
      <c r="G2438" s="8" t="s">
        <v>665</v>
      </c>
      <c r="H2438" s="23">
        <v>46090</v>
      </c>
      <c r="I2438" s="23">
        <v>46062</v>
      </c>
      <c r="J2438" s="10">
        <v>357.45</v>
      </c>
      <c r="K2438" s="10">
        <v>0</v>
      </c>
      <c r="L2438" s="24">
        <v>0</v>
      </c>
      <c r="M2438" s="10">
        <v>357.45</v>
      </c>
    </row>
    <row r="2439" spans="1:13" x14ac:dyDescent="0.25">
      <c r="A2439" s="12" t="str">
        <f t="shared" si="76"/>
        <v>7870408PLUXEE BENEFICIOS BRASIL S.A.ND46161</v>
      </c>
      <c r="B2439" s="12" t="str">
        <f t="shared" si="77"/>
        <v>Junho</v>
      </c>
      <c r="C2439" s="8" t="s">
        <v>356</v>
      </c>
      <c r="D2439" s="8" t="s">
        <v>1618</v>
      </c>
      <c r="E2439" s="8" t="s">
        <v>157</v>
      </c>
      <c r="F2439" s="23">
        <v>46161</v>
      </c>
      <c r="G2439" s="8" t="s">
        <v>338</v>
      </c>
      <c r="H2439" s="23">
        <v>46191</v>
      </c>
      <c r="I2439" s="23">
        <v>46163</v>
      </c>
      <c r="J2439" s="10">
        <v>71145</v>
      </c>
      <c r="K2439" s="10">
        <v>0</v>
      </c>
      <c r="L2439" s="24">
        <v>0</v>
      </c>
      <c r="M2439" s="10">
        <v>71145</v>
      </c>
    </row>
    <row r="2440" spans="1:13" x14ac:dyDescent="0.25">
      <c r="A2440" s="12" t="str">
        <f t="shared" si="76"/>
        <v>7870408/87PLUXEE BENEFICIOS BRASIL S.A.NSE46161</v>
      </c>
      <c r="B2440" s="12" t="str">
        <f t="shared" si="77"/>
        <v>Junho</v>
      </c>
      <c r="C2440" s="8" t="s">
        <v>2502</v>
      </c>
      <c r="D2440" s="8" t="s">
        <v>664</v>
      </c>
      <c r="E2440" s="8" t="s">
        <v>157</v>
      </c>
      <c r="F2440" s="23">
        <v>46161</v>
      </c>
      <c r="G2440" s="8" t="s">
        <v>665</v>
      </c>
      <c r="H2440" s="23">
        <v>46191</v>
      </c>
      <c r="I2440" s="23">
        <v>46163</v>
      </c>
      <c r="J2440" s="10">
        <v>71145</v>
      </c>
      <c r="K2440" s="10">
        <v>0</v>
      </c>
      <c r="L2440" s="24">
        <v>0</v>
      </c>
      <c r="M2440" s="10">
        <v>71145</v>
      </c>
    </row>
    <row r="2441" spans="1:13" x14ac:dyDescent="0.25">
      <c r="A2441" s="12" t="str">
        <f t="shared" si="76"/>
        <v>7870410PLUXEE BENEFICIOS BRASIL S.A.ND46161</v>
      </c>
      <c r="B2441" s="12" t="str">
        <f t="shared" si="77"/>
        <v>Junho</v>
      </c>
      <c r="C2441" s="8" t="s">
        <v>357</v>
      </c>
      <c r="D2441" s="8" t="s">
        <v>1618</v>
      </c>
      <c r="E2441" s="8" t="s">
        <v>157</v>
      </c>
      <c r="F2441" s="23">
        <v>46161</v>
      </c>
      <c r="G2441" s="8" t="s">
        <v>338</v>
      </c>
      <c r="H2441" s="23">
        <v>46191</v>
      </c>
      <c r="I2441" s="23">
        <v>46162</v>
      </c>
      <c r="J2441" s="10">
        <v>11070</v>
      </c>
      <c r="K2441" s="10">
        <v>0</v>
      </c>
      <c r="L2441" s="24">
        <v>0</v>
      </c>
      <c r="M2441" s="10">
        <v>11070</v>
      </c>
    </row>
    <row r="2442" spans="1:13" x14ac:dyDescent="0.25">
      <c r="A2442" s="12" t="str">
        <f t="shared" si="76"/>
        <v>7870410/87PLUXEE BENEFICIOS BRASIL S.A.NSE46161</v>
      </c>
      <c r="B2442" s="12" t="str">
        <f t="shared" si="77"/>
        <v>Junho</v>
      </c>
      <c r="C2442" s="8" t="s">
        <v>2503</v>
      </c>
      <c r="D2442" s="8" t="s">
        <v>664</v>
      </c>
      <c r="E2442" s="8" t="s">
        <v>157</v>
      </c>
      <c r="F2442" s="23">
        <v>46161</v>
      </c>
      <c r="G2442" s="8" t="s">
        <v>665</v>
      </c>
      <c r="H2442" s="23">
        <v>46191</v>
      </c>
      <c r="I2442" s="23">
        <v>46163</v>
      </c>
      <c r="J2442" s="10">
        <v>11070</v>
      </c>
      <c r="K2442" s="10">
        <v>0</v>
      </c>
      <c r="L2442" s="24">
        <v>0</v>
      </c>
      <c r="M2442" s="10">
        <v>11070</v>
      </c>
    </row>
    <row r="2443" spans="1:13" x14ac:dyDescent="0.25">
      <c r="A2443" s="12" t="str">
        <f t="shared" si="76"/>
        <v>7870413PLUXEE BENEFICIOS BRASIL S.A.ND46161</v>
      </c>
      <c r="B2443" s="12" t="str">
        <f t="shared" si="77"/>
        <v>Junho</v>
      </c>
      <c r="C2443" s="8" t="s">
        <v>358</v>
      </c>
      <c r="D2443" s="8" t="s">
        <v>1618</v>
      </c>
      <c r="E2443" s="8" t="s">
        <v>157</v>
      </c>
      <c r="F2443" s="23">
        <v>46161</v>
      </c>
      <c r="G2443" s="8" t="s">
        <v>338</v>
      </c>
      <c r="H2443" s="23">
        <v>46191</v>
      </c>
      <c r="I2443" s="23">
        <v>46163</v>
      </c>
      <c r="J2443" s="10">
        <v>7905</v>
      </c>
      <c r="K2443" s="10">
        <v>720</v>
      </c>
      <c r="L2443" s="24">
        <v>0</v>
      </c>
      <c r="M2443" s="10">
        <v>7185</v>
      </c>
    </row>
    <row r="2444" spans="1:13" x14ac:dyDescent="0.25">
      <c r="A2444" s="12" t="str">
        <f t="shared" si="76"/>
        <v>7870413/87PLUXEE BENEFICIOS BRASIL S.A.NSE46161</v>
      </c>
      <c r="B2444" s="12" t="str">
        <f t="shared" si="77"/>
        <v>Junho</v>
      </c>
      <c r="C2444" s="8" t="s">
        <v>2504</v>
      </c>
      <c r="D2444" s="8" t="s">
        <v>664</v>
      </c>
      <c r="E2444" s="8" t="s">
        <v>157</v>
      </c>
      <c r="F2444" s="23">
        <v>46161</v>
      </c>
      <c r="G2444" s="8" t="s">
        <v>665</v>
      </c>
      <c r="H2444" s="23">
        <v>46191</v>
      </c>
      <c r="I2444" s="23">
        <v>46163</v>
      </c>
      <c r="J2444" s="10">
        <v>7905</v>
      </c>
      <c r="K2444" s="10">
        <v>720</v>
      </c>
      <c r="L2444" s="24">
        <v>0</v>
      </c>
      <c r="M2444" s="10">
        <v>7185</v>
      </c>
    </row>
    <row r="2445" spans="1:13" x14ac:dyDescent="0.25">
      <c r="A2445" s="12" t="str">
        <f t="shared" si="76"/>
        <v>7870507PLUXEE BENEFICIOS BRASIL S.A.ND46161</v>
      </c>
      <c r="B2445" s="12" t="str">
        <f t="shared" si="77"/>
        <v>Junho</v>
      </c>
      <c r="C2445" s="8" t="s">
        <v>359</v>
      </c>
      <c r="D2445" s="8" t="s">
        <v>1618</v>
      </c>
      <c r="E2445" s="8" t="s">
        <v>157</v>
      </c>
      <c r="F2445" s="23">
        <v>46161</v>
      </c>
      <c r="G2445" s="8" t="s">
        <v>338</v>
      </c>
      <c r="H2445" s="23">
        <v>46191</v>
      </c>
      <c r="I2445" s="23">
        <v>46162</v>
      </c>
      <c r="J2445" s="10">
        <v>1260</v>
      </c>
      <c r="K2445" s="10">
        <v>0</v>
      </c>
      <c r="L2445" s="24">
        <v>0</v>
      </c>
      <c r="M2445" s="10">
        <v>1260</v>
      </c>
    </row>
    <row r="2446" spans="1:13" x14ac:dyDescent="0.25">
      <c r="A2446" s="12" t="str">
        <f t="shared" si="76"/>
        <v>7870507/87PLUXEE BENEFICIOS BRASIL S.A.NSE46161</v>
      </c>
      <c r="B2446" s="12" t="str">
        <f t="shared" si="77"/>
        <v>Junho</v>
      </c>
      <c r="C2446" s="8" t="s">
        <v>2505</v>
      </c>
      <c r="D2446" s="8" t="s">
        <v>664</v>
      </c>
      <c r="E2446" s="8" t="s">
        <v>157</v>
      </c>
      <c r="F2446" s="23">
        <v>46161</v>
      </c>
      <c r="G2446" s="8" t="s">
        <v>665</v>
      </c>
      <c r="H2446" s="23">
        <v>46191</v>
      </c>
      <c r="I2446" s="23">
        <v>46162</v>
      </c>
      <c r="J2446" s="10">
        <v>1260</v>
      </c>
      <c r="K2446" s="10">
        <v>0</v>
      </c>
      <c r="L2446" s="24">
        <v>0</v>
      </c>
      <c r="M2446" s="10">
        <v>1260</v>
      </c>
    </row>
    <row r="2447" spans="1:13" x14ac:dyDescent="0.25">
      <c r="A2447" s="12" t="str">
        <f t="shared" si="76"/>
        <v>7884DISTRIBUIDORA IDEAL PECAS LTDANFE46105</v>
      </c>
      <c r="B2447" s="12" t="str">
        <f t="shared" si="77"/>
        <v>Abril</v>
      </c>
      <c r="C2447" s="8" t="s">
        <v>583</v>
      </c>
      <c r="D2447" s="8" t="s">
        <v>664</v>
      </c>
      <c r="E2447" s="8" t="s">
        <v>581</v>
      </c>
      <c r="F2447" s="23">
        <v>46105</v>
      </c>
      <c r="G2447" s="8" t="s">
        <v>380</v>
      </c>
      <c r="H2447" s="23">
        <v>46135</v>
      </c>
      <c r="I2447" s="23">
        <v>46108</v>
      </c>
      <c r="J2447" s="10">
        <v>4420</v>
      </c>
      <c r="K2447" s="10">
        <v>0</v>
      </c>
      <c r="L2447" s="24">
        <v>0</v>
      </c>
      <c r="M2447" s="10">
        <v>4420</v>
      </c>
    </row>
    <row r="2448" spans="1:13" x14ac:dyDescent="0.25">
      <c r="A2448" s="12" t="str">
        <f t="shared" si="76"/>
        <v>792RC TRUCK CENTER S/ANSE46178</v>
      </c>
      <c r="B2448" s="12" t="str">
        <f t="shared" si="77"/>
        <v>Julho</v>
      </c>
      <c r="C2448" s="8" t="s">
        <v>959</v>
      </c>
      <c r="D2448" s="8" t="s">
        <v>1354</v>
      </c>
      <c r="E2448" s="8" t="s">
        <v>164</v>
      </c>
      <c r="F2448" s="23">
        <v>46178</v>
      </c>
      <c r="G2448" s="8" t="s">
        <v>665</v>
      </c>
      <c r="H2448" s="23">
        <v>46208</v>
      </c>
      <c r="I2448" s="23">
        <v>46188</v>
      </c>
      <c r="J2448" s="10">
        <v>1281</v>
      </c>
      <c r="K2448" s="10">
        <v>0</v>
      </c>
      <c r="L2448" s="24">
        <v>0</v>
      </c>
      <c r="M2448" s="10">
        <v>1229.76</v>
      </c>
    </row>
    <row r="2449" spans="1:13" x14ac:dyDescent="0.25">
      <c r="A2449" s="12" t="str">
        <f t="shared" si="76"/>
        <v>7937GSC AUTO CENTER E PECAS LTDANFE45999</v>
      </c>
      <c r="B2449" s="12" t="str">
        <f t="shared" si="77"/>
        <v>Janeiro</v>
      </c>
      <c r="C2449" s="8" t="s">
        <v>1420</v>
      </c>
      <c r="D2449" s="8" t="s">
        <v>664</v>
      </c>
      <c r="E2449" s="8" t="s">
        <v>77</v>
      </c>
      <c r="F2449" s="23">
        <v>45999</v>
      </c>
      <c r="G2449" s="8" t="s">
        <v>380</v>
      </c>
      <c r="H2449" s="23">
        <v>46028</v>
      </c>
      <c r="I2449" s="23">
        <v>46000</v>
      </c>
      <c r="J2449" s="10">
        <v>308</v>
      </c>
      <c r="K2449" s="10">
        <v>0</v>
      </c>
      <c r="L2449" s="24">
        <v>0</v>
      </c>
      <c r="M2449" s="10">
        <v>308</v>
      </c>
    </row>
    <row r="2450" spans="1:13" x14ac:dyDescent="0.25">
      <c r="A2450" s="12" t="str">
        <f t="shared" si="76"/>
        <v>7947RECAPAGEM RECATEC LTDA.NSE46234</v>
      </c>
      <c r="B2450" s="12" t="str">
        <f t="shared" si="77"/>
        <v>Agosto</v>
      </c>
      <c r="C2450" s="8" t="s">
        <v>960</v>
      </c>
      <c r="D2450" s="8" t="s">
        <v>1354</v>
      </c>
      <c r="E2450" s="8" t="s">
        <v>166</v>
      </c>
      <c r="F2450" s="23">
        <v>46234</v>
      </c>
      <c r="G2450" s="8" t="s">
        <v>665</v>
      </c>
      <c r="H2450" s="23">
        <v>46265</v>
      </c>
      <c r="I2450" s="23">
        <v>46234</v>
      </c>
      <c r="J2450" s="10">
        <v>814</v>
      </c>
      <c r="K2450" s="10">
        <v>0</v>
      </c>
      <c r="L2450" s="24">
        <v>0</v>
      </c>
      <c r="M2450" s="10">
        <v>814</v>
      </c>
    </row>
    <row r="2451" spans="1:13" x14ac:dyDescent="0.25">
      <c r="A2451" s="12" t="str">
        <f t="shared" si="76"/>
        <v>7947RECAPAGEM RECATEC LTDA.NSE46234</v>
      </c>
      <c r="B2451" s="12" t="str">
        <f t="shared" si="77"/>
        <v>Setembro</v>
      </c>
      <c r="C2451" s="8" t="s">
        <v>960</v>
      </c>
      <c r="D2451" s="8" t="s">
        <v>1354</v>
      </c>
      <c r="E2451" s="8" t="s">
        <v>166</v>
      </c>
      <c r="F2451" s="23">
        <v>46234</v>
      </c>
      <c r="G2451" s="8" t="s">
        <v>665</v>
      </c>
      <c r="H2451" s="23">
        <v>46294</v>
      </c>
      <c r="I2451" s="23">
        <v>46234</v>
      </c>
      <c r="J2451" s="10">
        <v>814</v>
      </c>
      <c r="K2451" s="10">
        <v>0</v>
      </c>
      <c r="L2451" s="24">
        <v>0</v>
      </c>
      <c r="M2451" s="10">
        <v>814</v>
      </c>
    </row>
    <row r="2452" spans="1:13" x14ac:dyDescent="0.25">
      <c r="A2452" s="12" t="str">
        <f t="shared" si="76"/>
        <v>8EDILSON RIBEIRO DA SILVARCB46029,4305555556</v>
      </c>
      <c r="B2452" s="12" t="str">
        <f t="shared" si="77"/>
        <v>Janeiro</v>
      </c>
      <c r="C2452" s="8" t="s">
        <v>1046</v>
      </c>
      <c r="D2452" s="8" t="s">
        <v>664</v>
      </c>
      <c r="E2452" s="8" t="s">
        <v>56</v>
      </c>
      <c r="F2452" s="23">
        <v>46029.430555555555</v>
      </c>
      <c r="G2452" s="8" t="s">
        <v>1045</v>
      </c>
      <c r="H2452" s="23">
        <v>46034</v>
      </c>
      <c r="I2452" s="23">
        <v>46029.430555555555</v>
      </c>
      <c r="J2452" s="10">
        <v>60</v>
      </c>
      <c r="K2452" s="10">
        <v>0</v>
      </c>
      <c r="L2452" s="24">
        <v>0</v>
      </c>
      <c r="M2452" s="10">
        <v>60</v>
      </c>
    </row>
    <row r="2453" spans="1:13" x14ac:dyDescent="0.25">
      <c r="A2453" s="12" t="str">
        <f t="shared" si="76"/>
        <v>8WALACE ROCHA DE SOUZARCB46035,7388888889</v>
      </c>
      <c r="B2453" s="12" t="str">
        <f t="shared" si="77"/>
        <v>Janeiro</v>
      </c>
      <c r="C2453" s="8" t="s">
        <v>1046</v>
      </c>
      <c r="D2453" s="8" t="s">
        <v>664</v>
      </c>
      <c r="E2453" s="8" t="s">
        <v>200</v>
      </c>
      <c r="F2453" s="23">
        <v>46035.738888888889</v>
      </c>
      <c r="G2453" s="8" t="s">
        <v>1045</v>
      </c>
      <c r="H2453" s="23">
        <v>46038</v>
      </c>
      <c r="I2453" s="23">
        <v>46035.738888888889</v>
      </c>
      <c r="J2453" s="10">
        <v>58</v>
      </c>
      <c r="K2453" s="10">
        <v>0</v>
      </c>
      <c r="L2453" s="24">
        <v>0</v>
      </c>
      <c r="M2453" s="10">
        <v>58</v>
      </c>
    </row>
    <row r="2454" spans="1:13" x14ac:dyDescent="0.25">
      <c r="A2454" s="12" t="str">
        <f t="shared" si="76"/>
        <v>8FERNANDO GONÇALVES DE SOUZARCB46041,4791666667</v>
      </c>
      <c r="B2454" s="12" t="str">
        <f t="shared" si="77"/>
        <v>Janeiro</v>
      </c>
      <c r="C2454" s="8" t="s">
        <v>1046</v>
      </c>
      <c r="D2454" s="8" t="s">
        <v>664</v>
      </c>
      <c r="E2454" s="8" t="s">
        <v>1443</v>
      </c>
      <c r="F2454" s="23">
        <v>46041.479166666664</v>
      </c>
      <c r="G2454" s="8" t="s">
        <v>1045</v>
      </c>
      <c r="H2454" s="23">
        <v>46044</v>
      </c>
      <c r="I2454" s="23">
        <v>46041.479166666664</v>
      </c>
      <c r="J2454" s="10">
        <v>11</v>
      </c>
      <c r="K2454" s="10">
        <v>0</v>
      </c>
      <c r="L2454" s="24">
        <v>0</v>
      </c>
      <c r="M2454" s="10">
        <v>11</v>
      </c>
    </row>
    <row r="2455" spans="1:13" x14ac:dyDescent="0.25">
      <c r="A2455" s="12" t="str">
        <f t="shared" si="76"/>
        <v>8VALDECI TONIMRCB46052,3930555556</v>
      </c>
      <c r="B2455" s="12" t="str">
        <f t="shared" si="77"/>
        <v>Fevereiro</v>
      </c>
      <c r="C2455" s="8" t="s">
        <v>1046</v>
      </c>
      <c r="D2455" s="8" t="s">
        <v>664</v>
      </c>
      <c r="E2455" s="8" t="s">
        <v>193</v>
      </c>
      <c r="F2455" s="23">
        <v>46052.393055555556</v>
      </c>
      <c r="G2455" s="8" t="s">
        <v>1045</v>
      </c>
      <c r="H2455" s="23">
        <v>46057</v>
      </c>
      <c r="I2455" s="23">
        <v>46052.393055555556</v>
      </c>
      <c r="J2455" s="10">
        <v>138.66</v>
      </c>
      <c r="K2455" s="10">
        <v>0</v>
      </c>
      <c r="L2455" s="24">
        <v>0</v>
      </c>
      <c r="M2455" s="10">
        <v>138.86000000000001</v>
      </c>
    </row>
    <row r="2456" spans="1:13" x14ac:dyDescent="0.25">
      <c r="A2456" s="12" t="str">
        <f t="shared" si="76"/>
        <v>8DANIELA CHAVES MARIANORCB46064,4041666667</v>
      </c>
      <c r="B2456" s="12" t="str">
        <f t="shared" si="77"/>
        <v>Fevereiro</v>
      </c>
      <c r="C2456" s="8" t="s">
        <v>1046</v>
      </c>
      <c r="D2456" s="8" t="s">
        <v>664</v>
      </c>
      <c r="E2456" s="8" t="s">
        <v>47</v>
      </c>
      <c r="F2456" s="23">
        <v>46064.404166666667</v>
      </c>
      <c r="G2456" s="8" t="s">
        <v>1045</v>
      </c>
      <c r="H2456" s="23">
        <v>46069</v>
      </c>
      <c r="I2456" s="23">
        <v>46064.404166666667</v>
      </c>
      <c r="J2456" s="10">
        <v>124.86</v>
      </c>
      <c r="K2456" s="10">
        <v>0</v>
      </c>
      <c r="L2456" s="24">
        <v>0</v>
      </c>
      <c r="M2456" s="10">
        <v>124.86</v>
      </c>
    </row>
    <row r="2457" spans="1:13" x14ac:dyDescent="0.25">
      <c r="A2457" s="12" t="str">
        <f t="shared" si="76"/>
        <v>8MAURO CAVALCANTE RODRIGUESRCB46085,6513888889</v>
      </c>
      <c r="B2457" s="12" t="str">
        <f t="shared" si="77"/>
        <v>Março</v>
      </c>
      <c r="C2457" s="8" t="s">
        <v>1046</v>
      </c>
      <c r="D2457" s="8" t="s">
        <v>664</v>
      </c>
      <c r="E2457" s="8" t="s">
        <v>1584</v>
      </c>
      <c r="F2457" s="23">
        <v>46085.651388888888</v>
      </c>
      <c r="G2457" s="8" t="s">
        <v>1045</v>
      </c>
      <c r="H2457" s="23">
        <v>46091</v>
      </c>
      <c r="I2457" s="23">
        <v>46085.651388888888</v>
      </c>
      <c r="J2457" s="10">
        <v>35.4</v>
      </c>
      <c r="K2457" s="10">
        <v>0</v>
      </c>
      <c r="L2457" s="24">
        <v>0</v>
      </c>
      <c r="M2457" s="10">
        <v>35.4</v>
      </c>
    </row>
    <row r="2458" spans="1:13" x14ac:dyDescent="0.25">
      <c r="A2458" s="12" t="str">
        <f t="shared" si="76"/>
        <v>8RODOLFO GUILHERME BERNARDES NORBERTORCB46092,6541666667</v>
      </c>
      <c r="B2458" s="12" t="str">
        <f t="shared" si="77"/>
        <v>Março</v>
      </c>
      <c r="C2458" s="8" t="s">
        <v>1046</v>
      </c>
      <c r="D2458" s="8" t="s">
        <v>664</v>
      </c>
      <c r="E2458" s="8" t="s">
        <v>171</v>
      </c>
      <c r="F2458" s="23">
        <v>46092.654166666667</v>
      </c>
      <c r="G2458" s="8" t="s">
        <v>1045</v>
      </c>
      <c r="H2458" s="23">
        <v>46097</v>
      </c>
      <c r="I2458" s="23">
        <v>46092.654166666667</v>
      </c>
      <c r="J2458" s="10">
        <v>100</v>
      </c>
      <c r="K2458" s="10">
        <v>0</v>
      </c>
      <c r="L2458" s="24">
        <v>0</v>
      </c>
      <c r="M2458" s="10">
        <v>100</v>
      </c>
    </row>
    <row r="2459" spans="1:13" x14ac:dyDescent="0.25">
      <c r="A2459" s="12" t="str">
        <f t="shared" si="76"/>
        <v>8ANTONIO SILVA DE SOUSARCB46094,6333333333</v>
      </c>
      <c r="B2459" s="12" t="str">
        <f t="shared" si="77"/>
        <v>Março</v>
      </c>
      <c r="C2459" s="8" t="s">
        <v>1046</v>
      </c>
      <c r="D2459" s="8" t="s">
        <v>664</v>
      </c>
      <c r="E2459" s="8" t="s">
        <v>20</v>
      </c>
      <c r="F2459" s="23">
        <v>46094.633333333331</v>
      </c>
      <c r="G2459" s="8" t="s">
        <v>1045</v>
      </c>
      <c r="H2459" s="23">
        <v>46099</v>
      </c>
      <c r="I2459" s="23">
        <v>46094.633333333331</v>
      </c>
      <c r="J2459" s="10">
        <v>95</v>
      </c>
      <c r="K2459" s="10">
        <v>0</v>
      </c>
      <c r="L2459" s="24">
        <v>0</v>
      </c>
      <c r="M2459" s="10">
        <v>95</v>
      </c>
    </row>
    <row r="2460" spans="1:13" x14ac:dyDescent="0.25">
      <c r="A2460" s="12" t="str">
        <f t="shared" si="76"/>
        <v>8RAFAEL RODRIGUESRCB46108,6534722222</v>
      </c>
      <c r="B2460" s="12" t="str">
        <f t="shared" si="77"/>
        <v>Abril</v>
      </c>
      <c r="C2460" s="8" t="s">
        <v>1046</v>
      </c>
      <c r="D2460" s="8" t="s">
        <v>664</v>
      </c>
      <c r="E2460" s="8" t="s">
        <v>161</v>
      </c>
      <c r="F2460" s="23">
        <v>46108.65347222222</v>
      </c>
      <c r="G2460" s="8" t="s">
        <v>1045</v>
      </c>
      <c r="H2460" s="23">
        <v>46113</v>
      </c>
      <c r="I2460" s="23">
        <v>46108.65347222222</v>
      </c>
      <c r="J2460" s="10">
        <v>100</v>
      </c>
      <c r="K2460" s="10">
        <v>0</v>
      </c>
      <c r="L2460" s="24">
        <v>0</v>
      </c>
      <c r="M2460" s="10">
        <v>100</v>
      </c>
    </row>
    <row r="2461" spans="1:13" x14ac:dyDescent="0.25">
      <c r="A2461" s="12" t="str">
        <f t="shared" si="76"/>
        <v>8WESLLEY FRANCO CALVISRCB46108,6006944444</v>
      </c>
      <c r="B2461" s="12" t="str">
        <f t="shared" si="77"/>
        <v>Abril</v>
      </c>
      <c r="C2461" s="8" t="s">
        <v>1046</v>
      </c>
      <c r="D2461" s="8" t="s">
        <v>664</v>
      </c>
      <c r="E2461" s="8" t="s">
        <v>202</v>
      </c>
      <c r="F2461" s="23">
        <v>46108.600694444445</v>
      </c>
      <c r="G2461" s="8" t="s">
        <v>1045</v>
      </c>
      <c r="H2461" s="23">
        <v>46113</v>
      </c>
      <c r="I2461" s="23">
        <v>46108.600694444445</v>
      </c>
      <c r="J2461" s="10">
        <v>139.9</v>
      </c>
      <c r="K2461" s="10">
        <v>0</v>
      </c>
      <c r="L2461" s="24">
        <v>0</v>
      </c>
      <c r="M2461" s="10">
        <v>139.9</v>
      </c>
    </row>
    <row r="2462" spans="1:13" x14ac:dyDescent="0.25">
      <c r="A2462" s="12" t="str">
        <f t="shared" si="76"/>
        <v>8CORREIOS AGUA BRANCARCB46112,3930555556</v>
      </c>
      <c r="B2462" s="12" t="str">
        <f t="shared" si="77"/>
        <v>Abril</v>
      </c>
      <c r="C2462" s="8" t="s">
        <v>1046</v>
      </c>
      <c r="D2462" s="8" t="s">
        <v>664</v>
      </c>
      <c r="E2462" s="8" t="s">
        <v>45</v>
      </c>
      <c r="F2462" s="23">
        <v>46112.393055555556</v>
      </c>
      <c r="G2462" s="8" t="s">
        <v>1045</v>
      </c>
      <c r="H2462" s="23">
        <v>46115</v>
      </c>
      <c r="I2462" s="23">
        <v>46112.393055555556</v>
      </c>
      <c r="J2462" s="10">
        <v>135.19999999999999</v>
      </c>
      <c r="K2462" s="10">
        <v>0</v>
      </c>
      <c r="L2462" s="24">
        <v>0</v>
      </c>
      <c r="M2462" s="10">
        <v>135.19999999999999</v>
      </c>
    </row>
    <row r="2463" spans="1:13" x14ac:dyDescent="0.25">
      <c r="A2463" s="12" t="str">
        <f t="shared" si="76"/>
        <v>8FERNANDA SANTOS SOARESRCB46112,6520833333</v>
      </c>
      <c r="B2463" s="12" t="str">
        <f t="shared" si="77"/>
        <v>Abril</v>
      </c>
      <c r="C2463" s="8" t="s">
        <v>1046</v>
      </c>
      <c r="D2463" s="8" t="s">
        <v>664</v>
      </c>
      <c r="E2463" s="8" t="s">
        <v>68</v>
      </c>
      <c r="F2463" s="23">
        <v>46112.652083333334</v>
      </c>
      <c r="G2463" s="8" t="s">
        <v>1045</v>
      </c>
      <c r="H2463" s="23">
        <v>46115</v>
      </c>
      <c r="I2463" s="23">
        <v>46112.652083333334</v>
      </c>
      <c r="J2463" s="10">
        <v>79.599999999999994</v>
      </c>
      <c r="K2463" s="10">
        <v>0</v>
      </c>
      <c r="L2463" s="24">
        <v>0</v>
      </c>
      <c r="M2463" s="10">
        <v>79.599999999999994</v>
      </c>
    </row>
    <row r="2464" spans="1:13" x14ac:dyDescent="0.25">
      <c r="A2464" s="12" t="str">
        <f t="shared" si="76"/>
        <v>8JESLEY WILLIAM MIRANDA DE SOUZARCB46126,3625</v>
      </c>
      <c r="B2464" s="12" t="str">
        <f t="shared" si="77"/>
        <v>Abril</v>
      </c>
      <c r="C2464" s="8" t="s">
        <v>1046</v>
      </c>
      <c r="D2464" s="8" t="s">
        <v>664</v>
      </c>
      <c r="E2464" s="8" t="s">
        <v>90</v>
      </c>
      <c r="F2464" s="23">
        <v>46126.362500000003</v>
      </c>
      <c r="G2464" s="8" t="s">
        <v>1045</v>
      </c>
      <c r="H2464" s="23">
        <v>46129</v>
      </c>
      <c r="I2464" s="23">
        <v>46126.362500000003</v>
      </c>
      <c r="J2464" s="10">
        <v>120</v>
      </c>
      <c r="K2464" s="10">
        <v>0</v>
      </c>
      <c r="L2464" s="24">
        <v>0</v>
      </c>
      <c r="M2464" s="10">
        <v>120</v>
      </c>
    </row>
    <row r="2465" spans="1:13" x14ac:dyDescent="0.25">
      <c r="A2465" s="12" t="str">
        <f t="shared" si="76"/>
        <v>8RODRIGO CORREARCB46148,6604166667</v>
      </c>
      <c r="B2465" s="12" t="str">
        <f t="shared" si="77"/>
        <v>Maio</v>
      </c>
      <c r="C2465" s="8" t="s">
        <v>1046</v>
      </c>
      <c r="D2465" s="8" t="s">
        <v>664</v>
      </c>
      <c r="E2465" s="8" t="s">
        <v>172</v>
      </c>
      <c r="F2465" s="23">
        <v>46148.660416666666</v>
      </c>
      <c r="G2465" s="8" t="s">
        <v>1045</v>
      </c>
      <c r="H2465" s="23">
        <v>46153</v>
      </c>
      <c r="I2465" s="23">
        <v>46148.660416666666</v>
      </c>
      <c r="J2465" s="10">
        <v>70</v>
      </c>
      <c r="K2465" s="10">
        <v>0</v>
      </c>
      <c r="L2465" s="24">
        <v>0</v>
      </c>
      <c r="M2465" s="10">
        <v>70</v>
      </c>
    </row>
    <row r="2466" spans="1:13" x14ac:dyDescent="0.25">
      <c r="A2466" s="12" t="str">
        <f t="shared" si="76"/>
        <v>8LAIENE LOPES TEIXEIRARCB46150,6041666667</v>
      </c>
      <c r="B2466" s="12" t="str">
        <f t="shared" si="77"/>
        <v>Maio</v>
      </c>
      <c r="C2466" s="8" t="s">
        <v>1046</v>
      </c>
      <c r="D2466" s="8" t="s">
        <v>664</v>
      </c>
      <c r="E2466" s="8" t="s">
        <v>106</v>
      </c>
      <c r="F2466" s="23">
        <v>46150.604166666664</v>
      </c>
      <c r="G2466" s="8" t="s">
        <v>1045</v>
      </c>
      <c r="H2466" s="23">
        <v>46155</v>
      </c>
      <c r="I2466" s="23">
        <v>46150.604166666664</v>
      </c>
      <c r="J2466" s="10">
        <v>228.94</v>
      </c>
      <c r="K2466" s="10">
        <v>0</v>
      </c>
      <c r="L2466" s="24">
        <v>0</v>
      </c>
      <c r="M2466" s="10">
        <v>228.94</v>
      </c>
    </row>
    <row r="2467" spans="1:13" x14ac:dyDescent="0.25">
      <c r="A2467" s="12" t="str">
        <f t="shared" si="76"/>
        <v>8PATRICIA JUSTINA DE ALMEIDARCB46150,6027777778</v>
      </c>
      <c r="B2467" s="12" t="str">
        <f t="shared" si="77"/>
        <v>Maio</v>
      </c>
      <c r="C2467" s="8" t="s">
        <v>1046</v>
      </c>
      <c r="D2467" s="8" t="s">
        <v>664</v>
      </c>
      <c r="E2467" s="8" t="s">
        <v>148</v>
      </c>
      <c r="F2467" s="23">
        <v>46150.602777777778</v>
      </c>
      <c r="G2467" s="8" t="s">
        <v>1045</v>
      </c>
      <c r="H2467" s="23">
        <v>46155</v>
      </c>
      <c r="I2467" s="23">
        <v>46150.602777777778</v>
      </c>
      <c r="J2467" s="10">
        <v>514.94000000000005</v>
      </c>
      <c r="K2467" s="10">
        <v>0</v>
      </c>
      <c r="L2467" s="24">
        <v>0</v>
      </c>
      <c r="M2467" s="10">
        <v>514.94000000000005</v>
      </c>
    </row>
    <row r="2468" spans="1:13" x14ac:dyDescent="0.25">
      <c r="A2468" s="12" t="str">
        <f t="shared" si="76"/>
        <v>8TIAGO FERNANDO DOS SANTOS SILVARCB46184,3791666667</v>
      </c>
      <c r="B2468" s="12" t="str">
        <f t="shared" si="77"/>
        <v>Junho</v>
      </c>
      <c r="C2468" s="8" t="s">
        <v>1046</v>
      </c>
      <c r="D2468" s="8" t="s">
        <v>664</v>
      </c>
      <c r="E2468" s="8" t="s">
        <v>188</v>
      </c>
      <c r="F2468" s="23">
        <v>46184.379166666666</v>
      </c>
      <c r="G2468" s="8" t="s">
        <v>1045</v>
      </c>
      <c r="H2468" s="23">
        <v>46189</v>
      </c>
      <c r="I2468" s="23">
        <v>46184.379166666666</v>
      </c>
      <c r="J2468" s="10">
        <v>470</v>
      </c>
      <c r="K2468" s="10">
        <v>0</v>
      </c>
      <c r="L2468" s="24">
        <v>0</v>
      </c>
      <c r="M2468" s="10">
        <v>470</v>
      </c>
    </row>
    <row r="2469" spans="1:13" x14ac:dyDescent="0.25">
      <c r="A2469" s="12" t="str">
        <f t="shared" si="76"/>
        <v>8PAULO HENRIQUE FERREIRA DA CRUZRCB46197,4479166667</v>
      </c>
      <c r="B2469" s="12" t="str">
        <f t="shared" si="77"/>
        <v>Junho</v>
      </c>
      <c r="C2469" s="8" t="s">
        <v>1046</v>
      </c>
      <c r="D2469" s="8" t="s">
        <v>664</v>
      </c>
      <c r="E2469" s="8" t="s">
        <v>152</v>
      </c>
      <c r="F2469" s="23">
        <v>46197.447916666664</v>
      </c>
      <c r="G2469" s="8" t="s">
        <v>1045</v>
      </c>
      <c r="H2469" s="23">
        <v>46202</v>
      </c>
      <c r="I2469" s="23">
        <v>46197.447916666664</v>
      </c>
      <c r="J2469" s="10">
        <v>210.43</v>
      </c>
      <c r="K2469" s="10">
        <v>0</v>
      </c>
      <c r="L2469" s="24">
        <v>0</v>
      </c>
      <c r="M2469" s="10">
        <v>210.43</v>
      </c>
    </row>
    <row r="2470" spans="1:13" x14ac:dyDescent="0.25">
      <c r="A2470" s="12" t="str">
        <f t="shared" si="76"/>
        <v>8ENERGISA MINAS GERAIS DISTRIBUIDORA DE ENERGIA S.A.RCB46203,6125</v>
      </c>
      <c r="B2470" s="12" t="str">
        <f t="shared" si="77"/>
        <v>Julho</v>
      </c>
      <c r="C2470" s="8" t="s">
        <v>1046</v>
      </c>
      <c r="D2470" s="8" t="s">
        <v>664</v>
      </c>
      <c r="E2470" s="8" t="s">
        <v>62</v>
      </c>
      <c r="F2470" s="23">
        <v>46203.612500000003</v>
      </c>
      <c r="G2470" s="8" t="s">
        <v>1045</v>
      </c>
      <c r="H2470" s="23">
        <v>46206</v>
      </c>
      <c r="I2470" s="23">
        <v>46203.612500000003</v>
      </c>
      <c r="J2470" s="10">
        <v>114.85</v>
      </c>
      <c r="K2470" s="10">
        <v>0</v>
      </c>
      <c r="L2470" s="24">
        <v>0</v>
      </c>
      <c r="M2470" s="10">
        <v>114.85</v>
      </c>
    </row>
    <row r="2471" spans="1:13" x14ac:dyDescent="0.25">
      <c r="A2471" s="12" t="str">
        <f t="shared" si="76"/>
        <v>8LEANDRO CARVALHO SILVARCB46203,4729166667</v>
      </c>
      <c r="B2471" s="12" t="str">
        <f t="shared" si="77"/>
        <v>Julho</v>
      </c>
      <c r="C2471" s="8" t="s">
        <v>1046</v>
      </c>
      <c r="D2471" s="8" t="s">
        <v>664</v>
      </c>
      <c r="E2471" s="8" t="s">
        <v>107</v>
      </c>
      <c r="F2471" s="23">
        <v>46203.472916666666</v>
      </c>
      <c r="G2471" s="8" t="s">
        <v>1045</v>
      </c>
      <c r="H2471" s="23">
        <v>46206</v>
      </c>
      <c r="I2471" s="23">
        <v>46203.472916666666</v>
      </c>
      <c r="J2471" s="10">
        <v>492</v>
      </c>
      <c r="K2471" s="10">
        <v>0</v>
      </c>
      <c r="L2471" s="24">
        <v>0</v>
      </c>
      <c r="M2471" s="10">
        <v>492</v>
      </c>
    </row>
    <row r="2472" spans="1:13" x14ac:dyDescent="0.25">
      <c r="A2472" s="12" t="str">
        <f t="shared" si="76"/>
        <v>8PAULO SILAS GOMES SOARESRCB46210,4548611111</v>
      </c>
      <c r="B2472" s="12" t="str">
        <f t="shared" si="77"/>
        <v>Julho</v>
      </c>
      <c r="C2472" s="8" t="s">
        <v>1046</v>
      </c>
      <c r="D2472" s="8" t="s">
        <v>664</v>
      </c>
      <c r="E2472" s="8" t="s">
        <v>154</v>
      </c>
      <c r="F2472" s="23">
        <v>46210.454861111109</v>
      </c>
      <c r="G2472" s="8" t="s">
        <v>1045</v>
      </c>
      <c r="H2472" s="23">
        <v>46213</v>
      </c>
      <c r="I2472" s="23">
        <v>46210.454861111109</v>
      </c>
      <c r="J2472" s="10">
        <v>263.68</v>
      </c>
      <c r="K2472" s="10">
        <v>0</v>
      </c>
      <c r="L2472" s="24">
        <v>0</v>
      </c>
      <c r="M2472" s="10">
        <v>263.68</v>
      </c>
    </row>
    <row r="2473" spans="1:13" x14ac:dyDescent="0.25">
      <c r="A2473" s="12" t="str">
        <f t="shared" si="76"/>
        <v>8ANA PAULA DE ALMEIDA ARAUJORCB46225,4395833333</v>
      </c>
      <c r="B2473" s="12" t="str">
        <f t="shared" si="77"/>
        <v>Julho</v>
      </c>
      <c r="C2473" s="8" t="s">
        <v>1046</v>
      </c>
      <c r="D2473" s="8" t="s">
        <v>664</v>
      </c>
      <c r="E2473" s="8" t="s">
        <v>12</v>
      </c>
      <c r="F2473" s="23">
        <v>46225.439583333333</v>
      </c>
      <c r="G2473" s="8" t="s">
        <v>1045</v>
      </c>
      <c r="H2473" s="23">
        <v>46230</v>
      </c>
      <c r="I2473" s="23">
        <v>46225.439583333333</v>
      </c>
      <c r="J2473" s="10">
        <v>45.7</v>
      </c>
      <c r="K2473" s="10">
        <v>0</v>
      </c>
      <c r="L2473" s="24">
        <v>0</v>
      </c>
      <c r="M2473" s="10">
        <v>45.7</v>
      </c>
    </row>
    <row r="2474" spans="1:13" x14ac:dyDescent="0.25">
      <c r="A2474" s="12" t="str">
        <f t="shared" si="76"/>
        <v>8ANDRE GOMES DA SILVARCB46241,6145833333</v>
      </c>
      <c r="B2474" s="12" t="str">
        <f t="shared" si="77"/>
        <v>Agosto</v>
      </c>
      <c r="C2474" s="8" t="s">
        <v>1046</v>
      </c>
      <c r="D2474" s="8" t="s">
        <v>664</v>
      </c>
      <c r="E2474" s="8" t="s">
        <v>14</v>
      </c>
      <c r="F2474" s="23">
        <v>46241.614583333336</v>
      </c>
      <c r="G2474" s="8" t="s">
        <v>1045</v>
      </c>
      <c r="H2474" s="23">
        <v>46246</v>
      </c>
      <c r="I2474" s="23">
        <v>46241.614583333336</v>
      </c>
      <c r="J2474" s="10">
        <v>71.94</v>
      </c>
      <c r="K2474" s="10">
        <v>0</v>
      </c>
      <c r="L2474" s="24">
        <v>0</v>
      </c>
      <c r="M2474" s="10">
        <v>71.94</v>
      </c>
    </row>
    <row r="2475" spans="1:13" x14ac:dyDescent="0.25">
      <c r="A2475" s="12" t="str">
        <f t="shared" si="76"/>
        <v>8MARAJO NAVEGACAO COMERCIO E TRANSPORTE DE PASSAGEIROS LTDARCB46260,6243055556</v>
      </c>
      <c r="B2475" s="12" t="str">
        <f t="shared" si="77"/>
        <v>Agosto</v>
      </c>
      <c r="C2475" s="8" t="s">
        <v>1046</v>
      </c>
      <c r="D2475" s="8" t="s">
        <v>664</v>
      </c>
      <c r="E2475" s="8" t="s">
        <v>118</v>
      </c>
      <c r="F2475" s="23">
        <v>46260.624305555553</v>
      </c>
      <c r="G2475" s="8" t="s">
        <v>1045</v>
      </c>
      <c r="H2475" s="23">
        <v>46265</v>
      </c>
      <c r="I2475" s="23">
        <v>46260.624305555553</v>
      </c>
      <c r="J2475" s="10">
        <v>1404</v>
      </c>
      <c r="K2475" s="10">
        <v>0</v>
      </c>
      <c r="L2475" s="24">
        <v>0</v>
      </c>
      <c r="M2475" s="10">
        <v>1404</v>
      </c>
    </row>
    <row r="2476" spans="1:13" x14ac:dyDescent="0.25">
      <c r="A2476" s="12" t="str">
        <f t="shared" si="76"/>
        <v>8EXPRESSO TRANSPORTE LTDARCB46260,6229166667</v>
      </c>
      <c r="B2476" s="12" t="str">
        <f t="shared" si="77"/>
        <v>Agosto</v>
      </c>
      <c r="C2476" s="8" t="s">
        <v>1046</v>
      </c>
      <c r="D2476" s="8" t="s">
        <v>664</v>
      </c>
      <c r="E2476" s="8" t="s">
        <v>66</v>
      </c>
      <c r="F2476" s="23">
        <v>46260.622916666667</v>
      </c>
      <c r="G2476" s="8" t="s">
        <v>1045</v>
      </c>
      <c r="H2476" s="23">
        <v>46265</v>
      </c>
      <c r="I2476" s="23">
        <v>46260.622916666667</v>
      </c>
      <c r="J2476" s="10">
        <v>5200</v>
      </c>
      <c r="K2476" s="10">
        <v>0</v>
      </c>
      <c r="L2476" s="24">
        <v>0</v>
      </c>
      <c r="M2476" s="10">
        <v>5200</v>
      </c>
    </row>
    <row r="2477" spans="1:13" x14ac:dyDescent="0.25">
      <c r="A2477" s="12" t="str">
        <f t="shared" si="76"/>
        <v>8ANDERSON LUIS FROES DE JESUSRCB46268,3388888889</v>
      </c>
      <c r="B2477" s="12" t="str">
        <f t="shared" si="77"/>
        <v>Setembro</v>
      </c>
      <c r="C2477" s="8" t="s">
        <v>1046</v>
      </c>
      <c r="D2477" s="8" t="s">
        <v>664</v>
      </c>
      <c r="E2477" s="8" t="s">
        <v>13</v>
      </c>
      <c r="F2477" s="23">
        <v>46268.338888888888</v>
      </c>
      <c r="G2477" s="8" t="s">
        <v>1045</v>
      </c>
      <c r="H2477" s="23">
        <v>46273</v>
      </c>
      <c r="I2477" s="23">
        <v>46268.338888888888</v>
      </c>
      <c r="J2477" s="10">
        <v>114</v>
      </c>
      <c r="K2477" s="10">
        <v>0</v>
      </c>
      <c r="L2477" s="24">
        <v>0</v>
      </c>
      <c r="M2477" s="10">
        <v>114</v>
      </c>
    </row>
    <row r="2478" spans="1:13" x14ac:dyDescent="0.25">
      <c r="A2478" s="12" t="str">
        <f t="shared" si="76"/>
        <v>8KATHLEEN KRISLEY AMBROSIO LARARCB46275,2472222222</v>
      </c>
      <c r="B2478" s="12" t="str">
        <f t="shared" si="77"/>
        <v>Setembro</v>
      </c>
      <c r="C2478" s="8" t="s">
        <v>1046</v>
      </c>
      <c r="D2478" s="8" t="s">
        <v>664</v>
      </c>
      <c r="E2478" s="8" t="s">
        <v>104</v>
      </c>
      <c r="F2478" s="23">
        <v>46275.24722222222</v>
      </c>
      <c r="G2478" s="8" t="s">
        <v>1045</v>
      </c>
      <c r="H2478" s="23">
        <v>46280</v>
      </c>
      <c r="I2478" s="23">
        <v>46275.24722222222</v>
      </c>
      <c r="J2478" s="10">
        <v>237.98</v>
      </c>
      <c r="K2478" s="10">
        <v>0</v>
      </c>
      <c r="L2478" s="24">
        <v>0</v>
      </c>
      <c r="M2478" s="10">
        <v>237.98</v>
      </c>
    </row>
    <row r="2479" spans="1:13" x14ac:dyDescent="0.25">
      <c r="A2479" s="12" t="str">
        <f t="shared" si="76"/>
        <v>80FABIO ALVES PRATESNSE46149</v>
      </c>
      <c r="B2479" s="12" t="str">
        <f t="shared" si="77"/>
        <v>Junho</v>
      </c>
      <c r="C2479" s="8" t="s">
        <v>661</v>
      </c>
      <c r="D2479" s="8" t="s">
        <v>1354</v>
      </c>
      <c r="E2479" s="8" t="s">
        <v>67</v>
      </c>
      <c r="F2479" s="23">
        <v>46149</v>
      </c>
      <c r="G2479" s="8" t="s">
        <v>665</v>
      </c>
      <c r="H2479" s="23">
        <v>46179</v>
      </c>
      <c r="I2479" s="23">
        <v>46153</v>
      </c>
      <c r="J2479" s="10">
        <v>2700</v>
      </c>
      <c r="K2479" s="10">
        <v>0</v>
      </c>
      <c r="L2479" s="24">
        <v>0</v>
      </c>
      <c r="M2479" s="10">
        <v>2700</v>
      </c>
    </row>
    <row r="2480" spans="1:13" x14ac:dyDescent="0.25">
      <c r="A2480" s="12" t="str">
        <f t="shared" si="76"/>
        <v>80CASA DA SPRINTER LTDANFS46259</v>
      </c>
      <c r="B2480" s="12" t="str">
        <f t="shared" si="77"/>
        <v>Setembro</v>
      </c>
      <c r="C2480" s="8" t="s">
        <v>661</v>
      </c>
      <c r="D2480" s="8" t="s">
        <v>1354</v>
      </c>
      <c r="E2480" s="8" t="s">
        <v>205</v>
      </c>
      <c r="F2480" s="23">
        <v>46259</v>
      </c>
      <c r="G2480" s="8" t="s">
        <v>614</v>
      </c>
      <c r="H2480" s="23">
        <v>46289</v>
      </c>
      <c r="I2480" s="23">
        <v>46261</v>
      </c>
      <c r="J2480" s="10">
        <v>809</v>
      </c>
      <c r="K2480" s="10">
        <v>0</v>
      </c>
      <c r="L2480" s="24">
        <v>0</v>
      </c>
      <c r="M2480" s="10">
        <v>783.27</v>
      </c>
    </row>
    <row r="2481" spans="1:13" x14ac:dyDescent="0.25">
      <c r="A2481" s="12" t="str">
        <f t="shared" si="76"/>
        <v>8053OCP EXAMES OCUPACIONAIS LTDANSE46163</v>
      </c>
      <c r="B2481" s="12" t="str">
        <f t="shared" si="77"/>
        <v>Julho</v>
      </c>
      <c r="C2481" s="8" t="s">
        <v>961</v>
      </c>
      <c r="D2481" s="8" t="s">
        <v>664</v>
      </c>
      <c r="E2481" s="8" t="s">
        <v>140</v>
      </c>
      <c r="F2481" s="23">
        <v>46163</v>
      </c>
      <c r="G2481" s="8" t="s">
        <v>665</v>
      </c>
      <c r="H2481" s="23">
        <v>46209</v>
      </c>
      <c r="I2481" s="23">
        <v>46167</v>
      </c>
      <c r="J2481" s="10">
        <v>3004.44</v>
      </c>
      <c r="K2481" s="10">
        <v>0</v>
      </c>
      <c r="L2481" s="24">
        <v>0</v>
      </c>
      <c r="M2481" s="10">
        <v>2819.67</v>
      </c>
    </row>
    <row r="2482" spans="1:13" x14ac:dyDescent="0.25">
      <c r="A2482" s="12" t="str">
        <f t="shared" si="76"/>
        <v>8053-1708-87MINISTERIO DA FAZENDAIM46168,53125</v>
      </c>
      <c r="B2482" s="12" t="str">
        <f t="shared" si="77"/>
        <v>Junho</v>
      </c>
      <c r="C2482" s="8" t="s">
        <v>2587</v>
      </c>
      <c r="D2482" s="8" t="s">
        <v>664</v>
      </c>
      <c r="E2482" s="8" t="s">
        <v>1503</v>
      </c>
      <c r="F2482" s="23">
        <v>46168.53125</v>
      </c>
      <c r="G2482" s="8" t="s">
        <v>1142</v>
      </c>
      <c r="H2482" s="23">
        <v>46193</v>
      </c>
      <c r="I2482" s="23">
        <v>46168.53125</v>
      </c>
      <c r="J2482" s="10">
        <v>45.07</v>
      </c>
      <c r="K2482" s="10">
        <v>0</v>
      </c>
      <c r="L2482" s="24">
        <v>0</v>
      </c>
      <c r="M2482" s="10">
        <v>45.07</v>
      </c>
    </row>
    <row r="2483" spans="1:13" x14ac:dyDescent="0.25">
      <c r="A2483" s="12" t="str">
        <f t="shared" si="76"/>
        <v>8053-5952-87MINISTERIO DA FAZENDAIM46168,5326388889</v>
      </c>
      <c r="B2483" s="12" t="str">
        <f t="shared" si="77"/>
        <v>Junho</v>
      </c>
      <c r="C2483" s="8" t="s">
        <v>2588</v>
      </c>
      <c r="D2483" s="8" t="s">
        <v>664</v>
      </c>
      <c r="E2483" s="8" t="s">
        <v>1503</v>
      </c>
      <c r="F2483" s="23">
        <v>46168.532638888886</v>
      </c>
      <c r="G2483" s="8" t="s">
        <v>1142</v>
      </c>
      <c r="H2483" s="23">
        <v>46193</v>
      </c>
      <c r="I2483" s="23">
        <v>46168.532638888886</v>
      </c>
      <c r="J2483" s="10">
        <v>139.71</v>
      </c>
      <c r="K2483" s="10">
        <v>0</v>
      </c>
      <c r="L2483" s="24">
        <v>0</v>
      </c>
      <c r="M2483" s="10">
        <v>139.71</v>
      </c>
    </row>
    <row r="2484" spans="1:13" x14ac:dyDescent="0.25">
      <c r="A2484" s="12" t="str">
        <f t="shared" si="76"/>
        <v>8085GSC AUTO CENTER E PECAS LTDANFE46104</v>
      </c>
      <c r="B2484" s="12" t="str">
        <f t="shared" si="77"/>
        <v>Abril</v>
      </c>
      <c r="C2484" s="8" t="s">
        <v>584</v>
      </c>
      <c r="D2484" s="8" t="s">
        <v>664</v>
      </c>
      <c r="E2484" s="8" t="s">
        <v>77</v>
      </c>
      <c r="F2484" s="23">
        <v>46104</v>
      </c>
      <c r="G2484" s="8" t="s">
        <v>380</v>
      </c>
      <c r="H2484" s="23">
        <v>46134</v>
      </c>
      <c r="I2484" s="23">
        <v>46108</v>
      </c>
      <c r="J2484" s="10">
        <v>1030</v>
      </c>
      <c r="K2484" s="10">
        <v>0</v>
      </c>
      <c r="L2484" s="24">
        <v>0</v>
      </c>
      <c r="M2484" s="10">
        <v>1030</v>
      </c>
    </row>
    <row r="2485" spans="1:13" x14ac:dyDescent="0.25">
      <c r="A2485" s="12" t="str">
        <f t="shared" si="76"/>
        <v>8086GSC AUTO CENTER E PECAS LTDANFE46104</v>
      </c>
      <c r="B2485" s="12" t="str">
        <f t="shared" si="77"/>
        <v>Abril</v>
      </c>
      <c r="C2485" s="8" t="s">
        <v>586</v>
      </c>
      <c r="D2485" s="8" t="s">
        <v>664</v>
      </c>
      <c r="E2485" s="8" t="s">
        <v>77</v>
      </c>
      <c r="F2485" s="23">
        <v>46104</v>
      </c>
      <c r="G2485" s="8" t="s">
        <v>380</v>
      </c>
      <c r="H2485" s="23">
        <v>46135</v>
      </c>
      <c r="I2485" s="23">
        <v>46108</v>
      </c>
      <c r="J2485" s="10">
        <v>130</v>
      </c>
      <c r="K2485" s="10">
        <v>0</v>
      </c>
      <c r="L2485" s="24">
        <v>0</v>
      </c>
      <c r="M2485" s="10">
        <v>130</v>
      </c>
    </row>
    <row r="2486" spans="1:13" x14ac:dyDescent="0.25">
      <c r="A2486" s="12" t="str">
        <f t="shared" si="76"/>
        <v>8093350PLUXEE BENEFICIOS BRASIL S.A.ND46189</v>
      </c>
      <c r="B2486" s="12" t="str">
        <f t="shared" si="77"/>
        <v>Julho</v>
      </c>
      <c r="C2486" s="8" t="s">
        <v>360</v>
      </c>
      <c r="D2486" s="8" t="s">
        <v>1618</v>
      </c>
      <c r="E2486" s="8" t="s">
        <v>157</v>
      </c>
      <c r="F2486" s="23">
        <v>46189</v>
      </c>
      <c r="G2486" s="8" t="s">
        <v>338</v>
      </c>
      <c r="H2486" s="23">
        <v>46219</v>
      </c>
      <c r="I2486" s="23">
        <v>46192</v>
      </c>
      <c r="J2486" s="10">
        <v>1380</v>
      </c>
      <c r="K2486" s="10">
        <v>0</v>
      </c>
      <c r="L2486" s="24">
        <v>0</v>
      </c>
      <c r="M2486" s="10">
        <v>1380</v>
      </c>
    </row>
    <row r="2487" spans="1:13" x14ac:dyDescent="0.25">
      <c r="A2487" s="12" t="str">
        <f t="shared" si="76"/>
        <v>8093350/87PLUXEE BENEFICIOS BRASIL S.A.NSE46189</v>
      </c>
      <c r="B2487" s="12" t="str">
        <f t="shared" si="77"/>
        <v>Julho</v>
      </c>
      <c r="C2487" s="8" t="s">
        <v>2681</v>
      </c>
      <c r="D2487" s="8" t="s">
        <v>664</v>
      </c>
      <c r="E2487" s="8" t="s">
        <v>157</v>
      </c>
      <c r="F2487" s="23">
        <v>46189</v>
      </c>
      <c r="G2487" s="8" t="s">
        <v>665</v>
      </c>
      <c r="H2487" s="23">
        <v>46219</v>
      </c>
      <c r="I2487" s="23">
        <v>46192</v>
      </c>
      <c r="J2487" s="10">
        <v>1380</v>
      </c>
      <c r="K2487" s="10">
        <v>0</v>
      </c>
      <c r="L2487" s="24">
        <v>0</v>
      </c>
      <c r="M2487" s="10">
        <v>1380</v>
      </c>
    </row>
    <row r="2488" spans="1:13" x14ac:dyDescent="0.25">
      <c r="A2488" s="12" t="str">
        <f t="shared" si="76"/>
        <v>81CASA DA SPRINTER LTDANFS46260</v>
      </c>
      <c r="B2488" s="12" t="str">
        <f t="shared" si="77"/>
        <v>Setembro</v>
      </c>
      <c r="C2488" s="8" t="s">
        <v>662</v>
      </c>
      <c r="D2488" s="8" t="s">
        <v>1354</v>
      </c>
      <c r="E2488" s="8" t="s">
        <v>205</v>
      </c>
      <c r="F2488" s="23">
        <v>46260</v>
      </c>
      <c r="G2488" s="8" t="s">
        <v>614</v>
      </c>
      <c r="H2488" s="23">
        <v>46290</v>
      </c>
      <c r="I2488" s="23">
        <v>46265</v>
      </c>
      <c r="J2488" s="10">
        <v>249</v>
      </c>
      <c r="K2488" s="10">
        <v>0</v>
      </c>
      <c r="L2488" s="24">
        <v>0</v>
      </c>
      <c r="M2488" s="10">
        <v>241.08</v>
      </c>
    </row>
    <row r="2489" spans="1:13" x14ac:dyDescent="0.25">
      <c r="A2489" s="12" t="str">
        <f t="shared" si="76"/>
        <v>8102PREVCENTER MANUTENCAO LTDANFE46216</v>
      </c>
      <c r="B2489" s="12" t="str">
        <f t="shared" si="77"/>
        <v>Agosto</v>
      </c>
      <c r="C2489" s="8" t="s">
        <v>587</v>
      </c>
      <c r="D2489" s="8" t="s">
        <v>664</v>
      </c>
      <c r="E2489" s="8" t="s">
        <v>159</v>
      </c>
      <c r="F2489" s="23">
        <v>46216</v>
      </c>
      <c r="G2489" s="8" t="s">
        <v>380</v>
      </c>
      <c r="H2489" s="23">
        <v>46246</v>
      </c>
      <c r="I2489" s="23">
        <v>46217</v>
      </c>
      <c r="J2489" s="10">
        <v>2359.6999999999998</v>
      </c>
      <c r="K2489" s="10">
        <v>0</v>
      </c>
      <c r="L2489" s="24">
        <v>0</v>
      </c>
      <c r="M2489" s="10">
        <v>2359.6999999999998</v>
      </c>
    </row>
    <row r="2490" spans="1:13" x14ac:dyDescent="0.25">
      <c r="A2490" s="12" t="str">
        <f t="shared" si="76"/>
        <v>8102PREVCENTER MANUTENCAO LTDANFE46216</v>
      </c>
      <c r="B2490" s="12" t="str">
        <f t="shared" si="77"/>
        <v>Setembro</v>
      </c>
      <c r="C2490" s="8" t="s">
        <v>587</v>
      </c>
      <c r="D2490" s="8" t="s">
        <v>664</v>
      </c>
      <c r="E2490" s="8" t="s">
        <v>159</v>
      </c>
      <c r="F2490" s="23">
        <v>46216</v>
      </c>
      <c r="G2490" s="8" t="s">
        <v>380</v>
      </c>
      <c r="H2490" s="23">
        <v>46276</v>
      </c>
      <c r="I2490" s="23">
        <v>46217</v>
      </c>
      <c r="J2490" s="10">
        <v>2359.71</v>
      </c>
      <c r="K2490" s="10">
        <v>0</v>
      </c>
      <c r="L2490" s="24">
        <v>0</v>
      </c>
      <c r="M2490" s="10">
        <v>2359.71</v>
      </c>
    </row>
    <row r="2491" spans="1:13" x14ac:dyDescent="0.25">
      <c r="A2491" s="12" t="str">
        <f t="shared" si="76"/>
        <v>8107496PLUXEE BENEFICIOS BRASIL S.A.ND46191</v>
      </c>
      <c r="B2491" s="12" t="str">
        <f t="shared" si="77"/>
        <v>Julho</v>
      </c>
      <c r="C2491" s="8" t="s">
        <v>361</v>
      </c>
      <c r="D2491" s="8" t="s">
        <v>1618</v>
      </c>
      <c r="E2491" s="8" t="s">
        <v>157</v>
      </c>
      <c r="F2491" s="23">
        <v>46191</v>
      </c>
      <c r="G2491" s="8" t="s">
        <v>338</v>
      </c>
      <c r="H2491" s="23">
        <v>46221</v>
      </c>
      <c r="I2491" s="23">
        <v>46192</v>
      </c>
      <c r="J2491" s="10">
        <v>72792</v>
      </c>
      <c r="K2491" s="10">
        <v>0</v>
      </c>
      <c r="L2491" s="24">
        <v>0</v>
      </c>
      <c r="M2491" s="10">
        <v>72792</v>
      </c>
    </row>
    <row r="2492" spans="1:13" x14ac:dyDescent="0.25">
      <c r="A2492" s="12" t="str">
        <f t="shared" si="76"/>
        <v>8107496/87PLUXEE BENEFICIOS BRASIL S.A.NSE46191</v>
      </c>
      <c r="B2492" s="12" t="str">
        <f t="shared" si="77"/>
        <v>Julho</v>
      </c>
      <c r="C2492" s="8" t="s">
        <v>2682</v>
      </c>
      <c r="D2492" s="8" t="s">
        <v>664</v>
      </c>
      <c r="E2492" s="8" t="s">
        <v>157</v>
      </c>
      <c r="F2492" s="23">
        <v>46191</v>
      </c>
      <c r="G2492" s="8" t="s">
        <v>665</v>
      </c>
      <c r="H2492" s="23">
        <v>46221</v>
      </c>
      <c r="I2492" s="23">
        <v>46192</v>
      </c>
      <c r="J2492" s="10">
        <v>72792</v>
      </c>
      <c r="K2492" s="10">
        <v>0</v>
      </c>
      <c r="L2492" s="24">
        <v>0</v>
      </c>
      <c r="M2492" s="10">
        <v>72792</v>
      </c>
    </row>
    <row r="2493" spans="1:13" x14ac:dyDescent="0.25">
      <c r="A2493" s="12" t="str">
        <f t="shared" si="76"/>
        <v>8107498PLUXEE BENEFICIOS BRASIL S.A.ND46191</v>
      </c>
      <c r="B2493" s="12" t="str">
        <f t="shared" si="77"/>
        <v>Julho</v>
      </c>
      <c r="C2493" s="8" t="s">
        <v>362</v>
      </c>
      <c r="D2493" s="8" t="s">
        <v>1618</v>
      </c>
      <c r="E2493" s="8" t="s">
        <v>157</v>
      </c>
      <c r="F2493" s="23">
        <v>46191</v>
      </c>
      <c r="G2493" s="8" t="s">
        <v>338</v>
      </c>
      <c r="H2493" s="23">
        <v>46221</v>
      </c>
      <c r="I2493" s="23">
        <v>46192</v>
      </c>
      <c r="J2493" s="10">
        <v>10620</v>
      </c>
      <c r="K2493" s="10">
        <v>0</v>
      </c>
      <c r="L2493" s="24">
        <v>0</v>
      </c>
      <c r="M2493" s="10">
        <v>10620</v>
      </c>
    </row>
    <row r="2494" spans="1:13" x14ac:dyDescent="0.25">
      <c r="A2494" s="12" t="str">
        <f t="shared" si="76"/>
        <v>8107498/87PLUXEE BENEFICIOS BRASIL S.A.NSE46191</v>
      </c>
      <c r="B2494" s="12" t="str">
        <f t="shared" si="77"/>
        <v>Julho</v>
      </c>
      <c r="C2494" s="8" t="s">
        <v>2683</v>
      </c>
      <c r="D2494" s="8" t="s">
        <v>664</v>
      </c>
      <c r="E2494" s="8" t="s">
        <v>157</v>
      </c>
      <c r="F2494" s="23">
        <v>46191</v>
      </c>
      <c r="G2494" s="8" t="s">
        <v>665</v>
      </c>
      <c r="H2494" s="23">
        <v>46221</v>
      </c>
      <c r="I2494" s="23">
        <v>46192</v>
      </c>
      <c r="J2494" s="10">
        <v>10620</v>
      </c>
      <c r="K2494" s="10">
        <v>0</v>
      </c>
      <c r="L2494" s="24">
        <v>0</v>
      </c>
      <c r="M2494" s="10">
        <v>10620</v>
      </c>
    </row>
    <row r="2495" spans="1:13" x14ac:dyDescent="0.25">
      <c r="A2495" s="12" t="str">
        <f t="shared" si="76"/>
        <v>8107510PLUXEE BENEFICIOS BRASIL S.A.ND46191</v>
      </c>
      <c r="B2495" s="12" t="str">
        <f t="shared" si="77"/>
        <v>Julho</v>
      </c>
      <c r="C2495" s="8" t="s">
        <v>363</v>
      </c>
      <c r="D2495" s="8" t="s">
        <v>1618</v>
      </c>
      <c r="E2495" s="8" t="s">
        <v>157</v>
      </c>
      <c r="F2495" s="23">
        <v>46191</v>
      </c>
      <c r="G2495" s="8" t="s">
        <v>338</v>
      </c>
      <c r="H2495" s="23">
        <v>46221</v>
      </c>
      <c r="I2495" s="23">
        <v>46192</v>
      </c>
      <c r="J2495" s="10">
        <v>8088</v>
      </c>
      <c r="K2495" s="10">
        <v>720</v>
      </c>
      <c r="L2495" s="24">
        <v>0</v>
      </c>
      <c r="M2495" s="10">
        <v>7368</v>
      </c>
    </row>
    <row r="2496" spans="1:13" x14ac:dyDescent="0.25">
      <c r="A2496" s="12" t="str">
        <f t="shared" si="76"/>
        <v>8107510/87PLUXEE BENEFICIOS BRASIL S.A.NSE46191</v>
      </c>
      <c r="B2496" s="12" t="str">
        <f t="shared" si="77"/>
        <v>Julho</v>
      </c>
      <c r="C2496" s="8" t="s">
        <v>2684</v>
      </c>
      <c r="D2496" s="8" t="s">
        <v>664</v>
      </c>
      <c r="E2496" s="8" t="s">
        <v>157</v>
      </c>
      <c r="F2496" s="23">
        <v>46191</v>
      </c>
      <c r="G2496" s="8" t="s">
        <v>665</v>
      </c>
      <c r="H2496" s="23">
        <v>46221</v>
      </c>
      <c r="I2496" s="23">
        <v>46192</v>
      </c>
      <c r="J2496" s="10">
        <v>8088</v>
      </c>
      <c r="K2496" s="10">
        <v>720</v>
      </c>
      <c r="L2496" s="24">
        <v>0</v>
      </c>
      <c r="M2496" s="10">
        <v>7368</v>
      </c>
    </row>
    <row r="2497" spans="1:13" x14ac:dyDescent="0.25">
      <c r="A2497" s="12" t="str">
        <f t="shared" si="76"/>
        <v>8134PREVCENTER MANUTENCAO LTDANFE46219</v>
      </c>
      <c r="B2497" s="12" t="str">
        <f t="shared" si="77"/>
        <v>Agosto</v>
      </c>
      <c r="C2497" s="8" t="s">
        <v>589</v>
      </c>
      <c r="D2497" s="8" t="s">
        <v>664</v>
      </c>
      <c r="E2497" s="8" t="s">
        <v>159</v>
      </c>
      <c r="F2497" s="23">
        <v>46219</v>
      </c>
      <c r="G2497" s="8" t="s">
        <v>380</v>
      </c>
      <c r="H2497" s="23">
        <v>46249</v>
      </c>
      <c r="I2497" s="23">
        <v>46239</v>
      </c>
      <c r="J2497" s="10">
        <v>3093.06</v>
      </c>
      <c r="K2497" s="10">
        <v>0</v>
      </c>
      <c r="L2497" s="24">
        <v>0</v>
      </c>
      <c r="M2497" s="10">
        <v>3093.06</v>
      </c>
    </row>
    <row r="2498" spans="1:13" x14ac:dyDescent="0.25">
      <c r="A2498" s="12" t="str">
        <f t="shared" ref="A2498:A2561" si="78">$C2498&amp;$E2498&amp;$G2498&amp;$F2498</f>
        <v>8134PREVCENTER MANUTENCAO LTDANFE46219</v>
      </c>
      <c r="B2498" s="12" t="str">
        <f t="shared" si="77"/>
        <v>Setembro</v>
      </c>
      <c r="C2498" s="8" t="s">
        <v>589</v>
      </c>
      <c r="D2498" s="8" t="s">
        <v>664</v>
      </c>
      <c r="E2498" s="8" t="s">
        <v>159</v>
      </c>
      <c r="F2498" s="23">
        <v>46219</v>
      </c>
      <c r="G2498" s="8" t="s">
        <v>380</v>
      </c>
      <c r="H2498" s="23">
        <v>46279</v>
      </c>
      <c r="I2498" s="23">
        <v>46239</v>
      </c>
      <c r="J2498" s="10">
        <v>3093.06</v>
      </c>
      <c r="K2498" s="10">
        <v>0</v>
      </c>
      <c r="L2498" s="24">
        <v>0</v>
      </c>
      <c r="M2498" s="10">
        <v>3093.06</v>
      </c>
    </row>
    <row r="2499" spans="1:13" x14ac:dyDescent="0.25">
      <c r="A2499" s="12" t="str">
        <f t="shared" si="78"/>
        <v>8137098PLUXEE BENEFICIOS BRASIL S.A.ND46196</v>
      </c>
      <c r="B2499" s="12" t="str">
        <f t="shared" ref="B2499:B2562" si="79">PROPER(TEXT($H2499,"MMMM"))</f>
        <v>Julho</v>
      </c>
      <c r="C2499" s="8" t="s">
        <v>364</v>
      </c>
      <c r="D2499" s="8" t="s">
        <v>1618</v>
      </c>
      <c r="E2499" s="8" t="s">
        <v>157</v>
      </c>
      <c r="F2499" s="23">
        <v>46196</v>
      </c>
      <c r="G2499" s="8" t="s">
        <v>338</v>
      </c>
      <c r="H2499" s="23">
        <v>46226</v>
      </c>
      <c r="I2499" s="23">
        <v>46198</v>
      </c>
      <c r="J2499" s="10">
        <v>5730</v>
      </c>
      <c r="K2499" s="10">
        <v>0</v>
      </c>
      <c r="L2499" s="24">
        <v>0</v>
      </c>
      <c r="M2499" s="10">
        <v>5730</v>
      </c>
    </row>
    <row r="2500" spans="1:13" x14ac:dyDescent="0.25">
      <c r="A2500" s="12" t="str">
        <f t="shared" si="78"/>
        <v>8137098/87PLUXEE BENEFICIOS BRASIL S.A.NSE46196</v>
      </c>
      <c r="B2500" s="12" t="str">
        <f t="shared" si="79"/>
        <v>Julho</v>
      </c>
      <c r="C2500" s="8" t="s">
        <v>2692</v>
      </c>
      <c r="D2500" s="8" t="s">
        <v>664</v>
      </c>
      <c r="E2500" s="8" t="s">
        <v>157</v>
      </c>
      <c r="F2500" s="23">
        <v>46196</v>
      </c>
      <c r="G2500" s="8" t="s">
        <v>665</v>
      </c>
      <c r="H2500" s="23">
        <v>46226</v>
      </c>
      <c r="I2500" s="23">
        <v>46198</v>
      </c>
      <c r="J2500" s="10">
        <v>5730</v>
      </c>
      <c r="K2500" s="10">
        <v>0</v>
      </c>
      <c r="L2500" s="24">
        <v>0</v>
      </c>
      <c r="M2500" s="10">
        <v>5730</v>
      </c>
    </row>
    <row r="2501" spans="1:13" x14ac:dyDescent="0.25">
      <c r="A2501" s="12" t="str">
        <f t="shared" si="78"/>
        <v>81374924HAPVIDA ASSISTENCIA MEDICA LTDANSE46021</v>
      </c>
      <c r="B2501" s="12" t="str">
        <f t="shared" si="79"/>
        <v>Janeiro</v>
      </c>
      <c r="C2501" s="8" t="s">
        <v>1364</v>
      </c>
      <c r="D2501" s="8" t="s">
        <v>664</v>
      </c>
      <c r="E2501" s="8" t="s">
        <v>83</v>
      </c>
      <c r="F2501" s="23">
        <v>46021</v>
      </c>
      <c r="G2501" s="8" t="s">
        <v>665</v>
      </c>
      <c r="H2501" s="23">
        <v>46027</v>
      </c>
      <c r="I2501" s="23">
        <v>46021</v>
      </c>
      <c r="J2501" s="10">
        <v>1223</v>
      </c>
      <c r="K2501" s="10">
        <v>0</v>
      </c>
      <c r="L2501" s="24">
        <v>0</v>
      </c>
      <c r="M2501" s="10">
        <v>1223</v>
      </c>
    </row>
    <row r="2502" spans="1:13" x14ac:dyDescent="0.25">
      <c r="A2502" s="12" t="str">
        <f t="shared" si="78"/>
        <v>8139PREVCENTER MANUTENCAO LTDANFE46220</v>
      </c>
      <c r="B2502" s="12" t="str">
        <f t="shared" si="79"/>
        <v>Agosto</v>
      </c>
      <c r="C2502" s="8" t="s">
        <v>590</v>
      </c>
      <c r="D2502" s="8" t="s">
        <v>664</v>
      </c>
      <c r="E2502" s="8" t="s">
        <v>159</v>
      </c>
      <c r="F2502" s="23">
        <v>46220</v>
      </c>
      <c r="G2502" s="8" t="s">
        <v>380</v>
      </c>
      <c r="H2502" s="23">
        <v>46251</v>
      </c>
      <c r="I2502" s="23">
        <v>46238</v>
      </c>
      <c r="J2502" s="10">
        <v>890</v>
      </c>
      <c r="K2502" s="10">
        <v>0</v>
      </c>
      <c r="L2502" s="24">
        <v>0</v>
      </c>
      <c r="M2502" s="10">
        <v>890</v>
      </c>
    </row>
    <row r="2503" spans="1:13" x14ac:dyDescent="0.25">
      <c r="A2503" s="12" t="str">
        <f t="shared" si="78"/>
        <v>81405867HAPVIDA ASSISTENCIA MEDICA LTDANSE46021</v>
      </c>
      <c r="B2503" s="12" t="str">
        <f t="shared" si="79"/>
        <v>Janeiro</v>
      </c>
      <c r="C2503" s="8" t="s">
        <v>1467</v>
      </c>
      <c r="D2503" s="8" t="s">
        <v>664</v>
      </c>
      <c r="E2503" s="8" t="s">
        <v>83</v>
      </c>
      <c r="F2503" s="23">
        <v>46021</v>
      </c>
      <c r="G2503" s="8" t="s">
        <v>665</v>
      </c>
      <c r="H2503" s="23">
        <v>46032</v>
      </c>
      <c r="I2503" s="23">
        <v>46021</v>
      </c>
      <c r="J2503" s="10">
        <v>23711.87</v>
      </c>
      <c r="K2503" s="10">
        <v>0</v>
      </c>
      <c r="L2503" s="24">
        <v>0</v>
      </c>
      <c r="M2503" s="10">
        <v>23711.87</v>
      </c>
    </row>
    <row r="2504" spans="1:13" x14ac:dyDescent="0.25">
      <c r="A2504" s="12" t="str">
        <f t="shared" si="78"/>
        <v>81412652HAPVIDA ASSISTENCIA MEDICA LTDANSE46021</v>
      </c>
      <c r="B2504" s="12" t="str">
        <f t="shared" si="79"/>
        <v>Janeiro</v>
      </c>
      <c r="C2504" s="8" t="s">
        <v>1468</v>
      </c>
      <c r="D2504" s="8" t="s">
        <v>664</v>
      </c>
      <c r="E2504" s="8" t="s">
        <v>83</v>
      </c>
      <c r="F2504" s="23">
        <v>46021</v>
      </c>
      <c r="G2504" s="8" t="s">
        <v>665</v>
      </c>
      <c r="H2504" s="23">
        <v>46032</v>
      </c>
      <c r="I2504" s="23">
        <v>46021</v>
      </c>
      <c r="J2504" s="10">
        <v>3624.25</v>
      </c>
      <c r="K2504" s="10">
        <v>0</v>
      </c>
      <c r="L2504" s="24">
        <v>0</v>
      </c>
      <c r="M2504" s="10">
        <v>3624.25</v>
      </c>
    </row>
    <row r="2505" spans="1:13" x14ac:dyDescent="0.25">
      <c r="A2505" s="12" t="str">
        <f t="shared" si="78"/>
        <v>817947SASCAR TECNOLOGIA E SEGURANÇA AUTOMOTICA S/ANSE46086</v>
      </c>
      <c r="B2505" s="12" t="str">
        <f t="shared" si="79"/>
        <v>Abril</v>
      </c>
      <c r="C2505" s="8" t="s">
        <v>962</v>
      </c>
      <c r="D2505" s="8" t="s">
        <v>1354</v>
      </c>
      <c r="E2505" s="8" t="s">
        <v>179</v>
      </c>
      <c r="F2505" s="23">
        <v>46086</v>
      </c>
      <c r="G2505" s="8" t="s">
        <v>665</v>
      </c>
      <c r="H2505" s="23">
        <v>46119</v>
      </c>
      <c r="I2505" s="23">
        <v>46090</v>
      </c>
      <c r="J2505" s="10">
        <v>357.45</v>
      </c>
      <c r="K2505" s="10">
        <v>0</v>
      </c>
      <c r="L2505" s="24">
        <v>0</v>
      </c>
      <c r="M2505" s="10">
        <v>357.45</v>
      </c>
    </row>
    <row r="2506" spans="1:13" x14ac:dyDescent="0.25">
      <c r="A2506" s="12" t="str">
        <f t="shared" si="78"/>
        <v>82026-87HENRIQUE GALAMBA RODRIGUES DOS ANJOSDEP46217,4930555556</v>
      </c>
      <c r="B2506" s="12" t="str">
        <f t="shared" si="79"/>
        <v>Agosto</v>
      </c>
      <c r="C2506" s="8" t="s">
        <v>2924</v>
      </c>
      <c r="D2506" s="8" t="s">
        <v>664</v>
      </c>
      <c r="E2506" s="8" t="s">
        <v>84</v>
      </c>
      <c r="F2506" s="23">
        <v>46217.493055555555</v>
      </c>
      <c r="G2506" s="8" t="s">
        <v>1043</v>
      </c>
      <c r="H2506" s="23">
        <v>46240</v>
      </c>
      <c r="I2506" s="23">
        <v>46217.493055555555</v>
      </c>
      <c r="J2506" s="10">
        <v>3000</v>
      </c>
      <c r="K2506" s="10">
        <v>0</v>
      </c>
      <c r="L2506" s="24">
        <v>0</v>
      </c>
      <c r="M2506" s="10">
        <v>3000</v>
      </c>
    </row>
    <row r="2507" spans="1:13" x14ac:dyDescent="0.25">
      <c r="A2507" s="12" t="str">
        <f t="shared" si="78"/>
        <v>82534268HAPVIDA ASSISTENCIA MEDICA LTDANSE46037</v>
      </c>
      <c r="B2507" s="12" t="str">
        <f t="shared" si="79"/>
        <v>Fevereiro</v>
      </c>
      <c r="C2507" s="8" t="s">
        <v>963</v>
      </c>
      <c r="D2507" s="8" t="s">
        <v>664</v>
      </c>
      <c r="E2507" s="8" t="s">
        <v>83</v>
      </c>
      <c r="F2507" s="23">
        <v>46037</v>
      </c>
      <c r="G2507" s="8" t="s">
        <v>665</v>
      </c>
      <c r="H2507" s="23">
        <v>46058</v>
      </c>
      <c r="I2507" s="23">
        <v>46055</v>
      </c>
      <c r="J2507" s="10">
        <v>1223</v>
      </c>
      <c r="K2507" s="10">
        <v>0</v>
      </c>
      <c r="L2507" s="24">
        <v>0</v>
      </c>
      <c r="M2507" s="10">
        <v>1223</v>
      </c>
    </row>
    <row r="2508" spans="1:13" x14ac:dyDescent="0.25">
      <c r="A2508" s="12" t="str">
        <f t="shared" si="78"/>
        <v>82545113HAPVIDA ASSISTENCIA MEDICA LTDANSE46042</v>
      </c>
      <c r="B2508" s="12" t="str">
        <f t="shared" si="79"/>
        <v>Fevereiro</v>
      </c>
      <c r="C2508" s="8" t="s">
        <v>964</v>
      </c>
      <c r="D2508" s="8" t="s">
        <v>664</v>
      </c>
      <c r="E2508" s="8" t="s">
        <v>83</v>
      </c>
      <c r="F2508" s="23">
        <v>46042</v>
      </c>
      <c r="G2508" s="8" t="s">
        <v>665</v>
      </c>
      <c r="H2508" s="23">
        <v>46063</v>
      </c>
      <c r="I2508" s="23">
        <v>46055</v>
      </c>
      <c r="J2508" s="10">
        <v>2523.9899999999998</v>
      </c>
      <c r="K2508" s="10">
        <v>0</v>
      </c>
      <c r="L2508" s="24">
        <v>0</v>
      </c>
      <c r="M2508" s="10">
        <v>2523.9899999999998</v>
      </c>
    </row>
    <row r="2509" spans="1:13" x14ac:dyDescent="0.25">
      <c r="A2509" s="12" t="str">
        <f t="shared" si="78"/>
        <v>82569598HAPVIDA ASSISTENCIA MEDICA LTDANSE46043</v>
      </c>
      <c r="B2509" s="12" t="str">
        <f t="shared" si="79"/>
        <v>Fevereiro</v>
      </c>
      <c r="C2509" s="8" t="s">
        <v>965</v>
      </c>
      <c r="D2509" s="8" t="s">
        <v>664</v>
      </c>
      <c r="E2509" s="8" t="s">
        <v>83</v>
      </c>
      <c r="F2509" s="23">
        <v>46043</v>
      </c>
      <c r="G2509" s="8" t="s">
        <v>665</v>
      </c>
      <c r="H2509" s="23">
        <v>46063</v>
      </c>
      <c r="I2509" s="23">
        <v>46055</v>
      </c>
      <c r="J2509" s="10">
        <v>24045.84</v>
      </c>
      <c r="K2509" s="10">
        <v>0</v>
      </c>
      <c r="L2509" s="24">
        <v>0</v>
      </c>
      <c r="M2509" s="10">
        <v>24045.84</v>
      </c>
    </row>
    <row r="2510" spans="1:13" x14ac:dyDescent="0.25">
      <c r="A2510" s="12" t="str">
        <f t="shared" si="78"/>
        <v>82626VIA S/ANFE45897</v>
      </c>
      <c r="B2510" s="12" t="str">
        <f t="shared" si="79"/>
        <v>Janeiro</v>
      </c>
      <c r="C2510" s="8" t="s">
        <v>1602</v>
      </c>
      <c r="D2510" s="8" t="s">
        <v>1400</v>
      </c>
      <c r="E2510" s="8" t="s">
        <v>1603</v>
      </c>
      <c r="F2510" s="23">
        <v>45897</v>
      </c>
      <c r="G2510" s="8" t="s">
        <v>380</v>
      </c>
      <c r="H2510" s="23">
        <v>46040</v>
      </c>
      <c r="I2510" s="23">
        <v>45901</v>
      </c>
      <c r="J2510" s="10">
        <v>1196.4000000000001</v>
      </c>
      <c r="K2510" s="10">
        <v>0</v>
      </c>
      <c r="L2510" s="24">
        <v>0</v>
      </c>
      <c r="M2510" s="10">
        <v>1196.4000000000001</v>
      </c>
    </row>
    <row r="2511" spans="1:13" x14ac:dyDescent="0.25">
      <c r="A2511" s="12" t="str">
        <f t="shared" si="78"/>
        <v>827507-1708-87MINISTERIO DA FAZENDAIM46007,4486111111</v>
      </c>
      <c r="B2511" s="12" t="str">
        <f t="shared" si="79"/>
        <v>Janeiro</v>
      </c>
      <c r="C2511" s="8" t="s">
        <v>1512</v>
      </c>
      <c r="D2511" s="8" t="s">
        <v>664</v>
      </c>
      <c r="E2511" s="8" t="s">
        <v>1503</v>
      </c>
      <c r="F2511" s="23">
        <v>46007.448611111111</v>
      </c>
      <c r="G2511" s="8" t="s">
        <v>1142</v>
      </c>
      <c r="H2511" s="23">
        <v>46042</v>
      </c>
      <c r="I2511" s="23">
        <v>46007.448611111111</v>
      </c>
      <c r="J2511" s="10">
        <v>14.98</v>
      </c>
      <c r="K2511" s="10">
        <v>0</v>
      </c>
      <c r="L2511" s="24">
        <v>0</v>
      </c>
      <c r="M2511" s="10">
        <v>14.98</v>
      </c>
    </row>
    <row r="2512" spans="1:13" x14ac:dyDescent="0.25">
      <c r="A2512" s="12" t="str">
        <f t="shared" si="78"/>
        <v>827507-5952-87MINISTERIO DA FAZENDAIM46007,45</v>
      </c>
      <c r="B2512" s="12" t="str">
        <f t="shared" si="79"/>
        <v>Janeiro</v>
      </c>
      <c r="C2512" s="8" t="s">
        <v>1513</v>
      </c>
      <c r="D2512" s="8" t="s">
        <v>664</v>
      </c>
      <c r="E2512" s="8" t="s">
        <v>1503</v>
      </c>
      <c r="F2512" s="23">
        <v>46007.45</v>
      </c>
      <c r="G2512" s="8" t="s">
        <v>1142</v>
      </c>
      <c r="H2512" s="23">
        <v>46042</v>
      </c>
      <c r="I2512" s="23">
        <v>46007.45</v>
      </c>
      <c r="J2512" s="10">
        <v>46.43</v>
      </c>
      <c r="K2512" s="10">
        <v>0</v>
      </c>
      <c r="L2512" s="24">
        <v>0</v>
      </c>
      <c r="M2512" s="10">
        <v>46.43</v>
      </c>
    </row>
    <row r="2513" spans="1:13" x14ac:dyDescent="0.25">
      <c r="A2513" s="12" t="str">
        <f t="shared" si="78"/>
        <v>829188TAGUS-TEC SERVICOS TECNOLOGICOS LTDANSE46024</v>
      </c>
      <c r="B2513" s="12" t="str">
        <f t="shared" si="79"/>
        <v>Janeiro</v>
      </c>
      <c r="C2513" s="8" t="s">
        <v>966</v>
      </c>
      <c r="D2513" s="8" t="s">
        <v>664</v>
      </c>
      <c r="E2513" s="8" t="s">
        <v>184</v>
      </c>
      <c r="F2513" s="23">
        <v>46024</v>
      </c>
      <c r="G2513" s="8" t="s">
        <v>665</v>
      </c>
      <c r="H2513" s="23">
        <v>46052</v>
      </c>
      <c r="I2513" s="23">
        <v>46048</v>
      </c>
      <c r="J2513" s="10">
        <v>998.43</v>
      </c>
      <c r="K2513" s="10">
        <v>0</v>
      </c>
      <c r="L2513" s="24">
        <v>0</v>
      </c>
      <c r="M2513" s="10">
        <v>937.04</v>
      </c>
    </row>
    <row r="2514" spans="1:13" x14ac:dyDescent="0.25">
      <c r="A2514" s="12" t="str">
        <f t="shared" si="78"/>
        <v>829188-1708-87MINISTERIO DA FAZENDAIM46066,43125</v>
      </c>
      <c r="B2514" s="12" t="str">
        <f t="shared" si="79"/>
        <v>Fevereiro</v>
      </c>
      <c r="C2514" s="8" t="s">
        <v>1772</v>
      </c>
      <c r="D2514" s="8" t="s">
        <v>664</v>
      </c>
      <c r="E2514" s="8" t="s">
        <v>1503</v>
      </c>
      <c r="F2514" s="23">
        <v>46066.431250000001</v>
      </c>
      <c r="G2514" s="8" t="s">
        <v>1142</v>
      </c>
      <c r="H2514" s="23">
        <v>46073</v>
      </c>
      <c r="I2514" s="23">
        <v>46066.431250000001</v>
      </c>
      <c r="J2514" s="10">
        <v>14.96</v>
      </c>
      <c r="K2514" s="10">
        <v>0</v>
      </c>
      <c r="L2514" s="24">
        <v>0</v>
      </c>
      <c r="M2514" s="10">
        <v>14.96</v>
      </c>
    </row>
    <row r="2515" spans="1:13" x14ac:dyDescent="0.25">
      <c r="A2515" s="12" t="str">
        <f t="shared" si="78"/>
        <v>829188-5952-87MINISTERIO DA FAZENDAIM46066,4333333333</v>
      </c>
      <c r="B2515" s="12" t="str">
        <f t="shared" si="79"/>
        <v>Fevereiro</v>
      </c>
      <c r="C2515" s="8" t="s">
        <v>1773</v>
      </c>
      <c r="D2515" s="8" t="s">
        <v>664</v>
      </c>
      <c r="E2515" s="8" t="s">
        <v>1503</v>
      </c>
      <c r="F2515" s="23">
        <v>46066.433333333334</v>
      </c>
      <c r="G2515" s="8" t="s">
        <v>1142</v>
      </c>
      <c r="H2515" s="23">
        <v>46073</v>
      </c>
      <c r="I2515" s="23">
        <v>46066.433333333334</v>
      </c>
      <c r="J2515" s="10">
        <v>46.46</v>
      </c>
      <c r="K2515" s="10">
        <v>0</v>
      </c>
      <c r="L2515" s="24">
        <v>0</v>
      </c>
      <c r="M2515" s="10">
        <v>46.46</v>
      </c>
    </row>
    <row r="2516" spans="1:13" x14ac:dyDescent="0.25">
      <c r="A2516" s="12" t="str">
        <f t="shared" si="78"/>
        <v>8298GSC AUTO CENTER E PECAS LTDANFE46230</v>
      </c>
      <c r="B2516" s="12" t="str">
        <f t="shared" si="79"/>
        <v>Agosto</v>
      </c>
      <c r="C2516" s="8" t="s">
        <v>591</v>
      </c>
      <c r="D2516" s="8" t="s">
        <v>664</v>
      </c>
      <c r="E2516" s="8" t="s">
        <v>77</v>
      </c>
      <c r="F2516" s="23">
        <v>46230</v>
      </c>
      <c r="G2516" s="8" t="s">
        <v>380</v>
      </c>
      <c r="H2516" s="23">
        <v>46258</v>
      </c>
      <c r="I2516" s="23">
        <v>46231</v>
      </c>
      <c r="J2516" s="10">
        <v>303</v>
      </c>
      <c r="K2516" s="10">
        <v>0</v>
      </c>
      <c r="L2516" s="24">
        <v>0</v>
      </c>
      <c r="M2516" s="10">
        <v>303</v>
      </c>
    </row>
    <row r="2517" spans="1:13" x14ac:dyDescent="0.25">
      <c r="A2517" s="12" t="str">
        <f t="shared" si="78"/>
        <v>831595TAGUS-TEC SERVICOS TECNOLOGICOS LTDANSE46055</v>
      </c>
      <c r="B2517" s="12" t="str">
        <f t="shared" si="79"/>
        <v>Fevereiro</v>
      </c>
      <c r="C2517" s="8" t="s">
        <v>967</v>
      </c>
      <c r="D2517" s="8" t="s">
        <v>664</v>
      </c>
      <c r="E2517" s="8" t="s">
        <v>184</v>
      </c>
      <c r="F2517" s="23">
        <v>46055</v>
      </c>
      <c r="G2517" s="8" t="s">
        <v>665</v>
      </c>
      <c r="H2517" s="23">
        <v>46068</v>
      </c>
      <c r="I2517" s="23">
        <v>46058</v>
      </c>
      <c r="J2517" s="10">
        <v>998.43</v>
      </c>
      <c r="K2517" s="10">
        <v>0</v>
      </c>
      <c r="L2517" s="24">
        <v>0</v>
      </c>
      <c r="M2517" s="10">
        <v>937.04</v>
      </c>
    </row>
    <row r="2518" spans="1:13" x14ac:dyDescent="0.25">
      <c r="A2518" s="12" t="str">
        <f t="shared" si="78"/>
        <v>831595-1708-87MINISTERIO DA FAZENDAIM46065,5916666667</v>
      </c>
      <c r="B2518" s="12" t="str">
        <f t="shared" si="79"/>
        <v>Março</v>
      </c>
      <c r="C2518" s="8" t="s">
        <v>2080</v>
      </c>
      <c r="D2518" s="8" t="s">
        <v>664</v>
      </c>
      <c r="E2518" s="8" t="s">
        <v>1503</v>
      </c>
      <c r="F2518" s="23">
        <v>46065.591666666667</v>
      </c>
      <c r="G2518" s="8" t="s">
        <v>1142</v>
      </c>
      <c r="H2518" s="23">
        <v>46101</v>
      </c>
      <c r="I2518" s="23">
        <v>46065.591666666667</v>
      </c>
      <c r="J2518" s="10">
        <v>14.98</v>
      </c>
      <c r="K2518" s="10">
        <v>0</v>
      </c>
      <c r="L2518" s="24">
        <v>0</v>
      </c>
      <c r="M2518" s="10">
        <v>14.98</v>
      </c>
    </row>
    <row r="2519" spans="1:13" x14ac:dyDescent="0.25">
      <c r="A2519" s="12" t="str">
        <f t="shared" si="78"/>
        <v>831595-5952-87MINISTERIO DA FAZENDAIM46065,5979166667</v>
      </c>
      <c r="B2519" s="12" t="str">
        <f t="shared" si="79"/>
        <v>Março</v>
      </c>
      <c r="C2519" s="8" t="s">
        <v>2081</v>
      </c>
      <c r="D2519" s="8" t="s">
        <v>664</v>
      </c>
      <c r="E2519" s="8" t="s">
        <v>1503</v>
      </c>
      <c r="F2519" s="23">
        <v>46065.597916666666</v>
      </c>
      <c r="G2519" s="8" t="s">
        <v>1142</v>
      </c>
      <c r="H2519" s="23">
        <v>46101</v>
      </c>
      <c r="I2519" s="23">
        <v>46065.597916666666</v>
      </c>
      <c r="J2519" s="10">
        <v>46.43</v>
      </c>
      <c r="K2519" s="10">
        <v>0</v>
      </c>
      <c r="L2519" s="24">
        <v>0</v>
      </c>
      <c r="M2519" s="10">
        <v>46.43</v>
      </c>
    </row>
    <row r="2520" spans="1:13" x14ac:dyDescent="0.25">
      <c r="A2520" s="12" t="str">
        <f t="shared" si="78"/>
        <v>833514TAGUS-TEC SERVICOS TECNOLOGICOS LTDANSE46082</v>
      </c>
      <c r="B2520" s="12" t="str">
        <f t="shared" si="79"/>
        <v>Março</v>
      </c>
      <c r="C2520" s="8" t="s">
        <v>968</v>
      </c>
      <c r="D2520" s="8" t="s">
        <v>664</v>
      </c>
      <c r="E2520" s="8" t="s">
        <v>184</v>
      </c>
      <c r="F2520" s="23">
        <v>46082</v>
      </c>
      <c r="G2520" s="8" t="s">
        <v>665</v>
      </c>
      <c r="H2520" s="23">
        <v>46095</v>
      </c>
      <c r="I2520" s="23">
        <v>46085</v>
      </c>
      <c r="J2520" s="10">
        <v>998.43</v>
      </c>
      <c r="K2520" s="10">
        <v>0</v>
      </c>
      <c r="L2520" s="24">
        <v>0</v>
      </c>
      <c r="M2520" s="10">
        <v>937.04</v>
      </c>
    </row>
    <row r="2521" spans="1:13" x14ac:dyDescent="0.25">
      <c r="A2521" s="12" t="str">
        <f t="shared" si="78"/>
        <v>833514-1708-87MINISTERIO DA FAZENDAIM46112,4284722222</v>
      </c>
      <c r="B2521" s="12" t="str">
        <f t="shared" si="79"/>
        <v>Abril</v>
      </c>
      <c r="C2521" s="8" t="s">
        <v>2240</v>
      </c>
      <c r="D2521" s="8" t="s">
        <v>664</v>
      </c>
      <c r="E2521" s="8" t="s">
        <v>1503</v>
      </c>
      <c r="F2521" s="23">
        <v>46112.428472222222</v>
      </c>
      <c r="G2521" s="8" t="s">
        <v>1142</v>
      </c>
      <c r="H2521" s="23">
        <v>46132</v>
      </c>
      <c r="I2521" s="23">
        <v>46112.428472222222</v>
      </c>
      <c r="J2521" s="10">
        <v>14.98</v>
      </c>
      <c r="K2521" s="10">
        <v>0</v>
      </c>
      <c r="L2521" s="24">
        <v>0</v>
      </c>
      <c r="M2521" s="10">
        <v>14.98</v>
      </c>
    </row>
    <row r="2522" spans="1:13" x14ac:dyDescent="0.25">
      <c r="A2522" s="12" t="str">
        <f t="shared" si="78"/>
        <v>833514-5952-87MINISTERIO DA FAZENDAIM46112,4298611111</v>
      </c>
      <c r="B2522" s="12" t="str">
        <f t="shared" si="79"/>
        <v>Abril</v>
      </c>
      <c r="C2522" s="8" t="s">
        <v>2241</v>
      </c>
      <c r="D2522" s="8" t="s">
        <v>664</v>
      </c>
      <c r="E2522" s="8" t="s">
        <v>1503</v>
      </c>
      <c r="F2522" s="23">
        <v>46112.429861111108</v>
      </c>
      <c r="G2522" s="8" t="s">
        <v>1142</v>
      </c>
      <c r="H2522" s="23">
        <v>46132</v>
      </c>
      <c r="I2522" s="23">
        <v>46112.429861111108</v>
      </c>
      <c r="J2522" s="10">
        <v>46.43</v>
      </c>
      <c r="K2522" s="10">
        <v>0</v>
      </c>
      <c r="L2522" s="24">
        <v>0</v>
      </c>
      <c r="M2522" s="10">
        <v>46.43</v>
      </c>
    </row>
    <row r="2523" spans="1:13" x14ac:dyDescent="0.25">
      <c r="A2523" s="12" t="str">
        <f t="shared" si="78"/>
        <v>835888TAGUS-TEC SERVICOS TECNOLOGICOS LTDANSE46113</v>
      </c>
      <c r="B2523" s="12" t="str">
        <f t="shared" si="79"/>
        <v>Abril</v>
      </c>
      <c r="C2523" s="8" t="s">
        <v>969</v>
      </c>
      <c r="D2523" s="8" t="s">
        <v>664</v>
      </c>
      <c r="E2523" s="8" t="s">
        <v>184</v>
      </c>
      <c r="F2523" s="23">
        <v>46113</v>
      </c>
      <c r="G2523" s="8" t="s">
        <v>665</v>
      </c>
      <c r="H2523" s="23">
        <v>46126</v>
      </c>
      <c r="I2523" s="23">
        <v>46121</v>
      </c>
      <c r="J2523" s="10">
        <v>998.43</v>
      </c>
      <c r="K2523" s="10">
        <v>0</v>
      </c>
      <c r="L2523" s="24">
        <v>0</v>
      </c>
      <c r="M2523" s="10">
        <v>937.04</v>
      </c>
    </row>
    <row r="2524" spans="1:13" x14ac:dyDescent="0.25">
      <c r="A2524" s="12" t="str">
        <f t="shared" si="78"/>
        <v>835888-1708-87MINISTERIO DA FAZENDAIM46129,6895833333</v>
      </c>
      <c r="B2524" s="12" t="str">
        <f t="shared" si="79"/>
        <v>Maio</v>
      </c>
      <c r="C2524" s="8" t="s">
        <v>2438</v>
      </c>
      <c r="D2524" s="8" t="s">
        <v>664</v>
      </c>
      <c r="E2524" s="8" t="s">
        <v>1503</v>
      </c>
      <c r="F2524" s="23">
        <v>46129.689583333333</v>
      </c>
      <c r="G2524" s="8" t="s">
        <v>1142</v>
      </c>
      <c r="H2524" s="23">
        <v>46162</v>
      </c>
      <c r="I2524" s="23">
        <v>46129.689583333333</v>
      </c>
      <c r="J2524" s="10">
        <v>14.98</v>
      </c>
      <c r="K2524" s="10">
        <v>0</v>
      </c>
      <c r="L2524" s="24">
        <v>0</v>
      </c>
      <c r="M2524" s="10">
        <v>14.98</v>
      </c>
    </row>
    <row r="2525" spans="1:13" x14ac:dyDescent="0.25">
      <c r="A2525" s="12" t="str">
        <f t="shared" si="78"/>
        <v>835888-5952-87MINISTERIO DA FAZENDAIM46129,6909722222</v>
      </c>
      <c r="B2525" s="12" t="str">
        <f t="shared" si="79"/>
        <v>Maio</v>
      </c>
      <c r="C2525" s="8" t="s">
        <v>2439</v>
      </c>
      <c r="D2525" s="8" t="s">
        <v>664</v>
      </c>
      <c r="E2525" s="8" t="s">
        <v>1503</v>
      </c>
      <c r="F2525" s="23">
        <v>46129.690972222219</v>
      </c>
      <c r="G2525" s="8" t="s">
        <v>1142</v>
      </c>
      <c r="H2525" s="23">
        <v>46162</v>
      </c>
      <c r="I2525" s="23">
        <v>46129.690972222219</v>
      </c>
      <c r="J2525" s="10">
        <v>46.43</v>
      </c>
      <c r="K2525" s="10">
        <v>0</v>
      </c>
      <c r="L2525" s="24">
        <v>0</v>
      </c>
      <c r="M2525" s="10">
        <v>46.43</v>
      </c>
    </row>
    <row r="2526" spans="1:13" x14ac:dyDescent="0.25">
      <c r="A2526" s="12" t="str">
        <f t="shared" si="78"/>
        <v>83675821HAPVIDA ASSISTENCIA MEDICA LTDANSE46066</v>
      </c>
      <c r="B2526" s="12" t="str">
        <f t="shared" si="79"/>
        <v>Março</v>
      </c>
      <c r="C2526" s="8" t="s">
        <v>970</v>
      </c>
      <c r="D2526" s="8" t="s">
        <v>664</v>
      </c>
      <c r="E2526" s="8" t="s">
        <v>83</v>
      </c>
      <c r="F2526" s="23">
        <v>46066</v>
      </c>
      <c r="G2526" s="8" t="s">
        <v>665</v>
      </c>
      <c r="H2526" s="23">
        <v>46086</v>
      </c>
      <c r="I2526" s="23">
        <v>46076</v>
      </c>
      <c r="J2526" s="10">
        <v>1247.46</v>
      </c>
      <c r="K2526" s="10">
        <v>0</v>
      </c>
      <c r="L2526" s="24">
        <v>0</v>
      </c>
      <c r="M2526" s="10">
        <v>1247.46</v>
      </c>
    </row>
    <row r="2527" spans="1:13" x14ac:dyDescent="0.25">
      <c r="A2527" s="12" t="str">
        <f t="shared" si="78"/>
        <v>83686555HAPVIDA ASSISTENCIA MEDICA LTDANSE46072</v>
      </c>
      <c r="B2527" s="12" t="str">
        <f t="shared" si="79"/>
        <v>Março</v>
      </c>
      <c r="C2527" s="8" t="s">
        <v>971</v>
      </c>
      <c r="D2527" s="8" t="s">
        <v>664</v>
      </c>
      <c r="E2527" s="8" t="s">
        <v>83</v>
      </c>
      <c r="F2527" s="23">
        <v>46072</v>
      </c>
      <c r="G2527" s="8" t="s">
        <v>665</v>
      </c>
      <c r="H2527" s="23">
        <v>46091</v>
      </c>
      <c r="I2527" s="23">
        <v>46078</v>
      </c>
      <c r="J2527" s="10">
        <v>3024.42</v>
      </c>
      <c r="K2527" s="10">
        <v>0</v>
      </c>
      <c r="L2527" s="24">
        <v>0</v>
      </c>
      <c r="M2527" s="10">
        <v>3024.42</v>
      </c>
    </row>
    <row r="2528" spans="1:13" x14ac:dyDescent="0.25">
      <c r="A2528" s="12" t="str">
        <f t="shared" si="78"/>
        <v>83709757HAPVIDA ASSISTENCIA MEDICA LTDANSE46073</v>
      </c>
      <c r="B2528" s="12" t="str">
        <f t="shared" si="79"/>
        <v>Março</v>
      </c>
      <c r="C2528" s="8" t="s">
        <v>972</v>
      </c>
      <c r="D2528" s="8" t="s">
        <v>664</v>
      </c>
      <c r="E2528" s="8" t="s">
        <v>83</v>
      </c>
      <c r="F2528" s="23">
        <v>46073</v>
      </c>
      <c r="G2528" s="8" t="s">
        <v>665</v>
      </c>
      <c r="H2528" s="23">
        <v>46091</v>
      </c>
      <c r="I2528" s="23">
        <v>46078</v>
      </c>
      <c r="J2528" s="10">
        <v>27385.54</v>
      </c>
      <c r="K2528" s="10">
        <v>0</v>
      </c>
      <c r="L2528" s="24">
        <v>0</v>
      </c>
      <c r="M2528" s="10">
        <v>27385.54</v>
      </c>
    </row>
    <row r="2529" spans="1:13" x14ac:dyDescent="0.25">
      <c r="A2529" s="12" t="str">
        <f t="shared" si="78"/>
        <v>8377614PLUXEE BENEFICIOS BRASIL S.A.ND46227</v>
      </c>
      <c r="B2529" s="12" t="str">
        <f t="shared" si="79"/>
        <v>Agosto</v>
      </c>
      <c r="C2529" s="8" t="s">
        <v>365</v>
      </c>
      <c r="D2529" s="8" t="s">
        <v>1618</v>
      </c>
      <c r="E2529" s="8" t="s">
        <v>157</v>
      </c>
      <c r="F2529" s="23">
        <v>46227</v>
      </c>
      <c r="G2529" s="8" t="s">
        <v>338</v>
      </c>
      <c r="H2529" s="23">
        <v>46257</v>
      </c>
      <c r="I2529" s="23">
        <v>46230</v>
      </c>
      <c r="J2529" s="10">
        <v>78242</v>
      </c>
      <c r="K2529" s="10">
        <v>0</v>
      </c>
      <c r="L2529" s="24">
        <v>0</v>
      </c>
      <c r="M2529" s="10">
        <v>78242</v>
      </c>
    </row>
    <row r="2530" spans="1:13" x14ac:dyDescent="0.25">
      <c r="A2530" s="12" t="str">
        <f t="shared" si="78"/>
        <v>8377614/87PLUXEE BENEFICIOS BRASIL S.A.NSE46227</v>
      </c>
      <c r="B2530" s="12" t="str">
        <f t="shared" si="79"/>
        <v>Agosto</v>
      </c>
      <c r="C2530" s="8" t="s">
        <v>2864</v>
      </c>
      <c r="D2530" s="8" t="s">
        <v>664</v>
      </c>
      <c r="E2530" s="8" t="s">
        <v>157</v>
      </c>
      <c r="F2530" s="23">
        <v>46227</v>
      </c>
      <c r="G2530" s="8" t="s">
        <v>665</v>
      </c>
      <c r="H2530" s="23">
        <v>46257</v>
      </c>
      <c r="I2530" s="23">
        <v>46230</v>
      </c>
      <c r="J2530" s="10">
        <v>78242</v>
      </c>
      <c r="K2530" s="10">
        <v>0</v>
      </c>
      <c r="L2530" s="24">
        <v>0</v>
      </c>
      <c r="M2530" s="10">
        <v>78242</v>
      </c>
    </row>
    <row r="2531" spans="1:13" x14ac:dyDescent="0.25">
      <c r="A2531" s="12" t="str">
        <f t="shared" si="78"/>
        <v>8377620PLUXEE BENEFICIOS BRASIL S.A.ND46227</v>
      </c>
      <c r="B2531" s="12" t="str">
        <f t="shared" si="79"/>
        <v>Agosto</v>
      </c>
      <c r="C2531" s="8" t="s">
        <v>366</v>
      </c>
      <c r="D2531" s="8" t="s">
        <v>1618</v>
      </c>
      <c r="E2531" s="8" t="s">
        <v>157</v>
      </c>
      <c r="F2531" s="23">
        <v>46227</v>
      </c>
      <c r="G2531" s="8" t="s">
        <v>338</v>
      </c>
      <c r="H2531" s="23">
        <v>46257</v>
      </c>
      <c r="I2531" s="23">
        <v>46230</v>
      </c>
      <c r="J2531" s="10">
        <v>8094</v>
      </c>
      <c r="K2531" s="10">
        <v>0</v>
      </c>
      <c r="L2531" s="24">
        <v>0</v>
      </c>
      <c r="M2531" s="10">
        <v>8094</v>
      </c>
    </row>
    <row r="2532" spans="1:13" x14ac:dyDescent="0.25">
      <c r="A2532" s="12" t="str">
        <f t="shared" si="78"/>
        <v>8377620/87PLUXEE BENEFICIOS BRASIL S.A.NSE46227</v>
      </c>
      <c r="B2532" s="12" t="str">
        <f t="shared" si="79"/>
        <v>Agosto</v>
      </c>
      <c r="C2532" s="8" t="s">
        <v>2865</v>
      </c>
      <c r="D2532" s="8" t="s">
        <v>664</v>
      </c>
      <c r="E2532" s="8" t="s">
        <v>157</v>
      </c>
      <c r="F2532" s="23">
        <v>46227</v>
      </c>
      <c r="G2532" s="8" t="s">
        <v>665</v>
      </c>
      <c r="H2532" s="23">
        <v>46257</v>
      </c>
      <c r="I2532" s="23">
        <v>46230</v>
      </c>
      <c r="J2532" s="10">
        <v>8094</v>
      </c>
      <c r="K2532" s="10">
        <v>0</v>
      </c>
      <c r="L2532" s="24">
        <v>0</v>
      </c>
      <c r="M2532" s="10">
        <v>8094</v>
      </c>
    </row>
    <row r="2533" spans="1:13" x14ac:dyDescent="0.25">
      <c r="A2533" s="12" t="str">
        <f t="shared" si="78"/>
        <v>8377755PLUXEE BENEFICIOS BRASIL S.A.ND46227</v>
      </c>
      <c r="B2533" s="12" t="str">
        <f t="shared" si="79"/>
        <v>Agosto</v>
      </c>
      <c r="C2533" s="8" t="s">
        <v>367</v>
      </c>
      <c r="D2533" s="8" t="s">
        <v>664</v>
      </c>
      <c r="E2533" s="8" t="s">
        <v>157</v>
      </c>
      <c r="F2533" s="23">
        <v>46227</v>
      </c>
      <c r="G2533" s="8" t="s">
        <v>338</v>
      </c>
      <c r="H2533" s="23">
        <v>46257</v>
      </c>
      <c r="I2533" s="23">
        <v>46230</v>
      </c>
      <c r="J2533" s="10">
        <v>11610</v>
      </c>
      <c r="K2533" s="10">
        <v>0</v>
      </c>
      <c r="L2533" s="24">
        <v>0</v>
      </c>
      <c r="M2533" s="10">
        <v>11610</v>
      </c>
    </row>
    <row r="2534" spans="1:13" x14ac:dyDescent="0.25">
      <c r="A2534" s="12" t="str">
        <f t="shared" si="78"/>
        <v>8377755/87PLUXEE BENEFICIOS BRASIL S.A.NSE46227</v>
      </c>
      <c r="B2534" s="12" t="str">
        <f t="shared" si="79"/>
        <v>Agosto</v>
      </c>
      <c r="C2534" s="8" t="s">
        <v>2866</v>
      </c>
      <c r="D2534" s="8" t="s">
        <v>664</v>
      </c>
      <c r="E2534" s="8" t="s">
        <v>157</v>
      </c>
      <c r="F2534" s="23">
        <v>46227</v>
      </c>
      <c r="G2534" s="8" t="s">
        <v>665</v>
      </c>
      <c r="H2534" s="23">
        <v>46257</v>
      </c>
      <c r="I2534" s="23">
        <v>46230</v>
      </c>
      <c r="J2534" s="10">
        <v>11610</v>
      </c>
      <c r="K2534" s="10">
        <v>0</v>
      </c>
      <c r="L2534" s="24">
        <v>0</v>
      </c>
      <c r="M2534" s="10">
        <v>11610</v>
      </c>
    </row>
    <row r="2535" spans="1:13" x14ac:dyDescent="0.25">
      <c r="A2535" s="12" t="str">
        <f t="shared" si="78"/>
        <v>8377762PLUXEE BENEFICIOS BRASIL S.A.ND46227</v>
      </c>
      <c r="B2535" s="12" t="str">
        <f t="shared" si="79"/>
        <v>Agosto</v>
      </c>
      <c r="C2535" s="8" t="s">
        <v>368</v>
      </c>
      <c r="D2535" s="8" t="s">
        <v>1618</v>
      </c>
      <c r="E2535" s="8" t="s">
        <v>157</v>
      </c>
      <c r="F2535" s="23">
        <v>46227</v>
      </c>
      <c r="G2535" s="8" t="s">
        <v>338</v>
      </c>
      <c r="H2535" s="23">
        <v>46257</v>
      </c>
      <c r="I2535" s="23">
        <v>46230</v>
      </c>
      <c r="J2535" s="10">
        <v>1344</v>
      </c>
      <c r="K2535" s="10">
        <v>0</v>
      </c>
      <c r="L2535" s="24">
        <v>0</v>
      </c>
      <c r="M2535" s="10">
        <v>1344</v>
      </c>
    </row>
    <row r="2536" spans="1:13" x14ac:dyDescent="0.25">
      <c r="A2536" s="12" t="str">
        <f t="shared" si="78"/>
        <v>8377762/87PLUXEE BENEFICIOS BRASIL S.A.NSE46227</v>
      </c>
      <c r="B2536" s="12" t="str">
        <f t="shared" si="79"/>
        <v>Agosto</v>
      </c>
      <c r="C2536" s="8" t="s">
        <v>2867</v>
      </c>
      <c r="D2536" s="8" t="s">
        <v>664</v>
      </c>
      <c r="E2536" s="8" t="s">
        <v>157</v>
      </c>
      <c r="F2536" s="23">
        <v>46227</v>
      </c>
      <c r="G2536" s="8" t="s">
        <v>665</v>
      </c>
      <c r="H2536" s="23">
        <v>46257</v>
      </c>
      <c r="I2536" s="23">
        <v>46230</v>
      </c>
      <c r="J2536" s="10">
        <v>1344</v>
      </c>
      <c r="K2536" s="10">
        <v>0</v>
      </c>
      <c r="L2536" s="24">
        <v>0</v>
      </c>
      <c r="M2536" s="10">
        <v>1344</v>
      </c>
    </row>
    <row r="2537" spans="1:13" x14ac:dyDescent="0.25">
      <c r="A2537" s="12" t="str">
        <f t="shared" si="78"/>
        <v>838129TAGUS-TEC SERVICOS TECNOLOGICOS LTDANSE46146</v>
      </c>
      <c r="B2537" s="12" t="str">
        <f t="shared" si="79"/>
        <v>Junho</v>
      </c>
      <c r="C2537" s="8" t="s">
        <v>973</v>
      </c>
      <c r="D2537" s="8" t="s">
        <v>664</v>
      </c>
      <c r="E2537" s="8" t="s">
        <v>184</v>
      </c>
      <c r="F2537" s="23">
        <v>46146</v>
      </c>
      <c r="G2537" s="8" t="s">
        <v>665</v>
      </c>
      <c r="H2537" s="23">
        <v>46195</v>
      </c>
      <c r="I2537" s="23">
        <v>46149</v>
      </c>
      <c r="J2537" s="10">
        <v>998.43</v>
      </c>
      <c r="K2537" s="10">
        <v>0</v>
      </c>
      <c r="L2537" s="24">
        <v>0</v>
      </c>
      <c r="M2537" s="10">
        <v>937.04</v>
      </c>
    </row>
    <row r="2538" spans="1:13" x14ac:dyDescent="0.25">
      <c r="A2538" s="12" t="str">
        <f t="shared" si="78"/>
        <v>838129-1708-87MINISTERIO DA FAZENDAIM46169,4694444444</v>
      </c>
      <c r="B2538" s="12" t="str">
        <f t="shared" si="79"/>
        <v>Junho</v>
      </c>
      <c r="C2538" s="8" t="s">
        <v>2589</v>
      </c>
      <c r="D2538" s="8" t="s">
        <v>664</v>
      </c>
      <c r="E2538" s="8" t="s">
        <v>1503</v>
      </c>
      <c r="F2538" s="23">
        <v>46169.469444444447</v>
      </c>
      <c r="G2538" s="8" t="s">
        <v>1142</v>
      </c>
      <c r="H2538" s="23">
        <v>46193</v>
      </c>
      <c r="I2538" s="23">
        <v>46169.469444444447</v>
      </c>
      <c r="J2538" s="10">
        <v>14.98</v>
      </c>
      <c r="K2538" s="10">
        <v>0</v>
      </c>
      <c r="L2538" s="24">
        <v>0</v>
      </c>
      <c r="M2538" s="10">
        <v>14.98</v>
      </c>
    </row>
    <row r="2539" spans="1:13" x14ac:dyDescent="0.25">
      <c r="A2539" s="12" t="str">
        <f t="shared" si="78"/>
        <v>838129-5952-87MINISTERIO DA FAZENDAIM46169,4708333333</v>
      </c>
      <c r="B2539" s="12" t="str">
        <f t="shared" si="79"/>
        <v>Junho</v>
      </c>
      <c r="C2539" s="8" t="s">
        <v>2590</v>
      </c>
      <c r="D2539" s="8" t="s">
        <v>664</v>
      </c>
      <c r="E2539" s="8" t="s">
        <v>1503</v>
      </c>
      <c r="F2539" s="23">
        <v>46169.470833333333</v>
      </c>
      <c r="G2539" s="8" t="s">
        <v>1142</v>
      </c>
      <c r="H2539" s="23">
        <v>46193</v>
      </c>
      <c r="I2539" s="23">
        <v>46169.470833333333</v>
      </c>
      <c r="J2539" s="10">
        <v>46.43</v>
      </c>
      <c r="K2539" s="10">
        <v>0</v>
      </c>
      <c r="L2539" s="24">
        <v>0</v>
      </c>
      <c r="M2539" s="10">
        <v>46.43</v>
      </c>
    </row>
    <row r="2540" spans="1:13" x14ac:dyDescent="0.25">
      <c r="A2540" s="12" t="str">
        <f t="shared" si="78"/>
        <v>839885TAGUS-TEC SERVICOS TECNOLOGICOS LTDANSE46174</v>
      </c>
      <c r="B2540" s="12" t="str">
        <f t="shared" si="79"/>
        <v>Junho</v>
      </c>
      <c r="C2540" s="8" t="s">
        <v>974</v>
      </c>
      <c r="D2540" s="8" t="s">
        <v>664</v>
      </c>
      <c r="E2540" s="8" t="s">
        <v>184</v>
      </c>
      <c r="F2540" s="23">
        <v>46174</v>
      </c>
      <c r="G2540" s="8" t="s">
        <v>665</v>
      </c>
      <c r="H2540" s="23">
        <v>46188</v>
      </c>
      <c r="I2540" s="23">
        <v>46185</v>
      </c>
      <c r="J2540" s="10">
        <v>998.43</v>
      </c>
      <c r="K2540" s="10">
        <v>0</v>
      </c>
      <c r="L2540" s="24">
        <v>0</v>
      </c>
      <c r="M2540" s="10">
        <v>937.04</v>
      </c>
    </row>
    <row r="2541" spans="1:13" x14ac:dyDescent="0.25">
      <c r="A2541" s="12" t="str">
        <f t="shared" si="78"/>
        <v>839885-1708-87MINISTERIO DA FAZENDAIM46188,6583333333</v>
      </c>
      <c r="B2541" s="12" t="str">
        <f t="shared" si="79"/>
        <v>Julho</v>
      </c>
      <c r="C2541" s="8" t="s">
        <v>2774</v>
      </c>
      <c r="D2541" s="8" t="s">
        <v>664</v>
      </c>
      <c r="E2541" s="8" t="s">
        <v>1503</v>
      </c>
      <c r="F2541" s="23">
        <v>46188.658333333333</v>
      </c>
      <c r="G2541" s="8" t="s">
        <v>1142</v>
      </c>
      <c r="H2541" s="23">
        <v>46223</v>
      </c>
      <c r="I2541" s="23">
        <v>46188.658333333333</v>
      </c>
      <c r="J2541" s="10">
        <v>17.97</v>
      </c>
      <c r="K2541" s="10">
        <v>0</v>
      </c>
      <c r="L2541" s="24">
        <v>0</v>
      </c>
      <c r="M2541" s="10">
        <v>17.97</v>
      </c>
    </row>
    <row r="2542" spans="1:13" x14ac:dyDescent="0.25">
      <c r="A2542" s="12" t="str">
        <f t="shared" si="78"/>
        <v>839885-5952-87MINISTERIO DA FAZENDAIM46188,6590277778</v>
      </c>
      <c r="B2542" s="12" t="str">
        <f t="shared" si="79"/>
        <v>Julho</v>
      </c>
      <c r="C2542" s="8" t="s">
        <v>2775</v>
      </c>
      <c r="D2542" s="8" t="s">
        <v>664</v>
      </c>
      <c r="E2542" s="8" t="s">
        <v>1503</v>
      </c>
      <c r="F2542" s="23">
        <v>46188.65902777778</v>
      </c>
      <c r="G2542" s="8" t="s">
        <v>1142</v>
      </c>
      <c r="H2542" s="23">
        <v>46223</v>
      </c>
      <c r="I2542" s="23">
        <v>46188.65902777778</v>
      </c>
      <c r="J2542" s="10">
        <v>46.43</v>
      </c>
      <c r="K2542" s="10">
        <v>0</v>
      </c>
      <c r="L2542" s="24">
        <v>0</v>
      </c>
      <c r="M2542" s="10">
        <v>46.43</v>
      </c>
    </row>
    <row r="2543" spans="1:13" x14ac:dyDescent="0.25">
      <c r="A2543" s="12" t="str">
        <f t="shared" si="78"/>
        <v>842624TAGUS-TEC SERVICOS TECNOLOGICOS LTDANSE46204</v>
      </c>
      <c r="B2543" s="12" t="str">
        <f t="shared" si="79"/>
        <v>Julho</v>
      </c>
      <c r="C2543" s="8" t="s">
        <v>975</v>
      </c>
      <c r="D2543" s="8" t="s">
        <v>664</v>
      </c>
      <c r="E2543" s="8" t="s">
        <v>184</v>
      </c>
      <c r="F2543" s="23">
        <v>46204</v>
      </c>
      <c r="G2543" s="8" t="s">
        <v>665</v>
      </c>
      <c r="H2543" s="23">
        <v>46217</v>
      </c>
      <c r="I2543" s="23">
        <v>46209</v>
      </c>
      <c r="J2543" s="10">
        <v>998.43</v>
      </c>
      <c r="K2543" s="10">
        <v>0</v>
      </c>
      <c r="L2543" s="24">
        <v>0</v>
      </c>
      <c r="M2543" s="10">
        <v>937.04</v>
      </c>
    </row>
    <row r="2544" spans="1:13" x14ac:dyDescent="0.25">
      <c r="A2544" s="12" t="str">
        <f t="shared" si="78"/>
        <v>842624-1708-87MINISTERIO DA FAZENDAim46216,4444444444</v>
      </c>
      <c r="B2544" s="12" t="str">
        <f t="shared" si="79"/>
        <v>Agosto</v>
      </c>
      <c r="C2544" s="8" t="s">
        <v>2990</v>
      </c>
      <c r="D2544" s="8" t="s">
        <v>664</v>
      </c>
      <c r="E2544" s="8" t="s">
        <v>1503</v>
      </c>
      <c r="F2544" s="23">
        <v>46216.444444444445</v>
      </c>
      <c r="G2544" s="8" t="s">
        <v>1248</v>
      </c>
      <c r="H2544" s="23">
        <v>46254</v>
      </c>
      <c r="I2544" s="23">
        <v>46252</v>
      </c>
      <c r="J2544" s="10">
        <v>14.97</v>
      </c>
      <c r="K2544" s="10">
        <v>0</v>
      </c>
      <c r="L2544" s="24">
        <v>0</v>
      </c>
      <c r="M2544" s="10">
        <v>14.97</v>
      </c>
    </row>
    <row r="2545" spans="1:13" x14ac:dyDescent="0.25">
      <c r="A2545" s="12" t="str">
        <f t="shared" si="78"/>
        <v>842624-5952-87MINISTERIO DA FAZENDAIM46216,4465277778</v>
      </c>
      <c r="B2545" s="12" t="str">
        <f t="shared" si="79"/>
        <v>Agosto</v>
      </c>
      <c r="C2545" s="8" t="s">
        <v>3005</v>
      </c>
      <c r="D2545" s="8" t="s">
        <v>664</v>
      </c>
      <c r="E2545" s="8" t="s">
        <v>1503</v>
      </c>
      <c r="F2545" s="23">
        <v>46216.446527777778</v>
      </c>
      <c r="G2545" s="8" t="s">
        <v>1142</v>
      </c>
      <c r="H2545" s="23">
        <v>46254</v>
      </c>
      <c r="I2545" s="23">
        <v>46252</v>
      </c>
      <c r="J2545" s="10">
        <v>46.9</v>
      </c>
      <c r="K2545" s="10">
        <v>0</v>
      </c>
      <c r="L2545" s="24">
        <v>0</v>
      </c>
      <c r="M2545" s="10">
        <v>46.9</v>
      </c>
    </row>
    <row r="2546" spans="1:13" x14ac:dyDescent="0.25">
      <c r="A2546" s="12" t="str">
        <f t="shared" si="78"/>
        <v>845019TAGUS-TEC SERVICOS TECNOLOGICOS LTDANSE46235</v>
      </c>
      <c r="B2546" s="12" t="str">
        <f t="shared" si="79"/>
        <v>Agosto</v>
      </c>
      <c r="C2546" s="8" t="s">
        <v>976</v>
      </c>
      <c r="D2546" s="8" t="s">
        <v>664</v>
      </c>
      <c r="E2546" s="8" t="s">
        <v>184</v>
      </c>
      <c r="F2546" s="23">
        <v>46235</v>
      </c>
      <c r="G2546" s="8" t="s">
        <v>665</v>
      </c>
      <c r="H2546" s="23">
        <v>46248</v>
      </c>
      <c r="I2546" s="23">
        <v>46240</v>
      </c>
      <c r="J2546" s="10">
        <v>998.43</v>
      </c>
      <c r="K2546" s="10">
        <v>0</v>
      </c>
      <c r="L2546" s="24">
        <v>0</v>
      </c>
      <c r="M2546" s="10">
        <v>937.04</v>
      </c>
    </row>
    <row r="2547" spans="1:13" x14ac:dyDescent="0.25">
      <c r="A2547" s="12" t="str">
        <f t="shared" si="78"/>
        <v>845019-1708-87MINISTERIO DA FAZENDAIM46275,4097222222</v>
      </c>
      <c r="B2547" s="12" t="str">
        <f t="shared" si="79"/>
        <v>Setembro</v>
      </c>
      <c r="C2547" s="8" t="s">
        <v>3138</v>
      </c>
      <c r="D2547" s="8" t="s">
        <v>664</v>
      </c>
      <c r="E2547" s="8" t="s">
        <v>1503</v>
      </c>
      <c r="F2547" s="23">
        <v>46275.409722222219</v>
      </c>
      <c r="G2547" s="8" t="s">
        <v>1142</v>
      </c>
      <c r="H2547" s="23">
        <v>46285</v>
      </c>
      <c r="I2547" s="23">
        <v>46275.409722222219</v>
      </c>
      <c r="J2547" s="10">
        <v>14.98</v>
      </c>
      <c r="K2547" s="10">
        <v>0</v>
      </c>
      <c r="L2547" s="24">
        <v>0</v>
      </c>
      <c r="M2547" s="10">
        <v>14.98</v>
      </c>
    </row>
    <row r="2548" spans="1:13" x14ac:dyDescent="0.25">
      <c r="A2548" s="12" t="str">
        <f t="shared" si="78"/>
        <v>845019-5952-87MINISTERIO DA FAZENDAim46275,4111111111</v>
      </c>
      <c r="B2548" s="12" t="str">
        <f t="shared" si="79"/>
        <v>Setembro</v>
      </c>
      <c r="C2548" s="8" t="s">
        <v>3139</v>
      </c>
      <c r="D2548" s="8" t="s">
        <v>664</v>
      </c>
      <c r="E2548" s="8" t="s">
        <v>1503</v>
      </c>
      <c r="F2548" s="23">
        <v>46275.411111111112</v>
      </c>
      <c r="G2548" s="8" t="s">
        <v>1248</v>
      </c>
      <c r="H2548" s="23">
        <v>46285</v>
      </c>
      <c r="I2548" s="23">
        <v>46275.411111111112</v>
      </c>
      <c r="J2548" s="10">
        <v>46.43</v>
      </c>
      <c r="K2548" s="10">
        <v>0</v>
      </c>
      <c r="L2548" s="24">
        <v>0</v>
      </c>
      <c r="M2548" s="10">
        <v>46.43</v>
      </c>
    </row>
    <row r="2549" spans="1:13" x14ac:dyDescent="0.25">
      <c r="A2549" s="12" t="str">
        <f t="shared" si="78"/>
        <v>846AUTO DIESEL PECAS E SERVICOS LTDANFS46255</v>
      </c>
      <c r="B2549" s="12" t="str">
        <f t="shared" si="79"/>
        <v>Setembro</v>
      </c>
      <c r="C2549" s="8" t="s">
        <v>663</v>
      </c>
      <c r="D2549" s="8" t="s">
        <v>1354</v>
      </c>
      <c r="E2549" s="8" t="s">
        <v>23</v>
      </c>
      <c r="F2549" s="23">
        <v>46255</v>
      </c>
      <c r="G2549" s="8" t="s">
        <v>614</v>
      </c>
      <c r="H2549" s="23">
        <v>46285</v>
      </c>
      <c r="I2549" s="23">
        <v>46259</v>
      </c>
      <c r="J2549" s="10">
        <v>1630</v>
      </c>
      <c r="K2549" s="10">
        <v>0</v>
      </c>
      <c r="L2549" s="24">
        <v>0</v>
      </c>
      <c r="M2549" s="10">
        <v>1630</v>
      </c>
    </row>
    <row r="2550" spans="1:13" x14ac:dyDescent="0.25">
      <c r="A2550" s="12" t="str">
        <f t="shared" si="78"/>
        <v>848145TAGUS-TEC SERVICOS TECNOLOGICOS LTDANSE46274</v>
      </c>
      <c r="B2550" s="12" t="str">
        <f t="shared" si="79"/>
        <v>Setembro</v>
      </c>
      <c r="C2550" s="8" t="s">
        <v>977</v>
      </c>
      <c r="D2550" s="8" t="s">
        <v>664</v>
      </c>
      <c r="E2550" s="8" t="s">
        <v>184</v>
      </c>
      <c r="F2550" s="23">
        <v>46274</v>
      </c>
      <c r="G2550" s="8" t="s">
        <v>665</v>
      </c>
      <c r="H2550" s="23">
        <v>46287</v>
      </c>
      <c r="I2550" s="23">
        <v>46276</v>
      </c>
      <c r="J2550" s="10">
        <v>998.43</v>
      </c>
      <c r="K2550" s="10">
        <v>0</v>
      </c>
      <c r="L2550" s="24">
        <v>0</v>
      </c>
      <c r="M2550" s="10">
        <v>937.04</v>
      </c>
    </row>
    <row r="2551" spans="1:13" x14ac:dyDescent="0.25">
      <c r="A2551" s="12" t="str">
        <f t="shared" si="78"/>
        <v>84889118HAPVIDA ASSISTENCIA MEDICA LTDANSE46095</v>
      </c>
      <c r="B2551" s="12" t="str">
        <f t="shared" si="79"/>
        <v>Abril</v>
      </c>
      <c r="C2551" s="8" t="s">
        <v>978</v>
      </c>
      <c r="D2551" s="8" t="s">
        <v>664</v>
      </c>
      <c r="E2551" s="8" t="s">
        <v>83</v>
      </c>
      <c r="F2551" s="23">
        <v>46095</v>
      </c>
      <c r="G2551" s="8" t="s">
        <v>665</v>
      </c>
      <c r="H2551" s="23">
        <v>46117</v>
      </c>
      <c r="I2551" s="23">
        <v>46112</v>
      </c>
      <c r="J2551" s="10">
        <v>1223</v>
      </c>
      <c r="K2551" s="10">
        <v>0</v>
      </c>
      <c r="L2551" s="24">
        <v>0</v>
      </c>
      <c r="M2551" s="10">
        <v>1223</v>
      </c>
    </row>
    <row r="2552" spans="1:13" x14ac:dyDescent="0.25">
      <c r="A2552" s="12" t="str">
        <f t="shared" si="78"/>
        <v>84912223HAPVIDA ASSISTENCIA MEDICA LTDANSE46102</v>
      </c>
      <c r="B2552" s="12" t="str">
        <f t="shared" si="79"/>
        <v>Abril</v>
      </c>
      <c r="C2552" s="8" t="s">
        <v>979</v>
      </c>
      <c r="D2552" s="8" t="s">
        <v>664</v>
      </c>
      <c r="E2552" s="8" t="s">
        <v>83</v>
      </c>
      <c r="F2552" s="23">
        <v>46102</v>
      </c>
      <c r="G2552" s="8" t="s">
        <v>665</v>
      </c>
      <c r="H2552" s="23">
        <v>46122</v>
      </c>
      <c r="I2552" s="23">
        <v>46111</v>
      </c>
      <c r="J2552" s="10">
        <v>26105.32</v>
      </c>
      <c r="K2552" s="10">
        <v>0</v>
      </c>
      <c r="L2552" s="24">
        <v>0</v>
      </c>
      <c r="M2552" s="10">
        <v>26105.32</v>
      </c>
    </row>
    <row r="2553" spans="1:13" x14ac:dyDescent="0.25">
      <c r="A2553" s="12" t="str">
        <f t="shared" si="78"/>
        <v>84930587HAPVIDA ASSISTENCIA MEDICA LTDANSE46102</v>
      </c>
      <c r="B2553" s="12" t="str">
        <f t="shared" si="79"/>
        <v>Abril</v>
      </c>
      <c r="C2553" s="8" t="s">
        <v>980</v>
      </c>
      <c r="D2553" s="8" t="s">
        <v>664</v>
      </c>
      <c r="E2553" s="8" t="s">
        <v>83</v>
      </c>
      <c r="F2553" s="23">
        <v>46102</v>
      </c>
      <c r="G2553" s="8" t="s">
        <v>665</v>
      </c>
      <c r="H2553" s="23">
        <v>46122</v>
      </c>
      <c r="I2553" s="23">
        <v>46111</v>
      </c>
      <c r="J2553" s="10">
        <v>2896.62</v>
      </c>
      <c r="K2553" s="10">
        <v>0</v>
      </c>
      <c r="L2553" s="24">
        <v>0</v>
      </c>
      <c r="M2553" s="10">
        <v>2896.62</v>
      </c>
    </row>
    <row r="2554" spans="1:13" x14ac:dyDescent="0.25">
      <c r="A2554" s="12" t="str">
        <f t="shared" si="78"/>
        <v>849369SASCAR TECNOLOGIA E SEGURANÇA AUTOMOTICA S/ANSE46118</v>
      </c>
      <c r="B2554" s="12" t="str">
        <f t="shared" si="79"/>
        <v>Maio</v>
      </c>
      <c r="C2554" s="8" t="s">
        <v>981</v>
      </c>
      <c r="D2554" s="8" t="s">
        <v>1354</v>
      </c>
      <c r="E2554" s="8" t="s">
        <v>179</v>
      </c>
      <c r="F2554" s="23">
        <v>46118</v>
      </c>
      <c r="G2554" s="8" t="s">
        <v>665</v>
      </c>
      <c r="H2554" s="23">
        <v>46149</v>
      </c>
      <c r="I2554" s="23">
        <v>46121</v>
      </c>
      <c r="J2554" s="10">
        <v>357.45</v>
      </c>
      <c r="K2554" s="10">
        <v>0</v>
      </c>
      <c r="L2554" s="24">
        <v>0</v>
      </c>
      <c r="M2554" s="10">
        <v>357.45</v>
      </c>
    </row>
    <row r="2555" spans="1:13" x14ac:dyDescent="0.25">
      <c r="A2555" s="12" t="str">
        <f t="shared" si="78"/>
        <v>8494995PLUXEE BENEFICIOS BRASIL S.A.ND46237</v>
      </c>
      <c r="B2555" s="12" t="str">
        <f t="shared" si="79"/>
        <v>Setembro</v>
      </c>
      <c r="C2555" s="8" t="s">
        <v>369</v>
      </c>
      <c r="D2555" s="8" t="s">
        <v>1618</v>
      </c>
      <c r="E2555" s="8" t="s">
        <v>157</v>
      </c>
      <c r="F2555" s="23">
        <v>46237</v>
      </c>
      <c r="G2555" s="8" t="s">
        <v>338</v>
      </c>
      <c r="H2555" s="23">
        <v>46267</v>
      </c>
      <c r="I2555" s="23">
        <v>46241</v>
      </c>
      <c r="J2555" s="10">
        <v>256</v>
      </c>
      <c r="K2555" s="10">
        <v>0</v>
      </c>
      <c r="L2555" s="24">
        <v>0</v>
      </c>
      <c r="M2555" s="10">
        <v>256</v>
      </c>
    </row>
    <row r="2556" spans="1:13" x14ac:dyDescent="0.25">
      <c r="A2556" s="12" t="str">
        <f t="shared" si="78"/>
        <v>8494995/87PLUXEE BENEFICIOS BRASIL S.A.NSE46237</v>
      </c>
      <c r="B2556" s="12" t="str">
        <f t="shared" si="79"/>
        <v>Setembro</v>
      </c>
      <c r="C2556" s="8" t="s">
        <v>2943</v>
      </c>
      <c r="D2556" s="8" t="s">
        <v>664</v>
      </c>
      <c r="E2556" s="8" t="s">
        <v>157</v>
      </c>
      <c r="F2556" s="23">
        <v>46237</v>
      </c>
      <c r="G2556" s="8" t="s">
        <v>665</v>
      </c>
      <c r="H2556" s="23">
        <v>46267</v>
      </c>
      <c r="I2556" s="23">
        <v>46241</v>
      </c>
      <c r="J2556" s="10">
        <v>256</v>
      </c>
      <c r="K2556" s="10">
        <v>0</v>
      </c>
      <c r="L2556" s="24">
        <v>0</v>
      </c>
      <c r="M2556" s="10">
        <v>256</v>
      </c>
    </row>
    <row r="2557" spans="1:13" x14ac:dyDescent="0.25">
      <c r="A2557" s="12" t="str">
        <f t="shared" si="78"/>
        <v>8495030PLUXEE BENEFICIOS BRASIL S.A.ND46237</v>
      </c>
      <c r="B2557" s="12" t="str">
        <f t="shared" si="79"/>
        <v>Setembro</v>
      </c>
      <c r="C2557" s="8" t="s">
        <v>370</v>
      </c>
      <c r="D2557" s="8" t="s">
        <v>1618</v>
      </c>
      <c r="E2557" s="8" t="s">
        <v>157</v>
      </c>
      <c r="F2557" s="23">
        <v>46237</v>
      </c>
      <c r="G2557" s="8" t="s">
        <v>338</v>
      </c>
      <c r="H2557" s="23">
        <v>46267</v>
      </c>
      <c r="I2557" s="23">
        <v>46241</v>
      </c>
      <c r="J2557" s="10">
        <v>15092</v>
      </c>
      <c r="K2557" s="10">
        <v>0</v>
      </c>
      <c r="L2557" s="24">
        <v>0</v>
      </c>
      <c r="M2557" s="10">
        <v>15092</v>
      </c>
    </row>
    <row r="2558" spans="1:13" x14ac:dyDescent="0.25">
      <c r="A2558" s="12" t="str">
        <f t="shared" si="78"/>
        <v>8495030/87PLUXEE BENEFICIOS BRASIL S.A.NSE46237</v>
      </c>
      <c r="B2558" s="12" t="str">
        <f t="shared" si="79"/>
        <v>Setembro</v>
      </c>
      <c r="C2558" s="8" t="s">
        <v>2944</v>
      </c>
      <c r="D2558" s="8" t="s">
        <v>664</v>
      </c>
      <c r="E2558" s="8" t="s">
        <v>157</v>
      </c>
      <c r="F2558" s="23">
        <v>46237</v>
      </c>
      <c r="G2558" s="8" t="s">
        <v>665</v>
      </c>
      <c r="H2558" s="23">
        <v>46267</v>
      </c>
      <c r="I2558" s="23">
        <v>46241</v>
      </c>
      <c r="J2558" s="10">
        <v>15092</v>
      </c>
      <c r="K2558" s="10">
        <v>0</v>
      </c>
      <c r="L2558" s="24">
        <v>0</v>
      </c>
      <c r="M2558" s="10">
        <v>15092</v>
      </c>
    </row>
    <row r="2559" spans="1:13" x14ac:dyDescent="0.25">
      <c r="A2559" s="12" t="str">
        <f t="shared" si="78"/>
        <v>8574TREVISO BETIM VEICULOS LTDANSE46114</v>
      </c>
      <c r="B2559" s="12" t="str">
        <f t="shared" si="79"/>
        <v>Abril</v>
      </c>
      <c r="C2559" s="8" t="s">
        <v>982</v>
      </c>
      <c r="D2559" s="8" t="s">
        <v>1354</v>
      </c>
      <c r="E2559" s="8" t="s">
        <v>190</v>
      </c>
      <c r="F2559" s="23">
        <v>46114</v>
      </c>
      <c r="G2559" s="8" t="s">
        <v>665</v>
      </c>
      <c r="H2559" s="23">
        <v>46142</v>
      </c>
      <c r="I2559" s="23">
        <v>46120</v>
      </c>
      <c r="J2559" s="10">
        <v>810.11</v>
      </c>
      <c r="K2559" s="10">
        <v>0</v>
      </c>
      <c r="L2559" s="24">
        <v>0</v>
      </c>
      <c r="M2559" s="10">
        <v>810.11</v>
      </c>
    </row>
    <row r="2560" spans="1:13" x14ac:dyDescent="0.25">
      <c r="A2560" s="12" t="str">
        <f t="shared" si="78"/>
        <v>8574TREVISO BETIM VEICULOS LTDANSE46114</v>
      </c>
      <c r="B2560" s="12" t="str">
        <f t="shared" si="79"/>
        <v>Maio</v>
      </c>
      <c r="C2560" s="8" t="s">
        <v>982</v>
      </c>
      <c r="D2560" s="8" t="s">
        <v>1354</v>
      </c>
      <c r="E2560" s="8" t="s">
        <v>190</v>
      </c>
      <c r="F2560" s="23">
        <v>46114</v>
      </c>
      <c r="G2560" s="8" t="s">
        <v>665</v>
      </c>
      <c r="H2560" s="23">
        <v>46170</v>
      </c>
      <c r="I2560" s="23">
        <v>46120</v>
      </c>
      <c r="J2560" s="10">
        <v>810.11</v>
      </c>
      <c r="K2560" s="10">
        <v>0</v>
      </c>
      <c r="L2560" s="24">
        <v>0</v>
      </c>
      <c r="M2560" s="10">
        <v>810.11</v>
      </c>
    </row>
    <row r="2561" spans="1:13" x14ac:dyDescent="0.25">
      <c r="A2561" s="12" t="str">
        <f t="shared" si="78"/>
        <v>8574TREVISO BETIM VEICULOS LTDANSE46114</v>
      </c>
      <c r="B2561" s="12" t="str">
        <f t="shared" si="79"/>
        <v>Junho</v>
      </c>
      <c r="C2561" s="8" t="s">
        <v>982</v>
      </c>
      <c r="D2561" s="8" t="s">
        <v>1354</v>
      </c>
      <c r="E2561" s="8" t="s">
        <v>190</v>
      </c>
      <c r="F2561" s="23">
        <v>46114</v>
      </c>
      <c r="G2561" s="8" t="s">
        <v>665</v>
      </c>
      <c r="H2561" s="23">
        <v>46198</v>
      </c>
      <c r="I2561" s="23">
        <v>46120</v>
      </c>
      <c r="J2561" s="10">
        <v>810.12</v>
      </c>
      <c r="K2561" s="10">
        <v>0</v>
      </c>
      <c r="L2561" s="24">
        <v>0</v>
      </c>
      <c r="M2561" s="10">
        <v>810.12</v>
      </c>
    </row>
    <row r="2562" spans="1:13" x14ac:dyDescent="0.25">
      <c r="A2562" s="12" t="str">
        <f t="shared" ref="A2562:A2625" si="80">$C2562&amp;$E2562&amp;$G2562&amp;$F2562</f>
        <v>8597353PLUXEE BENEFICIOS BRASIL S.A.ND46254</v>
      </c>
      <c r="B2562" s="12" t="str">
        <f t="shared" si="79"/>
        <v>Setembro</v>
      </c>
      <c r="C2562" s="8" t="s">
        <v>371</v>
      </c>
      <c r="D2562" s="8" t="s">
        <v>1618</v>
      </c>
      <c r="E2562" s="8" t="s">
        <v>157</v>
      </c>
      <c r="F2562" s="23">
        <v>46254</v>
      </c>
      <c r="G2562" s="8" t="s">
        <v>338</v>
      </c>
      <c r="H2562" s="23">
        <v>46284</v>
      </c>
      <c r="I2562" s="23">
        <v>46255</v>
      </c>
      <c r="J2562" s="10">
        <v>74269</v>
      </c>
      <c r="K2562" s="10">
        <v>0</v>
      </c>
      <c r="L2562" s="24">
        <v>0</v>
      </c>
      <c r="M2562" s="10">
        <v>74269</v>
      </c>
    </row>
    <row r="2563" spans="1:13" x14ac:dyDescent="0.25">
      <c r="A2563" s="12" t="str">
        <f t="shared" si="80"/>
        <v>8597353/87PLUXEE BENEFICIOS BRASIL S.A.NSE46254</v>
      </c>
      <c r="B2563" s="12" t="str">
        <f t="shared" ref="B2563:B2626" si="81">PROPER(TEXT($H2563,"MMMM"))</f>
        <v>Setembro</v>
      </c>
      <c r="C2563" s="8" t="s">
        <v>3026</v>
      </c>
      <c r="D2563" s="8" t="s">
        <v>664</v>
      </c>
      <c r="E2563" s="8" t="s">
        <v>157</v>
      </c>
      <c r="F2563" s="23">
        <v>46254</v>
      </c>
      <c r="G2563" s="8" t="s">
        <v>665</v>
      </c>
      <c r="H2563" s="23">
        <v>46284</v>
      </c>
      <c r="I2563" s="23">
        <v>46255</v>
      </c>
      <c r="J2563" s="10">
        <v>74269</v>
      </c>
      <c r="K2563" s="10">
        <v>0</v>
      </c>
      <c r="L2563" s="24">
        <v>0</v>
      </c>
      <c r="M2563" s="10">
        <v>74269</v>
      </c>
    </row>
    <row r="2564" spans="1:13" x14ac:dyDescent="0.25">
      <c r="A2564" s="12" t="str">
        <f t="shared" si="80"/>
        <v>8597356PLUXEE BENEFICIOS BRASIL S.A.ND46254</v>
      </c>
      <c r="B2564" s="12" t="str">
        <f t="shared" si="81"/>
        <v>Setembro</v>
      </c>
      <c r="C2564" s="8" t="s">
        <v>372</v>
      </c>
      <c r="D2564" s="8" t="s">
        <v>1618</v>
      </c>
      <c r="E2564" s="8" t="s">
        <v>157</v>
      </c>
      <c r="F2564" s="23">
        <v>46254</v>
      </c>
      <c r="G2564" s="8" t="s">
        <v>338</v>
      </c>
      <c r="H2564" s="23">
        <v>46284</v>
      </c>
      <c r="I2564" s="23">
        <v>46255</v>
      </c>
      <c r="J2564" s="10">
        <v>7683</v>
      </c>
      <c r="K2564" s="10">
        <v>0</v>
      </c>
      <c r="L2564" s="24">
        <v>0</v>
      </c>
      <c r="M2564" s="10">
        <v>7683</v>
      </c>
    </row>
    <row r="2565" spans="1:13" x14ac:dyDescent="0.25">
      <c r="A2565" s="12" t="str">
        <f t="shared" si="80"/>
        <v>8597356/87PLUXEE BENEFICIOS BRASIL S.A.NSE46254</v>
      </c>
      <c r="B2565" s="12" t="str">
        <f t="shared" si="81"/>
        <v>Setembro</v>
      </c>
      <c r="C2565" s="8" t="s">
        <v>3027</v>
      </c>
      <c r="D2565" s="8" t="s">
        <v>664</v>
      </c>
      <c r="E2565" s="8" t="s">
        <v>157</v>
      </c>
      <c r="F2565" s="23">
        <v>46254</v>
      </c>
      <c r="G2565" s="8" t="s">
        <v>665</v>
      </c>
      <c r="H2565" s="23">
        <v>46284</v>
      </c>
      <c r="I2565" s="23">
        <v>46255</v>
      </c>
      <c r="J2565" s="10">
        <v>7683</v>
      </c>
      <c r="K2565" s="10">
        <v>0</v>
      </c>
      <c r="L2565" s="24">
        <v>0</v>
      </c>
      <c r="M2565" s="10">
        <v>7683</v>
      </c>
    </row>
    <row r="2566" spans="1:13" x14ac:dyDescent="0.25">
      <c r="A2566" s="12" t="str">
        <f t="shared" si="80"/>
        <v>8597357PLUXEE BENEFICIOS BRASIL S.A.ND46254</v>
      </c>
      <c r="B2566" s="12" t="str">
        <f t="shared" si="81"/>
        <v>Setembro</v>
      </c>
      <c r="C2566" s="8" t="s">
        <v>373</v>
      </c>
      <c r="D2566" s="8" t="s">
        <v>1618</v>
      </c>
      <c r="E2566" s="8" t="s">
        <v>157</v>
      </c>
      <c r="F2566" s="23">
        <v>46254</v>
      </c>
      <c r="G2566" s="8" t="s">
        <v>338</v>
      </c>
      <c r="H2566" s="23">
        <v>46284</v>
      </c>
      <c r="I2566" s="23">
        <v>46255</v>
      </c>
      <c r="J2566" s="10">
        <v>11790</v>
      </c>
      <c r="K2566" s="10">
        <v>0</v>
      </c>
      <c r="L2566" s="24">
        <v>0</v>
      </c>
      <c r="M2566" s="10">
        <v>11790</v>
      </c>
    </row>
    <row r="2567" spans="1:13" x14ac:dyDescent="0.25">
      <c r="A2567" s="12" t="str">
        <f t="shared" si="80"/>
        <v>8597357/87PLUXEE BENEFICIOS BRASIL S.A.NSE46254</v>
      </c>
      <c r="B2567" s="12" t="str">
        <f t="shared" si="81"/>
        <v>Setembro</v>
      </c>
      <c r="C2567" s="8" t="s">
        <v>3028</v>
      </c>
      <c r="D2567" s="8" t="s">
        <v>664</v>
      </c>
      <c r="E2567" s="8" t="s">
        <v>157</v>
      </c>
      <c r="F2567" s="23">
        <v>46254</v>
      </c>
      <c r="G2567" s="8" t="s">
        <v>665</v>
      </c>
      <c r="H2567" s="23">
        <v>46284</v>
      </c>
      <c r="I2567" s="23">
        <v>46255</v>
      </c>
      <c r="J2567" s="10">
        <v>11790</v>
      </c>
      <c r="K2567" s="10">
        <v>0</v>
      </c>
      <c r="L2567" s="24">
        <v>0</v>
      </c>
      <c r="M2567" s="10">
        <v>11790</v>
      </c>
    </row>
    <row r="2568" spans="1:13" x14ac:dyDescent="0.25">
      <c r="A2568" s="12" t="str">
        <f t="shared" si="80"/>
        <v>86HIGOR RODNEY CIMINI DA COSTANSE45999</v>
      </c>
      <c r="B2568" s="12" t="str">
        <f t="shared" si="81"/>
        <v>Janeiro</v>
      </c>
      <c r="C2568" s="8" t="s">
        <v>1414</v>
      </c>
      <c r="D2568" s="8" t="s">
        <v>1354</v>
      </c>
      <c r="E2568" s="8" t="s">
        <v>85</v>
      </c>
      <c r="F2568" s="23">
        <v>45999</v>
      </c>
      <c r="G2568" s="8" t="s">
        <v>665</v>
      </c>
      <c r="H2568" s="23">
        <v>46028</v>
      </c>
      <c r="I2568" s="23">
        <v>45999</v>
      </c>
      <c r="J2568" s="10">
        <v>9570</v>
      </c>
      <c r="K2568" s="10">
        <v>0</v>
      </c>
      <c r="L2568" s="24">
        <v>0</v>
      </c>
      <c r="M2568" s="10">
        <v>9570</v>
      </c>
    </row>
    <row r="2569" spans="1:13" x14ac:dyDescent="0.25">
      <c r="A2569" s="12" t="str">
        <f t="shared" si="80"/>
        <v>8606095PLUXEE BENEFICIOS BRASIL S.A.ND46256</v>
      </c>
      <c r="B2569" s="12" t="str">
        <f t="shared" si="81"/>
        <v>Agosto</v>
      </c>
      <c r="C2569" s="8" t="s">
        <v>374</v>
      </c>
      <c r="D2569" s="8" t="s">
        <v>664</v>
      </c>
      <c r="E2569" s="8" t="s">
        <v>157</v>
      </c>
      <c r="F2569" s="23">
        <v>46256</v>
      </c>
      <c r="G2569" s="8" t="s">
        <v>338</v>
      </c>
      <c r="H2569" s="23">
        <v>46261</v>
      </c>
      <c r="I2569" s="23">
        <v>46260</v>
      </c>
      <c r="J2569" s="10">
        <v>1344</v>
      </c>
      <c r="K2569" s="10">
        <v>0</v>
      </c>
      <c r="L2569" s="24">
        <v>0</v>
      </c>
      <c r="M2569" s="10">
        <v>1344</v>
      </c>
    </row>
    <row r="2570" spans="1:13" x14ac:dyDescent="0.25">
      <c r="A2570" s="12" t="str">
        <f t="shared" si="80"/>
        <v>8606095/87PLUXEE BENEFICIOS BRASIL S.A.NSE46256</v>
      </c>
      <c r="B2570" s="12" t="str">
        <f t="shared" si="81"/>
        <v>Setembro</v>
      </c>
      <c r="C2570" s="8" t="s">
        <v>3029</v>
      </c>
      <c r="D2570" s="8" t="s">
        <v>664</v>
      </c>
      <c r="E2570" s="8" t="s">
        <v>157</v>
      </c>
      <c r="F2570" s="23">
        <v>46256</v>
      </c>
      <c r="G2570" s="8" t="s">
        <v>665</v>
      </c>
      <c r="H2570" s="23">
        <v>46286</v>
      </c>
      <c r="I2570" s="23">
        <v>46260</v>
      </c>
      <c r="J2570" s="10">
        <v>1344</v>
      </c>
      <c r="K2570" s="10">
        <v>0</v>
      </c>
      <c r="L2570" s="24">
        <v>0</v>
      </c>
      <c r="M2570" s="10">
        <v>1344</v>
      </c>
    </row>
    <row r="2571" spans="1:13" x14ac:dyDescent="0.25">
      <c r="A2571" s="12" t="str">
        <f t="shared" si="80"/>
        <v>86087539HAPVIDA ASSISTENCIA MEDICA LTDANSE46127</v>
      </c>
      <c r="B2571" s="12" t="str">
        <f t="shared" si="81"/>
        <v>Maio</v>
      </c>
      <c r="C2571" s="8" t="s">
        <v>983</v>
      </c>
      <c r="D2571" s="8" t="s">
        <v>664</v>
      </c>
      <c r="E2571" s="8" t="s">
        <v>83</v>
      </c>
      <c r="F2571" s="23">
        <v>46127</v>
      </c>
      <c r="G2571" s="8" t="s">
        <v>665</v>
      </c>
      <c r="H2571" s="23">
        <v>46147</v>
      </c>
      <c r="I2571" s="23">
        <v>46140</v>
      </c>
      <c r="J2571" s="10">
        <v>1903.74</v>
      </c>
      <c r="K2571" s="10">
        <v>0</v>
      </c>
      <c r="L2571" s="24">
        <v>0</v>
      </c>
      <c r="M2571" s="10">
        <v>1903.74</v>
      </c>
    </row>
    <row r="2572" spans="1:13" x14ac:dyDescent="0.25">
      <c r="A2572" s="12" t="str">
        <f t="shared" si="80"/>
        <v>86107838HAPVIDA ASSISTENCIA MEDICA LTDANSE46131</v>
      </c>
      <c r="B2572" s="12" t="str">
        <f t="shared" si="81"/>
        <v>Maio</v>
      </c>
      <c r="C2572" s="8" t="s">
        <v>984</v>
      </c>
      <c r="D2572" s="8" t="s">
        <v>664</v>
      </c>
      <c r="E2572" s="8" t="s">
        <v>83</v>
      </c>
      <c r="F2572" s="23">
        <v>46131</v>
      </c>
      <c r="G2572" s="8" t="s">
        <v>665</v>
      </c>
      <c r="H2572" s="23">
        <v>46152</v>
      </c>
      <c r="I2572" s="23">
        <v>46149</v>
      </c>
      <c r="J2572" s="10">
        <v>3431.21</v>
      </c>
      <c r="K2572" s="10">
        <v>0</v>
      </c>
      <c r="L2572" s="24">
        <v>0</v>
      </c>
      <c r="M2572" s="10">
        <v>3431.21</v>
      </c>
    </row>
    <row r="2573" spans="1:13" x14ac:dyDescent="0.25">
      <c r="A2573" s="12" t="str">
        <f t="shared" si="80"/>
        <v>86172901HAPVIDA ASSISTENCIA MEDICA LTDANSE46137</v>
      </c>
      <c r="B2573" s="12" t="str">
        <f t="shared" si="81"/>
        <v>Maio</v>
      </c>
      <c r="C2573" s="8" t="s">
        <v>985</v>
      </c>
      <c r="D2573" s="8" t="s">
        <v>664</v>
      </c>
      <c r="E2573" s="8" t="s">
        <v>83</v>
      </c>
      <c r="F2573" s="23">
        <v>46137</v>
      </c>
      <c r="G2573" s="8" t="s">
        <v>665</v>
      </c>
      <c r="H2573" s="23">
        <v>46152</v>
      </c>
      <c r="I2573" s="23">
        <v>46141</v>
      </c>
      <c r="J2573" s="10">
        <v>24713.78</v>
      </c>
      <c r="K2573" s="10">
        <v>0</v>
      </c>
      <c r="L2573" s="24">
        <v>0</v>
      </c>
      <c r="M2573" s="10">
        <v>24713.78</v>
      </c>
    </row>
    <row r="2574" spans="1:13" x14ac:dyDescent="0.25">
      <c r="A2574" s="12" t="str">
        <f t="shared" si="80"/>
        <v>868AVANSAT TECNOLOGIAS E SERVS EM SEGURANCA LTDANSE46148</v>
      </c>
      <c r="B2574" s="12" t="str">
        <f t="shared" si="81"/>
        <v>Junho</v>
      </c>
      <c r="C2574" s="8" t="s">
        <v>986</v>
      </c>
      <c r="D2574" s="8" t="s">
        <v>1354</v>
      </c>
      <c r="E2574" s="8" t="s">
        <v>24</v>
      </c>
      <c r="F2574" s="23">
        <v>46148</v>
      </c>
      <c r="G2574" s="8" t="s">
        <v>665</v>
      </c>
      <c r="H2574" s="23">
        <v>46179</v>
      </c>
      <c r="I2574" s="23">
        <v>46153</v>
      </c>
      <c r="J2574" s="10">
        <v>11929.32</v>
      </c>
      <c r="K2574" s="10">
        <v>0</v>
      </c>
      <c r="L2574" s="24">
        <v>0</v>
      </c>
      <c r="M2574" s="10">
        <v>11929.32</v>
      </c>
    </row>
    <row r="2575" spans="1:13" x14ac:dyDescent="0.25">
      <c r="A2575" s="12" t="str">
        <f t="shared" si="80"/>
        <v>869AVANSAT TECNOLOGIAS E SERVS EM SEGURANCA LTDANSE46148</v>
      </c>
      <c r="B2575" s="12" t="str">
        <f t="shared" si="81"/>
        <v>Junho</v>
      </c>
      <c r="C2575" s="8" t="s">
        <v>987</v>
      </c>
      <c r="D2575" s="8" t="s">
        <v>1354</v>
      </c>
      <c r="E2575" s="8" t="s">
        <v>24</v>
      </c>
      <c r="F2575" s="23">
        <v>46148</v>
      </c>
      <c r="G2575" s="8" t="s">
        <v>665</v>
      </c>
      <c r="H2575" s="23">
        <v>46179</v>
      </c>
      <c r="I2575" s="23">
        <v>46153</v>
      </c>
      <c r="J2575" s="10">
        <v>6365.25</v>
      </c>
      <c r="K2575" s="10">
        <v>0</v>
      </c>
      <c r="L2575" s="24">
        <v>0</v>
      </c>
      <c r="M2575" s="10">
        <v>5973.79</v>
      </c>
    </row>
    <row r="2576" spans="1:13" x14ac:dyDescent="0.25">
      <c r="A2576" s="12" t="str">
        <f t="shared" si="80"/>
        <v>869-1708-87MINISTERIO DA FAZENDAim46163,3291666667</v>
      </c>
      <c r="B2576" s="12" t="str">
        <f t="shared" si="81"/>
        <v>Junho</v>
      </c>
      <c r="C2576" s="8" t="s">
        <v>2591</v>
      </c>
      <c r="D2576" s="8" t="s">
        <v>664</v>
      </c>
      <c r="E2576" s="8" t="s">
        <v>1503</v>
      </c>
      <c r="F2576" s="23">
        <v>46163.32916666667</v>
      </c>
      <c r="G2576" s="8" t="s">
        <v>1248</v>
      </c>
      <c r="H2576" s="23">
        <v>46193</v>
      </c>
      <c r="I2576" s="23">
        <v>46163.32916666667</v>
      </c>
      <c r="J2576" s="10">
        <v>95.48</v>
      </c>
      <c r="K2576" s="10">
        <v>0</v>
      </c>
      <c r="L2576" s="24">
        <v>0</v>
      </c>
      <c r="M2576" s="10">
        <v>95.48</v>
      </c>
    </row>
    <row r="2577" spans="1:13" x14ac:dyDescent="0.25">
      <c r="A2577" s="12" t="str">
        <f t="shared" si="80"/>
        <v>869-5952-87MINISTERIO DA FAZENDAIM46163,33125</v>
      </c>
      <c r="B2577" s="12" t="str">
        <f t="shared" si="81"/>
        <v>Junho</v>
      </c>
      <c r="C2577" s="8" t="s">
        <v>2592</v>
      </c>
      <c r="D2577" s="8" t="s">
        <v>664</v>
      </c>
      <c r="E2577" s="8" t="s">
        <v>1503</v>
      </c>
      <c r="F2577" s="23">
        <v>46163.331250000003</v>
      </c>
      <c r="G2577" s="8" t="s">
        <v>1142</v>
      </c>
      <c r="H2577" s="23">
        <v>46193</v>
      </c>
      <c r="I2577" s="23">
        <v>46163.331250000003</v>
      </c>
      <c r="J2577" s="10">
        <v>295.98</v>
      </c>
      <c r="K2577" s="10">
        <v>0</v>
      </c>
      <c r="L2577" s="24">
        <v>0</v>
      </c>
      <c r="M2577" s="10">
        <v>295.98</v>
      </c>
    </row>
    <row r="2578" spans="1:13" x14ac:dyDescent="0.25">
      <c r="A2578" s="12" t="str">
        <f t="shared" si="80"/>
        <v>87FABIO ALVES PRATESNSE46188</v>
      </c>
      <c r="B2578" s="12" t="str">
        <f t="shared" si="81"/>
        <v>Julho</v>
      </c>
      <c r="C2578" s="8" t="s">
        <v>988</v>
      </c>
      <c r="D2578" s="8" t="s">
        <v>1354</v>
      </c>
      <c r="E2578" s="8" t="s">
        <v>67</v>
      </c>
      <c r="F2578" s="23">
        <v>46188</v>
      </c>
      <c r="G2578" s="8" t="s">
        <v>665</v>
      </c>
      <c r="H2578" s="23">
        <v>46209</v>
      </c>
      <c r="I2578" s="23">
        <v>46189</v>
      </c>
      <c r="J2578" s="10">
        <v>2700</v>
      </c>
      <c r="K2578" s="10">
        <v>0</v>
      </c>
      <c r="L2578" s="24">
        <v>0</v>
      </c>
      <c r="M2578" s="10">
        <v>2700</v>
      </c>
    </row>
    <row r="2579" spans="1:13" x14ac:dyDescent="0.25">
      <c r="A2579" s="12" t="str">
        <f t="shared" si="80"/>
        <v>87173814HAPVIDA ASSISTENCIA MEDICA LTDANSE46156</v>
      </c>
      <c r="B2579" s="12" t="str">
        <f t="shared" si="81"/>
        <v>Junho</v>
      </c>
      <c r="C2579" s="8" t="s">
        <v>989</v>
      </c>
      <c r="D2579" s="8" t="s">
        <v>664</v>
      </c>
      <c r="E2579" s="8" t="s">
        <v>83</v>
      </c>
      <c r="F2579" s="23">
        <v>46156</v>
      </c>
      <c r="G2579" s="8" t="s">
        <v>665</v>
      </c>
      <c r="H2579" s="23">
        <v>46190</v>
      </c>
      <c r="I2579" s="23">
        <v>46168</v>
      </c>
      <c r="J2579" s="10">
        <v>1399.84</v>
      </c>
      <c r="K2579" s="10">
        <v>0</v>
      </c>
      <c r="L2579" s="24">
        <v>0</v>
      </c>
      <c r="M2579" s="10">
        <v>1399.84</v>
      </c>
    </row>
    <row r="2580" spans="1:13" x14ac:dyDescent="0.25">
      <c r="A2580" s="12" t="str">
        <f t="shared" si="80"/>
        <v>87192905HAPVIDA ASSISTENCIA MEDICA LTDANSE46161</v>
      </c>
      <c r="B2580" s="12" t="str">
        <f t="shared" si="81"/>
        <v>Junho</v>
      </c>
      <c r="C2580" s="8" t="s">
        <v>990</v>
      </c>
      <c r="D2580" s="8" t="s">
        <v>664</v>
      </c>
      <c r="E2580" s="8" t="s">
        <v>83</v>
      </c>
      <c r="F2580" s="23">
        <v>46161</v>
      </c>
      <c r="G2580" s="8" t="s">
        <v>665</v>
      </c>
      <c r="H2580" s="23">
        <v>46183</v>
      </c>
      <c r="I2580" s="23">
        <v>46175</v>
      </c>
      <c r="J2580" s="10">
        <v>2504.81</v>
      </c>
      <c r="K2580" s="10">
        <v>0</v>
      </c>
      <c r="L2580" s="24">
        <v>0</v>
      </c>
      <c r="M2580" s="10">
        <v>2504.81</v>
      </c>
    </row>
    <row r="2581" spans="1:13" x14ac:dyDescent="0.25">
      <c r="A2581" s="12" t="str">
        <f t="shared" si="80"/>
        <v>87211902HAPVIDA ASSISTENCIA MEDICA LTDANSE46163</v>
      </c>
      <c r="B2581" s="12" t="str">
        <f t="shared" si="81"/>
        <v>Junho</v>
      </c>
      <c r="C2581" s="8" t="s">
        <v>991</v>
      </c>
      <c r="D2581" s="8" t="s">
        <v>664</v>
      </c>
      <c r="E2581" s="8" t="s">
        <v>83</v>
      </c>
      <c r="F2581" s="23">
        <v>46163</v>
      </c>
      <c r="G2581" s="8" t="s">
        <v>665</v>
      </c>
      <c r="H2581" s="23">
        <v>46183</v>
      </c>
      <c r="I2581" s="23">
        <v>46175</v>
      </c>
      <c r="J2581" s="10">
        <v>25381.72</v>
      </c>
      <c r="K2581" s="10">
        <v>0</v>
      </c>
      <c r="L2581" s="24">
        <v>0</v>
      </c>
      <c r="M2581" s="10">
        <v>25381.72</v>
      </c>
    </row>
    <row r="2582" spans="1:13" x14ac:dyDescent="0.25">
      <c r="A2582" s="12" t="str">
        <f t="shared" si="80"/>
        <v>876RG PNEUS LTDANFE45957</v>
      </c>
      <c r="B2582" s="12" t="str">
        <f t="shared" si="81"/>
        <v>Janeiro</v>
      </c>
      <c r="C2582" s="8" t="s">
        <v>1592</v>
      </c>
      <c r="D2582" s="8" t="s">
        <v>1593</v>
      </c>
      <c r="E2582" s="8" t="s">
        <v>167</v>
      </c>
      <c r="F2582" s="23">
        <v>45957</v>
      </c>
      <c r="G2582" s="8" t="s">
        <v>380</v>
      </c>
      <c r="H2582" s="23">
        <v>46041</v>
      </c>
      <c r="I2582" s="23">
        <v>45965</v>
      </c>
      <c r="J2582" s="10">
        <v>1652</v>
      </c>
      <c r="K2582" s="10">
        <v>0</v>
      </c>
      <c r="L2582" s="24">
        <v>0</v>
      </c>
      <c r="M2582" s="10">
        <v>1652</v>
      </c>
    </row>
    <row r="2583" spans="1:13" x14ac:dyDescent="0.25">
      <c r="A2583" s="12" t="str">
        <f t="shared" si="80"/>
        <v>881973SASCAR TECNOLOGIA E SEGURANÇA AUTOMOTICA S/ANSE46149</v>
      </c>
      <c r="B2583" s="12" t="str">
        <f t="shared" si="81"/>
        <v>Junho</v>
      </c>
      <c r="C2583" s="8" t="s">
        <v>993</v>
      </c>
      <c r="D2583" s="8" t="s">
        <v>1354</v>
      </c>
      <c r="E2583" s="8" t="s">
        <v>179</v>
      </c>
      <c r="F2583" s="23">
        <v>46149</v>
      </c>
      <c r="G2583" s="8" t="s">
        <v>665</v>
      </c>
      <c r="H2583" s="23">
        <v>46181</v>
      </c>
      <c r="I2583" s="23">
        <v>46156</v>
      </c>
      <c r="J2583" s="10">
        <v>357.45</v>
      </c>
      <c r="K2583" s="10">
        <v>0</v>
      </c>
      <c r="L2583" s="24">
        <v>0</v>
      </c>
      <c r="M2583" s="10">
        <v>357.45</v>
      </c>
    </row>
    <row r="2584" spans="1:13" x14ac:dyDescent="0.25">
      <c r="A2584" s="12" t="str">
        <f t="shared" si="80"/>
        <v>88272330HAPVIDA ASSISTENCIA MEDICA LTDANSE46189</v>
      </c>
      <c r="B2584" s="12" t="str">
        <f t="shared" si="81"/>
        <v>Julho</v>
      </c>
      <c r="C2584" s="8" t="s">
        <v>994</v>
      </c>
      <c r="D2584" s="8" t="s">
        <v>664</v>
      </c>
      <c r="E2584" s="8" t="s">
        <v>83</v>
      </c>
      <c r="F2584" s="23">
        <v>46189</v>
      </c>
      <c r="G2584" s="8" t="s">
        <v>665</v>
      </c>
      <c r="H2584" s="23">
        <v>46208</v>
      </c>
      <c r="I2584" s="23">
        <v>46204</v>
      </c>
      <c r="J2584" s="10">
        <v>1426.76</v>
      </c>
      <c r="K2584" s="10">
        <v>0</v>
      </c>
      <c r="L2584" s="24">
        <v>0</v>
      </c>
      <c r="M2584" s="10">
        <v>1426.76</v>
      </c>
    </row>
    <row r="2585" spans="1:13" x14ac:dyDescent="0.25">
      <c r="A2585" s="12" t="str">
        <f t="shared" si="80"/>
        <v>88284830HAPVIDA ASSISTENCIA MEDICA LTDANSE46192</v>
      </c>
      <c r="B2585" s="12" t="str">
        <f t="shared" si="81"/>
        <v>Julho</v>
      </c>
      <c r="C2585" s="8" t="s">
        <v>995</v>
      </c>
      <c r="D2585" s="8" t="s">
        <v>664</v>
      </c>
      <c r="E2585" s="8" t="s">
        <v>83</v>
      </c>
      <c r="F2585" s="23">
        <v>46192</v>
      </c>
      <c r="G2585" s="8" t="s">
        <v>665</v>
      </c>
      <c r="H2585" s="23">
        <v>46213</v>
      </c>
      <c r="I2585" s="23">
        <v>46209</v>
      </c>
      <c r="J2585" s="10">
        <v>3614.87</v>
      </c>
      <c r="K2585" s="10">
        <v>0</v>
      </c>
      <c r="L2585" s="24">
        <v>0</v>
      </c>
      <c r="M2585" s="10">
        <v>3614.87</v>
      </c>
    </row>
    <row r="2586" spans="1:13" x14ac:dyDescent="0.25">
      <c r="A2586" s="12" t="str">
        <f t="shared" si="80"/>
        <v>88300901HAPVIDA ASSISTENCIA MEDICA LTDANSE46194</v>
      </c>
      <c r="B2586" s="12" t="str">
        <f t="shared" si="81"/>
        <v>Julho</v>
      </c>
      <c r="C2586" s="8" t="s">
        <v>996</v>
      </c>
      <c r="D2586" s="8" t="s">
        <v>664</v>
      </c>
      <c r="E2586" s="8" t="s">
        <v>83</v>
      </c>
      <c r="F2586" s="23">
        <v>46194</v>
      </c>
      <c r="G2586" s="8" t="s">
        <v>665</v>
      </c>
      <c r="H2586" s="23">
        <v>46213</v>
      </c>
      <c r="I2586" s="23">
        <v>46209</v>
      </c>
      <c r="J2586" s="10">
        <v>29614.2</v>
      </c>
      <c r="K2586" s="10">
        <v>0</v>
      </c>
      <c r="L2586" s="24">
        <v>0</v>
      </c>
      <c r="M2586" s="10">
        <v>29614.2</v>
      </c>
    </row>
    <row r="2587" spans="1:13" x14ac:dyDescent="0.25">
      <c r="A2587" s="12" t="str">
        <f t="shared" si="80"/>
        <v>8835261PLUXEE BENEFICIOS BRASIL S.A.ND46286</v>
      </c>
      <c r="B2587" s="12" t="str">
        <f t="shared" si="81"/>
        <v>Outubro</v>
      </c>
      <c r="C2587" s="8" t="s">
        <v>375</v>
      </c>
      <c r="D2587" s="8" t="s">
        <v>1618</v>
      </c>
      <c r="E2587" s="8" t="s">
        <v>157</v>
      </c>
      <c r="F2587" s="23">
        <v>46286</v>
      </c>
      <c r="G2587" s="8" t="s">
        <v>338</v>
      </c>
      <c r="H2587" s="23">
        <v>46316</v>
      </c>
      <c r="I2587" s="23">
        <v>46287</v>
      </c>
      <c r="J2587" s="10">
        <v>1344</v>
      </c>
      <c r="K2587" s="10">
        <v>0</v>
      </c>
      <c r="L2587" s="24">
        <v>0</v>
      </c>
      <c r="M2587" s="10">
        <v>1344</v>
      </c>
    </row>
    <row r="2588" spans="1:13" x14ac:dyDescent="0.25">
      <c r="A2588" s="12" t="str">
        <f t="shared" si="80"/>
        <v>8835261/87PLUXEE BENEFICIOS BRASIL S.A.NSE46286</v>
      </c>
      <c r="B2588" s="12" t="str">
        <f t="shared" si="81"/>
        <v>Outubro</v>
      </c>
      <c r="C2588" s="8" t="s">
        <v>3176</v>
      </c>
      <c r="D2588" s="8" t="s">
        <v>664</v>
      </c>
      <c r="E2588" s="8" t="s">
        <v>157</v>
      </c>
      <c r="F2588" s="23">
        <v>46286</v>
      </c>
      <c r="G2588" s="8" t="s">
        <v>665</v>
      </c>
      <c r="H2588" s="23">
        <v>46316</v>
      </c>
      <c r="I2588" s="23">
        <v>46287</v>
      </c>
      <c r="J2588" s="10">
        <v>1344</v>
      </c>
      <c r="K2588" s="10">
        <v>0</v>
      </c>
      <c r="L2588" s="24">
        <v>0</v>
      </c>
      <c r="M2588" s="10">
        <v>1344</v>
      </c>
    </row>
    <row r="2589" spans="1:13" x14ac:dyDescent="0.25">
      <c r="A2589" s="12" t="str">
        <f t="shared" si="80"/>
        <v>8865932PLUXEE BENEFICIOS BRASIL S.A.ND46290</v>
      </c>
      <c r="B2589" s="12" t="str">
        <f t="shared" si="81"/>
        <v>Outubro</v>
      </c>
      <c r="C2589" s="8" t="s">
        <v>376</v>
      </c>
      <c r="D2589" s="8" t="s">
        <v>1618</v>
      </c>
      <c r="E2589" s="8" t="s">
        <v>157</v>
      </c>
      <c r="F2589" s="23">
        <v>46290</v>
      </c>
      <c r="G2589" s="8" t="s">
        <v>338</v>
      </c>
      <c r="H2589" s="23">
        <v>46320</v>
      </c>
      <c r="I2589" s="23">
        <v>46290</v>
      </c>
      <c r="J2589" s="10">
        <v>11430</v>
      </c>
      <c r="K2589" s="10">
        <v>0</v>
      </c>
      <c r="L2589" s="24">
        <v>0</v>
      </c>
      <c r="M2589" s="10">
        <v>11430</v>
      </c>
    </row>
    <row r="2590" spans="1:13" x14ac:dyDescent="0.25">
      <c r="A2590" s="12" t="str">
        <f t="shared" si="80"/>
        <v>8865932/87PLUXEE BENEFICIOS BRASIL S.A.NSE46290</v>
      </c>
      <c r="B2590" s="12" t="str">
        <f t="shared" si="81"/>
        <v>Outubro</v>
      </c>
      <c r="C2590" s="8" t="s">
        <v>3177</v>
      </c>
      <c r="D2590" s="8" t="s">
        <v>664</v>
      </c>
      <c r="E2590" s="8" t="s">
        <v>157</v>
      </c>
      <c r="F2590" s="23">
        <v>46290</v>
      </c>
      <c r="G2590" s="8" t="s">
        <v>665</v>
      </c>
      <c r="H2590" s="23">
        <v>46320</v>
      </c>
      <c r="I2590" s="23">
        <v>46290</v>
      </c>
      <c r="J2590" s="10">
        <v>11430</v>
      </c>
      <c r="K2590" s="10">
        <v>0</v>
      </c>
      <c r="L2590" s="24">
        <v>0</v>
      </c>
      <c r="M2590" s="10">
        <v>11430</v>
      </c>
    </row>
    <row r="2591" spans="1:13" x14ac:dyDescent="0.25">
      <c r="A2591" s="12" t="str">
        <f t="shared" si="80"/>
        <v>8865938PLUXEE BENEFICIOS BRASIL S.A.ND46290</v>
      </c>
      <c r="B2591" s="12" t="str">
        <f t="shared" si="81"/>
        <v>Outubro</v>
      </c>
      <c r="C2591" s="8" t="s">
        <v>377</v>
      </c>
      <c r="D2591" s="8" t="s">
        <v>1618</v>
      </c>
      <c r="E2591" s="8" t="s">
        <v>157</v>
      </c>
      <c r="F2591" s="23">
        <v>46290</v>
      </c>
      <c r="G2591" s="8" t="s">
        <v>338</v>
      </c>
      <c r="H2591" s="23">
        <v>46320</v>
      </c>
      <c r="I2591" s="23">
        <v>46290</v>
      </c>
      <c r="J2591" s="10">
        <v>7818</v>
      </c>
      <c r="K2591" s="10">
        <v>0</v>
      </c>
      <c r="L2591" s="24">
        <v>0</v>
      </c>
      <c r="M2591" s="10">
        <v>7818</v>
      </c>
    </row>
    <row r="2592" spans="1:13" x14ac:dyDescent="0.25">
      <c r="A2592" s="12" t="str">
        <f t="shared" si="80"/>
        <v>8865938/87PLUXEE BENEFICIOS BRASIL S.A.NSE46290</v>
      </c>
      <c r="B2592" s="12" t="str">
        <f t="shared" si="81"/>
        <v>Outubro</v>
      </c>
      <c r="C2592" s="8" t="s">
        <v>3178</v>
      </c>
      <c r="D2592" s="8" t="s">
        <v>664</v>
      </c>
      <c r="E2592" s="8" t="s">
        <v>157</v>
      </c>
      <c r="F2592" s="23">
        <v>46290</v>
      </c>
      <c r="G2592" s="8" t="s">
        <v>665</v>
      </c>
      <c r="H2592" s="23">
        <v>46320</v>
      </c>
      <c r="I2592" s="23">
        <v>46290</v>
      </c>
      <c r="J2592" s="10">
        <v>7818</v>
      </c>
      <c r="K2592" s="10">
        <v>0</v>
      </c>
      <c r="L2592" s="24">
        <v>0</v>
      </c>
      <c r="M2592" s="10">
        <v>7818</v>
      </c>
    </row>
    <row r="2593" spans="1:13" x14ac:dyDescent="0.25">
      <c r="A2593" s="12" t="str">
        <f t="shared" si="80"/>
        <v>8865941PLUXEE BENEFICIOS BRASIL S.A.ND46290</v>
      </c>
      <c r="B2593" s="12" t="str">
        <f t="shared" si="81"/>
        <v>Outubro</v>
      </c>
      <c r="C2593" s="8" t="s">
        <v>378</v>
      </c>
      <c r="D2593" s="8" t="s">
        <v>1618</v>
      </c>
      <c r="E2593" s="8" t="s">
        <v>157</v>
      </c>
      <c r="F2593" s="23">
        <v>46290</v>
      </c>
      <c r="G2593" s="8" t="s">
        <v>338</v>
      </c>
      <c r="H2593" s="23">
        <v>46320</v>
      </c>
      <c r="I2593" s="23">
        <v>46290</v>
      </c>
      <c r="J2593" s="10">
        <v>75574</v>
      </c>
      <c r="K2593" s="10">
        <v>0</v>
      </c>
      <c r="L2593" s="24">
        <v>0</v>
      </c>
      <c r="M2593" s="10">
        <v>75574</v>
      </c>
    </row>
    <row r="2594" spans="1:13" x14ac:dyDescent="0.25">
      <c r="A2594" s="12" t="str">
        <f t="shared" si="80"/>
        <v>8865941/87PLUXEE BENEFICIOS BRASIL S.A.NSE46290</v>
      </c>
      <c r="B2594" s="12" t="str">
        <f t="shared" si="81"/>
        <v>Outubro</v>
      </c>
      <c r="C2594" s="8" t="s">
        <v>3179</v>
      </c>
      <c r="D2594" s="8" t="s">
        <v>664</v>
      </c>
      <c r="E2594" s="8" t="s">
        <v>157</v>
      </c>
      <c r="F2594" s="23">
        <v>46290</v>
      </c>
      <c r="G2594" s="8" t="s">
        <v>665</v>
      </c>
      <c r="H2594" s="23">
        <v>46320</v>
      </c>
      <c r="I2594" s="23">
        <v>46290</v>
      </c>
      <c r="J2594" s="10">
        <v>75574</v>
      </c>
      <c r="K2594" s="10">
        <v>0</v>
      </c>
      <c r="L2594" s="24">
        <v>0</v>
      </c>
      <c r="M2594" s="10">
        <v>75574</v>
      </c>
    </row>
    <row r="2595" spans="1:13" x14ac:dyDescent="0.25">
      <c r="A2595" s="12" t="str">
        <f t="shared" si="80"/>
        <v>8870RG PNEUS LTDANFE45957</v>
      </c>
      <c r="B2595" s="12" t="str">
        <f t="shared" si="81"/>
        <v>Janeiro</v>
      </c>
      <c r="C2595" s="8" t="s">
        <v>1594</v>
      </c>
      <c r="D2595" s="8" t="s">
        <v>1595</v>
      </c>
      <c r="E2595" s="8" t="s">
        <v>167</v>
      </c>
      <c r="F2595" s="23">
        <v>45957</v>
      </c>
      <c r="G2595" s="8" t="s">
        <v>380</v>
      </c>
      <c r="H2595" s="23">
        <v>46041</v>
      </c>
      <c r="I2595" s="23">
        <v>45965</v>
      </c>
      <c r="J2595" s="10">
        <v>826</v>
      </c>
      <c r="K2595" s="10">
        <v>0</v>
      </c>
      <c r="L2595" s="24">
        <v>0</v>
      </c>
      <c r="M2595" s="10">
        <v>826</v>
      </c>
    </row>
    <row r="2596" spans="1:13" x14ac:dyDescent="0.25">
      <c r="A2596" s="12" t="str">
        <f t="shared" si="80"/>
        <v>89MGS PRINTERNSE46136</v>
      </c>
      <c r="B2596" s="12" t="str">
        <f t="shared" si="81"/>
        <v>Junho</v>
      </c>
      <c r="C2596" s="8" t="s">
        <v>997</v>
      </c>
      <c r="D2596" s="8" t="s">
        <v>664</v>
      </c>
      <c r="E2596" s="8" t="s">
        <v>128</v>
      </c>
      <c r="F2596" s="23">
        <v>46136</v>
      </c>
      <c r="G2596" s="8" t="s">
        <v>665</v>
      </c>
      <c r="H2596" s="23">
        <v>46181</v>
      </c>
      <c r="I2596" s="23">
        <v>46157</v>
      </c>
      <c r="J2596" s="10">
        <v>375.6</v>
      </c>
      <c r="K2596" s="10">
        <v>0</v>
      </c>
      <c r="L2596" s="24">
        <v>0</v>
      </c>
      <c r="M2596" s="10">
        <v>375.6</v>
      </c>
    </row>
    <row r="2597" spans="1:13" x14ac:dyDescent="0.25">
      <c r="A2597" s="12" t="str">
        <f t="shared" si="80"/>
        <v>89409579HAPVIDA ASSISTENCIA MEDICA LTDANSE46219</v>
      </c>
      <c r="B2597" s="12" t="str">
        <f t="shared" si="81"/>
        <v>Agosto</v>
      </c>
      <c r="C2597" s="8" t="s">
        <v>998</v>
      </c>
      <c r="D2597" s="8" t="s">
        <v>664</v>
      </c>
      <c r="E2597" s="8" t="s">
        <v>83</v>
      </c>
      <c r="F2597" s="23">
        <v>46219</v>
      </c>
      <c r="G2597" s="8" t="s">
        <v>665</v>
      </c>
      <c r="H2597" s="23">
        <v>46239</v>
      </c>
      <c r="I2597" s="23">
        <v>46230</v>
      </c>
      <c r="J2597" s="10">
        <v>1467.14</v>
      </c>
      <c r="K2597" s="10">
        <v>0</v>
      </c>
      <c r="L2597" s="24">
        <v>0</v>
      </c>
      <c r="M2597" s="10">
        <v>1467.14</v>
      </c>
    </row>
    <row r="2598" spans="1:13" x14ac:dyDescent="0.25">
      <c r="A2598" s="12" t="str">
        <f t="shared" si="80"/>
        <v>89419128HAPVIDA ASSISTENCIA MEDICA LTDANSE46222</v>
      </c>
      <c r="B2598" s="12" t="str">
        <f t="shared" si="81"/>
        <v>Agosto</v>
      </c>
      <c r="C2598" s="8" t="s">
        <v>999</v>
      </c>
      <c r="D2598" s="8" t="s">
        <v>664</v>
      </c>
      <c r="E2598" s="8" t="s">
        <v>83</v>
      </c>
      <c r="F2598" s="23">
        <v>46222</v>
      </c>
      <c r="G2598" s="8" t="s">
        <v>665</v>
      </c>
      <c r="H2598" s="23">
        <v>46244</v>
      </c>
      <c r="I2598" s="23">
        <v>46231</v>
      </c>
      <c r="J2598" s="10">
        <v>3725.15</v>
      </c>
      <c r="K2598" s="10">
        <v>0</v>
      </c>
      <c r="L2598" s="24">
        <v>0</v>
      </c>
      <c r="M2598" s="10">
        <v>3725.15</v>
      </c>
    </row>
    <row r="2599" spans="1:13" x14ac:dyDescent="0.25">
      <c r="A2599" s="12" t="str">
        <f t="shared" si="80"/>
        <v>89433813HAPVIDA ASSISTENCIA MEDICA LTDANSE46224</v>
      </c>
      <c r="B2599" s="12" t="str">
        <f t="shared" si="81"/>
        <v>Agosto</v>
      </c>
      <c r="C2599" s="8" t="s">
        <v>1000</v>
      </c>
      <c r="D2599" s="8" t="s">
        <v>664</v>
      </c>
      <c r="E2599" s="8" t="s">
        <v>83</v>
      </c>
      <c r="F2599" s="23">
        <v>46224</v>
      </c>
      <c r="G2599" s="8" t="s">
        <v>665</v>
      </c>
      <c r="H2599" s="23">
        <v>46244</v>
      </c>
      <c r="I2599" s="23">
        <v>46233</v>
      </c>
      <c r="J2599" s="10">
        <v>35049.08</v>
      </c>
      <c r="K2599" s="10">
        <v>0</v>
      </c>
      <c r="L2599" s="24">
        <v>0</v>
      </c>
      <c r="M2599" s="10">
        <v>35049.08</v>
      </c>
    </row>
    <row r="2600" spans="1:13" x14ac:dyDescent="0.25">
      <c r="A2600" s="12" t="str">
        <f t="shared" si="80"/>
        <v>897ROCHA POMBO ANDRADE E CAPETTI ADVOGADOS (FERNANDO CARNEIRO)NSE46058</v>
      </c>
      <c r="B2600" s="12" t="str">
        <f t="shared" si="81"/>
        <v>Março</v>
      </c>
      <c r="C2600" s="8" t="s">
        <v>1001</v>
      </c>
      <c r="D2600" s="8" t="s">
        <v>664</v>
      </c>
      <c r="E2600" s="8" t="s">
        <v>169</v>
      </c>
      <c r="F2600" s="23">
        <v>46058</v>
      </c>
      <c r="G2600" s="8" t="s">
        <v>665</v>
      </c>
      <c r="H2600" s="23">
        <v>46101</v>
      </c>
      <c r="I2600" s="23">
        <v>46058</v>
      </c>
      <c r="J2600" s="10">
        <v>1400</v>
      </c>
      <c r="K2600" s="10">
        <v>0</v>
      </c>
      <c r="L2600" s="24">
        <v>0</v>
      </c>
      <c r="M2600" s="10">
        <v>1313.9</v>
      </c>
    </row>
    <row r="2601" spans="1:13" x14ac:dyDescent="0.25">
      <c r="A2601" s="12" t="str">
        <f t="shared" si="80"/>
        <v>897-1708-87MINISTERIO DA FAZENDAIM46065,5729166667</v>
      </c>
      <c r="B2601" s="12" t="str">
        <f t="shared" si="81"/>
        <v>Março</v>
      </c>
      <c r="C2601" s="8" t="s">
        <v>2082</v>
      </c>
      <c r="D2601" s="8" t="s">
        <v>664</v>
      </c>
      <c r="E2601" s="8" t="s">
        <v>1503</v>
      </c>
      <c r="F2601" s="23">
        <v>46065.572916666664</v>
      </c>
      <c r="G2601" s="8" t="s">
        <v>1142</v>
      </c>
      <c r="H2601" s="23">
        <v>46101</v>
      </c>
      <c r="I2601" s="23">
        <v>46082.574305555558</v>
      </c>
      <c r="J2601" s="10">
        <v>20.98</v>
      </c>
      <c r="K2601" s="10">
        <v>0</v>
      </c>
      <c r="L2601" s="24">
        <v>0</v>
      </c>
      <c r="M2601" s="10">
        <v>20.98</v>
      </c>
    </row>
    <row r="2602" spans="1:13" x14ac:dyDescent="0.25">
      <c r="A2602" s="12" t="str">
        <f t="shared" si="80"/>
        <v>897-5952-87MINISTERIO DA FAZENDAIM46065,5770833333</v>
      </c>
      <c r="B2602" s="12" t="str">
        <f t="shared" si="81"/>
        <v>Março</v>
      </c>
      <c r="C2602" s="8" t="s">
        <v>2083</v>
      </c>
      <c r="D2602" s="8" t="s">
        <v>664</v>
      </c>
      <c r="E2602" s="8" t="s">
        <v>1503</v>
      </c>
      <c r="F2602" s="23">
        <v>46065.57708333333</v>
      </c>
      <c r="G2602" s="8" t="s">
        <v>1142</v>
      </c>
      <c r="H2602" s="23">
        <v>46101</v>
      </c>
      <c r="I2602" s="23">
        <v>46065.57708333333</v>
      </c>
      <c r="J2602" s="10">
        <v>65.099999999999994</v>
      </c>
      <c r="K2602" s="10">
        <v>0</v>
      </c>
      <c r="L2602" s="24">
        <v>0</v>
      </c>
      <c r="M2602" s="10">
        <v>65.099999999999994</v>
      </c>
    </row>
    <row r="2603" spans="1:13" x14ac:dyDescent="0.25">
      <c r="A2603" s="12" t="str">
        <f t="shared" si="80"/>
        <v>9GABRIEL MOUTINHO ALBINORCB46030,5868055556</v>
      </c>
      <c r="B2603" s="12" t="str">
        <f t="shared" si="81"/>
        <v>Janeiro</v>
      </c>
      <c r="C2603" s="8" t="s">
        <v>594</v>
      </c>
      <c r="D2603" s="8" t="s">
        <v>664</v>
      </c>
      <c r="E2603" s="8" t="s">
        <v>73</v>
      </c>
      <c r="F2603" s="23">
        <v>46030.586805555555</v>
      </c>
      <c r="G2603" s="8" t="s">
        <v>1045</v>
      </c>
      <c r="H2603" s="23">
        <v>46035</v>
      </c>
      <c r="I2603" s="23">
        <v>46030.586805555555</v>
      </c>
      <c r="J2603" s="10">
        <v>40</v>
      </c>
      <c r="K2603" s="10">
        <v>0</v>
      </c>
      <c r="L2603" s="24">
        <v>0</v>
      </c>
      <c r="M2603" s="10">
        <v>40</v>
      </c>
    </row>
    <row r="2604" spans="1:13" x14ac:dyDescent="0.25">
      <c r="A2604" s="12" t="str">
        <f t="shared" si="80"/>
        <v>9EDILSON RIBEIRO DA SILVARCB46030,5875</v>
      </c>
      <c r="B2604" s="12" t="str">
        <f t="shared" si="81"/>
        <v>Janeiro</v>
      </c>
      <c r="C2604" s="8" t="s">
        <v>594</v>
      </c>
      <c r="D2604" s="8" t="s">
        <v>664</v>
      </c>
      <c r="E2604" s="8" t="s">
        <v>56</v>
      </c>
      <c r="F2604" s="23">
        <v>46030.587500000001</v>
      </c>
      <c r="G2604" s="8" t="s">
        <v>1045</v>
      </c>
      <c r="H2604" s="23">
        <v>46035</v>
      </c>
      <c r="I2604" s="23">
        <v>46030.587500000001</v>
      </c>
      <c r="J2604" s="10">
        <v>70</v>
      </c>
      <c r="K2604" s="10">
        <v>0</v>
      </c>
      <c r="L2604" s="24">
        <v>0</v>
      </c>
      <c r="M2604" s="10">
        <v>70</v>
      </c>
    </row>
    <row r="2605" spans="1:13" x14ac:dyDescent="0.25">
      <c r="A2605" s="12" t="str">
        <f t="shared" si="80"/>
        <v>9VANDIEGO MARQUES DA SILVA SANTOSRCB46034,4444444444</v>
      </c>
      <c r="B2605" s="12" t="str">
        <f t="shared" si="81"/>
        <v>Janeiro</v>
      </c>
      <c r="C2605" s="8" t="s">
        <v>594</v>
      </c>
      <c r="D2605" s="8" t="s">
        <v>664</v>
      </c>
      <c r="E2605" s="8" t="s">
        <v>194</v>
      </c>
      <c r="F2605" s="23">
        <v>46034.444444444445</v>
      </c>
      <c r="G2605" s="8" t="s">
        <v>1045</v>
      </c>
      <c r="H2605" s="23">
        <v>46037</v>
      </c>
      <c r="I2605" s="23">
        <v>46034.444444444445</v>
      </c>
      <c r="J2605" s="10">
        <v>50</v>
      </c>
      <c r="K2605" s="10">
        <v>0</v>
      </c>
      <c r="L2605" s="24">
        <v>0</v>
      </c>
      <c r="M2605" s="10">
        <v>50</v>
      </c>
    </row>
    <row r="2606" spans="1:13" x14ac:dyDescent="0.25">
      <c r="A2606" s="12" t="str">
        <f t="shared" si="80"/>
        <v>9WALACE ROCHA DE SOUZARCB46038,3618055556</v>
      </c>
      <c r="B2606" s="12" t="str">
        <f t="shared" si="81"/>
        <v>Janeiro</v>
      </c>
      <c r="C2606" s="8" t="s">
        <v>594</v>
      </c>
      <c r="D2606" s="8" t="s">
        <v>664</v>
      </c>
      <c r="E2606" s="8" t="s">
        <v>200</v>
      </c>
      <c r="F2606" s="23">
        <v>46038.361805555556</v>
      </c>
      <c r="G2606" s="8" t="s">
        <v>1045</v>
      </c>
      <c r="H2606" s="23">
        <v>46043</v>
      </c>
      <c r="I2606" s="23">
        <v>46038.361805555556</v>
      </c>
      <c r="J2606" s="10">
        <v>229.06</v>
      </c>
      <c r="K2606" s="10">
        <v>0</v>
      </c>
      <c r="L2606" s="24">
        <v>0</v>
      </c>
      <c r="M2606" s="10">
        <v>229.06</v>
      </c>
    </row>
    <row r="2607" spans="1:13" x14ac:dyDescent="0.25">
      <c r="A2607" s="12" t="str">
        <f t="shared" si="80"/>
        <v>9FERNANDO GONÇALVES DE SOUZARCB46055,4826388889</v>
      </c>
      <c r="B2607" s="12" t="str">
        <f t="shared" si="81"/>
        <v>Fevereiro</v>
      </c>
      <c r="C2607" s="8" t="s">
        <v>594</v>
      </c>
      <c r="D2607" s="8" t="s">
        <v>664</v>
      </c>
      <c r="E2607" s="8" t="s">
        <v>1443</v>
      </c>
      <c r="F2607" s="23">
        <v>46055.482638888891</v>
      </c>
      <c r="G2607" s="8" t="s">
        <v>1045</v>
      </c>
      <c r="H2607" s="23">
        <v>46058</v>
      </c>
      <c r="I2607" s="23">
        <v>46055.482638888891</v>
      </c>
      <c r="J2607" s="10">
        <v>22</v>
      </c>
      <c r="K2607" s="10">
        <v>0</v>
      </c>
      <c r="L2607" s="24">
        <v>0</v>
      </c>
      <c r="M2607" s="10">
        <v>22</v>
      </c>
    </row>
    <row r="2608" spans="1:13" x14ac:dyDescent="0.25">
      <c r="A2608" s="12" t="str">
        <f t="shared" si="80"/>
        <v>9DANIELA CHAVES MARIANORCB46073,4131944444</v>
      </c>
      <c r="B2608" s="12" t="str">
        <f t="shared" si="81"/>
        <v>Fevereiro</v>
      </c>
      <c r="C2608" s="8" t="s">
        <v>594</v>
      </c>
      <c r="D2608" s="8" t="s">
        <v>664</v>
      </c>
      <c r="E2608" s="8" t="s">
        <v>47</v>
      </c>
      <c r="F2608" s="23">
        <v>46073.413194444445</v>
      </c>
      <c r="G2608" s="8" t="s">
        <v>1045</v>
      </c>
      <c r="H2608" s="23">
        <v>46078</v>
      </c>
      <c r="I2608" s="23">
        <v>46073.413194444445</v>
      </c>
      <c r="J2608" s="10">
        <v>50</v>
      </c>
      <c r="K2608" s="10">
        <v>0</v>
      </c>
      <c r="L2608" s="24">
        <v>0</v>
      </c>
      <c r="M2608" s="10">
        <v>50</v>
      </c>
    </row>
    <row r="2609" spans="1:13" x14ac:dyDescent="0.25">
      <c r="A2609" s="12" t="str">
        <f t="shared" si="80"/>
        <v>9VALDECI TONIMRCB46085,5111111111</v>
      </c>
      <c r="B2609" s="12" t="str">
        <f t="shared" si="81"/>
        <v>Março</v>
      </c>
      <c r="C2609" s="8" t="s">
        <v>594</v>
      </c>
      <c r="D2609" s="8" t="s">
        <v>664</v>
      </c>
      <c r="E2609" s="8" t="s">
        <v>193</v>
      </c>
      <c r="F2609" s="23">
        <v>46085.511111111111</v>
      </c>
      <c r="G2609" s="8" t="s">
        <v>1045</v>
      </c>
      <c r="H2609" s="23">
        <v>46091</v>
      </c>
      <c r="I2609" s="23">
        <v>46085.511111111111</v>
      </c>
      <c r="J2609" s="10">
        <v>118.4</v>
      </c>
      <c r="K2609" s="10">
        <v>0</v>
      </c>
      <c r="L2609" s="24">
        <v>0</v>
      </c>
      <c r="M2609" s="10">
        <v>118.4</v>
      </c>
    </row>
    <row r="2610" spans="1:13" x14ac:dyDescent="0.25">
      <c r="A2610" s="12" t="str">
        <f t="shared" si="80"/>
        <v>9HIGOR RODNEY CIMINI DA COSTANSE46062</v>
      </c>
      <c r="B2610" s="12" t="str">
        <f t="shared" si="81"/>
        <v>Março</v>
      </c>
      <c r="C2610" s="8" t="s">
        <v>594</v>
      </c>
      <c r="D2610" s="8" t="s">
        <v>1354</v>
      </c>
      <c r="E2610" s="8" t="s">
        <v>85</v>
      </c>
      <c r="F2610" s="23">
        <v>46062</v>
      </c>
      <c r="G2610" s="8" t="s">
        <v>665</v>
      </c>
      <c r="H2610" s="23">
        <v>46087</v>
      </c>
      <c r="I2610" s="23">
        <v>46086</v>
      </c>
      <c r="J2610" s="10">
        <v>12300</v>
      </c>
      <c r="K2610" s="10">
        <v>0</v>
      </c>
      <c r="L2610" s="24">
        <v>0</v>
      </c>
      <c r="M2610" s="10">
        <v>12054</v>
      </c>
    </row>
    <row r="2611" spans="1:13" x14ac:dyDescent="0.25">
      <c r="A2611" s="12" t="str">
        <f t="shared" si="80"/>
        <v>9MECANICA CRISTO REI LTDANSE46059</v>
      </c>
      <c r="B2611" s="12" t="str">
        <f t="shared" si="81"/>
        <v>Março</v>
      </c>
      <c r="C2611" s="8" t="s">
        <v>594</v>
      </c>
      <c r="D2611" s="8" t="s">
        <v>1354</v>
      </c>
      <c r="E2611" s="8" t="s">
        <v>125</v>
      </c>
      <c r="F2611" s="23">
        <v>46059</v>
      </c>
      <c r="G2611" s="8" t="s">
        <v>665</v>
      </c>
      <c r="H2611" s="23">
        <v>46089</v>
      </c>
      <c r="I2611" s="23">
        <v>46064</v>
      </c>
      <c r="J2611" s="10">
        <v>425</v>
      </c>
      <c r="K2611" s="10">
        <v>0</v>
      </c>
      <c r="L2611" s="24">
        <v>0</v>
      </c>
      <c r="M2611" s="10">
        <v>410.55</v>
      </c>
    </row>
    <row r="2612" spans="1:13" x14ac:dyDescent="0.25">
      <c r="A2612" s="12" t="str">
        <f t="shared" si="80"/>
        <v>9ANTONIO SILVA DE SOUSARCB46108,4826388889</v>
      </c>
      <c r="B2612" s="12" t="str">
        <f t="shared" si="81"/>
        <v>Abril</v>
      </c>
      <c r="C2612" s="8" t="s">
        <v>594</v>
      </c>
      <c r="D2612" s="8" t="s">
        <v>664</v>
      </c>
      <c r="E2612" s="8" t="s">
        <v>20</v>
      </c>
      <c r="F2612" s="23">
        <v>46108.482638888891</v>
      </c>
      <c r="G2612" s="8" t="s">
        <v>1045</v>
      </c>
      <c r="H2612" s="23">
        <v>46113</v>
      </c>
      <c r="I2612" s="23">
        <v>46108.482638888891</v>
      </c>
      <c r="J2612" s="10">
        <v>95</v>
      </c>
      <c r="K2612" s="10">
        <v>0</v>
      </c>
      <c r="L2612" s="24">
        <v>0</v>
      </c>
      <c r="M2612" s="10">
        <v>95</v>
      </c>
    </row>
    <row r="2613" spans="1:13" x14ac:dyDescent="0.25">
      <c r="A2613" s="12" t="str">
        <f t="shared" si="80"/>
        <v>9FERNANDA SANTOS SOARESRCB46114,6138888889</v>
      </c>
      <c r="B2613" s="12" t="str">
        <f t="shared" si="81"/>
        <v>Abril</v>
      </c>
      <c r="C2613" s="8" t="s">
        <v>594</v>
      </c>
      <c r="D2613" s="8" t="s">
        <v>664</v>
      </c>
      <c r="E2613" s="8" t="s">
        <v>68</v>
      </c>
      <c r="F2613" s="23">
        <v>46114.613888888889</v>
      </c>
      <c r="G2613" s="8" t="s">
        <v>1045</v>
      </c>
      <c r="H2613" s="23">
        <v>46119</v>
      </c>
      <c r="I2613" s="23">
        <v>46114.613888888889</v>
      </c>
      <c r="J2613" s="10">
        <v>60</v>
      </c>
      <c r="K2613" s="10">
        <v>0</v>
      </c>
      <c r="L2613" s="24">
        <v>0</v>
      </c>
      <c r="M2613" s="10">
        <v>60</v>
      </c>
    </row>
    <row r="2614" spans="1:13" x14ac:dyDescent="0.25">
      <c r="A2614" s="12" t="str">
        <f t="shared" si="80"/>
        <v>9MECANICA CRISTO REI LTDANSE46059</v>
      </c>
      <c r="B2614" s="12" t="str">
        <f t="shared" si="81"/>
        <v>Abril</v>
      </c>
      <c r="C2614" s="8" t="s">
        <v>594</v>
      </c>
      <c r="D2614" s="8" t="s">
        <v>1354</v>
      </c>
      <c r="E2614" s="8" t="s">
        <v>125</v>
      </c>
      <c r="F2614" s="23">
        <v>46059</v>
      </c>
      <c r="G2614" s="8" t="s">
        <v>665</v>
      </c>
      <c r="H2614" s="23">
        <v>46120</v>
      </c>
      <c r="I2614" s="23">
        <v>46064</v>
      </c>
      <c r="J2614" s="10">
        <v>425</v>
      </c>
      <c r="K2614" s="10">
        <v>0</v>
      </c>
      <c r="L2614" s="24">
        <v>0</v>
      </c>
      <c r="M2614" s="10">
        <v>410.55</v>
      </c>
    </row>
    <row r="2615" spans="1:13" x14ac:dyDescent="0.25">
      <c r="A2615" s="12" t="str">
        <f t="shared" si="80"/>
        <v>9CORREIOS AGUA BRANCARCB46127,4333333333</v>
      </c>
      <c r="B2615" s="12" t="str">
        <f t="shared" si="81"/>
        <v>Abril</v>
      </c>
      <c r="C2615" s="8" t="s">
        <v>594</v>
      </c>
      <c r="D2615" s="8" t="s">
        <v>664</v>
      </c>
      <c r="E2615" s="8" t="s">
        <v>45</v>
      </c>
      <c r="F2615" s="23">
        <v>46127.433333333334</v>
      </c>
      <c r="G2615" s="8" t="s">
        <v>1045</v>
      </c>
      <c r="H2615" s="23">
        <v>46132</v>
      </c>
      <c r="I2615" s="23">
        <v>46127.433333333334</v>
      </c>
      <c r="J2615" s="10">
        <v>89.8</v>
      </c>
      <c r="K2615" s="10">
        <v>0</v>
      </c>
      <c r="L2615" s="24">
        <v>0</v>
      </c>
      <c r="M2615" s="10">
        <v>89.8</v>
      </c>
    </row>
    <row r="2616" spans="1:13" x14ac:dyDescent="0.25">
      <c r="A2616" s="12" t="str">
        <f t="shared" si="80"/>
        <v>9RAFAEL RODRIGUESRCB46135,4347222222</v>
      </c>
      <c r="B2616" s="12" t="str">
        <f t="shared" si="81"/>
        <v>Abril</v>
      </c>
      <c r="C2616" s="8" t="s">
        <v>594</v>
      </c>
      <c r="D2616" s="8" t="s">
        <v>664</v>
      </c>
      <c r="E2616" s="8" t="s">
        <v>161</v>
      </c>
      <c r="F2616" s="23">
        <v>46135.43472222222</v>
      </c>
      <c r="G2616" s="8" t="s">
        <v>1045</v>
      </c>
      <c r="H2616" s="23">
        <v>46140</v>
      </c>
      <c r="I2616" s="23">
        <v>46135.43472222222</v>
      </c>
      <c r="J2616" s="10">
        <v>100</v>
      </c>
      <c r="K2616" s="10">
        <v>0</v>
      </c>
      <c r="L2616" s="24">
        <v>0</v>
      </c>
      <c r="M2616" s="10">
        <v>100</v>
      </c>
    </row>
    <row r="2617" spans="1:13" x14ac:dyDescent="0.25">
      <c r="A2617" s="12" t="str">
        <f t="shared" si="80"/>
        <v>9WESLLEY FRANCO CALVISRCB46135,3729166667</v>
      </c>
      <c r="B2617" s="12" t="str">
        <f t="shared" si="81"/>
        <v>Abril</v>
      </c>
      <c r="C2617" s="8" t="s">
        <v>594</v>
      </c>
      <c r="D2617" s="8" t="s">
        <v>664</v>
      </c>
      <c r="E2617" s="8" t="s">
        <v>202</v>
      </c>
      <c r="F2617" s="23">
        <v>46135.372916666667</v>
      </c>
      <c r="G2617" s="8" t="s">
        <v>1045</v>
      </c>
      <c r="H2617" s="23">
        <v>46140</v>
      </c>
      <c r="I2617" s="23">
        <v>46135.372916666667</v>
      </c>
      <c r="J2617" s="10">
        <v>69.8</v>
      </c>
      <c r="K2617" s="10">
        <v>0</v>
      </c>
      <c r="L2617" s="24">
        <v>0</v>
      </c>
      <c r="M2617" s="10">
        <v>69.8</v>
      </c>
    </row>
    <row r="2618" spans="1:13" x14ac:dyDescent="0.25">
      <c r="A2618" s="12" t="str">
        <f t="shared" si="80"/>
        <v>9RODOLFO GUILHERME BERNARDES NORBERTORCB46136,4263888889</v>
      </c>
      <c r="B2618" s="12" t="str">
        <f t="shared" si="81"/>
        <v>Abril</v>
      </c>
      <c r="C2618" s="8" t="s">
        <v>594</v>
      </c>
      <c r="D2618" s="8" t="s">
        <v>664</v>
      </c>
      <c r="E2618" s="8" t="s">
        <v>171</v>
      </c>
      <c r="F2618" s="23">
        <v>46136.426388888889</v>
      </c>
      <c r="G2618" s="8" t="s">
        <v>1045</v>
      </c>
      <c r="H2618" s="23">
        <v>46141</v>
      </c>
      <c r="I2618" s="23">
        <v>46136.426388888889</v>
      </c>
      <c r="J2618" s="10">
        <v>100</v>
      </c>
      <c r="K2618" s="10">
        <v>0</v>
      </c>
      <c r="L2618" s="24">
        <v>0</v>
      </c>
      <c r="M2618" s="10">
        <v>100</v>
      </c>
    </row>
    <row r="2619" spans="1:13" x14ac:dyDescent="0.25">
      <c r="A2619" s="12" t="str">
        <f t="shared" si="80"/>
        <v>9JESLEY WILLIAM MIRANDA DE SOUZARCB46136,4298611111</v>
      </c>
      <c r="B2619" s="12" t="str">
        <f t="shared" si="81"/>
        <v>Abril</v>
      </c>
      <c r="C2619" s="8" t="s">
        <v>594</v>
      </c>
      <c r="D2619" s="8" t="s">
        <v>664</v>
      </c>
      <c r="E2619" s="8" t="s">
        <v>90</v>
      </c>
      <c r="F2619" s="23">
        <v>46136.429861111108</v>
      </c>
      <c r="G2619" s="8" t="s">
        <v>1045</v>
      </c>
      <c r="H2619" s="23">
        <v>46141</v>
      </c>
      <c r="I2619" s="23">
        <v>46136.429861111108</v>
      </c>
      <c r="J2619" s="10">
        <v>120</v>
      </c>
      <c r="K2619" s="10">
        <v>0</v>
      </c>
      <c r="L2619" s="24">
        <v>0</v>
      </c>
      <c r="M2619" s="10">
        <v>120</v>
      </c>
    </row>
    <row r="2620" spans="1:13" x14ac:dyDescent="0.25">
      <c r="A2620" s="12" t="str">
        <f t="shared" si="80"/>
        <v>9RODRIGO CORREARCB46150,6055555556</v>
      </c>
      <c r="B2620" s="12" t="str">
        <f t="shared" si="81"/>
        <v>Maio</v>
      </c>
      <c r="C2620" s="8" t="s">
        <v>594</v>
      </c>
      <c r="D2620" s="8" t="s">
        <v>664</v>
      </c>
      <c r="E2620" s="8" t="s">
        <v>172</v>
      </c>
      <c r="F2620" s="23">
        <v>46150.605555555558</v>
      </c>
      <c r="G2620" s="8" t="s">
        <v>1045</v>
      </c>
      <c r="H2620" s="23">
        <v>46155</v>
      </c>
      <c r="I2620" s="23">
        <v>46150.605555555558</v>
      </c>
      <c r="J2620" s="10">
        <v>239.6</v>
      </c>
      <c r="K2620" s="10">
        <v>0</v>
      </c>
      <c r="L2620" s="24">
        <v>0</v>
      </c>
      <c r="M2620" s="10">
        <v>239.6</v>
      </c>
    </row>
    <row r="2621" spans="1:13" x14ac:dyDescent="0.25">
      <c r="A2621" s="12" t="str">
        <f t="shared" si="80"/>
        <v>9TIAGO FERNANDO DOS SANTOS SILVARCB46210,4729166667</v>
      </c>
      <c r="B2621" s="12" t="str">
        <f t="shared" si="81"/>
        <v>Julho</v>
      </c>
      <c r="C2621" s="8" t="s">
        <v>594</v>
      </c>
      <c r="D2621" s="8" t="s">
        <v>664</v>
      </c>
      <c r="E2621" s="8" t="s">
        <v>188</v>
      </c>
      <c r="F2621" s="23">
        <v>46210.472916666666</v>
      </c>
      <c r="G2621" s="8" t="s">
        <v>1045</v>
      </c>
      <c r="H2621" s="23">
        <v>46213</v>
      </c>
      <c r="I2621" s="23">
        <v>46210.472916666666</v>
      </c>
      <c r="J2621" s="10">
        <v>650</v>
      </c>
      <c r="K2621" s="10">
        <v>0</v>
      </c>
      <c r="L2621" s="24">
        <v>0</v>
      </c>
      <c r="M2621" s="10">
        <v>650</v>
      </c>
    </row>
    <row r="2622" spans="1:13" x14ac:dyDescent="0.25">
      <c r="A2622" s="12" t="str">
        <f t="shared" si="80"/>
        <v>9LEANDRO CARVALHO SILVARCB46217,3076388889</v>
      </c>
      <c r="B2622" s="12" t="str">
        <f t="shared" si="81"/>
        <v>Julho</v>
      </c>
      <c r="C2622" s="8" t="s">
        <v>594</v>
      </c>
      <c r="D2622" s="8" t="s">
        <v>664</v>
      </c>
      <c r="E2622" s="8" t="s">
        <v>107</v>
      </c>
      <c r="F2622" s="23">
        <v>46217.307638888888</v>
      </c>
      <c r="G2622" s="8" t="s">
        <v>1045</v>
      </c>
      <c r="H2622" s="23">
        <v>46220</v>
      </c>
      <c r="I2622" s="23">
        <v>46217.307638888888</v>
      </c>
      <c r="J2622" s="10">
        <v>492</v>
      </c>
      <c r="K2622" s="10">
        <v>0</v>
      </c>
      <c r="L2622" s="24">
        <v>0</v>
      </c>
      <c r="M2622" s="10">
        <v>492</v>
      </c>
    </row>
    <row r="2623" spans="1:13" x14ac:dyDescent="0.25">
      <c r="A2623" s="12" t="str">
        <f t="shared" si="80"/>
        <v>9PAULO SILAS GOMES SOARESRCB46224,3763888889</v>
      </c>
      <c r="B2623" s="12" t="str">
        <f t="shared" si="81"/>
        <v>Julho</v>
      </c>
      <c r="C2623" s="8" t="s">
        <v>594</v>
      </c>
      <c r="D2623" s="8" t="s">
        <v>664</v>
      </c>
      <c r="E2623" s="8" t="s">
        <v>154</v>
      </c>
      <c r="F2623" s="23">
        <v>46224.376388888886</v>
      </c>
      <c r="G2623" s="8" t="s">
        <v>1045</v>
      </c>
      <c r="H2623" s="23">
        <v>46227</v>
      </c>
      <c r="I2623" s="23">
        <v>46224.376388888886</v>
      </c>
      <c r="J2623" s="10">
        <v>263.68</v>
      </c>
      <c r="K2623" s="10">
        <v>0</v>
      </c>
      <c r="L2623" s="24">
        <v>0</v>
      </c>
      <c r="M2623" s="10">
        <v>263.68</v>
      </c>
    </row>
    <row r="2624" spans="1:13" x14ac:dyDescent="0.25">
      <c r="A2624" s="12" t="str">
        <f t="shared" si="80"/>
        <v>9LAIENE LOPES TEIXEIRARCB46230,3972222222</v>
      </c>
      <c r="B2624" s="12" t="str">
        <f t="shared" si="81"/>
        <v>Julho</v>
      </c>
      <c r="C2624" s="8" t="s">
        <v>594</v>
      </c>
      <c r="D2624" s="8" t="s">
        <v>664</v>
      </c>
      <c r="E2624" s="8" t="s">
        <v>106</v>
      </c>
      <c r="F2624" s="23">
        <v>46230.397222222222</v>
      </c>
      <c r="G2624" s="8" t="s">
        <v>1045</v>
      </c>
      <c r="H2624" s="23">
        <v>46233</v>
      </c>
      <c r="I2624" s="23">
        <v>46230.397222222222</v>
      </c>
      <c r="J2624" s="10">
        <v>227.9</v>
      </c>
      <c r="K2624" s="10">
        <v>0</v>
      </c>
      <c r="L2624" s="24">
        <v>0</v>
      </c>
      <c r="M2624" s="10">
        <v>227.9</v>
      </c>
    </row>
    <row r="2625" spans="1:13" x14ac:dyDescent="0.25">
      <c r="A2625" s="12" t="str">
        <f t="shared" si="80"/>
        <v>9PATRICIA JUSTINA DE ALMEIDARCB46231,3048611111</v>
      </c>
      <c r="B2625" s="12" t="str">
        <f t="shared" si="81"/>
        <v>Julho</v>
      </c>
      <c r="C2625" s="8" t="s">
        <v>594</v>
      </c>
      <c r="D2625" s="8" t="s">
        <v>664</v>
      </c>
      <c r="E2625" s="8" t="s">
        <v>148</v>
      </c>
      <c r="F2625" s="23">
        <v>46231.304861111108</v>
      </c>
      <c r="G2625" s="8" t="s">
        <v>1045</v>
      </c>
      <c r="H2625" s="23">
        <v>46234</v>
      </c>
      <c r="I2625" s="23">
        <v>46231.304861111108</v>
      </c>
      <c r="J2625" s="10">
        <v>824</v>
      </c>
      <c r="K2625" s="10">
        <v>0</v>
      </c>
      <c r="L2625" s="24">
        <v>0</v>
      </c>
      <c r="M2625" s="10">
        <v>824</v>
      </c>
    </row>
    <row r="2626" spans="1:13" x14ac:dyDescent="0.25">
      <c r="A2626" s="12" t="str">
        <f t="shared" ref="A2626:A2689" si="82">$C2626&amp;$E2626&amp;$G2626&amp;$F2626</f>
        <v>9ANA PAULA DE ALMEIDA ARAUJORCB46232,5722222222</v>
      </c>
      <c r="B2626" s="12" t="str">
        <f t="shared" si="81"/>
        <v>Agosto</v>
      </c>
      <c r="C2626" s="8" t="s">
        <v>594</v>
      </c>
      <c r="D2626" s="8" t="s">
        <v>664</v>
      </c>
      <c r="E2626" s="8" t="s">
        <v>12</v>
      </c>
      <c r="F2626" s="23">
        <v>46232.572222222225</v>
      </c>
      <c r="G2626" s="8" t="s">
        <v>1045</v>
      </c>
      <c r="H2626" s="23">
        <v>46237</v>
      </c>
      <c r="I2626" s="23">
        <v>46232.572222222225</v>
      </c>
      <c r="J2626" s="10">
        <v>30</v>
      </c>
      <c r="K2626" s="10">
        <v>0</v>
      </c>
      <c r="L2626" s="24">
        <v>0</v>
      </c>
      <c r="M2626" s="10">
        <v>30</v>
      </c>
    </row>
    <row r="2627" spans="1:13" x14ac:dyDescent="0.25">
      <c r="A2627" s="12" t="str">
        <f t="shared" si="82"/>
        <v>9CAMPOS VEICULOS LTDA - PRIME AUTO CENTERNFE46247</v>
      </c>
      <c r="B2627" s="12" t="str">
        <f t="shared" ref="B2627:B2690" si="83">PROPER(TEXT($H2627,"MMMM"))</f>
        <v>Setembro</v>
      </c>
      <c r="C2627" s="8" t="s">
        <v>594</v>
      </c>
      <c r="D2627" s="8" t="s">
        <v>664</v>
      </c>
      <c r="E2627" s="8" t="s">
        <v>35</v>
      </c>
      <c r="F2627" s="23">
        <v>46247</v>
      </c>
      <c r="G2627" s="8" t="s">
        <v>380</v>
      </c>
      <c r="H2627" s="23">
        <v>46272</v>
      </c>
      <c r="I2627" s="23">
        <v>46252</v>
      </c>
      <c r="J2627" s="10">
        <v>975</v>
      </c>
      <c r="K2627" s="10">
        <v>0</v>
      </c>
      <c r="L2627" s="24">
        <v>0</v>
      </c>
      <c r="M2627" s="10">
        <v>975</v>
      </c>
    </row>
    <row r="2628" spans="1:13" x14ac:dyDescent="0.25">
      <c r="A2628" s="12" t="str">
        <f t="shared" si="82"/>
        <v>9MARAJO NAVEGACAO COMERCIO E TRANSPORTE DE PASSAGEIROS LTDARCB46274,6361111111</v>
      </c>
      <c r="B2628" s="12" t="str">
        <f t="shared" si="83"/>
        <v>Setembro</v>
      </c>
      <c r="C2628" s="8" t="s">
        <v>594</v>
      </c>
      <c r="D2628" s="8" t="s">
        <v>664</v>
      </c>
      <c r="E2628" s="8" t="s">
        <v>118</v>
      </c>
      <c r="F2628" s="23">
        <v>46274.636111111111</v>
      </c>
      <c r="G2628" s="8" t="s">
        <v>1045</v>
      </c>
      <c r="H2628" s="23">
        <v>46279</v>
      </c>
      <c r="I2628" s="23">
        <v>46274.636111111111</v>
      </c>
      <c r="J2628" s="10">
        <v>780</v>
      </c>
      <c r="K2628" s="10">
        <v>0</v>
      </c>
      <c r="L2628" s="24">
        <v>0</v>
      </c>
      <c r="M2628" s="10">
        <v>780</v>
      </c>
    </row>
    <row r="2629" spans="1:13" x14ac:dyDescent="0.25">
      <c r="A2629" s="12" t="str">
        <f t="shared" si="82"/>
        <v>9EXPRESSO TRANSPORTE LTDARCB46274,6347222222</v>
      </c>
      <c r="B2629" s="12" t="str">
        <f t="shared" si="83"/>
        <v>Setembro</v>
      </c>
      <c r="C2629" s="8" t="s">
        <v>594</v>
      </c>
      <c r="D2629" s="8" t="s">
        <v>664</v>
      </c>
      <c r="E2629" s="8" t="s">
        <v>66</v>
      </c>
      <c r="F2629" s="23">
        <v>46274.634722222225</v>
      </c>
      <c r="G2629" s="8" t="s">
        <v>1045</v>
      </c>
      <c r="H2629" s="23">
        <v>46279</v>
      </c>
      <c r="I2629" s="23">
        <v>46274.634722222225</v>
      </c>
      <c r="J2629" s="10">
        <v>2964</v>
      </c>
      <c r="K2629" s="10">
        <v>0</v>
      </c>
      <c r="L2629" s="24">
        <v>0</v>
      </c>
      <c r="M2629" s="10">
        <v>2964</v>
      </c>
    </row>
    <row r="2630" spans="1:13" x14ac:dyDescent="0.25">
      <c r="A2630" s="12" t="str">
        <f t="shared" si="82"/>
        <v>9ANDERSON LUIS FROES DE JESUSRCB46276,4104166667</v>
      </c>
      <c r="B2630" s="12" t="str">
        <f t="shared" si="83"/>
        <v>Setembro</v>
      </c>
      <c r="C2630" s="8" t="s">
        <v>594</v>
      </c>
      <c r="D2630" s="8" t="s">
        <v>664</v>
      </c>
      <c r="E2630" s="8" t="s">
        <v>13</v>
      </c>
      <c r="F2630" s="23">
        <v>46276.410416666666</v>
      </c>
      <c r="G2630" s="8" t="s">
        <v>1045</v>
      </c>
      <c r="H2630" s="23">
        <v>46281</v>
      </c>
      <c r="I2630" s="23">
        <v>46276.410416666666</v>
      </c>
      <c r="J2630" s="10">
        <v>114</v>
      </c>
      <c r="K2630" s="10">
        <v>0</v>
      </c>
      <c r="L2630" s="24">
        <v>0</v>
      </c>
      <c r="M2630" s="10">
        <v>114</v>
      </c>
    </row>
    <row r="2631" spans="1:13" x14ac:dyDescent="0.25">
      <c r="A2631" s="12" t="str">
        <f t="shared" si="82"/>
        <v>9KATHLEEN KRISLEY AMBROSIO LARARCB46279,4034722222</v>
      </c>
      <c r="B2631" s="12" t="str">
        <f t="shared" si="83"/>
        <v>Setembro</v>
      </c>
      <c r="C2631" s="8" t="s">
        <v>594</v>
      </c>
      <c r="D2631" s="8" t="s">
        <v>664</v>
      </c>
      <c r="E2631" s="8" t="s">
        <v>104</v>
      </c>
      <c r="F2631" s="23">
        <v>46279.40347222222</v>
      </c>
      <c r="G2631" s="8" t="s">
        <v>1045</v>
      </c>
      <c r="H2631" s="23">
        <v>46282</v>
      </c>
      <c r="I2631" s="23">
        <v>46279.40347222222</v>
      </c>
      <c r="J2631" s="10">
        <v>202.6</v>
      </c>
      <c r="K2631" s="10">
        <v>0</v>
      </c>
      <c r="L2631" s="24">
        <v>0</v>
      </c>
      <c r="M2631" s="10">
        <v>202.6</v>
      </c>
    </row>
    <row r="2632" spans="1:13" x14ac:dyDescent="0.25">
      <c r="A2632" s="12" t="str">
        <f t="shared" si="82"/>
        <v>9PAULO HENRIQUE FERREIRA DA CRUZRCB46279,3819444444</v>
      </c>
      <c r="B2632" s="12" t="str">
        <f t="shared" si="83"/>
        <v>Setembro</v>
      </c>
      <c r="C2632" s="8" t="s">
        <v>594</v>
      </c>
      <c r="D2632" s="8" t="s">
        <v>664</v>
      </c>
      <c r="E2632" s="8" t="s">
        <v>152</v>
      </c>
      <c r="F2632" s="23">
        <v>46279.381944444445</v>
      </c>
      <c r="G2632" s="8" t="s">
        <v>1045</v>
      </c>
      <c r="H2632" s="23">
        <v>46282</v>
      </c>
      <c r="I2632" s="23">
        <v>46279.381944444445</v>
      </c>
      <c r="J2632" s="10">
        <v>138.15</v>
      </c>
      <c r="K2632" s="10">
        <v>0</v>
      </c>
      <c r="L2632" s="24">
        <v>0</v>
      </c>
      <c r="M2632" s="10">
        <v>138.15</v>
      </c>
    </row>
    <row r="2633" spans="1:13" x14ac:dyDescent="0.25">
      <c r="A2633" s="12" t="str">
        <f t="shared" si="82"/>
        <v>90ZAMBALDI AUTO CENTER LTDANFE46035</v>
      </c>
      <c r="B2633" s="12" t="str">
        <f t="shared" si="83"/>
        <v>Fevereiro</v>
      </c>
      <c r="C2633" s="8" t="s">
        <v>595</v>
      </c>
      <c r="D2633" s="8" t="s">
        <v>664</v>
      </c>
      <c r="E2633" s="8" t="s">
        <v>204</v>
      </c>
      <c r="F2633" s="23">
        <v>46035</v>
      </c>
      <c r="G2633" s="8" t="s">
        <v>380</v>
      </c>
      <c r="H2633" s="23">
        <v>46064</v>
      </c>
      <c r="I2633" s="23">
        <v>46036</v>
      </c>
      <c r="J2633" s="10">
        <v>594.98</v>
      </c>
      <c r="K2633" s="10">
        <v>0</v>
      </c>
      <c r="L2633" s="24">
        <v>0</v>
      </c>
      <c r="M2633" s="10">
        <v>594.98</v>
      </c>
    </row>
    <row r="2634" spans="1:13" x14ac:dyDescent="0.25">
      <c r="A2634" s="12" t="str">
        <f t="shared" si="82"/>
        <v>901AUTO CENTER RM LTDANSE46241</v>
      </c>
      <c r="B2634" s="12" t="str">
        <f t="shared" si="83"/>
        <v>Setembro</v>
      </c>
      <c r="C2634" s="8" t="s">
        <v>1002</v>
      </c>
      <c r="D2634" s="8" t="s">
        <v>1354</v>
      </c>
      <c r="E2634" s="8" t="s">
        <v>22</v>
      </c>
      <c r="F2634" s="23">
        <v>46241</v>
      </c>
      <c r="G2634" s="8" t="s">
        <v>665</v>
      </c>
      <c r="H2634" s="23">
        <v>46271</v>
      </c>
      <c r="I2634" s="23">
        <v>46245</v>
      </c>
      <c r="J2634" s="10">
        <v>320</v>
      </c>
      <c r="K2634" s="10">
        <v>0</v>
      </c>
      <c r="L2634" s="24">
        <v>0</v>
      </c>
      <c r="M2634" s="10">
        <v>307.2</v>
      </c>
    </row>
    <row r="2635" spans="1:13" x14ac:dyDescent="0.25">
      <c r="A2635" s="12" t="str">
        <f t="shared" si="82"/>
        <v>90547068HAPVIDA ASSISTENCIA MEDICA LTDANSE46250</v>
      </c>
      <c r="B2635" s="12" t="str">
        <f t="shared" si="83"/>
        <v>Setembro</v>
      </c>
      <c r="C2635" s="8" t="s">
        <v>1003</v>
      </c>
      <c r="D2635" s="8" t="s">
        <v>664</v>
      </c>
      <c r="E2635" s="8" t="s">
        <v>83</v>
      </c>
      <c r="F2635" s="23">
        <v>46250</v>
      </c>
      <c r="G2635" s="8" t="s">
        <v>665</v>
      </c>
      <c r="H2635" s="23">
        <v>46270</v>
      </c>
      <c r="I2635" s="23">
        <v>46259</v>
      </c>
      <c r="J2635" s="10">
        <v>1453.68</v>
      </c>
      <c r="K2635" s="10">
        <v>0</v>
      </c>
      <c r="L2635" s="24">
        <v>0</v>
      </c>
      <c r="M2635" s="10">
        <v>1453.68</v>
      </c>
    </row>
    <row r="2636" spans="1:13" x14ac:dyDescent="0.25">
      <c r="A2636" s="12" t="str">
        <f t="shared" si="82"/>
        <v>90559720HAPVIDA ASSISTENCIA MEDICA LTDANSE46253</v>
      </c>
      <c r="B2636" s="12" t="str">
        <f t="shared" si="83"/>
        <v>Setembro</v>
      </c>
      <c r="C2636" s="8" t="s">
        <v>1004</v>
      </c>
      <c r="D2636" s="8" t="s">
        <v>664</v>
      </c>
      <c r="E2636" s="8" t="s">
        <v>83</v>
      </c>
      <c r="F2636" s="23">
        <v>46253</v>
      </c>
      <c r="G2636" s="8" t="s">
        <v>665</v>
      </c>
      <c r="H2636" s="23">
        <v>46275</v>
      </c>
      <c r="I2636" s="23">
        <v>46266</v>
      </c>
      <c r="J2636" s="10">
        <v>5138.46</v>
      </c>
      <c r="K2636" s="10">
        <v>0</v>
      </c>
      <c r="L2636" s="24">
        <v>0</v>
      </c>
      <c r="M2636" s="10">
        <v>5138.46</v>
      </c>
    </row>
    <row r="2637" spans="1:13" x14ac:dyDescent="0.25">
      <c r="A2637" s="12" t="str">
        <f t="shared" si="82"/>
        <v>90600090HAPVIDA ASSISTENCIA MEDICA LTDANSE46255</v>
      </c>
      <c r="B2637" s="12" t="str">
        <f t="shared" si="83"/>
        <v>Setembro</v>
      </c>
      <c r="C2637" s="8" t="s">
        <v>1005</v>
      </c>
      <c r="D2637" s="8" t="s">
        <v>664</v>
      </c>
      <c r="E2637" s="8" t="s">
        <v>83</v>
      </c>
      <c r="F2637" s="23">
        <v>46255</v>
      </c>
      <c r="G2637" s="8" t="s">
        <v>665</v>
      </c>
      <c r="H2637" s="23">
        <v>46275</v>
      </c>
      <c r="I2637" s="23">
        <v>46266</v>
      </c>
      <c r="J2637" s="10">
        <v>27796.5</v>
      </c>
      <c r="K2637" s="10">
        <v>0</v>
      </c>
      <c r="L2637" s="24">
        <v>0</v>
      </c>
      <c r="M2637" s="10">
        <v>27796.5</v>
      </c>
    </row>
    <row r="2638" spans="1:13" x14ac:dyDescent="0.25">
      <c r="A2638" s="12" t="str">
        <f t="shared" si="82"/>
        <v>908MANFERRARI SERVICE LTDANSE46078</v>
      </c>
      <c r="B2638" s="12" t="str">
        <f t="shared" si="83"/>
        <v>Abril</v>
      </c>
      <c r="C2638" s="8" t="s">
        <v>1006</v>
      </c>
      <c r="D2638" s="8" t="s">
        <v>1354</v>
      </c>
      <c r="E2638" s="8" t="s">
        <v>117</v>
      </c>
      <c r="F2638" s="23">
        <v>46078</v>
      </c>
      <c r="G2638" s="8" t="s">
        <v>665</v>
      </c>
      <c r="H2638" s="23">
        <v>46118</v>
      </c>
      <c r="I2638" s="23">
        <v>46078</v>
      </c>
      <c r="J2638" s="10">
        <v>200</v>
      </c>
      <c r="K2638" s="10">
        <v>0</v>
      </c>
      <c r="L2638" s="24">
        <v>0</v>
      </c>
      <c r="M2638" s="10">
        <v>195</v>
      </c>
    </row>
    <row r="2639" spans="1:13" x14ac:dyDescent="0.25">
      <c r="A2639" s="12" t="str">
        <f t="shared" si="82"/>
        <v>9091OCP EXAMES OCUPACIONAIS LTDANSE46191</v>
      </c>
      <c r="B2639" s="12" t="str">
        <f t="shared" si="83"/>
        <v>Agosto</v>
      </c>
      <c r="C2639" s="8" t="s">
        <v>1007</v>
      </c>
      <c r="D2639" s="8" t="s">
        <v>664</v>
      </c>
      <c r="E2639" s="8" t="s">
        <v>140</v>
      </c>
      <c r="F2639" s="23">
        <v>46191</v>
      </c>
      <c r="G2639" s="8" t="s">
        <v>665</v>
      </c>
      <c r="H2639" s="23">
        <v>46240</v>
      </c>
      <c r="I2639" s="23">
        <v>46196</v>
      </c>
      <c r="J2639" s="10">
        <v>4288.75</v>
      </c>
      <c r="K2639" s="10">
        <v>0</v>
      </c>
      <c r="L2639" s="24">
        <v>0</v>
      </c>
      <c r="M2639" s="10">
        <v>4024.99</v>
      </c>
    </row>
    <row r="2640" spans="1:13" x14ac:dyDescent="0.25">
      <c r="A2640" s="12" t="str">
        <f t="shared" si="82"/>
        <v>9091-1708-87MINISTERIO DA FAZENDAIM46203,6097222222</v>
      </c>
      <c r="B2640" s="12" t="str">
        <f t="shared" si="83"/>
        <v>Julho</v>
      </c>
      <c r="C2640" s="8" t="s">
        <v>2776</v>
      </c>
      <c r="D2640" s="8" t="s">
        <v>664</v>
      </c>
      <c r="E2640" s="8" t="s">
        <v>1503</v>
      </c>
      <c r="F2640" s="23">
        <v>46203.609722222223</v>
      </c>
      <c r="G2640" s="8" t="s">
        <v>1142</v>
      </c>
      <c r="H2640" s="23">
        <v>46223</v>
      </c>
      <c r="I2640" s="23">
        <v>46203.609722222223</v>
      </c>
      <c r="J2640" s="10">
        <v>64.33</v>
      </c>
      <c r="K2640" s="10">
        <v>0</v>
      </c>
      <c r="L2640" s="24">
        <v>0</v>
      </c>
      <c r="M2640" s="10">
        <v>64.33</v>
      </c>
    </row>
    <row r="2641" spans="1:13" x14ac:dyDescent="0.25">
      <c r="A2641" s="12" t="str">
        <f t="shared" si="82"/>
        <v>909152SASCAR TECNOLOGIA E SEGURANÇA AUTOMOTICA S/ANSE46177</v>
      </c>
      <c r="B2641" s="12" t="str">
        <f t="shared" si="83"/>
        <v>Julho</v>
      </c>
      <c r="C2641" s="8" t="s">
        <v>1008</v>
      </c>
      <c r="D2641" s="8" t="s">
        <v>1354</v>
      </c>
      <c r="E2641" s="8" t="s">
        <v>179</v>
      </c>
      <c r="F2641" s="23">
        <v>46177</v>
      </c>
      <c r="G2641" s="8" t="s">
        <v>665</v>
      </c>
      <c r="H2641" s="23">
        <v>46210</v>
      </c>
      <c r="I2641" s="23">
        <v>46182</v>
      </c>
      <c r="J2641" s="10">
        <v>357.45</v>
      </c>
      <c r="K2641" s="10">
        <v>0</v>
      </c>
      <c r="L2641" s="24">
        <v>0</v>
      </c>
      <c r="M2641" s="10">
        <v>357.45</v>
      </c>
    </row>
    <row r="2642" spans="1:13" x14ac:dyDescent="0.25">
      <c r="A2642" s="12" t="str">
        <f t="shared" si="82"/>
        <v>9091-5952-87MINISTERIO DA FAZENDAIM46203,6104166667</v>
      </c>
      <c r="B2642" s="12" t="str">
        <f t="shared" si="83"/>
        <v>Julho</v>
      </c>
      <c r="C2642" s="8" t="s">
        <v>2777</v>
      </c>
      <c r="D2642" s="8" t="s">
        <v>664</v>
      </c>
      <c r="E2642" s="8" t="s">
        <v>1503</v>
      </c>
      <c r="F2642" s="23">
        <v>46203.61041666667</v>
      </c>
      <c r="G2642" s="8" t="s">
        <v>1142</v>
      </c>
      <c r="H2642" s="23">
        <v>46223</v>
      </c>
      <c r="I2642" s="23">
        <v>46203.61041666667</v>
      </c>
      <c r="J2642" s="10">
        <v>199.43</v>
      </c>
      <c r="K2642" s="10">
        <v>0</v>
      </c>
      <c r="L2642" s="24">
        <v>0</v>
      </c>
      <c r="M2642" s="10">
        <v>199.43</v>
      </c>
    </row>
    <row r="2643" spans="1:13" x14ac:dyDescent="0.25">
      <c r="A2643" s="12" t="str">
        <f t="shared" si="82"/>
        <v>91FABIO ALVES PRATESNSE46213</v>
      </c>
      <c r="B2643" s="12" t="str">
        <f t="shared" si="83"/>
        <v>Agosto</v>
      </c>
      <c r="C2643" s="8" t="s">
        <v>1009</v>
      </c>
      <c r="D2643" s="8" t="s">
        <v>1354</v>
      </c>
      <c r="E2643" s="8" t="s">
        <v>67</v>
      </c>
      <c r="F2643" s="23">
        <v>46213</v>
      </c>
      <c r="G2643" s="8" t="s">
        <v>665</v>
      </c>
      <c r="H2643" s="23">
        <v>46240</v>
      </c>
      <c r="I2643" s="23">
        <v>46214</v>
      </c>
      <c r="J2643" s="10">
        <v>2700</v>
      </c>
      <c r="K2643" s="10">
        <v>0</v>
      </c>
      <c r="L2643" s="24">
        <v>0</v>
      </c>
      <c r="M2643" s="10">
        <v>2700</v>
      </c>
    </row>
    <row r="2644" spans="1:13" x14ac:dyDescent="0.25">
      <c r="A2644" s="12" t="str">
        <f t="shared" si="82"/>
        <v>9135TOTAL PECAS E SERVICOS LTDANFE46081</v>
      </c>
      <c r="B2644" s="12" t="str">
        <f t="shared" si="83"/>
        <v>Março</v>
      </c>
      <c r="C2644" s="8" t="s">
        <v>596</v>
      </c>
      <c r="D2644" s="8" t="s">
        <v>664</v>
      </c>
      <c r="E2644" s="8" t="s">
        <v>597</v>
      </c>
      <c r="F2644" s="23">
        <v>46081</v>
      </c>
      <c r="G2644" s="8" t="s">
        <v>380</v>
      </c>
      <c r="H2644" s="23">
        <v>46108</v>
      </c>
      <c r="I2644" s="23">
        <v>46081</v>
      </c>
      <c r="J2644" s="10">
        <v>298</v>
      </c>
      <c r="K2644" s="10">
        <v>0</v>
      </c>
      <c r="L2644" s="24">
        <v>0</v>
      </c>
      <c r="M2644" s="10">
        <v>298</v>
      </c>
    </row>
    <row r="2645" spans="1:13" x14ac:dyDescent="0.25">
      <c r="A2645" s="12" t="str">
        <f t="shared" si="82"/>
        <v>91721027HAPVIDA ASSISTENCIA MEDICA LTDANSE46281</v>
      </c>
      <c r="B2645" s="12" t="str">
        <f t="shared" si="83"/>
        <v>Outubro</v>
      </c>
      <c r="C2645" s="8" t="s">
        <v>1010</v>
      </c>
      <c r="D2645" s="8" t="s">
        <v>664</v>
      </c>
      <c r="E2645" s="8" t="s">
        <v>83</v>
      </c>
      <c r="F2645" s="23">
        <v>46281</v>
      </c>
      <c r="G2645" s="8" t="s">
        <v>665</v>
      </c>
      <c r="H2645" s="23">
        <v>46300</v>
      </c>
      <c r="I2645" s="23">
        <v>46287</v>
      </c>
      <c r="J2645" s="10">
        <v>1467.14</v>
      </c>
      <c r="K2645" s="10">
        <v>0</v>
      </c>
      <c r="L2645" s="24">
        <v>0</v>
      </c>
      <c r="M2645" s="10">
        <v>1467.14</v>
      </c>
    </row>
    <row r="2646" spans="1:13" x14ac:dyDescent="0.25">
      <c r="A2646" s="12" t="str">
        <f t="shared" si="82"/>
        <v>92ZAMBALDI AUTO CENTER LTDANFE46042</v>
      </c>
      <c r="B2646" s="12" t="str">
        <f t="shared" si="83"/>
        <v>Fevereiro</v>
      </c>
      <c r="C2646" s="8" t="s">
        <v>599</v>
      </c>
      <c r="D2646" s="8" t="s">
        <v>664</v>
      </c>
      <c r="E2646" s="8" t="s">
        <v>204</v>
      </c>
      <c r="F2646" s="23">
        <v>46042</v>
      </c>
      <c r="G2646" s="8" t="s">
        <v>380</v>
      </c>
      <c r="H2646" s="23">
        <v>46073</v>
      </c>
      <c r="I2646" s="23">
        <v>46042</v>
      </c>
      <c r="J2646" s="10">
        <v>1484.98</v>
      </c>
      <c r="K2646" s="10">
        <v>0</v>
      </c>
      <c r="L2646" s="24">
        <v>0</v>
      </c>
      <c r="M2646" s="10">
        <v>1484.98</v>
      </c>
    </row>
    <row r="2647" spans="1:13" x14ac:dyDescent="0.25">
      <c r="A2647" s="12" t="str">
        <f t="shared" si="82"/>
        <v>92ZAMBALDI AUTO CENTER LTDANSE46148</v>
      </c>
      <c r="B2647" s="12" t="str">
        <f t="shared" si="83"/>
        <v>Junho</v>
      </c>
      <c r="C2647" s="8" t="s">
        <v>599</v>
      </c>
      <c r="D2647" s="8" t="s">
        <v>1354</v>
      </c>
      <c r="E2647" s="8" t="s">
        <v>204</v>
      </c>
      <c r="F2647" s="23">
        <v>46148</v>
      </c>
      <c r="G2647" s="8" t="s">
        <v>665</v>
      </c>
      <c r="H2647" s="23">
        <v>46181</v>
      </c>
      <c r="I2647" s="23">
        <v>46153</v>
      </c>
      <c r="J2647" s="10">
        <v>465</v>
      </c>
      <c r="K2647" s="10">
        <v>0</v>
      </c>
      <c r="L2647" s="24">
        <v>0</v>
      </c>
      <c r="M2647" s="10">
        <v>455.7</v>
      </c>
    </row>
    <row r="2648" spans="1:13" x14ac:dyDescent="0.25">
      <c r="A2648" s="12" t="str">
        <f t="shared" si="82"/>
        <v>9200GSC AUTO CENTER E PECAS LTDANSE45999</v>
      </c>
      <c r="B2648" s="12" t="str">
        <f t="shared" si="83"/>
        <v>Janeiro</v>
      </c>
      <c r="C2648" s="8" t="s">
        <v>1421</v>
      </c>
      <c r="D2648" s="8" t="s">
        <v>1354</v>
      </c>
      <c r="E2648" s="8" t="s">
        <v>77</v>
      </c>
      <c r="F2648" s="23">
        <v>45999</v>
      </c>
      <c r="G2648" s="8" t="s">
        <v>665</v>
      </c>
      <c r="H2648" s="23">
        <v>46028</v>
      </c>
      <c r="I2648" s="23">
        <v>46001</v>
      </c>
      <c r="J2648" s="10">
        <v>220</v>
      </c>
      <c r="K2648" s="10">
        <v>0</v>
      </c>
      <c r="L2648" s="24">
        <v>0</v>
      </c>
      <c r="M2648" s="10">
        <v>220</v>
      </c>
    </row>
    <row r="2649" spans="1:13" x14ac:dyDescent="0.25">
      <c r="A2649" s="12" t="str">
        <f t="shared" si="82"/>
        <v>92026-87HENRIQUE GALAMBA RODRIGUES DOS ANJOSDEP46248,6902777778</v>
      </c>
      <c r="B2649" s="12" t="str">
        <f t="shared" si="83"/>
        <v>Setembro</v>
      </c>
      <c r="C2649" s="8" t="s">
        <v>3059</v>
      </c>
      <c r="D2649" s="8" t="s">
        <v>664</v>
      </c>
      <c r="E2649" s="8" t="s">
        <v>84</v>
      </c>
      <c r="F2649" s="23">
        <v>46248.69027777778</v>
      </c>
      <c r="G2649" s="8" t="s">
        <v>1043</v>
      </c>
      <c r="H2649" s="23">
        <v>46273</v>
      </c>
      <c r="I2649" s="23">
        <v>46248.69027777778</v>
      </c>
      <c r="J2649" s="10">
        <v>3000</v>
      </c>
      <c r="K2649" s="10">
        <v>0</v>
      </c>
      <c r="L2649" s="24">
        <v>0</v>
      </c>
      <c r="M2649" s="10">
        <v>3000</v>
      </c>
    </row>
    <row r="2650" spans="1:13" x14ac:dyDescent="0.25">
      <c r="A2650" s="12" t="str">
        <f t="shared" si="82"/>
        <v>9434OCUPACIONAL MEDICINA DO TRABALHO LTDANSE46087</v>
      </c>
      <c r="B2650" s="12" t="str">
        <f t="shared" si="83"/>
        <v>Maio</v>
      </c>
      <c r="C2650" s="8" t="s">
        <v>1013</v>
      </c>
      <c r="D2650" s="8" t="s">
        <v>664</v>
      </c>
      <c r="E2650" s="8" t="s">
        <v>142</v>
      </c>
      <c r="F2650" s="23">
        <v>46087</v>
      </c>
      <c r="G2650" s="8" t="s">
        <v>665</v>
      </c>
      <c r="H2650" s="23">
        <v>46148</v>
      </c>
      <c r="I2650" s="23">
        <v>46087</v>
      </c>
      <c r="J2650" s="10">
        <v>580.72</v>
      </c>
      <c r="K2650" s="10">
        <v>0</v>
      </c>
      <c r="L2650" s="24">
        <v>0</v>
      </c>
      <c r="M2650" s="10">
        <v>553.72</v>
      </c>
    </row>
    <row r="2651" spans="1:13" x14ac:dyDescent="0.25">
      <c r="A2651" s="12" t="str">
        <f t="shared" si="82"/>
        <v>9434-5952-87MINISTERIO DA FAZENDAIM46097,5784722222</v>
      </c>
      <c r="B2651" s="12" t="str">
        <f t="shared" si="83"/>
        <v>Abril</v>
      </c>
      <c r="C2651" s="8" t="s">
        <v>2242</v>
      </c>
      <c r="D2651" s="8" t="s">
        <v>664</v>
      </c>
      <c r="E2651" s="8" t="s">
        <v>1503</v>
      </c>
      <c r="F2651" s="23">
        <v>46097.578472222223</v>
      </c>
      <c r="G2651" s="8" t="s">
        <v>1142</v>
      </c>
      <c r="H2651" s="23">
        <v>46132</v>
      </c>
      <c r="I2651" s="23">
        <v>46097.578472222223</v>
      </c>
      <c r="J2651" s="10">
        <v>27</v>
      </c>
      <c r="K2651" s="10">
        <v>0</v>
      </c>
      <c r="L2651" s="24">
        <v>0</v>
      </c>
      <c r="M2651" s="10">
        <v>27</v>
      </c>
    </row>
    <row r="2652" spans="1:13" x14ac:dyDescent="0.25">
      <c r="A2652" s="12" t="str">
        <f t="shared" si="82"/>
        <v>947399SASCAR TECNOLOGIA E SEGURANÇA AUTOMOTICA S/ANSE46206</v>
      </c>
      <c r="B2652" s="12" t="str">
        <f t="shared" si="83"/>
        <v>Agosto</v>
      </c>
      <c r="C2652" s="8" t="s">
        <v>1014</v>
      </c>
      <c r="D2652" s="8" t="s">
        <v>1354</v>
      </c>
      <c r="E2652" s="8" t="s">
        <v>179</v>
      </c>
      <c r="F2652" s="23">
        <v>46206</v>
      </c>
      <c r="G2652" s="8" t="s">
        <v>665</v>
      </c>
      <c r="H2652" s="23">
        <v>46241</v>
      </c>
      <c r="I2652" s="23">
        <v>46211</v>
      </c>
      <c r="J2652" s="10">
        <v>357.45</v>
      </c>
      <c r="K2652" s="10">
        <v>0</v>
      </c>
      <c r="L2652" s="24">
        <v>0</v>
      </c>
      <c r="M2652" s="10">
        <v>357.45</v>
      </c>
    </row>
    <row r="2653" spans="1:13" x14ac:dyDescent="0.25">
      <c r="A2653" s="12" t="str">
        <f t="shared" si="82"/>
        <v>949AUTO CENTER RM LTDANSE46266</v>
      </c>
      <c r="B2653" s="12" t="str">
        <f t="shared" si="83"/>
        <v>Outubro</v>
      </c>
      <c r="C2653" s="8" t="s">
        <v>1015</v>
      </c>
      <c r="D2653" s="8" t="s">
        <v>1354</v>
      </c>
      <c r="E2653" s="8" t="s">
        <v>22</v>
      </c>
      <c r="F2653" s="23">
        <v>46266</v>
      </c>
      <c r="G2653" s="8" t="s">
        <v>665</v>
      </c>
      <c r="H2653" s="23">
        <v>46301</v>
      </c>
      <c r="I2653" s="23">
        <v>46267</v>
      </c>
      <c r="J2653" s="10">
        <v>1840</v>
      </c>
      <c r="K2653" s="10">
        <v>0</v>
      </c>
      <c r="L2653" s="24">
        <v>0</v>
      </c>
      <c r="M2653" s="10">
        <v>1766.4</v>
      </c>
    </row>
    <row r="2654" spans="1:13" x14ac:dyDescent="0.25">
      <c r="A2654" s="12" t="str">
        <f t="shared" si="82"/>
        <v>95FABIO ALVES PRATESNSE46244</v>
      </c>
      <c r="B2654" s="12" t="str">
        <f t="shared" si="83"/>
        <v>Setembro</v>
      </c>
      <c r="C2654" s="8" t="s">
        <v>1016</v>
      </c>
      <c r="D2654" s="8" t="s">
        <v>1354</v>
      </c>
      <c r="E2654" s="8" t="s">
        <v>67</v>
      </c>
      <c r="F2654" s="23">
        <v>46244</v>
      </c>
      <c r="G2654" s="8" t="s">
        <v>665</v>
      </c>
      <c r="H2654" s="23">
        <v>46273</v>
      </c>
      <c r="I2654" s="23">
        <v>46245</v>
      </c>
      <c r="J2654" s="10">
        <v>3700</v>
      </c>
      <c r="K2654" s="10">
        <v>0</v>
      </c>
      <c r="L2654" s="24">
        <v>0</v>
      </c>
      <c r="M2654" s="10">
        <v>3700</v>
      </c>
    </row>
    <row r="2655" spans="1:13" x14ac:dyDescent="0.25">
      <c r="A2655" s="12" t="str">
        <f t="shared" si="82"/>
        <v>96FABIO ALVES PRATESNSE46270</v>
      </c>
      <c r="B2655" s="12" t="str">
        <f t="shared" si="83"/>
        <v>Outubro</v>
      </c>
      <c r="C2655" s="8" t="s">
        <v>1017</v>
      </c>
      <c r="D2655" s="8" t="s">
        <v>1354</v>
      </c>
      <c r="E2655" s="8" t="s">
        <v>67</v>
      </c>
      <c r="F2655" s="23">
        <v>46270</v>
      </c>
      <c r="G2655" s="8" t="s">
        <v>665</v>
      </c>
      <c r="H2655" s="23">
        <v>46301</v>
      </c>
      <c r="I2655" s="23">
        <v>46273</v>
      </c>
      <c r="J2655" s="10">
        <v>3700</v>
      </c>
      <c r="K2655" s="10">
        <v>0</v>
      </c>
      <c r="L2655" s="24">
        <v>0</v>
      </c>
      <c r="M2655" s="10">
        <v>3700</v>
      </c>
    </row>
    <row r="2656" spans="1:13" x14ac:dyDescent="0.25">
      <c r="A2656" s="12" t="str">
        <f t="shared" si="82"/>
        <v>962692026PREFEITURA MUNICIPAL DE CONTAGEMIM46269,6305555556</v>
      </c>
      <c r="B2656" s="12" t="str">
        <f t="shared" si="83"/>
        <v>Setembro</v>
      </c>
      <c r="C2656" s="8" t="s">
        <v>3080</v>
      </c>
      <c r="D2656" s="8" t="s">
        <v>664</v>
      </c>
      <c r="E2656" s="8" t="s">
        <v>1470</v>
      </c>
      <c r="F2656" s="23">
        <v>46269.630555555559</v>
      </c>
      <c r="G2656" s="8" t="s">
        <v>1142</v>
      </c>
      <c r="H2656" s="23">
        <v>46275</v>
      </c>
      <c r="I2656" s="23">
        <v>46269.630555555559</v>
      </c>
      <c r="J2656" s="10">
        <v>429.34</v>
      </c>
      <c r="K2656" s="10">
        <v>0</v>
      </c>
      <c r="L2656" s="24">
        <v>0</v>
      </c>
      <c r="M2656" s="10">
        <v>429.34</v>
      </c>
    </row>
    <row r="2657" spans="1:13" x14ac:dyDescent="0.25">
      <c r="A2657" s="12" t="str">
        <f t="shared" si="82"/>
        <v>978BATERLAY LTDANFE46135</v>
      </c>
      <c r="B2657" s="12" t="str">
        <f t="shared" si="83"/>
        <v>Junho</v>
      </c>
      <c r="C2657" s="8" t="s">
        <v>600</v>
      </c>
      <c r="D2657" s="8" t="s">
        <v>664</v>
      </c>
      <c r="E2657" s="8" t="s">
        <v>25</v>
      </c>
      <c r="F2657" s="23">
        <v>46135</v>
      </c>
      <c r="G2657" s="8" t="s">
        <v>380</v>
      </c>
      <c r="H2657" s="23">
        <v>46179</v>
      </c>
      <c r="I2657" s="23">
        <v>46135</v>
      </c>
      <c r="J2657" s="10">
        <v>2990</v>
      </c>
      <c r="K2657" s="10">
        <v>0</v>
      </c>
      <c r="L2657" s="24">
        <v>0</v>
      </c>
      <c r="M2657" s="10">
        <v>2990</v>
      </c>
    </row>
    <row r="2658" spans="1:13" x14ac:dyDescent="0.25">
      <c r="A2658" s="12" t="str">
        <f t="shared" si="82"/>
        <v>98ZAMBALDI AUTO CENTER LTDANFE46044</v>
      </c>
      <c r="B2658" s="12" t="str">
        <f t="shared" si="83"/>
        <v>Fevereiro</v>
      </c>
      <c r="C2658" s="8" t="s">
        <v>601</v>
      </c>
      <c r="D2658" s="8" t="s">
        <v>664</v>
      </c>
      <c r="E2658" s="8" t="s">
        <v>204</v>
      </c>
      <c r="F2658" s="23">
        <v>46044</v>
      </c>
      <c r="G2658" s="8" t="s">
        <v>380</v>
      </c>
      <c r="H2658" s="23">
        <v>46075</v>
      </c>
      <c r="I2658" s="23">
        <v>46048</v>
      </c>
      <c r="J2658" s="10">
        <v>322</v>
      </c>
      <c r="K2658" s="10">
        <v>0</v>
      </c>
      <c r="L2658" s="24">
        <v>0</v>
      </c>
      <c r="M2658" s="10">
        <v>322</v>
      </c>
    </row>
    <row r="2659" spans="1:13" x14ac:dyDescent="0.25">
      <c r="A2659" s="12" t="str">
        <f t="shared" si="82"/>
        <v>99ZAMBALDI AUTO CENTER LTDARCB46056,3909722222</v>
      </c>
      <c r="B2659" s="12" t="str">
        <f t="shared" si="83"/>
        <v>Fevereiro</v>
      </c>
      <c r="C2659" s="8" t="s">
        <v>1666</v>
      </c>
      <c r="D2659" s="8" t="s">
        <v>664</v>
      </c>
      <c r="E2659" s="8" t="s">
        <v>204</v>
      </c>
      <c r="F2659" s="23">
        <v>46056.390972222223</v>
      </c>
      <c r="G2659" s="8" t="s">
        <v>1045</v>
      </c>
      <c r="H2659" s="23">
        <v>46059</v>
      </c>
      <c r="I2659" s="23">
        <v>46056.390972222223</v>
      </c>
      <c r="J2659" s="10">
        <v>180</v>
      </c>
      <c r="K2659" s="10">
        <v>0</v>
      </c>
      <c r="L2659" s="24">
        <v>0</v>
      </c>
      <c r="M2659" s="10">
        <v>180</v>
      </c>
    </row>
    <row r="2660" spans="1:13" x14ac:dyDescent="0.25">
      <c r="A2660" s="12" t="str">
        <f t="shared" si="82"/>
        <v>993983TREVISO BETIM VEICULOS LTDANFE46035</v>
      </c>
      <c r="B2660" s="12" t="str">
        <f t="shared" si="83"/>
        <v>Fevereiro</v>
      </c>
      <c r="C2660" s="8" t="s">
        <v>602</v>
      </c>
      <c r="D2660" s="8" t="s">
        <v>653</v>
      </c>
      <c r="E2660" s="8" t="s">
        <v>190</v>
      </c>
      <c r="F2660" s="23">
        <v>46035</v>
      </c>
      <c r="G2660" s="8" t="s">
        <v>380</v>
      </c>
      <c r="H2660" s="23">
        <v>46063</v>
      </c>
      <c r="I2660" s="23">
        <v>46054</v>
      </c>
      <c r="J2660" s="10">
        <v>1808.48</v>
      </c>
      <c r="K2660" s="10">
        <v>0</v>
      </c>
      <c r="L2660" s="24">
        <v>0</v>
      </c>
      <c r="M2660" s="10">
        <v>1808.48</v>
      </c>
    </row>
    <row r="2661" spans="1:13" x14ac:dyDescent="0.25">
      <c r="A2661" s="12" t="str">
        <f t="shared" si="82"/>
        <v>994241TREVISO BETIM VEICULOS LTDANFE46036</v>
      </c>
      <c r="B2661" s="12" t="str">
        <f t="shared" si="83"/>
        <v>Fevereiro</v>
      </c>
      <c r="C2661" s="8" t="s">
        <v>603</v>
      </c>
      <c r="D2661" s="8" t="s">
        <v>653</v>
      </c>
      <c r="E2661" s="8" t="s">
        <v>190</v>
      </c>
      <c r="F2661" s="23">
        <v>46036</v>
      </c>
      <c r="G2661" s="8" t="s">
        <v>380</v>
      </c>
      <c r="H2661" s="23">
        <v>46064</v>
      </c>
      <c r="I2661" s="23">
        <v>46054</v>
      </c>
      <c r="J2661" s="10">
        <v>1808.48</v>
      </c>
      <c r="K2661" s="10">
        <v>0</v>
      </c>
      <c r="L2661" s="24">
        <v>0</v>
      </c>
      <c r="M2661" s="10">
        <v>1808.48</v>
      </c>
    </row>
    <row r="2662" spans="1:13" x14ac:dyDescent="0.25">
      <c r="A2662" s="12" t="str">
        <f t="shared" si="82"/>
        <v>994920TREVISO BETIM VEICULOS LTDANFE46041</v>
      </c>
      <c r="B2662" s="12" t="str">
        <f t="shared" si="83"/>
        <v>Fevereiro</v>
      </c>
      <c r="C2662" s="8" t="s">
        <v>604</v>
      </c>
      <c r="D2662" s="8" t="s">
        <v>653</v>
      </c>
      <c r="E2662" s="8" t="s">
        <v>190</v>
      </c>
      <c r="F2662" s="23">
        <v>46041</v>
      </c>
      <c r="G2662" s="8" t="s">
        <v>380</v>
      </c>
      <c r="H2662" s="23">
        <v>46069</v>
      </c>
      <c r="I2662" s="23">
        <v>46054</v>
      </c>
      <c r="J2662" s="10">
        <v>1808.48</v>
      </c>
      <c r="K2662" s="10">
        <v>0</v>
      </c>
      <c r="L2662" s="24">
        <v>0</v>
      </c>
      <c r="M2662" s="10">
        <v>1808.48</v>
      </c>
    </row>
    <row r="2663" spans="1:13" x14ac:dyDescent="0.25">
      <c r="A2663" s="12" t="str">
        <f t="shared" si="82"/>
        <v>996217TREVISO BETIM VEICULOS LTDANFE46048</v>
      </c>
      <c r="B2663" s="12" t="str">
        <f t="shared" si="83"/>
        <v>Fevereiro</v>
      </c>
      <c r="C2663" s="8" t="s">
        <v>605</v>
      </c>
      <c r="D2663" s="8" t="s">
        <v>653</v>
      </c>
      <c r="E2663" s="8" t="s">
        <v>190</v>
      </c>
      <c r="F2663" s="23">
        <v>46048</v>
      </c>
      <c r="G2663" s="8" t="s">
        <v>380</v>
      </c>
      <c r="H2663" s="23">
        <v>46076</v>
      </c>
      <c r="I2663" s="23">
        <v>46051</v>
      </c>
      <c r="J2663" s="10">
        <v>1748.52</v>
      </c>
      <c r="K2663" s="10">
        <v>0</v>
      </c>
      <c r="L2663" s="24">
        <v>0</v>
      </c>
      <c r="M2663" s="10">
        <v>1748.52</v>
      </c>
    </row>
    <row r="2664" spans="1:13" x14ac:dyDescent="0.25">
      <c r="A2664" s="12" t="str">
        <f t="shared" si="82"/>
        <v>996390TREVISO BETIM VEICULOS LTDANFE46049</v>
      </c>
      <c r="B2664" s="12" t="str">
        <f t="shared" si="83"/>
        <v>Fevereiro</v>
      </c>
      <c r="C2664" s="8" t="s">
        <v>606</v>
      </c>
      <c r="D2664" s="8" t="s">
        <v>653</v>
      </c>
      <c r="E2664" s="8" t="s">
        <v>190</v>
      </c>
      <c r="F2664" s="23">
        <v>46049</v>
      </c>
      <c r="G2664" s="8" t="s">
        <v>380</v>
      </c>
      <c r="H2664" s="23">
        <v>46077</v>
      </c>
      <c r="I2664" s="23">
        <v>46051</v>
      </c>
      <c r="J2664" s="10">
        <v>1808.48</v>
      </c>
      <c r="K2664" s="10">
        <v>0</v>
      </c>
      <c r="L2664" s="24">
        <v>0</v>
      </c>
      <c r="M2664" s="10">
        <v>1808.48</v>
      </c>
    </row>
    <row r="2665" spans="1:13" x14ac:dyDescent="0.25">
      <c r="A2665" s="12" t="str">
        <f t="shared" si="82"/>
        <v>996795SASCAR TECNOLOGIA E SEGURANÇA AUTOMOTICA S/ANSE46240</v>
      </c>
      <c r="B2665" s="12" t="str">
        <f t="shared" si="83"/>
        <v>Setembro</v>
      </c>
      <c r="C2665" s="8" t="s">
        <v>1019</v>
      </c>
      <c r="D2665" s="8" t="s">
        <v>1354</v>
      </c>
      <c r="E2665" s="8" t="s">
        <v>179</v>
      </c>
      <c r="F2665" s="23">
        <v>46240</v>
      </c>
      <c r="G2665" s="8" t="s">
        <v>665</v>
      </c>
      <c r="H2665" s="23">
        <v>46273</v>
      </c>
      <c r="I2665" s="23">
        <v>46245</v>
      </c>
      <c r="J2665" s="10">
        <v>357.45</v>
      </c>
      <c r="K2665" s="10">
        <v>0</v>
      </c>
      <c r="L2665" s="24">
        <v>0</v>
      </c>
      <c r="M2665" s="10">
        <v>357.45</v>
      </c>
    </row>
    <row r="2666" spans="1:13" x14ac:dyDescent="0.25">
      <c r="A2666" s="12" t="str">
        <f t="shared" si="82"/>
        <v>9979G PENTA LTDARCB46293,6458333333</v>
      </c>
      <c r="B2666" s="12" t="str">
        <f t="shared" si="83"/>
        <v>Outubro</v>
      </c>
      <c r="C2666" s="8" t="s">
        <v>3170</v>
      </c>
      <c r="D2666" s="8" t="s">
        <v>664</v>
      </c>
      <c r="E2666" s="8" t="s">
        <v>3171</v>
      </c>
      <c r="F2666" s="23">
        <v>46293.645833333336</v>
      </c>
      <c r="G2666" s="8" t="s">
        <v>1045</v>
      </c>
      <c r="H2666" s="23">
        <v>46296</v>
      </c>
      <c r="I2666" s="23">
        <v>46293.645833333336</v>
      </c>
      <c r="J2666" s="10">
        <v>770</v>
      </c>
      <c r="K2666" s="10">
        <v>0</v>
      </c>
      <c r="L2666" s="24">
        <v>0</v>
      </c>
      <c r="M2666" s="10">
        <v>770</v>
      </c>
    </row>
    <row r="2667" spans="1:13" x14ac:dyDescent="0.25">
      <c r="A2667" s="12" t="str">
        <f t="shared" si="82"/>
        <v>A.EX.J SUELYPORTO SEGURO CIA DE SEGUROS GERAISBL46112,7430555556</v>
      </c>
      <c r="B2667" s="12" t="str">
        <f t="shared" si="83"/>
        <v>Abril</v>
      </c>
      <c r="C2667" s="8" t="s">
        <v>2149</v>
      </c>
      <c r="D2667" s="8" t="s">
        <v>1354</v>
      </c>
      <c r="E2667" s="8" t="s">
        <v>2150</v>
      </c>
      <c r="F2667" s="23">
        <v>46112.743055555555</v>
      </c>
      <c r="G2667" s="8" t="s">
        <v>1463</v>
      </c>
      <c r="H2667" s="23">
        <v>46114</v>
      </c>
      <c r="I2667" s="23">
        <v>46112.743055555555</v>
      </c>
      <c r="J2667" s="10">
        <v>4099.33</v>
      </c>
      <c r="K2667" s="10">
        <v>0</v>
      </c>
      <c r="L2667" s="24">
        <v>0</v>
      </c>
      <c r="M2667" s="10">
        <v>4099.33</v>
      </c>
    </row>
    <row r="2668" spans="1:13" x14ac:dyDescent="0.25">
      <c r="A2668" s="12" t="str">
        <f t="shared" si="82"/>
        <v>A.EX.JC_LUIZ GLUIZ GUSTAVO BARBOSADEP46106,4958333333</v>
      </c>
      <c r="B2668" s="12" t="str">
        <f t="shared" si="83"/>
        <v>Abril</v>
      </c>
      <c r="C2668" s="8" t="s">
        <v>2189</v>
      </c>
      <c r="D2668" s="8" t="s">
        <v>1354</v>
      </c>
      <c r="E2668" s="8" t="s">
        <v>2190</v>
      </c>
      <c r="F2668" s="23">
        <v>46106.495833333334</v>
      </c>
      <c r="G2668" s="8" t="s">
        <v>1043</v>
      </c>
      <c r="H2668" s="23">
        <v>46118</v>
      </c>
      <c r="I2668" s="23">
        <v>46106.495833333334</v>
      </c>
      <c r="J2668" s="10">
        <v>5425</v>
      </c>
      <c r="K2668" s="10">
        <v>0</v>
      </c>
      <c r="L2668" s="24">
        <v>0</v>
      </c>
      <c r="M2668" s="10">
        <v>5425</v>
      </c>
    </row>
    <row r="2669" spans="1:13" x14ac:dyDescent="0.25">
      <c r="A2669" s="12" t="str">
        <f t="shared" si="82"/>
        <v>A.EX.JC_USO VEIUSO ALUGUEL DE VEICULOS LTDADEP46106,4840277778</v>
      </c>
      <c r="B2669" s="12" t="str">
        <f t="shared" si="83"/>
        <v>Abril</v>
      </c>
      <c r="C2669" s="8" t="s">
        <v>2191</v>
      </c>
      <c r="D2669" s="8" t="s">
        <v>1354</v>
      </c>
      <c r="E2669" s="8" t="s">
        <v>2192</v>
      </c>
      <c r="F2669" s="23">
        <v>46106.484027777777</v>
      </c>
      <c r="G2669" s="8" t="s">
        <v>1043</v>
      </c>
      <c r="H2669" s="23">
        <v>46118</v>
      </c>
      <c r="I2669" s="23">
        <v>46106.484027777777</v>
      </c>
      <c r="J2669" s="10">
        <v>3000</v>
      </c>
      <c r="K2669" s="10">
        <v>0</v>
      </c>
      <c r="L2669" s="24">
        <v>0</v>
      </c>
      <c r="M2669" s="10">
        <v>3000</v>
      </c>
    </row>
    <row r="2670" spans="1:13" x14ac:dyDescent="0.25">
      <c r="A2670" s="12" t="str">
        <f t="shared" si="82"/>
        <v>ACCON-284245LOCALIZA RENT A CAR SA - CONTAGEMFT46113</v>
      </c>
      <c r="B2670" s="12" t="str">
        <f t="shared" si="83"/>
        <v>Abril</v>
      </c>
      <c r="C2670" s="8" t="s">
        <v>279</v>
      </c>
      <c r="D2670" s="8" t="s">
        <v>1354</v>
      </c>
      <c r="E2670" s="8" t="s">
        <v>280</v>
      </c>
      <c r="F2670" s="23">
        <v>46113</v>
      </c>
      <c r="G2670" s="8" t="s">
        <v>232</v>
      </c>
      <c r="H2670" s="23">
        <v>46123</v>
      </c>
      <c r="I2670" s="23">
        <v>46120</v>
      </c>
      <c r="J2670" s="10">
        <v>3238.58</v>
      </c>
      <c r="K2670" s="10">
        <v>0</v>
      </c>
      <c r="L2670" s="24">
        <v>0</v>
      </c>
      <c r="M2670" s="10">
        <v>3238.58</v>
      </c>
    </row>
    <row r="2671" spans="1:13" x14ac:dyDescent="0.25">
      <c r="A2671" s="12" t="str">
        <f t="shared" si="82"/>
        <v>ACCON-284246LOCALIZA RENT A CAR SA - CONTAGEMFT46113</v>
      </c>
      <c r="B2671" s="12" t="str">
        <f t="shared" si="83"/>
        <v>Abril</v>
      </c>
      <c r="C2671" s="8" t="s">
        <v>283</v>
      </c>
      <c r="D2671" s="8" t="s">
        <v>1354</v>
      </c>
      <c r="E2671" s="8" t="s">
        <v>280</v>
      </c>
      <c r="F2671" s="23">
        <v>46113</v>
      </c>
      <c r="G2671" s="8" t="s">
        <v>232</v>
      </c>
      <c r="H2671" s="23">
        <v>46123</v>
      </c>
      <c r="I2671" s="23">
        <v>46120</v>
      </c>
      <c r="J2671" s="10">
        <v>50.06</v>
      </c>
      <c r="K2671" s="10">
        <v>0</v>
      </c>
      <c r="L2671" s="24">
        <v>0</v>
      </c>
      <c r="M2671" s="10">
        <v>50.06</v>
      </c>
    </row>
    <row r="2672" spans="1:13" x14ac:dyDescent="0.25">
      <c r="A2672" s="12" t="str">
        <f t="shared" si="82"/>
        <v>ACCON-284247LOCALIZA RENT A CAR SA - CONTAGEMFT46113</v>
      </c>
      <c r="B2672" s="12" t="str">
        <f t="shared" si="83"/>
        <v>Abril</v>
      </c>
      <c r="C2672" s="8" t="s">
        <v>284</v>
      </c>
      <c r="D2672" s="8" t="s">
        <v>1354</v>
      </c>
      <c r="E2672" s="8" t="s">
        <v>280</v>
      </c>
      <c r="F2672" s="23">
        <v>46113</v>
      </c>
      <c r="G2672" s="8" t="s">
        <v>232</v>
      </c>
      <c r="H2672" s="23">
        <v>46123</v>
      </c>
      <c r="I2672" s="23">
        <v>46120</v>
      </c>
      <c r="J2672" s="10">
        <v>3136.23</v>
      </c>
      <c r="K2672" s="10">
        <v>0</v>
      </c>
      <c r="L2672" s="24">
        <v>0</v>
      </c>
      <c r="M2672" s="10">
        <v>3136.23</v>
      </c>
    </row>
    <row r="2673" spans="1:13" x14ac:dyDescent="0.25">
      <c r="A2673" s="12" t="str">
        <f t="shared" si="82"/>
        <v>ACCON-284248LOCALIZA RENT A CAR SA - CONTAGEMFT46113</v>
      </c>
      <c r="B2673" s="12" t="str">
        <f t="shared" si="83"/>
        <v>Abril</v>
      </c>
      <c r="C2673" s="8" t="s">
        <v>285</v>
      </c>
      <c r="D2673" s="8" t="s">
        <v>1354</v>
      </c>
      <c r="E2673" s="8" t="s">
        <v>280</v>
      </c>
      <c r="F2673" s="23">
        <v>46113</v>
      </c>
      <c r="G2673" s="8" t="s">
        <v>232</v>
      </c>
      <c r="H2673" s="23">
        <v>46123</v>
      </c>
      <c r="I2673" s="23">
        <v>46120</v>
      </c>
      <c r="J2673" s="10">
        <v>50.06</v>
      </c>
      <c r="K2673" s="10">
        <v>0</v>
      </c>
      <c r="L2673" s="24">
        <v>0</v>
      </c>
      <c r="M2673" s="10">
        <v>50.06</v>
      </c>
    </row>
    <row r="2674" spans="1:13" x14ac:dyDescent="0.25">
      <c r="A2674" s="12" t="str">
        <f t="shared" si="82"/>
        <v>ACCON-284287LOCALIZA RENT A CAR SA - CONTAGEMFT46114</v>
      </c>
      <c r="B2674" s="12" t="str">
        <f t="shared" si="83"/>
        <v>Abril</v>
      </c>
      <c r="C2674" s="8" t="s">
        <v>286</v>
      </c>
      <c r="D2674" s="8" t="s">
        <v>1354</v>
      </c>
      <c r="E2674" s="8" t="s">
        <v>280</v>
      </c>
      <c r="F2674" s="23">
        <v>46114</v>
      </c>
      <c r="G2674" s="8" t="s">
        <v>232</v>
      </c>
      <c r="H2674" s="23">
        <v>46124</v>
      </c>
      <c r="I2674" s="23">
        <v>46120</v>
      </c>
      <c r="J2674" s="10">
        <v>209.08</v>
      </c>
      <c r="K2674" s="10">
        <v>0</v>
      </c>
      <c r="L2674" s="24">
        <v>0</v>
      </c>
      <c r="M2674" s="10">
        <v>209.08</v>
      </c>
    </row>
    <row r="2675" spans="1:13" x14ac:dyDescent="0.25">
      <c r="A2675" s="12" t="str">
        <f t="shared" si="82"/>
        <v>ACCON-284310LOCALIZA RENT A CAR SA - CONTAGEMFT46114</v>
      </c>
      <c r="B2675" s="12" t="str">
        <f t="shared" si="83"/>
        <v>Abril</v>
      </c>
      <c r="C2675" s="8" t="s">
        <v>287</v>
      </c>
      <c r="D2675" s="8" t="s">
        <v>1354</v>
      </c>
      <c r="E2675" s="8" t="s">
        <v>280</v>
      </c>
      <c r="F2675" s="23">
        <v>46114</v>
      </c>
      <c r="G2675" s="8" t="s">
        <v>232</v>
      </c>
      <c r="H2675" s="23">
        <v>46124</v>
      </c>
      <c r="I2675" s="23">
        <v>46120</v>
      </c>
      <c r="J2675" s="10">
        <v>287.42</v>
      </c>
      <c r="K2675" s="10">
        <v>0</v>
      </c>
      <c r="L2675" s="24">
        <v>0</v>
      </c>
      <c r="M2675" s="10">
        <v>287.42</v>
      </c>
    </row>
    <row r="2676" spans="1:13" x14ac:dyDescent="0.25">
      <c r="A2676" s="12" t="str">
        <f t="shared" si="82"/>
        <v>AEJX_RAYNNERRAYNNER ACACIO DA CONCEICAODEP46183,6583333333</v>
      </c>
      <c r="B2676" s="12" t="str">
        <f t="shared" si="83"/>
        <v>Junho</v>
      </c>
      <c r="C2676" s="8" t="s">
        <v>2612</v>
      </c>
      <c r="D2676" s="8" t="s">
        <v>1354</v>
      </c>
      <c r="E2676" s="8" t="s">
        <v>2613</v>
      </c>
      <c r="F2676" s="23">
        <v>46183.658333333333</v>
      </c>
      <c r="G2676" s="8" t="s">
        <v>1043</v>
      </c>
      <c r="H2676" s="23">
        <v>46188</v>
      </c>
      <c r="I2676" s="23">
        <v>46183.658333333333</v>
      </c>
      <c r="J2676" s="10">
        <v>4530.38</v>
      </c>
      <c r="K2676" s="10">
        <v>0</v>
      </c>
      <c r="L2676" s="24">
        <v>0</v>
      </c>
      <c r="M2676" s="10">
        <v>4530.38</v>
      </c>
    </row>
    <row r="2677" spans="1:13" x14ac:dyDescent="0.25">
      <c r="A2677" s="12" t="str">
        <f t="shared" si="82"/>
        <v>AEXJ_19/06/2026NILSON ALMEIDA DE FARIADEP46246,65625</v>
      </c>
      <c r="B2677" s="12" t="str">
        <f t="shared" si="83"/>
        <v>Agosto</v>
      </c>
      <c r="C2677" s="8" t="s">
        <v>2979</v>
      </c>
      <c r="D2677" s="8" t="s">
        <v>1354</v>
      </c>
      <c r="E2677" s="8" t="s">
        <v>2980</v>
      </c>
      <c r="F2677" s="23">
        <v>46246.65625</v>
      </c>
      <c r="G2677" s="8" t="s">
        <v>1043</v>
      </c>
      <c r="H2677" s="23">
        <v>46251</v>
      </c>
      <c r="I2677" s="23">
        <v>46246.65625</v>
      </c>
      <c r="J2677" s="10">
        <v>2794.9</v>
      </c>
      <c r="K2677" s="10">
        <v>0</v>
      </c>
      <c r="L2677" s="24">
        <v>0</v>
      </c>
      <c r="M2677" s="10">
        <v>2794.9</v>
      </c>
    </row>
    <row r="2678" spans="1:13" x14ac:dyDescent="0.25">
      <c r="A2678" s="12" t="str">
        <f t="shared" si="82"/>
        <v>AEXJ_23/07/2026Wallyson Ferreira de AlmeidaDEP46246,6361111111</v>
      </c>
      <c r="B2678" s="12" t="str">
        <f t="shared" si="83"/>
        <v>Agosto</v>
      </c>
      <c r="C2678" s="8" t="s">
        <v>2981</v>
      </c>
      <c r="D2678" s="8" t="s">
        <v>1354</v>
      </c>
      <c r="E2678" s="8" t="s">
        <v>2982</v>
      </c>
      <c r="F2678" s="23">
        <v>46246.636111111111</v>
      </c>
      <c r="G2678" s="8" t="s">
        <v>1043</v>
      </c>
      <c r="H2678" s="23">
        <v>46251</v>
      </c>
      <c r="I2678" s="23">
        <v>46246.636111111111</v>
      </c>
      <c r="J2678" s="10">
        <v>617.32000000000005</v>
      </c>
      <c r="K2678" s="10">
        <v>0</v>
      </c>
      <c r="L2678" s="24">
        <v>0</v>
      </c>
      <c r="M2678" s="10">
        <v>617.32000000000005</v>
      </c>
    </row>
    <row r="2679" spans="1:13" x14ac:dyDescent="0.25">
      <c r="A2679" s="12" t="str">
        <f t="shared" si="82"/>
        <v>AEXJ_SNT0A96_13SERGIO CAETANO GOMESDEP46246,6090277778</v>
      </c>
      <c r="B2679" s="12" t="str">
        <f t="shared" si="83"/>
        <v>Agosto</v>
      </c>
      <c r="C2679" s="8" t="s">
        <v>2983</v>
      </c>
      <c r="D2679" s="8" t="s">
        <v>1354</v>
      </c>
      <c r="E2679" s="8" t="s">
        <v>2984</v>
      </c>
      <c r="F2679" s="23">
        <v>46246.609027777777</v>
      </c>
      <c r="G2679" s="8" t="s">
        <v>1043</v>
      </c>
      <c r="H2679" s="23">
        <v>46251</v>
      </c>
      <c r="I2679" s="23">
        <v>46246.609027777777</v>
      </c>
      <c r="J2679" s="10">
        <v>800</v>
      </c>
      <c r="K2679" s="10">
        <v>0</v>
      </c>
      <c r="L2679" s="24">
        <v>0</v>
      </c>
      <c r="M2679" s="10">
        <v>800</v>
      </c>
    </row>
    <row r="2680" spans="1:13" x14ac:dyDescent="0.25">
      <c r="A2680" s="12" t="str">
        <f t="shared" si="82"/>
        <v>AFMTZ 2912938LOCALIZA FLEET S/AFT46006</v>
      </c>
      <c r="B2680" s="12" t="str">
        <f t="shared" si="83"/>
        <v>Janeiro</v>
      </c>
      <c r="C2680" s="8" t="s">
        <v>1365</v>
      </c>
      <c r="D2680" s="8" t="s">
        <v>1354</v>
      </c>
      <c r="E2680" s="8" t="s">
        <v>112</v>
      </c>
      <c r="F2680" s="23">
        <v>46006</v>
      </c>
      <c r="G2680" s="8" t="s">
        <v>232</v>
      </c>
      <c r="H2680" s="23">
        <v>46027</v>
      </c>
      <c r="I2680" s="23">
        <v>46021</v>
      </c>
      <c r="J2680" s="10">
        <v>1515</v>
      </c>
      <c r="K2680" s="10">
        <v>0</v>
      </c>
      <c r="L2680" s="24">
        <v>0</v>
      </c>
      <c r="M2680" s="10">
        <v>1515</v>
      </c>
    </row>
    <row r="2681" spans="1:13" x14ac:dyDescent="0.25">
      <c r="A2681" s="12" t="str">
        <f t="shared" si="82"/>
        <v>AFMTZ-2993231LOCALIZA FLEET S/AFT46037</v>
      </c>
      <c r="B2681" s="12" t="str">
        <f t="shared" si="83"/>
        <v>Janeiro</v>
      </c>
      <c r="C2681" s="8" t="s">
        <v>288</v>
      </c>
      <c r="D2681" s="8" t="s">
        <v>1354</v>
      </c>
      <c r="E2681" s="8" t="s">
        <v>112</v>
      </c>
      <c r="F2681" s="23">
        <v>46037</v>
      </c>
      <c r="G2681" s="8" t="s">
        <v>232</v>
      </c>
      <c r="H2681" s="23">
        <v>46052</v>
      </c>
      <c r="I2681" s="23">
        <v>46041</v>
      </c>
      <c r="J2681" s="10">
        <v>38471.300000000003</v>
      </c>
      <c r="K2681" s="10">
        <v>0</v>
      </c>
      <c r="L2681" s="24">
        <v>0</v>
      </c>
      <c r="M2681" s="10">
        <v>38471.300000000003</v>
      </c>
    </row>
    <row r="2682" spans="1:13" x14ac:dyDescent="0.25">
      <c r="A2682" s="12" t="str">
        <f t="shared" si="82"/>
        <v>AFMTZ-3075578LOCALIZA FLEET S/AFT46066</v>
      </c>
      <c r="B2682" s="12" t="str">
        <f t="shared" si="83"/>
        <v>Fevereiro</v>
      </c>
      <c r="C2682" s="8" t="s">
        <v>290</v>
      </c>
      <c r="D2682" s="8" t="s">
        <v>1354</v>
      </c>
      <c r="E2682" s="8" t="s">
        <v>112</v>
      </c>
      <c r="F2682" s="23">
        <v>46066</v>
      </c>
      <c r="G2682" s="8" t="s">
        <v>232</v>
      </c>
      <c r="H2682" s="23">
        <v>46081</v>
      </c>
      <c r="I2682" s="23">
        <v>46072</v>
      </c>
      <c r="J2682" s="10">
        <v>38471.300000000003</v>
      </c>
      <c r="K2682" s="10">
        <v>0</v>
      </c>
      <c r="L2682" s="24">
        <v>0</v>
      </c>
      <c r="M2682" s="10">
        <v>38471.300000000003</v>
      </c>
    </row>
    <row r="2683" spans="1:13" x14ac:dyDescent="0.25">
      <c r="A2683" s="12" t="str">
        <f t="shared" si="82"/>
        <v>AFMTZ-3076696LOCALIZA FLEET S/AFT46066</v>
      </c>
      <c r="B2683" s="12" t="str">
        <f t="shared" si="83"/>
        <v>Fevereiro</v>
      </c>
      <c r="C2683" s="8" t="s">
        <v>291</v>
      </c>
      <c r="D2683" s="8" t="s">
        <v>1354</v>
      </c>
      <c r="E2683" s="8" t="s">
        <v>112</v>
      </c>
      <c r="F2683" s="23">
        <v>46066</v>
      </c>
      <c r="G2683" s="8" t="s">
        <v>232</v>
      </c>
      <c r="H2683" s="23">
        <v>46081</v>
      </c>
      <c r="I2683" s="23">
        <v>46072</v>
      </c>
      <c r="J2683" s="10">
        <v>5151</v>
      </c>
      <c r="K2683" s="10">
        <v>0</v>
      </c>
      <c r="L2683" s="24">
        <v>0</v>
      </c>
      <c r="M2683" s="10">
        <v>5151</v>
      </c>
    </row>
    <row r="2684" spans="1:13" x14ac:dyDescent="0.25">
      <c r="A2684" s="12" t="str">
        <f t="shared" si="82"/>
        <v>AFMTZ-3157195LOCALIZA FLEET S/AFT46097</v>
      </c>
      <c r="B2684" s="12" t="str">
        <f t="shared" si="83"/>
        <v>Março</v>
      </c>
      <c r="C2684" s="8" t="s">
        <v>292</v>
      </c>
      <c r="D2684" s="8" t="s">
        <v>1354</v>
      </c>
      <c r="E2684" s="8" t="s">
        <v>112</v>
      </c>
      <c r="F2684" s="23">
        <v>46097</v>
      </c>
      <c r="G2684" s="8" t="s">
        <v>232</v>
      </c>
      <c r="H2684" s="23">
        <v>46111</v>
      </c>
      <c r="I2684" s="23">
        <v>46105</v>
      </c>
      <c r="J2684" s="10">
        <v>38471.300000000003</v>
      </c>
      <c r="K2684" s="10">
        <v>0</v>
      </c>
      <c r="L2684" s="24">
        <v>0</v>
      </c>
      <c r="M2684" s="10">
        <v>38471.300000000003</v>
      </c>
    </row>
    <row r="2685" spans="1:13" x14ac:dyDescent="0.25">
      <c r="A2685" s="12" t="str">
        <f t="shared" si="82"/>
        <v>AFMTZ-3240753LOCALIZA FLEET S/AFT46127</v>
      </c>
      <c r="B2685" s="12" t="str">
        <f t="shared" si="83"/>
        <v>Abril</v>
      </c>
      <c r="C2685" s="8" t="s">
        <v>293</v>
      </c>
      <c r="D2685" s="8" t="s">
        <v>1354</v>
      </c>
      <c r="E2685" s="8" t="s">
        <v>112</v>
      </c>
      <c r="F2685" s="23">
        <v>46127</v>
      </c>
      <c r="G2685" s="8" t="s">
        <v>232</v>
      </c>
      <c r="H2685" s="23">
        <v>46142</v>
      </c>
      <c r="I2685" s="23">
        <v>46134</v>
      </c>
      <c r="J2685" s="10">
        <v>32754.3</v>
      </c>
      <c r="K2685" s="10">
        <v>0</v>
      </c>
      <c r="L2685" s="24">
        <v>0</v>
      </c>
      <c r="M2685" s="10">
        <v>32754.3</v>
      </c>
    </row>
    <row r="2686" spans="1:13" x14ac:dyDescent="0.25">
      <c r="A2686" s="12" t="str">
        <f t="shared" si="82"/>
        <v>AFMTZ-3324745LOCALIZA FLEET S/AFT46157</v>
      </c>
      <c r="B2686" s="12" t="str">
        <f t="shared" si="83"/>
        <v>Maio</v>
      </c>
      <c r="C2686" s="8" t="s">
        <v>294</v>
      </c>
      <c r="D2686" s="8" t="s">
        <v>1354</v>
      </c>
      <c r="E2686" s="8" t="s">
        <v>112</v>
      </c>
      <c r="F2686" s="23">
        <v>46157</v>
      </c>
      <c r="G2686" s="8" t="s">
        <v>232</v>
      </c>
      <c r="H2686" s="23">
        <v>46172</v>
      </c>
      <c r="I2686" s="23">
        <v>46163</v>
      </c>
      <c r="J2686" s="10">
        <v>34681.019999999997</v>
      </c>
      <c r="K2686" s="10">
        <v>0</v>
      </c>
      <c r="L2686" s="24">
        <v>0</v>
      </c>
      <c r="M2686" s="10">
        <v>34681.019999999997</v>
      </c>
    </row>
    <row r="2687" spans="1:13" x14ac:dyDescent="0.25">
      <c r="A2687" s="12" t="str">
        <f t="shared" si="82"/>
        <v>AFMTZ-3411176LOCALIZA FLEET S/AFT46188</v>
      </c>
      <c r="B2687" s="12" t="str">
        <f t="shared" si="83"/>
        <v>Julho</v>
      </c>
      <c r="C2687" s="8" t="s">
        <v>295</v>
      </c>
      <c r="D2687" s="8" t="s">
        <v>1354</v>
      </c>
      <c r="E2687" s="8" t="s">
        <v>112</v>
      </c>
      <c r="F2687" s="23">
        <v>46188</v>
      </c>
      <c r="G2687" s="8" t="s">
        <v>232</v>
      </c>
      <c r="H2687" s="23">
        <v>46233</v>
      </c>
      <c r="I2687" s="23">
        <v>46225</v>
      </c>
      <c r="J2687" s="10">
        <v>66865.02</v>
      </c>
      <c r="K2687" s="10">
        <v>0</v>
      </c>
      <c r="L2687" s="24">
        <v>0</v>
      </c>
      <c r="M2687" s="10">
        <v>66865.02</v>
      </c>
    </row>
    <row r="2688" spans="1:13" x14ac:dyDescent="0.25">
      <c r="A2688" s="12" t="str">
        <f t="shared" si="82"/>
        <v>AFMTZ-3496731LOCALIZA FLEET S/AFT46218</v>
      </c>
      <c r="B2688" s="12" t="str">
        <f t="shared" si="83"/>
        <v>Julho</v>
      </c>
      <c r="C2688" s="8" t="s">
        <v>296</v>
      </c>
      <c r="D2688" s="8" t="s">
        <v>1354</v>
      </c>
      <c r="E2688" s="8" t="s">
        <v>112</v>
      </c>
      <c r="F2688" s="23">
        <v>46218</v>
      </c>
      <c r="G2688" s="8" t="s">
        <v>232</v>
      </c>
      <c r="H2688" s="23">
        <v>46233</v>
      </c>
      <c r="I2688" s="23">
        <v>46223</v>
      </c>
      <c r="J2688" s="10">
        <v>2230.69</v>
      </c>
      <c r="K2688" s="10">
        <v>0</v>
      </c>
      <c r="L2688" s="24">
        <v>0</v>
      </c>
      <c r="M2688" s="10">
        <v>2230.69</v>
      </c>
    </row>
    <row r="2689" spans="1:13" x14ac:dyDescent="0.25">
      <c r="A2689" s="12" t="str">
        <f t="shared" si="82"/>
        <v>AFMTZ-3498123LOCALIZA FLEET S/AFT46218</v>
      </c>
      <c r="B2689" s="12" t="str">
        <f t="shared" si="83"/>
        <v>Julho</v>
      </c>
      <c r="C2689" s="8" t="s">
        <v>297</v>
      </c>
      <c r="D2689" s="8" t="s">
        <v>1354</v>
      </c>
      <c r="E2689" s="8" t="s">
        <v>112</v>
      </c>
      <c r="F2689" s="23">
        <v>46218</v>
      </c>
      <c r="G2689" s="8" t="s">
        <v>232</v>
      </c>
      <c r="H2689" s="23">
        <v>46233</v>
      </c>
      <c r="I2689" s="23">
        <v>46223</v>
      </c>
      <c r="J2689" s="10">
        <v>37605.03</v>
      </c>
      <c r="K2689" s="10">
        <v>0</v>
      </c>
      <c r="L2689" s="24">
        <v>0</v>
      </c>
      <c r="M2689" s="10">
        <v>37605.03</v>
      </c>
    </row>
    <row r="2690" spans="1:13" x14ac:dyDescent="0.25">
      <c r="A2690" s="12" t="str">
        <f t="shared" ref="A2690:A2753" si="84">$C2690&amp;$E2690&amp;$G2690&amp;$F2690</f>
        <v>AFMTZ-3597995LOCALIZA FLEET S/AFT46249</v>
      </c>
      <c r="B2690" s="12" t="str">
        <f t="shared" si="83"/>
        <v>Agosto</v>
      </c>
      <c r="C2690" s="8" t="s">
        <v>298</v>
      </c>
      <c r="D2690" s="8" t="s">
        <v>1354</v>
      </c>
      <c r="E2690" s="8" t="s">
        <v>112</v>
      </c>
      <c r="F2690" s="23">
        <v>46249</v>
      </c>
      <c r="G2690" s="8" t="s">
        <v>232</v>
      </c>
      <c r="H2690" s="23">
        <v>46264</v>
      </c>
      <c r="I2690" s="23">
        <v>46253</v>
      </c>
      <c r="J2690" s="10">
        <v>29819.52</v>
      </c>
      <c r="K2690" s="10">
        <v>0</v>
      </c>
      <c r="L2690" s="24">
        <v>0</v>
      </c>
      <c r="M2690" s="10">
        <v>29819.52</v>
      </c>
    </row>
    <row r="2691" spans="1:13" x14ac:dyDescent="0.25">
      <c r="A2691" s="12" t="str">
        <f t="shared" si="84"/>
        <v>AFMTZ-3608035LOCALIZA FLEET S/AFT46251</v>
      </c>
      <c r="B2691" s="12" t="str">
        <f t="shared" ref="B2691:B2754" si="85">PROPER(TEXT($H2691,"MMMM"))</f>
        <v>Agosto</v>
      </c>
      <c r="C2691" s="8" t="s">
        <v>299</v>
      </c>
      <c r="D2691" s="8" t="s">
        <v>1354</v>
      </c>
      <c r="E2691" s="8" t="s">
        <v>112</v>
      </c>
      <c r="F2691" s="23">
        <v>46251</v>
      </c>
      <c r="G2691" s="8" t="s">
        <v>232</v>
      </c>
      <c r="H2691" s="23">
        <v>46264</v>
      </c>
      <c r="I2691" s="23">
        <v>46253</v>
      </c>
      <c r="J2691" s="10">
        <v>11153.45</v>
      </c>
      <c r="K2691" s="10">
        <v>0</v>
      </c>
      <c r="L2691" s="24">
        <v>0</v>
      </c>
      <c r="M2691" s="10">
        <v>11153.45</v>
      </c>
    </row>
    <row r="2692" spans="1:13" x14ac:dyDescent="0.25">
      <c r="A2692" s="12" t="str">
        <f t="shared" si="84"/>
        <v>AFMTZ-3694869LOCALIZA FLEET S/AFT46280</v>
      </c>
      <c r="B2692" s="12" t="str">
        <f t="shared" si="85"/>
        <v>Setembro</v>
      </c>
      <c r="C2692" s="8" t="s">
        <v>300</v>
      </c>
      <c r="D2692" s="8" t="s">
        <v>1354</v>
      </c>
      <c r="E2692" s="8" t="s">
        <v>112</v>
      </c>
      <c r="F2692" s="23">
        <v>46280</v>
      </c>
      <c r="G2692" s="8" t="s">
        <v>232</v>
      </c>
      <c r="H2692" s="23">
        <v>46295</v>
      </c>
      <c r="I2692" s="23">
        <v>46286</v>
      </c>
      <c r="J2692" s="10">
        <v>37548</v>
      </c>
      <c r="K2692" s="10">
        <v>0</v>
      </c>
      <c r="L2692" s="24">
        <v>0</v>
      </c>
      <c r="M2692" s="10">
        <v>37548</v>
      </c>
    </row>
    <row r="2693" spans="1:13" x14ac:dyDescent="0.25">
      <c r="A2693" s="12" t="str">
        <f t="shared" si="84"/>
        <v>AG06856223MUNICIPIO DE PONTE NOVAMUL46129</v>
      </c>
      <c r="B2693" s="12" t="str">
        <f t="shared" si="85"/>
        <v>Maio</v>
      </c>
      <c r="C2693" s="8" t="s">
        <v>2329</v>
      </c>
      <c r="D2693" s="8" t="s">
        <v>1491</v>
      </c>
      <c r="E2693" s="8" t="s">
        <v>2330</v>
      </c>
      <c r="F2693" s="23">
        <v>46129</v>
      </c>
      <c r="G2693" s="8" t="s">
        <v>1491</v>
      </c>
      <c r="H2693" s="23">
        <v>46157</v>
      </c>
      <c r="I2693" s="23">
        <v>46129</v>
      </c>
      <c r="J2693" s="10">
        <v>195.23</v>
      </c>
      <c r="K2693" s="10">
        <v>78.09</v>
      </c>
      <c r="L2693" s="24">
        <v>0</v>
      </c>
      <c r="M2693" s="10">
        <v>117.14</v>
      </c>
    </row>
    <row r="2694" spans="1:13" x14ac:dyDescent="0.25">
      <c r="A2694" s="12" t="str">
        <f t="shared" si="84"/>
        <v>AG07660477MUNICIPIO DE JUIZ DE FORAmul46118</v>
      </c>
      <c r="B2694" s="12" t="str">
        <f t="shared" si="85"/>
        <v>Abril</v>
      </c>
      <c r="C2694" s="8" t="s">
        <v>2228</v>
      </c>
      <c r="D2694" s="8" t="s">
        <v>1491</v>
      </c>
      <c r="E2694" s="8" t="s">
        <v>2229</v>
      </c>
      <c r="F2694" s="23">
        <v>46118</v>
      </c>
      <c r="G2694" s="8" t="s">
        <v>1493</v>
      </c>
      <c r="H2694" s="23">
        <v>46136</v>
      </c>
      <c r="I2694" s="23">
        <v>46118</v>
      </c>
      <c r="J2694" s="10">
        <v>195.23</v>
      </c>
      <c r="K2694" s="10">
        <v>78.09</v>
      </c>
      <c r="L2694" s="24">
        <v>0</v>
      </c>
      <c r="M2694" s="10">
        <v>117.14</v>
      </c>
    </row>
    <row r="2695" spans="1:13" x14ac:dyDescent="0.25">
      <c r="A2695" s="12" t="str">
        <f t="shared" si="84"/>
        <v>AG07666000MUNICIPIO DE JUIZ DE FORAmul46129</v>
      </c>
      <c r="B2695" s="12" t="str">
        <f t="shared" si="85"/>
        <v>Maio</v>
      </c>
      <c r="C2695" s="8" t="s">
        <v>2328</v>
      </c>
      <c r="D2695" s="8" t="s">
        <v>1491</v>
      </c>
      <c r="E2695" s="8" t="s">
        <v>2229</v>
      </c>
      <c r="F2695" s="23">
        <v>46129</v>
      </c>
      <c r="G2695" s="8" t="s">
        <v>1493</v>
      </c>
      <c r="H2695" s="23">
        <v>46156</v>
      </c>
      <c r="I2695" s="23">
        <v>46129</v>
      </c>
      <c r="J2695" s="10">
        <v>130.16</v>
      </c>
      <c r="K2695" s="10">
        <v>52.06</v>
      </c>
      <c r="L2695" s="24">
        <v>0</v>
      </c>
      <c r="M2695" s="10">
        <v>78.099999999999994</v>
      </c>
    </row>
    <row r="2696" spans="1:13" x14ac:dyDescent="0.25">
      <c r="A2696" s="12" t="str">
        <f t="shared" si="84"/>
        <v>AG07680817MUNICIPIO DE JUIZ DE FORAmul46227</v>
      </c>
      <c r="B2696" s="12" t="str">
        <f t="shared" si="85"/>
        <v>Agosto</v>
      </c>
      <c r="C2696" s="8" t="s">
        <v>2884</v>
      </c>
      <c r="D2696" s="8" t="s">
        <v>1491</v>
      </c>
      <c r="E2696" s="8" t="s">
        <v>2229</v>
      </c>
      <c r="F2696" s="23">
        <v>46227</v>
      </c>
      <c r="G2696" s="8" t="s">
        <v>1493</v>
      </c>
      <c r="H2696" s="23">
        <v>46248</v>
      </c>
      <c r="I2696" s="23">
        <v>46227</v>
      </c>
      <c r="J2696" s="10">
        <v>130.16</v>
      </c>
      <c r="K2696" s="10">
        <v>26.03</v>
      </c>
      <c r="L2696" s="24">
        <v>0</v>
      </c>
      <c r="M2696" s="10">
        <v>104.13</v>
      </c>
    </row>
    <row r="2697" spans="1:13" x14ac:dyDescent="0.25">
      <c r="A2697" s="12" t="str">
        <f t="shared" si="84"/>
        <v>AG08363486DEPARTAMENTO ESTADUAL DE TRANSITO DE PERNAMBUCOMUL46288</v>
      </c>
      <c r="B2697" s="12" t="str">
        <f t="shared" si="85"/>
        <v>Outubro</v>
      </c>
      <c r="C2697" s="8" t="s">
        <v>3182</v>
      </c>
      <c r="D2697" s="8" t="s">
        <v>1491</v>
      </c>
      <c r="E2697" s="8" t="s">
        <v>1724</v>
      </c>
      <c r="F2697" s="23">
        <v>46288</v>
      </c>
      <c r="G2697" s="8" t="s">
        <v>1491</v>
      </c>
      <c r="H2697" s="23">
        <v>46300</v>
      </c>
      <c r="I2697" s="23">
        <v>46288</v>
      </c>
      <c r="J2697" s="10">
        <v>130.16</v>
      </c>
      <c r="K2697" s="10">
        <v>26.03</v>
      </c>
      <c r="L2697" s="24">
        <v>0</v>
      </c>
      <c r="M2697" s="10">
        <v>104.13</v>
      </c>
    </row>
    <row r="2698" spans="1:13" x14ac:dyDescent="0.25">
      <c r="A2698" s="12" t="str">
        <f t="shared" si="84"/>
        <v>AG08769793MUNICIPIO DE POUSO ALEGREMUL46063</v>
      </c>
      <c r="B2698" s="12" t="str">
        <f t="shared" si="85"/>
        <v>Março</v>
      </c>
      <c r="C2698" s="8" t="s">
        <v>1814</v>
      </c>
      <c r="D2698" s="8" t="s">
        <v>1491</v>
      </c>
      <c r="E2698" s="8" t="s">
        <v>1815</v>
      </c>
      <c r="F2698" s="23">
        <v>46063</v>
      </c>
      <c r="G2698" s="8" t="s">
        <v>1491</v>
      </c>
      <c r="H2698" s="23">
        <v>46092</v>
      </c>
      <c r="I2698" s="23">
        <v>46063</v>
      </c>
      <c r="J2698" s="10">
        <v>195.23</v>
      </c>
      <c r="K2698" s="10">
        <v>39.04</v>
      </c>
      <c r="L2698" s="24">
        <v>0</v>
      </c>
      <c r="M2698" s="10">
        <v>156.19</v>
      </c>
    </row>
    <row r="2699" spans="1:13" x14ac:dyDescent="0.25">
      <c r="A2699" s="12" t="str">
        <f t="shared" si="84"/>
        <v>AG09554233PREFEITURA MUNICIPAL DE BARBACENAMUL46149</v>
      </c>
      <c r="B2699" s="12" t="str">
        <f t="shared" si="85"/>
        <v>Junho</v>
      </c>
      <c r="C2699" s="8" t="s">
        <v>2413</v>
      </c>
      <c r="D2699" s="8" t="s">
        <v>1491</v>
      </c>
      <c r="E2699" s="8" t="s">
        <v>2414</v>
      </c>
      <c r="F2699" s="23">
        <v>46149</v>
      </c>
      <c r="G2699" s="8" t="s">
        <v>1491</v>
      </c>
      <c r="H2699" s="23">
        <v>46181</v>
      </c>
      <c r="I2699" s="23">
        <v>46149</v>
      </c>
      <c r="J2699" s="10">
        <v>293.47000000000003</v>
      </c>
      <c r="K2699" s="10">
        <v>117.38</v>
      </c>
      <c r="L2699" s="24">
        <v>0</v>
      </c>
      <c r="M2699" s="10">
        <v>176.09</v>
      </c>
    </row>
    <row r="2700" spans="1:13" x14ac:dyDescent="0.25">
      <c r="A2700" s="12" t="str">
        <f t="shared" si="84"/>
        <v>AG09798428MUNICIPIO DE ITAUNAmul46128</v>
      </c>
      <c r="B2700" s="12" t="str">
        <f t="shared" si="85"/>
        <v>Maio</v>
      </c>
      <c r="C2700" s="8" t="s">
        <v>2331</v>
      </c>
      <c r="D2700" s="8" t="s">
        <v>1491</v>
      </c>
      <c r="E2700" s="8" t="s">
        <v>2332</v>
      </c>
      <c r="F2700" s="23">
        <v>46128</v>
      </c>
      <c r="G2700" s="8" t="s">
        <v>1493</v>
      </c>
      <c r="H2700" s="23">
        <v>46160</v>
      </c>
      <c r="I2700" s="23">
        <v>46128</v>
      </c>
      <c r="J2700" s="10">
        <v>293.47000000000003</v>
      </c>
      <c r="K2700" s="10">
        <v>117.38</v>
      </c>
      <c r="L2700" s="24">
        <v>0</v>
      </c>
      <c r="M2700" s="10">
        <v>176.09</v>
      </c>
    </row>
    <row r="2701" spans="1:13" x14ac:dyDescent="0.25">
      <c r="A2701" s="12" t="str">
        <f t="shared" si="84"/>
        <v>AG09798696MUNICIPIO DE ITAUNAMUL46149</v>
      </c>
      <c r="B2701" s="12" t="str">
        <f t="shared" si="85"/>
        <v>Maio</v>
      </c>
      <c r="C2701" s="8" t="s">
        <v>2420</v>
      </c>
      <c r="D2701" s="8" t="s">
        <v>1491</v>
      </c>
      <c r="E2701" s="8" t="s">
        <v>2332</v>
      </c>
      <c r="F2701" s="23">
        <v>46149</v>
      </c>
      <c r="G2701" s="8" t="s">
        <v>1491</v>
      </c>
      <c r="H2701" s="23">
        <v>46167</v>
      </c>
      <c r="I2701" s="23">
        <v>46149</v>
      </c>
      <c r="J2701" s="10">
        <v>130.16</v>
      </c>
      <c r="K2701" s="10">
        <v>52.06</v>
      </c>
      <c r="L2701" s="24">
        <v>0</v>
      </c>
      <c r="M2701" s="10">
        <v>78.099999999999994</v>
      </c>
    </row>
    <row r="2702" spans="1:13" x14ac:dyDescent="0.25">
      <c r="A2702" s="12" t="str">
        <f t="shared" si="84"/>
        <v>AG09941972DEPARTAMENTO ESTADUAL DE TRANSITO DE PERNAMBUCOMUL46072</v>
      </c>
      <c r="B2702" s="12" t="str">
        <f t="shared" si="85"/>
        <v>Abril</v>
      </c>
      <c r="C2702" s="8" t="s">
        <v>1938</v>
      </c>
      <c r="D2702" s="8" t="s">
        <v>1491</v>
      </c>
      <c r="E2702" s="8" t="s">
        <v>1724</v>
      </c>
      <c r="F2702" s="23">
        <v>46072</v>
      </c>
      <c r="G2702" s="8" t="s">
        <v>1491</v>
      </c>
      <c r="H2702" s="23">
        <v>46135</v>
      </c>
      <c r="I2702" s="23">
        <v>46072</v>
      </c>
      <c r="J2702" s="10">
        <v>195.23</v>
      </c>
      <c r="K2702" s="10">
        <v>39.04</v>
      </c>
      <c r="L2702" s="24">
        <v>0</v>
      </c>
      <c r="M2702" s="10">
        <v>156.19</v>
      </c>
    </row>
    <row r="2703" spans="1:13" x14ac:dyDescent="0.25">
      <c r="A2703" s="12" t="str">
        <f t="shared" si="84"/>
        <v>AG10220755MUNICIPIO DE RIBEIRAO DAS NEVESMUL46044</v>
      </c>
      <c r="B2703" s="12" t="str">
        <f t="shared" si="85"/>
        <v>Fevereiro</v>
      </c>
      <c r="C2703" s="8" t="s">
        <v>1650</v>
      </c>
      <c r="D2703" s="8" t="s">
        <v>1491</v>
      </c>
      <c r="E2703" s="8" t="s">
        <v>1651</v>
      </c>
      <c r="F2703" s="23">
        <v>46044</v>
      </c>
      <c r="G2703" s="8" t="s">
        <v>1491</v>
      </c>
      <c r="H2703" s="23">
        <v>46074</v>
      </c>
      <c r="I2703" s="23">
        <v>46044</v>
      </c>
      <c r="J2703" s="10">
        <v>195.23</v>
      </c>
      <c r="K2703" s="10">
        <v>39.04</v>
      </c>
      <c r="L2703" s="24">
        <v>0</v>
      </c>
      <c r="M2703" s="10">
        <v>156.19</v>
      </c>
    </row>
    <row r="2704" spans="1:13" x14ac:dyDescent="0.25">
      <c r="A2704" s="12" t="str">
        <f t="shared" si="84"/>
        <v>AG10241061MUNICIPIO DE RIBEIRAO DAS NEVESmul46181</v>
      </c>
      <c r="B2704" s="12" t="str">
        <f t="shared" si="85"/>
        <v>Julho</v>
      </c>
      <c r="C2704" s="8" t="s">
        <v>2608</v>
      </c>
      <c r="D2704" s="8" t="s">
        <v>1491</v>
      </c>
      <c r="E2704" s="8" t="s">
        <v>1651</v>
      </c>
      <c r="F2704" s="23">
        <v>46181</v>
      </c>
      <c r="G2704" s="8" t="s">
        <v>1493</v>
      </c>
      <c r="H2704" s="23">
        <v>46220</v>
      </c>
      <c r="I2704" s="23">
        <v>46181</v>
      </c>
      <c r="J2704" s="10">
        <v>195.23</v>
      </c>
      <c r="K2704" s="10">
        <v>78.09</v>
      </c>
      <c r="L2704" s="24">
        <v>0</v>
      </c>
      <c r="M2704" s="10">
        <v>117.14</v>
      </c>
    </row>
    <row r="2705" spans="1:13" x14ac:dyDescent="0.25">
      <c r="A2705" s="12" t="str">
        <f t="shared" si="84"/>
        <v>AG10249574MUNICIPIO DE RIBEIRAO DAS NEVESMUL46227</v>
      </c>
      <c r="B2705" s="12" t="str">
        <f t="shared" si="85"/>
        <v>Agosto</v>
      </c>
      <c r="C2705" s="8" t="s">
        <v>2878</v>
      </c>
      <c r="D2705" s="8" t="s">
        <v>1491</v>
      </c>
      <c r="E2705" s="8" t="s">
        <v>1651</v>
      </c>
      <c r="F2705" s="23">
        <v>46227</v>
      </c>
      <c r="G2705" s="8" t="s">
        <v>1491</v>
      </c>
      <c r="H2705" s="23">
        <v>46245</v>
      </c>
      <c r="I2705" s="23">
        <v>46227</v>
      </c>
      <c r="J2705" s="10">
        <v>195.23</v>
      </c>
      <c r="K2705" s="10">
        <v>39.04</v>
      </c>
      <c r="L2705" s="24">
        <v>0</v>
      </c>
      <c r="M2705" s="10">
        <v>156.19</v>
      </c>
    </row>
    <row r="2706" spans="1:13" x14ac:dyDescent="0.25">
      <c r="A2706" s="12" t="str">
        <f t="shared" si="84"/>
        <v>AG10460113MUNICIPIO DE ITABIRITOMUL46077</v>
      </c>
      <c r="B2706" s="12" t="str">
        <f t="shared" si="85"/>
        <v>Março</v>
      </c>
      <c r="C2706" s="8" t="s">
        <v>1941</v>
      </c>
      <c r="D2706" s="8" t="s">
        <v>1491</v>
      </c>
      <c r="E2706" s="8" t="s">
        <v>1942</v>
      </c>
      <c r="F2706" s="23">
        <v>46077</v>
      </c>
      <c r="G2706" s="8" t="s">
        <v>1491</v>
      </c>
      <c r="H2706" s="23">
        <v>46104</v>
      </c>
      <c r="I2706" s="23">
        <v>46077</v>
      </c>
      <c r="J2706" s="10">
        <v>293.47000000000003</v>
      </c>
      <c r="K2706" s="10">
        <v>117.38</v>
      </c>
      <c r="L2706" s="24">
        <v>0</v>
      </c>
      <c r="M2706" s="10">
        <v>176.09</v>
      </c>
    </row>
    <row r="2707" spans="1:13" x14ac:dyDescent="0.25">
      <c r="A2707" s="12" t="str">
        <f t="shared" si="84"/>
        <v>AG10473105DEPARTAMENTO ESTADUAL DE TRANSITO DE PERNAMBUCOMUL46240</v>
      </c>
      <c r="B2707" s="12" t="str">
        <f t="shared" si="85"/>
        <v>Agosto</v>
      </c>
      <c r="C2707" s="8" t="s">
        <v>2952</v>
      </c>
      <c r="D2707" s="8" t="s">
        <v>1491</v>
      </c>
      <c r="E2707" s="8" t="s">
        <v>1724</v>
      </c>
      <c r="F2707" s="23">
        <v>46240</v>
      </c>
      <c r="G2707" s="8" t="s">
        <v>1491</v>
      </c>
      <c r="H2707" s="23">
        <v>46255</v>
      </c>
      <c r="I2707" s="23">
        <v>46240</v>
      </c>
      <c r="J2707" s="10">
        <v>130.16</v>
      </c>
      <c r="K2707" s="10">
        <v>26.03</v>
      </c>
      <c r="L2707" s="24">
        <v>0</v>
      </c>
      <c r="M2707" s="10">
        <v>104.13</v>
      </c>
    </row>
    <row r="2708" spans="1:13" x14ac:dyDescent="0.25">
      <c r="A2708" s="12" t="str">
        <f t="shared" si="84"/>
        <v>AG10538106MUNICIPIO DE SANTA LUZIAMUL46254</v>
      </c>
      <c r="B2708" s="12" t="str">
        <f t="shared" si="85"/>
        <v>Setembro</v>
      </c>
      <c r="C2708" s="8" t="s">
        <v>3032</v>
      </c>
      <c r="D2708" s="8" t="s">
        <v>1491</v>
      </c>
      <c r="E2708" s="8" t="s">
        <v>2324</v>
      </c>
      <c r="F2708" s="23">
        <v>46254</v>
      </c>
      <c r="G2708" s="8" t="s">
        <v>1491</v>
      </c>
      <c r="H2708" s="23">
        <v>46273</v>
      </c>
      <c r="I2708" s="23">
        <v>46254</v>
      </c>
      <c r="J2708" s="10">
        <v>130.16</v>
      </c>
      <c r="K2708" s="10">
        <v>52.06</v>
      </c>
      <c r="L2708" s="24">
        <v>0</v>
      </c>
      <c r="M2708" s="10">
        <v>78.099999999999994</v>
      </c>
    </row>
    <row r="2709" spans="1:13" x14ac:dyDescent="0.25">
      <c r="A2709" s="12" t="str">
        <f t="shared" si="84"/>
        <v>AG10551376MUNICIPIO DE SANTA LUZIAMUL46132</v>
      </c>
      <c r="B2709" s="12" t="str">
        <f t="shared" si="85"/>
        <v>Maio</v>
      </c>
      <c r="C2709" s="8" t="s">
        <v>2323</v>
      </c>
      <c r="D2709" s="8" t="s">
        <v>1491</v>
      </c>
      <c r="E2709" s="8" t="s">
        <v>2324</v>
      </c>
      <c r="F2709" s="23">
        <v>46132</v>
      </c>
      <c r="G2709" s="8" t="s">
        <v>1491</v>
      </c>
      <c r="H2709" s="23">
        <v>46144</v>
      </c>
      <c r="I2709" s="23">
        <v>46132</v>
      </c>
      <c r="J2709" s="10">
        <v>195.23</v>
      </c>
      <c r="K2709" s="10">
        <v>78.09</v>
      </c>
      <c r="L2709" s="24">
        <v>0</v>
      </c>
      <c r="M2709" s="10">
        <v>117.14</v>
      </c>
    </row>
    <row r="2710" spans="1:13" x14ac:dyDescent="0.25">
      <c r="A2710" s="12" t="str">
        <f t="shared" si="84"/>
        <v>AGMTZ-10775101LOCALIZA RENT A CAR SAFT46015</v>
      </c>
      <c r="B2710" s="12" t="str">
        <f t="shared" si="85"/>
        <v>Janeiro</v>
      </c>
      <c r="C2710" s="8" t="s">
        <v>1363</v>
      </c>
      <c r="D2710" s="8" t="s">
        <v>1354</v>
      </c>
      <c r="E2710" s="8" t="s">
        <v>303</v>
      </c>
      <c r="F2710" s="23">
        <v>46015</v>
      </c>
      <c r="G2710" s="8" t="s">
        <v>232</v>
      </c>
      <c r="H2710" s="23">
        <v>46025</v>
      </c>
      <c r="I2710" s="23">
        <v>46021</v>
      </c>
      <c r="J2710" s="10">
        <v>204.99</v>
      </c>
      <c r="K2710" s="10">
        <v>0</v>
      </c>
      <c r="L2710" s="24">
        <v>0</v>
      </c>
      <c r="M2710" s="10">
        <v>204.99</v>
      </c>
    </row>
    <row r="2711" spans="1:13" x14ac:dyDescent="0.25">
      <c r="A2711" s="12" t="str">
        <f t="shared" si="84"/>
        <v>AGMTZ-10840198LOCALIZA RENT A CAR SAFT46031</v>
      </c>
      <c r="B2711" s="12" t="str">
        <f t="shared" si="85"/>
        <v>Janeiro</v>
      </c>
      <c r="C2711" s="8" t="s">
        <v>302</v>
      </c>
      <c r="D2711" s="8" t="s">
        <v>1354</v>
      </c>
      <c r="E2711" s="8" t="s">
        <v>303</v>
      </c>
      <c r="F2711" s="23">
        <v>46031</v>
      </c>
      <c r="G2711" s="8" t="s">
        <v>232</v>
      </c>
      <c r="H2711" s="23">
        <v>46041</v>
      </c>
      <c r="I2711" s="23">
        <v>46035</v>
      </c>
      <c r="J2711" s="10">
        <v>588.97</v>
      </c>
      <c r="K2711" s="10">
        <v>0</v>
      </c>
      <c r="L2711" s="24">
        <v>0</v>
      </c>
      <c r="M2711" s="10">
        <v>588.97</v>
      </c>
    </row>
    <row r="2712" spans="1:13" x14ac:dyDescent="0.25">
      <c r="A2712" s="12" t="str">
        <f t="shared" si="84"/>
        <v>AGMTZ-11272187LOCALIZA RENT A CAR SAFT46127</v>
      </c>
      <c r="B2712" s="12" t="str">
        <f t="shared" si="85"/>
        <v>Abril</v>
      </c>
      <c r="C2712" s="8" t="s">
        <v>305</v>
      </c>
      <c r="D2712" s="8" t="s">
        <v>1354</v>
      </c>
      <c r="E2712" s="8" t="s">
        <v>303</v>
      </c>
      <c r="F2712" s="23">
        <v>46127</v>
      </c>
      <c r="G2712" s="8" t="s">
        <v>232</v>
      </c>
      <c r="H2712" s="23">
        <v>46137</v>
      </c>
      <c r="I2712" s="23">
        <v>46142</v>
      </c>
      <c r="J2712" s="10">
        <v>570.87</v>
      </c>
      <c r="K2712" s="10">
        <v>0</v>
      </c>
      <c r="L2712" s="24">
        <v>3.42</v>
      </c>
      <c r="M2712" s="10">
        <v>602.83000000000004</v>
      </c>
    </row>
    <row r="2713" spans="1:13" x14ac:dyDescent="0.25">
      <c r="A2713" s="12" t="str">
        <f t="shared" si="84"/>
        <v>AGMTZ-11272203LOCALIZA RENT A CAR SAFT46127</v>
      </c>
      <c r="B2713" s="12" t="str">
        <f t="shared" si="85"/>
        <v>Abril</v>
      </c>
      <c r="C2713" s="8" t="s">
        <v>306</v>
      </c>
      <c r="D2713" s="8" t="s">
        <v>1354</v>
      </c>
      <c r="E2713" s="8" t="s">
        <v>303</v>
      </c>
      <c r="F2713" s="23">
        <v>46127</v>
      </c>
      <c r="G2713" s="8" t="s">
        <v>232</v>
      </c>
      <c r="H2713" s="23">
        <v>46137</v>
      </c>
      <c r="I2713" s="23">
        <v>46142</v>
      </c>
      <c r="J2713" s="10">
        <v>570.87</v>
      </c>
      <c r="K2713" s="10">
        <v>0</v>
      </c>
      <c r="L2713" s="24">
        <v>3.42</v>
      </c>
      <c r="M2713" s="10">
        <v>602.83000000000004</v>
      </c>
    </row>
    <row r="2714" spans="1:13" x14ac:dyDescent="0.25">
      <c r="A2714" s="12" t="str">
        <f>$C2714&amp;$E2714&amp;$G2714&amp;$F2714</f>
        <v>AGMTZ-2883681LOCALIZA FLEET S/AFT46006</v>
      </c>
      <c r="B2714" s="12" t="str">
        <f t="shared" si="85"/>
        <v>Janeiro</v>
      </c>
      <c r="C2714" s="8" t="s">
        <v>307</v>
      </c>
      <c r="D2714" s="8" t="s">
        <v>1354</v>
      </c>
      <c r="E2714" s="8" t="s">
        <v>112</v>
      </c>
      <c r="F2714" s="23">
        <v>46006</v>
      </c>
      <c r="G2714" s="8" t="s">
        <v>232</v>
      </c>
      <c r="H2714" s="23">
        <v>46037</v>
      </c>
      <c r="I2714" s="23">
        <v>46028</v>
      </c>
      <c r="J2714" s="10">
        <v>34.5</v>
      </c>
      <c r="K2714" s="10">
        <v>0</v>
      </c>
      <c r="L2714" s="24">
        <v>0</v>
      </c>
      <c r="M2714" s="10">
        <v>34.5</v>
      </c>
    </row>
    <row r="2715" spans="1:13" x14ac:dyDescent="0.25">
      <c r="A2715" s="12" t="str">
        <f t="shared" ref="A2715:A2778" si="86">$C2715&amp;$E2715&amp;$G2715&amp;$F2715</f>
        <v>AGMTZ-2948485LOCALIZA FLEET S/AFT46037</v>
      </c>
      <c r="B2715" s="12" t="str">
        <f t="shared" si="85"/>
        <v>Fevereiro</v>
      </c>
      <c r="C2715" s="8" t="s">
        <v>308</v>
      </c>
      <c r="D2715" s="8" t="s">
        <v>1354</v>
      </c>
      <c r="E2715" s="8" t="s">
        <v>112</v>
      </c>
      <c r="F2715" s="23">
        <v>46037</v>
      </c>
      <c r="G2715" s="8" t="s">
        <v>232</v>
      </c>
      <c r="H2715" s="23">
        <v>46068</v>
      </c>
      <c r="I2715" s="23">
        <v>46064</v>
      </c>
      <c r="J2715" s="10">
        <v>978</v>
      </c>
      <c r="K2715" s="10">
        <v>0</v>
      </c>
      <c r="L2715" s="24">
        <v>0</v>
      </c>
      <c r="M2715" s="10">
        <v>978</v>
      </c>
    </row>
    <row r="2716" spans="1:13" x14ac:dyDescent="0.25">
      <c r="A2716" s="12" t="str">
        <f t="shared" si="86"/>
        <v>AGMTZ-3004225LOCALIZA FLEET S/AFT46066</v>
      </c>
      <c r="B2716" s="12" t="str">
        <f t="shared" si="85"/>
        <v>Março</v>
      </c>
      <c r="C2716" s="8" t="s">
        <v>309</v>
      </c>
      <c r="D2716" s="8" t="s">
        <v>1354</v>
      </c>
      <c r="E2716" s="8" t="s">
        <v>112</v>
      </c>
      <c r="F2716" s="23">
        <v>46066</v>
      </c>
      <c r="G2716" s="8" t="s">
        <v>232</v>
      </c>
      <c r="H2716" s="23">
        <v>46097</v>
      </c>
      <c r="I2716" s="23">
        <v>46072</v>
      </c>
      <c r="J2716" s="10">
        <v>191.18</v>
      </c>
      <c r="K2716" s="10">
        <v>0</v>
      </c>
      <c r="L2716" s="24">
        <v>0</v>
      </c>
      <c r="M2716" s="10">
        <v>191.18</v>
      </c>
    </row>
    <row r="2717" spans="1:13" x14ac:dyDescent="0.25">
      <c r="A2717" s="12" t="str">
        <f t="shared" si="86"/>
        <v>AGMTZ-3006710LOCALIZA FLEET S/AFT46066</v>
      </c>
      <c r="B2717" s="12" t="str">
        <f t="shared" si="85"/>
        <v>Março</v>
      </c>
      <c r="C2717" s="8" t="s">
        <v>310</v>
      </c>
      <c r="D2717" s="8" t="s">
        <v>1354</v>
      </c>
      <c r="E2717" s="8" t="s">
        <v>112</v>
      </c>
      <c r="F2717" s="23">
        <v>46066</v>
      </c>
      <c r="G2717" s="8" t="s">
        <v>232</v>
      </c>
      <c r="H2717" s="23">
        <v>46097</v>
      </c>
      <c r="I2717" s="23">
        <v>46072</v>
      </c>
      <c r="J2717" s="10">
        <v>1047.5</v>
      </c>
      <c r="K2717" s="10">
        <v>0</v>
      </c>
      <c r="L2717" s="24">
        <v>0</v>
      </c>
      <c r="M2717" s="10">
        <v>1047.5</v>
      </c>
    </row>
    <row r="2718" spans="1:13" x14ac:dyDescent="0.25">
      <c r="A2718" s="12" t="str">
        <f t="shared" si="86"/>
        <v>AGMTZ-3060870LOCALIZA FLEET S/AFT46097</v>
      </c>
      <c r="B2718" s="12" t="str">
        <f t="shared" si="85"/>
        <v>Abril</v>
      </c>
      <c r="C2718" s="8" t="s">
        <v>311</v>
      </c>
      <c r="D2718" s="8" t="s">
        <v>1354</v>
      </c>
      <c r="E2718" s="8" t="s">
        <v>112</v>
      </c>
      <c r="F2718" s="23">
        <v>46097</v>
      </c>
      <c r="G2718" s="8" t="s">
        <v>232</v>
      </c>
      <c r="H2718" s="23">
        <v>46128</v>
      </c>
      <c r="I2718" s="23">
        <v>46105</v>
      </c>
      <c r="J2718" s="10">
        <v>410</v>
      </c>
      <c r="K2718" s="10">
        <v>0</v>
      </c>
      <c r="L2718" s="24">
        <v>0</v>
      </c>
      <c r="M2718" s="10">
        <v>410</v>
      </c>
    </row>
    <row r="2719" spans="1:13" x14ac:dyDescent="0.25">
      <c r="A2719" s="12" t="str">
        <f t="shared" si="86"/>
        <v>AGMTZ-3060911LOCALIZA FLEET S/AFT46097</v>
      </c>
      <c r="B2719" s="12" t="str">
        <f t="shared" si="85"/>
        <v>Abril</v>
      </c>
      <c r="C2719" s="8" t="s">
        <v>312</v>
      </c>
      <c r="D2719" s="8" t="s">
        <v>1354</v>
      </c>
      <c r="E2719" s="8" t="s">
        <v>112</v>
      </c>
      <c r="F2719" s="23">
        <v>46097</v>
      </c>
      <c r="G2719" s="8" t="s">
        <v>232</v>
      </c>
      <c r="H2719" s="23">
        <v>46128</v>
      </c>
      <c r="I2719" s="23">
        <v>46112</v>
      </c>
      <c r="J2719" s="10">
        <v>139.13</v>
      </c>
      <c r="K2719" s="10">
        <v>0</v>
      </c>
      <c r="L2719" s="24">
        <v>0</v>
      </c>
      <c r="M2719" s="10">
        <v>139.13</v>
      </c>
    </row>
    <row r="2720" spans="1:13" x14ac:dyDescent="0.25">
      <c r="A2720" s="12" t="str">
        <f t="shared" si="86"/>
        <v>AGMTZ-311569LOCALIZA FLEET S/AFT46128</v>
      </c>
      <c r="B2720" s="12" t="str">
        <f t="shared" si="85"/>
        <v>Maio</v>
      </c>
      <c r="C2720" s="8" t="s">
        <v>313</v>
      </c>
      <c r="D2720" s="8" t="s">
        <v>1354</v>
      </c>
      <c r="E2720" s="8" t="s">
        <v>112</v>
      </c>
      <c r="F2720" s="23">
        <v>46128</v>
      </c>
      <c r="G2720" s="8" t="s">
        <v>232</v>
      </c>
      <c r="H2720" s="23">
        <v>46158</v>
      </c>
      <c r="I2720" s="23">
        <v>46134</v>
      </c>
      <c r="J2720" s="10">
        <v>269.77999999999997</v>
      </c>
      <c r="K2720" s="10">
        <v>0</v>
      </c>
      <c r="L2720" s="24">
        <v>0</v>
      </c>
      <c r="M2720" s="10">
        <v>269.77999999999997</v>
      </c>
    </row>
    <row r="2721" spans="1:13" x14ac:dyDescent="0.25">
      <c r="A2721" s="12" t="str">
        <f t="shared" si="86"/>
        <v>AGMTZ-3115882LOCALIZA FLEET S/AFT46128</v>
      </c>
      <c r="B2721" s="12" t="str">
        <f t="shared" si="85"/>
        <v>Maio</v>
      </c>
      <c r="C2721" s="8" t="s">
        <v>314</v>
      </c>
      <c r="D2721" s="8" t="s">
        <v>1354</v>
      </c>
      <c r="E2721" s="8" t="s">
        <v>112</v>
      </c>
      <c r="F2721" s="23">
        <v>46128</v>
      </c>
      <c r="G2721" s="8" t="s">
        <v>232</v>
      </c>
      <c r="H2721" s="23">
        <v>46158</v>
      </c>
      <c r="I2721" s="23">
        <v>46134</v>
      </c>
      <c r="J2721" s="10">
        <v>139.13</v>
      </c>
      <c r="K2721" s="10">
        <v>0</v>
      </c>
      <c r="L2721" s="24">
        <v>0</v>
      </c>
      <c r="M2721" s="10">
        <v>139.13</v>
      </c>
    </row>
    <row r="2722" spans="1:13" x14ac:dyDescent="0.25">
      <c r="A2722" s="12" t="str">
        <f t="shared" si="86"/>
        <v>AGMTZ-3115892LOCALIZA FLEET S/AFT46128</v>
      </c>
      <c r="B2722" s="12" t="str">
        <f t="shared" si="85"/>
        <v>Maio</v>
      </c>
      <c r="C2722" s="8" t="s">
        <v>315</v>
      </c>
      <c r="D2722" s="8" t="s">
        <v>1354</v>
      </c>
      <c r="E2722" s="8" t="s">
        <v>112</v>
      </c>
      <c r="F2722" s="23">
        <v>46128</v>
      </c>
      <c r="G2722" s="8" t="s">
        <v>232</v>
      </c>
      <c r="H2722" s="23">
        <v>46158</v>
      </c>
      <c r="I2722" s="23">
        <v>46134</v>
      </c>
      <c r="J2722" s="10">
        <v>139.13</v>
      </c>
      <c r="K2722" s="10">
        <v>0</v>
      </c>
      <c r="L2722" s="24">
        <v>0</v>
      </c>
      <c r="M2722" s="10">
        <v>139.13</v>
      </c>
    </row>
    <row r="2723" spans="1:13" x14ac:dyDescent="0.25">
      <c r="A2723" s="12" t="str">
        <f t="shared" si="86"/>
        <v>AGMTZ-3115897LOCALIZA FLEET S/AFT46128</v>
      </c>
      <c r="B2723" s="12" t="str">
        <f t="shared" si="85"/>
        <v>Maio</v>
      </c>
      <c r="C2723" s="8" t="s">
        <v>316</v>
      </c>
      <c r="D2723" s="8" t="s">
        <v>1354</v>
      </c>
      <c r="E2723" s="8" t="s">
        <v>112</v>
      </c>
      <c r="F2723" s="23">
        <v>46128</v>
      </c>
      <c r="G2723" s="8" t="s">
        <v>232</v>
      </c>
      <c r="H2723" s="23">
        <v>46158</v>
      </c>
      <c r="I2723" s="23">
        <v>46134</v>
      </c>
      <c r="J2723" s="10">
        <v>347.36</v>
      </c>
      <c r="K2723" s="10">
        <v>0</v>
      </c>
      <c r="L2723" s="24">
        <v>0</v>
      </c>
      <c r="M2723" s="10">
        <v>347.36</v>
      </c>
    </row>
    <row r="2724" spans="1:13" x14ac:dyDescent="0.25">
      <c r="A2724" s="12" t="str">
        <f t="shared" si="86"/>
        <v>AGMTZ-3180769LOCALIZA FLEET S/AFT46157</v>
      </c>
      <c r="B2724" s="12" t="str">
        <f t="shared" si="85"/>
        <v>Junho</v>
      </c>
      <c r="C2724" s="8" t="s">
        <v>317</v>
      </c>
      <c r="D2724" s="8" t="s">
        <v>1354</v>
      </c>
      <c r="E2724" s="8" t="s">
        <v>112</v>
      </c>
      <c r="F2724" s="23">
        <v>46157</v>
      </c>
      <c r="G2724" s="8" t="s">
        <v>232</v>
      </c>
      <c r="H2724" s="23">
        <v>46188</v>
      </c>
      <c r="I2724" s="23">
        <v>46163</v>
      </c>
      <c r="J2724" s="10">
        <v>139.13</v>
      </c>
      <c r="K2724" s="10">
        <v>0</v>
      </c>
      <c r="L2724" s="24">
        <v>0</v>
      </c>
      <c r="M2724" s="10">
        <v>139.13</v>
      </c>
    </row>
    <row r="2725" spans="1:13" x14ac:dyDescent="0.25">
      <c r="A2725" s="12" t="str">
        <f t="shared" si="86"/>
        <v>AGMTZ3180793LOCALIZA FLEET S/AFT46170</v>
      </c>
      <c r="B2725" s="12" t="str">
        <f t="shared" si="85"/>
        <v>Junho</v>
      </c>
      <c r="C2725" s="8" t="s">
        <v>318</v>
      </c>
      <c r="D2725" s="8" t="s">
        <v>1354</v>
      </c>
      <c r="E2725" s="8" t="s">
        <v>112</v>
      </c>
      <c r="F2725" s="23">
        <v>46170</v>
      </c>
      <c r="G2725" s="8" t="s">
        <v>232</v>
      </c>
      <c r="H2725" s="23">
        <v>46188</v>
      </c>
      <c r="I2725" s="23">
        <v>46170</v>
      </c>
      <c r="J2725" s="10">
        <v>24960</v>
      </c>
      <c r="K2725" s="10">
        <v>0</v>
      </c>
      <c r="L2725" s="24">
        <v>0</v>
      </c>
      <c r="M2725" s="10">
        <v>24960</v>
      </c>
    </row>
    <row r="2726" spans="1:13" x14ac:dyDescent="0.25">
      <c r="A2726" s="12" t="str">
        <f t="shared" si="86"/>
        <v>AGMTZ-3180929LOCALIZA FLEET S/AFT46157</v>
      </c>
      <c r="B2726" s="12" t="str">
        <f t="shared" si="85"/>
        <v>Junho</v>
      </c>
      <c r="C2726" s="8" t="s">
        <v>319</v>
      </c>
      <c r="D2726" s="8" t="s">
        <v>1354</v>
      </c>
      <c r="E2726" s="8" t="s">
        <v>112</v>
      </c>
      <c r="F2726" s="23">
        <v>46157</v>
      </c>
      <c r="G2726" s="8" t="s">
        <v>232</v>
      </c>
      <c r="H2726" s="23">
        <v>46188</v>
      </c>
      <c r="I2726" s="23">
        <v>46163</v>
      </c>
      <c r="J2726" s="10">
        <v>243.26</v>
      </c>
      <c r="K2726" s="10">
        <v>0</v>
      </c>
      <c r="L2726" s="24">
        <v>0</v>
      </c>
      <c r="M2726" s="10">
        <v>243.26</v>
      </c>
    </row>
    <row r="2727" spans="1:13" x14ac:dyDescent="0.25">
      <c r="A2727" s="12" t="str">
        <f t="shared" si="86"/>
        <v>AGMTZ-3305839LOCALIZA FLEET S/AFT46218</v>
      </c>
      <c r="B2727" s="12" t="str">
        <f t="shared" si="85"/>
        <v>Agosto</v>
      </c>
      <c r="C2727" s="8" t="s">
        <v>320</v>
      </c>
      <c r="D2727" s="8" t="s">
        <v>1354</v>
      </c>
      <c r="E2727" s="8" t="s">
        <v>112</v>
      </c>
      <c r="F2727" s="23">
        <v>46218</v>
      </c>
      <c r="G2727" s="8" t="s">
        <v>232</v>
      </c>
      <c r="H2727" s="23">
        <v>46249</v>
      </c>
      <c r="I2727" s="23">
        <v>46224</v>
      </c>
      <c r="J2727" s="10">
        <v>3460.25</v>
      </c>
      <c r="K2727" s="10">
        <v>0</v>
      </c>
      <c r="L2727" s="24">
        <v>0</v>
      </c>
      <c r="M2727" s="10">
        <v>3460.25</v>
      </c>
    </row>
    <row r="2728" spans="1:13" x14ac:dyDescent="0.25">
      <c r="A2728" s="12" t="str">
        <f t="shared" si="86"/>
        <v>AGMTZ-3305849LOCALIZA FLEET S/AFT46218</v>
      </c>
      <c r="B2728" s="12" t="str">
        <f t="shared" si="85"/>
        <v>Agosto</v>
      </c>
      <c r="C2728" s="8" t="s">
        <v>321</v>
      </c>
      <c r="D2728" s="8" t="s">
        <v>1354</v>
      </c>
      <c r="E2728" s="8" t="s">
        <v>112</v>
      </c>
      <c r="F2728" s="23">
        <v>46218</v>
      </c>
      <c r="G2728" s="8" t="s">
        <v>232</v>
      </c>
      <c r="H2728" s="23">
        <v>46249</v>
      </c>
      <c r="I2728" s="23">
        <v>46224</v>
      </c>
      <c r="J2728" s="10">
        <v>370</v>
      </c>
      <c r="K2728" s="10">
        <v>0</v>
      </c>
      <c r="L2728" s="24">
        <v>0</v>
      </c>
      <c r="M2728" s="10">
        <v>370</v>
      </c>
    </row>
    <row r="2729" spans="1:13" x14ac:dyDescent="0.25">
      <c r="A2729" s="12" t="str">
        <f t="shared" si="86"/>
        <v>AGMTZ-3305862LOCALIZA FLEET S/AFT46218</v>
      </c>
      <c r="B2729" s="12" t="str">
        <f t="shared" si="85"/>
        <v>Agosto</v>
      </c>
      <c r="C2729" s="8" t="s">
        <v>322</v>
      </c>
      <c r="D2729" s="8" t="s">
        <v>1354</v>
      </c>
      <c r="E2729" s="8" t="s">
        <v>112</v>
      </c>
      <c r="F2729" s="23">
        <v>46218</v>
      </c>
      <c r="G2729" s="8" t="s">
        <v>232</v>
      </c>
      <c r="H2729" s="23">
        <v>46249</v>
      </c>
      <c r="I2729" s="23">
        <v>46224</v>
      </c>
      <c r="J2729" s="10">
        <v>230</v>
      </c>
      <c r="K2729" s="10">
        <v>0</v>
      </c>
      <c r="L2729" s="24">
        <v>0</v>
      </c>
      <c r="M2729" s="10">
        <v>230</v>
      </c>
    </row>
    <row r="2730" spans="1:13" x14ac:dyDescent="0.25">
      <c r="A2730" s="12" t="str">
        <f t="shared" si="86"/>
        <v>AGMTZ-3305878LOCALIZA FLEET S/AFT46218</v>
      </c>
      <c r="B2730" s="12" t="str">
        <f t="shared" si="85"/>
        <v>Agosto</v>
      </c>
      <c r="C2730" s="8" t="s">
        <v>323</v>
      </c>
      <c r="D2730" s="8" t="s">
        <v>1354</v>
      </c>
      <c r="E2730" s="8" t="s">
        <v>112</v>
      </c>
      <c r="F2730" s="23">
        <v>46218</v>
      </c>
      <c r="G2730" s="8" t="s">
        <v>232</v>
      </c>
      <c r="H2730" s="23">
        <v>46249</v>
      </c>
      <c r="I2730" s="23">
        <v>46224</v>
      </c>
      <c r="J2730" s="10">
        <v>370</v>
      </c>
      <c r="K2730" s="10">
        <v>0</v>
      </c>
      <c r="L2730" s="24">
        <v>0</v>
      </c>
      <c r="M2730" s="10">
        <v>370</v>
      </c>
    </row>
    <row r="2731" spans="1:13" x14ac:dyDescent="0.25">
      <c r="A2731" s="12" t="str">
        <f t="shared" si="86"/>
        <v>AGMTZ-3305907LOCALIZA FLEET S/AFT46218</v>
      </c>
      <c r="B2731" s="12" t="str">
        <f t="shared" si="85"/>
        <v>Agosto</v>
      </c>
      <c r="C2731" s="8" t="s">
        <v>324</v>
      </c>
      <c r="D2731" s="8" t="s">
        <v>1354</v>
      </c>
      <c r="E2731" s="8" t="s">
        <v>112</v>
      </c>
      <c r="F2731" s="23">
        <v>46218</v>
      </c>
      <c r="G2731" s="8" t="s">
        <v>232</v>
      </c>
      <c r="H2731" s="23">
        <v>46249</v>
      </c>
      <c r="I2731" s="23">
        <v>46224</v>
      </c>
      <c r="J2731" s="10">
        <v>347.36</v>
      </c>
      <c r="K2731" s="10">
        <v>0</v>
      </c>
      <c r="L2731" s="24">
        <v>0</v>
      </c>
      <c r="M2731" s="10">
        <v>347.36</v>
      </c>
    </row>
    <row r="2732" spans="1:13" x14ac:dyDescent="0.25">
      <c r="A2732" s="12" t="str">
        <f t="shared" si="86"/>
        <v>AGMTZ-3305927LOCALIZA FLEET S/AFT46218</v>
      </c>
      <c r="B2732" s="12" t="str">
        <f t="shared" si="85"/>
        <v>Agosto</v>
      </c>
      <c r="C2732" s="8" t="s">
        <v>325</v>
      </c>
      <c r="D2732" s="8" t="s">
        <v>1354</v>
      </c>
      <c r="E2732" s="8" t="s">
        <v>112</v>
      </c>
      <c r="F2732" s="23">
        <v>46218</v>
      </c>
      <c r="G2732" s="8" t="s">
        <v>232</v>
      </c>
      <c r="H2732" s="23">
        <v>46249</v>
      </c>
      <c r="I2732" s="23">
        <v>46224</v>
      </c>
      <c r="J2732" s="10">
        <v>269.77999999999997</v>
      </c>
      <c r="K2732" s="10">
        <v>0</v>
      </c>
      <c r="L2732" s="24">
        <v>0</v>
      </c>
      <c r="M2732" s="10">
        <v>269.77999999999997</v>
      </c>
    </row>
    <row r="2733" spans="1:13" x14ac:dyDescent="0.25">
      <c r="A2733" s="12" t="str">
        <f t="shared" si="86"/>
        <v>AGMTZ-3372876LOCALIZA FLEET S/AFT46249</v>
      </c>
      <c r="B2733" s="12" t="str">
        <f t="shared" si="85"/>
        <v>Setembro</v>
      </c>
      <c r="C2733" s="8" t="s">
        <v>326</v>
      </c>
      <c r="D2733" s="8" t="s">
        <v>1354</v>
      </c>
      <c r="E2733" s="8" t="s">
        <v>112</v>
      </c>
      <c r="F2733" s="23">
        <v>46249</v>
      </c>
      <c r="G2733" s="8" t="s">
        <v>232</v>
      </c>
      <c r="H2733" s="23">
        <v>46280</v>
      </c>
      <c r="I2733" s="23">
        <v>46258</v>
      </c>
      <c r="J2733" s="10">
        <v>6175.37</v>
      </c>
      <c r="K2733" s="10">
        <v>0</v>
      </c>
      <c r="L2733" s="24">
        <v>0</v>
      </c>
      <c r="M2733" s="10">
        <v>6175.37</v>
      </c>
    </row>
    <row r="2734" spans="1:13" x14ac:dyDescent="0.25">
      <c r="A2734" s="12" t="str">
        <f t="shared" si="86"/>
        <v>AGMTZ-3372877LOCALIZA FLEET S/AFT46249</v>
      </c>
      <c r="B2734" s="12" t="str">
        <f t="shared" si="85"/>
        <v>Setembro</v>
      </c>
      <c r="C2734" s="8" t="s">
        <v>327</v>
      </c>
      <c r="D2734" s="8" t="s">
        <v>1354</v>
      </c>
      <c r="E2734" s="8" t="s">
        <v>112</v>
      </c>
      <c r="F2734" s="23">
        <v>46249</v>
      </c>
      <c r="G2734" s="8" t="s">
        <v>232</v>
      </c>
      <c r="H2734" s="23">
        <v>46280</v>
      </c>
      <c r="I2734" s="23">
        <v>46258</v>
      </c>
      <c r="J2734" s="10">
        <v>273.20999999999998</v>
      </c>
      <c r="K2734" s="10">
        <v>0</v>
      </c>
      <c r="L2734" s="24">
        <v>0</v>
      </c>
      <c r="M2734" s="10">
        <v>273.20999999999998</v>
      </c>
    </row>
    <row r="2735" spans="1:13" x14ac:dyDescent="0.25">
      <c r="A2735" s="12" t="str">
        <f t="shared" si="86"/>
        <v>AGMTZ-3372878LOCALIZA FLEET S/AFT46249</v>
      </c>
      <c r="B2735" s="12" t="str">
        <f t="shared" si="85"/>
        <v>Setembro</v>
      </c>
      <c r="C2735" s="8" t="s">
        <v>328</v>
      </c>
      <c r="D2735" s="8" t="s">
        <v>1354</v>
      </c>
      <c r="E2735" s="8" t="s">
        <v>112</v>
      </c>
      <c r="F2735" s="23">
        <v>46249</v>
      </c>
      <c r="G2735" s="8" t="s">
        <v>232</v>
      </c>
      <c r="H2735" s="23">
        <v>46280</v>
      </c>
      <c r="I2735" s="23">
        <v>46258</v>
      </c>
      <c r="J2735" s="10">
        <v>1790</v>
      </c>
      <c r="K2735" s="10">
        <v>0</v>
      </c>
      <c r="L2735" s="24">
        <v>0</v>
      </c>
      <c r="M2735" s="10">
        <v>1790</v>
      </c>
    </row>
    <row r="2736" spans="1:13" x14ac:dyDescent="0.25">
      <c r="A2736" s="12" t="str">
        <f t="shared" si="86"/>
        <v>AH00916579PREFEITURA MUNICIPAL DE CONTAGEMMUL46128</v>
      </c>
      <c r="B2736" s="12" t="str">
        <f t="shared" si="85"/>
        <v>Maio</v>
      </c>
      <c r="C2736" s="8" t="s">
        <v>2320</v>
      </c>
      <c r="D2736" s="8" t="s">
        <v>1491</v>
      </c>
      <c r="E2736" s="8" t="s">
        <v>1470</v>
      </c>
      <c r="F2736" s="23">
        <v>46128</v>
      </c>
      <c r="G2736" s="8" t="s">
        <v>1491</v>
      </c>
      <c r="H2736" s="23">
        <v>46161</v>
      </c>
      <c r="I2736" s="23">
        <v>46128</v>
      </c>
      <c r="J2736" s="10">
        <v>130.16</v>
      </c>
      <c r="K2736" s="10">
        <v>52.06</v>
      </c>
      <c r="L2736" s="24">
        <v>0</v>
      </c>
      <c r="M2736" s="10">
        <v>78.099999999999994</v>
      </c>
    </row>
    <row r="2737" spans="1:13" x14ac:dyDescent="0.25">
      <c r="A2737" s="12" t="str">
        <f t="shared" si="86"/>
        <v>AH13047822PREFEITURA MUNICIPAL DE CONTAGEMmul46029</v>
      </c>
      <c r="B2737" s="12" t="str">
        <f t="shared" si="85"/>
        <v>Janeiro</v>
      </c>
      <c r="C2737" s="8" t="s">
        <v>1495</v>
      </c>
      <c r="D2737" s="8" t="s">
        <v>1491</v>
      </c>
      <c r="E2737" s="8" t="s">
        <v>1470</v>
      </c>
      <c r="F2737" s="23">
        <v>46029</v>
      </c>
      <c r="G2737" s="8" t="s">
        <v>1493</v>
      </c>
      <c r="H2737" s="23">
        <v>46050</v>
      </c>
      <c r="I2737" s="23">
        <v>46029</v>
      </c>
      <c r="J2737" s="10">
        <v>195.23</v>
      </c>
      <c r="K2737" s="10">
        <v>39.04</v>
      </c>
      <c r="L2737" s="24">
        <v>0</v>
      </c>
      <c r="M2737" s="10">
        <v>156.19</v>
      </c>
    </row>
    <row r="2738" spans="1:13" x14ac:dyDescent="0.25">
      <c r="A2738" s="12" t="str">
        <f t="shared" si="86"/>
        <v>AH13285487PREFEITURA MUNICIPAL DE CONTAGEMMUL46100</v>
      </c>
      <c r="B2738" s="12" t="str">
        <f t="shared" si="85"/>
        <v>Abril</v>
      </c>
      <c r="C2738" s="8" t="s">
        <v>2129</v>
      </c>
      <c r="D2738" s="8" t="s">
        <v>1491</v>
      </c>
      <c r="E2738" s="8" t="s">
        <v>1470</v>
      </c>
      <c r="F2738" s="23">
        <v>46100</v>
      </c>
      <c r="G2738" s="8" t="s">
        <v>1491</v>
      </c>
      <c r="H2738" s="23">
        <v>46121</v>
      </c>
      <c r="I2738" s="23">
        <v>46100</v>
      </c>
      <c r="J2738" s="10">
        <v>195.23</v>
      </c>
      <c r="K2738" s="10">
        <v>39.04</v>
      </c>
      <c r="L2738" s="24">
        <v>0</v>
      </c>
      <c r="M2738" s="10">
        <v>156.19</v>
      </c>
    </row>
    <row r="2739" spans="1:13" x14ac:dyDescent="0.25">
      <c r="A2739" s="12" t="str">
        <f t="shared" si="86"/>
        <v>AH13299498MUNICIPIO DE BELO HORIZONTEMUL46121</v>
      </c>
      <c r="B2739" s="12" t="str">
        <f t="shared" si="85"/>
        <v>Abril</v>
      </c>
      <c r="C2739" s="8" t="s">
        <v>2224</v>
      </c>
      <c r="D2739" s="8" t="s">
        <v>1491</v>
      </c>
      <c r="E2739" s="8" t="s">
        <v>1940</v>
      </c>
      <c r="F2739" s="23">
        <v>46121</v>
      </c>
      <c r="G2739" s="8" t="s">
        <v>1491</v>
      </c>
      <c r="H2739" s="23">
        <v>46141</v>
      </c>
      <c r="I2739" s="23">
        <v>46121</v>
      </c>
      <c r="J2739" s="10">
        <v>130.16</v>
      </c>
      <c r="K2739" s="10">
        <v>26.03</v>
      </c>
      <c r="L2739" s="24">
        <v>0</v>
      </c>
      <c r="M2739" s="10">
        <v>104.13</v>
      </c>
    </row>
    <row r="2740" spans="1:13" x14ac:dyDescent="0.25">
      <c r="A2740" s="12" t="str">
        <f t="shared" si="86"/>
        <v>AH13299499MUNICIPIO DE BELO HORIZONTEMUL46121</v>
      </c>
      <c r="B2740" s="12" t="str">
        <f t="shared" si="85"/>
        <v>Abril</v>
      </c>
      <c r="C2740" s="8" t="s">
        <v>2225</v>
      </c>
      <c r="D2740" s="8" t="s">
        <v>1491</v>
      </c>
      <c r="E2740" s="8" t="s">
        <v>1940</v>
      </c>
      <c r="F2740" s="23">
        <v>46121</v>
      </c>
      <c r="G2740" s="8" t="s">
        <v>1491</v>
      </c>
      <c r="H2740" s="23">
        <v>46141</v>
      </c>
      <c r="I2740" s="23">
        <v>46121</v>
      </c>
      <c r="J2740" s="10">
        <v>195.23</v>
      </c>
      <c r="K2740" s="10">
        <v>39.04</v>
      </c>
      <c r="L2740" s="24">
        <v>0</v>
      </c>
      <c r="M2740" s="10">
        <v>156.19</v>
      </c>
    </row>
    <row r="2741" spans="1:13" x14ac:dyDescent="0.25">
      <c r="A2741" s="12" t="str">
        <f t="shared" si="86"/>
        <v>AH13299500MUNICIPIO DE BELO HORIZONTEMUL46121</v>
      </c>
      <c r="B2741" s="12" t="str">
        <f t="shared" si="85"/>
        <v>Abril</v>
      </c>
      <c r="C2741" s="8" t="s">
        <v>2226</v>
      </c>
      <c r="D2741" s="8" t="s">
        <v>1491</v>
      </c>
      <c r="E2741" s="8" t="s">
        <v>1940</v>
      </c>
      <c r="F2741" s="23">
        <v>46121</v>
      </c>
      <c r="G2741" s="8" t="s">
        <v>1491</v>
      </c>
      <c r="H2741" s="23">
        <v>46141</v>
      </c>
      <c r="I2741" s="23">
        <v>46121</v>
      </c>
      <c r="J2741" s="10">
        <v>195.23</v>
      </c>
      <c r="K2741" s="10">
        <v>39.04</v>
      </c>
      <c r="L2741" s="24">
        <v>0</v>
      </c>
      <c r="M2741" s="10">
        <v>156.19</v>
      </c>
    </row>
    <row r="2742" spans="1:13" x14ac:dyDescent="0.25">
      <c r="A2742" s="12" t="str">
        <f t="shared" si="86"/>
        <v>AH13479542MUNICIPIO DE BELO HORIZONTEMUL46077</v>
      </c>
      <c r="B2742" s="12" t="str">
        <f t="shared" si="85"/>
        <v>Março</v>
      </c>
      <c r="C2742" s="8" t="s">
        <v>1939</v>
      </c>
      <c r="D2742" s="8" t="s">
        <v>1491</v>
      </c>
      <c r="E2742" s="8" t="s">
        <v>1940</v>
      </c>
      <c r="F2742" s="23">
        <v>46077</v>
      </c>
      <c r="G2742" s="8" t="s">
        <v>1491</v>
      </c>
      <c r="H2742" s="23">
        <v>46090</v>
      </c>
      <c r="I2742" s="23">
        <v>46077</v>
      </c>
      <c r="J2742" s="10">
        <v>293.47000000000003</v>
      </c>
      <c r="K2742" s="10">
        <v>58.69</v>
      </c>
      <c r="L2742" s="24">
        <v>0</v>
      </c>
      <c r="M2742" s="10">
        <v>234.78</v>
      </c>
    </row>
    <row r="2743" spans="1:13" x14ac:dyDescent="0.25">
      <c r="A2743" s="12" t="str">
        <f t="shared" si="86"/>
        <v>AH13494177PREFEITURA MUNICIPAL DE CONTAGEMMUL46091</v>
      </c>
      <c r="B2743" s="12" t="str">
        <f t="shared" si="85"/>
        <v>Março</v>
      </c>
      <c r="C2743" s="8" t="s">
        <v>2039</v>
      </c>
      <c r="D2743" s="8" t="s">
        <v>1491</v>
      </c>
      <c r="E2743" s="8" t="s">
        <v>1470</v>
      </c>
      <c r="F2743" s="23">
        <v>46091</v>
      </c>
      <c r="G2743" s="8" t="s">
        <v>1491</v>
      </c>
      <c r="H2743" s="23">
        <v>46104</v>
      </c>
      <c r="I2743" s="23">
        <v>46091</v>
      </c>
      <c r="J2743" s="10">
        <v>390.46</v>
      </c>
      <c r="K2743" s="10">
        <v>156.18</v>
      </c>
      <c r="L2743" s="24">
        <v>0</v>
      </c>
      <c r="M2743" s="10">
        <v>234.28</v>
      </c>
    </row>
    <row r="2744" spans="1:13" x14ac:dyDescent="0.25">
      <c r="A2744" s="12" t="str">
        <f t="shared" si="86"/>
        <v>AH13529972PREFEITURA MUNICIPAL DE CONTAGEMmul46181</v>
      </c>
      <c r="B2744" s="12" t="str">
        <f t="shared" si="85"/>
        <v>Junho</v>
      </c>
      <c r="C2744" s="8" t="s">
        <v>2597</v>
      </c>
      <c r="D2744" s="8" t="s">
        <v>1491</v>
      </c>
      <c r="E2744" s="8" t="s">
        <v>1470</v>
      </c>
      <c r="F2744" s="23">
        <v>46181</v>
      </c>
      <c r="G2744" s="8" t="s">
        <v>1493</v>
      </c>
      <c r="H2744" s="23">
        <v>46191</v>
      </c>
      <c r="I2744" s="23">
        <v>46181</v>
      </c>
      <c r="J2744" s="10">
        <v>195.23</v>
      </c>
      <c r="K2744" s="10">
        <v>39.04</v>
      </c>
      <c r="L2744" s="24">
        <v>0</v>
      </c>
      <c r="M2744" s="10">
        <v>156.19</v>
      </c>
    </row>
    <row r="2745" spans="1:13" x14ac:dyDescent="0.25">
      <c r="A2745" s="12" t="str">
        <f t="shared" si="86"/>
        <v>AH13535533PREFEITURA MUNICIPAL DE CONTAGEMmul46178</v>
      </c>
      <c r="B2745" s="12" t="str">
        <f t="shared" si="85"/>
        <v>Junho</v>
      </c>
      <c r="C2745" s="8" t="s">
        <v>2598</v>
      </c>
      <c r="D2745" s="8" t="s">
        <v>1491</v>
      </c>
      <c r="E2745" s="8" t="s">
        <v>1470</v>
      </c>
      <c r="F2745" s="23">
        <v>46178</v>
      </c>
      <c r="G2745" s="8" t="s">
        <v>1493</v>
      </c>
      <c r="H2745" s="23">
        <v>46195</v>
      </c>
      <c r="I2745" s="23">
        <v>46178</v>
      </c>
      <c r="J2745" s="10">
        <v>195.23</v>
      </c>
      <c r="K2745" s="10">
        <v>39.04</v>
      </c>
      <c r="L2745" s="24">
        <v>0</v>
      </c>
      <c r="M2745" s="10">
        <v>156.19</v>
      </c>
    </row>
    <row r="2746" spans="1:13" x14ac:dyDescent="0.25">
      <c r="A2746" s="12" t="str">
        <f t="shared" si="86"/>
        <v>AH13546172PREFEITURA MUNICIPAL DE CONTAGEMMUL46211</v>
      </c>
      <c r="B2746" s="12" t="str">
        <f t="shared" si="85"/>
        <v>Julho</v>
      </c>
      <c r="C2746" s="8" t="s">
        <v>2784</v>
      </c>
      <c r="D2746" s="8" t="s">
        <v>1491</v>
      </c>
      <c r="E2746" s="8" t="s">
        <v>1470</v>
      </c>
      <c r="F2746" s="23">
        <v>46211</v>
      </c>
      <c r="G2746" s="8" t="s">
        <v>1491</v>
      </c>
      <c r="H2746" s="23">
        <v>46223</v>
      </c>
      <c r="I2746" s="23">
        <v>46211</v>
      </c>
      <c r="J2746" s="10">
        <v>293.47000000000003</v>
      </c>
      <c r="K2746" s="10">
        <v>58.69</v>
      </c>
      <c r="L2746" s="24">
        <v>0</v>
      </c>
      <c r="M2746" s="10">
        <v>234.78</v>
      </c>
    </row>
    <row r="2747" spans="1:13" x14ac:dyDescent="0.25">
      <c r="A2747" s="12" t="str">
        <f t="shared" si="86"/>
        <v>AH13572763PREFEITURA MUNICIPAL DE CONTAGEMmul46211</v>
      </c>
      <c r="B2747" s="12" t="str">
        <f t="shared" si="85"/>
        <v>Julho</v>
      </c>
      <c r="C2747" s="8" t="s">
        <v>2785</v>
      </c>
      <c r="D2747" s="8" t="s">
        <v>1491</v>
      </c>
      <c r="E2747" s="8" t="s">
        <v>1470</v>
      </c>
      <c r="F2747" s="23">
        <v>46211</v>
      </c>
      <c r="G2747" s="8" t="s">
        <v>1493</v>
      </c>
      <c r="H2747" s="23">
        <v>46234</v>
      </c>
      <c r="I2747" s="23">
        <v>46211</v>
      </c>
      <c r="J2747" s="10">
        <v>293.47000000000003</v>
      </c>
      <c r="K2747" s="10">
        <v>58.69</v>
      </c>
      <c r="L2747" s="24">
        <v>0</v>
      </c>
      <c r="M2747" s="10">
        <v>234.78</v>
      </c>
    </row>
    <row r="2748" spans="1:13" x14ac:dyDescent="0.25">
      <c r="A2748" s="12" t="str">
        <f t="shared" si="86"/>
        <v>AH13574933MUNICIPIO DE BELO HORIZONTEMUL46254</v>
      </c>
      <c r="B2748" s="12" t="str">
        <f t="shared" si="85"/>
        <v>Setembro</v>
      </c>
      <c r="C2748" s="8" t="s">
        <v>3036</v>
      </c>
      <c r="D2748" s="8" t="s">
        <v>1491</v>
      </c>
      <c r="E2748" s="8" t="s">
        <v>1940</v>
      </c>
      <c r="F2748" s="23">
        <v>46254</v>
      </c>
      <c r="G2748" s="8" t="s">
        <v>1491</v>
      </c>
      <c r="H2748" s="23">
        <v>46273</v>
      </c>
      <c r="I2748" s="23">
        <v>46254</v>
      </c>
      <c r="J2748" s="10">
        <v>195.23</v>
      </c>
      <c r="K2748" s="10">
        <v>39.04</v>
      </c>
      <c r="L2748" s="24">
        <v>0</v>
      </c>
      <c r="M2748" s="10">
        <v>156.19</v>
      </c>
    </row>
    <row r="2749" spans="1:13" x14ac:dyDescent="0.25">
      <c r="A2749" s="12" t="str">
        <f t="shared" si="86"/>
        <v>AH13620381PREFEITURA MUNICIPAL DE CONTAGEMmul46118</v>
      </c>
      <c r="B2749" s="12" t="str">
        <f t="shared" si="85"/>
        <v>Abril</v>
      </c>
      <c r="C2749" s="8" t="s">
        <v>2223</v>
      </c>
      <c r="D2749" s="8" t="s">
        <v>1491</v>
      </c>
      <c r="E2749" s="8" t="s">
        <v>1470</v>
      </c>
      <c r="F2749" s="23">
        <v>46118</v>
      </c>
      <c r="G2749" s="8" t="s">
        <v>1493</v>
      </c>
      <c r="H2749" s="23">
        <v>46128</v>
      </c>
      <c r="I2749" s="23">
        <v>46118</v>
      </c>
      <c r="J2749" s="10">
        <v>390.46</v>
      </c>
      <c r="K2749" s="10">
        <v>156.18</v>
      </c>
      <c r="L2749" s="24">
        <v>0</v>
      </c>
      <c r="M2749" s="10">
        <v>234.28</v>
      </c>
    </row>
    <row r="2750" spans="1:13" x14ac:dyDescent="0.25">
      <c r="A2750" s="12" t="str">
        <f t="shared" si="86"/>
        <v>AH13648054PREFEITURA MUNICIPAL DE CONTAGEMmul46128</v>
      </c>
      <c r="B2750" s="12" t="str">
        <f t="shared" si="85"/>
        <v>Maio</v>
      </c>
      <c r="C2750" s="8" t="s">
        <v>2321</v>
      </c>
      <c r="D2750" s="8" t="s">
        <v>1491</v>
      </c>
      <c r="E2750" s="8" t="s">
        <v>1470</v>
      </c>
      <c r="F2750" s="23">
        <v>46128</v>
      </c>
      <c r="G2750" s="8" t="s">
        <v>1493</v>
      </c>
      <c r="H2750" s="23">
        <v>46156</v>
      </c>
      <c r="I2750" s="23">
        <v>46128</v>
      </c>
      <c r="J2750" s="10">
        <v>586.94000000000005</v>
      </c>
      <c r="K2750" s="10">
        <v>234.77</v>
      </c>
      <c r="L2750" s="24">
        <v>0</v>
      </c>
      <c r="M2750" s="10">
        <v>352.17</v>
      </c>
    </row>
    <row r="2751" spans="1:13" x14ac:dyDescent="0.25">
      <c r="A2751" s="12" t="str">
        <f t="shared" si="86"/>
        <v>AH13653993MUNICIPIO DE BELO HORIZONTEMUL46149</v>
      </c>
      <c r="B2751" s="12" t="str">
        <f t="shared" si="85"/>
        <v>Maio</v>
      </c>
      <c r="C2751" s="8" t="s">
        <v>2416</v>
      </c>
      <c r="D2751" s="8" t="s">
        <v>1491</v>
      </c>
      <c r="E2751" s="8" t="s">
        <v>1940</v>
      </c>
      <c r="F2751" s="23">
        <v>46149</v>
      </c>
      <c r="G2751" s="8" t="s">
        <v>1491</v>
      </c>
      <c r="H2751" s="23">
        <v>46164</v>
      </c>
      <c r="I2751" s="23">
        <v>46149</v>
      </c>
      <c r="J2751" s="10">
        <v>586.94000000000005</v>
      </c>
      <c r="K2751" s="10">
        <v>234.77</v>
      </c>
      <c r="L2751" s="24">
        <v>0</v>
      </c>
      <c r="M2751" s="10">
        <v>352.17</v>
      </c>
    </row>
    <row r="2752" spans="1:13" x14ac:dyDescent="0.25">
      <c r="A2752" s="12" t="str">
        <f t="shared" si="86"/>
        <v>AH13658834MUNICIPIO DE BELO HORIZONTEMUL46149</v>
      </c>
      <c r="B2752" s="12" t="str">
        <f t="shared" si="85"/>
        <v>Maio</v>
      </c>
      <c r="C2752" s="8" t="s">
        <v>2417</v>
      </c>
      <c r="D2752" s="8" t="s">
        <v>1491</v>
      </c>
      <c r="E2752" s="8" t="s">
        <v>1940</v>
      </c>
      <c r="F2752" s="23">
        <v>46149</v>
      </c>
      <c r="G2752" s="8" t="s">
        <v>1491</v>
      </c>
      <c r="H2752" s="23">
        <v>46164</v>
      </c>
      <c r="I2752" s="23">
        <v>46149</v>
      </c>
      <c r="J2752" s="10">
        <v>390.46</v>
      </c>
      <c r="K2752" s="10">
        <v>156.18</v>
      </c>
      <c r="L2752" s="24">
        <v>0</v>
      </c>
      <c r="M2752" s="10">
        <v>234.28</v>
      </c>
    </row>
    <row r="2753" spans="1:13" x14ac:dyDescent="0.25">
      <c r="A2753" s="12" t="str">
        <f t="shared" si="86"/>
        <v>AH13666932PREFEITURA MUNICIPAL DE CONTAGEMMUL46164</v>
      </c>
      <c r="B2753" s="12" t="str">
        <f t="shared" si="85"/>
        <v>Junho</v>
      </c>
      <c r="C2753" s="8" t="s">
        <v>2519</v>
      </c>
      <c r="D2753" s="8" t="s">
        <v>1491</v>
      </c>
      <c r="E2753" s="8" t="s">
        <v>1470</v>
      </c>
      <c r="F2753" s="23">
        <v>46164</v>
      </c>
      <c r="G2753" s="8" t="s">
        <v>1491</v>
      </c>
      <c r="H2753" s="23">
        <v>46176</v>
      </c>
      <c r="I2753" s="23">
        <v>46164</v>
      </c>
      <c r="J2753" s="10">
        <v>293.47000000000003</v>
      </c>
      <c r="K2753" s="10">
        <v>58.69</v>
      </c>
      <c r="L2753" s="24">
        <v>0</v>
      </c>
      <c r="M2753" s="10">
        <v>234.78</v>
      </c>
    </row>
    <row r="2754" spans="1:13" x14ac:dyDescent="0.25">
      <c r="A2754" s="12" t="str">
        <f t="shared" si="86"/>
        <v>AH13673330PREFEITURA MUNICIPAL DE CONTAGEMMUL46164</v>
      </c>
      <c r="B2754" s="12" t="str">
        <f t="shared" si="85"/>
        <v>Junho</v>
      </c>
      <c r="C2754" s="8" t="s">
        <v>2520</v>
      </c>
      <c r="D2754" s="8" t="s">
        <v>1491</v>
      </c>
      <c r="E2754" s="8" t="s">
        <v>1470</v>
      </c>
      <c r="F2754" s="23">
        <v>46164</v>
      </c>
      <c r="G2754" s="8" t="s">
        <v>1491</v>
      </c>
      <c r="H2754" s="23">
        <v>46181</v>
      </c>
      <c r="I2754" s="23">
        <v>46164</v>
      </c>
      <c r="J2754" s="10">
        <v>390.46</v>
      </c>
      <c r="K2754" s="10">
        <v>156.18</v>
      </c>
      <c r="L2754" s="24">
        <v>0</v>
      </c>
      <c r="M2754" s="10">
        <v>234.28</v>
      </c>
    </row>
    <row r="2755" spans="1:13" x14ac:dyDescent="0.25">
      <c r="A2755" s="12" t="str">
        <f t="shared" si="86"/>
        <v>AH13685776PREFEITURA MUNICIPAL DE CONTAGEMMUL46163</v>
      </c>
      <c r="B2755" s="12" t="str">
        <f t="shared" ref="B2755:B2818" si="87">PROPER(TEXT($H2755,"MMMM"))</f>
        <v>Junho</v>
      </c>
      <c r="C2755" s="8" t="s">
        <v>2521</v>
      </c>
      <c r="D2755" s="8" t="s">
        <v>1491</v>
      </c>
      <c r="E2755" s="8" t="s">
        <v>1470</v>
      </c>
      <c r="F2755" s="23">
        <v>46163</v>
      </c>
      <c r="G2755" s="8" t="s">
        <v>1491</v>
      </c>
      <c r="H2755" s="23">
        <v>46184</v>
      </c>
      <c r="I2755" s="23">
        <v>46163</v>
      </c>
      <c r="J2755" s="10">
        <v>586.94000000000005</v>
      </c>
      <c r="K2755" s="10">
        <v>234.77</v>
      </c>
      <c r="L2755" s="24">
        <v>0</v>
      </c>
      <c r="M2755" s="10">
        <v>352.17</v>
      </c>
    </row>
    <row r="2756" spans="1:13" x14ac:dyDescent="0.25">
      <c r="A2756" s="12" t="str">
        <f t="shared" si="86"/>
        <v>AH13699315PREFEITURA MUNICIPAL DE CONTAGEMmul46181</v>
      </c>
      <c r="B2756" s="12" t="str">
        <f t="shared" si="87"/>
        <v>Junho</v>
      </c>
      <c r="C2756" s="8" t="s">
        <v>2599</v>
      </c>
      <c r="D2756" s="8" t="s">
        <v>1491</v>
      </c>
      <c r="E2756" s="8" t="s">
        <v>1470</v>
      </c>
      <c r="F2756" s="23">
        <v>46181</v>
      </c>
      <c r="G2756" s="8" t="s">
        <v>1493</v>
      </c>
      <c r="H2756" s="23">
        <v>46188</v>
      </c>
      <c r="I2756" s="23">
        <v>46181</v>
      </c>
      <c r="J2756" s="10">
        <v>586.94000000000005</v>
      </c>
      <c r="K2756" s="10">
        <v>234.77</v>
      </c>
      <c r="L2756" s="24">
        <v>0</v>
      </c>
      <c r="M2756" s="10">
        <v>352.17</v>
      </c>
    </row>
    <row r="2757" spans="1:13" x14ac:dyDescent="0.25">
      <c r="A2757" s="12" t="str">
        <f t="shared" si="86"/>
        <v>AH13711731PREFEITURA MUNICIPAL DE CONTAGEMmul46181</v>
      </c>
      <c r="B2757" s="12" t="str">
        <f t="shared" si="87"/>
        <v>Junho</v>
      </c>
      <c r="C2757" s="8" t="s">
        <v>2600</v>
      </c>
      <c r="D2757" s="8" t="s">
        <v>1491</v>
      </c>
      <c r="E2757" s="8" t="s">
        <v>1470</v>
      </c>
      <c r="F2757" s="23">
        <v>46181</v>
      </c>
      <c r="G2757" s="8" t="s">
        <v>1493</v>
      </c>
      <c r="H2757" s="23">
        <v>46192</v>
      </c>
      <c r="I2757" s="23">
        <v>46181</v>
      </c>
      <c r="J2757" s="10">
        <v>390.46</v>
      </c>
      <c r="K2757" s="10">
        <v>156.18</v>
      </c>
      <c r="L2757" s="24">
        <v>0</v>
      </c>
      <c r="M2757" s="10">
        <v>234.28</v>
      </c>
    </row>
    <row r="2758" spans="1:13" x14ac:dyDescent="0.25">
      <c r="A2758" s="12" t="str">
        <f t="shared" si="86"/>
        <v>AH13724789PREFEITURA MUNICIPAL DE CONTAGEMmul46178</v>
      </c>
      <c r="B2758" s="12" t="str">
        <f t="shared" si="87"/>
        <v>Junho</v>
      </c>
      <c r="C2758" s="8" t="s">
        <v>2601</v>
      </c>
      <c r="D2758" s="8" t="s">
        <v>1491</v>
      </c>
      <c r="E2758" s="8" t="s">
        <v>1470</v>
      </c>
      <c r="F2758" s="23">
        <v>46178</v>
      </c>
      <c r="G2758" s="8" t="s">
        <v>1493</v>
      </c>
      <c r="H2758" s="23">
        <v>46199</v>
      </c>
      <c r="I2758" s="23">
        <v>46178</v>
      </c>
      <c r="J2758" s="10">
        <v>586.94000000000005</v>
      </c>
      <c r="K2758" s="10">
        <v>234.77</v>
      </c>
      <c r="L2758" s="24">
        <v>0</v>
      </c>
      <c r="M2758" s="10">
        <v>352.17</v>
      </c>
    </row>
    <row r="2759" spans="1:13" x14ac:dyDescent="0.25">
      <c r="A2759" s="12" t="str">
        <f t="shared" si="86"/>
        <v>AH13748395PREFEITURA MUNICIPAL DE CONTAGEMmul46178</v>
      </c>
      <c r="B2759" s="12" t="str">
        <f t="shared" si="87"/>
        <v>Julho</v>
      </c>
      <c r="C2759" s="8" t="s">
        <v>2602</v>
      </c>
      <c r="D2759" s="8" t="s">
        <v>1491</v>
      </c>
      <c r="E2759" s="8" t="s">
        <v>1470</v>
      </c>
      <c r="F2759" s="23">
        <v>46178</v>
      </c>
      <c r="G2759" s="8" t="s">
        <v>1493</v>
      </c>
      <c r="H2759" s="23">
        <v>46204</v>
      </c>
      <c r="I2759" s="23">
        <v>46178</v>
      </c>
      <c r="J2759" s="10">
        <v>260.32</v>
      </c>
      <c r="K2759" s="10">
        <v>104.12</v>
      </c>
      <c r="L2759" s="24">
        <v>0</v>
      </c>
      <c r="M2759" s="10">
        <v>156.19999999999999</v>
      </c>
    </row>
    <row r="2760" spans="1:13" x14ac:dyDescent="0.25">
      <c r="A2760" s="12" t="str">
        <f t="shared" si="86"/>
        <v>AH13777274MUNICIPIO DE BELO HORIZONTEMUL46196</v>
      </c>
      <c r="B2760" s="12" t="str">
        <f t="shared" si="87"/>
        <v>Julho</v>
      </c>
      <c r="C2760" s="8" t="s">
        <v>2694</v>
      </c>
      <c r="D2760" s="8" t="s">
        <v>1491</v>
      </c>
      <c r="E2760" s="8" t="s">
        <v>1940</v>
      </c>
      <c r="F2760" s="23">
        <v>46196</v>
      </c>
      <c r="G2760" s="8" t="s">
        <v>1491</v>
      </c>
      <c r="H2760" s="23">
        <v>46213</v>
      </c>
      <c r="I2760" s="23">
        <v>46196</v>
      </c>
      <c r="J2760" s="10">
        <v>586.94000000000005</v>
      </c>
      <c r="K2760" s="10">
        <v>234.77</v>
      </c>
      <c r="L2760" s="24">
        <v>0</v>
      </c>
      <c r="M2760" s="10">
        <v>352.17</v>
      </c>
    </row>
    <row r="2761" spans="1:13" x14ac:dyDescent="0.25">
      <c r="A2761" s="12" t="str">
        <f t="shared" si="86"/>
        <v>AH13784278MUNICIPIO DE BELO HORIZONTEMUL46196</v>
      </c>
      <c r="B2761" s="12" t="str">
        <f t="shared" si="87"/>
        <v>Julho</v>
      </c>
      <c r="C2761" s="8" t="s">
        <v>2695</v>
      </c>
      <c r="D2761" s="8" t="s">
        <v>1491</v>
      </c>
      <c r="E2761" s="8" t="s">
        <v>1940</v>
      </c>
      <c r="F2761" s="23">
        <v>46196</v>
      </c>
      <c r="G2761" s="8" t="s">
        <v>1491</v>
      </c>
      <c r="H2761" s="23">
        <v>46213</v>
      </c>
      <c r="I2761" s="23">
        <v>46196</v>
      </c>
      <c r="J2761" s="10">
        <v>195.23</v>
      </c>
      <c r="K2761" s="10">
        <v>39.04</v>
      </c>
      <c r="L2761" s="24">
        <v>0</v>
      </c>
      <c r="M2761" s="10">
        <v>156.19</v>
      </c>
    </row>
    <row r="2762" spans="1:13" x14ac:dyDescent="0.25">
      <c r="A2762" s="12" t="str">
        <f t="shared" si="86"/>
        <v>AH13784361MUNICIPIO DE BELO HORIZONTEMUL46196</v>
      </c>
      <c r="B2762" s="12" t="str">
        <f t="shared" si="87"/>
        <v>Julho</v>
      </c>
      <c r="C2762" s="8" t="s">
        <v>2696</v>
      </c>
      <c r="D2762" s="8" t="s">
        <v>1491</v>
      </c>
      <c r="E2762" s="8" t="s">
        <v>1940</v>
      </c>
      <c r="F2762" s="23">
        <v>46196</v>
      </c>
      <c r="G2762" s="8" t="s">
        <v>1491</v>
      </c>
      <c r="H2762" s="23">
        <v>46213</v>
      </c>
      <c r="I2762" s="23">
        <v>46196</v>
      </c>
      <c r="J2762" s="10">
        <v>260.32</v>
      </c>
      <c r="K2762" s="10">
        <v>104.12</v>
      </c>
      <c r="L2762" s="24">
        <v>0</v>
      </c>
      <c r="M2762" s="10">
        <v>156.19999999999999</v>
      </c>
    </row>
    <row r="2763" spans="1:13" x14ac:dyDescent="0.25">
      <c r="A2763" s="12" t="str">
        <f t="shared" si="86"/>
        <v>AH13803759PREFEITURA MUNICIPAL DE CONTAGEMmul46211</v>
      </c>
      <c r="B2763" s="12" t="str">
        <f t="shared" si="87"/>
        <v>Julho</v>
      </c>
      <c r="C2763" s="8" t="s">
        <v>2786</v>
      </c>
      <c r="D2763" s="8" t="s">
        <v>1491</v>
      </c>
      <c r="E2763" s="8" t="s">
        <v>1470</v>
      </c>
      <c r="F2763" s="23">
        <v>46211</v>
      </c>
      <c r="G2763" s="8" t="s">
        <v>1493</v>
      </c>
      <c r="H2763" s="23">
        <v>46219</v>
      </c>
      <c r="I2763" s="23">
        <v>46211</v>
      </c>
      <c r="J2763" s="10">
        <v>390.46</v>
      </c>
      <c r="K2763" s="10">
        <v>156.18</v>
      </c>
      <c r="L2763" s="24">
        <v>0</v>
      </c>
      <c r="M2763" s="10">
        <v>234.28</v>
      </c>
    </row>
    <row r="2764" spans="1:13" x14ac:dyDescent="0.25">
      <c r="A2764" s="12" t="str">
        <f t="shared" si="86"/>
        <v>AH13809811PREFEITURA MUNICIPAL DE CONTAGEMmul46211</v>
      </c>
      <c r="B2764" s="12" t="str">
        <f t="shared" si="87"/>
        <v>Julho</v>
      </c>
      <c r="C2764" s="8" t="s">
        <v>2787</v>
      </c>
      <c r="D2764" s="8" t="s">
        <v>1491</v>
      </c>
      <c r="E2764" s="8" t="s">
        <v>1470</v>
      </c>
      <c r="F2764" s="23">
        <v>46211</v>
      </c>
      <c r="G2764" s="8" t="s">
        <v>1493</v>
      </c>
      <c r="H2764" s="23">
        <v>46220</v>
      </c>
      <c r="I2764" s="23">
        <v>46211</v>
      </c>
      <c r="J2764" s="10">
        <v>390.46</v>
      </c>
      <c r="K2764" s="10">
        <v>156.18</v>
      </c>
      <c r="L2764" s="24">
        <v>0</v>
      </c>
      <c r="M2764" s="10">
        <v>234.28</v>
      </c>
    </row>
    <row r="2765" spans="1:13" x14ac:dyDescent="0.25">
      <c r="A2765" s="12" t="str">
        <f t="shared" si="86"/>
        <v>AH13815412PREFEITURA MUNICIPAL DE CONTAGEMMUL46211</v>
      </c>
      <c r="B2765" s="12" t="str">
        <f t="shared" si="87"/>
        <v>Julho</v>
      </c>
      <c r="C2765" s="8" t="s">
        <v>2788</v>
      </c>
      <c r="D2765" s="8" t="s">
        <v>1491</v>
      </c>
      <c r="E2765" s="8" t="s">
        <v>1470</v>
      </c>
      <c r="F2765" s="23">
        <v>46211</v>
      </c>
      <c r="G2765" s="8" t="s">
        <v>1491</v>
      </c>
      <c r="H2765" s="23">
        <v>46223</v>
      </c>
      <c r="I2765" s="23">
        <v>46211</v>
      </c>
      <c r="J2765" s="10">
        <v>586.94000000000005</v>
      </c>
      <c r="K2765" s="10">
        <v>234.77</v>
      </c>
      <c r="L2765" s="24">
        <v>0</v>
      </c>
      <c r="M2765" s="10">
        <v>352.17</v>
      </c>
    </row>
    <row r="2766" spans="1:13" x14ac:dyDescent="0.25">
      <c r="A2766" s="12" t="str">
        <f t="shared" si="86"/>
        <v>AH13832639PREFEITURA MUNICIPAL DE CONTAGEMMUL46211</v>
      </c>
      <c r="B2766" s="12" t="str">
        <f t="shared" si="87"/>
        <v>Julho</v>
      </c>
      <c r="C2766" s="8" t="s">
        <v>2789</v>
      </c>
      <c r="D2766" s="8" t="s">
        <v>1491</v>
      </c>
      <c r="E2766" s="8" t="s">
        <v>1470</v>
      </c>
      <c r="F2766" s="23">
        <v>46211</v>
      </c>
      <c r="G2766" s="8" t="s">
        <v>1491</v>
      </c>
      <c r="H2766" s="23">
        <v>46234</v>
      </c>
      <c r="I2766" s="23">
        <v>46211</v>
      </c>
      <c r="J2766" s="10">
        <v>260.32</v>
      </c>
      <c r="K2766" s="10">
        <v>104.12</v>
      </c>
      <c r="L2766" s="24">
        <v>0</v>
      </c>
      <c r="M2766" s="10">
        <v>156.19999999999999</v>
      </c>
    </row>
    <row r="2767" spans="1:13" x14ac:dyDescent="0.25">
      <c r="A2767" s="12" t="str">
        <f t="shared" si="86"/>
        <v>AH13839060PREFEITURA MUNICIPAL DE CONTAGEMmul46227</v>
      </c>
      <c r="B2767" s="12" t="str">
        <f t="shared" si="87"/>
        <v>Agosto</v>
      </c>
      <c r="C2767" s="8" t="s">
        <v>2869</v>
      </c>
      <c r="D2767" s="8" t="s">
        <v>1491</v>
      </c>
      <c r="E2767" s="8" t="s">
        <v>1470</v>
      </c>
      <c r="F2767" s="23">
        <v>46227</v>
      </c>
      <c r="G2767" s="8" t="s">
        <v>1493</v>
      </c>
      <c r="H2767" s="23">
        <v>46237</v>
      </c>
      <c r="I2767" s="23">
        <v>46227</v>
      </c>
      <c r="J2767" s="10">
        <v>586.94000000000005</v>
      </c>
      <c r="K2767" s="10">
        <v>234.77</v>
      </c>
      <c r="L2767" s="24">
        <v>0</v>
      </c>
      <c r="M2767" s="10">
        <v>352.17</v>
      </c>
    </row>
    <row r="2768" spans="1:13" x14ac:dyDescent="0.25">
      <c r="A2768" s="12" t="str">
        <f t="shared" si="86"/>
        <v>AH13852825PREFEITURA MUNICIPAL DE CONTAGEMmul46227</v>
      </c>
      <c r="B2768" s="12" t="str">
        <f t="shared" si="87"/>
        <v>Agosto</v>
      </c>
      <c r="C2768" s="8" t="s">
        <v>2870</v>
      </c>
      <c r="D2768" s="8" t="s">
        <v>1491</v>
      </c>
      <c r="E2768" s="8" t="s">
        <v>1470</v>
      </c>
      <c r="F2768" s="23">
        <v>46227</v>
      </c>
      <c r="G2768" s="8" t="s">
        <v>1493</v>
      </c>
      <c r="H2768" s="23">
        <v>46239</v>
      </c>
      <c r="I2768" s="23">
        <v>46227</v>
      </c>
      <c r="J2768" s="10">
        <v>195.23</v>
      </c>
      <c r="K2768" s="10">
        <v>78.09</v>
      </c>
      <c r="L2768" s="24">
        <v>0</v>
      </c>
      <c r="M2768" s="10">
        <v>117.14</v>
      </c>
    </row>
    <row r="2769" spans="1:13" x14ac:dyDescent="0.25">
      <c r="A2769" s="12" t="str">
        <f t="shared" si="86"/>
        <v>AH13868119PREFEITURA MUNICIPAL DE CONTAGEMMUL46227</v>
      </c>
      <c r="B2769" s="12" t="str">
        <f t="shared" si="87"/>
        <v>Agosto</v>
      </c>
      <c r="C2769" s="8" t="s">
        <v>2871</v>
      </c>
      <c r="D2769" s="8" t="s">
        <v>1491</v>
      </c>
      <c r="E2769" s="8" t="s">
        <v>1470</v>
      </c>
      <c r="F2769" s="23">
        <v>46227</v>
      </c>
      <c r="G2769" s="8" t="s">
        <v>1491</v>
      </c>
      <c r="H2769" s="23">
        <v>46239</v>
      </c>
      <c r="I2769" s="23">
        <v>46227</v>
      </c>
      <c r="J2769" s="10">
        <v>586.94000000000005</v>
      </c>
      <c r="K2769" s="10">
        <v>234.77</v>
      </c>
      <c r="L2769" s="24">
        <v>0</v>
      </c>
      <c r="M2769" s="10">
        <v>352.17</v>
      </c>
    </row>
    <row r="2770" spans="1:13" x14ac:dyDescent="0.25">
      <c r="A2770" s="12" t="str">
        <f t="shared" si="86"/>
        <v>AH13983388PREFEITURA MUNICIPAL DE CONTAGEMmul46227</v>
      </c>
      <c r="B2770" s="12" t="str">
        <f t="shared" si="87"/>
        <v>Agosto</v>
      </c>
      <c r="C2770" s="8" t="s">
        <v>2872</v>
      </c>
      <c r="D2770" s="8" t="s">
        <v>1491</v>
      </c>
      <c r="E2770" s="8" t="s">
        <v>1470</v>
      </c>
      <c r="F2770" s="23">
        <v>46227</v>
      </c>
      <c r="G2770" s="8" t="s">
        <v>1493</v>
      </c>
      <c r="H2770" s="23">
        <v>46241</v>
      </c>
      <c r="I2770" s="23">
        <v>46227</v>
      </c>
      <c r="J2770" s="10">
        <v>390.46</v>
      </c>
      <c r="K2770" s="10">
        <v>156.18</v>
      </c>
      <c r="L2770" s="24">
        <v>0</v>
      </c>
      <c r="M2770" s="10">
        <v>234.28</v>
      </c>
    </row>
    <row r="2771" spans="1:13" x14ac:dyDescent="0.25">
      <c r="A2771" s="12" t="str">
        <f t="shared" si="86"/>
        <v>AH13988904PREFEITURA MUNICIPAL DE CONTAGEMmul46227</v>
      </c>
      <c r="B2771" s="12" t="str">
        <f t="shared" si="87"/>
        <v>Agosto</v>
      </c>
      <c r="C2771" s="8" t="s">
        <v>2873</v>
      </c>
      <c r="D2771" s="8" t="s">
        <v>1491</v>
      </c>
      <c r="E2771" s="8" t="s">
        <v>1470</v>
      </c>
      <c r="F2771" s="23">
        <v>46227</v>
      </c>
      <c r="G2771" s="8" t="s">
        <v>1493</v>
      </c>
      <c r="H2771" s="23">
        <v>46246</v>
      </c>
      <c r="I2771" s="23">
        <v>46227</v>
      </c>
      <c r="J2771" s="10">
        <v>390.46</v>
      </c>
      <c r="K2771" s="10">
        <v>156.18</v>
      </c>
      <c r="L2771" s="24">
        <v>0</v>
      </c>
      <c r="M2771" s="10">
        <v>234.28</v>
      </c>
    </row>
    <row r="2772" spans="1:13" x14ac:dyDescent="0.25">
      <c r="A2772" s="12" t="str">
        <f t="shared" si="86"/>
        <v>AH13997260PREFEITURA MUNICIPAL DE CONTAGEMmul46227</v>
      </c>
      <c r="B2772" s="12" t="str">
        <f t="shared" si="87"/>
        <v>Agosto</v>
      </c>
      <c r="C2772" s="8" t="s">
        <v>2874</v>
      </c>
      <c r="D2772" s="8" t="s">
        <v>1491</v>
      </c>
      <c r="E2772" s="8" t="s">
        <v>1470</v>
      </c>
      <c r="F2772" s="23">
        <v>46227</v>
      </c>
      <c r="G2772" s="8" t="s">
        <v>1493</v>
      </c>
      <c r="H2772" s="23">
        <v>46246</v>
      </c>
      <c r="I2772" s="23">
        <v>46227</v>
      </c>
      <c r="J2772" s="10">
        <v>390.46</v>
      </c>
      <c r="K2772" s="10">
        <v>156.18</v>
      </c>
      <c r="L2772" s="24">
        <v>0</v>
      </c>
      <c r="M2772" s="10">
        <v>234.28</v>
      </c>
    </row>
    <row r="2773" spans="1:13" x14ac:dyDescent="0.25">
      <c r="A2773" s="12" t="str">
        <f t="shared" si="86"/>
        <v>AH13997262PREFEITURA MUNICIPAL DE CONTAGEMmul46227</v>
      </c>
      <c r="B2773" s="12" t="str">
        <f t="shared" si="87"/>
        <v>Agosto</v>
      </c>
      <c r="C2773" s="8" t="s">
        <v>2875</v>
      </c>
      <c r="D2773" s="8" t="s">
        <v>1491</v>
      </c>
      <c r="E2773" s="8" t="s">
        <v>1470</v>
      </c>
      <c r="F2773" s="23">
        <v>46227</v>
      </c>
      <c r="G2773" s="8" t="s">
        <v>1493</v>
      </c>
      <c r="H2773" s="23">
        <v>46246</v>
      </c>
      <c r="I2773" s="23">
        <v>46227</v>
      </c>
      <c r="J2773" s="10">
        <v>390.46</v>
      </c>
      <c r="K2773" s="10">
        <v>156.18</v>
      </c>
      <c r="L2773" s="24">
        <v>0</v>
      </c>
      <c r="M2773" s="10">
        <v>234.28</v>
      </c>
    </row>
    <row r="2774" spans="1:13" x14ac:dyDescent="0.25">
      <c r="A2774" s="12" t="str">
        <f t="shared" si="86"/>
        <v>AH14009240PREFEITURA MUNICIPAL DE CONTAGEMMUL46227</v>
      </c>
      <c r="B2774" s="12" t="str">
        <f t="shared" si="87"/>
        <v>Agosto</v>
      </c>
      <c r="C2774" s="8" t="s">
        <v>2876</v>
      </c>
      <c r="D2774" s="8" t="s">
        <v>1491</v>
      </c>
      <c r="E2774" s="8" t="s">
        <v>1470</v>
      </c>
      <c r="F2774" s="23">
        <v>46227</v>
      </c>
      <c r="G2774" s="8" t="s">
        <v>1491</v>
      </c>
      <c r="H2774" s="23">
        <v>46248</v>
      </c>
      <c r="I2774" s="23">
        <v>46227</v>
      </c>
      <c r="J2774" s="10">
        <v>390.46</v>
      </c>
      <c r="K2774" s="10">
        <v>156.18</v>
      </c>
      <c r="L2774" s="24">
        <v>0</v>
      </c>
      <c r="M2774" s="10">
        <v>234.28</v>
      </c>
    </row>
    <row r="2775" spans="1:13" x14ac:dyDescent="0.25">
      <c r="A2775" s="12" t="str">
        <f t="shared" si="86"/>
        <v>AH14023385MUNICIPIO DE BELO HORIZONTEMUL46241</v>
      </c>
      <c r="B2775" s="12" t="str">
        <f t="shared" si="87"/>
        <v>Agosto</v>
      </c>
      <c r="C2775" s="8" t="s">
        <v>2960</v>
      </c>
      <c r="D2775" s="8" t="s">
        <v>1491</v>
      </c>
      <c r="E2775" s="8" t="s">
        <v>1940</v>
      </c>
      <c r="F2775" s="23">
        <v>46241</v>
      </c>
      <c r="G2775" s="8" t="s">
        <v>1491</v>
      </c>
      <c r="H2775" s="23">
        <v>46251</v>
      </c>
      <c r="I2775" s="23">
        <v>46241</v>
      </c>
      <c r="J2775" s="10">
        <v>586.94000000000005</v>
      </c>
      <c r="K2775" s="10">
        <v>234.77</v>
      </c>
      <c r="L2775" s="24">
        <v>0</v>
      </c>
      <c r="M2775" s="10">
        <v>352.17</v>
      </c>
    </row>
    <row r="2776" spans="1:13" x14ac:dyDescent="0.25">
      <c r="A2776" s="12" t="str">
        <f t="shared" si="86"/>
        <v>AH14033241MUNICIPIO DE BELO HORIZONTEMUL46241</v>
      </c>
      <c r="B2776" s="12" t="str">
        <f t="shared" si="87"/>
        <v>Agosto</v>
      </c>
      <c r="C2776" s="8" t="s">
        <v>2961</v>
      </c>
      <c r="D2776" s="8" t="s">
        <v>1491</v>
      </c>
      <c r="E2776" s="8" t="s">
        <v>1940</v>
      </c>
      <c r="F2776" s="23">
        <v>46241</v>
      </c>
      <c r="G2776" s="8" t="s">
        <v>1491</v>
      </c>
      <c r="H2776" s="23">
        <v>46253</v>
      </c>
      <c r="I2776" s="23">
        <v>46241</v>
      </c>
      <c r="J2776" s="10">
        <v>586.94000000000005</v>
      </c>
      <c r="K2776" s="10">
        <v>234.77</v>
      </c>
      <c r="L2776" s="24">
        <v>0</v>
      </c>
      <c r="M2776" s="10">
        <v>352.17</v>
      </c>
    </row>
    <row r="2777" spans="1:13" x14ac:dyDescent="0.25">
      <c r="A2777" s="12" t="str">
        <f t="shared" si="86"/>
        <v>AH14101668MUNICIPIO DE BELO HORIZONTEMUL46253</v>
      </c>
      <c r="B2777" s="12" t="str">
        <f t="shared" si="87"/>
        <v>Setembro</v>
      </c>
      <c r="C2777" s="8" t="s">
        <v>3037</v>
      </c>
      <c r="D2777" s="8" t="s">
        <v>1491</v>
      </c>
      <c r="E2777" s="8" t="s">
        <v>1940</v>
      </c>
      <c r="F2777" s="23">
        <v>46253</v>
      </c>
      <c r="G2777" s="8" t="s">
        <v>1491</v>
      </c>
      <c r="H2777" s="23">
        <v>46269</v>
      </c>
      <c r="I2777" s="23">
        <v>46253</v>
      </c>
      <c r="J2777" s="10">
        <v>260.32</v>
      </c>
      <c r="K2777" s="10">
        <v>104.12</v>
      </c>
      <c r="L2777" s="24">
        <v>0</v>
      </c>
      <c r="M2777" s="10">
        <v>156.19999999999999</v>
      </c>
    </row>
    <row r="2778" spans="1:13" x14ac:dyDescent="0.25">
      <c r="A2778" s="12" t="str">
        <f t="shared" si="86"/>
        <v>AH14107288MUNICIPIO DE BELO HORIZONTEMUL46253</v>
      </c>
      <c r="B2778" s="12" t="str">
        <f t="shared" si="87"/>
        <v>Setembro</v>
      </c>
      <c r="C2778" s="8" t="s">
        <v>3038</v>
      </c>
      <c r="D2778" s="8" t="s">
        <v>1491</v>
      </c>
      <c r="E2778" s="8" t="s">
        <v>1940</v>
      </c>
      <c r="F2778" s="23">
        <v>46253</v>
      </c>
      <c r="G2778" s="8" t="s">
        <v>1491</v>
      </c>
      <c r="H2778" s="23">
        <v>46273</v>
      </c>
      <c r="I2778" s="23">
        <v>46253</v>
      </c>
      <c r="J2778" s="10">
        <v>586.94000000000005</v>
      </c>
      <c r="K2778" s="10">
        <v>234.77</v>
      </c>
      <c r="L2778" s="24">
        <v>0</v>
      </c>
      <c r="M2778" s="10">
        <v>352.17</v>
      </c>
    </row>
    <row r="2779" spans="1:13" x14ac:dyDescent="0.25">
      <c r="A2779" s="12" t="str">
        <f t="shared" ref="A2779:A2842" si="88">$C2779&amp;$E2779&amp;$G2779&amp;$F2779</f>
        <v>AH14108073MUNICIPIO DE BELO HORIZONTEMUL46254</v>
      </c>
      <c r="B2779" s="12" t="str">
        <f t="shared" si="87"/>
        <v>Setembro</v>
      </c>
      <c r="C2779" s="8" t="s">
        <v>3039</v>
      </c>
      <c r="D2779" s="8" t="s">
        <v>1491</v>
      </c>
      <c r="E2779" s="8" t="s">
        <v>1940</v>
      </c>
      <c r="F2779" s="23">
        <v>46254</v>
      </c>
      <c r="G2779" s="8" t="s">
        <v>1491</v>
      </c>
      <c r="H2779" s="23">
        <v>46273</v>
      </c>
      <c r="I2779" s="23">
        <v>46254</v>
      </c>
      <c r="J2779" s="10">
        <v>260.32</v>
      </c>
      <c r="K2779" s="10">
        <v>104.12</v>
      </c>
      <c r="L2779" s="24">
        <v>0</v>
      </c>
      <c r="M2779" s="10">
        <v>156.19999999999999</v>
      </c>
    </row>
    <row r="2780" spans="1:13" x14ac:dyDescent="0.25">
      <c r="A2780" s="12" t="str">
        <f t="shared" si="88"/>
        <v>AH14108400MUNICIPIO DE BELO HORIZONTEMUL46253</v>
      </c>
      <c r="B2780" s="12" t="str">
        <f t="shared" si="87"/>
        <v>Setembro</v>
      </c>
      <c r="C2780" s="8" t="s">
        <v>3040</v>
      </c>
      <c r="D2780" s="8" t="s">
        <v>1491</v>
      </c>
      <c r="E2780" s="8" t="s">
        <v>1940</v>
      </c>
      <c r="F2780" s="23">
        <v>46253</v>
      </c>
      <c r="G2780" s="8" t="s">
        <v>1491</v>
      </c>
      <c r="H2780" s="23">
        <v>46273</v>
      </c>
      <c r="I2780" s="23">
        <v>46253</v>
      </c>
      <c r="J2780" s="10">
        <v>390.46</v>
      </c>
      <c r="K2780" s="10">
        <v>156.18</v>
      </c>
      <c r="L2780" s="24">
        <v>0</v>
      </c>
      <c r="M2780" s="10">
        <v>234.28</v>
      </c>
    </row>
    <row r="2781" spans="1:13" x14ac:dyDescent="0.25">
      <c r="A2781" s="12" t="str">
        <f t="shared" si="88"/>
        <v>AH14117519MUNICIPIO DE BELO HORIZONTEMUL46253</v>
      </c>
      <c r="B2781" s="12" t="str">
        <f t="shared" si="87"/>
        <v>Setembro</v>
      </c>
      <c r="C2781" s="8" t="s">
        <v>3041</v>
      </c>
      <c r="D2781" s="8" t="s">
        <v>1491</v>
      </c>
      <c r="E2781" s="8" t="s">
        <v>1940</v>
      </c>
      <c r="F2781" s="23">
        <v>46253</v>
      </c>
      <c r="G2781" s="8" t="s">
        <v>1491</v>
      </c>
      <c r="H2781" s="23">
        <v>46274</v>
      </c>
      <c r="I2781" s="23">
        <v>46253</v>
      </c>
      <c r="J2781" s="10">
        <v>130.16</v>
      </c>
      <c r="K2781" s="10">
        <v>52.06</v>
      </c>
      <c r="L2781" s="24">
        <v>0</v>
      </c>
      <c r="M2781" s="10">
        <v>78.099999999999994</v>
      </c>
    </row>
    <row r="2782" spans="1:13" x14ac:dyDescent="0.25">
      <c r="A2782" s="12" t="str">
        <f t="shared" si="88"/>
        <v>AH14122939MUNICIPIO DE BELO HORIZONTEMUL46254</v>
      </c>
      <c r="B2782" s="12" t="str">
        <f t="shared" si="87"/>
        <v>Setembro</v>
      </c>
      <c r="C2782" s="8" t="s">
        <v>3042</v>
      </c>
      <c r="D2782" s="8" t="s">
        <v>1491</v>
      </c>
      <c r="E2782" s="8" t="s">
        <v>1940</v>
      </c>
      <c r="F2782" s="23">
        <v>46254</v>
      </c>
      <c r="G2782" s="8" t="s">
        <v>1491</v>
      </c>
      <c r="H2782" s="23">
        <v>46275</v>
      </c>
      <c r="I2782" s="23">
        <v>46254</v>
      </c>
      <c r="J2782" s="10">
        <v>293.47000000000003</v>
      </c>
      <c r="K2782" s="10">
        <v>117.38</v>
      </c>
      <c r="L2782" s="24">
        <v>0</v>
      </c>
      <c r="M2782" s="10">
        <v>176.09</v>
      </c>
    </row>
    <row r="2783" spans="1:13" x14ac:dyDescent="0.25">
      <c r="A2783" s="12" t="str">
        <f t="shared" si="88"/>
        <v>AH14243961MUNICIPIO DE BELO HORIZONTEMUL46273</v>
      </c>
      <c r="B2783" s="12" t="str">
        <f t="shared" si="87"/>
        <v>Setembro</v>
      </c>
      <c r="C2783" s="8" t="s">
        <v>3091</v>
      </c>
      <c r="D2783" s="8" t="s">
        <v>1491</v>
      </c>
      <c r="E2783" s="8" t="s">
        <v>1940</v>
      </c>
      <c r="F2783" s="23">
        <v>46273</v>
      </c>
      <c r="G2783" s="8" t="s">
        <v>1491</v>
      </c>
      <c r="H2783" s="23">
        <v>46282</v>
      </c>
      <c r="I2783" s="23">
        <v>46273</v>
      </c>
      <c r="J2783" s="10">
        <v>586.94000000000005</v>
      </c>
      <c r="K2783" s="10">
        <v>234.77</v>
      </c>
      <c r="L2783" s="24">
        <v>0</v>
      </c>
      <c r="M2783" s="10">
        <v>352.17</v>
      </c>
    </row>
    <row r="2784" spans="1:13" x14ac:dyDescent="0.25">
      <c r="A2784" s="12" t="str">
        <f t="shared" si="88"/>
        <v>AH14246723MUNICIPIO DE BELO HORIZONTEMUL46273</v>
      </c>
      <c r="B2784" s="12" t="str">
        <f t="shared" si="87"/>
        <v>Setembro</v>
      </c>
      <c r="C2784" s="8" t="s">
        <v>3092</v>
      </c>
      <c r="D2784" s="8" t="s">
        <v>1491</v>
      </c>
      <c r="E2784" s="8" t="s">
        <v>1940</v>
      </c>
      <c r="F2784" s="23">
        <v>46273</v>
      </c>
      <c r="G2784" s="8" t="s">
        <v>1491</v>
      </c>
      <c r="H2784" s="23">
        <v>46283</v>
      </c>
      <c r="I2784" s="23">
        <v>46273</v>
      </c>
      <c r="J2784" s="10">
        <v>586.94000000000005</v>
      </c>
      <c r="K2784" s="10">
        <v>234.77</v>
      </c>
      <c r="L2784" s="24">
        <v>0</v>
      </c>
      <c r="M2784" s="10">
        <v>352.17</v>
      </c>
    </row>
    <row r="2785" spans="1:13" x14ac:dyDescent="0.25">
      <c r="A2785" s="12" t="str">
        <f t="shared" si="88"/>
        <v>AH14250804MUNICIPIO DE BELO HORIZONTEMUL46273</v>
      </c>
      <c r="B2785" s="12" t="str">
        <f t="shared" si="87"/>
        <v>Setembro</v>
      </c>
      <c r="C2785" s="8" t="s">
        <v>3093</v>
      </c>
      <c r="D2785" s="8" t="s">
        <v>1491</v>
      </c>
      <c r="E2785" s="8" t="s">
        <v>1940</v>
      </c>
      <c r="F2785" s="23">
        <v>46273</v>
      </c>
      <c r="G2785" s="8" t="s">
        <v>1491</v>
      </c>
      <c r="H2785" s="23">
        <v>46286</v>
      </c>
      <c r="I2785" s="23">
        <v>46273</v>
      </c>
      <c r="J2785" s="10">
        <v>260.32</v>
      </c>
      <c r="K2785" s="10">
        <v>104.12</v>
      </c>
      <c r="L2785" s="24">
        <v>0</v>
      </c>
      <c r="M2785" s="10">
        <v>156.19999999999999</v>
      </c>
    </row>
    <row r="2786" spans="1:13" x14ac:dyDescent="0.25">
      <c r="A2786" s="12" t="str">
        <f t="shared" si="88"/>
        <v>AH14256937MUNICIPIO DE BELO HORIZONTEMUL46273</v>
      </c>
      <c r="B2786" s="12" t="str">
        <f t="shared" si="87"/>
        <v>Setembro</v>
      </c>
      <c r="C2786" s="8" t="s">
        <v>3094</v>
      </c>
      <c r="D2786" s="8" t="s">
        <v>1491</v>
      </c>
      <c r="E2786" s="8" t="s">
        <v>1940</v>
      </c>
      <c r="F2786" s="23">
        <v>46273</v>
      </c>
      <c r="G2786" s="8" t="s">
        <v>1491</v>
      </c>
      <c r="H2786" s="23">
        <v>46288</v>
      </c>
      <c r="I2786" s="23">
        <v>46273</v>
      </c>
      <c r="J2786" s="10">
        <v>293.47000000000003</v>
      </c>
      <c r="K2786" s="10">
        <v>58.69</v>
      </c>
      <c r="L2786" s="24">
        <v>0</v>
      </c>
      <c r="M2786" s="10">
        <v>234.78</v>
      </c>
    </row>
    <row r="2787" spans="1:13" x14ac:dyDescent="0.25">
      <c r="A2787" s="12" t="str">
        <f t="shared" si="88"/>
        <v>AI07731322DEPARTAMENTO DE ESTRADAS DE RODAGEM DO ESTADO DE MINAS GERAISMUL46129</v>
      </c>
      <c r="B2787" s="12" t="str">
        <f t="shared" si="87"/>
        <v>Maio</v>
      </c>
      <c r="C2787" s="8" t="s">
        <v>2325</v>
      </c>
      <c r="D2787" s="8" t="s">
        <v>1491</v>
      </c>
      <c r="E2787" s="8" t="s">
        <v>2326</v>
      </c>
      <c r="F2787" s="23">
        <v>46129</v>
      </c>
      <c r="G2787" s="8" t="s">
        <v>1491</v>
      </c>
      <c r="H2787" s="23">
        <v>46148</v>
      </c>
      <c r="I2787" s="23">
        <v>46129</v>
      </c>
      <c r="J2787" s="10">
        <v>130.16</v>
      </c>
      <c r="K2787" s="10">
        <v>26.03</v>
      </c>
      <c r="L2787" s="24">
        <v>0</v>
      </c>
      <c r="M2787" s="10">
        <v>104.13</v>
      </c>
    </row>
    <row r="2788" spans="1:13" x14ac:dyDescent="0.25">
      <c r="A2788" s="12" t="str">
        <f t="shared" si="88"/>
        <v>AI07785711DEPARTAMENTO DE ESTRADAS DE RODAGEM DO ESTADO DE MINAS GERAISMUL46149</v>
      </c>
      <c r="B2788" s="12" t="str">
        <f t="shared" si="87"/>
        <v>Maio</v>
      </c>
      <c r="C2788" s="8" t="s">
        <v>2415</v>
      </c>
      <c r="D2788" s="8" t="s">
        <v>1491</v>
      </c>
      <c r="E2788" s="8" t="s">
        <v>2326</v>
      </c>
      <c r="F2788" s="23">
        <v>46149</v>
      </c>
      <c r="G2788" s="8" t="s">
        <v>1491</v>
      </c>
      <c r="H2788" s="23">
        <v>46164</v>
      </c>
      <c r="I2788" s="23">
        <v>46149</v>
      </c>
      <c r="J2788" s="10">
        <v>130.16</v>
      </c>
      <c r="K2788" s="10">
        <v>26.03</v>
      </c>
      <c r="L2788" s="24">
        <v>0</v>
      </c>
      <c r="M2788" s="10">
        <v>104.13</v>
      </c>
    </row>
    <row r="2789" spans="1:13" x14ac:dyDescent="0.25">
      <c r="A2789" s="12" t="str">
        <f t="shared" si="88"/>
        <v>AI07858003DEPARTAMENTO DE ESTRADAS DE RODAGEM DO ESTADO DE MINAS GERAISmul46178</v>
      </c>
      <c r="B2789" s="12" t="str">
        <f t="shared" si="87"/>
        <v>Junho</v>
      </c>
      <c r="C2789" s="8" t="s">
        <v>2603</v>
      </c>
      <c r="D2789" s="8" t="s">
        <v>1491</v>
      </c>
      <c r="E2789" s="8" t="s">
        <v>2326</v>
      </c>
      <c r="F2789" s="23">
        <v>46178</v>
      </c>
      <c r="G2789" s="8" t="s">
        <v>1493</v>
      </c>
      <c r="H2789" s="23">
        <v>46192</v>
      </c>
      <c r="I2789" s="23">
        <v>46178</v>
      </c>
      <c r="J2789" s="10">
        <v>130.16</v>
      </c>
      <c r="K2789" s="10">
        <v>26.03</v>
      </c>
      <c r="L2789" s="24">
        <v>0</v>
      </c>
      <c r="M2789" s="10">
        <v>104.13</v>
      </c>
    </row>
    <row r="2790" spans="1:13" x14ac:dyDescent="0.25">
      <c r="A2790" s="12" t="str">
        <f t="shared" si="88"/>
        <v>AI09321050DEPARTAMENTO DE ESTRADAS DE RODAGEM DO ESTADO DE MINAS GERAISmul46227</v>
      </c>
      <c r="B2790" s="12" t="str">
        <f t="shared" si="87"/>
        <v>Julho</v>
      </c>
      <c r="C2790" s="8" t="s">
        <v>2877</v>
      </c>
      <c r="D2790" s="8" t="s">
        <v>1491</v>
      </c>
      <c r="E2790" s="8" t="s">
        <v>2326</v>
      </c>
      <c r="F2790" s="23">
        <v>46227</v>
      </c>
      <c r="G2790" s="8" t="s">
        <v>1493</v>
      </c>
      <c r="H2790" s="23">
        <v>46234</v>
      </c>
      <c r="I2790" s="23">
        <v>46227</v>
      </c>
      <c r="J2790" s="10">
        <v>195.23</v>
      </c>
      <c r="K2790" s="10">
        <v>78.09</v>
      </c>
      <c r="L2790" s="24">
        <v>0</v>
      </c>
      <c r="M2790" s="10">
        <v>117.14</v>
      </c>
    </row>
    <row r="2791" spans="1:13" x14ac:dyDescent="0.25">
      <c r="A2791" s="12" t="str">
        <f t="shared" si="88"/>
        <v>AI09571589DEPARTAMENTO DE ESTRADAS DE RODAGEM DO ESTADO DE MINAS GERAISMUL46253</v>
      </c>
      <c r="B2791" s="12" t="str">
        <f t="shared" si="87"/>
        <v>Setembro</v>
      </c>
      <c r="C2791" s="8" t="s">
        <v>3033</v>
      </c>
      <c r="D2791" s="8" t="s">
        <v>1491</v>
      </c>
      <c r="E2791" s="8" t="s">
        <v>2326</v>
      </c>
      <c r="F2791" s="23">
        <v>46253</v>
      </c>
      <c r="G2791" s="8" t="s">
        <v>1491</v>
      </c>
      <c r="H2791" s="23">
        <v>46269</v>
      </c>
      <c r="I2791" s="23">
        <v>46253</v>
      </c>
      <c r="J2791" s="10">
        <v>195.23</v>
      </c>
      <c r="K2791" s="10">
        <v>78.09</v>
      </c>
      <c r="L2791" s="24">
        <v>0</v>
      </c>
      <c r="M2791" s="10">
        <v>117.14</v>
      </c>
    </row>
    <row r="2792" spans="1:13" x14ac:dyDescent="0.25">
      <c r="A2792" s="12" t="str">
        <f t="shared" si="88"/>
        <v>AL02920113PREFEITURA MUNICIPAL DE CONTAGEMMUL46101</v>
      </c>
      <c r="B2792" s="12" t="str">
        <f t="shared" si="87"/>
        <v>Abril</v>
      </c>
      <c r="C2792" s="8" t="s">
        <v>2130</v>
      </c>
      <c r="D2792" s="8" t="s">
        <v>1491</v>
      </c>
      <c r="E2792" s="8" t="s">
        <v>1470</v>
      </c>
      <c r="F2792" s="23">
        <v>46101</v>
      </c>
      <c r="G2792" s="8" t="s">
        <v>1491</v>
      </c>
      <c r="H2792" s="23">
        <v>46118</v>
      </c>
      <c r="I2792" s="23">
        <v>46101</v>
      </c>
      <c r="J2792" s="10">
        <v>130.16</v>
      </c>
      <c r="K2792" s="10">
        <v>52.06</v>
      </c>
      <c r="L2792" s="24">
        <v>0</v>
      </c>
      <c r="M2792" s="10">
        <v>78.099999999999994</v>
      </c>
    </row>
    <row r="2793" spans="1:13" x14ac:dyDescent="0.25">
      <c r="A2793" s="12" t="str">
        <f t="shared" si="88"/>
        <v>AL02930118PREFEITURA MUNICIPAL DE CONTAGEMmul46101</v>
      </c>
      <c r="B2793" s="12" t="str">
        <f t="shared" si="87"/>
        <v>Abril</v>
      </c>
      <c r="C2793" s="8" t="s">
        <v>2131</v>
      </c>
      <c r="D2793" s="8" t="s">
        <v>1491</v>
      </c>
      <c r="E2793" s="8" t="s">
        <v>1470</v>
      </c>
      <c r="F2793" s="23">
        <v>46101</v>
      </c>
      <c r="G2793" s="8" t="s">
        <v>1493</v>
      </c>
      <c r="H2793" s="23">
        <v>46120</v>
      </c>
      <c r="I2793" s="23">
        <v>46101</v>
      </c>
      <c r="J2793" s="10">
        <v>130.16</v>
      </c>
      <c r="K2793" s="10">
        <v>52.06</v>
      </c>
      <c r="L2793" s="24">
        <v>0</v>
      </c>
      <c r="M2793" s="10">
        <v>78.099999999999994</v>
      </c>
    </row>
    <row r="2794" spans="1:13" x14ac:dyDescent="0.25">
      <c r="A2794" s="12" t="str">
        <f t="shared" si="88"/>
        <v>AL02961297PREFEITURA MUNICIPAL DE CONTAGEMmul46129</v>
      </c>
      <c r="B2794" s="12" t="str">
        <f t="shared" si="87"/>
        <v>Maio</v>
      </c>
      <c r="C2794" s="8" t="s">
        <v>2322</v>
      </c>
      <c r="D2794" s="8" t="s">
        <v>1491</v>
      </c>
      <c r="E2794" s="8" t="s">
        <v>1470</v>
      </c>
      <c r="F2794" s="23">
        <v>46129</v>
      </c>
      <c r="G2794" s="8" t="s">
        <v>1493</v>
      </c>
      <c r="H2794" s="23">
        <v>46147</v>
      </c>
      <c r="I2794" s="23">
        <v>46129</v>
      </c>
      <c r="J2794" s="10">
        <v>293.47000000000003</v>
      </c>
      <c r="K2794" s="10">
        <v>117.38</v>
      </c>
      <c r="L2794" s="24">
        <v>0</v>
      </c>
      <c r="M2794" s="10">
        <v>176.09</v>
      </c>
    </row>
    <row r="2795" spans="1:13" x14ac:dyDescent="0.25">
      <c r="A2795" s="12" t="str">
        <f t="shared" si="88"/>
        <v>AL02987452PREFEITURA MUNICIPAL DE CONTAGEMMUL46149</v>
      </c>
      <c r="B2795" s="12" t="str">
        <f t="shared" si="87"/>
        <v>Junho</v>
      </c>
      <c r="C2795" s="8" t="s">
        <v>2410</v>
      </c>
      <c r="D2795" s="8" t="s">
        <v>1491</v>
      </c>
      <c r="E2795" s="8" t="s">
        <v>1470</v>
      </c>
      <c r="F2795" s="23">
        <v>46149</v>
      </c>
      <c r="G2795" s="8" t="s">
        <v>1491</v>
      </c>
      <c r="H2795" s="23">
        <v>46174</v>
      </c>
      <c r="I2795" s="23">
        <v>46149</v>
      </c>
      <c r="J2795" s="10">
        <v>130.16</v>
      </c>
      <c r="K2795" s="10">
        <v>52.06</v>
      </c>
      <c r="L2795" s="24">
        <v>0</v>
      </c>
      <c r="M2795" s="10">
        <v>78.099999999999994</v>
      </c>
    </row>
    <row r="2796" spans="1:13" x14ac:dyDescent="0.25">
      <c r="A2796" s="12" t="str">
        <f t="shared" si="88"/>
        <v>AL03016993PREFEITURA MUNICIPAL DE CONTAGEMMUL46149</v>
      </c>
      <c r="B2796" s="12" t="str">
        <f t="shared" si="87"/>
        <v>Junho</v>
      </c>
      <c r="C2796" s="8" t="s">
        <v>2411</v>
      </c>
      <c r="D2796" s="8" t="s">
        <v>1491</v>
      </c>
      <c r="E2796" s="8" t="s">
        <v>1470</v>
      </c>
      <c r="F2796" s="23">
        <v>46149</v>
      </c>
      <c r="G2796" s="8" t="s">
        <v>1491</v>
      </c>
      <c r="H2796" s="23">
        <v>46181</v>
      </c>
      <c r="I2796" s="23">
        <v>46149</v>
      </c>
      <c r="J2796" s="10">
        <v>130.16</v>
      </c>
      <c r="K2796" s="10">
        <v>52.06</v>
      </c>
      <c r="L2796" s="24">
        <v>0</v>
      </c>
      <c r="M2796" s="10">
        <v>78.099999999999994</v>
      </c>
    </row>
    <row r="2797" spans="1:13" x14ac:dyDescent="0.25">
      <c r="A2797" s="12" t="str">
        <f t="shared" si="88"/>
        <v>AL03022087PREFEITURA MUNICIPAL DE CONTAGEMMUL46149</v>
      </c>
      <c r="B2797" s="12" t="str">
        <f t="shared" si="87"/>
        <v>Junho</v>
      </c>
      <c r="C2797" s="8" t="s">
        <v>2412</v>
      </c>
      <c r="D2797" s="8" t="s">
        <v>1491</v>
      </c>
      <c r="E2797" s="8" t="s">
        <v>1470</v>
      </c>
      <c r="F2797" s="23">
        <v>46149</v>
      </c>
      <c r="G2797" s="8" t="s">
        <v>1491</v>
      </c>
      <c r="H2797" s="23">
        <v>46181</v>
      </c>
      <c r="I2797" s="23">
        <v>46149</v>
      </c>
      <c r="J2797" s="10">
        <v>293.47000000000003</v>
      </c>
      <c r="K2797" s="10">
        <v>117.38</v>
      </c>
      <c r="L2797" s="24">
        <v>0</v>
      </c>
      <c r="M2797" s="10">
        <v>176.09</v>
      </c>
    </row>
    <row r="2798" spans="1:13" x14ac:dyDescent="0.25">
      <c r="A2798" s="12" t="str">
        <f t="shared" si="88"/>
        <v>AL03029162PREFEITURA MUNICIPAL DE CONTAGEMmul46164</v>
      </c>
      <c r="B2798" s="12" t="str">
        <f t="shared" si="87"/>
        <v>Junho</v>
      </c>
      <c r="C2798" s="8" t="s">
        <v>2522</v>
      </c>
      <c r="D2798" s="8" t="s">
        <v>1491</v>
      </c>
      <c r="E2798" s="8" t="s">
        <v>1470</v>
      </c>
      <c r="F2798" s="23">
        <v>46164</v>
      </c>
      <c r="G2798" s="8" t="s">
        <v>1493</v>
      </c>
      <c r="H2798" s="23">
        <v>46188</v>
      </c>
      <c r="I2798" s="23">
        <v>46164</v>
      </c>
      <c r="J2798" s="10">
        <v>130.16</v>
      </c>
      <c r="K2798" s="10">
        <v>52.06</v>
      </c>
      <c r="L2798" s="24">
        <v>0</v>
      </c>
      <c r="M2798" s="10">
        <v>78.099999999999994</v>
      </c>
    </row>
    <row r="2799" spans="1:13" x14ac:dyDescent="0.25">
      <c r="A2799" s="12" t="str">
        <f t="shared" si="88"/>
        <v>AL03101526PREFEITURA MUNICIPAL DE CONTAGEMMUL46241</v>
      </c>
      <c r="B2799" s="12" t="str">
        <f t="shared" si="87"/>
        <v>Agosto</v>
      </c>
      <c r="C2799" s="8" t="s">
        <v>2955</v>
      </c>
      <c r="D2799" s="8" t="s">
        <v>1491</v>
      </c>
      <c r="E2799" s="8" t="s">
        <v>1470</v>
      </c>
      <c r="F2799" s="23">
        <v>46241</v>
      </c>
      <c r="G2799" s="8" t="s">
        <v>1491</v>
      </c>
      <c r="H2799" s="23">
        <v>46258</v>
      </c>
      <c r="I2799" s="23">
        <v>46241</v>
      </c>
      <c r="J2799" s="10">
        <v>130.16</v>
      </c>
      <c r="K2799" s="10">
        <v>26.03</v>
      </c>
      <c r="L2799" s="24">
        <v>0</v>
      </c>
      <c r="M2799" s="10">
        <v>104.13</v>
      </c>
    </row>
    <row r="2800" spans="1:13" x14ac:dyDescent="0.25">
      <c r="A2800" s="12" t="str">
        <f t="shared" si="88"/>
        <v>AMGTZ-3060899LOCALIZA FLEET S/AFT46097</v>
      </c>
      <c r="B2800" s="12" t="str">
        <f t="shared" si="87"/>
        <v>Abril</v>
      </c>
      <c r="C2800" s="8" t="s">
        <v>336</v>
      </c>
      <c r="D2800" s="8" t="s">
        <v>1354</v>
      </c>
      <c r="E2800" s="8" t="s">
        <v>112</v>
      </c>
      <c r="F2800" s="23">
        <v>46097</v>
      </c>
      <c r="G2800" s="8" t="s">
        <v>232</v>
      </c>
      <c r="H2800" s="23">
        <v>46128</v>
      </c>
      <c r="I2800" s="23">
        <v>46112</v>
      </c>
      <c r="J2800" s="10">
        <v>139.13</v>
      </c>
      <c r="K2800" s="10">
        <v>0</v>
      </c>
      <c r="L2800" s="24">
        <v>0</v>
      </c>
      <c r="M2800" s="10">
        <v>139.13</v>
      </c>
    </row>
    <row r="2801" spans="1:13" x14ac:dyDescent="0.25">
      <c r="A2801" s="12" t="str">
        <f t="shared" si="88"/>
        <v>AT01295010DEPARTAMENTO DE ESTRADAS DE RODAGEM DO ESTADO DE MINAS GERAISMUL46128</v>
      </c>
      <c r="B2801" s="12" t="str">
        <f t="shared" si="87"/>
        <v>Maio</v>
      </c>
      <c r="C2801" s="8" t="s">
        <v>2327</v>
      </c>
      <c r="D2801" s="8" t="s">
        <v>1491</v>
      </c>
      <c r="E2801" s="8" t="s">
        <v>2326</v>
      </c>
      <c r="F2801" s="23">
        <v>46128</v>
      </c>
      <c r="G2801" s="8" t="s">
        <v>1491</v>
      </c>
      <c r="H2801" s="23">
        <v>46153</v>
      </c>
      <c r="I2801" s="23">
        <v>46128</v>
      </c>
      <c r="J2801" s="10">
        <v>1467.34</v>
      </c>
      <c r="K2801" s="10">
        <v>586.92999999999995</v>
      </c>
      <c r="L2801" s="24">
        <v>0</v>
      </c>
      <c r="M2801" s="10">
        <v>880.41</v>
      </c>
    </row>
    <row r="2802" spans="1:13" x14ac:dyDescent="0.25">
      <c r="A2802" s="12" t="str">
        <f t="shared" si="88"/>
        <v>ATV0666734SECRETARIA DE ESTADO DA FAZENDAMUL46063</v>
      </c>
      <c r="B2802" s="12" t="str">
        <f t="shared" si="87"/>
        <v>Fevereiro</v>
      </c>
      <c r="C2802" s="8" t="s">
        <v>1775</v>
      </c>
      <c r="D2802" s="8" t="s">
        <v>1491</v>
      </c>
      <c r="E2802" s="8" t="s">
        <v>1776</v>
      </c>
      <c r="F2802" s="23">
        <v>46063</v>
      </c>
      <c r="G2802" s="8" t="s">
        <v>1491</v>
      </c>
      <c r="H2802" s="23">
        <v>46073</v>
      </c>
      <c r="I2802" s="23">
        <v>46063</v>
      </c>
      <c r="J2802" s="10">
        <v>130.16</v>
      </c>
      <c r="K2802" s="10">
        <v>52.06</v>
      </c>
      <c r="L2802" s="24">
        <v>0</v>
      </c>
      <c r="M2802" s="10">
        <v>78.099999999999994</v>
      </c>
    </row>
    <row r="2803" spans="1:13" x14ac:dyDescent="0.25">
      <c r="A2803" s="12" t="str">
        <f t="shared" si="88"/>
        <v>AUXCOM01/25MGHORIZONTE EXPRESS TRANSPORTES LTDABNF46017,375</v>
      </c>
      <c r="B2803" s="12" t="str">
        <f t="shared" si="87"/>
        <v>Janeiro</v>
      </c>
      <c r="C2803" s="8" t="s">
        <v>1366</v>
      </c>
      <c r="D2803" s="8" t="s">
        <v>664</v>
      </c>
      <c r="E2803" s="8" t="s">
        <v>1350</v>
      </c>
      <c r="F2803" s="23">
        <v>46017.375</v>
      </c>
      <c r="G2803" s="8" t="s">
        <v>1041</v>
      </c>
      <c r="H2803" s="23">
        <v>46027</v>
      </c>
      <c r="I2803" s="23">
        <v>46017.375</v>
      </c>
      <c r="J2803" s="10">
        <v>2100</v>
      </c>
      <c r="K2803" s="10">
        <v>0</v>
      </c>
      <c r="L2803" s="24">
        <v>0</v>
      </c>
      <c r="M2803" s="10">
        <v>2100</v>
      </c>
    </row>
    <row r="2804" spans="1:13" x14ac:dyDescent="0.25">
      <c r="A2804" s="12" t="str">
        <f t="shared" si="88"/>
        <v>AUXCOM03/26MGHORIZONTE EXPRESS TRANSPORTES LTDADEP46078,6034722222</v>
      </c>
      <c r="B2804" s="12" t="str">
        <f t="shared" si="87"/>
        <v>Março</v>
      </c>
      <c r="C2804" s="8" t="s">
        <v>1959</v>
      </c>
      <c r="D2804" s="8" t="s">
        <v>664</v>
      </c>
      <c r="E2804" s="8" t="s">
        <v>1350</v>
      </c>
      <c r="F2804" s="23">
        <v>46078.603472222225</v>
      </c>
      <c r="G2804" s="8" t="s">
        <v>1043</v>
      </c>
      <c r="H2804" s="23">
        <v>46086</v>
      </c>
      <c r="I2804" s="23">
        <v>46078.603472222225</v>
      </c>
      <c r="J2804" s="10">
        <v>2100</v>
      </c>
      <c r="K2804" s="10">
        <v>0</v>
      </c>
      <c r="L2804" s="24">
        <v>0</v>
      </c>
      <c r="M2804" s="10">
        <v>2100</v>
      </c>
    </row>
    <row r="2805" spans="1:13" x14ac:dyDescent="0.25">
      <c r="A2805" s="12" t="str">
        <f t="shared" si="88"/>
        <v>AUXCOM04/2016MGHORIZONTE EXPRESS TRANSPORTES LTDADEP46106,5798611111</v>
      </c>
      <c r="B2805" s="12" t="str">
        <f t="shared" si="87"/>
        <v>Abril</v>
      </c>
      <c r="C2805" s="8" t="s">
        <v>2153</v>
      </c>
      <c r="D2805" s="8" t="s">
        <v>664</v>
      </c>
      <c r="E2805" s="8" t="s">
        <v>1350</v>
      </c>
      <c r="F2805" s="23">
        <v>46106.579861111109</v>
      </c>
      <c r="G2805" s="8" t="s">
        <v>1043</v>
      </c>
      <c r="H2805" s="23">
        <v>46118</v>
      </c>
      <c r="I2805" s="23">
        <v>46106.579861111109</v>
      </c>
      <c r="J2805" s="10">
        <v>2100</v>
      </c>
      <c r="K2805" s="10">
        <v>0</v>
      </c>
      <c r="L2805" s="24">
        <v>0</v>
      </c>
      <c r="M2805" s="10">
        <v>2100</v>
      </c>
    </row>
    <row r="2806" spans="1:13" x14ac:dyDescent="0.25">
      <c r="A2806" s="12" t="str">
        <f t="shared" si="88"/>
        <v>AUXCOM05/26MGHORIZONTE EXPRESS TRANSPORTES LTDADEP46136,4027777778</v>
      </c>
      <c r="B2806" s="12" t="str">
        <f t="shared" si="87"/>
        <v>Maio</v>
      </c>
      <c r="C2806" s="8" t="s">
        <v>2346</v>
      </c>
      <c r="D2806" s="8" t="s">
        <v>664</v>
      </c>
      <c r="E2806" s="8" t="s">
        <v>1350</v>
      </c>
      <c r="F2806" s="23">
        <v>46136.402777777781</v>
      </c>
      <c r="G2806" s="8" t="s">
        <v>1043</v>
      </c>
      <c r="H2806" s="23">
        <v>46147</v>
      </c>
      <c r="I2806" s="23">
        <v>46136.402777777781</v>
      </c>
      <c r="J2806" s="10">
        <v>2100</v>
      </c>
      <c r="K2806" s="10">
        <v>0</v>
      </c>
      <c r="L2806" s="24">
        <v>0</v>
      </c>
      <c r="M2806" s="10">
        <v>2100</v>
      </c>
    </row>
    <row r="2807" spans="1:13" x14ac:dyDescent="0.25">
      <c r="A2807" s="12" t="str">
        <f t="shared" si="88"/>
        <v>AUXCOM06/2026MGHORIZONTE EXPRESS TRANSPORTES LTDADEP46168,4263888889</v>
      </c>
      <c r="B2807" s="12" t="str">
        <f t="shared" si="87"/>
        <v>Junho</v>
      </c>
      <c r="C2807" s="8" t="s">
        <v>2533</v>
      </c>
      <c r="D2807" s="8" t="s">
        <v>664</v>
      </c>
      <c r="E2807" s="8" t="s">
        <v>1350</v>
      </c>
      <c r="F2807" s="23">
        <v>46168.426388888889</v>
      </c>
      <c r="G2807" s="8" t="s">
        <v>1043</v>
      </c>
      <c r="H2807" s="23">
        <v>46178</v>
      </c>
      <c r="I2807" s="23">
        <v>46168.426388888889</v>
      </c>
      <c r="J2807" s="10">
        <v>2100</v>
      </c>
      <c r="K2807" s="10">
        <v>0</v>
      </c>
      <c r="L2807" s="24">
        <v>0</v>
      </c>
      <c r="M2807" s="10">
        <v>2100</v>
      </c>
    </row>
    <row r="2808" spans="1:13" x14ac:dyDescent="0.25">
      <c r="A2808" s="12" t="str">
        <f t="shared" si="88"/>
        <v>AUXCOM07/26HORIZONTE EXPRESS TRANSPORTES LTDADEP46195,5069444444</v>
      </c>
      <c r="B2808" s="12" t="str">
        <f t="shared" si="87"/>
        <v>Julho</v>
      </c>
      <c r="C2808" s="8" t="s">
        <v>2707</v>
      </c>
      <c r="D2808" s="8" t="s">
        <v>664</v>
      </c>
      <c r="E2808" s="8" t="s">
        <v>1350</v>
      </c>
      <c r="F2808" s="23">
        <v>46195.506944444445</v>
      </c>
      <c r="G2808" s="8" t="s">
        <v>1043</v>
      </c>
      <c r="H2808" s="23">
        <v>46209</v>
      </c>
      <c r="I2808" s="23">
        <v>46195.506944444445</v>
      </c>
      <c r="J2808" s="10">
        <v>2100</v>
      </c>
      <c r="K2808" s="10">
        <v>0</v>
      </c>
      <c r="L2808" s="24">
        <v>0</v>
      </c>
      <c r="M2808" s="10">
        <v>2100</v>
      </c>
    </row>
    <row r="2809" spans="1:13" x14ac:dyDescent="0.25">
      <c r="A2809" s="12" t="str">
        <f t="shared" si="88"/>
        <v>AUXCOM10/26MGHORIZONTE EXPRESS TRANSPORTES LTDADEP46295,3944444444</v>
      </c>
      <c r="B2809" s="12" t="str">
        <f t="shared" si="87"/>
        <v>Outubro</v>
      </c>
      <c r="C2809" s="8" t="s">
        <v>3191</v>
      </c>
      <c r="D2809" s="8" t="s">
        <v>664</v>
      </c>
      <c r="E2809" s="8" t="s">
        <v>1350</v>
      </c>
      <c r="F2809" s="23">
        <v>46295.394444444442</v>
      </c>
      <c r="G2809" s="8" t="s">
        <v>1043</v>
      </c>
      <c r="H2809" s="23">
        <v>46300</v>
      </c>
      <c r="I2809" s="23">
        <v>46295.394444444442</v>
      </c>
      <c r="J2809" s="10">
        <v>2100</v>
      </c>
      <c r="K2809" s="10">
        <v>0</v>
      </c>
      <c r="L2809" s="24">
        <v>0</v>
      </c>
      <c r="M2809" s="10">
        <v>2100</v>
      </c>
    </row>
    <row r="2810" spans="1:13" x14ac:dyDescent="0.25">
      <c r="A2810" s="12" t="str">
        <f t="shared" si="88"/>
        <v>AUXCOMB08/26MGHORIZONTE EXPRESS TRANSPORTES LTDADEP46230,3965277778</v>
      </c>
      <c r="B2810" s="12" t="str">
        <f t="shared" si="87"/>
        <v>Agosto</v>
      </c>
      <c r="C2810" s="8" t="s">
        <v>2889</v>
      </c>
      <c r="D2810" s="8" t="s">
        <v>664</v>
      </c>
      <c r="E2810" s="8" t="s">
        <v>1350</v>
      </c>
      <c r="F2810" s="23">
        <v>46230.396527777775</v>
      </c>
      <c r="G2810" s="8" t="s">
        <v>1043</v>
      </c>
      <c r="H2810" s="23">
        <v>46239</v>
      </c>
      <c r="I2810" s="23">
        <v>46230.396527777775</v>
      </c>
      <c r="J2810" s="10">
        <v>2100</v>
      </c>
      <c r="K2810" s="10">
        <v>0</v>
      </c>
      <c r="L2810" s="24">
        <v>0</v>
      </c>
      <c r="M2810" s="10">
        <v>2100</v>
      </c>
    </row>
    <row r="2811" spans="1:13" x14ac:dyDescent="0.25">
      <c r="A2811" s="12" t="str">
        <f t="shared" si="88"/>
        <v>AUXCOMB09/26MGHORIZONTE EXPRESS TRANSPORTES LTDADEP46261,4097222222</v>
      </c>
      <c r="B2811" s="12" t="str">
        <f t="shared" si="87"/>
        <v>Setembro</v>
      </c>
      <c r="C2811" s="8" t="s">
        <v>3051</v>
      </c>
      <c r="D2811" s="8" t="s">
        <v>664</v>
      </c>
      <c r="E2811" s="8" t="s">
        <v>1350</v>
      </c>
      <c r="F2811" s="23">
        <v>46261.409722222219</v>
      </c>
      <c r="G2811" s="8" t="s">
        <v>1043</v>
      </c>
      <c r="H2811" s="23">
        <v>46269</v>
      </c>
      <c r="I2811" s="23">
        <v>46261.409722222219</v>
      </c>
      <c r="J2811" s="10">
        <v>2100</v>
      </c>
      <c r="K2811" s="10">
        <v>0</v>
      </c>
      <c r="L2811" s="24">
        <v>0</v>
      </c>
      <c r="M2811" s="10">
        <v>2100</v>
      </c>
    </row>
    <row r="2812" spans="1:13" x14ac:dyDescent="0.25">
      <c r="A2812" s="12" t="str">
        <f t="shared" si="88"/>
        <v>BNFCOMP05/26MGHORIZONTE EXPRESS TRANSPORTES LTDABNF46141,61875</v>
      </c>
      <c r="B2812" s="12" t="str">
        <f t="shared" si="87"/>
        <v>Maio</v>
      </c>
      <c r="C2812" s="8" t="s">
        <v>2347</v>
      </c>
      <c r="D2812" s="8" t="s">
        <v>664</v>
      </c>
      <c r="E2812" s="8" t="s">
        <v>1350</v>
      </c>
      <c r="F2812" s="23">
        <v>46141.618750000001</v>
      </c>
      <c r="G2812" s="8" t="s">
        <v>1041</v>
      </c>
      <c r="H2812" s="23">
        <v>46147</v>
      </c>
      <c r="I2812" s="23">
        <v>46141.618750000001</v>
      </c>
      <c r="J2812" s="10">
        <v>360</v>
      </c>
      <c r="K2812" s="10">
        <v>0</v>
      </c>
      <c r="L2812" s="24">
        <v>0</v>
      </c>
      <c r="M2812" s="10">
        <v>360</v>
      </c>
    </row>
    <row r="2813" spans="1:13" x14ac:dyDescent="0.25">
      <c r="A2813" s="12" t="str">
        <f t="shared" si="88"/>
        <v>BNFNVT01/04/26HORIZONTE EXPRESS TRANSPORTES LTDABNF46114,4111111111</v>
      </c>
      <c r="B2813" s="12" t="str">
        <f t="shared" si="87"/>
        <v>Abril</v>
      </c>
      <c r="C2813" s="8" t="s">
        <v>2194</v>
      </c>
      <c r="D2813" s="8" t="s">
        <v>664</v>
      </c>
      <c r="E2813" s="8" t="s">
        <v>1350</v>
      </c>
      <c r="F2813" s="23">
        <v>46114.411111111112</v>
      </c>
      <c r="G2813" s="8" t="s">
        <v>1041</v>
      </c>
      <c r="H2813" s="23">
        <v>46119</v>
      </c>
      <c r="I2813" s="23">
        <v>46114.411111111112</v>
      </c>
      <c r="J2813" s="10">
        <v>3450</v>
      </c>
      <c r="K2813" s="10">
        <v>0</v>
      </c>
      <c r="L2813" s="24">
        <v>0</v>
      </c>
      <c r="M2813" s="10">
        <v>3450</v>
      </c>
    </row>
    <row r="2814" spans="1:13" x14ac:dyDescent="0.25">
      <c r="A2814" s="12" t="str">
        <f t="shared" si="88"/>
        <v>BNFNVT01/06/26HORIZONTE EXPRESS TRANSPORTES LTDABNF46175,4875</v>
      </c>
      <c r="B2814" s="12" t="str">
        <f t="shared" si="87"/>
        <v>Junho</v>
      </c>
      <c r="C2814" s="8" t="s">
        <v>2545</v>
      </c>
      <c r="D2814" s="8" t="s">
        <v>664</v>
      </c>
      <c r="E2814" s="8" t="s">
        <v>1350</v>
      </c>
      <c r="F2814" s="23">
        <v>46175.487500000003</v>
      </c>
      <c r="G2814" s="8" t="s">
        <v>1041</v>
      </c>
      <c r="H2814" s="23">
        <v>46181</v>
      </c>
      <c r="I2814" s="23">
        <v>46175.487500000003</v>
      </c>
      <c r="J2814" s="10">
        <v>1440</v>
      </c>
      <c r="K2814" s="10">
        <v>0</v>
      </c>
      <c r="L2814" s="24">
        <v>0</v>
      </c>
      <c r="M2814" s="10">
        <v>1440</v>
      </c>
    </row>
    <row r="2815" spans="1:13" x14ac:dyDescent="0.25">
      <c r="A2815" s="12" t="str">
        <f t="shared" si="88"/>
        <v>BNFNVT01/07/26HORIZONTE EXPRESS TRANSPORTES LTDABNF46205,4986111111</v>
      </c>
      <c r="B2815" s="12" t="str">
        <f t="shared" si="87"/>
        <v>Julho</v>
      </c>
      <c r="C2815" s="8" t="s">
        <v>2746</v>
      </c>
      <c r="D2815" s="8" t="s">
        <v>664</v>
      </c>
      <c r="E2815" s="8" t="s">
        <v>1350</v>
      </c>
      <c r="F2815" s="23">
        <v>46205.498611111114</v>
      </c>
      <c r="G2815" s="8" t="s">
        <v>1041</v>
      </c>
      <c r="H2815" s="23">
        <v>46211</v>
      </c>
      <c r="I2815" s="23">
        <v>46205.498611111114</v>
      </c>
      <c r="J2815" s="10">
        <v>1560</v>
      </c>
      <c r="K2815" s="10">
        <v>0</v>
      </c>
      <c r="L2815" s="24">
        <v>0</v>
      </c>
      <c r="M2815" s="10">
        <v>1560</v>
      </c>
    </row>
    <row r="2816" spans="1:13" x14ac:dyDescent="0.25">
      <c r="A2816" s="12" t="str">
        <f t="shared" si="88"/>
        <v>BNFNVT01/09/26HORIZONTE EXPRESS TRANSPORTES LTDABNF46266,6909722222</v>
      </c>
      <c r="B2816" s="12" t="str">
        <f t="shared" si="87"/>
        <v>Setembro</v>
      </c>
      <c r="C2816" s="8" t="s">
        <v>3060</v>
      </c>
      <c r="D2816" s="8" t="s">
        <v>664</v>
      </c>
      <c r="E2816" s="8" t="s">
        <v>1350</v>
      </c>
      <c r="F2816" s="23">
        <v>46266.690972222219</v>
      </c>
      <c r="G2816" s="8" t="s">
        <v>1041</v>
      </c>
      <c r="H2816" s="23">
        <v>46273</v>
      </c>
      <c r="I2816" s="23">
        <v>46266.690972222219</v>
      </c>
      <c r="J2816" s="10">
        <v>1524</v>
      </c>
      <c r="K2816" s="10">
        <v>0</v>
      </c>
      <c r="L2816" s="24">
        <v>0</v>
      </c>
      <c r="M2816" s="10">
        <v>1524</v>
      </c>
    </row>
    <row r="2817" spans="1:13" x14ac:dyDescent="0.25">
      <c r="A2817" s="12" t="str">
        <f t="shared" si="88"/>
        <v>BNFNVT02/01/26HORIZONTE EXPRESS TRANSPORTES LTDABNF46028,3173611111</v>
      </c>
      <c r="B2817" s="12" t="str">
        <f t="shared" si="87"/>
        <v>Janeiro</v>
      </c>
      <c r="C2817" s="8" t="s">
        <v>1455</v>
      </c>
      <c r="D2817" s="8" t="s">
        <v>664</v>
      </c>
      <c r="E2817" s="8" t="s">
        <v>1350</v>
      </c>
      <c r="F2817" s="23">
        <v>46028.317361111112</v>
      </c>
      <c r="G2817" s="8" t="s">
        <v>1041</v>
      </c>
      <c r="H2817" s="23">
        <v>46030</v>
      </c>
      <c r="I2817" s="23">
        <v>46028.317361111112</v>
      </c>
      <c r="J2817" s="10">
        <v>2880</v>
      </c>
      <c r="K2817" s="10">
        <v>0</v>
      </c>
      <c r="L2817" s="24">
        <v>0</v>
      </c>
      <c r="M2817" s="10">
        <v>2880</v>
      </c>
    </row>
    <row r="2818" spans="1:13" x14ac:dyDescent="0.25">
      <c r="A2818" s="12" t="str">
        <f t="shared" si="88"/>
        <v>BNFNVT02/02/26HORIZONTE EXPRESS TRANSPORTES LTDABNF46057,4284722222</v>
      </c>
      <c r="B2818" s="12" t="str">
        <f t="shared" si="87"/>
        <v>Fevereiro</v>
      </c>
      <c r="C2818" s="8" t="s">
        <v>1679</v>
      </c>
      <c r="D2818" s="8" t="s">
        <v>664</v>
      </c>
      <c r="E2818" s="8" t="s">
        <v>1350</v>
      </c>
      <c r="F2818" s="23">
        <v>46057.428472222222</v>
      </c>
      <c r="G2818" s="8" t="s">
        <v>1041</v>
      </c>
      <c r="H2818" s="23">
        <v>46059</v>
      </c>
      <c r="I2818" s="23">
        <v>46057.428472222222</v>
      </c>
      <c r="J2818" s="10">
        <v>3300</v>
      </c>
      <c r="K2818" s="10">
        <v>0</v>
      </c>
      <c r="L2818" s="24">
        <v>0</v>
      </c>
      <c r="M2818" s="10">
        <v>3300</v>
      </c>
    </row>
    <row r="2819" spans="1:13" x14ac:dyDescent="0.25">
      <c r="A2819" s="12" t="str">
        <f t="shared" si="88"/>
        <v>BNFNVT02/03/26HORIZONTE EXPRESS TRANSPORTES LTDABNF46085,6673611111</v>
      </c>
      <c r="B2819" s="12" t="str">
        <f t="shared" ref="B2819:B2882" si="89">PROPER(TEXT($H2819,"MMMM"))</f>
        <v>Março</v>
      </c>
      <c r="C2819" s="8" t="s">
        <v>2012</v>
      </c>
      <c r="D2819" s="8" t="s">
        <v>664</v>
      </c>
      <c r="E2819" s="8" t="s">
        <v>1350</v>
      </c>
      <c r="F2819" s="23">
        <v>46085.667361111111</v>
      </c>
      <c r="G2819" s="8" t="s">
        <v>1041</v>
      </c>
      <c r="H2819" s="23">
        <v>46092</v>
      </c>
      <c r="I2819" s="23">
        <v>46085.667361111111</v>
      </c>
      <c r="J2819" s="10">
        <v>3750</v>
      </c>
      <c r="K2819" s="10">
        <v>0</v>
      </c>
      <c r="L2819" s="24">
        <v>0</v>
      </c>
      <c r="M2819" s="10">
        <v>3750</v>
      </c>
    </row>
    <row r="2820" spans="1:13" x14ac:dyDescent="0.25">
      <c r="A2820" s="12" t="str">
        <f t="shared" si="88"/>
        <v>BNFNVT02/03MGHORIZONTE EXPRESS TRANSPORTES LTDABNF46092,35625</v>
      </c>
      <c r="B2820" s="12" t="str">
        <f t="shared" si="89"/>
        <v>Março</v>
      </c>
      <c r="C2820" s="8" t="s">
        <v>2025</v>
      </c>
      <c r="D2820" s="8" t="s">
        <v>664</v>
      </c>
      <c r="E2820" s="8" t="s">
        <v>1350</v>
      </c>
      <c r="F2820" s="23">
        <v>46092.356249999997</v>
      </c>
      <c r="G2820" s="8" t="s">
        <v>1041</v>
      </c>
      <c r="H2820" s="23">
        <v>46094</v>
      </c>
      <c r="I2820" s="23">
        <v>46092.356249999997</v>
      </c>
      <c r="J2820" s="10">
        <v>561</v>
      </c>
      <c r="K2820" s="10">
        <v>0</v>
      </c>
      <c r="L2820" s="24">
        <v>0</v>
      </c>
      <c r="M2820" s="10">
        <v>561</v>
      </c>
    </row>
    <row r="2821" spans="1:13" x14ac:dyDescent="0.25">
      <c r="A2821" s="12" t="str">
        <f t="shared" si="88"/>
        <v>BNFNVT03/08/26HORIZONTE EXPRESS TRANSPORTES LTDABNF46239,4590277778</v>
      </c>
      <c r="B2821" s="12" t="str">
        <f t="shared" si="89"/>
        <v>Agosto</v>
      </c>
      <c r="C2821" s="8" t="s">
        <v>2931</v>
      </c>
      <c r="D2821" s="8" t="s">
        <v>664</v>
      </c>
      <c r="E2821" s="8" t="s">
        <v>1350</v>
      </c>
      <c r="F2821" s="23">
        <v>46239.459027777775</v>
      </c>
      <c r="G2821" s="8" t="s">
        <v>1041</v>
      </c>
      <c r="H2821" s="23">
        <v>46244</v>
      </c>
      <c r="I2821" s="23">
        <v>46239.459027777775</v>
      </c>
      <c r="J2821" s="10">
        <v>3624</v>
      </c>
      <c r="K2821" s="10">
        <v>0</v>
      </c>
      <c r="L2821" s="24">
        <v>0</v>
      </c>
      <c r="M2821" s="10">
        <v>3624</v>
      </c>
    </row>
    <row r="2822" spans="1:13" x14ac:dyDescent="0.25">
      <c r="A2822" s="12" t="str">
        <f t="shared" si="88"/>
        <v>BNFNVT04/05/26HORIZONTE EXPRESS TRANSPORTES LTDABNF46147,3875</v>
      </c>
      <c r="B2822" s="12" t="str">
        <f t="shared" si="89"/>
        <v>Maio</v>
      </c>
      <c r="C2822" s="8" t="s">
        <v>2380</v>
      </c>
      <c r="D2822" s="8" t="s">
        <v>664</v>
      </c>
      <c r="E2822" s="8" t="s">
        <v>1350</v>
      </c>
      <c r="F2822" s="23">
        <v>46147.387499999997</v>
      </c>
      <c r="G2822" s="8" t="s">
        <v>1041</v>
      </c>
      <c r="H2822" s="23">
        <v>46149</v>
      </c>
      <c r="I2822" s="23">
        <v>46147.387499999997</v>
      </c>
      <c r="J2822" s="10">
        <v>2070</v>
      </c>
      <c r="K2822" s="10">
        <v>0</v>
      </c>
      <c r="L2822" s="24">
        <v>0</v>
      </c>
      <c r="M2822" s="10">
        <v>2070</v>
      </c>
    </row>
    <row r="2823" spans="1:13" x14ac:dyDescent="0.25">
      <c r="A2823" s="12" t="str">
        <f t="shared" si="88"/>
        <v>BNFNVT08/01/26HORIZONTE EXPRESS TRANSPORTES LTDABNF46030,6055555556</v>
      </c>
      <c r="B2823" s="12" t="str">
        <f t="shared" si="89"/>
        <v>Janeiro</v>
      </c>
      <c r="C2823" s="8" t="s">
        <v>1485</v>
      </c>
      <c r="D2823" s="8" t="s">
        <v>664</v>
      </c>
      <c r="E2823" s="8" t="s">
        <v>1350</v>
      </c>
      <c r="F2823" s="23">
        <v>46030.605555555558</v>
      </c>
      <c r="G2823" s="8" t="s">
        <v>1041</v>
      </c>
      <c r="H2823" s="23">
        <v>46036</v>
      </c>
      <c r="I2823" s="23">
        <v>46030.605555555558</v>
      </c>
      <c r="J2823" s="10">
        <v>561</v>
      </c>
      <c r="K2823" s="10">
        <v>0</v>
      </c>
      <c r="L2823" s="24">
        <v>0</v>
      </c>
      <c r="M2823" s="10">
        <v>561</v>
      </c>
    </row>
    <row r="2824" spans="1:13" x14ac:dyDescent="0.25">
      <c r="A2824" s="12" t="str">
        <f t="shared" si="88"/>
        <v>BNFNVT08/04/26HORIZONTE EXPRESS TRANSPORTES LTDABNF46120,6659722222</v>
      </c>
      <c r="B2824" s="12" t="str">
        <f t="shared" si="89"/>
        <v>Abril</v>
      </c>
      <c r="C2824" s="8" t="s">
        <v>2212</v>
      </c>
      <c r="D2824" s="8" t="s">
        <v>664</v>
      </c>
      <c r="E2824" s="8" t="s">
        <v>1350</v>
      </c>
      <c r="F2824" s="23">
        <v>46120.665972222225</v>
      </c>
      <c r="G2824" s="8" t="s">
        <v>1041</v>
      </c>
      <c r="H2824" s="23">
        <v>46125</v>
      </c>
      <c r="I2824" s="23">
        <v>46120.665972222225</v>
      </c>
      <c r="J2824" s="10">
        <v>1584</v>
      </c>
      <c r="K2824" s="10">
        <v>0</v>
      </c>
      <c r="L2824" s="24">
        <v>0</v>
      </c>
      <c r="M2824" s="10">
        <v>1584</v>
      </c>
    </row>
    <row r="2825" spans="1:13" x14ac:dyDescent="0.25">
      <c r="A2825" s="12" t="str">
        <f t="shared" si="88"/>
        <v>BNFNVT08/05/26MHORIZONTE EXPRESS TRANSPORTES LTDABNF46154,3763888889</v>
      </c>
      <c r="B2825" s="12" t="str">
        <f t="shared" si="89"/>
        <v>Maio</v>
      </c>
      <c r="C2825" s="8" t="s">
        <v>2408</v>
      </c>
      <c r="D2825" s="8" t="s">
        <v>664</v>
      </c>
      <c r="E2825" s="8" t="s">
        <v>1350</v>
      </c>
      <c r="F2825" s="23">
        <v>46154.376388888886</v>
      </c>
      <c r="G2825" s="8" t="s">
        <v>1041</v>
      </c>
      <c r="H2825" s="23">
        <v>46157</v>
      </c>
      <c r="I2825" s="23">
        <v>46154.376388888886</v>
      </c>
      <c r="J2825" s="10">
        <v>1056</v>
      </c>
      <c r="K2825" s="10">
        <v>0</v>
      </c>
      <c r="L2825" s="24">
        <v>0</v>
      </c>
      <c r="M2825" s="10">
        <v>1056</v>
      </c>
    </row>
    <row r="2826" spans="1:13" x14ac:dyDescent="0.25">
      <c r="A2826" s="12" t="str">
        <f t="shared" si="88"/>
        <v>BNFNVT08/07MGHORIZONTE EXPRESS TRANSPORTES LTDADEP46213,5701388889</v>
      </c>
      <c r="B2826" s="12" t="str">
        <f t="shared" si="89"/>
        <v>Julho</v>
      </c>
      <c r="C2826" s="8" t="s">
        <v>2780</v>
      </c>
      <c r="D2826" s="8" t="s">
        <v>664</v>
      </c>
      <c r="E2826" s="8" t="s">
        <v>1350</v>
      </c>
      <c r="F2826" s="23">
        <v>46213.570138888892</v>
      </c>
      <c r="G2826" s="8" t="s">
        <v>1043</v>
      </c>
      <c r="H2826" s="23">
        <v>46218</v>
      </c>
      <c r="I2826" s="23">
        <v>46213.570138888892</v>
      </c>
      <c r="J2826" s="10">
        <v>1188</v>
      </c>
      <c r="K2826" s="10">
        <v>0</v>
      </c>
      <c r="L2826" s="24">
        <v>0</v>
      </c>
      <c r="M2826" s="10">
        <v>1188</v>
      </c>
    </row>
    <row r="2827" spans="1:13" x14ac:dyDescent="0.25">
      <c r="A2827" s="12" t="str">
        <f t="shared" si="88"/>
        <v>BNFNVT08/09/26HORIZONTE EXPRESS TRANSPORTES LTDABNF46275,7020833333</v>
      </c>
      <c r="B2827" s="12" t="str">
        <f t="shared" si="89"/>
        <v>Setembro</v>
      </c>
      <c r="C2827" s="8" t="s">
        <v>3097</v>
      </c>
      <c r="D2827" s="8" t="s">
        <v>664</v>
      </c>
      <c r="E2827" s="8" t="s">
        <v>1350</v>
      </c>
      <c r="F2827" s="23">
        <v>46275.70208333333</v>
      </c>
      <c r="G2827" s="8" t="s">
        <v>1041</v>
      </c>
      <c r="H2827" s="23">
        <v>46281</v>
      </c>
      <c r="I2827" s="23">
        <v>46275.70208333333</v>
      </c>
      <c r="J2827" s="10">
        <v>2380</v>
      </c>
      <c r="K2827" s="10">
        <v>0</v>
      </c>
      <c r="L2827" s="24">
        <v>0</v>
      </c>
      <c r="M2827" s="10">
        <v>2380</v>
      </c>
    </row>
    <row r="2828" spans="1:13" x14ac:dyDescent="0.25">
      <c r="A2828" s="12" t="str">
        <f t="shared" si="88"/>
        <v>BNFNVT09/02/26HORIZONTE EXPRESS TRANSPORTES LTDABNF46064,4395833333</v>
      </c>
      <c r="B2828" s="12" t="str">
        <f t="shared" si="89"/>
        <v>Fevereiro</v>
      </c>
      <c r="C2828" s="8" t="s">
        <v>1779</v>
      </c>
      <c r="D2828" s="8" t="s">
        <v>664</v>
      </c>
      <c r="E2828" s="8" t="s">
        <v>1350</v>
      </c>
      <c r="F2828" s="23">
        <v>46064.439583333333</v>
      </c>
      <c r="G2828" s="8" t="s">
        <v>1041</v>
      </c>
      <c r="H2828" s="23">
        <v>46071</v>
      </c>
      <c r="I2828" s="23">
        <v>46064.439583333333</v>
      </c>
      <c r="J2828" s="10">
        <v>792</v>
      </c>
      <c r="K2828" s="10">
        <v>0</v>
      </c>
      <c r="L2828" s="24">
        <v>0</v>
      </c>
      <c r="M2828" s="10">
        <v>792</v>
      </c>
    </row>
    <row r="2829" spans="1:13" x14ac:dyDescent="0.25">
      <c r="A2829" s="12" t="str">
        <f t="shared" si="88"/>
        <v>BNFNVT13/07/26HORIZONTE EXPRESS TRANSPORTES LTDABNF46217,4138888889</v>
      </c>
      <c r="B2829" s="12" t="str">
        <f t="shared" si="89"/>
        <v>Julho</v>
      </c>
      <c r="C2829" s="8" t="s">
        <v>2795</v>
      </c>
      <c r="D2829" s="8" t="s">
        <v>664</v>
      </c>
      <c r="E2829" s="8" t="s">
        <v>1350</v>
      </c>
      <c r="F2829" s="23">
        <v>46217.413888888892</v>
      </c>
      <c r="G2829" s="8" t="s">
        <v>1041</v>
      </c>
      <c r="H2829" s="23">
        <v>46220</v>
      </c>
      <c r="I2829" s="23">
        <v>46217.413888888892</v>
      </c>
      <c r="J2829" s="10">
        <v>90</v>
      </c>
      <c r="K2829" s="10">
        <v>0</v>
      </c>
      <c r="L2829" s="24">
        <v>0</v>
      </c>
      <c r="M2829" s="10">
        <v>90</v>
      </c>
    </row>
    <row r="2830" spans="1:13" x14ac:dyDescent="0.25">
      <c r="A2830" s="12" t="str">
        <f t="shared" si="88"/>
        <v>BNFNVT14E16/09HORIZONTE EXPRESS TRANSPORTES LTDABNF46280,6895833333</v>
      </c>
      <c r="B2830" s="12" t="str">
        <f t="shared" si="89"/>
        <v>Setembro</v>
      </c>
      <c r="C2830" s="8" t="s">
        <v>3145</v>
      </c>
      <c r="D2830" s="8" t="s">
        <v>664</v>
      </c>
      <c r="E2830" s="8" t="s">
        <v>1350</v>
      </c>
      <c r="F2830" s="23">
        <v>46280.689583333333</v>
      </c>
      <c r="G2830" s="8" t="s">
        <v>1041</v>
      </c>
      <c r="H2830" s="23">
        <v>46283</v>
      </c>
      <c r="I2830" s="23">
        <v>46280.689583333333</v>
      </c>
      <c r="J2830" s="10">
        <v>840</v>
      </c>
      <c r="K2830" s="10">
        <v>0</v>
      </c>
      <c r="L2830" s="24">
        <v>0</v>
      </c>
      <c r="M2830" s="10">
        <v>840</v>
      </c>
    </row>
    <row r="2831" spans="1:13" x14ac:dyDescent="0.25">
      <c r="A2831" s="12" t="str">
        <f t="shared" si="88"/>
        <v>BNFNVT16/03/26HORIZONTE EXPRESS TRANSPORTES LTDABNF46098,4881944444</v>
      </c>
      <c r="B2831" s="12" t="str">
        <f t="shared" si="89"/>
        <v>Março</v>
      </c>
      <c r="C2831" s="8" t="s">
        <v>2099</v>
      </c>
      <c r="D2831" s="8" t="s">
        <v>664</v>
      </c>
      <c r="E2831" s="8" t="s">
        <v>1350</v>
      </c>
      <c r="F2831" s="23">
        <v>46098.488194444442</v>
      </c>
      <c r="G2831" s="8" t="s">
        <v>1041</v>
      </c>
      <c r="H2831" s="23">
        <v>46104</v>
      </c>
      <c r="I2831" s="23">
        <v>46098.488194444442</v>
      </c>
      <c r="J2831" s="10">
        <v>1584</v>
      </c>
      <c r="K2831" s="10">
        <v>0</v>
      </c>
      <c r="L2831" s="24">
        <v>0</v>
      </c>
      <c r="M2831" s="10">
        <v>1584</v>
      </c>
    </row>
    <row r="2832" spans="1:13" x14ac:dyDescent="0.25">
      <c r="A2832" s="12" t="str">
        <f t="shared" si="88"/>
        <v>BNFNVT16/07/26HORIZONTE EXPRESS TRANSPORTES LTDABNF46220,6604166667</v>
      </c>
      <c r="B2832" s="12" t="str">
        <f t="shared" si="89"/>
        <v>Julho</v>
      </c>
      <c r="C2832" s="8" t="s">
        <v>2838</v>
      </c>
      <c r="D2832" s="8" t="s">
        <v>664</v>
      </c>
      <c r="E2832" s="8" t="s">
        <v>1350</v>
      </c>
      <c r="F2832" s="23">
        <v>46220.660416666666</v>
      </c>
      <c r="G2832" s="8" t="s">
        <v>1041</v>
      </c>
      <c r="H2832" s="23">
        <v>46225</v>
      </c>
      <c r="I2832" s="23">
        <v>46220.660416666666</v>
      </c>
      <c r="J2832" s="10">
        <v>3168</v>
      </c>
      <c r="K2832" s="10">
        <v>0</v>
      </c>
      <c r="L2832" s="24">
        <v>0</v>
      </c>
      <c r="M2832" s="10">
        <v>3168</v>
      </c>
    </row>
    <row r="2833" spans="1:13" x14ac:dyDescent="0.25">
      <c r="A2833" s="12" t="str">
        <f t="shared" si="88"/>
        <v>BNFNVT18/02/26HORIZONTE EXPRESS TRANSPORTES LTDABNF46066,6743055556</v>
      </c>
      <c r="B2833" s="12" t="str">
        <f t="shared" si="89"/>
        <v>Fevereiro</v>
      </c>
      <c r="C2833" s="8" t="s">
        <v>1896</v>
      </c>
      <c r="D2833" s="8" t="s">
        <v>664</v>
      </c>
      <c r="E2833" s="8" t="s">
        <v>1350</v>
      </c>
      <c r="F2833" s="23">
        <v>46066.674305555556</v>
      </c>
      <c r="G2833" s="8" t="s">
        <v>1041</v>
      </c>
      <c r="H2833" s="23">
        <v>46073</v>
      </c>
      <c r="I2833" s="23">
        <v>46066.674305555556</v>
      </c>
      <c r="J2833" s="10">
        <v>528</v>
      </c>
      <c r="K2833" s="10">
        <v>0</v>
      </c>
      <c r="L2833" s="24">
        <v>0</v>
      </c>
      <c r="M2833" s="10">
        <v>528</v>
      </c>
    </row>
    <row r="2834" spans="1:13" x14ac:dyDescent="0.25">
      <c r="A2834" s="12" t="str">
        <f t="shared" si="88"/>
        <v>BNFNVT18/05/26MHORIZONTE EXPRESS TRANSPORTES LTDABNF46160,46875</v>
      </c>
      <c r="B2834" s="12" t="str">
        <f t="shared" si="89"/>
        <v>Maio</v>
      </c>
      <c r="C2834" s="8" t="s">
        <v>2486</v>
      </c>
      <c r="D2834" s="8" t="s">
        <v>664</v>
      </c>
      <c r="E2834" s="8" t="s">
        <v>1350</v>
      </c>
      <c r="F2834" s="23">
        <v>46160.46875</v>
      </c>
      <c r="G2834" s="8" t="s">
        <v>1041</v>
      </c>
      <c r="H2834" s="23">
        <v>46164</v>
      </c>
      <c r="I2834" s="23">
        <v>46160.46875</v>
      </c>
      <c r="J2834" s="10">
        <v>660</v>
      </c>
      <c r="K2834" s="10">
        <v>0</v>
      </c>
      <c r="L2834" s="24">
        <v>0</v>
      </c>
      <c r="M2834" s="10">
        <v>660</v>
      </c>
    </row>
    <row r="2835" spans="1:13" x14ac:dyDescent="0.25">
      <c r="A2835" s="12" t="str">
        <f t="shared" si="88"/>
        <v>BNFNVT20/03/26HORIZONTE EXPRESS TRANSPORTES LTDABNF46101,3069444444</v>
      </c>
      <c r="B2835" s="12" t="str">
        <f t="shared" si="89"/>
        <v>Março</v>
      </c>
      <c r="C2835" s="8" t="s">
        <v>2112</v>
      </c>
      <c r="D2835" s="8" t="s">
        <v>664</v>
      </c>
      <c r="E2835" s="8" t="s">
        <v>1350</v>
      </c>
      <c r="F2835" s="23">
        <v>46101.306944444441</v>
      </c>
      <c r="G2835" s="8" t="s">
        <v>1041</v>
      </c>
      <c r="H2835" s="23">
        <v>46106</v>
      </c>
      <c r="I2835" s="23">
        <v>46101.306944444441</v>
      </c>
      <c r="J2835" s="10">
        <v>1320</v>
      </c>
      <c r="K2835" s="10">
        <v>0</v>
      </c>
      <c r="L2835" s="24">
        <v>0</v>
      </c>
      <c r="M2835" s="10">
        <v>1320</v>
      </c>
    </row>
    <row r="2836" spans="1:13" x14ac:dyDescent="0.25">
      <c r="A2836" s="12" t="str">
        <f t="shared" si="88"/>
        <v>BNFNVT20/07/26HORIZONTE EXPRESS TRANSPORTES LTDABNF46224,6138888889</v>
      </c>
      <c r="B2836" s="12" t="str">
        <f t="shared" si="89"/>
        <v>Julho</v>
      </c>
      <c r="C2836" s="8" t="s">
        <v>2847</v>
      </c>
      <c r="D2836" s="8" t="s">
        <v>664</v>
      </c>
      <c r="E2836" s="8" t="s">
        <v>1350</v>
      </c>
      <c r="F2836" s="23">
        <v>46224.613888888889</v>
      </c>
      <c r="G2836" s="8" t="s">
        <v>1041</v>
      </c>
      <c r="H2836" s="23">
        <v>46227</v>
      </c>
      <c r="I2836" s="23">
        <v>46224.613888888889</v>
      </c>
      <c r="J2836" s="10">
        <v>660</v>
      </c>
      <c r="K2836" s="10">
        <v>0</v>
      </c>
      <c r="L2836" s="24">
        <v>0</v>
      </c>
      <c r="M2836" s="10">
        <v>660</v>
      </c>
    </row>
    <row r="2837" spans="1:13" x14ac:dyDescent="0.25">
      <c r="A2837" s="12" t="str">
        <f t="shared" si="88"/>
        <v>BNFNVT22/06/26HORIZONTE EXPRESS TRANSPORTES LTDABNF46195,6145833333</v>
      </c>
      <c r="B2837" s="12" t="str">
        <f t="shared" si="89"/>
        <v>Junho</v>
      </c>
      <c r="C2837" s="8" t="s">
        <v>2677</v>
      </c>
      <c r="D2837" s="8" t="s">
        <v>664</v>
      </c>
      <c r="E2837" s="8" t="s">
        <v>1350</v>
      </c>
      <c r="F2837" s="23">
        <v>46195.614583333336</v>
      </c>
      <c r="G2837" s="8" t="s">
        <v>1041</v>
      </c>
      <c r="H2837" s="23">
        <v>46199</v>
      </c>
      <c r="I2837" s="23">
        <v>46195.614583333336</v>
      </c>
      <c r="J2837" s="10">
        <v>1617</v>
      </c>
      <c r="K2837" s="10">
        <v>0</v>
      </c>
      <c r="L2837" s="24">
        <v>0</v>
      </c>
      <c r="M2837" s="10">
        <v>1617</v>
      </c>
    </row>
    <row r="2838" spans="1:13" x14ac:dyDescent="0.25">
      <c r="A2838" s="12" t="str">
        <f t="shared" si="88"/>
        <v>COMFERSET/26HORIZONTE EXPRESS TRANSPORTES LTDAFOL46294,6493055556</v>
      </c>
      <c r="B2838" s="12" t="str">
        <f t="shared" si="89"/>
        <v>Outubro</v>
      </c>
      <c r="C2838" s="8" t="s">
        <v>3192</v>
      </c>
      <c r="D2838" s="8" t="s">
        <v>664</v>
      </c>
      <c r="E2838" s="8" t="s">
        <v>1350</v>
      </c>
      <c r="F2838" s="23">
        <v>46294.649305555555</v>
      </c>
      <c r="G2838" s="8" t="s">
        <v>1037</v>
      </c>
      <c r="H2838" s="23">
        <v>46300</v>
      </c>
      <c r="I2838" s="23">
        <v>46294.649305555555</v>
      </c>
      <c r="J2838" s="10">
        <v>4638.28</v>
      </c>
      <c r="K2838" s="10">
        <v>0</v>
      </c>
      <c r="L2838" s="24">
        <v>0</v>
      </c>
      <c r="M2838" s="10">
        <v>4638.28</v>
      </c>
    </row>
    <row r="2839" spans="1:13" x14ac:dyDescent="0.25">
      <c r="A2839" s="12" t="str">
        <f t="shared" si="88"/>
        <v>COMPFER140490HORIZONTE EXPRESS TRANSPORTES LTDAFOL46237,4902777778</v>
      </c>
      <c r="B2839" s="12" t="str">
        <f t="shared" si="89"/>
        <v>Agosto</v>
      </c>
      <c r="C2839" s="8" t="s">
        <v>2890</v>
      </c>
      <c r="D2839" s="8" t="s">
        <v>664</v>
      </c>
      <c r="E2839" s="8" t="s">
        <v>1350</v>
      </c>
      <c r="F2839" s="23">
        <v>46237.490277777775</v>
      </c>
      <c r="G2839" s="8" t="s">
        <v>1037</v>
      </c>
      <c r="H2839" s="23">
        <v>46239</v>
      </c>
      <c r="I2839" s="23">
        <v>46237.490277777775</v>
      </c>
      <c r="J2839" s="10">
        <v>2319.14</v>
      </c>
      <c r="K2839" s="10">
        <v>0</v>
      </c>
      <c r="L2839" s="24">
        <v>0</v>
      </c>
      <c r="M2839" s="10">
        <v>2319.14</v>
      </c>
    </row>
    <row r="2840" spans="1:13" x14ac:dyDescent="0.25">
      <c r="A2840" s="12" t="str">
        <f t="shared" si="88"/>
        <v>COMPFERIA05/26HORIZONTE EXPRESS TRANSPORTES LTDAFOL46164,5701388889</v>
      </c>
      <c r="B2840" s="12" t="str">
        <f t="shared" si="89"/>
        <v>Junho</v>
      </c>
      <c r="C2840" s="8" t="s">
        <v>2534</v>
      </c>
      <c r="D2840" s="8" t="s">
        <v>664</v>
      </c>
      <c r="E2840" s="8" t="s">
        <v>1350</v>
      </c>
      <c r="F2840" s="23">
        <v>46164.570138888892</v>
      </c>
      <c r="G2840" s="8" t="s">
        <v>1037</v>
      </c>
      <c r="H2840" s="23">
        <v>46178</v>
      </c>
      <c r="I2840" s="23">
        <v>46164.570138888892</v>
      </c>
      <c r="J2840" s="10">
        <v>4975.0600000000004</v>
      </c>
      <c r="K2840" s="10">
        <v>0</v>
      </c>
      <c r="L2840" s="24">
        <v>0</v>
      </c>
      <c r="M2840" s="10">
        <v>4975.0600000000004</v>
      </c>
    </row>
    <row r="2841" spans="1:13" x14ac:dyDescent="0.25">
      <c r="A2841" s="12" t="str">
        <f t="shared" si="88"/>
        <v>CP00005764DEPARTAMENTO ESTADUAL DE TRANSITO DE MINAS GERAISMUL46063</v>
      </c>
      <c r="B2841" s="12" t="str">
        <f t="shared" si="89"/>
        <v>Março</v>
      </c>
      <c r="C2841" s="8" t="s">
        <v>1777</v>
      </c>
      <c r="D2841" s="8" t="s">
        <v>1491</v>
      </c>
      <c r="E2841" s="8" t="s">
        <v>1778</v>
      </c>
      <c r="F2841" s="23">
        <v>46063</v>
      </c>
      <c r="G2841" s="8" t="s">
        <v>1491</v>
      </c>
      <c r="H2841" s="23">
        <v>46097</v>
      </c>
      <c r="I2841" s="23">
        <v>46063</v>
      </c>
      <c r="J2841" s="10">
        <v>880.41</v>
      </c>
      <c r="K2841" s="10">
        <v>352.16</v>
      </c>
      <c r="L2841" s="24">
        <v>0</v>
      </c>
      <c r="M2841" s="10">
        <v>528.25</v>
      </c>
    </row>
    <row r="2842" spans="1:13" x14ac:dyDescent="0.25">
      <c r="A2842" s="12" t="str">
        <f t="shared" si="88"/>
        <v>DIA01/26MGHORIZONTE EXPRESS TRANSPORTES LTDADEP46021,2805555556</v>
      </c>
      <c r="B2842" s="12" t="str">
        <f t="shared" si="89"/>
        <v>Janeiro</v>
      </c>
      <c r="C2842" s="8" t="s">
        <v>1367</v>
      </c>
      <c r="D2842" s="8" t="s">
        <v>664</v>
      </c>
      <c r="E2842" s="8" t="s">
        <v>1350</v>
      </c>
      <c r="F2842" s="23">
        <v>46021.280555555553</v>
      </c>
      <c r="G2842" s="8" t="s">
        <v>1043</v>
      </c>
      <c r="H2842" s="23">
        <v>46027</v>
      </c>
      <c r="I2842" s="23">
        <v>46021.280555555553</v>
      </c>
      <c r="J2842" s="10">
        <v>17430</v>
      </c>
      <c r="K2842" s="10">
        <v>0</v>
      </c>
      <c r="L2842" s="24">
        <v>0</v>
      </c>
      <c r="M2842" s="10">
        <v>17430</v>
      </c>
    </row>
    <row r="2843" spans="1:13" x14ac:dyDescent="0.25">
      <c r="A2843" s="12" t="str">
        <f t="shared" ref="A2843:A2906" si="90">$C2843&amp;$E2843&amp;$G2843&amp;$F2843</f>
        <v>DIA02/26MGHORIZONTE EXPRESS TRANSPORTES LTDADEP46051,45625</v>
      </c>
      <c r="B2843" s="12" t="str">
        <f t="shared" si="89"/>
        <v>Fevereiro</v>
      </c>
      <c r="C2843" s="8" t="s">
        <v>1671</v>
      </c>
      <c r="D2843" s="8" t="s">
        <v>664</v>
      </c>
      <c r="E2843" s="8" t="s">
        <v>1350</v>
      </c>
      <c r="F2843" s="23">
        <v>46051.456250000003</v>
      </c>
      <c r="G2843" s="8" t="s">
        <v>1043</v>
      </c>
      <c r="H2843" s="23">
        <v>46058</v>
      </c>
      <c r="I2843" s="23">
        <v>46051.456250000003</v>
      </c>
      <c r="J2843" s="10">
        <v>16710</v>
      </c>
      <c r="K2843" s="10">
        <v>0</v>
      </c>
      <c r="L2843" s="24">
        <v>0</v>
      </c>
      <c r="M2843" s="10">
        <v>16710</v>
      </c>
    </row>
    <row r="2844" spans="1:13" x14ac:dyDescent="0.25">
      <c r="A2844" s="12" t="str">
        <f t="shared" si="90"/>
        <v>DIA04/2026MGHORIZONTE EXPRESS TRANSPORTES LTDADEP46111,4791666667</v>
      </c>
      <c r="B2844" s="12" t="str">
        <f t="shared" si="89"/>
        <v>Abril</v>
      </c>
      <c r="C2844" s="8" t="s">
        <v>2154</v>
      </c>
      <c r="D2844" s="8" t="s">
        <v>664</v>
      </c>
      <c r="E2844" s="8" t="s">
        <v>1350</v>
      </c>
      <c r="F2844" s="23">
        <v>46111.479166666664</v>
      </c>
      <c r="G2844" s="8" t="s">
        <v>1043</v>
      </c>
      <c r="H2844" s="23">
        <v>46118</v>
      </c>
      <c r="I2844" s="23">
        <v>46111.479166666664</v>
      </c>
      <c r="J2844" s="10">
        <v>24330</v>
      </c>
      <c r="K2844" s="10">
        <v>0</v>
      </c>
      <c r="L2844" s="24">
        <v>0</v>
      </c>
      <c r="M2844" s="10">
        <v>24330</v>
      </c>
    </row>
    <row r="2845" spans="1:13" x14ac:dyDescent="0.25">
      <c r="A2845" s="12" t="str">
        <f t="shared" si="90"/>
        <v>DIA05/26MGHORIZONTE EXPRESS TRANSPORTES LTDADEP46141,4284722222</v>
      </c>
      <c r="B2845" s="12" t="str">
        <f t="shared" si="89"/>
        <v>Maio</v>
      </c>
      <c r="C2845" s="8" t="s">
        <v>2348</v>
      </c>
      <c r="D2845" s="8" t="s">
        <v>664</v>
      </c>
      <c r="E2845" s="8" t="s">
        <v>1350</v>
      </c>
      <c r="F2845" s="23">
        <v>46141.428472222222</v>
      </c>
      <c r="G2845" s="8" t="s">
        <v>1043</v>
      </c>
      <c r="H2845" s="23">
        <v>46147</v>
      </c>
      <c r="I2845" s="23">
        <v>46141.428472222222</v>
      </c>
      <c r="J2845" s="10">
        <v>23580</v>
      </c>
      <c r="K2845" s="10">
        <v>0</v>
      </c>
      <c r="L2845" s="24">
        <v>0</v>
      </c>
      <c r="M2845" s="10">
        <v>23580</v>
      </c>
    </row>
    <row r="2846" spans="1:13" x14ac:dyDescent="0.25">
      <c r="A2846" s="12" t="str">
        <f t="shared" si="90"/>
        <v>DIA08/26MERCHANHORIZONTE EXPRESS TRANSPORTES LTDADEP46255,26875</v>
      </c>
      <c r="B2846" s="12" t="str">
        <f t="shared" si="89"/>
        <v>Agosto</v>
      </c>
      <c r="C2846" s="8" t="s">
        <v>3022</v>
      </c>
      <c r="D2846" s="8" t="s">
        <v>664</v>
      </c>
      <c r="E2846" s="8" t="s">
        <v>1350</v>
      </c>
      <c r="F2846" s="23">
        <v>46255.268750000003</v>
      </c>
      <c r="G2846" s="8" t="s">
        <v>1043</v>
      </c>
      <c r="H2846" s="23">
        <v>46260</v>
      </c>
      <c r="I2846" s="23">
        <v>46255.268750000003</v>
      </c>
      <c r="J2846" s="10">
        <v>6720</v>
      </c>
      <c r="K2846" s="10">
        <v>0</v>
      </c>
      <c r="L2846" s="24">
        <v>0</v>
      </c>
      <c r="M2846" s="10">
        <v>6720</v>
      </c>
    </row>
    <row r="2847" spans="1:13" x14ac:dyDescent="0.25">
      <c r="A2847" s="12" t="str">
        <f t="shared" si="90"/>
        <v>DIA08/26MGHORIZONTE EXPRESS TRANSPORTES LTDADEP46232,5520833333</v>
      </c>
      <c r="B2847" s="12" t="str">
        <f t="shared" si="89"/>
        <v>Agosto</v>
      </c>
      <c r="C2847" s="8" t="s">
        <v>2891</v>
      </c>
      <c r="D2847" s="8" t="s">
        <v>664</v>
      </c>
      <c r="E2847" s="8" t="s">
        <v>1350</v>
      </c>
      <c r="F2847" s="23">
        <v>46232.552083333336</v>
      </c>
      <c r="G2847" s="8" t="s">
        <v>1043</v>
      </c>
      <c r="H2847" s="23">
        <v>46239</v>
      </c>
      <c r="I2847" s="23">
        <v>46232.552083333336</v>
      </c>
      <c r="J2847" s="10">
        <v>26532</v>
      </c>
      <c r="K2847" s="10">
        <v>0</v>
      </c>
      <c r="L2847" s="24">
        <v>0</v>
      </c>
      <c r="M2847" s="10">
        <v>26532</v>
      </c>
    </row>
    <row r="2848" spans="1:13" x14ac:dyDescent="0.25">
      <c r="A2848" s="12" t="str">
        <f t="shared" si="90"/>
        <v>DIA09/26MGHORIZONTE EXPRESS TRANSPORTES LTDADEP46265,7125</v>
      </c>
      <c r="B2848" s="12" t="str">
        <f t="shared" si="89"/>
        <v>Setembro</v>
      </c>
      <c r="C2848" s="8" t="s">
        <v>3052</v>
      </c>
      <c r="D2848" s="8" t="s">
        <v>664</v>
      </c>
      <c r="E2848" s="8" t="s">
        <v>1350</v>
      </c>
      <c r="F2848" s="23">
        <v>46265.712500000001</v>
      </c>
      <c r="G2848" s="8" t="s">
        <v>1043</v>
      </c>
      <c r="H2848" s="23">
        <v>46269</v>
      </c>
      <c r="I2848" s="23">
        <v>46265.712500000001</v>
      </c>
      <c r="J2848" s="10">
        <v>14456</v>
      </c>
      <c r="K2848" s="10">
        <v>0</v>
      </c>
      <c r="L2848" s="24">
        <v>0</v>
      </c>
      <c r="M2848" s="10">
        <v>14456</v>
      </c>
    </row>
    <row r="2849" spans="1:13" x14ac:dyDescent="0.25">
      <c r="A2849" s="12" t="str">
        <f t="shared" si="90"/>
        <v>DIACOM03/26MGHORIZONTE EXPRESS TRANSPORTES LTDADEP46091,6673611111</v>
      </c>
      <c r="B2849" s="12" t="str">
        <f t="shared" si="89"/>
        <v>Março</v>
      </c>
      <c r="C2849" s="8" t="s">
        <v>2026</v>
      </c>
      <c r="D2849" s="8" t="s">
        <v>664</v>
      </c>
      <c r="E2849" s="8" t="s">
        <v>1350</v>
      </c>
      <c r="F2849" s="23">
        <v>46091.667361111111</v>
      </c>
      <c r="G2849" s="8" t="s">
        <v>1043</v>
      </c>
      <c r="H2849" s="23">
        <v>46094</v>
      </c>
      <c r="I2849" s="23">
        <v>46091.667361111111</v>
      </c>
      <c r="J2849" s="10">
        <v>660</v>
      </c>
      <c r="K2849" s="10">
        <v>0</v>
      </c>
      <c r="L2849" s="24">
        <v>0</v>
      </c>
      <c r="M2849" s="10">
        <v>660</v>
      </c>
    </row>
    <row r="2850" spans="1:13" x14ac:dyDescent="0.25">
      <c r="A2850" s="12" t="str">
        <f t="shared" si="90"/>
        <v>DIACOM04/26MGHORIZONTE EXPRESS TRANSPORTES LTDADEP46121,6277777778</v>
      </c>
      <c r="B2850" s="12" t="str">
        <f t="shared" si="89"/>
        <v>Abril</v>
      </c>
      <c r="C2850" s="8" t="s">
        <v>2219</v>
      </c>
      <c r="D2850" s="8" t="s">
        <v>664</v>
      </c>
      <c r="E2850" s="8" t="s">
        <v>1350</v>
      </c>
      <c r="F2850" s="23">
        <v>46121.62777777778</v>
      </c>
      <c r="G2850" s="8" t="s">
        <v>1043</v>
      </c>
      <c r="H2850" s="23">
        <v>46126</v>
      </c>
      <c r="I2850" s="23">
        <v>46121.62777777778</v>
      </c>
      <c r="J2850" s="10">
        <v>120</v>
      </c>
      <c r="K2850" s="10">
        <v>0</v>
      </c>
      <c r="L2850" s="24">
        <v>0</v>
      </c>
      <c r="M2850" s="10">
        <v>120</v>
      </c>
    </row>
    <row r="2851" spans="1:13" x14ac:dyDescent="0.25">
      <c r="A2851" s="12" t="str">
        <f t="shared" si="90"/>
        <v>DIACOM06/26HORIZONTE EXPRESS TRANSPORTES LTDADEP46188,4138888889</v>
      </c>
      <c r="B2851" s="12" t="str">
        <f t="shared" si="89"/>
        <v>Junho</v>
      </c>
      <c r="C2851" s="8" t="s">
        <v>2650</v>
      </c>
      <c r="D2851" s="8" t="s">
        <v>664</v>
      </c>
      <c r="E2851" s="8" t="s">
        <v>1350</v>
      </c>
      <c r="F2851" s="23">
        <v>46188.413888888892</v>
      </c>
      <c r="G2851" s="8" t="s">
        <v>1043</v>
      </c>
      <c r="H2851" s="23">
        <v>46191</v>
      </c>
      <c r="I2851" s="23">
        <v>46188.413888888892</v>
      </c>
      <c r="J2851" s="10">
        <v>240</v>
      </c>
      <c r="K2851" s="10">
        <v>0</v>
      </c>
      <c r="L2851" s="24">
        <v>0</v>
      </c>
      <c r="M2851" s="10">
        <v>240</v>
      </c>
    </row>
    <row r="2852" spans="1:13" x14ac:dyDescent="0.25">
      <c r="A2852" s="12" t="str">
        <f t="shared" si="90"/>
        <v>DIACOM06/26MGHORIZONTE EXPRESS TRANSPORTES LTDADEP46190,3347222222</v>
      </c>
      <c r="B2852" s="12" t="str">
        <f t="shared" si="89"/>
        <v>Junho</v>
      </c>
      <c r="C2852" s="8" t="s">
        <v>2669</v>
      </c>
      <c r="D2852" s="8" t="s">
        <v>664</v>
      </c>
      <c r="E2852" s="8" t="s">
        <v>1350</v>
      </c>
      <c r="F2852" s="23">
        <v>46190.334722222222</v>
      </c>
      <c r="G2852" s="8" t="s">
        <v>1043</v>
      </c>
      <c r="H2852" s="23">
        <v>46195</v>
      </c>
      <c r="I2852" s="23">
        <v>46190.334722222222</v>
      </c>
      <c r="J2852" s="10">
        <v>540</v>
      </c>
      <c r="K2852" s="10">
        <v>0</v>
      </c>
      <c r="L2852" s="24">
        <v>0</v>
      </c>
      <c r="M2852" s="10">
        <v>540</v>
      </c>
    </row>
    <row r="2853" spans="1:13" x14ac:dyDescent="0.25">
      <c r="A2853" s="12" t="str">
        <f t="shared" si="90"/>
        <v>DIACOM07/26HORIZONTE EXPRESS TRANSPORTES LTDADEP46223,4020833333</v>
      </c>
      <c r="B2853" s="12" t="str">
        <f t="shared" si="89"/>
        <v>Julho</v>
      </c>
      <c r="C2853" s="8" t="s">
        <v>2839</v>
      </c>
      <c r="D2853" s="8" t="s">
        <v>664</v>
      </c>
      <c r="E2853" s="8" t="s">
        <v>1350</v>
      </c>
      <c r="F2853" s="23">
        <v>46223.402083333334</v>
      </c>
      <c r="G2853" s="8" t="s">
        <v>1043</v>
      </c>
      <c r="H2853" s="23">
        <v>46225</v>
      </c>
      <c r="I2853" s="23">
        <v>46223.402083333334</v>
      </c>
      <c r="J2853" s="10">
        <v>2640</v>
      </c>
      <c r="K2853" s="10">
        <v>0</v>
      </c>
      <c r="L2853" s="24">
        <v>0</v>
      </c>
      <c r="M2853" s="10">
        <v>2640</v>
      </c>
    </row>
    <row r="2854" spans="1:13" x14ac:dyDescent="0.25">
      <c r="A2854" s="12" t="str">
        <f t="shared" si="90"/>
        <v>DIACOM08/26MGHORIZONTE EXPRESS TRANSPORTES LTDADEP46293,6944444444</v>
      </c>
      <c r="B2854" s="12" t="str">
        <f t="shared" si="89"/>
        <v>Outubro</v>
      </c>
      <c r="C2854" s="8" t="s">
        <v>3188</v>
      </c>
      <c r="D2854" s="8" t="s">
        <v>664</v>
      </c>
      <c r="E2854" s="8" t="s">
        <v>1350</v>
      </c>
      <c r="F2854" s="23">
        <v>46293.694444444445</v>
      </c>
      <c r="G2854" s="8" t="s">
        <v>1043</v>
      </c>
      <c r="H2854" s="23">
        <v>46297</v>
      </c>
      <c r="I2854" s="23">
        <v>46293.694444444445</v>
      </c>
      <c r="J2854" s="10">
        <v>4560</v>
      </c>
      <c r="K2854" s="10">
        <v>0</v>
      </c>
      <c r="L2854" s="24">
        <v>0</v>
      </c>
      <c r="M2854" s="10">
        <v>4560</v>
      </c>
    </row>
    <row r="2855" spans="1:13" x14ac:dyDescent="0.25">
      <c r="A2855" s="12" t="str">
        <f t="shared" si="90"/>
        <v>DIACOMFEV-26HORIZONTE EXPRESS TRANSPORTES LTDADEP46062,3208333333</v>
      </c>
      <c r="B2855" s="12" t="str">
        <f t="shared" si="89"/>
        <v>Fevereiro</v>
      </c>
      <c r="C2855" s="8" t="s">
        <v>1758</v>
      </c>
      <c r="D2855" s="8" t="s">
        <v>664</v>
      </c>
      <c r="E2855" s="8" t="s">
        <v>1350</v>
      </c>
      <c r="F2855" s="23">
        <v>46062.320833333331</v>
      </c>
      <c r="G2855" s="8" t="s">
        <v>1043</v>
      </c>
      <c r="H2855" s="23">
        <v>46065</v>
      </c>
      <c r="I2855" s="23">
        <v>46062.320833333331</v>
      </c>
      <c r="J2855" s="10">
        <v>240</v>
      </c>
      <c r="K2855" s="10">
        <v>0</v>
      </c>
      <c r="L2855" s="24">
        <v>0</v>
      </c>
      <c r="M2855" s="10">
        <v>240</v>
      </c>
    </row>
    <row r="2856" spans="1:13" x14ac:dyDescent="0.25">
      <c r="A2856" s="12" t="str">
        <f t="shared" si="90"/>
        <v>DIACOMFEVMGHORIZONTE EXPRESS TRANSPORTES LTDADEP46066,6805555556</v>
      </c>
      <c r="B2856" s="12" t="str">
        <f t="shared" si="89"/>
        <v>Fevereiro</v>
      </c>
      <c r="C2856" s="8" t="s">
        <v>1897</v>
      </c>
      <c r="D2856" s="8" t="s">
        <v>664</v>
      </c>
      <c r="E2856" s="8" t="s">
        <v>1350</v>
      </c>
      <c r="F2856" s="23">
        <v>46066.680555555555</v>
      </c>
      <c r="G2856" s="8" t="s">
        <v>1043</v>
      </c>
      <c r="H2856" s="23">
        <v>46073</v>
      </c>
      <c r="I2856" s="23">
        <v>46066.680555555555</v>
      </c>
      <c r="J2856" s="10">
        <v>840</v>
      </c>
      <c r="K2856" s="10">
        <v>0</v>
      </c>
      <c r="L2856" s="24">
        <v>0</v>
      </c>
      <c r="M2856" s="10">
        <v>840</v>
      </c>
    </row>
    <row r="2857" spans="1:13" x14ac:dyDescent="0.25">
      <c r="A2857" s="12" t="str">
        <f t="shared" si="90"/>
        <v>DIACOMJAN/26HORIZONTE EXPRESS TRANSPORTES LTDADEP46038,6006944444</v>
      </c>
      <c r="B2857" s="12" t="str">
        <f t="shared" si="89"/>
        <v>Janeiro</v>
      </c>
      <c r="C2857" s="8" t="s">
        <v>1612</v>
      </c>
      <c r="D2857" s="8" t="s">
        <v>664</v>
      </c>
      <c r="E2857" s="8" t="s">
        <v>1350</v>
      </c>
      <c r="F2857" s="23">
        <v>46038.600694444445</v>
      </c>
      <c r="G2857" s="8" t="s">
        <v>1043</v>
      </c>
      <c r="H2857" s="23">
        <v>46043</v>
      </c>
      <c r="I2857" s="23">
        <v>46038.600694444445</v>
      </c>
      <c r="J2857" s="10">
        <v>120</v>
      </c>
      <c r="K2857" s="10">
        <v>0</v>
      </c>
      <c r="L2857" s="24">
        <v>0</v>
      </c>
      <c r="M2857" s="10">
        <v>120</v>
      </c>
    </row>
    <row r="2858" spans="1:13" x14ac:dyDescent="0.25">
      <c r="A2858" s="12" t="str">
        <f t="shared" si="90"/>
        <v>DIACOMP01/26MGHORIZONTE EXPRESS TRANSPORTES LTDADEP46035,2986111111</v>
      </c>
      <c r="B2858" s="12" t="str">
        <f t="shared" si="89"/>
        <v>Janeiro</v>
      </c>
      <c r="C2858" s="8" t="s">
        <v>1494</v>
      </c>
      <c r="D2858" s="8" t="s">
        <v>664</v>
      </c>
      <c r="E2858" s="8" t="s">
        <v>1350</v>
      </c>
      <c r="F2858" s="23">
        <v>46035.298611111109</v>
      </c>
      <c r="G2858" s="8" t="s">
        <v>1043</v>
      </c>
      <c r="H2858" s="23">
        <v>46037</v>
      </c>
      <c r="I2858" s="23">
        <v>46035.298611111109</v>
      </c>
      <c r="J2858" s="10">
        <v>866.24</v>
      </c>
      <c r="K2858" s="10">
        <v>0</v>
      </c>
      <c r="L2858" s="24">
        <v>0</v>
      </c>
      <c r="M2858" s="10">
        <v>866.24</v>
      </c>
    </row>
    <row r="2859" spans="1:13" x14ac:dyDescent="0.25">
      <c r="A2859" s="12" t="str">
        <f t="shared" si="90"/>
        <v>DIACOMP03/2026HORIZONTE EXPRESS TRANSPORTES LTDADEP46099,375</v>
      </c>
      <c r="B2859" s="12" t="str">
        <f t="shared" si="89"/>
        <v>Março</v>
      </c>
      <c r="C2859" s="8" t="s">
        <v>2100</v>
      </c>
      <c r="D2859" s="8" t="s">
        <v>664</v>
      </c>
      <c r="E2859" s="8" t="s">
        <v>1350</v>
      </c>
      <c r="F2859" s="23">
        <v>46099.375</v>
      </c>
      <c r="G2859" s="8" t="s">
        <v>1043</v>
      </c>
      <c r="H2859" s="23">
        <v>46104</v>
      </c>
      <c r="I2859" s="23">
        <v>46099.375</v>
      </c>
      <c r="J2859" s="10">
        <v>1680</v>
      </c>
      <c r="K2859" s="10">
        <v>0</v>
      </c>
      <c r="L2859" s="24">
        <v>0</v>
      </c>
      <c r="M2859" s="10">
        <v>1680</v>
      </c>
    </row>
    <row r="2860" spans="1:13" x14ac:dyDescent="0.25">
      <c r="A2860" s="12" t="str">
        <f t="shared" si="90"/>
        <v>DIACOMP09/26HORIZONTE EXPRESS TRANSPORTES LTDADEP46276,475</v>
      </c>
      <c r="B2860" s="12" t="str">
        <f t="shared" si="89"/>
        <v>Setembro</v>
      </c>
      <c r="C2860" s="8" t="s">
        <v>3098</v>
      </c>
      <c r="D2860" s="8" t="s">
        <v>664</v>
      </c>
      <c r="E2860" s="8" t="s">
        <v>1350</v>
      </c>
      <c r="F2860" s="23">
        <v>46276.474999999999</v>
      </c>
      <c r="G2860" s="8" t="s">
        <v>1043</v>
      </c>
      <c r="H2860" s="23">
        <v>46281</v>
      </c>
      <c r="I2860" s="23">
        <v>46276.474999999999</v>
      </c>
      <c r="J2860" s="10">
        <v>2516</v>
      </c>
      <c r="K2860" s="10">
        <v>0</v>
      </c>
      <c r="L2860" s="24">
        <v>0</v>
      </c>
      <c r="M2860" s="10">
        <v>2516</v>
      </c>
    </row>
    <row r="2861" spans="1:13" x14ac:dyDescent="0.25">
      <c r="A2861" s="12" t="str">
        <f t="shared" si="90"/>
        <v>DIACOMPLMG0826HORIZONTE EXPRESS TRANSPORTES LTDADEP46265,5972222222</v>
      </c>
      <c r="B2861" s="12" t="str">
        <f t="shared" si="89"/>
        <v>Setembro</v>
      </c>
      <c r="C2861" s="8" t="s">
        <v>3053</v>
      </c>
      <c r="D2861" s="8" t="s">
        <v>664</v>
      </c>
      <c r="E2861" s="8" t="s">
        <v>1350</v>
      </c>
      <c r="F2861" s="23">
        <v>46265.597222222219</v>
      </c>
      <c r="G2861" s="8" t="s">
        <v>1043</v>
      </c>
      <c r="H2861" s="23">
        <v>46269</v>
      </c>
      <c r="I2861" s="23">
        <v>46265.597222222219</v>
      </c>
      <c r="J2861" s="10">
        <v>240</v>
      </c>
      <c r="K2861" s="10">
        <v>0</v>
      </c>
      <c r="L2861" s="24">
        <v>0</v>
      </c>
      <c r="M2861" s="10">
        <v>240</v>
      </c>
    </row>
    <row r="2862" spans="1:13" x14ac:dyDescent="0.25">
      <c r="A2862" s="12" t="str">
        <f t="shared" si="90"/>
        <v>DIAJUNHO/26MGHORIZONTE EXPRESS TRANSPORTES LTDADEP46169,6055555556</v>
      </c>
      <c r="B2862" s="12" t="str">
        <f t="shared" si="89"/>
        <v>Junho</v>
      </c>
      <c r="C2862" s="8" t="s">
        <v>2535</v>
      </c>
      <c r="D2862" s="8" t="s">
        <v>664</v>
      </c>
      <c r="E2862" s="8" t="s">
        <v>1350</v>
      </c>
      <c r="F2862" s="23">
        <v>46169.605555555558</v>
      </c>
      <c r="G2862" s="8" t="s">
        <v>1043</v>
      </c>
      <c r="H2862" s="23">
        <v>46178</v>
      </c>
      <c r="I2862" s="23">
        <v>46169.605555555558</v>
      </c>
      <c r="J2862" s="10">
        <v>23880</v>
      </c>
      <c r="K2862" s="10">
        <v>0</v>
      </c>
      <c r="L2862" s="24">
        <v>0</v>
      </c>
      <c r="M2862" s="10">
        <v>23880</v>
      </c>
    </row>
    <row r="2863" spans="1:13" x14ac:dyDescent="0.25">
      <c r="A2863" s="12" t="str">
        <f t="shared" si="90"/>
        <v>DIAMERC01/26HORIZONTE EXPRESS TRANSPORTES LTDADEP46043,4513888889</v>
      </c>
      <c r="B2863" s="12" t="str">
        <f t="shared" si="89"/>
        <v>Janeiro</v>
      </c>
      <c r="C2863" s="8" t="s">
        <v>1620</v>
      </c>
      <c r="D2863" s="8" t="s">
        <v>664</v>
      </c>
      <c r="E2863" s="8" t="s">
        <v>1350</v>
      </c>
      <c r="F2863" s="23">
        <v>46043.451388888891</v>
      </c>
      <c r="G2863" s="8" t="s">
        <v>1043</v>
      </c>
      <c r="H2863" s="23">
        <v>46048</v>
      </c>
      <c r="I2863" s="23">
        <v>46043.451388888891</v>
      </c>
      <c r="J2863" s="10">
        <v>4080</v>
      </c>
      <c r="K2863" s="10">
        <v>0</v>
      </c>
      <c r="L2863" s="24">
        <v>0</v>
      </c>
      <c r="M2863" s="10">
        <v>4080</v>
      </c>
    </row>
    <row r="2864" spans="1:13" x14ac:dyDescent="0.25">
      <c r="A2864" s="12" t="str">
        <f t="shared" si="90"/>
        <v>DIAMG03/26HORIZONTE EXPRESS TRANSPORTES LTDADEP46080,4256944444</v>
      </c>
      <c r="B2864" s="12" t="str">
        <f t="shared" si="89"/>
        <v>Março</v>
      </c>
      <c r="C2864" s="8" t="s">
        <v>1960</v>
      </c>
      <c r="D2864" s="8" t="s">
        <v>664</v>
      </c>
      <c r="E2864" s="8" t="s">
        <v>1350</v>
      </c>
      <c r="F2864" s="23">
        <v>46080.425694444442</v>
      </c>
      <c r="G2864" s="8" t="s">
        <v>1043</v>
      </c>
      <c r="H2864" s="23">
        <v>46086</v>
      </c>
      <c r="I2864" s="23">
        <v>46080.425694444442</v>
      </c>
      <c r="J2864" s="10">
        <v>24510</v>
      </c>
      <c r="K2864" s="10">
        <v>0</v>
      </c>
      <c r="L2864" s="24">
        <v>0</v>
      </c>
      <c r="M2864" s="10">
        <v>24510</v>
      </c>
    </row>
    <row r="2865" spans="1:13" x14ac:dyDescent="0.25">
      <c r="A2865" s="12" t="str">
        <f t="shared" si="90"/>
        <v>DIANVT01/04/26HORIZONTE EXPRESS TRANSPORTES LTDADEP46118,4534722222</v>
      </c>
      <c r="B2865" s="12" t="str">
        <f t="shared" si="89"/>
        <v>Abril</v>
      </c>
      <c r="C2865" s="8" t="s">
        <v>2199</v>
      </c>
      <c r="D2865" s="8" t="s">
        <v>664</v>
      </c>
      <c r="E2865" s="8" t="s">
        <v>1350</v>
      </c>
      <c r="F2865" s="23">
        <v>46118.453472222223</v>
      </c>
      <c r="G2865" s="8" t="s">
        <v>1043</v>
      </c>
      <c r="H2865" s="23">
        <v>46121</v>
      </c>
      <c r="I2865" s="23">
        <v>46118.453472222223</v>
      </c>
      <c r="J2865" s="10">
        <v>240</v>
      </c>
      <c r="K2865" s="10">
        <v>0</v>
      </c>
      <c r="L2865" s="24">
        <v>0</v>
      </c>
      <c r="M2865" s="10">
        <v>240</v>
      </c>
    </row>
    <row r="2866" spans="1:13" x14ac:dyDescent="0.25">
      <c r="A2866" s="12" t="str">
        <f t="shared" si="90"/>
        <v>DIANVT01/06/26HORIZONTE EXPRESS TRANSPORTES LTDADEP46176,3736111111</v>
      </c>
      <c r="B2866" s="12" t="str">
        <f t="shared" si="89"/>
        <v>Junho</v>
      </c>
      <c r="C2866" s="8" t="s">
        <v>2546</v>
      </c>
      <c r="D2866" s="8" t="s">
        <v>664</v>
      </c>
      <c r="E2866" s="8" t="s">
        <v>1350</v>
      </c>
      <c r="F2866" s="23">
        <v>46176.373611111114</v>
      </c>
      <c r="G2866" s="8" t="s">
        <v>1043</v>
      </c>
      <c r="H2866" s="23">
        <v>46181</v>
      </c>
      <c r="I2866" s="23">
        <v>46176.373611111114</v>
      </c>
      <c r="J2866" s="10">
        <v>2400</v>
      </c>
      <c r="K2866" s="10">
        <v>0</v>
      </c>
      <c r="L2866" s="24">
        <v>0</v>
      </c>
      <c r="M2866" s="10">
        <v>2400</v>
      </c>
    </row>
    <row r="2867" spans="1:13" x14ac:dyDescent="0.25">
      <c r="A2867" s="12" t="str">
        <f t="shared" si="90"/>
        <v>DIANVT01/07/26HORIZONTE EXPRESS TRANSPORTES LTDADEP46205,4555555556</v>
      </c>
      <c r="B2867" s="12" t="str">
        <f t="shared" si="89"/>
        <v>Julho</v>
      </c>
      <c r="C2867" s="8" t="s">
        <v>2747</v>
      </c>
      <c r="D2867" s="8" t="s">
        <v>664</v>
      </c>
      <c r="E2867" s="8" t="s">
        <v>1350</v>
      </c>
      <c r="F2867" s="23">
        <v>46205.455555555556</v>
      </c>
      <c r="G2867" s="8" t="s">
        <v>1043</v>
      </c>
      <c r="H2867" s="23">
        <v>46211</v>
      </c>
      <c r="I2867" s="23">
        <v>46205.455555555556</v>
      </c>
      <c r="J2867" s="10">
        <v>2640</v>
      </c>
      <c r="K2867" s="10">
        <v>0</v>
      </c>
      <c r="L2867" s="24">
        <v>0</v>
      </c>
      <c r="M2867" s="10">
        <v>2640</v>
      </c>
    </row>
    <row r="2868" spans="1:13" x14ac:dyDescent="0.25">
      <c r="A2868" s="12" t="str">
        <f t="shared" si="90"/>
        <v>DIANVT02/02/26MHORIZONTE EXPRESS TRANSPORTES LTDADEP46057,4256944444</v>
      </c>
      <c r="B2868" s="12" t="str">
        <f t="shared" si="89"/>
        <v>Fevereiro</v>
      </c>
      <c r="C2868" s="8" t="s">
        <v>1680</v>
      </c>
      <c r="D2868" s="8" t="s">
        <v>664</v>
      </c>
      <c r="E2868" s="8" t="s">
        <v>1350</v>
      </c>
      <c r="F2868" s="23">
        <v>46057.425694444442</v>
      </c>
      <c r="G2868" s="8" t="s">
        <v>1043</v>
      </c>
      <c r="H2868" s="23">
        <v>46059</v>
      </c>
      <c r="I2868" s="23">
        <v>46057.425694444442</v>
      </c>
      <c r="J2868" s="10">
        <v>600</v>
      </c>
      <c r="K2868" s="10">
        <v>0</v>
      </c>
      <c r="L2868" s="24">
        <v>0</v>
      </c>
      <c r="M2868" s="10">
        <v>600</v>
      </c>
    </row>
    <row r="2869" spans="1:13" x14ac:dyDescent="0.25">
      <c r="A2869" s="12" t="str">
        <f t="shared" si="90"/>
        <v>DIANVT02/03/26HORIZONTE EXPRESS TRANSPORTES LTDADEP46085,6708333333</v>
      </c>
      <c r="B2869" s="12" t="str">
        <f t="shared" si="89"/>
        <v>Março</v>
      </c>
      <c r="C2869" s="8" t="s">
        <v>2013</v>
      </c>
      <c r="D2869" s="8" t="s">
        <v>664</v>
      </c>
      <c r="E2869" s="8" t="s">
        <v>1350</v>
      </c>
      <c r="F2869" s="23">
        <v>46085.67083333333</v>
      </c>
      <c r="G2869" s="8" t="s">
        <v>1043</v>
      </c>
      <c r="H2869" s="23">
        <v>46092</v>
      </c>
      <c r="I2869" s="23">
        <v>46085.67083333333</v>
      </c>
      <c r="J2869" s="10">
        <v>4080</v>
      </c>
      <c r="K2869" s="10">
        <v>0</v>
      </c>
      <c r="L2869" s="24">
        <v>0</v>
      </c>
      <c r="M2869" s="10">
        <v>4080</v>
      </c>
    </row>
    <row r="2870" spans="1:13" x14ac:dyDescent="0.25">
      <c r="A2870" s="12" t="str">
        <f t="shared" si="90"/>
        <v>DIANVT030826HORIZONTE EXPRESS TRANSPORTES LTDADEP46240,6506944444</v>
      </c>
      <c r="B2870" s="12" t="str">
        <f t="shared" si="89"/>
        <v>Agosto</v>
      </c>
      <c r="C2870" s="8" t="s">
        <v>2936</v>
      </c>
      <c r="D2870" s="8" t="s">
        <v>664</v>
      </c>
      <c r="E2870" s="8" t="s">
        <v>1350</v>
      </c>
      <c r="F2870" s="23">
        <v>46240.650694444441</v>
      </c>
      <c r="G2870" s="8" t="s">
        <v>1043</v>
      </c>
      <c r="H2870" s="23">
        <v>46245</v>
      </c>
      <c r="I2870" s="23">
        <v>46240.650694444441</v>
      </c>
      <c r="J2870" s="10">
        <v>844</v>
      </c>
      <c r="K2870" s="10">
        <v>0</v>
      </c>
      <c r="L2870" s="24">
        <v>0</v>
      </c>
      <c r="M2870" s="10">
        <v>844</v>
      </c>
    </row>
    <row r="2871" spans="1:13" x14ac:dyDescent="0.25">
      <c r="A2871" s="12" t="str">
        <f t="shared" si="90"/>
        <v>DIANVT04/05/26HORIZONTE EXPRESS TRANSPORTES LTDABNF46147,4152777778</v>
      </c>
      <c r="B2871" s="12" t="str">
        <f t="shared" si="89"/>
        <v>Maio</v>
      </c>
      <c r="C2871" s="8" t="s">
        <v>2381</v>
      </c>
      <c r="D2871" s="8" t="s">
        <v>664</v>
      </c>
      <c r="E2871" s="8" t="s">
        <v>1350</v>
      </c>
      <c r="F2871" s="23">
        <v>46147.415277777778</v>
      </c>
      <c r="G2871" s="8" t="s">
        <v>1041</v>
      </c>
      <c r="H2871" s="23">
        <v>46149</v>
      </c>
      <c r="I2871" s="23">
        <v>46147.415277777778</v>
      </c>
      <c r="J2871" s="10">
        <v>660</v>
      </c>
      <c r="K2871" s="10">
        <v>0</v>
      </c>
      <c r="L2871" s="24">
        <v>0</v>
      </c>
      <c r="M2871" s="10">
        <v>660</v>
      </c>
    </row>
    <row r="2872" spans="1:13" x14ac:dyDescent="0.25">
      <c r="A2872" s="12" t="str">
        <f t="shared" si="90"/>
        <v>DIANVT07/26HORIZONTE EXPRESS TRANSPORTES LTDADEP46224,6152777778</v>
      </c>
      <c r="B2872" s="12" t="str">
        <f t="shared" si="89"/>
        <v>Julho</v>
      </c>
      <c r="C2872" s="8" t="s">
        <v>2848</v>
      </c>
      <c r="D2872" s="8" t="s">
        <v>664</v>
      </c>
      <c r="E2872" s="8" t="s">
        <v>1350</v>
      </c>
      <c r="F2872" s="23">
        <v>46224.615277777775</v>
      </c>
      <c r="G2872" s="8" t="s">
        <v>1043</v>
      </c>
      <c r="H2872" s="23">
        <v>46227</v>
      </c>
      <c r="I2872" s="23">
        <v>46224.615277777775</v>
      </c>
      <c r="J2872" s="10">
        <v>240</v>
      </c>
      <c r="K2872" s="10">
        <v>0</v>
      </c>
      <c r="L2872" s="24">
        <v>0</v>
      </c>
      <c r="M2872" s="10">
        <v>240</v>
      </c>
    </row>
    <row r="2873" spans="1:13" x14ac:dyDescent="0.25">
      <c r="A2873" s="12" t="str">
        <f t="shared" si="90"/>
        <v>DIANVT09/02/26HORIZONTE EXPRESS TRANSPORTES LTDADEP46064,4305555556</v>
      </c>
      <c r="B2873" s="12" t="str">
        <f t="shared" si="89"/>
        <v>Fevereiro</v>
      </c>
      <c r="C2873" s="8" t="s">
        <v>1780</v>
      </c>
      <c r="D2873" s="8" t="s">
        <v>664</v>
      </c>
      <c r="E2873" s="8" t="s">
        <v>1350</v>
      </c>
      <c r="F2873" s="23">
        <v>46064.430555555555</v>
      </c>
      <c r="G2873" s="8" t="s">
        <v>1043</v>
      </c>
      <c r="H2873" s="23">
        <v>46071</v>
      </c>
      <c r="I2873" s="23">
        <v>46064.430555555555</v>
      </c>
      <c r="J2873" s="10">
        <v>120</v>
      </c>
      <c r="K2873" s="10">
        <v>0</v>
      </c>
      <c r="L2873" s="24">
        <v>0</v>
      </c>
      <c r="M2873" s="10">
        <v>120</v>
      </c>
    </row>
    <row r="2874" spans="1:13" x14ac:dyDescent="0.25">
      <c r="A2874" s="12" t="str">
        <f t="shared" si="90"/>
        <v>DIANVT09/03/26HORIZONTE EXPRESS TRANSPORTES LTDADEP46092,4951388889</v>
      </c>
      <c r="B2874" s="12" t="str">
        <f t="shared" si="89"/>
        <v>Março</v>
      </c>
      <c r="C2874" s="8" t="s">
        <v>2035</v>
      </c>
      <c r="D2874" s="8" t="s">
        <v>664</v>
      </c>
      <c r="E2874" s="8" t="s">
        <v>1350</v>
      </c>
      <c r="F2874" s="23">
        <v>46092.495138888888</v>
      </c>
      <c r="G2874" s="8" t="s">
        <v>1043</v>
      </c>
      <c r="H2874" s="23">
        <v>46097</v>
      </c>
      <c r="I2874" s="23">
        <v>46092.495138888888</v>
      </c>
      <c r="J2874" s="10">
        <v>180</v>
      </c>
      <c r="K2874" s="10">
        <v>0</v>
      </c>
      <c r="L2874" s="24">
        <v>0</v>
      </c>
      <c r="M2874" s="10">
        <v>180</v>
      </c>
    </row>
    <row r="2875" spans="1:13" x14ac:dyDescent="0.25">
      <c r="A2875" s="12" t="str">
        <f t="shared" si="90"/>
        <v>DIANVT16/03/26HORIZONTE EXPRESS TRANSPORTES LTDADEP46097,6583333333</v>
      </c>
      <c r="B2875" s="12" t="str">
        <f t="shared" si="89"/>
        <v>Março</v>
      </c>
      <c r="C2875" s="8" t="s">
        <v>2094</v>
      </c>
      <c r="D2875" s="8" t="s">
        <v>664</v>
      </c>
      <c r="E2875" s="8" t="s">
        <v>1350</v>
      </c>
      <c r="F2875" s="23">
        <v>46097.658333333333</v>
      </c>
      <c r="G2875" s="8" t="s">
        <v>1043</v>
      </c>
      <c r="H2875" s="23">
        <v>46101</v>
      </c>
      <c r="I2875" s="23">
        <v>46097.658333333333</v>
      </c>
      <c r="J2875" s="10">
        <v>360</v>
      </c>
      <c r="K2875" s="10">
        <v>0</v>
      </c>
      <c r="L2875" s="24">
        <v>0</v>
      </c>
      <c r="M2875" s="10">
        <v>360</v>
      </c>
    </row>
    <row r="2876" spans="1:13" x14ac:dyDescent="0.25">
      <c r="A2876" s="12" t="str">
        <f t="shared" si="90"/>
        <v>DIANVT16/07/26HORIZONTE EXPRESS TRANSPORTES LTDADEP46220,6138888889</v>
      </c>
      <c r="B2876" s="12" t="str">
        <f t="shared" si="89"/>
        <v>Julho</v>
      </c>
      <c r="C2876" s="8" t="s">
        <v>2840</v>
      </c>
      <c r="D2876" s="8" t="s">
        <v>664</v>
      </c>
      <c r="E2876" s="8" t="s">
        <v>1350</v>
      </c>
      <c r="F2876" s="23">
        <v>46220.613888888889</v>
      </c>
      <c r="G2876" s="8" t="s">
        <v>1043</v>
      </c>
      <c r="H2876" s="23">
        <v>46225</v>
      </c>
      <c r="I2876" s="23">
        <v>46220.613888888889</v>
      </c>
      <c r="J2876" s="10">
        <v>1440</v>
      </c>
      <c r="K2876" s="10">
        <v>0</v>
      </c>
      <c r="L2876" s="24">
        <v>0</v>
      </c>
      <c r="M2876" s="10">
        <v>1440</v>
      </c>
    </row>
    <row r="2877" spans="1:13" x14ac:dyDescent="0.25">
      <c r="A2877" s="12" t="str">
        <f t="shared" si="90"/>
        <v>DIANVT18/05/26HORIZONTE EXPRESS TRANSPORTES LTDADEP46160,5451388889</v>
      </c>
      <c r="B2877" s="12" t="str">
        <f t="shared" si="89"/>
        <v>Maio</v>
      </c>
      <c r="C2877" s="8" t="s">
        <v>2487</v>
      </c>
      <c r="D2877" s="8" t="s">
        <v>664</v>
      </c>
      <c r="E2877" s="8" t="s">
        <v>1350</v>
      </c>
      <c r="F2877" s="23">
        <v>46160.545138888891</v>
      </c>
      <c r="G2877" s="8" t="s">
        <v>1043</v>
      </c>
      <c r="H2877" s="23">
        <v>46164</v>
      </c>
      <c r="I2877" s="23">
        <v>46160.545138888891</v>
      </c>
      <c r="J2877" s="10">
        <v>300</v>
      </c>
      <c r="K2877" s="10">
        <v>0</v>
      </c>
      <c r="L2877" s="24">
        <v>0</v>
      </c>
      <c r="M2877" s="10">
        <v>300</v>
      </c>
    </row>
    <row r="2878" spans="1:13" x14ac:dyDescent="0.25">
      <c r="A2878" s="12" t="str">
        <f t="shared" si="90"/>
        <v>DIANVT19/09MGHORIZONTE EXPRESS TRANSPORTES LTDADEP46281,48125</v>
      </c>
      <c r="B2878" s="12" t="str">
        <f t="shared" si="89"/>
        <v>Setembro</v>
      </c>
      <c r="C2878" s="8" t="s">
        <v>3154</v>
      </c>
      <c r="D2878" s="8" t="s">
        <v>664</v>
      </c>
      <c r="E2878" s="8" t="s">
        <v>1350</v>
      </c>
      <c r="F2878" s="23">
        <v>46281.481249999997</v>
      </c>
      <c r="G2878" s="8" t="s">
        <v>1043</v>
      </c>
      <c r="H2878" s="23">
        <v>46287</v>
      </c>
      <c r="I2878" s="23">
        <v>46281.481249999997</v>
      </c>
      <c r="J2878" s="10">
        <v>544</v>
      </c>
      <c r="K2878" s="10">
        <v>0</v>
      </c>
      <c r="L2878" s="24">
        <v>0</v>
      </c>
      <c r="M2878" s="10">
        <v>544</v>
      </c>
    </row>
    <row r="2879" spans="1:13" x14ac:dyDescent="0.25">
      <c r="A2879" s="12" t="str">
        <f t="shared" si="90"/>
        <v>DIANVT20/03/26HORIZONTE EXPRESS TRANSPORTES LTDADEP46101,2784722222</v>
      </c>
      <c r="B2879" s="12" t="str">
        <f t="shared" si="89"/>
        <v>Março</v>
      </c>
      <c r="C2879" s="8" t="s">
        <v>2113</v>
      </c>
      <c r="D2879" s="8" t="s">
        <v>664</v>
      </c>
      <c r="E2879" s="8" t="s">
        <v>1350</v>
      </c>
      <c r="F2879" s="23">
        <v>46101.27847222222</v>
      </c>
      <c r="G2879" s="8" t="s">
        <v>1043</v>
      </c>
      <c r="H2879" s="23">
        <v>46106</v>
      </c>
      <c r="I2879" s="23">
        <v>46101.27847222222</v>
      </c>
      <c r="J2879" s="10">
        <v>240</v>
      </c>
      <c r="K2879" s="10">
        <v>0</v>
      </c>
      <c r="L2879" s="24">
        <v>0</v>
      </c>
      <c r="M2879" s="10">
        <v>240</v>
      </c>
    </row>
    <row r="2880" spans="1:13" x14ac:dyDescent="0.25">
      <c r="A2880" s="12" t="str">
        <f t="shared" si="90"/>
        <v>DIANVT22/06/26HORIZONTE EXPRESS TRANSPORTES LTDADEP46195,5048611111</v>
      </c>
      <c r="B2880" s="12" t="str">
        <f t="shared" si="89"/>
        <v>Junho</v>
      </c>
      <c r="C2880" s="8" t="s">
        <v>2678</v>
      </c>
      <c r="D2880" s="8" t="s">
        <v>664</v>
      </c>
      <c r="E2880" s="8" t="s">
        <v>1350</v>
      </c>
      <c r="F2880" s="23">
        <v>46195.504861111112</v>
      </c>
      <c r="G2880" s="8" t="s">
        <v>1043</v>
      </c>
      <c r="H2880" s="23">
        <v>46199</v>
      </c>
      <c r="I2880" s="23">
        <v>46195.504861111112</v>
      </c>
      <c r="J2880" s="10">
        <v>240</v>
      </c>
      <c r="K2880" s="10">
        <v>0</v>
      </c>
      <c r="L2880" s="24">
        <v>0</v>
      </c>
      <c r="M2880" s="10">
        <v>240</v>
      </c>
    </row>
    <row r="2881" spans="1:13" x14ac:dyDescent="0.25">
      <c r="A2881" s="12" t="str">
        <f t="shared" si="90"/>
        <v>DIARES12/25MGHORIZONTE EXPRESS TRANSPORTES LTDADEP46017,3729166667</v>
      </c>
      <c r="B2881" s="12" t="str">
        <f t="shared" si="89"/>
        <v>Janeiro</v>
      </c>
      <c r="C2881" s="8" t="s">
        <v>1349</v>
      </c>
      <c r="D2881" s="8" t="s">
        <v>664</v>
      </c>
      <c r="E2881" s="8" t="s">
        <v>1350</v>
      </c>
      <c r="F2881" s="23">
        <v>46017.372916666667</v>
      </c>
      <c r="G2881" s="8" t="s">
        <v>1043</v>
      </c>
      <c r="H2881" s="23">
        <v>46024</v>
      </c>
      <c r="I2881" s="23">
        <v>46017.372916666667</v>
      </c>
      <c r="J2881" s="10">
        <v>2000</v>
      </c>
      <c r="K2881" s="10">
        <v>0</v>
      </c>
      <c r="L2881" s="24">
        <v>0</v>
      </c>
      <c r="M2881" s="10">
        <v>2000</v>
      </c>
    </row>
    <row r="2882" spans="1:13" x14ac:dyDescent="0.25">
      <c r="A2882" s="12" t="str">
        <f t="shared" si="90"/>
        <v>DIARETROATIVAMGHORIZONTE EXPRESS TRANSPORTES LTDADEP46246,6645833333</v>
      </c>
      <c r="B2882" s="12" t="str">
        <f t="shared" si="89"/>
        <v>Agosto</v>
      </c>
      <c r="C2882" s="8" t="s">
        <v>2992</v>
      </c>
      <c r="D2882" s="8" t="s">
        <v>664</v>
      </c>
      <c r="E2882" s="8" t="s">
        <v>1350</v>
      </c>
      <c r="F2882" s="23">
        <v>46246.664583333331</v>
      </c>
      <c r="G2882" s="8" t="s">
        <v>1043</v>
      </c>
      <c r="H2882" s="23">
        <v>46252</v>
      </c>
      <c r="I2882" s="23">
        <v>46246.664583333331</v>
      </c>
      <c r="J2882" s="10">
        <v>2696</v>
      </c>
      <c r="K2882" s="10">
        <v>0</v>
      </c>
      <c r="L2882" s="24">
        <v>0</v>
      </c>
      <c r="M2882" s="10">
        <v>2696</v>
      </c>
    </row>
    <row r="2883" spans="1:13" x14ac:dyDescent="0.25">
      <c r="A2883" s="12" t="str">
        <f t="shared" si="90"/>
        <v>DIARIA07/26HORIZONTE EXPRESS TRANSPORTES LTDADEP46199,4527777778</v>
      </c>
      <c r="B2883" s="12" t="str">
        <f t="shared" ref="B2883:B2946" si="91">PROPER(TEXT($H2883,"MMMM"))</f>
        <v>Julho</v>
      </c>
      <c r="C2883" s="8" t="s">
        <v>2708</v>
      </c>
      <c r="D2883" s="8" t="s">
        <v>664</v>
      </c>
      <c r="E2883" s="8" t="s">
        <v>1350</v>
      </c>
      <c r="F2883" s="23">
        <v>46199.452777777777</v>
      </c>
      <c r="G2883" s="8" t="s">
        <v>1043</v>
      </c>
      <c r="H2883" s="23">
        <v>46209</v>
      </c>
      <c r="I2883" s="23">
        <v>46199.452777777777</v>
      </c>
      <c r="J2883" s="10">
        <v>25290</v>
      </c>
      <c r="K2883" s="10">
        <v>0</v>
      </c>
      <c r="L2883" s="24">
        <v>0</v>
      </c>
      <c r="M2883" s="10">
        <v>25290</v>
      </c>
    </row>
    <row r="2884" spans="1:13" x14ac:dyDescent="0.25">
      <c r="A2884" s="12" t="str">
        <f t="shared" si="90"/>
        <v>DIARIANVT08/09HORIZONTE EXPRESS TRANSPORTES LTDADEP46281,2708333333</v>
      </c>
      <c r="B2884" s="12" t="str">
        <f t="shared" si="91"/>
        <v>Setembro</v>
      </c>
      <c r="C2884" s="8" t="s">
        <v>3155</v>
      </c>
      <c r="D2884" s="8" t="s">
        <v>664</v>
      </c>
      <c r="E2884" s="8" t="s">
        <v>1350</v>
      </c>
      <c r="F2884" s="23">
        <v>46281.270833333336</v>
      </c>
      <c r="G2884" s="8" t="s">
        <v>1043</v>
      </c>
      <c r="H2884" s="23">
        <v>46287</v>
      </c>
      <c r="I2884" s="23">
        <v>46281.270833333336</v>
      </c>
      <c r="J2884" s="10">
        <v>204</v>
      </c>
      <c r="K2884" s="10">
        <v>0</v>
      </c>
      <c r="L2884" s="24">
        <v>0</v>
      </c>
      <c r="M2884" s="10">
        <v>204</v>
      </c>
    </row>
    <row r="2885" spans="1:13" x14ac:dyDescent="0.25">
      <c r="A2885" s="12" t="str">
        <f t="shared" si="90"/>
        <v>DIARIANVT080926HORIZONTE EXPRESS TRANSPORTES LTDADEP46276,5090277778</v>
      </c>
      <c r="B2885" s="12" t="str">
        <f t="shared" si="91"/>
        <v>Setembro</v>
      </c>
      <c r="C2885" s="8" t="s">
        <v>3099</v>
      </c>
      <c r="D2885" s="8" t="s">
        <v>664</v>
      </c>
      <c r="E2885" s="8" t="s">
        <v>1350</v>
      </c>
      <c r="F2885" s="23">
        <v>46276.509027777778</v>
      </c>
      <c r="G2885" s="8" t="s">
        <v>1043</v>
      </c>
      <c r="H2885" s="23">
        <v>46281</v>
      </c>
      <c r="I2885" s="23">
        <v>46276.509027777778</v>
      </c>
      <c r="J2885" s="10">
        <v>2244</v>
      </c>
      <c r="K2885" s="10">
        <v>0</v>
      </c>
      <c r="L2885" s="24">
        <v>0</v>
      </c>
      <c r="M2885" s="10">
        <v>2244</v>
      </c>
    </row>
    <row r="2886" spans="1:13" x14ac:dyDescent="0.25">
      <c r="A2886" s="12" t="str">
        <f t="shared" si="90"/>
        <v>DIARIAS10/26MGHORIZONTE EXPRESS TRANSPORTES LTDADEP46295,5041666667</v>
      </c>
      <c r="B2886" s="12" t="str">
        <f t="shared" si="91"/>
        <v>Outubro</v>
      </c>
      <c r="C2886" s="8" t="s">
        <v>3193</v>
      </c>
      <c r="D2886" s="8" t="s">
        <v>664</v>
      </c>
      <c r="E2886" s="8" t="s">
        <v>1350</v>
      </c>
      <c r="F2886" s="23">
        <v>46295.504166666666</v>
      </c>
      <c r="G2886" s="8" t="s">
        <v>1043</v>
      </c>
      <c r="H2886" s="23">
        <v>46300</v>
      </c>
      <c r="I2886" s="23">
        <v>46295.504166666666</v>
      </c>
      <c r="J2886" s="10">
        <v>29570</v>
      </c>
      <c r="K2886" s="10">
        <v>0</v>
      </c>
      <c r="L2886" s="24">
        <v>0</v>
      </c>
      <c r="M2886" s="10">
        <v>29570</v>
      </c>
    </row>
    <row r="2887" spans="1:13" x14ac:dyDescent="0.25">
      <c r="A2887" s="12" t="str">
        <f t="shared" si="90"/>
        <v>Doc. Pago em :</v>
      </c>
      <c r="B2887" s="12" t="str">
        <f t="shared" si="91"/>
        <v>Janeiro</v>
      </c>
      <c r="C2887" s="7" t="s">
        <v>1361</v>
      </c>
      <c r="D2887" s="8" t="s">
        <v>1362</v>
      </c>
      <c r="E2887" s="7"/>
      <c r="F2887" s="7"/>
      <c r="G2887" s="7"/>
      <c r="H2887" s="7"/>
      <c r="I2887" s="7"/>
      <c r="J2887" s="7"/>
      <c r="K2887" s="7"/>
      <c r="L2887" s="7"/>
      <c r="M2887" s="7"/>
    </row>
    <row r="2888" spans="1:13" x14ac:dyDescent="0.25">
      <c r="A2888" s="12" t="str">
        <f t="shared" si="90"/>
        <v>Doc. Pago em :</v>
      </c>
      <c r="B2888" s="12" t="str">
        <f t="shared" si="91"/>
        <v>Janeiro</v>
      </c>
      <c r="C2888" s="7" t="s">
        <v>1361</v>
      </c>
      <c r="D2888" s="8" t="s">
        <v>1377</v>
      </c>
      <c r="E2888" s="7"/>
      <c r="F2888" s="7"/>
      <c r="G2888" s="7"/>
      <c r="H2888" s="7"/>
      <c r="I2888" s="7"/>
      <c r="J2888" s="7"/>
      <c r="K2888" s="7"/>
      <c r="L2888" s="7"/>
      <c r="M2888" s="7"/>
    </row>
    <row r="2889" spans="1:13" x14ac:dyDescent="0.25">
      <c r="A2889" s="12" t="str">
        <f t="shared" si="90"/>
        <v>Doc. Pago em :</v>
      </c>
      <c r="B2889" s="12" t="str">
        <f t="shared" si="91"/>
        <v>Janeiro</v>
      </c>
      <c r="C2889" s="7" t="s">
        <v>1361</v>
      </c>
      <c r="D2889" s="8" t="s">
        <v>1445</v>
      </c>
      <c r="E2889" s="7"/>
      <c r="F2889" s="7"/>
      <c r="G2889" s="7"/>
      <c r="H2889" s="7"/>
      <c r="I2889" s="7"/>
      <c r="J2889" s="7"/>
      <c r="K2889" s="7"/>
      <c r="L2889" s="7"/>
      <c r="M2889" s="7"/>
    </row>
    <row r="2890" spans="1:13" x14ac:dyDescent="0.25">
      <c r="A2890" s="12" t="str">
        <f t="shared" si="90"/>
        <v>Doc. Pago em :</v>
      </c>
      <c r="B2890" s="12" t="str">
        <f t="shared" si="91"/>
        <v>Janeiro</v>
      </c>
      <c r="C2890" s="7" t="s">
        <v>1361</v>
      </c>
      <c r="D2890" s="8" t="s">
        <v>1452</v>
      </c>
      <c r="E2890" s="7"/>
      <c r="F2890" s="7"/>
      <c r="G2890" s="7"/>
      <c r="H2890" s="7"/>
      <c r="I2890" s="7"/>
      <c r="J2890" s="7"/>
      <c r="K2890" s="7"/>
      <c r="L2890" s="7"/>
      <c r="M2890" s="7"/>
    </row>
    <row r="2891" spans="1:13" x14ac:dyDescent="0.25">
      <c r="A2891" s="12" t="str">
        <f t="shared" si="90"/>
        <v>Doc. Pago em :</v>
      </c>
      <c r="B2891" s="12" t="str">
        <f t="shared" si="91"/>
        <v>Janeiro</v>
      </c>
      <c r="C2891" s="7" t="s">
        <v>1361</v>
      </c>
      <c r="D2891" s="8" t="s">
        <v>1460</v>
      </c>
      <c r="E2891" s="7"/>
      <c r="F2891" s="7"/>
      <c r="G2891" s="7"/>
      <c r="H2891" s="7"/>
      <c r="I2891" s="7"/>
      <c r="J2891" s="7"/>
      <c r="K2891" s="7"/>
      <c r="L2891" s="7"/>
      <c r="M2891" s="7"/>
    </row>
    <row r="2892" spans="1:13" x14ac:dyDescent="0.25">
      <c r="A2892" s="12" t="str">
        <f t="shared" si="90"/>
        <v>Doc. Pago em :</v>
      </c>
      <c r="B2892" s="12" t="str">
        <f t="shared" si="91"/>
        <v>Janeiro</v>
      </c>
      <c r="C2892" s="7" t="s">
        <v>1361</v>
      </c>
      <c r="D2892" s="8" t="s">
        <v>1466</v>
      </c>
      <c r="E2892" s="7"/>
      <c r="F2892" s="7"/>
      <c r="G2892" s="7"/>
      <c r="H2892" s="7"/>
      <c r="I2892" s="7"/>
      <c r="J2892" s="7"/>
      <c r="K2892" s="7"/>
      <c r="L2892" s="7"/>
      <c r="M2892" s="7"/>
    </row>
    <row r="2893" spans="1:13" x14ac:dyDescent="0.25">
      <c r="A2893" s="12" t="str">
        <f t="shared" si="90"/>
        <v>Doc. Pago em :</v>
      </c>
      <c r="B2893" s="12" t="str">
        <f t="shared" si="91"/>
        <v>Janeiro</v>
      </c>
      <c r="C2893" s="7" t="s">
        <v>1361</v>
      </c>
      <c r="D2893" s="8" t="s">
        <v>1480</v>
      </c>
      <c r="E2893" s="7"/>
      <c r="F2893" s="7"/>
      <c r="G2893" s="7"/>
      <c r="H2893" s="7"/>
      <c r="I2893" s="7"/>
      <c r="J2893" s="7"/>
      <c r="K2893" s="7"/>
      <c r="L2893" s="7"/>
      <c r="M2893" s="7"/>
    </row>
    <row r="2894" spans="1:13" x14ac:dyDescent="0.25">
      <c r="A2894" s="12" t="str">
        <f t="shared" si="90"/>
        <v>Doc. Pago em :</v>
      </c>
      <c r="B2894" s="12" t="str">
        <f t="shared" si="91"/>
        <v>Janeiro</v>
      </c>
      <c r="C2894" s="7" t="s">
        <v>1361</v>
      </c>
      <c r="D2894" s="8" t="s">
        <v>1482</v>
      </c>
      <c r="E2894" s="7"/>
      <c r="F2894" s="7"/>
      <c r="G2894" s="7"/>
      <c r="H2894" s="7"/>
      <c r="I2894" s="7"/>
      <c r="J2894" s="7"/>
      <c r="K2894" s="7"/>
      <c r="L2894" s="7"/>
      <c r="M2894" s="7"/>
    </row>
    <row r="2895" spans="1:13" x14ac:dyDescent="0.25">
      <c r="A2895" s="12" t="str">
        <f t="shared" si="90"/>
        <v>Doc. Pago em :</v>
      </c>
      <c r="B2895" s="12" t="str">
        <f t="shared" si="91"/>
        <v>Janeiro</v>
      </c>
      <c r="C2895" s="7" t="s">
        <v>1361</v>
      </c>
      <c r="D2895" s="8" t="s">
        <v>1489</v>
      </c>
      <c r="E2895" s="7"/>
      <c r="F2895" s="7"/>
      <c r="G2895" s="7"/>
      <c r="H2895" s="7"/>
      <c r="I2895" s="7"/>
      <c r="J2895" s="7"/>
      <c r="K2895" s="7"/>
      <c r="L2895" s="7"/>
      <c r="M2895" s="7"/>
    </row>
    <row r="2896" spans="1:13" x14ac:dyDescent="0.25">
      <c r="A2896" s="12" t="str">
        <f t="shared" si="90"/>
        <v>Doc. Pago em :</v>
      </c>
      <c r="B2896" s="12" t="str">
        <f t="shared" si="91"/>
        <v>Janeiro</v>
      </c>
      <c r="C2896" s="7" t="s">
        <v>1361</v>
      </c>
      <c r="D2896" s="8" t="s">
        <v>1498</v>
      </c>
      <c r="E2896" s="7"/>
      <c r="F2896" s="7"/>
      <c r="G2896" s="7"/>
      <c r="H2896" s="7"/>
      <c r="I2896" s="7"/>
      <c r="J2896" s="7"/>
      <c r="K2896" s="7"/>
      <c r="L2896" s="7"/>
      <c r="M2896" s="7"/>
    </row>
    <row r="2897" spans="1:13" x14ac:dyDescent="0.25">
      <c r="A2897" s="12" t="str">
        <f t="shared" si="90"/>
        <v>Doc. Pago em :</v>
      </c>
      <c r="B2897" s="12" t="str">
        <f t="shared" si="91"/>
        <v>Janeiro</v>
      </c>
      <c r="C2897" s="7" t="s">
        <v>1361</v>
      </c>
      <c r="D2897" s="8" t="s">
        <v>1580</v>
      </c>
      <c r="E2897" s="7"/>
      <c r="F2897" s="7"/>
      <c r="G2897" s="7"/>
      <c r="H2897" s="7"/>
      <c r="I2897" s="7"/>
      <c r="J2897" s="7"/>
      <c r="K2897" s="7"/>
      <c r="L2897" s="7"/>
      <c r="M2897" s="7"/>
    </row>
    <row r="2898" spans="1:13" x14ac:dyDescent="0.25">
      <c r="A2898" s="12" t="str">
        <f t="shared" si="90"/>
        <v>Doc. Pago em :</v>
      </c>
      <c r="B2898" s="12" t="str">
        <f t="shared" si="91"/>
        <v>Janeiro</v>
      </c>
      <c r="C2898" s="7" t="s">
        <v>1361</v>
      </c>
      <c r="D2898" s="8" t="s">
        <v>1599</v>
      </c>
      <c r="E2898" s="7"/>
      <c r="F2898" s="7"/>
      <c r="G2898" s="7"/>
      <c r="H2898" s="7"/>
      <c r="I2898" s="7"/>
      <c r="J2898" s="7"/>
      <c r="K2898" s="7"/>
      <c r="L2898" s="7"/>
      <c r="M2898" s="7"/>
    </row>
    <row r="2899" spans="1:13" x14ac:dyDescent="0.25">
      <c r="A2899" s="12" t="str">
        <f t="shared" si="90"/>
        <v>Doc. Pago em :</v>
      </c>
      <c r="B2899" s="12" t="str">
        <f t="shared" si="91"/>
        <v>Janeiro</v>
      </c>
      <c r="C2899" s="7" t="s">
        <v>1361</v>
      </c>
      <c r="D2899" s="8" t="s">
        <v>1610</v>
      </c>
      <c r="E2899" s="7"/>
      <c r="F2899" s="7"/>
      <c r="G2899" s="7"/>
      <c r="H2899" s="7"/>
      <c r="I2899" s="7"/>
      <c r="J2899" s="7"/>
      <c r="K2899" s="7"/>
      <c r="L2899" s="7"/>
      <c r="M2899" s="7"/>
    </row>
    <row r="2900" spans="1:13" x14ac:dyDescent="0.25">
      <c r="A2900" s="12" t="str">
        <f t="shared" si="90"/>
        <v>Doc. Pago em :</v>
      </c>
      <c r="B2900" s="12" t="str">
        <f t="shared" si="91"/>
        <v>Janeiro</v>
      </c>
      <c r="C2900" s="7" t="s">
        <v>1361</v>
      </c>
      <c r="D2900" s="8" t="s">
        <v>1616</v>
      </c>
      <c r="E2900" s="7"/>
      <c r="F2900" s="7"/>
      <c r="G2900" s="7"/>
      <c r="H2900" s="7"/>
      <c r="I2900" s="7"/>
      <c r="J2900" s="7"/>
      <c r="K2900" s="7"/>
      <c r="L2900" s="7"/>
      <c r="M2900" s="7"/>
    </row>
    <row r="2901" spans="1:13" x14ac:dyDescent="0.25">
      <c r="A2901" s="12" t="str">
        <f t="shared" si="90"/>
        <v>Doc. Pago em :</v>
      </c>
      <c r="B2901" s="12" t="str">
        <f t="shared" si="91"/>
        <v>Janeiro</v>
      </c>
      <c r="C2901" s="7" t="s">
        <v>1361</v>
      </c>
      <c r="D2901" s="8" t="s">
        <v>1617</v>
      </c>
      <c r="E2901" s="7"/>
      <c r="F2901" s="7"/>
      <c r="G2901" s="7"/>
      <c r="H2901" s="7"/>
      <c r="I2901" s="7"/>
      <c r="J2901" s="7"/>
      <c r="K2901" s="7"/>
      <c r="L2901" s="7"/>
      <c r="M2901" s="7"/>
    </row>
    <row r="2902" spans="1:13" x14ac:dyDescent="0.25">
      <c r="A2902" s="12" t="str">
        <f t="shared" si="90"/>
        <v>Doc. Pago em :</v>
      </c>
      <c r="B2902" s="12" t="str">
        <f t="shared" si="91"/>
        <v>Janeiro</v>
      </c>
      <c r="C2902" s="7" t="s">
        <v>1361</v>
      </c>
      <c r="D2902" s="8" t="s">
        <v>1619</v>
      </c>
      <c r="E2902" s="7"/>
      <c r="F2902" s="7"/>
      <c r="G2902" s="7"/>
      <c r="H2902" s="7"/>
      <c r="I2902" s="7"/>
      <c r="J2902" s="7"/>
      <c r="K2902" s="7"/>
      <c r="L2902" s="7"/>
      <c r="M2902" s="7"/>
    </row>
    <row r="2903" spans="1:13" x14ac:dyDescent="0.25">
      <c r="A2903" s="12" t="str">
        <f t="shared" si="90"/>
        <v>Doc. Pago em :</v>
      </c>
      <c r="B2903" s="12" t="str">
        <f t="shared" si="91"/>
        <v>Janeiro</v>
      </c>
      <c r="C2903" s="7" t="s">
        <v>1361</v>
      </c>
      <c r="D2903" s="8" t="s">
        <v>1628</v>
      </c>
      <c r="E2903" s="7"/>
      <c r="F2903" s="7"/>
      <c r="G2903" s="7"/>
      <c r="H2903" s="7"/>
      <c r="I2903" s="7"/>
      <c r="J2903" s="7"/>
      <c r="K2903" s="7"/>
      <c r="L2903" s="7"/>
      <c r="M2903" s="7"/>
    </row>
    <row r="2904" spans="1:13" x14ac:dyDescent="0.25">
      <c r="A2904" s="12" t="str">
        <f t="shared" si="90"/>
        <v>Doc. Pago em :</v>
      </c>
      <c r="B2904" s="12" t="str">
        <f t="shared" si="91"/>
        <v>Janeiro</v>
      </c>
      <c r="C2904" s="7" t="s">
        <v>1361</v>
      </c>
      <c r="D2904" s="8" t="s">
        <v>1631</v>
      </c>
      <c r="E2904" s="7"/>
      <c r="F2904" s="7"/>
      <c r="G2904" s="7"/>
      <c r="H2904" s="7"/>
      <c r="I2904" s="7"/>
      <c r="J2904" s="7"/>
      <c r="K2904" s="7"/>
      <c r="L2904" s="7"/>
      <c r="M2904" s="7"/>
    </row>
    <row r="2905" spans="1:13" x14ac:dyDescent="0.25">
      <c r="A2905" s="12" t="str">
        <f t="shared" si="90"/>
        <v>Doc. Pago em :</v>
      </c>
      <c r="B2905" s="12" t="str">
        <f t="shared" si="91"/>
        <v>Janeiro</v>
      </c>
      <c r="C2905" s="7" t="s">
        <v>1361</v>
      </c>
      <c r="D2905" s="8" t="s">
        <v>1638</v>
      </c>
      <c r="E2905" s="7"/>
      <c r="F2905" s="7"/>
      <c r="G2905" s="7"/>
      <c r="H2905" s="7"/>
      <c r="I2905" s="7"/>
      <c r="J2905" s="7"/>
      <c r="K2905" s="7"/>
      <c r="L2905" s="7"/>
      <c r="M2905" s="7"/>
    </row>
    <row r="2906" spans="1:13" x14ac:dyDescent="0.25">
      <c r="A2906" s="12" t="str">
        <f t="shared" si="90"/>
        <v>Doc. Pago em :</v>
      </c>
      <c r="B2906" s="12" t="str">
        <f t="shared" si="91"/>
        <v>Janeiro</v>
      </c>
      <c r="C2906" s="7" t="s">
        <v>1361</v>
      </c>
      <c r="D2906" s="8" t="s">
        <v>1642</v>
      </c>
      <c r="E2906" s="7"/>
      <c r="F2906" s="7"/>
      <c r="G2906" s="7"/>
      <c r="H2906" s="7"/>
      <c r="I2906" s="7"/>
      <c r="J2906" s="7"/>
      <c r="K2906" s="7"/>
      <c r="L2906" s="7"/>
      <c r="M2906" s="7"/>
    </row>
    <row r="2907" spans="1:13" x14ac:dyDescent="0.25">
      <c r="A2907" s="12" t="str">
        <f t="shared" ref="A2907:A2970" si="92">$C2907&amp;$E2907&amp;$G2907&amp;$F2907</f>
        <v>Doc. Pago em :</v>
      </c>
      <c r="B2907" s="12" t="str">
        <f t="shared" si="91"/>
        <v>Janeiro</v>
      </c>
      <c r="C2907" s="7" t="s">
        <v>1361</v>
      </c>
      <c r="D2907" s="8" t="s">
        <v>1658</v>
      </c>
      <c r="E2907" s="7"/>
      <c r="F2907" s="7"/>
      <c r="G2907" s="7"/>
      <c r="H2907" s="7"/>
      <c r="I2907" s="7"/>
      <c r="J2907" s="7"/>
      <c r="K2907" s="7"/>
      <c r="L2907" s="7"/>
      <c r="M2907" s="7"/>
    </row>
    <row r="2908" spans="1:13" x14ac:dyDescent="0.25">
      <c r="A2908" s="12" t="str">
        <f t="shared" si="92"/>
        <v>Doc. Pago em :</v>
      </c>
      <c r="B2908" s="12" t="str">
        <f t="shared" si="91"/>
        <v>Janeiro</v>
      </c>
      <c r="C2908" s="7" t="s">
        <v>1361</v>
      </c>
      <c r="D2908" s="8" t="s">
        <v>1663</v>
      </c>
      <c r="E2908" s="7"/>
      <c r="F2908" s="7"/>
      <c r="G2908" s="7"/>
      <c r="H2908" s="7"/>
      <c r="I2908" s="7"/>
      <c r="J2908" s="7"/>
      <c r="K2908" s="7"/>
      <c r="L2908" s="7"/>
      <c r="M2908" s="7"/>
    </row>
    <row r="2909" spans="1:13" x14ac:dyDescent="0.25">
      <c r="A2909" s="12" t="str">
        <f t="shared" si="92"/>
        <v>Doc. Pago em :</v>
      </c>
      <c r="B2909" s="12" t="str">
        <f t="shared" si="91"/>
        <v>Janeiro</v>
      </c>
      <c r="C2909" s="7" t="s">
        <v>1361</v>
      </c>
      <c r="D2909" s="8" t="s">
        <v>1669</v>
      </c>
      <c r="E2909" s="7"/>
      <c r="F2909" s="7"/>
      <c r="G2909" s="7"/>
      <c r="H2909" s="7"/>
      <c r="I2909" s="7"/>
      <c r="J2909" s="7"/>
      <c r="K2909" s="7"/>
      <c r="L2909" s="7"/>
      <c r="M2909" s="7"/>
    </row>
    <row r="2910" spans="1:13" x14ac:dyDescent="0.25">
      <c r="A2910" s="12" t="str">
        <f t="shared" si="92"/>
        <v>Doc. Pago em :</v>
      </c>
      <c r="B2910" s="12" t="str">
        <f t="shared" si="91"/>
        <v>Janeiro</v>
      </c>
      <c r="C2910" s="7" t="s">
        <v>1361</v>
      </c>
      <c r="D2910" s="8" t="s">
        <v>1670</v>
      </c>
      <c r="E2910" s="7"/>
      <c r="F2910" s="7"/>
      <c r="G2910" s="7"/>
      <c r="H2910" s="7"/>
      <c r="I2910" s="7"/>
      <c r="J2910" s="7"/>
      <c r="K2910" s="7"/>
      <c r="L2910" s="7"/>
      <c r="M2910" s="7"/>
    </row>
    <row r="2911" spans="1:13" x14ac:dyDescent="0.25">
      <c r="A2911" s="12" t="str">
        <f t="shared" si="92"/>
        <v>Doc. Pago em :</v>
      </c>
      <c r="B2911" s="12" t="str">
        <f t="shared" si="91"/>
        <v>Janeiro</v>
      </c>
      <c r="C2911" s="7" t="s">
        <v>1361</v>
      </c>
      <c r="D2911" s="8" t="s">
        <v>1677</v>
      </c>
      <c r="E2911" s="7"/>
      <c r="F2911" s="7"/>
      <c r="G2911" s="7"/>
      <c r="H2911" s="7"/>
      <c r="I2911" s="7"/>
      <c r="J2911" s="7"/>
      <c r="K2911" s="7"/>
      <c r="L2911" s="7"/>
      <c r="M2911" s="7"/>
    </row>
    <row r="2912" spans="1:13" x14ac:dyDescent="0.25">
      <c r="A2912" s="12" t="str">
        <f t="shared" si="92"/>
        <v>Doc. Pago em :</v>
      </c>
      <c r="B2912" s="12" t="str">
        <f t="shared" si="91"/>
        <v>Janeiro</v>
      </c>
      <c r="C2912" s="7" t="s">
        <v>1361</v>
      </c>
      <c r="D2912" s="8" t="s">
        <v>1717</v>
      </c>
      <c r="E2912" s="7"/>
      <c r="F2912" s="7"/>
      <c r="G2912" s="7"/>
      <c r="H2912" s="7"/>
      <c r="I2912" s="7"/>
      <c r="J2912" s="7"/>
      <c r="K2912" s="7"/>
      <c r="L2912" s="7"/>
      <c r="M2912" s="7"/>
    </row>
    <row r="2913" spans="1:13" x14ac:dyDescent="0.25">
      <c r="A2913" s="12" t="str">
        <f t="shared" si="92"/>
        <v>Doc. Pago em :</v>
      </c>
      <c r="B2913" s="12" t="str">
        <f t="shared" si="91"/>
        <v>Janeiro</v>
      </c>
      <c r="C2913" s="7" t="s">
        <v>1361</v>
      </c>
      <c r="D2913" s="8" t="s">
        <v>1720</v>
      </c>
      <c r="E2913" s="7"/>
      <c r="F2913" s="7"/>
      <c r="G2913" s="7"/>
      <c r="H2913" s="7"/>
      <c r="I2913" s="7"/>
      <c r="J2913" s="7"/>
      <c r="K2913" s="7"/>
      <c r="L2913" s="7"/>
      <c r="M2913" s="7"/>
    </row>
    <row r="2914" spans="1:13" x14ac:dyDescent="0.25">
      <c r="A2914" s="12" t="str">
        <f t="shared" si="92"/>
        <v>Doc. Pago em :</v>
      </c>
      <c r="B2914" s="12" t="str">
        <f t="shared" si="91"/>
        <v>Janeiro</v>
      </c>
      <c r="C2914" s="7" t="s">
        <v>1361</v>
      </c>
      <c r="D2914" s="8" t="s">
        <v>1748</v>
      </c>
      <c r="E2914" s="7"/>
      <c r="F2914" s="7"/>
      <c r="G2914" s="7"/>
      <c r="H2914" s="7"/>
      <c r="I2914" s="7"/>
      <c r="J2914" s="7"/>
      <c r="K2914" s="7"/>
      <c r="L2914" s="7"/>
      <c r="M2914" s="7"/>
    </row>
    <row r="2915" spans="1:13" x14ac:dyDescent="0.25">
      <c r="A2915" s="12" t="str">
        <f t="shared" si="92"/>
        <v>Doc. Pago em :</v>
      </c>
      <c r="B2915" s="12" t="str">
        <f t="shared" si="91"/>
        <v>Janeiro</v>
      </c>
      <c r="C2915" s="7" t="s">
        <v>1361</v>
      </c>
      <c r="D2915" s="8" t="s">
        <v>1756</v>
      </c>
      <c r="E2915" s="7"/>
      <c r="F2915" s="7"/>
      <c r="G2915" s="7"/>
      <c r="H2915" s="7"/>
      <c r="I2915" s="7"/>
      <c r="J2915" s="7"/>
      <c r="K2915" s="7"/>
      <c r="L2915" s="7"/>
      <c r="M2915" s="7"/>
    </row>
    <row r="2916" spans="1:13" x14ac:dyDescent="0.25">
      <c r="A2916" s="12" t="str">
        <f t="shared" si="92"/>
        <v>Doc. Pago em :</v>
      </c>
      <c r="B2916" s="12" t="str">
        <f t="shared" si="91"/>
        <v>Janeiro</v>
      </c>
      <c r="C2916" s="7" t="s">
        <v>1361</v>
      </c>
      <c r="D2916" s="8" t="s">
        <v>1761</v>
      </c>
      <c r="E2916" s="7"/>
      <c r="F2916" s="7"/>
      <c r="G2916" s="7"/>
      <c r="H2916" s="7"/>
      <c r="I2916" s="7"/>
      <c r="J2916" s="7"/>
      <c r="K2916" s="7"/>
      <c r="L2916" s="7"/>
      <c r="M2916" s="7"/>
    </row>
    <row r="2917" spans="1:13" x14ac:dyDescent="0.25">
      <c r="A2917" s="12" t="str">
        <f t="shared" si="92"/>
        <v>Doc. Pago em :</v>
      </c>
      <c r="B2917" s="12" t="str">
        <f t="shared" si="91"/>
        <v>Janeiro</v>
      </c>
      <c r="C2917" s="7" t="s">
        <v>1361</v>
      </c>
      <c r="D2917" s="8" t="s">
        <v>1762</v>
      </c>
      <c r="E2917" s="7"/>
      <c r="F2917" s="7"/>
      <c r="G2917" s="7"/>
      <c r="H2917" s="7"/>
      <c r="I2917" s="7"/>
      <c r="J2917" s="7"/>
      <c r="K2917" s="7"/>
      <c r="L2917" s="7"/>
      <c r="M2917" s="7"/>
    </row>
    <row r="2918" spans="1:13" x14ac:dyDescent="0.25">
      <c r="A2918" s="12" t="str">
        <f t="shared" si="92"/>
        <v>Doc. Pago em :</v>
      </c>
      <c r="B2918" s="12" t="str">
        <f t="shared" si="91"/>
        <v>Janeiro</v>
      </c>
      <c r="C2918" s="7" t="s">
        <v>1361</v>
      </c>
      <c r="D2918" s="8" t="s">
        <v>1824</v>
      </c>
      <c r="E2918" s="7"/>
      <c r="F2918" s="7"/>
      <c r="G2918" s="7"/>
      <c r="H2918" s="7"/>
      <c r="I2918" s="7"/>
      <c r="J2918" s="7"/>
      <c r="K2918" s="7"/>
      <c r="L2918" s="7"/>
      <c r="M2918" s="7"/>
    </row>
    <row r="2919" spans="1:13" x14ac:dyDescent="0.25">
      <c r="A2919" s="12" t="str">
        <f t="shared" si="92"/>
        <v>Doc. Pago em :</v>
      </c>
      <c r="B2919" s="12" t="str">
        <f t="shared" si="91"/>
        <v>Janeiro</v>
      </c>
      <c r="C2919" s="7" t="s">
        <v>1361</v>
      </c>
      <c r="D2919" s="8" t="s">
        <v>1887</v>
      </c>
      <c r="E2919" s="7"/>
      <c r="F2919" s="7"/>
      <c r="G2919" s="7"/>
      <c r="H2919" s="7"/>
      <c r="I2919" s="7"/>
      <c r="J2919" s="7"/>
      <c r="K2919" s="7"/>
      <c r="L2919" s="7"/>
      <c r="M2919" s="7"/>
    </row>
    <row r="2920" spans="1:13" x14ac:dyDescent="0.25">
      <c r="A2920" s="12" t="str">
        <f t="shared" si="92"/>
        <v>Doc. Pago em :</v>
      </c>
      <c r="B2920" s="12" t="str">
        <f t="shared" si="91"/>
        <v>Janeiro</v>
      </c>
      <c r="C2920" s="7" t="s">
        <v>1361</v>
      </c>
      <c r="D2920" s="8" t="s">
        <v>1900</v>
      </c>
      <c r="E2920" s="7"/>
      <c r="F2920" s="7"/>
      <c r="G2920" s="7"/>
      <c r="H2920" s="7"/>
      <c r="I2920" s="7"/>
      <c r="J2920" s="7"/>
      <c r="K2920" s="7"/>
      <c r="L2920" s="7"/>
      <c r="M2920" s="7"/>
    </row>
    <row r="2921" spans="1:13" x14ac:dyDescent="0.25">
      <c r="A2921" s="12" t="str">
        <f t="shared" si="92"/>
        <v>Doc. Pago em :</v>
      </c>
      <c r="B2921" s="12" t="str">
        <f t="shared" si="91"/>
        <v>Janeiro</v>
      </c>
      <c r="C2921" s="7" t="s">
        <v>1361</v>
      </c>
      <c r="D2921" s="8" t="s">
        <v>1916</v>
      </c>
      <c r="E2921" s="7"/>
      <c r="F2921" s="7"/>
      <c r="G2921" s="7"/>
      <c r="H2921" s="7"/>
      <c r="I2921" s="7"/>
      <c r="J2921" s="7"/>
      <c r="K2921" s="7"/>
      <c r="L2921" s="7"/>
      <c r="M2921" s="7"/>
    </row>
    <row r="2922" spans="1:13" x14ac:dyDescent="0.25">
      <c r="A2922" s="12" t="str">
        <f t="shared" si="92"/>
        <v>Doc. Pago em :</v>
      </c>
      <c r="B2922" s="12" t="str">
        <f t="shared" si="91"/>
        <v>Janeiro</v>
      </c>
      <c r="C2922" s="7" t="s">
        <v>1361</v>
      </c>
      <c r="D2922" s="8" t="s">
        <v>1917</v>
      </c>
      <c r="E2922" s="7"/>
      <c r="F2922" s="7"/>
      <c r="G2922" s="7"/>
      <c r="H2922" s="7"/>
      <c r="I2922" s="7"/>
      <c r="J2922" s="7"/>
      <c r="K2922" s="7"/>
      <c r="L2922" s="7"/>
      <c r="M2922" s="7"/>
    </row>
    <row r="2923" spans="1:13" x14ac:dyDescent="0.25">
      <c r="A2923" s="12" t="str">
        <f t="shared" si="92"/>
        <v>Doc. Pago em :</v>
      </c>
      <c r="B2923" s="12" t="str">
        <f t="shared" si="91"/>
        <v>Janeiro</v>
      </c>
      <c r="C2923" s="7" t="s">
        <v>1361</v>
      </c>
      <c r="D2923" s="8" t="s">
        <v>1922</v>
      </c>
      <c r="E2923" s="7"/>
      <c r="F2923" s="7"/>
      <c r="G2923" s="7"/>
      <c r="H2923" s="7"/>
      <c r="I2923" s="7"/>
      <c r="J2923" s="7"/>
      <c r="K2923" s="7"/>
      <c r="L2923" s="7"/>
      <c r="M2923" s="7"/>
    </row>
    <row r="2924" spans="1:13" x14ac:dyDescent="0.25">
      <c r="A2924" s="12" t="str">
        <f t="shared" si="92"/>
        <v>Doc. Pago em :</v>
      </c>
      <c r="B2924" s="12" t="str">
        <f t="shared" si="91"/>
        <v>Janeiro</v>
      </c>
      <c r="C2924" s="7" t="s">
        <v>1361</v>
      </c>
      <c r="D2924" s="8" t="s">
        <v>1929</v>
      </c>
      <c r="E2924" s="7"/>
      <c r="F2924" s="7"/>
      <c r="G2924" s="7"/>
      <c r="H2924" s="7"/>
      <c r="I2924" s="7"/>
      <c r="J2924" s="7"/>
      <c r="K2924" s="7"/>
      <c r="L2924" s="7"/>
      <c r="M2924" s="7"/>
    </row>
    <row r="2925" spans="1:13" x14ac:dyDescent="0.25">
      <c r="A2925" s="12" t="str">
        <f t="shared" si="92"/>
        <v>Doc. Pago em :</v>
      </c>
      <c r="B2925" s="12" t="str">
        <f t="shared" si="91"/>
        <v>Janeiro</v>
      </c>
      <c r="C2925" s="7" t="s">
        <v>1361</v>
      </c>
      <c r="D2925" s="8" t="s">
        <v>1934</v>
      </c>
      <c r="E2925" s="7"/>
      <c r="F2925" s="7"/>
      <c r="G2925" s="7"/>
      <c r="H2925" s="7"/>
      <c r="I2925" s="7"/>
      <c r="J2925" s="7"/>
      <c r="K2925" s="7"/>
      <c r="L2925" s="7"/>
      <c r="M2925" s="7"/>
    </row>
    <row r="2926" spans="1:13" x14ac:dyDescent="0.25">
      <c r="A2926" s="12" t="str">
        <f t="shared" si="92"/>
        <v>Doc. Pago em :</v>
      </c>
      <c r="B2926" s="12" t="str">
        <f t="shared" si="91"/>
        <v>Janeiro</v>
      </c>
      <c r="C2926" s="7" t="s">
        <v>1361</v>
      </c>
      <c r="D2926" s="8" t="s">
        <v>1937</v>
      </c>
      <c r="E2926" s="7"/>
      <c r="F2926" s="7"/>
      <c r="G2926" s="7"/>
      <c r="H2926" s="7"/>
      <c r="I2926" s="7"/>
      <c r="J2926" s="7"/>
      <c r="K2926" s="7"/>
      <c r="L2926" s="7"/>
      <c r="M2926" s="7"/>
    </row>
    <row r="2927" spans="1:13" x14ac:dyDescent="0.25">
      <c r="A2927" s="12" t="str">
        <f t="shared" si="92"/>
        <v>Doc. Pago em :</v>
      </c>
      <c r="B2927" s="12" t="str">
        <f t="shared" si="91"/>
        <v>Janeiro</v>
      </c>
      <c r="C2927" s="7" t="s">
        <v>1361</v>
      </c>
      <c r="D2927" s="8" t="s">
        <v>1943</v>
      </c>
      <c r="E2927" s="7"/>
      <c r="F2927" s="7"/>
      <c r="G2927" s="7"/>
      <c r="H2927" s="7"/>
      <c r="I2927" s="7"/>
      <c r="J2927" s="7"/>
      <c r="K2927" s="7"/>
      <c r="L2927" s="7"/>
      <c r="M2927" s="7"/>
    </row>
    <row r="2928" spans="1:13" x14ac:dyDescent="0.25">
      <c r="A2928" s="12" t="str">
        <f t="shared" si="92"/>
        <v>Doc. Pago em :</v>
      </c>
      <c r="B2928" s="12" t="str">
        <f t="shared" si="91"/>
        <v>Janeiro</v>
      </c>
      <c r="C2928" s="7" t="s">
        <v>1361</v>
      </c>
      <c r="D2928" s="8" t="s">
        <v>1945</v>
      </c>
      <c r="E2928" s="7"/>
      <c r="F2928" s="7"/>
      <c r="G2928" s="7"/>
      <c r="H2928" s="7"/>
      <c r="I2928" s="7"/>
      <c r="J2928" s="7"/>
      <c r="K2928" s="7"/>
      <c r="L2928" s="7"/>
      <c r="M2928" s="7"/>
    </row>
    <row r="2929" spans="1:13" x14ac:dyDescent="0.25">
      <c r="A2929" s="12" t="str">
        <f t="shared" si="92"/>
        <v>Doc. Pago em :</v>
      </c>
      <c r="B2929" s="12" t="str">
        <f t="shared" si="91"/>
        <v>Janeiro</v>
      </c>
      <c r="C2929" s="7" t="s">
        <v>1361</v>
      </c>
      <c r="D2929" s="8" t="s">
        <v>1957</v>
      </c>
      <c r="E2929" s="7"/>
      <c r="F2929" s="7"/>
      <c r="G2929" s="7"/>
      <c r="H2929" s="7"/>
      <c r="I2929" s="7"/>
      <c r="J2929" s="7"/>
      <c r="K2929" s="7"/>
      <c r="L2929" s="7"/>
      <c r="M2929" s="7"/>
    </row>
    <row r="2930" spans="1:13" x14ac:dyDescent="0.25">
      <c r="A2930" s="12" t="str">
        <f t="shared" si="92"/>
        <v>Doc. Pago em :</v>
      </c>
      <c r="B2930" s="12" t="str">
        <f t="shared" si="91"/>
        <v>Janeiro</v>
      </c>
      <c r="C2930" s="7" t="s">
        <v>1361</v>
      </c>
      <c r="D2930" s="8" t="s">
        <v>1972</v>
      </c>
      <c r="E2930" s="7"/>
      <c r="F2930" s="7"/>
      <c r="G2930" s="7"/>
      <c r="H2930" s="7"/>
      <c r="I2930" s="7"/>
      <c r="J2930" s="7"/>
      <c r="K2930" s="7"/>
      <c r="L2930" s="7"/>
      <c r="M2930" s="7"/>
    </row>
    <row r="2931" spans="1:13" x14ac:dyDescent="0.25">
      <c r="A2931" s="12" t="str">
        <f t="shared" si="92"/>
        <v>Doc. Pago em :</v>
      </c>
      <c r="B2931" s="12" t="str">
        <f t="shared" si="91"/>
        <v>Janeiro</v>
      </c>
      <c r="C2931" s="7" t="s">
        <v>1361</v>
      </c>
      <c r="D2931" s="8" t="s">
        <v>1975</v>
      </c>
      <c r="E2931" s="7"/>
      <c r="F2931" s="7"/>
      <c r="G2931" s="7"/>
      <c r="H2931" s="7"/>
      <c r="I2931" s="7"/>
      <c r="J2931" s="7"/>
      <c r="K2931" s="7"/>
      <c r="L2931" s="7"/>
      <c r="M2931" s="7"/>
    </row>
    <row r="2932" spans="1:13" x14ac:dyDescent="0.25">
      <c r="A2932" s="12" t="str">
        <f t="shared" si="92"/>
        <v>Doc. Pago em :</v>
      </c>
      <c r="B2932" s="12" t="str">
        <f t="shared" si="91"/>
        <v>Janeiro</v>
      </c>
      <c r="C2932" s="7" t="s">
        <v>1361</v>
      </c>
      <c r="D2932" s="8" t="s">
        <v>2001</v>
      </c>
      <c r="E2932" s="7"/>
      <c r="F2932" s="7"/>
      <c r="G2932" s="7"/>
      <c r="H2932" s="7"/>
      <c r="I2932" s="7"/>
      <c r="J2932" s="7"/>
      <c r="K2932" s="7"/>
      <c r="L2932" s="7"/>
      <c r="M2932" s="7"/>
    </row>
    <row r="2933" spans="1:13" x14ac:dyDescent="0.25">
      <c r="A2933" s="12" t="str">
        <f t="shared" si="92"/>
        <v>Doc. Pago em :</v>
      </c>
      <c r="B2933" s="12" t="str">
        <f t="shared" si="91"/>
        <v>Janeiro</v>
      </c>
      <c r="C2933" s="7" t="s">
        <v>1361</v>
      </c>
      <c r="D2933" s="8" t="s">
        <v>2007</v>
      </c>
      <c r="E2933" s="7"/>
      <c r="F2933" s="7"/>
      <c r="G2933" s="7"/>
      <c r="H2933" s="7"/>
      <c r="I2933" s="7"/>
      <c r="J2933" s="7"/>
      <c r="K2933" s="7"/>
      <c r="L2933" s="7"/>
      <c r="M2933" s="7"/>
    </row>
    <row r="2934" spans="1:13" x14ac:dyDescent="0.25">
      <c r="A2934" s="12" t="str">
        <f t="shared" si="92"/>
        <v>Doc. Pago em :</v>
      </c>
      <c r="B2934" s="12" t="str">
        <f t="shared" si="91"/>
        <v>Janeiro</v>
      </c>
      <c r="C2934" s="7" t="s">
        <v>1361</v>
      </c>
      <c r="D2934" s="8" t="s">
        <v>2018</v>
      </c>
      <c r="E2934" s="7"/>
      <c r="F2934" s="7"/>
      <c r="G2934" s="7"/>
      <c r="H2934" s="7"/>
      <c r="I2934" s="7"/>
      <c r="J2934" s="7"/>
      <c r="K2934" s="7"/>
      <c r="L2934" s="7"/>
      <c r="M2934" s="7"/>
    </row>
    <row r="2935" spans="1:13" x14ac:dyDescent="0.25">
      <c r="A2935" s="12" t="str">
        <f t="shared" si="92"/>
        <v>Doc. Pago em :</v>
      </c>
      <c r="B2935" s="12" t="str">
        <f t="shared" si="91"/>
        <v>Janeiro</v>
      </c>
      <c r="C2935" s="7" t="s">
        <v>1361</v>
      </c>
      <c r="D2935" s="8" t="s">
        <v>2024</v>
      </c>
      <c r="E2935" s="7"/>
      <c r="F2935" s="7"/>
      <c r="G2935" s="7"/>
      <c r="H2935" s="7"/>
      <c r="I2935" s="7"/>
      <c r="J2935" s="7"/>
      <c r="K2935" s="7"/>
      <c r="L2935" s="7"/>
      <c r="M2935" s="7"/>
    </row>
    <row r="2936" spans="1:13" x14ac:dyDescent="0.25">
      <c r="A2936" s="12" t="str">
        <f t="shared" si="92"/>
        <v>Doc. Pago em :</v>
      </c>
      <c r="B2936" s="12" t="str">
        <f t="shared" si="91"/>
        <v>Janeiro</v>
      </c>
      <c r="C2936" s="7" t="s">
        <v>1361</v>
      </c>
      <c r="D2936" s="8" t="s">
        <v>2034</v>
      </c>
      <c r="E2936" s="7"/>
      <c r="F2936" s="7"/>
      <c r="G2936" s="7"/>
      <c r="H2936" s="7"/>
      <c r="I2936" s="7"/>
      <c r="J2936" s="7"/>
      <c r="K2936" s="7"/>
      <c r="L2936" s="7"/>
      <c r="M2936" s="7"/>
    </row>
    <row r="2937" spans="1:13" x14ac:dyDescent="0.25">
      <c r="A2937" s="12" t="str">
        <f t="shared" si="92"/>
        <v>Doc. Pago em :</v>
      </c>
      <c r="B2937" s="12" t="str">
        <f t="shared" si="91"/>
        <v>Janeiro</v>
      </c>
      <c r="C2937" s="7" t="s">
        <v>1361</v>
      </c>
      <c r="D2937" s="8" t="s">
        <v>2074</v>
      </c>
      <c r="E2937" s="7"/>
      <c r="F2937" s="7"/>
      <c r="G2937" s="7"/>
      <c r="H2937" s="7"/>
      <c r="I2937" s="7"/>
      <c r="J2937" s="7"/>
      <c r="K2937" s="7"/>
      <c r="L2937" s="7"/>
      <c r="M2937" s="7"/>
    </row>
    <row r="2938" spans="1:13" x14ac:dyDescent="0.25">
      <c r="A2938" s="12" t="str">
        <f t="shared" si="92"/>
        <v>Doc. Pago em :</v>
      </c>
      <c r="B2938" s="12" t="str">
        <f t="shared" si="91"/>
        <v>Janeiro</v>
      </c>
      <c r="C2938" s="7" t="s">
        <v>1361</v>
      </c>
      <c r="D2938" s="8" t="s">
        <v>2086</v>
      </c>
      <c r="E2938" s="7"/>
      <c r="F2938" s="7"/>
      <c r="G2938" s="7"/>
      <c r="H2938" s="7"/>
      <c r="I2938" s="7"/>
      <c r="J2938" s="7"/>
      <c r="K2938" s="7"/>
      <c r="L2938" s="7"/>
      <c r="M2938" s="7"/>
    </row>
    <row r="2939" spans="1:13" x14ac:dyDescent="0.25">
      <c r="A2939" s="12" t="str">
        <f t="shared" si="92"/>
        <v>Doc. Pago em :</v>
      </c>
      <c r="B2939" s="12" t="str">
        <f t="shared" si="91"/>
        <v>Janeiro</v>
      </c>
      <c r="C2939" s="7" t="s">
        <v>1361</v>
      </c>
      <c r="D2939" s="8" t="s">
        <v>2087</v>
      </c>
      <c r="E2939" s="7"/>
      <c r="F2939" s="7"/>
      <c r="G2939" s="7"/>
      <c r="H2939" s="7"/>
      <c r="I2939" s="7"/>
      <c r="J2939" s="7"/>
      <c r="K2939" s="7"/>
      <c r="L2939" s="7"/>
      <c r="M2939" s="7"/>
    </row>
    <row r="2940" spans="1:13" x14ac:dyDescent="0.25">
      <c r="A2940" s="12" t="str">
        <f t="shared" si="92"/>
        <v>Doc. Pago em :</v>
      </c>
      <c r="B2940" s="12" t="str">
        <f t="shared" si="91"/>
        <v>Janeiro</v>
      </c>
      <c r="C2940" s="7" t="s">
        <v>1361</v>
      </c>
      <c r="D2940" s="8" t="s">
        <v>2091</v>
      </c>
      <c r="E2940" s="7"/>
      <c r="F2940" s="7"/>
      <c r="G2940" s="7"/>
      <c r="H2940" s="7"/>
      <c r="I2940" s="7"/>
      <c r="J2940" s="7"/>
      <c r="K2940" s="7"/>
      <c r="L2940" s="7"/>
      <c r="M2940" s="7"/>
    </row>
    <row r="2941" spans="1:13" x14ac:dyDescent="0.25">
      <c r="A2941" s="12" t="str">
        <f t="shared" si="92"/>
        <v>Doc. Pago em :</v>
      </c>
      <c r="B2941" s="12" t="str">
        <f t="shared" si="91"/>
        <v>Janeiro</v>
      </c>
      <c r="C2941" s="7" t="s">
        <v>1361</v>
      </c>
      <c r="D2941" s="8" t="s">
        <v>2097</v>
      </c>
      <c r="E2941" s="7"/>
      <c r="F2941" s="7"/>
      <c r="G2941" s="7"/>
      <c r="H2941" s="7"/>
      <c r="I2941" s="7"/>
      <c r="J2941" s="7"/>
      <c r="K2941" s="7"/>
      <c r="L2941" s="7"/>
      <c r="M2941" s="7"/>
    </row>
    <row r="2942" spans="1:13" x14ac:dyDescent="0.25">
      <c r="A2942" s="12" t="str">
        <f t="shared" si="92"/>
        <v>Doc. Pago em :</v>
      </c>
      <c r="B2942" s="12" t="str">
        <f t="shared" si="91"/>
        <v>Janeiro</v>
      </c>
      <c r="C2942" s="7" t="s">
        <v>1361</v>
      </c>
      <c r="D2942" s="8" t="s">
        <v>2102</v>
      </c>
      <c r="E2942" s="7"/>
      <c r="F2942" s="7"/>
      <c r="G2942" s="7"/>
      <c r="H2942" s="7"/>
      <c r="I2942" s="7"/>
      <c r="J2942" s="7"/>
      <c r="K2942" s="7"/>
      <c r="L2942" s="7"/>
      <c r="M2942" s="7"/>
    </row>
    <row r="2943" spans="1:13" x14ac:dyDescent="0.25">
      <c r="A2943" s="12" t="str">
        <f t="shared" si="92"/>
        <v>Doc. Pago em :</v>
      </c>
      <c r="B2943" s="12" t="str">
        <f t="shared" si="91"/>
        <v>Janeiro</v>
      </c>
      <c r="C2943" s="7" t="s">
        <v>1361</v>
      </c>
      <c r="D2943" s="8" t="s">
        <v>2111</v>
      </c>
      <c r="E2943" s="7"/>
      <c r="F2943" s="7"/>
      <c r="G2943" s="7"/>
      <c r="H2943" s="7"/>
      <c r="I2943" s="7"/>
      <c r="J2943" s="7"/>
      <c r="K2943" s="7"/>
      <c r="L2943" s="7"/>
      <c r="M2943" s="7"/>
    </row>
    <row r="2944" spans="1:13" x14ac:dyDescent="0.25">
      <c r="A2944" s="12" t="str">
        <f t="shared" si="92"/>
        <v>Doc. Pago em :</v>
      </c>
      <c r="B2944" s="12" t="str">
        <f t="shared" si="91"/>
        <v>Janeiro</v>
      </c>
      <c r="C2944" s="7" t="s">
        <v>1361</v>
      </c>
      <c r="D2944" s="8" t="s">
        <v>2116</v>
      </c>
      <c r="E2944" s="7"/>
      <c r="F2944" s="7"/>
      <c r="G2944" s="7"/>
      <c r="H2944" s="7"/>
      <c r="I2944" s="7"/>
      <c r="J2944" s="7"/>
      <c r="K2944" s="7"/>
      <c r="L2944" s="7"/>
      <c r="M2944" s="7"/>
    </row>
    <row r="2945" spans="1:13" x14ac:dyDescent="0.25">
      <c r="A2945" s="12" t="str">
        <f t="shared" si="92"/>
        <v>Doc. Pago em :</v>
      </c>
      <c r="B2945" s="12" t="str">
        <f t="shared" si="91"/>
        <v>Janeiro</v>
      </c>
      <c r="C2945" s="7" t="s">
        <v>1361</v>
      </c>
      <c r="D2945" s="8" t="s">
        <v>2117</v>
      </c>
      <c r="E2945" s="7"/>
      <c r="F2945" s="7"/>
      <c r="G2945" s="7"/>
      <c r="H2945" s="7"/>
      <c r="I2945" s="7"/>
      <c r="J2945" s="7"/>
      <c r="K2945" s="7"/>
      <c r="L2945" s="7"/>
      <c r="M2945" s="7"/>
    </row>
    <row r="2946" spans="1:13" x14ac:dyDescent="0.25">
      <c r="A2946" s="12" t="str">
        <f t="shared" si="92"/>
        <v>Doc. Pago em :</v>
      </c>
      <c r="B2946" s="12" t="str">
        <f t="shared" si="91"/>
        <v>Janeiro</v>
      </c>
      <c r="C2946" s="7" t="s">
        <v>1361</v>
      </c>
      <c r="D2946" s="8" t="s">
        <v>2122</v>
      </c>
      <c r="E2946" s="7"/>
      <c r="F2946" s="7"/>
      <c r="G2946" s="7"/>
      <c r="H2946" s="7"/>
      <c r="I2946" s="7"/>
      <c r="J2946" s="7"/>
      <c r="K2946" s="7"/>
      <c r="L2946" s="7"/>
      <c r="M2946" s="7"/>
    </row>
    <row r="2947" spans="1:13" x14ac:dyDescent="0.25">
      <c r="A2947" s="12" t="str">
        <f t="shared" si="92"/>
        <v>Doc. Pago em :</v>
      </c>
      <c r="B2947" s="12" t="str">
        <f t="shared" ref="B2947:B3010" si="93">PROPER(TEXT($H2947,"MMMM"))</f>
        <v>Janeiro</v>
      </c>
      <c r="C2947" s="7" t="s">
        <v>1361</v>
      </c>
      <c r="D2947" s="8" t="s">
        <v>2140</v>
      </c>
      <c r="E2947" s="7"/>
      <c r="F2947" s="7"/>
      <c r="G2947" s="7"/>
      <c r="H2947" s="7"/>
      <c r="I2947" s="7"/>
      <c r="J2947" s="7"/>
      <c r="K2947" s="7"/>
      <c r="L2947" s="7"/>
      <c r="M2947" s="7"/>
    </row>
    <row r="2948" spans="1:13" x14ac:dyDescent="0.25">
      <c r="A2948" s="12" t="str">
        <f t="shared" si="92"/>
        <v>Doc. Pago em :</v>
      </c>
      <c r="B2948" s="12" t="str">
        <f t="shared" si="93"/>
        <v>Janeiro</v>
      </c>
      <c r="C2948" s="7" t="s">
        <v>1361</v>
      </c>
      <c r="D2948" s="8" t="s">
        <v>2142</v>
      </c>
      <c r="E2948" s="7"/>
      <c r="F2948" s="7"/>
      <c r="G2948" s="7"/>
      <c r="H2948" s="7"/>
      <c r="I2948" s="7"/>
      <c r="J2948" s="7"/>
      <c r="K2948" s="7"/>
      <c r="L2948" s="7"/>
      <c r="M2948" s="7"/>
    </row>
    <row r="2949" spans="1:13" x14ac:dyDescent="0.25">
      <c r="A2949" s="12" t="str">
        <f t="shared" si="92"/>
        <v>Doc. Pago em :</v>
      </c>
      <c r="B2949" s="12" t="str">
        <f t="shared" si="93"/>
        <v>Janeiro</v>
      </c>
      <c r="C2949" s="7" t="s">
        <v>1361</v>
      </c>
      <c r="D2949" s="8" t="s">
        <v>2148</v>
      </c>
      <c r="E2949" s="7"/>
      <c r="F2949" s="7"/>
      <c r="G2949" s="7"/>
      <c r="H2949" s="7"/>
      <c r="I2949" s="7"/>
      <c r="J2949" s="7"/>
      <c r="K2949" s="7"/>
      <c r="L2949" s="7"/>
      <c r="M2949" s="7"/>
    </row>
    <row r="2950" spans="1:13" x14ac:dyDescent="0.25">
      <c r="A2950" s="12" t="str">
        <f t="shared" si="92"/>
        <v>Doc. Pago em :</v>
      </c>
      <c r="B2950" s="12" t="str">
        <f t="shared" si="93"/>
        <v>Janeiro</v>
      </c>
      <c r="C2950" s="7" t="s">
        <v>1361</v>
      </c>
      <c r="D2950" s="8" t="s">
        <v>2151</v>
      </c>
      <c r="E2950" s="7"/>
      <c r="F2950" s="7"/>
      <c r="G2950" s="7"/>
      <c r="H2950" s="7"/>
      <c r="I2950" s="7"/>
      <c r="J2950" s="7"/>
      <c r="K2950" s="7"/>
      <c r="L2950" s="7"/>
      <c r="M2950" s="7"/>
    </row>
    <row r="2951" spans="1:13" x14ac:dyDescent="0.25">
      <c r="A2951" s="12" t="str">
        <f t="shared" si="92"/>
        <v>Doc. Pago em :</v>
      </c>
      <c r="B2951" s="12" t="str">
        <f t="shared" si="93"/>
        <v>Janeiro</v>
      </c>
      <c r="C2951" s="7" t="s">
        <v>1361</v>
      </c>
      <c r="D2951" s="8" t="s">
        <v>2193</v>
      </c>
      <c r="E2951" s="7"/>
      <c r="F2951" s="7"/>
      <c r="G2951" s="7"/>
      <c r="H2951" s="7"/>
      <c r="I2951" s="7"/>
      <c r="J2951" s="7"/>
      <c r="K2951" s="7"/>
      <c r="L2951" s="7"/>
      <c r="M2951" s="7"/>
    </row>
    <row r="2952" spans="1:13" x14ac:dyDescent="0.25">
      <c r="A2952" s="12" t="str">
        <f t="shared" si="92"/>
        <v>Doc. Pago em :</v>
      </c>
      <c r="B2952" s="12" t="str">
        <f t="shared" si="93"/>
        <v>Janeiro</v>
      </c>
      <c r="C2952" s="7" t="s">
        <v>1361</v>
      </c>
      <c r="D2952" s="8" t="s">
        <v>2196</v>
      </c>
      <c r="E2952" s="7"/>
      <c r="F2952" s="7"/>
      <c r="G2952" s="7"/>
      <c r="H2952" s="7"/>
      <c r="I2952" s="7"/>
      <c r="J2952" s="7"/>
      <c r="K2952" s="7"/>
      <c r="L2952" s="7"/>
      <c r="M2952" s="7"/>
    </row>
    <row r="2953" spans="1:13" x14ac:dyDescent="0.25">
      <c r="A2953" s="12" t="str">
        <f t="shared" si="92"/>
        <v>Doc. Pago em :</v>
      </c>
      <c r="B2953" s="12" t="str">
        <f t="shared" si="93"/>
        <v>Janeiro</v>
      </c>
      <c r="C2953" s="7" t="s">
        <v>1361</v>
      </c>
      <c r="D2953" s="8" t="s">
        <v>2197</v>
      </c>
      <c r="E2953" s="7"/>
      <c r="F2953" s="7"/>
      <c r="G2953" s="7"/>
      <c r="H2953" s="7"/>
      <c r="I2953" s="7"/>
      <c r="J2953" s="7"/>
      <c r="K2953" s="7"/>
      <c r="L2953" s="7"/>
      <c r="M2953" s="7"/>
    </row>
    <row r="2954" spans="1:13" x14ac:dyDescent="0.25">
      <c r="A2954" s="12" t="str">
        <f t="shared" si="92"/>
        <v>Doc. Pago em :</v>
      </c>
      <c r="B2954" s="12" t="str">
        <f t="shared" si="93"/>
        <v>Janeiro</v>
      </c>
      <c r="C2954" s="7" t="s">
        <v>1361</v>
      </c>
      <c r="D2954" s="8" t="s">
        <v>2209</v>
      </c>
      <c r="E2954" s="7"/>
      <c r="F2954" s="7"/>
      <c r="G2954" s="7"/>
      <c r="H2954" s="7"/>
      <c r="I2954" s="7"/>
      <c r="J2954" s="7"/>
      <c r="K2954" s="7"/>
      <c r="L2954" s="7"/>
      <c r="M2954" s="7"/>
    </row>
    <row r="2955" spans="1:13" x14ac:dyDescent="0.25">
      <c r="A2955" s="12" t="str">
        <f t="shared" si="92"/>
        <v>Doc. Pago em :</v>
      </c>
      <c r="B2955" s="12" t="str">
        <f t="shared" si="93"/>
        <v>Janeiro</v>
      </c>
      <c r="C2955" s="7" t="s">
        <v>1361</v>
      </c>
      <c r="D2955" s="8" t="s">
        <v>2211</v>
      </c>
      <c r="E2955" s="7"/>
      <c r="F2955" s="7"/>
      <c r="G2955" s="7"/>
      <c r="H2955" s="7"/>
      <c r="I2955" s="7"/>
      <c r="J2955" s="7"/>
      <c r="K2955" s="7"/>
      <c r="L2955" s="7"/>
      <c r="M2955" s="7"/>
    </row>
    <row r="2956" spans="1:13" x14ac:dyDescent="0.25">
      <c r="A2956" s="12" t="str">
        <f t="shared" si="92"/>
        <v>Doc. Pago em :</v>
      </c>
      <c r="B2956" s="12" t="str">
        <f t="shared" si="93"/>
        <v>Janeiro</v>
      </c>
      <c r="C2956" s="7" t="s">
        <v>1361</v>
      </c>
      <c r="D2956" s="8" t="s">
        <v>2218</v>
      </c>
      <c r="E2956" s="7"/>
      <c r="F2956" s="7"/>
      <c r="G2956" s="7"/>
      <c r="H2956" s="7"/>
      <c r="I2956" s="7"/>
      <c r="J2956" s="7"/>
      <c r="K2956" s="7"/>
      <c r="L2956" s="7"/>
      <c r="M2956" s="7"/>
    </row>
    <row r="2957" spans="1:13" x14ac:dyDescent="0.25">
      <c r="A2957" s="12" t="str">
        <f t="shared" si="92"/>
        <v>Doc. Pago em :</v>
      </c>
      <c r="B2957" s="12" t="str">
        <f t="shared" si="93"/>
        <v>Janeiro</v>
      </c>
      <c r="C2957" s="7" t="s">
        <v>1361</v>
      </c>
      <c r="D2957" s="8" t="s">
        <v>2220</v>
      </c>
      <c r="E2957" s="7"/>
      <c r="F2957" s="7"/>
      <c r="G2957" s="7"/>
      <c r="H2957" s="7"/>
      <c r="I2957" s="7"/>
      <c r="J2957" s="7"/>
      <c r="K2957" s="7"/>
      <c r="L2957" s="7"/>
      <c r="M2957" s="7"/>
    </row>
    <row r="2958" spans="1:13" x14ac:dyDescent="0.25">
      <c r="A2958" s="12" t="str">
        <f t="shared" si="92"/>
        <v>Doc. Pago em :</v>
      </c>
      <c r="B2958" s="12" t="str">
        <f t="shared" si="93"/>
        <v>Janeiro</v>
      </c>
      <c r="C2958" s="7" t="s">
        <v>1361</v>
      </c>
      <c r="D2958" s="8" t="s">
        <v>2231</v>
      </c>
      <c r="E2958" s="7"/>
      <c r="F2958" s="7"/>
      <c r="G2958" s="7"/>
      <c r="H2958" s="7"/>
      <c r="I2958" s="7"/>
      <c r="J2958" s="7"/>
      <c r="K2958" s="7"/>
      <c r="L2958" s="7"/>
      <c r="M2958" s="7"/>
    </row>
    <row r="2959" spans="1:13" x14ac:dyDescent="0.25">
      <c r="A2959" s="12" t="str">
        <f t="shared" si="92"/>
        <v>Doc. Pago em :</v>
      </c>
      <c r="B2959" s="12" t="str">
        <f t="shared" si="93"/>
        <v>Janeiro</v>
      </c>
      <c r="C2959" s="7" t="s">
        <v>1361</v>
      </c>
      <c r="D2959" s="8" t="s">
        <v>2280</v>
      </c>
      <c r="E2959" s="7"/>
      <c r="F2959" s="7"/>
      <c r="G2959" s="7"/>
      <c r="H2959" s="7"/>
      <c r="I2959" s="7"/>
      <c r="J2959" s="7"/>
      <c r="K2959" s="7"/>
      <c r="L2959" s="7"/>
      <c r="M2959" s="7"/>
    </row>
    <row r="2960" spans="1:13" x14ac:dyDescent="0.25">
      <c r="A2960" s="12" t="str">
        <f t="shared" si="92"/>
        <v>Doc. Pago em :</v>
      </c>
      <c r="B2960" s="12" t="str">
        <f t="shared" si="93"/>
        <v>Janeiro</v>
      </c>
      <c r="C2960" s="7" t="s">
        <v>1361</v>
      </c>
      <c r="D2960" s="8" t="s">
        <v>2283</v>
      </c>
      <c r="E2960" s="7"/>
      <c r="F2960" s="7"/>
      <c r="G2960" s="7"/>
      <c r="H2960" s="7"/>
      <c r="I2960" s="7"/>
      <c r="J2960" s="7"/>
      <c r="K2960" s="7"/>
      <c r="L2960" s="7"/>
      <c r="M2960" s="7"/>
    </row>
    <row r="2961" spans="1:13" x14ac:dyDescent="0.25">
      <c r="A2961" s="12" t="str">
        <f t="shared" si="92"/>
        <v>Doc. Pago em :</v>
      </c>
      <c r="B2961" s="12" t="str">
        <f t="shared" si="93"/>
        <v>Janeiro</v>
      </c>
      <c r="C2961" s="7" t="s">
        <v>1361</v>
      </c>
      <c r="D2961" s="8" t="s">
        <v>2288</v>
      </c>
      <c r="E2961" s="7"/>
      <c r="F2961" s="7"/>
      <c r="G2961" s="7"/>
      <c r="H2961" s="7"/>
      <c r="I2961" s="7"/>
      <c r="J2961" s="7"/>
      <c r="K2961" s="7"/>
      <c r="L2961" s="7"/>
      <c r="M2961" s="7"/>
    </row>
    <row r="2962" spans="1:13" x14ac:dyDescent="0.25">
      <c r="A2962" s="12" t="str">
        <f t="shared" si="92"/>
        <v>Doc. Pago em :</v>
      </c>
      <c r="B2962" s="12" t="str">
        <f t="shared" si="93"/>
        <v>Janeiro</v>
      </c>
      <c r="C2962" s="7" t="s">
        <v>1361</v>
      </c>
      <c r="D2962" s="8" t="s">
        <v>2297</v>
      </c>
      <c r="E2962" s="7"/>
      <c r="F2962" s="7"/>
      <c r="G2962" s="7"/>
      <c r="H2962" s="7"/>
      <c r="I2962" s="7"/>
      <c r="J2962" s="7"/>
      <c r="K2962" s="7"/>
      <c r="L2962" s="7"/>
      <c r="M2962" s="7"/>
    </row>
    <row r="2963" spans="1:13" x14ac:dyDescent="0.25">
      <c r="A2963" s="12" t="str">
        <f t="shared" si="92"/>
        <v>Doc. Pago em :</v>
      </c>
      <c r="B2963" s="12" t="str">
        <f t="shared" si="93"/>
        <v>Janeiro</v>
      </c>
      <c r="C2963" s="7" t="s">
        <v>1361</v>
      </c>
      <c r="D2963" s="8" t="s">
        <v>2299</v>
      </c>
      <c r="E2963" s="7"/>
      <c r="F2963" s="7"/>
      <c r="G2963" s="7"/>
      <c r="H2963" s="7"/>
      <c r="I2963" s="7"/>
      <c r="J2963" s="7"/>
      <c r="K2963" s="7"/>
      <c r="L2963" s="7"/>
      <c r="M2963" s="7"/>
    </row>
    <row r="2964" spans="1:13" x14ac:dyDescent="0.25">
      <c r="A2964" s="12" t="str">
        <f t="shared" si="92"/>
        <v>Doc. Pago em :</v>
      </c>
      <c r="B2964" s="12" t="str">
        <f t="shared" si="93"/>
        <v>Janeiro</v>
      </c>
      <c r="C2964" s="7" t="s">
        <v>1361</v>
      </c>
      <c r="D2964" s="8" t="s">
        <v>2302</v>
      </c>
      <c r="E2964" s="7"/>
      <c r="F2964" s="7"/>
      <c r="G2964" s="7"/>
      <c r="H2964" s="7"/>
      <c r="I2964" s="7"/>
      <c r="J2964" s="7"/>
      <c r="K2964" s="7"/>
      <c r="L2964" s="7"/>
      <c r="M2964" s="7"/>
    </row>
    <row r="2965" spans="1:13" x14ac:dyDescent="0.25">
      <c r="A2965" s="12" t="str">
        <f t="shared" si="92"/>
        <v>Doc. Pago em :</v>
      </c>
      <c r="B2965" s="12" t="str">
        <f t="shared" si="93"/>
        <v>Janeiro</v>
      </c>
      <c r="C2965" s="7" t="s">
        <v>1361</v>
      </c>
      <c r="D2965" s="8" t="s">
        <v>2308</v>
      </c>
      <c r="E2965" s="7"/>
      <c r="F2965" s="7"/>
      <c r="G2965" s="7"/>
      <c r="H2965" s="7"/>
      <c r="I2965" s="7"/>
      <c r="J2965" s="7"/>
      <c r="K2965" s="7"/>
      <c r="L2965" s="7"/>
      <c r="M2965" s="7"/>
    </row>
    <row r="2966" spans="1:13" x14ac:dyDescent="0.25">
      <c r="A2966" s="12" t="str">
        <f t="shared" si="92"/>
        <v>Doc. Pago em :</v>
      </c>
      <c r="B2966" s="12" t="str">
        <f t="shared" si="93"/>
        <v>Janeiro</v>
      </c>
      <c r="C2966" s="7" t="s">
        <v>1361</v>
      </c>
      <c r="D2966" s="8" t="s">
        <v>2316</v>
      </c>
      <c r="E2966" s="7"/>
      <c r="F2966" s="7"/>
      <c r="G2966" s="7"/>
      <c r="H2966" s="7"/>
      <c r="I2966" s="7"/>
      <c r="J2966" s="7"/>
      <c r="K2966" s="7"/>
      <c r="L2966" s="7"/>
      <c r="M2966" s="7"/>
    </row>
    <row r="2967" spans="1:13" x14ac:dyDescent="0.25">
      <c r="A2967" s="12" t="str">
        <f t="shared" si="92"/>
        <v>Doc. Pago em :</v>
      </c>
      <c r="B2967" s="12" t="str">
        <f t="shared" si="93"/>
        <v>Janeiro</v>
      </c>
      <c r="C2967" s="7" t="s">
        <v>1361</v>
      </c>
      <c r="D2967" s="8" t="s">
        <v>2317</v>
      </c>
      <c r="E2967" s="7"/>
      <c r="F2967" s="7"/>
      <c r="G2967" s="7"/>
      <c r="H2967" s="7"/>
      <c r="I2967" s="7"/>
      <c r="J2967" s="7"/>
      <c r="K2967" s="7"/>
      <c r="L2967" s="7"/>
      <c r="M2967" s="7"/>
    </row>
    <row r="2968" spans="1:13" x14ac:dyDescent="0.25">
      <c r="A2968" s="12" t="str">
        <f t="shared" si="92"/>
        <v>Doc. Pago em :</v>
      </c>
      <c r="B2968" s="12" t="str">
        <f t="shared" si="93"/>
        <v>Janeiro</v>
      </c>
      <c r="C2968" s="7" t="s">
        <v>1361</v>
      </c>
      <c r="D2968" s="8" t="s">
        <v>2334</v>
      </c>
      <c r="E2968" s="7"/>
      <c r="F2968" s="7"/>
      <c r="G2968" s="7"/>
      <c r="H2968" s="7"/>
      <c r="I2968" s="7"/>
      <c r="J2968" s="7"/>
      <c r="K2968" s="7"/>
      <c r="L2968" s="7"/>
      <c r="M2968" s="7"/>
    </row>
    <row r="2969" spans="1:13" x14ac:dyDescent="0.25">
      <c r="A2969" s="12" t="str">
        <f t="shared" si="92"/>
        <v>Doc. Pago em :</v>
      </c>
      <c r="B2969" s="12" t="str">
        <f t="shared" si="93"/>
        <v>Janeiro</v>
      </c>
      <c r="C2969" s="7" t="s">
        <v>1361</v>
      </c>
      <c r="D2969" s="8" t="s">
        <v>2344</v>
      </c>
      <c r="E2969" s="7"/>
      <c r="F2969" s="7"/>
      <c r="G2969" s="7"/>
      <c r="H2969" s="7"/>
      <c r="I2969" s="7"/>
      <c r="J2969" s="7"/>
      <c r="K2969" s="7"/>
      <c r="L2969" s="7"/>
      <c r="M2969" s="7"/>
    </row>
    <row r="2970" spans="1:13" x14ac:dyDescent="0.25">
      <c r="A2970" s="12" t="str">
        <f t="shared" si="92"/>
        <v>Doc. Pago em :</v>
      </c>
      <c r="B2970" s="12" t="str">
        <f t="shared" si="93"/>
        <v>Janeiro</v>
      </c>
      <c r="C2970" s="7" t="s">
        <v>1361</v>
      </c>
      <c r="D2970" s="8" t="s">
        <v>2356</v>
      </c>
      <c r="E2970" s="7"/>
      <c r="F2970" s="7"/>
      <c r="G2970" s="7"/>
      <c r="H2970" s="7"/>
      <c r="I2970" s="7"/>
      <c r="J2970" s="7"/>
      <c r="K2970" s="7"/>
      <c r="L2970" s="7"/>
      <c r="M2970" s="7"/>
    </row>
    <row r="2971" spans="1:13" x14ac:dyDescent="0.25">
      <c r="A2971" s="12" t="str">
        <f t="shared" ref="A2971:A3034" si="94">$C2971&amp;$E2971&amp;$G2971&amp;$F2971</f>
        <v>Doc. Pago em :</v>
      </c>
      <c r="B2971" s="12" t="str">
        <f t="shared" si="93"/>
        <v>Janeiro</v>
      </c>
      <c r="C2971" s="7" t="s">
        <v>1361</v>
      </c>
      <c r="D2971" s="8" t="s">
        <v>2379</v>
      </c>
      <c r="E2971" s="7"/>
      <c r="F2971" s="7"/>
      <c r="G2971" s="7"/>
      <c r="H2971" s="7"/>
      <c r="I2971" s="7"/>
      <c r="J2971" s="7"/>
      <c r="K2971" s="7"/>
      <c r="L2971" s="7"/>
      <c r="M2971" s="7"/>
    </row>
    <row r="2972" spans="1:13" x14ac:dyDescent="0.25">
      <c r="A2972" s="12" t="str">
        <f t="shared" si="94"/>
        <v>Doc. Pago em :</v>
      </c>
      <c r="B2972" s="12" t="str">
        <f t="shared" si="93"/>
        <v>Janeiro</v>
      </c>
      <c r="C2972" s="7" t="s">
        <v>1361</v>
      </c>
      <c r="D2972" s="8" t="s">
        <v>2383</v>
      </c>
      <c r="E2972" s="7"/>
      <c r="F2972" s="7"/>
      <c r="G2972" s="7"/>
      <c r="H2972" s="7"/>
      <c r="I2972" s="7"/>
      <c r="J2972" s="7"/>
      <c r="K2972" s="7"/>
      <c r="L2972" s="7"/>
      <c r="M2972" s="7"/>
    </row>
    <row r="2973" spans="1:13" x14ac:dyDescent="0.25">
      <c r="A2973" s="12" t="str">
        <f t="shared" si="94"/>
        <v>Doc. Pago em :</v>
      </c>
      <c r="B2973" s="12" t="str">
        <f t="shared" si="93"/>
        <v>Janeiro</v>
      </c>
      <c r="C2973" s="7" t="s">
        <v>1361</v>
      </c>
      <c r="D2973" s="8" t="s">
        <v>2391</v>
      </c>
      <c r="E2973" s="7"/>
      <c r="F2973" s="7"/>
      <c r="G2973" s="7"/>
      <c r="H2973" s="7"/>
      <c r="I2973" s="7"/>
      <c r="J2973" s="7"/>
      <c r="K2973" s="7"/>
      <c r="L2973" s="7"/>
      <c r="M2973" s="7"/>
    </row>
    <row r="2974" spans="1:13" x14ac:dyDescent="0.25">
      <c r="A2974" s="12" t="str">
        <f t="shared" si="94"/>
        <v>Doc. Pago em :</v>
      </c>
      <c r="B2974" s="12" t="str">
        <f t="shared" si="93"/>
        <v>Janeiro</v>
      </c>
      <c r="C2974" s="7" t="s">
        <v>1361</v>
      </c>
      <c r="D2974" s="8" t="s">
        <v>2392</v>
      </c>
      <c r="E2974" s="7"/>
      <c r="F2974" s="7"/>
      <c r="G2974" s="7"/>
      <c r="H2974" s="7"/>
      <c r="I2974" s="7"/>
      <c r="J2974" s="7"/>
      <c r="K2974" s="7"/>
      <c r="L2974" s="7"/>
      <c r="M2974" s="7"/>
    </row>
    <row r="2975" spans="1:13" x14ac:dyDescent="0.25">
      <c r="A2975" s="12" t="str">
        <f t="shared" si="94"/>
        <v>Doc. Pago em :</v>
      </c>
      <c r="B2975" s="12" t="str">
        <f t="shared" si="93"/>
        <v>Janeiro</v>
      </c>
      <c r="C2975" s="7" t="s">
        <v>1361</v>
      </c>
      <c r="D2975" s="8" t="s">
        <v>2397</v>
      </c>
      <c r="E2975" s="7"/>
      <c r="F2975" s="7"/>
      <c r="G2975" s="7"/>
      <c r="H2975" s="7"/>
      <c r="I2975" s="7"/>
      <c r="J2975" s="7"/>
      <c r="K2975" s="7"/>
      <c r="L2975" s="7"/>
      <c r="M2975" s="7"/>
    </row>
    <row r="2976" spans="1:13" x14ac:dyDescent="0.25">
      <c r="A2976" s="12" t="str">
        <f t="shared" si="94"/>
        <v>Doc. Pago em :</v>
      </c>
      <c r="B2976" s="12" t="str">
        <f t="shared" si="93"/>
        <v>Janeiro</v>
      </c>
      <c r="C2976" s="7" t="s">
        <v>1361</v>
      </c>
      <c r="D2976" s="8" t="s">
        <v>2400</v>
      </c>
      <c r="E2976" s="7"/>
      <c r="F2976" s="7"/>
      <c r="G2976" s="7"/>
      <c r="H2976" s="7"/>
      <c r="I2976" s="7"/>
      <c r="J2976" s="7"/>
      <c r="K2976" s="7"/>
      <c r="L2976" s="7"/>
      <c r="M2976" s="7"/>
    </row>
    <row r="2977" spans="1:13" x14ac:dyDescent="0.25">
      <c r="A2977" s="12" t="str">
        <f t="shared" si="94"/>
        <v>Doc. Pago em :</v>
      </c>
      <c r="B2977" s="12" t="str">
        <f t="shared" si="93"/>
        <v>Janeiro</v>
      </c>
      <c r="C2977" s="7" t="s">
        <v>1361</v>
      </c>
      <c r="D2977" s="8" t="s">
        <v>2401</v>
      </c>
      <c r="E2977" s="7"/>
      <c r="F2977" s="7"/>
      <c r="G2977" s="7"/>
      <c r="H2977" s="7"/>
      <c r="I2977" s="7"/>
      <c r="J2977" s="7"/>
      <c r="K2977" s="7"/>
      <c r="L2977" s="7"/>
      <c r="M2977" s="7"/>
    </row>
    <row r="2978" spans="1:13" x14ac:dyDescent="0.25">
      <c r="A2978" s="12" t="str">
        <f t="shared" si="94"/>
        <v>Doc. Pago em :</v>
      </c>
      <c r="B2978" s="12" t="str">
        <f t="shared" si="93"/>
        <v>Janeiro</v>
      </c>
      <c r="C2978" s="7" t="s">
        <v>1361</v>
      </c>
      <c r="D2978" s="8" t="s">
        <v>2407</v>
      </c>
      <c r="E2978" s="7"/>
      <c r="F2978" s="7"/>
      <c r="G2978" s="7"/>
      <c r="H2978" s="7"/>
      <c r="I2978" s="7"/>
      <c r="J2978" s="7"/>
      <c r="K2978" s="7"/>
      <c r="L2978" s="7"/>
      <c r="M2978" s="7"/>
    </row>
    <row r="2979" spans="1:13" x14ac:dyDescent="0.25">
      <c r="A2979" s="12" t="str">
        <f t="shared" si="94"/>
        <v>Doc. Pago em :</v>
      </c>
      <c r="B2979" s="12" t="str">
        <f t="shared" si="93"/>
        <v>Janeiro</v>
      </c>
      <c r="C2979" s="7" t="s">
        <v>1361</v>
      </c>
      <c r="D2979" s="8" t="s">
        <v>2421</v>
      </c>
      <c r="E2979" s="7"/>
      <c r="F2979" s="7"/>
      <c r="G2979" s="7"/>
      <c r="H2979" s="7"/>
      <c r="I2979" s="7"/>
      <c r="J2979" s="7"/>
      <c r="K2979" s="7"/>
      <c r="L2979" s="7"/>
      <c r="M2979" s="7"/>
    </row>
    <row r="2980" spans="1:13" x14ac:dyDescent="0.25">
      <c r="A2980" s="12" t="str">
        <f t="shared" si="94"/>
        <v>Doc. Pago em :</v>
      </c>
      <c r="B2980" s="12" t="str">
        <f t="shared" si="93"/>
        <v>Janeiro</v>
      </c>
      <c r="C2980" s="7" t="s">
        <v>1361</v>
      </c>
      <c r="D2980" s="8" t="s">
        <v>2473</v>
      </c>
      <c r="E2980" s="7"/>
      <c r="F2980" s="7"/>
      <c r="G2980" s="7"/>
      <c r="H2980" s="7"/>
      <c r="I2980" s="7"/>
      <c r="J2980" s="7"/>
      <c r="K2980" s="7"/>
      <c r="L2980" s="7"/>
      <c r="M2980" s="7"/>
    </row>
    <row r="2981" spans="1:13" x14ac:dyDescent="0.25">
      <c r="A2981" s="12" t="str">
        <f t="shared" si="94"/>
        <v>Doc. Pago em :</v>
      </c>
      <c r="B2981" s="12" t="str">
        <f t="shared" si="93"/>
        <v>Janeiro</v>
      </c>
      <c r="C2981" s="7" t="s">
        <v>1361</v>
      </c>
      <c r="D2981" s="8" t="s">
        <v>2475</v>
      </c>
      <c r="E2981" s="7"/>
      <c r="F2981" s="7"/>
      <c r="G2981" s="7"/>
      <c r="H2981" s="7"/>
      <c r="I2981" s="7"/>
      <c r="J2981" s="7"/>
      <c r="K2981" s="7"/>
      <c r="L2981" s="7"/>
      <c r="M2981" s="7"/>
    </row>
    <row r="2982" spans="1:13" x14ac:dyDescent="0.25">
      <c r="A2982" s="12" t="str">
        <f t="shared" si="94"/>
        <v>Doc. Pago em :</v>
      </c>
      <c r="B2982" s="12" t="str">
        <f t="shared" si="93"/>
        <v>Janeiro</v>
      </c>
      <c r="C2982" s="7" t="s">
        <v>1361</v>
      </c>
      <c r="D2982" s="8" t="s">
        <v>2483</v>
      </c>
      <c r="E2982" s="7"/>
      <c r="F2982" s="7"/>
      <c r="G2982" s="7"/>
      <c r="H2982" s="7"/>
      <c r="I2982" s="7"/>
      <c r="J2982" s="7"/>
      <c r="K2982" s="7"/>
      <c r="L2982" s="7"/>
      <c r="M2982" s="7"/>
    </row>
    <row r="2983" spans="1:13" x14ac:dyDescent="0.25">
      <c r="A2983" s="12" t="str">
        <f t="shared" si="94"/>
        <v>Doc. Pago em :</v>
      </c>
      <c r="B2983" s="12" t="str">
        <f t="shared" si="93"/>
        <v>Janeiro</v>
      </c>
      <c r="C2983" s="7" t="s">
        <v>1361</v>
      </c>
      <c r="D2983" s="8" t="s">
        <v>2485</v>
      </c>
      <c r="E2983" s="7"/>
      <c r="F2983" s="7"/>
      <c r="G2983" s="7"/>
      <c r="H2983" s="7"/>
      <c r="I2983" s="7"/>
      <c r="J2983" s="7"/>
      <c r="K2983" s="7"/>
      <c r="L2983" s="7"/>
      <c r="M2983" s="7"/>
    </row>
    <row r="2984" spans="1:13" x14ac:dyDescent="0.25">
      <c r="A2984" s="12" t="str">
        <f t="shared" si="94"/>
        <v>Doc. Pago em :</v>
      </c>
      <c r="B2984" s="12" t="str">
        <f t="shared" si="93"/>
        <v>Janeiro</v>
      </c>
      <c r="C2984" s="7" t="s">
        <v>1361</v>
      </c>
      <c r="D2984" s="8" t="s">
        <v>2489</v>
      </c>
      <c r="E2984" s="7"/>
      <c r="F2984" s="7"/>
      <c r="G2984" s="7"/>
      <c r="H2984" s="7"/>
      <c r="I2984" s="7"/>
      <c r="J2984" s="7"/>
      <c r="K2984" s="7"/>
      <c r="L2984" s="7"/>
      <c r="M2984" s="7"/>
    </row>
    <row r="2985" spans="1:13" x14ac:dyDescent="0.25">
      <c r="A2985" s="12" t="str">
        <f t="shared" si="94"/>
        <v>Doc. Pago em :</v>
      </c>
      <c r="B2985" s="12" t="str">
        <f t="shared" si="93"/>
        <v>Janeiro</v>
      </c>
      <c r="C2985" s="7" t="s">
        <v>1361</v>
      </c>
      <c r="D2985" s="8" t="s">
        <v>2490</v>
      </c>
      <c r="E2985" s="7"/>
      <c r="F2985" s="7"/>
      <c r="G2985" s="7"/>
      <c r="H2985" s="7"/>
      <c r="I2985" s="7"/>
      <c r="J2985" s="7"/>
      <c r="K2985" s="7"/>
      <c r="L2985" s="7"/>
      <c r="M2985" s="7"/>
    </row>
    <row r="2986" spans="1:13" x14ac:dyDescent="0.25">
      <c r="A2986" s="12" t="str">
        <f t="shared" si="94"/>
        <v>Doc. Pago em :</v>
      </c>
      <c r="B2986" s="12" t="str">
        <f t="shared" si="93"/>
        <v>Janeiro</v>
      </c>
      <c r="C2986" s="7" t="s">
        <v>1361</v>
      </c>
      <c r="D2986" s="8" t="s">
        <v>2494</v>
      </c>
      <c r="E2986" s="7"/>
      <c r="F2986" s="7"/>
      <c r="G2986" s="7"/>
      <c r="H2986" s="7"/>
      <c r="I2986" s="7"/>
      <c r="J2986" s="7"/>
      <c r="K2986" s="7"/>
      <c r="L2986" s="7"/>
      <c r="M2986" s="7"/>
    </row>
    <row r="2987" spans="1:13" x14ac:dyDescent="0.25">
      <c r="A2987" s="12" t="str">
        <f t="shared" si="94"/>
        <v>Doc. Pago em :</v>
      </c>
      <c r="B2987" s="12" t="str">
        <f t="shared" si="93"/>
        <v>Janeiro</v>
      </c>
      <c r="C2987" s="7" t="s">
        <v>1361</v>
      </c>
      <c r="D2987" s="8" t="s">
        <v>2496</v>
      </c>
      <c r="E2987" s="7"/>
      <c r="F2987" s="7"/>
      <c r="G2987" s="7"/>
      <c r="H2987" s="7"/>
      <c r="I2987" s="7"/>
      <c r="J2987" s="7"/>
      <c r="K2987" s="7"/>
      <c r="L2987" s="7"/>
      <c r="M2987" s="7"/>
    </row>
    <row r="2988" spans="1:13" x14ac:dyDescent="0.25">
      <c r="A2988" s="12" t="str">
        <f t="shared" si="94"/>
        <v>Doc. Pago em :</v>
      </c>
      <c r="B2988" s="12" t="str">
        <f t="shared" si="93"/>
        <v>Janeiro</v>
      </c>
      <c r="C2988" s="7" t="s">
        <v>1361</v>
      </c>
      <c r="D2988" s="8" t="s">
        <v>2500</v>
      </c>
      <c r="E2988" s="7"/>
      <c r="F2988" s="7"/>
      <c r="G2988" s="7"/>
      <c r="H2988" s="7"/>
      <c r="I2988" s="7"/>
      <c r="J2988" s="7"/>
      <c r="K2988" s="7"/>
      <c r="L2988" s="7"/>
      <c r="M2988" s="7"/>
    </row>
    <row r="2989" spans="1:13" x14ac:dyDescent="0.25">
      <c r="A2989" s="12" t="str">
        <f t="shared" si="94"/>
        <v>Doc. Pago em :</v>
      </c>
      <c r="B2989" s="12" t="str">
        <f t="shared" si="93"/>
        <v>Janeiro</v>
      </c>
      <c r="C2989" s="7" t="s">
        <v>1361</v>
      </c>
      <c r="D2989" s="8" t="s">
        <v>2510</v>
      </c>
      <c r="E2989" s="7"/>
      <c r="F2989" s="7"/>
      <c r="G2989" s="7"/>
      <c r="H2989" s="7"/>
      <c r="I2989" s="7"/>
      <c r="J2989" s="7"/>
      <c r="K2989" s="7"/>
      <c r="L2989" s="7"/>
      <c r="M2989" s="7"/>
    </row>
    <row r="2990" spans="1:13" x14ac:dyDescent="0.25">
      <c r="A2990" s="12" t="str">
        <f t="shared" si="94"/>
        <v>Doc. Pago em :</v>
      </c>
      <c r="B2990" s="12" t="str">
        <f t="shared" si="93"/>
        <v>Janeiro</v>
      </c>
      <c r="C2990" s="7" t="s">
        <v>1361</v>
      </c>
      <c r="D2990" s="8" t="s">
        <v>2512</v>
      </c>
      <c r="E2990" s="7"/>
      <c r="F2990" s="7"/>
      <c r="G2990" s="7"/>
      <c r="H2990" s="7"/>
      <c r="I2990" s="7"/>
      <c r="J2990" s="7"/>
      <c r="K2990" s="7"/>
      <c r="L2990" s="7"/>
      <c r="M2990" s="7"/>
    </row>
    <row r="2991" spans="1:13" x14ac:dyDescent="0.25">
      <c r="A2991" s="12" t="str">
        <f t="shared" si="94"/>
        <v>Doc. Pago em :</v>
      </c>
      <c r="B2991" s="12" t="str">
        <f t="shared" si="93"/>
        <v>Janeiro</v>
      </c>
      <c r="C2991" s="7" t="s">
        <v>1361</v>
      </c>
      <c r="D2991" s="8" t="s">
        <v>2514</v>
      </c>
      <c r="E2991" s="7"/>
      <c r="F2991" s="7"/>
      <c r="G2991" s="7"/>
      <c r="H2991" s="7"/>
      <c r="I2991" s="7"/>
      <c r="J2991" s="7"/>
      <c r="K2991" s="7"/>
      <c r="L2991" s="7"/>
      <c r="M2991" s="7"/>
    </row>
    <row r="2992" spans="1:13" x14ac:dyDescent="0.25">
      <c r="A2992" s="12" t="str">
        <f t="shared" si="94"/>
        <v>Doc. Pago em :</v>
      </c>
      <c r="B2992" s="12" t="str">
        <f t="shared" si="93"/>
        <v>Janeiro</v>
      </c>
      <c r="C2992" s="7" t="s">
        <v>1361</v>
      </c>
      <c r="D2992" s="8" t="s">
        <v>2526</v>
      </c>
      <c r="E2992" s="7"/>
      <c r="F2992" s="7"/>
      <c r="G2992" s="7"/>
      <c r="H2992" s="7"/>
      <c r="I2992" s="7"/>
      <c r="J2992" s="7"/>
      <c r="K2992" s="7"/>
      <c r="L2992" s="7"/>
      <c r="M2992" s="7"/>
    </row>
    <row r="2993" spans="1:13" x14ac:dyDescent="0.25">
      <c r="A2993" s="12" t="str">
        <f t="shared" si="94"/>
        <v>Doc. Pago em :</v>
      </c>
      <c r="B2993" s="12" t="str">
        <f t="shared" si="93"/>
        <v>Janeiro</v>
      </c>
      <c r="C2993" s="7" t="s">
        <v>1361</v>
      </c>
      <c r="D2993" s="8" t="s">
        <v>2531</v>
      </c>
      <c r="E2993" s="7"/>
      <c r="F2993" s="7"/>
      <c r="G2993" s="7"/>
      <c r="H2993" s="7"/>
      <c r="I2993" s="7"/>
      <c r="J2993" s="7"/>
      <c r="K2993" s="7"/>
      <c r="L2993" s="7"/>
      <c r="M2993" s="7"/>
    </row>
    <row r="2994" spans="1:13" x14ac:dyDescent="0.25">
      <c r="A2994" s="12" t="str">
        <f t="shared" si="94"/>
        <v>Doc. Pago em :</v>
      </c>
      <c r="B2994" s="12" t="str">
        <f t="shared" si="93"/>
        <v>Janeiro</v>
      </c>
      <c r="C2994" s="7" t="s">
        <v>1361</v>
      </c>
      <c r="D2994" s="8" t="s">
        <v>2532</v>
      </c>
      <c r="E2994" s="7"/>
      <c r="F2994" s="7"/>
      <c r="G2994" s="7"/>
      <c r="H2994" s="7"/>
      <c r="I2994" s="7"/>
      <c r="J2994" s="7"/>
      <c r="K2994" s="7"/>
      <c r="L2994" s="7"/>
      <c r="M2994" s="7"/>
    </row>
    <row r="2995" spans="1:13" x14ac:dyDescent="0.25">
      <c r="A2995" s="12" t="str">
        <f t="shared" si="94"/>
        <v>Doc. Pago em :</v>
      </c>
      <c r="B2995" s="12" t="str">
        <f t="shared" si="93"/>
        <v>Janeiro</v>
      </c>
      <c r="C2995" s="7" t="s">
        <v>1361</v>
      </c>
      <c r="D2995" s="8" t="s">
        <v>2542</v>
      </c>
      <c r="E2995" s="7"/>
      <c r="F2995" s="7"/>
      <c r="G2995" s="7"/>
      <c r="H2995" s="7"/>
      <c r="I2995" s="7"/>
      <c r="J2995" s="7"/>
      <c r="K2995" s="7"/>
      <c r="L2995" s="7"/>
      <c r="M2995" s="7"/>
    </row>
    <row r="2996" spans="1:13" x14ac:dyDescent="0.25">
      <c r="A2996" s="12" t="str">
        <f t="shared" si="94"/>
        <v>Doc. Pago em :</v>
      </c>
      <c r="B2996" s="12" t="str">
        <f t="shared" si="93"/>
        <v>Janeiro</v>
      </c>
      <c r="C2996" s="7" t="s">
        <v>1361</v>
      </c>
      <c r="D2996" s="8" t="s">
        <v>2570</v>
      </c>
      <c r="E2996" s="7"/>
      <c r="F2996" s="7"/>
      <c r="G2996" s="7"/>
      <c r="H2996" s="7"/>
      <c r="I2996" s="7"/>
      <c r="J2996" s="7"/>
      <c r="K2996" s="7"/>
      <c r="L2996" s="7"/>
      <c r="M2996" s="7"/>
    </row>
    <row r="2997" spans="1:13" x14ac:dyDescent="0.25">
      <c r="A2997" s="12" t="str">
        <f t="shared" si="94"/>
        <v>Doc. Pago em :</v>
      </c>
      <c r="B2997" s="12" t="str">
        <f t="shared" si="93"/>
        <v>Janeiro</v>
      </c>
      <c r="C2997" s="7" t="s">
        <v>1361</v>
      </c>
      <c r="D2997" s="8" t="s">
        <v>2571</v>
      </c>
      <c r="E2997" s="7"/>
      <c r="F2997" s="7"/>
      <c r="G2997" s="7"/>
      <c r="H2997" s="7"/>
      <c r="I2997" s="7"/>
      <c r="J2997" s="7"/>
      <c r="K2997" s="7"/>
      <c r="L2997" s="7"/>
      <c r="M2997" s="7"/>
    </row>
    <row r="2998" spans="1:13" x14ac:dyDescent="0.25">
      <c r="A2998" s="12" t="str">
        <f t="shared" si="94"/>
        <v>Doc. Pago em :</v>
      </c>
      <c r="B2998" s="12" t="str">
        <f t="shared" si="93"/>
        <v>Janeiro</v>
      </c>
      <c r="C2998" s="7" t="s">
        <v>1361</v>
      </c>
      <c r="D2998" s="8" t="s">
        <v>2573</v>
      </c>
      <c r="E2998" s="7"/>
      <c r="F2998" s="7"/>
      <c r="G2998" s="7"/>
      <c r="H2998" s="7"/>
      <c r="I2998" s="7"/>
      <c r="J2998" s="7"/>
      <c r="K2998" s="7"/>
      <c r="L2998" s="7"/>
      <c r="M2998" s="7"/>
    </row>
    <row r="2999" spans="1:13" x14ac:dyDescent="0.25">
      <c r="A2999" s="12" t="str">
        <f t="shared" si="94"/>
        <v>Doc. Pago em :</v>
      </c>
      <c r="B2999" s="12" t="str">
        <f t="shared" si="93"/>
        <v>Janeiro</v>
      </c>
      <c r="C2999" s="7" t="s">
        <v>1361</v>
      </c>
      <c r="D2999" s="8" t="s">
        <v>2575</v>
      </c>
      <c r="E2999" s="7"/>
      <c r="F2999" s="7"/>
      <c r="G2999" s="7"/>
      <c r="H2999" s="7"/>
      <c r="I2999" s="7"/>
      <c r="J2999" s="7"/>
      <c r="K2999" s="7"/>
      <c r="L2999" s="7"/>
      <c r="M2999" s="7"/>
    </row>
    <row r="3000" spans="1:13" x14ac:dyDescent="0.25">
      <c r="A3000" s="12" t="str">
        <f t="shared" si="94"/>
        <v>Doc. Pago em :</v>
      </c>
      <c r="B3000" s="12" t="str">
        <f t="shared" si="93"/>
        <v>Janeiro</v>
      </c>
      <c r="C3000" s="7" t="s">
        <v>1361</v>
      </c>
      <c r="D3000" s="8" t="s">
        <v>2581</v>
      </c>
      <c r="E3000" s="7"/>
      <c r="F3000" s="7"/>
      <c r="G3000" s="7"/>
      <c r="H3000" s="7"/>
      <c r="I3000" s="7"/>
      <c r="J3000" s="7"/>
      <c r="K3000" s="7"/>
      <c r="L3000" s="7"/>
      <c r="M3000" s="7"/>
    </row>
    <row r="3001" spans="1:13" x14ac:dyDescent="0.25">
      <c r="A3001" s="12" t="str">
        <f t="shared" si="94"/>
        <v>Doc. Pago em :</v>
      </c>
      <c r="B3001" s="12" t="str">
        <f t="shared" si="93"/>
        <v>Janeiro</v>
      </c>
      <c r="C3001" s="7" t="s">
        <v>1361</v>
      </c>
      <c r="D3001" s="8" t="s">
        <v>2617</v>
      </c>
      <c r="E3001" s="7"/>
      <c r="F3001" s="7"/>
      <c r="G3001" s="7"/>
      <c r="H3001" s="7"/>
      <c r="I3001" s="7"/>
      <c r="J3001" s="7"/>
      <c r="K3001" s="7"/>
      <c r="L3001" s="7"/>
      <c r="M3001" s="7"/>
    </row>
    <row r="3002" spans="1:13" x14ac:dyDescent="0.25">
      <c r="A3002" s="12" t="str">
        <f t="shared" si="94"/>
        <v>Doc. Pago em :</v>
      </c>
      <c r="B3002" s="12" t="str">
        <f t="shared" si="93"/>
        <v>Janeiro</v>
      </c>
      <c r="C3002" s="7" t="s">
        <v>1361</v>
      </c>
      <c r="D3002" s="8" t="s">
        <v>2649</v>
      </c>
      <c r="E3002" s="7"/>
      <c r="F3002" s="7"/>
      <c r="G3002" s="7"/>
      <c r="H3002" s="7"/>
      <c r="I3002" s="7"/>
      <c r="J3002" s="7"/>
      <c r="K3002" s="7"/>
      <c r="L3002" s="7"/>
      <c r="M3002" s="7"/>
    </row>
    <row r="3003" spans="1:13" x14ac:dyDescent="0.25">
      <c r="A3003" s="12" t="str">
        <f t="shared" si="94"/>
        <v>Doc. Pago em :</v>
      </c>
      <c r="B3003" s="12" t="str">
        <f t="shared" si="93"/>
        <v>Janeiro</v>
      </c>
      <c r="C3003" s="7" t="s">
        <v>1361</v>
      </c>
      <c r="D3003" s="8" t="s">
        <v>2660</v>
      </c>
      <c r="E3003" s="7"/>
      <c r="F3003" s="7"/>
      <c r="G3003" s="7"/>
      <c r="H3003" s="7"/>
      <c r="I3003" s="7"/>
      <c r="J3003" s="7"/>
      <c r="K3003" s="7"/>
      <c r="L3003" s="7"/>
      <c r="M3003" s="7"/>
    </row>
    <row r="3004" spans="1:13" x14ac:dyDescent="0.25">
      <c r="A3004" s="12" t="str">
        <f t="shared" si="94"/>
        <v>Doc. Pago em :</v>
      </c>
      <c r="B3004" s="12" t="str">
        <f t="shared" si="93"/>
        <v>Janeiro</v>
      </c>
      <c r="C3004" s="7" t="s">
        <v>1361</v>
      </c>
      <c r="D3004" s="8" t="s">
        <v>2662</v>
      </c>
      <c r="E3004" s="7"/>
      <c r="F3004" s="7"/>
      <c r="G3004" s="7"/>
      <c r="H3004" s="7"/>
      <c r="I3004" s="7"/>
      <c r="J3004" s="7"/>
      <c r="K3004" s="7"/>
      <c r="L3004" s="7"/>
      <c r="M3004" s="7"/>
    </row>
    <row r="3005" spans="1:13" x14ac:dyDescent="0.25">
      <c r="A3005" s="12" t="str">
        <f t="shared" si="94"/>
        <v>Doc. Pago em :</v>
      </c>
      <c r="B3005" s="12" t="str">
        <f t="shared" si="93"/>
        <v>Janeiro</v>
      </c>
      <c r="C3005" s="7" t="s">
        <v>1361</v>
      </c>
      <c r="D3005" s="8" t="s">
        <v>2666</v>
      </c>
      <c r="E3005" s="7"/>
      <c r="F3005" s="7"/>
      <c r="G3005" s="7"/>
      <c r="H3005" s="7"/>
      <c r="I3005" s="7"/>
      <c r="J3005" s="7"/>
      <c r="K3005" s="7"/>
      <c r="L3005" s="7"/>
      <c r="M3005" s="7"/>
    </row>
    <row r="3006" spans="1:13" x14ac:dyDescent="0.25">
      <c r="A3006" s="12" t="str">
        <f t="shared" si="94"/>
        <v>Doc. Pago em :</v>
      </c>
      <c r="B3006" s="12" t="str">
        <f t="shared" si="93"/>
        <v>Janeiro</v>
      </c>
      <c r="C3006" s="7" t="s">
        <v>1361</v>
      </c>
      <c r="D3006" s="8" t="s">
        <v>2667</v>
      </c>
      <c r="E3006" s="7"/>
      <c r="F3006" s="7"/>
      <c r="G3006" s="7"/>
      <c r="H3006" s="7"/>
      <c r="I3006" s="7"/>
      <c r="J3006" s="7"/>
      <c r="K3006" s="7"/>
      <c r="L3006" s="7"/>
      <c r="M3006" s="7"/>
    </row>
    <row r="3007" spans="1:13" x14ac:dyDescent="0.25">
      <c r="A3007" s="12" t="str">
        <f t="shared" si="94"/>
        <v>Doc. Pago em :</v>
      </c>
      <c r="B3007" s="12" t="str">
        <f t="shared" si="93"/>
        <v>Janeiro</v>
      </c>
      <c r="C3007" s="7" t="s">
        <v>1361</v>
      </c>
      <c r="D3007" s="8" t="s">
        <v>2673</v>
      </c>
      <c r="E3007" s="7"/>
      <c r="F3007" s="7"/>
      <c r="G3007" s="7"/>
      <c r="H3007" s="7"/>
      <c r="I3007" s="7"/>
      <c r="J3007" s="7"/>
      <c r="K3007" s="7"/>
      <c r="L3007" s="7"/>
      <c r="M3007" s="7"/>
    </row>
    <row r="3008" spans="1:13" x14ac:dyDescent="0.25">
      <c r="A3008" s="12" t="str">
        <f t="shared" si="94"/>
        <v>Doc. Pago em :</v>
      </c>
      <c r="B3008" s="12" t="str">
        <f t="shared" si="93"/>
        <v>Janeiro</v>
      </c>
      <c r="C3008" s="7" t="s">
        <v>1361</v>
      </c>
      <c r="D3008" s="8" t="s">
        <v>2674</v>
      </c>
      <c r="E3008" s="7"/>
      <c r="F3008" s="7"/>
      <c r="G3008" s="7"/>
      <c r="H3008" s="7"/>
      <c r="I3008" s="7"/>
      <c r="J3008" s="7"/>
      <c r="K3008" s="7"/>
      <c r="L3008" s="7"/>
      <c r="M3008" s="7"/>
    </row>
    <row r="3009" spans="1:13" x14ac:dyDescent="0.25">
      <c r="A3009" s="12" t="str">
        <f t="shared" si="94"/>
        <v>Doc. Pago em :</v>
      </c>
      <c r="B3009" s="12" t="str">
        <f t="shared" si="93"/>
        <v>Janeiro</v>
      </c>
      <c r="C3009" s="7" t="s">
        <v>1361</v>
      </c>
      <c r="D3009" s="8" t="s">
        <v>2675</v>
      </c>
      <c r="E3009" s="7"/>
      <c r="F3009" s="7"/>
      <c r="G3009" s="7"/>
      <c r="H3009" s="7"/>
      <c r="I3009" s="7"/>
      <c r="J3009" s="7"/>
      <c r="K3009" s="7"/>
      <c r="L3009" s="7"/>
      <c r="M3009" s="7"/>
    </row>
    <row r="3010" spans="1:13" x14ac:dyDescent="0.25">
      <c r="A3010" s="12" t="str">
        <f t="shared" si="94"/>
        <v>Doc. Pago em :</v>
      </c>
      <c r="B3010" s="12" t="str">
        <f t="shared" si="93"/>
        <v>Janeiro</v>
      </c>
      <c r="C3010" s="7" t="s">
        <v>1361</v>
      </c>
      <c r="D3010" s="8" t="s">
        <v>2676</v>
      </c>
      <c r="E3010" s="7"/>
      <c r="F3010" s="7"/>
      <c r="G3010" s="7"/>
      <c r="H3010" s="7"/>
      <c r="I3010" s="7"/>
      <c r="J3010" s="7"/>
      <c r="K3010" s="7"/>
      <c r="L3010" s="7"/>
      <c r="M3010" s="7"/>
    </row>
    <row r="3011" spans="1:13" x14ac:dyDescent="0.25">
      <c r="A3011" s="12" t="str">
        <f t="shared" si="94"/>
        <v>Doc. Pago em :</v>
      </c>
      <c r="B3011" s="12" t="str">
        <f t="shared" ref="B3011:B3074" si="95">PROPER(TEXT($H3011,"MMMM"))</f>
        <v>Janeiro</v>
      </c>
      <c r="C3011" s="7" t="s">
        <v>1361</v>
      </c>
      <c r="D3011" s="8" t="s">
        <v>2680</v>
      </c>
      <c r="E3011" s="7"/>
      <c r="F3011" s="7"/>
      <c r="G3011" s="7"/>
      <c r="H3011" s="7"/>
      <c r="I3011" s="7"/>
      <c r="J3011" s="7"/>
      <c r="K3011" s="7"/>
      <c r="L3011" s="7"/>
      <c r="M3011" s="7"/>
    </row>
    <row r="3012" spans="1:13" x14ac:dyDescent="0.25">
      <c r="A3012" s="12" t="str">
        <f t="shared" si="94"/>
        <v>Doc. Pago em :</v>
      </c>
      <c r="B3012" s="12" t="str">
        <f t="shared" si="95"/>
        <v>Janeiro</v>
      </c>
      <c r="C3012" s="7" t="s">
        <v>1361</v>
      </c>
      <c r="D3012" s="8" t="s">
        <v>2690</v>
      </c>
      <c r="E3012" s="7"/>
      <c r="F3012" s="7"/>
      <c r="G3012" s="7"/>
      <c r="H3012" s="7"/>
      <c r="I3012" s="7"/>
      <c r="J3012" s="7"/>
      <c r="K3012" s="7"/>
      <c r="L3012" s="7"/>
      <c r="M3012" s="7"/>
    </row>
    <row r="3013" spans="1:13" x14ac:dyDescent="0.25">
      <c r="A3013" s="12" t="str">
        <f t="shared" si="94"/>
        <v>Doc. Pago em :</v>
      </c>
      <c r="B3013" s="12" t="str">
        <f t="shared" si="95"/>
        <v>Janeiro</v>
      </c>
      <c r="C3013" s="7" t="s">
        <v>1361</v>
      </c>
      <c r="D3013" s="8" t="s">
        <v>2697</v>
      </c>
      <c r="E3013" s="7"/>
      <c r="F3013" s="7"/>
      <c r="G3013" s="7"/>
      <c r="H3013" s="7"/>
      <c r="I3013" s="7"/>
      <c r="J3013" s="7"/>
      <c r="K3013" s="7"/>
      <c r="L3013" s="7"/>
      <c r="M3013" s="7"/>
    </row>
    <row r="3014" spans="1:13" x14ac:dyDescent="0.25">
      <c r="A3014" s="12" t="str">
        <f t="shared" si="94"/>
        <v>Doc. Pago em :</v>
      </c>
      <c r="B3014" s="12" t="str">
        <f t="shared" si="95"/>
        <v>Janeiro</v>
      </c>
      <c r="C3014" s="7" t="s">
        <v>1361</v>
      </c>
      <c r="D3014" s="8" t="s">
        <v>2700</v>
      </c>
      <c r="E3014" s="7"/>
      <c r="F3014" s="7"/>
      <c r="G3014" s="7"/>
      <c r="H3014" s="7"/>
      <c r="I3014" s="7"/>
      <c r="J3014" s="7"/>
      <c r="K3014" s="7"/>
      <c r="L3014" s="7"/>
      <c r="M3014" s="7"/>
    </row>
    <row r="3015" spans="1:13" x14ac:dyDescent="0.25">
      <c r="A3015" s="12" t="str">
        <f t="shared" si="94"/>
        <v>Doc. Pago em :</v>
      </c>
      <c r="B3015" s="12" t="str">
        <f t="shared" si="95"/>
        <v>Janeiro</v>
      </c>
      <c r="C3015" s="7" t="s">
        <v>1361</v>
      </c>
      <c r="D3015" s="8" t="s">
        <v>2702</v>
      </c>
      <c r="E3015" s="7"/>
      <c r="F3015" s="7"/>
      <c r="G3015" s="7"/>
      <c r="H3015" s="7"/>
      <c r="I3015" s="7"/>
      <c r="J3015" s="7"/>
      <c r="K3015" s="7"/>
      <c r="L3015" s="7"/>
      <c r="M3015" s="7"/>
    </row>
    <row r="3016" spans="1:13" x14ac:dyDescent="0.25">
      <c r="A3016" s="12" t="str">
        <f t="shared" si="94"/>
        <v>Doc. Pago em :</v>
      </c>
      <c r="B3016" s="12" t="str">
        <f t="shared" si="95"/>
        <v>Janeiro</v>
      </c>
      <c r="C3016" s="7" t="s">
        <v>1361</v>
      </c>
      <c r="D3016" s="8" t="s">
        <v>2705</v>
      </c>
      <c r="E3016" s="7"/>
      <c r="F3016" s="7"/>
      <c r="G3016" s="7"/>
      <c r="H3016" s="7"/>
      <c r="I3016" s="7"/>
      <c r="J3016" s="7"/>
      <c r="K3016" s="7"/>
      <c r="L3016" s="7"/>
      <c r="M3016" s="7"/>
    </row>
    <row r="3017" spans="1:13" x14ac:dyDescent="0.25">
      <c r="A3017" s="12" t="str">
        <f t="shared" si="94"/>
        <v>Doc. Pago em :</v>
      </c>
      <c r="B3017" s="12" t="str">
        <f t="shared" si="95"/>
        <v>Janeiro</v>
      </c>
      <c r="C3017" s="7" t="s">
        <v>1361</v>
      </c>
      <c r="D3017" s="8" t="s">
        <v>2743</v>
      </c>
      <c r="E3017" s="7"/>
      <c r="F3017" s="7"/>
      <c r="G3017" s="7"/>
      <c r="H3017" s="7"/>
      <c r="I3017" s="7"/>
      <c r="J3017" s="7"/>
      <c r="K3017" s="7"/>
      <c r="L3017" s="7"/>
      <c r="M3017" s="7"/>
    </row>
    <row r="3018" spans="1:13" x14ac:dyDescent="0.25">
      <c r="A3018" s="12" t="str">
        <f t="shared" si="94"/>
        <v>Doc. Pago em :</v>
      </c>
      <c r="B3018" s="12" t="str">
        <f t="shared" si="95"/>
        <v>Janeiro</v>
      </c>
      <c r="C3018" s="7" t="s">
        <v>1361</v>
      </c>
      <c r="D3018" s="8" t="s">
        <v>2745</v>
      </c>
      <c r="E3018" s="7"/>
      <c r="F3018" s="7"/>
      <c r="G3018" s="7"/>
      <c r="H3018" s="7"/>
      <c r="I3018" s="7"/>
      <c r="J3018" s="7"/>
      <c r="K3018" s="7"/>
      <c r="L3018" s="7"/>
      <c r="M3018" s="7"/>
    </row>
    <row r="3019" spans="1:13" x14ac:dyDescent="0.25">
      <c r="A3019" s="12" t="str">
        <f t="shared" si="94"/>
        <v>Doc. Pago em :</v>
      </c>
      <c r="B3019" s="12" t="str">
        <f t="shared" si="95"/>
        <v>Janeiro</v>
      </c>
      <c r="C3019" s="7" t="s">
        <v>1361</v>
      </c>
      <c r="D3019" s="8" t="s">
        <v>2749</v>
      </c>
      <c r="E3019" s="7"/>
      <c r="F3019" s="7"/>
      <c r="G3019" s="7"/>
      <c r="H3019" s="7"/>
      <c r="I3019" s="7"/>
      <c r="J3019" s="7"/>
      <c r="K3019" s="7"/>
      <c r="L3019" s="7"/>
      <c r="M3019" s="7"/>
    </row>
    <row r="3020" spans="1:13" x14ac:dyDescent="0.25">
      <c r="A3020" s="12" t="str">
        <f t="shared" si="94"/>
        <v>Doc. Pago em :</v>
      </c>
      <c r="B3020" s="12" t="str">
        <f t="shared" si="95"/>
        <v>Janeiro</v>
      </c>
      <c r="C3020" s="7" t="s">
        <v>1361</v>
      </c>
      <c r="D3020" s="8" t="s">
        <v>2752</v>
      </c>
      <c r="E3020" s="7"/>
      <c r="F3020" s="7"/>
      <c r="G3020" s="7"/>
      <c r="H3020" s="7"/>
      <c r="I3020" s="7"/>
      <c r="J3020" s="7"/>
      <c r="K3020" s="7"/>
      <c r="L3020" s="7"/>
      <c r="M3020" s="7"/>
    </row>
    <row r="3021" spans="1:13" x14ac:dyDescent="0.25">
      <c r="A3021" s="12" t="str">
        <f t="shared" si="94"/>
        <v>Doc. Pago em :</v>
      </c>
      <c r="B3021" s="12" t="str">
        <f t="shared" si="95"/>
        <v>Janeiro</v>
      </c>
      <c r="C3021" s="7" t="s">
        <v>1361</v>
      </c>
      <c r="D3021" s="8" t="s">
        <v>2755</v>
      </c>
      <c r="E3021" s="7"/>
      <c r="F3021" s="7"/>
      <c r="G3021" s="7"/>
      <c r="H3021" s="7"/>
      <c r="I3021" s="7"/>
      <c r="J3021" s="7"/>
      <c r="K3021" s="7"/>
      <c r="L3021" s="7"/>
      <c r="M3021" s="7"/>
    </row>
    <row r="3022" spans="1:13" x14ac:dyDescent="0.25">
      <c r="A3022" s="12" t="str">
        <f t="shared" si="94"/>
        <v>Doc. Pago em :</v>
      </c>
      <c r="B3022" s="12" t="str">
        <f t="shared" si="95"/>
        <v>Janeiro</v>
      </c>
      <c r="C3022" s="7" t="s">
        <v>1361</v>
      </c>
      <c r="D3022" s="8" t="s">
        <v>2759</v>
      </c>
      <c r="E3022" s="7"/>
      <c r="F3022" s="7"/>
      <c r="G3022" s="7"/>
      <c r="H3022" s="7"/>
      <c r="I3022" s="7"/>
      <c r="J3022" s="7"/>
      <c r="K3022" s="7"/>
      <c r="L3022" s="7"/>
      <c r="M3022" s="7"/>
    </row>
    <row r="3023" spans="1:13" x14ac:dyDescent="0.25">
      <c r="A3023" s="12" t="str">
        <f t="shared" si="94"/>
        <v>Doc. Pago em :</v>
      </c>
      <c r="B3023" s="12" t="str">
        <f t="shared" si="95"/>
        <v>Janeiro</v>
      </c>
      <c r="C3023" s="7" t="s">
        <v>1361</v>
      </c>
      <c r="D3023" s="8" t="s">
        <v>2764</v>
      </c>
      <c r="E3023" s="7"/>
      <c r="F3023" s="7"/>
      <c r="G3023" s="7"/>
      <c r="H3023" s="7"/>
      <c r="I3023" s="7"/>
      <c r="J3023" s="7"/>
      <c r="K3023" s="7"/>
      <c r="L3023" s="7"/>
      <c r="M3023" s="7"/>
    </row>
    <row r="3024" spans="1:13" x14ac:dyDescent="0.25">
      <c r="A3024" s="12" t="str">
        <f t="shared" si="94"/>
        <v>Doc. Pago em :</v>
      </c>
      <c r="B3024" s="12" t="str">
        <f t="shared" si="95"/>
        <v>Janeiro</v>
      </c>
      <c r="C3024" s="7" t="s">
        <v>1361</v>
      </c>
      <c r="D3024" s="8" t="s">
        <v>2793</v>
      </c>
      <c r="E3024" s="7"/>
      <c r="F3024" s="7"/>
      <c r="G3024" s="7"/>
      <c r="H3024" s="7"/>
      <c r="I3024" s="7"/>
      <c r="J3024" s="7"/>
      <c r="K3024" s="7"/>
      <c r="L3024" s="7"/>
      <c r="M3024" s="7"/>
    </row>
    <row r="3025" spans="1:13" x14ac:dyDescent="0.25">
      <c r="A3025" s="12" t="str">
        <f t="shared" si="94"/>
        <v>Doc. Pago em :</v>
      </c>
      <c r="B3025" s="12" t="str">
        <f t="shared" si="95"/>
        <v>Janeiro</v>
      </c>
      <c r="C3025" s="7" t="s">
        <v>1361</v>
      </c>
      <c r="D3025" s="8" t="s">
        <v>2794</v>
      </c>
      <c r="E3025" s="7"/>
      <c r="F3025" s="7"/>
      <c r="G3025" s="7"/>
      <c r="H3025" s="7"/>
      <c r="I3025" s="7"/>
      <c r="J3025" s="7"/>
      <c r="K3025" s="7"/>
      <c r="L3025" s="7"/>
      <c r="M3025" s="7"/>
    </row>
    <row r="3026" spans="1:13" x14ac:dyDescent="0.25">
      <c r="A3026" s="12" t="str">
        <f t="shared" si="94"/>
        <v>Doc. Pago em :</v>
      </c>
      <c r="B3026" s="12" t="str">
        <f t="shared" si="95"/>
        <v>Janeiro</v>
      </c>
      <c r="C3026" s="7" t="s">
        <v>1361</v>
      </c>
      <c r="D3026" s="8" t="s">
        <v>2823</v>
      </c>
      <c r="E3026" s="7"/>
      <c r="F3026" s="7"/>
      <c r="G3026" s="7"/>
      <c r="H3026" s="7"/>
      <c r="I3026" s="7"/>
      <c r="J3026" s="7"/>
      <c r="K3026" s="7"/>
      <c r="L3026" s="7"/>
      <c r="M3026" s="7"/>
    </row>
    <row r="3027" spans="1:13" x14ac:dyDescent="0.25">
      <c r="A3027" s="12" t="str">
        <f t="shared" si="94"/>
        <v>Doc. Pago em :</v>
      </c>
      <c r="B3027" s="12" t="str">
        <f t="shared" si="95"/>
        <v>Janeiro</v>
      </c>
      <c r="C3027" s="7" t="s">
        <v>1361</v>
      </c>
      <c r="D3027" s="8" t="s">
        <v>2831</v>
      </c>
      <c r="E3027" s="7"/>
      <c r="F3027" s="7"/>
      <c r="G3027" s="7"/>
      <c r="H3027" s="7"/>
      <c r="I3027" s="7"/>
      <c r="J3027" s="7"/>
      <c r="K3027" s="7"/>
      <c r="L3027" s="7"/>
      <c r="M3027" s="7"/>
    </row>
    <row r="3028" spans="1:13" x14ac:dyDescent="0.25">
      <c r="A3028" s="12" t="str">
        <f t="shared" si="94"/>
        <v>Doc. Pago em :</v>
      </c>
      <c r="B3028" s="12" t="str">
        <f t="shared" si="95"/>
        <v>Janeiro</v>
      </c>
      <c r="C3028" s="7" t="s">
        <v>1361</v>
      </c>
      <c r="D3028" s="8" t="s">
        <v>2836</v>
      </c>
      <c r="E3028" s="7"/>
      <c r="F3028" s="7"/>
      <c r="G3028" s="7"/>
      <c r="H3028" s="7"/>
      <c r="I3028" s="7"/>
      <c r="J3028" s="7"/>
      <c r="K3028" s="7"/>
      <c r="L3028" s="7"/>
      <c r="M3028" s="7"/>
    </row>
    <row r="3029" spans="1:13" x14ac:dyDescent="0.25">
      <c r="A3029" s="12" t="str">
        <f t="shared" si="94"/>
        <v>Doc. Pago em :</v>
      </c>
      <c r="B3029" s="12" t="str">
        <f t="shared" si="95"/>
        <v>Janeiro</v>
      </c>
      <c r="C3029" s="7" t="s">
        <v>1361</v>
      </c>
      <c r="D3029" s="8" t="s">
        <v>2843</v>
      </c>
      <c r="E3029" s="7"/>
      <c r="F3029" s="7"/>
      <c r="G3029" s="7"/>
      <c r="H3029" s="7"/>
      <c r="I3029" s="7"/>
      <c r="J3029" s="7"/>
      <c r="K3029" s="7"/>
      <c r="L3029" s="7"/>
      <c r="M3029" s="7"/>
    </row>
    <row r="3030" spans="1:13" x14ac:dyDescent="0.25">
      <c r="A3030" s="12" t="str">
        <f t="shared" si="94"/>
        <v>Doc. Pago em :</v>
      </c>
      <c r="B3030" s="12" t="str">
        <f t="shared" si="95"/>
        <v>Janeiro</v>
      </c>
      <c r="C3030" s="7" t="s">
        <v>1361</v>
      </c>
      <c r="D3030" s="8" t="s">
        <v>2845</v>
      </c>
      <c r="E3030" s="7"/>
      <c r="F3030" s="7"/>
      <c r="G3030" s="7"/>
      <c r="H3030" s="7"/>
      <c r="I3030" s="7"/>
      <c r="J3030" s="7"/>
      <c r="K3030" s="7"/>
      <c r="L3030" s="7"/>
      <c r="M3030" s="7"/>
    </row>
    <row r="3031" spans="1:13" x14ac:dyDescent="0.25">
      <c r="A3031" s="12" t="str">
        <f t="shared" si="94"/>
        <v>Doc. Pago em :</v>
      </c>
      <c r="B3031" s="12" t="str">
        <f t="shared" si="95"/>
        <v>Janeiro</v>
      </c>
      <c r="C3031" s="7" t="s">
        <v>1361</v>
      </c>
      <c r="D3031" s="8" t="s">
        <v>2854</v>
      </c>
      <c r="E3031" s="7"/>
      <c r="F3031" s="7"/>
      <c r="G3031" s="7"/>
      <c r="H3031" s="7"/>
      <c r="I3031" s="7"/>
      <c r="J3031" s="7"/>
      <c r="K3031" s="7"/>
      <c r="L3031" s="7"/>
      <c r="M3031" s="7"/>
    </row>
    <row r="3032" spans="1:13" x14ac:dyDescent="0.25">
      <c r="A3032" s="12" t="str">
        <f t="shared" si="94"/>
        <v>Doc. Pago em :</v>
      </c>
      <c r="B3032" s="12" t="str">
        <f t="shared" si="95"/>
        <v>Janeiro</v>
      </c>
      <c r="C3032" s="7" t="s">
        <v>1361</v>
      </c>
      <c r="D3032" s="8" t="s">
        <v>2857</v>
      </c>
      <c r="E3032" s="7"/>
      <c r="F3032" s="7"/>
      <c r="G3032" s="7"/>
      <c r="H3032" s="7"/>
      <c r="I3032" s="7"/>
      <c r="J3032" s="7"/>
      <c r="K3032" s="7"/>
      <c r="L3032" s="7"/>
      <c r="M3032" s="7"/>
    </row>
    <row r="3033" spans="1:13" x14ac:dyDescent="0.25">
      <c r="A3033" s="12" t="str">
        <f t="shared" si="94"/>
        <v>Doc. Pago em :</v>
      </c>
      <c r="B3033" s="12" t="str">
        <f t="shared" si="95"/>
        <v>Janeiro</v>
      </c>
      <c r="C3033" s="7" t="s">
        <v>1361</v>
      </c>
      <c r="D3033" s="8" t="s">
        <v>2860</v>
      </c>
      <c r="E3033" s="7"/>
      <c r="F3033" s="7"/>
      <c r="G3033" s="7"/>
      <c r="H3033" s="7"/>
      <c r="I3033" s="7"/>
      <c r="J3033" s="7"/>
      <c r="K3033" s="7"/>
      <c r="L3033" s="7"/>
      <c r="M3033" s="7"/>
    </row>
    <row r="3034" spans="1:13" x14ac:dyDescent="0.25">
      <c r="A3034" s="12" t="str">
        <f t="shared" si="94"/>
        <v>Doc. Pago em :</v>
      </c>
      <c r="B3034" s="12" t="str">
        <f t="shared" si="95"/>
        <v>Janeiro</v>
      </c>
      <c r="C3034" s="7" t="s">
        <v>1361</v>
      </c>
      <c r="D3034" s="8" t="s">
        <v>2868</v>
      </c>
      <c r="E3034" s="7"/>
      <c r="F3034" s="7"/>
      <c r="G3034" s="7"/>
      <c r="H3034" s="7"/>
      <c r="I3034" s="7"/>
      <c r="J3034" s="7"/>
      <c r="K3034" s="7"/>
      <c r="L3034" s="7"/>
      <c r="M3034" s="7"/>
    </row>
    <row r="3035" spans="1:13" x14ac:dyDescent="0.25">
      <c r="A3035" s="12" t="str">
        <f t="shared" ref="A3035:A3098" si="96">$C3035&amp;$E3035&amp;$G3035&amp;$F3035</f>
        <v>Doc. Pago em :</v>
      </c>
      <c r="B3035" s="12" t="str">
        <f t="shared" si="95"/>
        <v>Janeiro</v>
      </c>
      <c r="C3035" s="7" t="s">
        <v>1361</v>
      </c>
      <c r="D3035" s="8" t="s">
        <v>2881</v>
      </c>
      <c r="E3035" s="7"/>
      <c r="F3035" s="7"/>
      <c r="G3035" s="7"/>
      <c r="H3035" s="7"/>
      <c r="I3035" s="7"/>
      <c r="J3035" s="7"/>
      <c r="K3035" s="7"/>
      <c r="L3035" s="7"/>
      <c r="M3035" s="7"/>
    </row>
    <row r="3036" spans="1:13" x14ac:dyDescent="0.25">
      <c r="A3036" s="12" t="str">
        <f t="shared" si="96"/>
        <v>Doc. Pago em :</v>
      </c>
      <c r="B3036" s="12" t="str">
        <f t="shared" si="95"/>
        <v>Janeiro</v>
      </c>
      <c r="C3036" s="7" t="s">
        <v>1361</v>
      </c>
      <c r="D3036" s="8" t="s">
        <v>2885</v>
      </c>
      <c r="E3036" s="7"/>
      <c r="F3036" s="7"/>
      <c r="G3036" s="7"/>
      <c r="H3036" s="7"/>
      <c r="I3036" s="7"/>
      <c r="J3036" s="7"/>
      <c r="K3036" s="7"/>
      <c r="L3036" s="7"/>
      <c r="M3036" s="7"/>
    </row>
    <row r="3037" spans="1:13" x14ac:dyDescent="0.25">
      <c r="A3037" s="12" t="str">
        <f t="shared" si="96"/>
        <v>Doc. Pago em :</v>
      </c>
      <c r="B3037" s="12" t="str">
        <f t="shared" si="95"/>
        <v>Janeiro</v>
      </c>
      <c r="C3037" s="7" t="s">
        <v>1361</v>
      </c>
      <c r="D3037" s="8" t="s">
        <v>2886</v>
      </c>
      <c r="E3037" s="7"/>
      <c r="F3037" s="7"/>
      <c r="G3037" s="7"/>
      <c r="H3037" s="7"/>
      <c r="I3037" s="7"/>
      <c r="J3037" s="7"/>
      <c r="K3037" s="7"/>
      <c r="L3037" s="7"/>
      <c r="M3037" s="7"/>
    </row>
    <row r="3038" spans="1:13" x14ac:dyDescent="0.25">
      <c r="A3038" s="12" t="str">
        <f t="shared" si="96"/>
        <v>Doc. Pago em :</v>
      </c>
      <c r="B3038" s="12" t="str">
        <f t="shared" si="95"/>
        <v>Janeiro</v>
      </c>
      <c r="C3038" s="7" t="s">
        <v>1361</v>
      </c>
      <c r="D3038" s="8" t="s">
        <v>2888</v>
      </c>
      <c r="E3038" s="7"/>
      <c r="F3038" s="7"/>
      <c r="G3038" s="7"/>
      <c r="H3038" s="7"/>
      <c r="I3038" s="7"/>
      <c r="J3038" s="7"/>
      <c r="K3038" s="7"/>
      <c r="L3038" s="7"/>
      <c r="M3038" s="7"/>
    </row>
    <row r="3039" spans="1:13" x14ac:dyDescent="0.25">
      <c r="A3039" s="12" t="str">
        <f t="shared" si="96"/>
        <v>Doc. Pago em :</v>
      </c>
      <c r="B3039" s="12" t="str">
        <f t="shared" si="95"/>
        <v>Janeiro</v>
      </c>
      <c r="C3039" s="7" t="s">
        <v>1361</v>
      </c>
      <c r="D3039" s="8" t="s">
        <v>2893</v>
      </c>
      <c r="E3039" s="7"/>
      <c r="F3039" s="7"/>
      <c r="G3039" s="7"/>
      <c r="H3039" s="7"/>
      <c r="I3039" s="7"/>
      <c r="J3039" s="7"/>
      <c r="K3039" s="7"/>
      <c r="L3039" s="7"/>
      <c r="M3039" s="7"/>
    </row>
    <row r="3040" spans="1:13" x14ac:dyDescent="0.25">
      <c r="A3040" s="12" t="str">
        <f t="shared" si="96"/>
        <v>Doc. Pago em :</v>
      </c>
      <c r="B3040" s="12" t="str">
        <f t="shared" si="95"/>
        <v>Janeiro</v>
      </c>
      <c r="C3040" s="7" t="s">
        <v>1361</v>
      </c>
      <c r="D3040" s="8" t="s">
        <v>2923</v>
      </c>
      <c r="E3040" s="7"/>
      <c r="F3040" s="7"/>
      <c r="G3040" s="7"/>
      <c r="H3040" s="7"/>
      <c r="I3040" s="7"/>
      <c r="J3040" s="7"/>
      <c r="K3040" s="7"/>
      <c r="L3040" s="7"/>
      <c r="M3040" s="7"/>
    </row>
    <row r="3041" spans="1:13" x14ac:dyDescent="0.25">
      <c r="A3041" s="12" t="str">
        <f t="shared" si="96"/>
        <v>Doc. Pago em :</v>
      </c>
      <c r="B3041" s="12" t="str">
        <f t="shared" si="95"/>
        <v>Janeiro</v>
      </c>
      <c r="C3041" s="7" t="s">
        <v>1361</v>
      </c>
      <c r="D3041" s="8" t="s">
        <v>2930</v>
      </c>
      <c r="E3041" s="7"/>
      <c r="F3041" s="7"/>
      <c r="G3041" s="7"/>
      <c r="H3041" s="7"/>
      <c r="I3041" s="7"/>
      <c r="J3041" s="7"/>
      <c r="K3041" s="7"/>
      <c r="L3041" s="7"/>
      <c r="M3041" s="7"/>
    </row>
    <row r="3042" spans="1:13" x14ac:dyDescent="0.25">
      <c r="A3042" s="12" t="str">
        <f t="shared" si="96"/>
        <v>Doc. Pago em :</v>
      </c>
      <c r="B3042" s="12" t="str">
        <f t="shared" si="95"/>
        <v>Janeiro</v>
      </c>
      <c r="C3042" s="7" t="s">
        <v>1361</v>
      </c>
      <c r="D3042" s="8" t="s">
        <v>2935</v>
      </c>
      <c r="E3042" s="7"/>
      <c r="F3042" s="7"/>
      <c r="G3042" s="7"/>
      <c r="H3042" s="7"/>
      <c r="I3042" s="7"/>
      <c r="J3042" s="7"/>
      <c r="K3042" s="7"/>
      <c r="L3042" s="7"/>
      <c r="M3042" s="7"/>
    </row>
    <row r="3043" spans="1:13" x14ac:dyDescent="0.25">
      <c r="A3043" s="12" t="str">
        <f t="shared" si="96"/>
        <v>Doc. Pago em :</v>
      </c>
      <c r="B3043" s="12" t="str">
        <f t="shared" si="95"/>
        <v>Janeiro</v>
      </c>
      <c r="C3043" s="7" t="s">
        <v>1361</v>
      </c>
      <c r="D3043" s="8" t="s">
        <v>2938</v>
      </c>
      <c r="E3043" s="7"/>
      <c r="F3043" s="7"/>
      <c r="G3043" s="7"/>
      <c r="H3043" s="7"/>
      <c r="I3043" s="7"/>
      <c r="J3043" s="7"/>
      <c r="K3043" s="7"/>
      <c r="L3043" s="7"/>
      <c r="M3043" s="7"/>
    </row>
    <row r="3044" spans="1:13" x14ac:dyDescent="0.25">
      <c r="A3044" s="12" t="str">
        <f t="shared" si="96"/>
        <v>Doc. Pago em :</v>
      </c>
      <c r="B3044" s="12" t="str">
        <f t="shared" si="95"/>
        <v>Janeiro</v>
      </c>
      <c r="C3044" s="7" t="s">
        <v>1361</v>
      </c>
      <c r="D3044" s="8" t="s">
        <v>2939</v>
      </c>
      <c r="E3044" s="7"/>
      <c r="F3044" s="7"/>
      <c r="G3044" s="7"/>
      <c r="H3044" s="7"/>
      <c r="I3044" s="7"/>
      <c r="J3044" s="7"/>
      <c r="K3044" s="7"/>
      <c r="L3044" s="7"/>
      <c r="M3044" s="7"/>
    </row>
    <row r="3045" spans="1:13" x14ac:dyDescent="0.25">
      <c r="A3045" s="12" t="str">
        <f t="shared" si="96"/>
        <v>Doc. Pago em :</v>
      </c>
      <c r="B3045" s="12" t="str">
        <f t="shared" si="95"/>
        <v>Janeiro</v>
      </c>
      <c r="C3045" s="7" t="s">
        <v>1361</v>
      </c>
      <c r="D3045" s="8" t="s">
        <v>2945</v>
      </c>
      <c r="E3045" s="7"/>
      <c r="F3045" s="7"/>
      <c r="G3045" s="7"/>
      <c r="H3045" s="7"/>
      <c r="I3045" s="7"/>
      <c r="J3045" s="7"/>
      <c r="K3045" s="7"/>
      <c r="L3045" s="7"/>
      <c r="M3045" s="7"/>
    </row>
    <row r="3046" spans="1:13" x14ac:dyDescent="0.25">
      <c r="A3046" s="12" t="str">
        <f t="shared" si="96"/>
        <v>Doc. Pago em :</v>
      </c>
      <c r="B3046" s="12" t="str">
        <f t="shared" si="95"/>
        <v>Janeiro</v>
      </c>
      <c r="C3046" s="7" t="s">
        <v>1361</v>
      </c>
      <c r="D3046" s="8" t="s">
        <v>2950</v>
      </c>
      <c r="E3046" s="7"/>
      <c r="F3046" s="7"/>
      <c r="G3046" s="7"/>
      <c r="H3046" s="7"/>
      <c r="I3046" s="7"/>
      <c r="J3046" s="7"/>
      <c r="K3046" s="7"/>
      <c r="L3046" s="7"/>
      <c r="M3046" s="7"/>
    </row>
    <row r="3047" spans="1:13" x14ac:dyDescent="0.25">
      <c r="A3047" s="12" t="str">
        <f t="shared" si="96"/>
        <v>Doc. Pago em :</v>
      </c>
      <c r="B3047" s="12" t="str">
        <f t="shared" si="95"/>
        <v>Janeiro</v>
      </c>
      <c r="C3047" s="7" t="s">
        <v>1361</v>
      </c>
      <c r="D3047" s="8" t="s">
        <v>2985</v>
      </c>
      <c r="E3047" s="7"/>
      <c r="F3047" s="7"/>
      <c r="G3047" s="7"/>
      <c r="H3047" s="7"/>
      <c r="I3047" s="7"/>
      <c r="J3047" s="7"/>
      <c r="K3047" s="7"/>
      <c r="L3047" s="7"/>
      <c r="M3047" s="7"/>
    </row>
    <row r="3048" spans="1:13" x14ac:dyDescent="0.25">
      <c r="A3048" s="12" t="str">
        <f t="shared" si="96"/>
        <v>Doc. Pago em :</v>
      </c>
      <c r="B3048" s="12" t="str">
        <f t="shared" si="95"/>
        <v>Janeiro</v>
      </c>
      <c r="C3048" s="7" t="s">
        <v>1361</v>
      </c>
      <c r="D3048" s="8" t="s">
        <v>2993</v>
      </c>
      <c r="E3048" s="7"/>
      <c r="F3048" s="7"/>
      <c r="G3048" s="7"/>
      <c r="H3048" s="7"/>
      <c r="I3048" s="7"/>
      <c r="J3048" s="7"/>
      <c r="K3048" s="7"/>
      <c r="L3048" s="7"/>
      <c r="M3048" s="7"/>
    </row>
    <row r="3049" spans="1:13" x14ac:dyDescent="0.25">
      <c r="A3049" s="12" t="str">
        <f t="shared" si="96"/>
        <v>Doc. Pago em :</v>
      </c>
      <c r="B3049" s="12" t="str">
        <f t="shared" si="95"/>
        <v>Janeiro</v>
      </c>
      <c r="C3049" s="7" t="s">
        <v>1361</v>
      </c>
      <c r="D3049" s="8" t="s">
        <v>2994</v>
      </c>
      <c r="E3049" s="7"/>
      <c r="F3049" s="7"/>
      <c r="G3049" s="7"/>
      <c r="H3049" s="7"/>
      <c r="I3049" s="7"/>
      <c r="J3049" s="7"/>
      <c r="K3049" s="7"/>
      <c r="L3049" s="7"/>
      <c r="M3049" s="7"/>
    </row>
    <row r="3050" spans="1:13" x14ac:dyDescent="0.25">
      <c r="A3050" s="12" t="str">
        <f t="shared" si="96"/>
        <v>Doc. Pago em :</v>
      </c>
      <c r="B3050" s="12" t="str">
        <f t="shared" si="95"/>
        <v>Janeiro</v>
      </c>
      <c r="C3050" s="7" t="s">
        <v>1361</v>
      </c>
      <c r="D3050" s="8" t="s">
        <v>3014</v>
      </c>
      <c r="E3050" s="7"/>
      <c r="F3050" s="7"/>
      <c r="G3050" s="7"/>
      <c r="H3050" s="7"/>
      <c r="I3050" s="7"/>
      <c r="J3050" s="7"/>
      <c r="K3050" s="7"/>
      <c r="L3050" s="7"/>
      <c r="M3050" s="7"/>
    </row>
    <row r="3051" spans="1:13" x14ac:dyDescent="0.25">
      <c r="A3051" s="12" t="str">
        <f t="shared" si="96"/>
        <v>Doc. Pago em :</v>
      </c>
      <c r="B3051" s="12" t="str">
        <f t="shared" si="95"/>
        <v>Janeiro</v>
      </c>
      <c r="C3051" s="7" t="s">
        <v>1361</v>
      </c>
      <c r="D3051" s="8" t="s">
        <v>3018</v>
      </c>
      <c r="E3051" s="7"/>
      <c r="F3051" s="7"/>
      <c r="G3051" s="7"/>
      <c r="H3051" s="7"/>
      <c r="I3051" s="7"/>
      <c r="J3051" s="7"/>
      <c r="K3051" s="7"/>
      <c r="L3051" s="7"/>
      <c r="M3051" s="7"/>
    </row>
    <row r="3052" spans="1:13" x14ac:dyDescent="0.25">
      <c r="A3052" s="12" t="str">
        <f t="shared" si="96"/>
        <v>Doc. Pago em :</v>
      </c>
      <c r="B3052" s="12" t="str">
        <f t="shared" si="95"/>
        <v>Janeiro</v>
      </c>
      <c r="C3052" s="7" t="s">
        <v>1361</v>
      </c>
      <c r="D3052" s="8" t="s">
        <v>3020</v>
      </c>
      <c r="E3052" s="7"/>
      <c r="F3052" s="7"/>
      <c r="G3052" s="7"/>
      <c r="H3052" s="7"/>
      <c r="I3052" s="7"/>
      <c r="J3052" s="7"/>
      <c r="K3052" s="7"/>
      <c r="L3052" s="7"/>
      <c r="M3052" s="7"/>
    </row>
    <row r="3053" spans="1:13" x14ac:dyDescent="0.25">
      <c r="A3053" s="12" t="str">
        <f t="shared" si="96"/>
        <v>Doc. Pago em :</v>
      </c>
      <c r="B3053" s="12" t="str">
        <f t="shared" si="95"/>
        <v>Janeiro</v>
      </c>
      <c r="C3053" s="7" t="s">
        <v>1361</v>
      </c>
      <c r="D3053" s="8" t="s">
        <v>3021</v>
      </c>
      <c r="E3053" s="7"/>
      <c r="F3053" s="7"/>
      <c r="G3053" s="7"/>
      <c r="H3053" s="7"/>
      <c r="I3053" s="7"/>
      <c r="J3053" s="7"/>
      <c r="K3053" s="7"/>
      <c r="L3053" s="7"/>
      <c r="M3053" s="7"/>
    </row>
    <row r="3054" spans="1:13" x14ac:dyDescent="0.25">
      <c r="A3054" s="12" t="str">
        <f t="shared" si="96"/>
        <v>Doc. Pago em :</v>
      </c>
      <c r="B3054" s="12" t="str">
        <f t="shared" si="95"/>
        <v>Janeiro</v>
      </c>
      <c r="C3054" s="7" t="s">
        <v>1361</v>
      </c>
      <c r="D3054" s="8" t="s">
        <v>3024</v>
      </c>
      <c r="E3054" s="7"/>
      <c r="F3054" s="7"/>
      <c r="G3054" s="7"/>
      <c r="H3054" s="7"/>
      <c r="I3054" s="7"/>
      <c r="J3054" s="7"/>
      <c r="K3054" s="7"/>
      <c r="L3054" s="7"/>
      <c r="M3054" s="7"/>
    </row>
    <row r="3055" spans="1:13" x14ac:dyDescent="0.25">
      <c r="A3055" s="12" t="str">
        <f t="shared" si="96"/>
        <v>Doc. Pago em :</v>
      </c>
      <c r="B3055" s="12" t="str">
        <f t="shared" si="95"/>
        <v>Janeiro</v>
      </c>
      <c r="C3055" s="7" t="s">
        <v>1361</v>
      </c>
      <c r="D3055" s="8" t="s">
        <v>3025</v>
      </c>
      <c r="E3055" s="7"/>
      <c r="F3055" s="7"/>
      <c r="G3055" s="7"/>
      <c r="H3055" s="7"/>
      <c r="I3055" s="7"/>
      <c r="J3055" s="7"/>
      <c r="K3055" s="7"/>
      <c r="L3055" s="7"/>
      <c r="M3055" s="7"/>
    </row>
    <row r="3056" spans="1:13" x14ac:dyDescent="0.25">
      <c r="A3056" s="12" t="str">
        <f t="shared" si="96"/>
        <v>Doc. Pago em :</v>
      </c>
      <c r="B3056" s="12" t="str">
        <f t="shared" si="95"/>
        <v>Janeiro</v>
      </c>
      <c r="C3056" s="7" t="s">
        <v>1361</v>
      </c>
      <c r="D3056" s="8" t="s">
        <v>3031</v>
      </c>
      <c r="E3056" s="7"/>
      <c r="F3056" s="7"/>
      <c r="G3056" s="7"/>
      <c r="H3056" s="7"/>
      <c r="I3056" s="7"/>
      <c r="J3056" s="7"/>
      <c r="K3056" s="7"/>
      <c r="L3056" s="7"/>
      <c r="M3056" s="7"/>
    </row>
    <row r="3057" spans="1:13" x14ac:dyDescent="0.25">
      <c r="A3057" s="12" t="str">
        <f t="shared" si="96"/>
        <v>Doc. Pago em :</v>
      </c>
      <c r="B3057" s="12" t="str">
        <f t="shared" si="95"/>
        <v>Janeiro</v>
      </c>
      <c r="C3057" s="7" t="s">
        <v>1361</v>
      </c>
      <c r="D3057" s="8" t="s">
        <v>3046</v>
      </c>
      <c r="E3057" s="7"/>
      <c r="F3057" s="7"/>
      <c r="G3057" s="7"/>
      <c r="H3057" s="7"/>
      <c r="I3057" s="7"/>
      <c r="J3057" s="7"/>
      <c r="K3057" s="7"/>
      <c r="L3057" s="7"/>
      <c r="M3057" s="7"/>
    </row>
    <row r="3058" spans="1:13" x14ac:dyDescent="0.25">
      <c r="A3058" s="12" t="str">
        <f t="shared" si="96"/>
        <v>Doc. Pago em :</v>
      </c>
      <c r="B3058" s="12" t="str">
        <f t="shared" si="95"/>
        <v>Janeiro</v>
      </c>
      <c r="C3058" s="7" t="s">
        <v>1361</v>
      </c>
      <c r="D3058" s="8" t="s">
        <v>3048</v>
      </c>
      <c r="E3058" s="7"/>
      <c r="F3058" s="7"/>
      <c r="G3058" s="7"/>
      <c r="H3058" s="7"/>
      <c r="I3058" s="7"/>
      <c r="J3058" s="7"/>
      <c r="K3058" s="7"/>
      <c r="L3058" s="7"/>
      <c r="M3058" s="7"/>
    </row>
    <row r="3059" spans="1:13" x14ac:dyDescent="0.25">
      <c r="A3059" s="12" t="str">
        <f t="shared" si="96"/>
        <v>Doc. Pago em :</v>
      </c>
      <c r="B3059" s="12" t="str">
        <f t="shared" si="95"/>
        <v>Janeiro</v>
      </c>
      <c r="C3059" s="7" t="s">
        <v>1361</v>
      </c>
      <c r="D3059" s="8" t="s">
        <v>3049</v>
      </c>
      <c r="E3059" s="7"/>
      <c r="F3059" s="7"/>
      <c r="G3059" s="7"/>
      <c r="H3059" s="7"/>
      <c r="I3059" s="7"/>
      <c r="J3059" s="7"/>
      <c r="K3059" s="7"/>
      <c r="L3059" s="7"/>
      <c r="M3059" s="7"/>
    </row>
    <row r="3060" spans="1:13" x14ac:dyDescent="0.25">
      <c r="A3060" s="12" t="str">
        <f t="shared" si="96"/>
        <v>Doc. Pago em :</v>
      </c>
      <c r="B3060" s="12" t="str">
        <f t="shared" si="95"/>
        <v>Janeiro</v>
      </c>
      <c r="C3060" s="7" t="s">
        <v>1361</v>
      </c>
      <c r="D3060" s="8" t="s">
        <v>3050</v>
      </c>
      <c r="E3060" s="7"/>
      <c r="F3060" s="7"/>
      <c r="G3060" s="7"/>
      <c r="H3060" s="7"/>
      <c r="I3060" s="7"/>
      <c r="J3060" s="7"/>
      <c r="K3060" s="7"/>
      <c r="L3060" s="7"/>
      <c r="M3060" s="7"/>
    </row>
    <row r="3061" spans="1:13" x14ac:dyDescent="0.25">
      <c r="A3061" s="12" t="str">
        <f t="shared" si="96"/>
        <v>Doc. Pago em :</v>
      </c>
      <c r="B3061" s="12" t="str">
        <f t="shared" si="95"/>
        <v>Janeiro</v>
      </c>
      <c r="C3061" s="7" t="s">
        <v>1361</v>
      </c>
      <c r="D3061" s="8" t="s">
        <v>3058</v>
      </c>
      <c r="E3061" s="7"/>
      <c r="F3061" s="7"/>
      <c r="G3061" s="7"/>
      <c r="H3061" s="7"/>
      <c r="I3061" s="7"/>
      <c r="J3061" s="7"/>
      <c r="K3061" s="7"/>
      <c r="L3061" s="7"/>
      <c r="M3061" s="7"/>
    </row>
    <row r="3062" spans="1:13" x14ac:dyDescent="0.25">
      <c r="A3062" s="12" t="str">
        <f t="shared" si="96"/>
        <v>Doc. Pago em :</v>
      </c>
      <c r="B3062" s="12" t="str">
        <f t="shared" si="95"/>
        <v>Janeiro</v>
      </c>
      <c r="C3062" s="7" t="s">
        <v>1361</v>
      </c>
      <c r="D3062" s="8" t="s">
        <v>3075</v>
      </c>
      <c r="E3062" s="7"/>
      <c r="F3062" s="7"/>
      <c r="G3062" s="7"/>
      <c r="H3062" s="7"/>
      <c r="I3062" s="7"/>
      <c r="J3062" s="7"/>
      <c r="K3062" s="7"/>
      <c r="L3062" s="7"/>
      <c r="M3062" s="7"/>
    </row>
    <row r="3063" spans="1:13" x14ac:dyDescent="0.25">
      <c r="A3063" s="12" t="str">
        <f t="shared" si="96"/>
        <v>Doc. Pago em :</v>
      </c>
      <c r="B3063" s="12" t="str">
        <f t="shared" si="95"/>
        <v>Janeiro</v>
      </c>
      <c r="C3063" s="7" t="s">
        <v>1361</v>
      </c>
      <c r="D3063" s="8" t="s">
        <v>3076</v>
      </c>
      <c r="E3063" s="7"/>
      <c r="F3063" s="7"/>
      <c r="G3063" s="7"/>
      <c r="H3063" s="7"/>
      <c r="I3063" s="7"/>
      <c r="J3063" s="7"/>
      <c r="K3063" s="7"/>
      <c r="L3063" s="7"/>
      <c r="M3063" s="7"/>
    </row>
    <row r="3064" spans="1:13" x14ac:dyDescent="0.25">
      <c r="A3064" s="12" t="str">
        <f t="shared" si="96"/>
        <v>Doc. Pago em :</v>
      </c>
      <c r="B3064" s="12" t="str">
        <f t="shared" si="95"/>
        <v>Janeiro</v>
      </c>
      <c r="C3064" s="7" t="s">
        <v>1361</v>
      </c>
      <c r="D3064" s="8" t="s">
        <v>3082</v>
      </c>
      <c r="E3064" s="7"/>
      <c r="F3064" s="7"/>
      <c r="G3064" s="7"/>
      <c r="H3064" s="7"/>
      <c r="I3064" s="7"/>
      <c r="J3064" s="7"/>
      <c r="K3064" s="7"/>
      <c r="L3064" s="7"/>
      <c r="M3064" s="7"/>
    </row>
    <row r="3065" spans="1:13" x14ac:dyDescent="0.25">
      <c r="A3065" s="12" t="str">
        <f t="shared" si="96"/>
        <v>Doc. Pago em :</v>
      </c>
      <c r="B3065" s="12" t="str">
        <f t="shared" si="95"/>
        <v>Janeiro</v>
      </c>
      <c r="C3065" s="7" t="s">
        <v>1361</v>
      </c>
      <c r="D3065" s="8" t="s">
        <v>3083</v>
      </c>
      <c r="E3065" s="7"/>
      <c r="F3065" s="7"/>
      <c r="G3065" s="7"/>
      <c r="H3065" s="7"/>
      <c r="I3065" s="7"/>
      <c r="J3065" s="7"/>
      <c r="K3065" s="7"/>
      <c r="L3065" s="7"/>
      <c r="M3065" s="7"/>
    </row>
    <row r="3066" spans="1:13" x14ac:dyDescent="0.25">
      <c r="A3066" s="12" t="str">
        <f t="shared" si="96"/>
        <v>Doc. Pago em :</v>
      </c>
      <c r="B3066" s="12" t="str">
        <f t="shared" si="95"/>
        <v>Janeiro</v>
      </c>
      <c r="C3066" s="7" t="s">
        <v>1361</v>
      </c>
      <c r="D3066" s="8" t="s">
        <v>3087</v>
      </c>
      <c r="E3066" s="7"/>
      <c r="F3066" s="7"/>
      <c r="G3066" s="7"/>
      <c r="H3066" s="7"/>
      <c r="I3066" s="7"/>
      <c r="J3066" s="7"/>
      <c r="K3066" s="7"/>
      <c r="L3066" s="7"/>
      <c r="M3066" s="7"/>
    </row>
    <row r="3067" spans="1:13" x14ac:dyDescent="0.25">
      <c r="A3067" s="12" t="str">
        <f t="shared" si="96"/>
        <v>Doc. Pago em :</v>
      </c>
      <c r="B3067" s="12" t="str">
        <f t="shared" si="95"/>
        <v>Janeiro</v>
      </c>
      <c r="C3067" s="7" t="s">
        <v>1361</v>
      </c>
      <c r="D3067" s="8" t="s">
        <v>3095</v>
      </c>
      <c r="E3067" s="7"/>
      <c r="F3067" s="7"/>
      <c r="G3067" s="7"/>
      <c r="H3067" s="7"/>
      <c r="I3067" s="7"/>
      <c r="J3067" s="7"/>
      <c r="K3067" s="7"/>
      <c r="L3067" s="7"/>
      <c r="M3067" s="7"/>
    </row>
    <row r="3068" spans="1:13" x14ac:dyDescent="0.25">
      <c r="A3068" s="12" t="str">
        <f t="shared" si="96"/>
        <v>Doc. Pago em :</v>
      </c>
      <c r="B3068" s="12" t="str">
        <f t="shared" si="95"/>
        <v>Janeiro</v>
      </c>
      <c r="C3068" s="7" t="s">
        <v>1361</v>
      </c>
      <c r="D3068" s="8" t="s">
        <v>3125</v>
      </c>
      <c r="E3068" s="7"/>
      <c r="F3068" s="7"/>
      <c r="G3068" s="7"/>
      <c r="H3068" s="7"/>
      <c r="I3068" s="7"/>
      <c r="J3068" s="7"/>
      <c r="K3068" s="7"/>
      <c r="L3068" s="7"/>
      <c r="M3068" s="7"/>
    </row>
    <row r="3069" spans="1:13" x14ac:dyDescent="0.25">
      <c r="A3069" s="12" t="str">
        <f t="shared" si="96"/>
        <v>Doc. Pago em :</v>
      </c>
      <c r="B3069" s="12" t="str">
        <f t="shared" si="95"/>
        <v>Janeiro</v>
      </c>
      <c r="C3069" s="7" t="s">
        <v>1361</v>
      </c>
      <c r="D3069" s="8" t="s">
        <v>3142</v>
      </c>
      <c r="E3069" s="7"/>
      <c r="F3069" s="7"/>
      <c r="G3069" s="7"/>
      <c r="H3069" s="7"/>
      <c r="I3069" s="7"/>
      <c r="J3069" s="7"/>
      <c r="K3069" s="7"/>
      <c r="L3069" s="7"/>
      <c r="M3069" s="7"/>
    </row>
    <row r="3070" spans="1:13" x14ac:dyDescent="0.25">
      <c r="A3070" s="12" t="str">
        <f t="shared" si="96"/>
        <v>Doc. Pago em :</v>
      </c>
      <c r="B3070" s="12" t="str">
        <f t="shared" si="95"/>
        <v>Janeiro</v>
      </c>
      <c r="C3070" s="7" t="s">
        <v>1361</v>
      </c>
      <c r="D3070" s="8" t="s">
        <v>3147</v>
      </c>
      <c r="E3070" s="7"/>
      <c r="F3070" s="7"/>
      <c r="G3070" s="7"/>
      <c r="H3070" s="7"/>
      <c r="I3070" s="7"/>
      <c r="J3070" s="7"/>
      <c r="K3070" s="7"/>
      <c r="L3070" s="7"/>
      <c r="M3070" s="7"/>
    </row>
    <row r="3071" spans="1:13" x14ac:dyDescent="0.25">
      <c r="A3071" s="12" t="str">
        <f t="shared" si="96"/>
        <v>Doc. Pago em :</v>
      </c>
      <c r="B3071" s="12" t="str">
        <f t="shared" si="95"/>
        <v>Janeiro</v>
      </c>
      <c r="C3071" s="7" t="s">
        <v>1361</v>
      </c>
      <c r="D3071" s="8" t="s">
        <v>3148</v>
      </c>
      <c r="E3071" s="7"/>
      <c r="F3071" s="7"/>
      <c r="G3071" s="7"/>
      <c r="H3071" s="7"/>
      <c r="I3071" s="7"/>
      <c r="J3071" s="7"/>
      <c r="K3071" s="7"/>
      <c r="L3071" s="7"/>
      <c r="M3071" s="7"/>
    </row>
    <row r="3072" spans="1:13" x14ac:dyDescent="0.25">
      <c r="A3072" s="12" t="str">
        <f t="shared" si="96"/>
        <v>Doc. Pago em :</v>
      </c>
      <c r="B3072" s="12" t="str">
        <f t="shared" si="95"/>
        <v>Janeiro</v>
      </c>
      <c r="C3072" s="7" t="s">
        <v>1361</v>
      </c>
      <c r="D3072" s="8" t="s">
        <v>3151</v>
      </c>
      <c r="E3072" s="7"/>
      <c r="F3072" s="7"/>
      <c r="G3072" s="7"/>
      <c r="H3072" s="7"/>
      <c r="I3072" s="7"/>
      <c r="J3072" s="7"/>
      <c r="K3072" s="7"/>
      <c r="L3072" s="7"/>
      <c r="M3072" s="7"/>
    </row>
    <row r="3073" spans="1:13" x14ac:dyDescent="0.25">
      <c r="A3073" s="12" t="str">
        <f t="shared" si="96"/>
        <v>Doc. Pago em :</v>
      </c>
      <c r="B3073" s="12" t="str">
        <f t="shared" si="95"/>
        <v>Janeiro</v>
      </c>
      <c r="C3073" s="7" t="s">
        <v>1361</v>
      </c>
      <c r="D3073" s="8" t="s">
        <v>3153</v>
      </c>
      <c r="E3073" s="7"/>
      <c r="F3073" s="7"/>
      <c r="G3073" s="7"/>
      <c r="H3073" s="7"/>
      <c r="I3073" s="7"/>
      <c r="J3073" s="7"/>
      <c r="K3073" s="7"/>
      <c r="L3073" s="7"/>
      <c r="M3073" s="7"/>
    </row>
    <row r="3074" spans="1:13" x14ac:dyDescent="0.25">
      <c r="A3074" s="12" t="str">
        <f t="shared" si="96"/>
        <v>Doc. Pago em :</v>
      </c>
      <c r="B3074" s="12" t="str">
        <f t="shared" si="95"/>
        <v>Janeiro</v>
      </c>
      <c r="C3074" s="7" t="s">
        <v>1361</v>
      </c>
      <c r="D3074" s="8" t="s">
        <v>3157</v>
      </c>
      <c r="E3074" s="7"/>
      <c r="F3074" s="7"/>
      <c r="G3074" s="7"/>
      <c r="H3074" s="7"/>
      <c r="I3074" s="7"/>
      <c r="J3074" s="7"/>
      <c r="K3074" s="7"/>
      <c r="L3074" s="7"/>
      <c r="M3074" s="7"/>
    </row>
    <row r="3075" spans="1:13" x14ac:dyDescent="0.25">
      <c r="A3075" s="12" t="str">
        <f t="shared" si="96"/>
        <v>Doc. Pago em :</v>
      </c>
      <c r="B3075" s="12" t="str">
        <f t="shared" ref="B3075:B3138" si="97">PROPER(TEXT($H3075,"MMMM"))</f>
        <v>Janeiro</v>
      </c>
      <c r="C3075" s="7" t="s">
        <v>1361</v>
      </c>
      <c r="D3075" s="8" t="s">
        <v>3162</v>
      </c>
      <c r="E3075" s="7"/>
      <c r="F3075" s="7"/>
      <c r="G3075" s="7"/>
      <c r="H3075" s="7"/>
      <c r="I3075" s="7"/>
      <c r="J3075" s="7"/>
      <c r="K3075" s="7"/>
      <c r="L3075" s="7"/>
      <c r="M3075" s="7"/>
    </row>
    <row r="3076" spans="1:13" x14ac:dyDescent="0.25">
      <c r="A3076" s="12" t="str">
        <f t="shared" si="96"/>
        <v>Doc. Pago em :</v>
      </c>
      <c r="B3076" s="12" t="str">
        <f t="shared" si="97"/>
        <v>Janeiro</v>
      </c>
      <c r="C3076" s="7" t="s">
        <v>1361</v>
      </c>
      <c r="D3076" s="8" t="s">
        <v>3165</v>
      </c>
      <c r="E3076" s="7"/>
      <c r="F3076" s="7"/>
      <c r="G3076" s="7"/>
      <c r="H3076" s="7"/>
      <c r="I3076" s="7"/>
      <c r="J3076" s="7"/>
      <c r="K3076" s="7"/>
      <c r="L3076" s="7"/>
      <c r="M3076" s="7"/>
    </row>
    <row r="3077" spans="1:13" x14ac:dyDescent="0.25">
      <c r="A3077" s="12" t="str">
        <f t="shared" si="96"/>
        <v>Doc. Pago em :</v>
      </c>
      <c r="B3077" s="12" t="str">
        <f t="shared" si="97"/>
        <v>Janeiro</v>
      </c>
      <c r="C3077" s="7" t="s">
        <v>1361</v>
      </c>
      <c r="D3077" s="8" t="s">
        <v>3167</v>
      </c>
      <c r="E3077" s="7"/>
      <c r="F3077" s="7"/>
      <c r="G3077" s="7"/>
      <c r="H3077" s="7"/>
      <c r="I3077" s="7"/>
      <c r="J3077" s="7"/>
      <c r="K3077" s="7"/>
      <c r="L3077" s="7"/>
      <c r="M3077" s="7"/>
    </row>
    <row r="3078" spans="1:13" x14ac:dyDescent="0.25">
      <c r="A3078" s="12" t="str">
        <f t="shared" si="96"/>
        <v>Doc. Pago em :</v>
      </c>
      <c r="B3078" s="12" t="str">
        <f t="shared" si="97"/>
        <v>Janeiro</v>
      </c>
      <c r="C3078" s="7" t="s">
        <v>1361</v>
      </c>
      <c r="D3078" s="8" t="s">
        <v>3168</v>
      </c>
      <c r="E3078" s="7"/>
      <c r="F3078" s="7"/>
      <c r="G3078" s="7"/>
      <c r="H3078" s="7"/>
      <c r="I3078" s="7"/>
      <c r="J3078" s="7"/>
      <c r="K3078" s="7"/>
      <c r="L3078" s="7"/>
      <c r="M3078" s="7"/>
    </row>
    <row r="3079" spans="1:13" x14ac:dyDescent="0.25">
      <c r="A3079" s="12" t="str">
        <f t="shared" si="96"/>
        <v>Doc. Pago em :</v>
      </c>
      <c r="B3079" s="12" t="str">
        <f t="shared" si="97"/>
        <v>Janeiro</v>
      </c>
      <c r="C3079" s="7" t="s">
        <v>1361</v>
      </c>
      <c r="D3079" s="8" t="s">
        <v>3173</v>
      </c>
      <c r="E3079" s="7"/>
      <c r="F3079" s="7"/>
      <c r="G3079" s="7"/>
      <c r="H3079" s="7"/>
      <c r="I3079" s="7"/>
      <c r="J3079" s="7"/>
      <c r="K3079" s="7"/>
      <c r="L3079" s="7"/>
      <c r="M3079" s="7"/>
    </row>
    <row r="3080" spans="1:13" x14ac:dyDescent="0.25">
      <c r="A3080" s="12" t="str">
        <f t="shared" si="96"/>
        <v>Doc. Pago em :</v>
      </c>
      <c r="B3080" s="12" t="str">
        <f t="shared" si="97"/>
        <v>Janeiro</v>
      </c>
      <c r="C3080" s="7" t="s">
        <v>1361</v>
      </c>
      <c r="D3080" s="8" t="s">
        <v>3181</v>
      </c>
      <c r="E3080" s="7"/>
      <c r="F3080" s="7"/>
      <c r="G3080" s="7"/>
      <c r="H3080" s="7"/>
      <c r="I3080" s="7"/>
      <c r="J3080" s="7"/>
      <c r="K3080" s="7"/>
      <c r="L3080" s="7"/>
      <c r="M3080" s="7"/>
    </row>
    <row r="3081" spans="1:13" x14ac:dyDescent="0.25">
      <c r="A3081" s="12" t="str">
        <f t="shared" si="96"/>
        <v>Doc. Pago em :</v>
      </c>
      <c r="B3081" s="12" t="str">
        <f t="shared" si="97"/>
        <v>Janeiro</v>
      </c>
      <c r="C3081" s="7" t="s">
        <v>1361</v>
      </c>
      <c r="D3081" s="8" t="s">
        <v>3185</v>
      </c>
      <c r="E3081" s="7"/>
      <c r="F3081" s="7"/>
      <c r="G3081" s="7"/>
      <c r="H3081" s="7"/>
      <c r="I3081" s="7"/>
      <c r="J3081" s="7"/>
      <c r="K3081" s="7"/>
      <c r="L3081" s="7"/>
      <c r="M3081" s="7"/>
    </row>
    <row r="3082" spans="1:13" x14ac:dyDescent="0.25">
      <c r="A3082" s="12" t="str">
        <f t="shared" si="96"/>
        <v>Doc. Pago em :</v>
      </c>
      <c r="B3082" s="12" t="str">
        <f t="shared" si="97"/>
        <v>Janeiro</v>
      </c>
      <c r="C3082" s="7" t="s">
        <v>1361</v>
      </c>
      <c r="D3082" s="8" t="s">
        <v>3187</v>
      </c>
      <c r="E3082" s="7"/>
      <c r="F3082" s="7"/>
      <c r="G3082" s="7"/>
      <c r="H3082" s="7"/>
      <c r="I3082" s="7"/>
      <c r="J3082" s="7"/>
      <c r="K3082" s="7"/>
      <c r="L3082" s="7"/>
      <c r="M3082" s="7"/>
    </row>
    <row r="3083" spans="1:13" x14ac:dyDescent="0.25">
      <c r="A3083" s="12" t="str">
        <f t="shared" si="96"/>
        <v>Doc. Pago em :</v>
      </c>
      <c r="B3083" s="12" t="str">
        <f t="shared" si="97"/>
        <v>Janeiro</v>
      </c>
      <c r="C3083" s="7" t="s">
        <v>1361</v>
      </c>
      <c r="D3083" s="8" t="s">
        <v>3190</v>
      </c>
      <c r="E3083" s="7"/>
      <c r="F3083" s="7"/>
      <c r="G3083" s="7"/>
      <c r="H3083" s="7"/>
      <c r="I3083" s="7"/>
      <c r="J3083" s="7"/>
      <c r="K3083" s="7"/>
      <c r="L3083" s="7"/>
      <c r="M3083" s="7"/>
    </row>
    <row r="3084" spans="1:13" x14ac:dyDescent="0.25">
      <c r="A3084" s="12" t="str">
        <f t="shared" si="96"/>
        <v>Doc. Pago em :</v>
      </c>
      <c r="B3084" s="12" t="str">
        <f t="shared" si="97"/>
        <v>Janeiro</v>
      </c>
      <c r="C3084" s="7" t="s">
        <v>1361</v>
      </c>
      <c r="D3084" s="8" t="s">
        <v>3197</v>
      </c>
      <c r="E3084" s="7"/>
      <c r="F3084" s="7"/>
      <c r="G3084" s="7"/>
      <c r="H3084" s="7"/>
      <c r="I3084" s="7"/>
      <c r="J3084" s="7"/>
      <c r="K3084" s="7"/>
      <c r="L3084" s="7"/>
      <c r="M3084" s="7"/>
    </row>
    <row r="3085" spans="1:13" x14ac:dyDescent="0.25">
      <c r="A3085" s="12" t="str">
        <f t="shared" si="96"/>
        <v>DocumentoFornecedorTipoEmissão</v>
      </c>
      <c r="B3085" s="12" t="str">
        <f t="shared" si="97"/>
        <v>Vencto</v>
      </c>
      <c r="C3085" s="7" t="s">
        <v>1020</v>
      </c>
      <c r="D3085" s="7" t="s">
        <v>1342</v>
      </c>
      <c r="E3085" s="7" t="s">
        <v>0</v>
      </c>
      <c r="F3085" s="7" t="s">
        <v>1026</v>
      </c>
      <c r="G3085" s="7" t="s">
        <v>1022</v>
      </c>
      <c r="H3085" s="7" t="s">
        <v>1343</v>
      </c>
      <c r="I3085" s="7" t="s">
        <v>1344</v>
      </c>
      <c r="J3085" s="7" t="s">
        <v>1345</v>
      </c>
      <c r="K3085" s="7" t="s">
        <v>1346</v>
      </c>
      <c r="L3085" s="7" t="s">
        <v>1347</v>
      </c>
      <c r="M3085" s="7" t="s">
        <v>1348</v>
      </c>
    </row>
    <row r="3086" spans="1:13" x14ac:dyDescent="0.25">
      <c r="A3086" s="12" t="str">
        <f t="shared" si="96"/>
        <v>DocumentoFornecedorTipoEmissão</v>
      </c>
      <c r="B3086" s="12" t="str">
        <f t="shared" si="97"/>
        <v>Vencto</v>
      </c>
      <c r="C3086" s="7" t="s">
        <v>1020</v>
      </c>
      <c r="D3086" s="7" t="s">
        <v>1342</v>
      </c>
      <c r="E3086" s="7" t="s">
        <v>0</v>
      </c>
      <c r="F3086" s="7" t="s">
        <v>1026</v>
      </c>
      <c r="G3086" s="7" t="s">
        <v>1022</v>
      </c>
      <c r="H3086" s="7" t="s">
        <v>1343</v>
      </c>
      <c r="I3086" s="7" t="s">
        <v>1344</v>
      </c>
      <c r="J3086" s="7" t="s">
        <v>1345</v>
      </c>
      <c r="K3086" s="7" t="s">
        <v>1346</v>
      </c>
      <c r="L3086" s="7" t="s">
        <v>1347</v>
      </c>
      <c r="M3086" s="7" t="s">
        <v>1348</v>
      </c>
    </row>
    <row r="3087" spans="1:13" x14ac:dyDescent="0.25">
      <c r="A3087" s="12" t="str">
        <f t="shared" si="96"/>
        <v>DocumentoFornecedorTipoEmissão</v>
      </c>
      <c r="B3087" s="12" t="str">
        <f t="shared" si="97"/>
        <v>Vencto</v>
      </c>
      <c r="C3087" s="7" t="s">
        <v>1020</v>
      </c>
      <c r="D3087" s="7" t="s">
        <v>1342</v>
      </c>
      <c r="E3087" s="7" t="s">
        <v>0</v>
      </c>
      <c r="F3087" s="7" t="s">
        <v>1026</v>
      </c>
      <c r="G3087" s="7" t="s">
        <v>1022</v>
      </c>
      <c r="H3087" s="7" t="s">
        <v>1343</v>
      </c>
      <c r="I3087" s="7" t="s">
        <v>1344</v>
      </c>
      <c r="J3087" s="7" t="s">
        <v>1345</v>
      </c>
      <c r="K3087" s="7" t="s">
        <v>1346</v>
      </c>
      <c r="L3087" s="7" t="s">
        <v>1347</v>
      </c>
      <c r="M3087" s="7" t="s">
        <v>1348</v>
      </c>
    </row>
    <row r="3088" spans="1:13" x14ac:dyDescent="0.25">
      <c r="A3088" s="12" t="str">
        <f t="shared" si="96"/>
        <v>DocumentoFornecedorTipoEmissão</v>
      </c>
      <c r="B3088" s="12" t="str">
        <f t="shared" si="97"/>
        <v>Vencto</v>
      </c>
      <c r="C3088" s="7" t="s">
        <v>1020</v>
      </c>
      <c r="D3088" s="7" t="s">
        <v>1342</v>
      </c>
      <c r="E3088" s="7" t="s">
        <v>0</v>
      </c>
      <c r="F3088" s="7" t="s">
        <v>1026</v>
      </c>
      <c r="G3088" s="7" t="s">
        <v>1022</v>
      </c>
      <c r="H3088" s="7" t="s">
        <v>1343</v>
      </c>
      <c r="I3088" s="7" t="s">
        <v>1344</v>
      </c>
      <c r="J3088" s="7" t="s">
        <v>1345</v>
      </c>
      <c r="K3088" s="7" t="s">
        <v>1346</v>
      </c>
      <c r="L3088" s="7" t="s">
        <v>1347</v>
      </c>
      <c r="M3088" s="7" t="s">
        <v>1348</v>
      </c>
    </row>
    <row r="3089" spans="1:13" x14ac:dyDescent="0.25">
      <c r="A3089" s="12" t="str">
        <f t="shared" si="96"/>
        <v>DocumentoFornecedorTipoEmissão</v>
      </c>
      <c r="B3089" s="12" t="str">
        <f t="shared" si="97"/>
        <v>Vencto</v>
      </c>
      <c r="C3089" s="7" t="s">
        <v>1020</v>
      </c>
      <c r="D3089" s="7" t="s">
        <v>1342</v>
      </c>
      <c r="E3089" s="7" t="s">
        <v>0</v>
      </c>
      <c r="F3089" s="7" t="s">
        <v>1026</v>
      </c>
      <c r="G3089" s="7" t="s">
        <v>1022</v>
      </c>
      <c r="H3089" s="7" t="s">
        <v>1343</v>
      </c>
      <c r="I3089" s="7" t="s">
        <v>1344</v>
      </c>
      <c r="J3089" s="7" t="s">
        <v>1345</v>
      </c>
      <c r="K3089" s="7" t="s">
        <v>1346</v>
      </c>
      <c r="L3089" s="7" t="s">
        <v>1347</v>
      </c>
      <c r="M3089" s="7" t="s">
        <v>1348</v>
      </c>
    </row>
    <row r="3090" spans="1:13" x14ac:dyDescent="0.25">
      <c r="A3090" s="12" t="str">
        <f t="shared" si="96"/>
        <v>DocumentoFornecedorTipoEmissão</v>
      </c>
      <c r="B3090" s="12" t="str">
        <f t="shared" si="97"/>
        <v>Vencto</v>
      </c>
      <c r="C3090" s="7" t="s">
        <v>1020</v>
      </c>
      <c r="D3090" s="7" t="s">
        <v>1342</v>
      </c>
      <c r="E3090" s="7" t="s">
        <v>0</v>
      </c>
      <c r="F3090" s="7" t="s">
        <v>1026</v>
      </c>
      <c r="G3090" s="7" t="s">
        <v>1022</v>
      </c>
      <c r="H3090" s="7" t="s">
        <v>1343</v>
      </c>
      <c r="I3090" s="7" t="s">
        <v>1344</v>
      </c>
      <c r="J3090" s="7" t="s">
        <v>1345</v>
      </c>
      <c r="K3090" s="7" t="s">
        <v>1346</v>
      </c>
      <c r="L3090" s="7" t="s">
        <v>1347</v>
      </c>
      <c r="M3090" s="7" t="s">
        <v>1348</v>
      </c>
    </row>
    <row r="3091" spans="1:13" x14ac:dyDescent="0.25">
      <c r="A3091" s="12" t="str">
        <f t="shared" si="96"/>
        <v>DocumentoFornecedorTipoEmissão</v>
      </c>
      <c r="B3091" s="12" t="str">
        <f t="shared" si="97"/>
        <v>Vencto</v>
      </c>
      <c r="C3091" s="7" t="s">
        <v>1020</v>
      </c>
      <c r="D3091" s="7" t="s">
        <v>1342</v>
      </c>
      <c r="E3091" s="7" t="s">
        <v>0</v>
      </c>
      <c r="F3091" s="7" t="s">
        <v>1026</v>
      </c>
      <c r="G3091" s="7" t="s">
        <v>1022</v>
      </c>
      <c r="H3091" s="7" t="s">
        <v>1343</v>
      </c>
      <c r="I3091" s="7" t="s">
        <v>1344</v>
      </c>
      <c r="J3091" s="7" t="s">
        <v>1345</v>
      </c>
      <c r="K3091" s="7" t="s">
        <v>1346</v>
      </c>
      <c r="L3091" s="7" t="s">
        <v>1347</v>
      </c>
      <c r="M3091" s="7" t="s">
        <v>1348</v>
      </c>
    </row>
    <row r="3092" spans="1:13" x14ac:dyDescent="0.25">
      <c r="A3092" s="12" t="str">
        <f t="shared" si="96"/>
        <v>DocumentoFornecedorTipoEmissão</v>
      </c>
      <c r="B3092" s="12" t="str">
        <f t="shared" si="97"/>
        <v>Vencto</v>
      </c>
      <c r="C3092" s="7" t="s">
        <v>1020</v>
      </c>
      <c r="D3092" s="7" t="s">
        <v>1342</v>
      </c>
      <c r="E3092" s="7" t="s">
        <v>0</v>
      </c>
      <c r="F3092" s="7" t="s">
        <v>1026</v>
      </c>
      <c r="G3092" s="7" t="s">
        <v>1022</v>
      </c>
      <c r="H3092" s="7" t="s">
        <v>1343</v>
      </c>
      <c r="I3092" s="7" t="s">
        <v>1344</v>
      </c>
      <c r="J3092" s="7" t="s">
        <v>1345</v>
      </c>
      <c r="K3092" s="7" t="s">
        <v>1346</v>
      </c>
      <c r="L3092" s="7" t="s">
        <v>1347</v>
      </c>
      <c r="M3092" s="7" t="s">
        <v>1348</v>
      </c>
    </row>
    <row r="3093" spans="1:13" x14ac:dyDescent="0.25">
      <c r="A3093" s="12" t="str">
        <f t="shared" si="96"/>
        <v>DocumentoFornecedorTipoEmissão</v>
      </c>
      <c r="B3093" s="12" t="str">
        <f t="shared" si="97"/>
        <v>Vencto</v>
      </c>
      <c r="C3093" s="7" t="s">
        <v>1020</v>
      </c>
      <c r="D3093" s="7" t="s">
        <v>1342</v>
      </c>
      <c r="E3093" s="7" t="s">
        <v>0</v>
      </c>
      <c r="F3093" s="7" t="s">
        <v>1026</v>
      </c>
      <c r="G3093" s="7" t="s">
        <v>1022</v>
      </c>
      <c r="H3093" s="7" t="s">
        <v>1343</v>
      </c>
      <c r="I3093" s="7" t="s">
        <v>1344</v>
      </c>
      <c r="J3093" s="7" t="s">
        <v>1345</v>
      </c>
      <c r="K3093" s="7" t="s">
        <v>1346</v>
      </c>
      <c r="L3093" s="7" t="s">
        <v>1347</v>
      </c>
      <c r="M3093" s="7" t="s">
        <v>1348</v>
      </c>
    </row>
    <row r="3094" spans="1:13" x14ac:dyDescent="0.25">
      <c r="A3094" s="12" t="str">
        <f t="shared" si="96"/>
        <v>DocumentoFornecedorTipoEmissão</v>
      </c>
      <c r="B3094" s="12" t="str">
        <f t="shared" si="97"/>
        <v>Vencto</v>
      </c>
      <c r="C3094" s="7" t="s">
        <v>1020</v>
      </c>
      <c r="D3094" s="7" t="s">
        <v>1342</v>
      </c>
      <c r="E3094" s="7" t="s">
        <v>0</v>
      </c>
      <c r="F3094" s="7" t="s">
        <v>1026</v>
      </c>
      <c r="G3094" s="7" t="s">
        <v>1022</v>
      </c>
      <c r="H3094" s="7" t="s">
        <v>1343</v>
      </c>
      <c r="I3094" s="7" t="s">
        <v>1344</v>
      </c>
      <c r="J3094" s="7" t="s">
        <v>1345</v>
      </c>
      <c r="K3094" s="7" t="s">
        <v>1346</v>
      </c>
      <c r="L3094" s="7" t="s">
        <v>1347</v>
      </c>
      <c r="M3094" s="7" t="s">
        <v>1348</v>
      </c>
    </row>
    <row r="3095" spans="1:13" x14ac:dyDescent="0.25">
      <c r="A3095" s="12" t="str">
        <f t="shared" si="96"/>
        <v>DocumentoFornecedorTipoEmissão</v>
      </c>
      <c r="B3095" s="12" t="str">
        <f t="shared" si="97"/>
        <v>Vencto</v>
      </c>
      <c r="C3095" s="7" t="s">
        <v>1020</v>
      </c>
      <c r="D3095" s="7" t="s">
        <v>1342</v>
      </c>
      <c r="E3095" s="7" t="s">
        <v>0</v>
      </c>
      <c r="F3095" s="7" t="s">
        <v>1026</v>
      </c>
      <c r="G3095" s="7" t="s">
        <v>1022</v>
      </c>
      <c r="H3095" s="7" t="s">
        <v>1343</v>
      </c>
      <c r="I3095" s="7" t="s">
        <v>1344</v>
      </c>
      <c r="J3095" s="7" t="s">
        <v>1345</v>
      </c>
      <c r="K3095" s="7" t="s">
        <v>1346</v>
      </c>
      <c r="L3095" s="7" t="s">
        <v>1347</v>
      </c>
      <c r="M3095" s="7" t="s">
        <v>1348</v>
      </c>
    </row>
    <row r="3096" spans="1:13" x14ac:dyDescent="0.25">
      <c r="A3096" s="12" t="str">
        <f t="shared" si="96"/>
        <v>DocumentoFornecedorTipoEmissão</v>
      </c>
      <c r="B3096" s="12" t="str">
        <f t="shared" si="97"/>
        <v>Vencto</v>
      </c>
      <c r="C3096" s="7" t="s">
        <v>1020</v>
      </c>
      <c r="D3096" s="7" t="s">
        <v>1342</v>
      </c>
      <c r="E3096" s="7" t="s">
        <v>0</v>
      </c>
      <c r="F3096" s="7" t="s">
        <v>1026</v>
      </c>
      <c r="G3096" s="7" t="s">
        <v>1022</v>
      </c>
      <c r="H3096" s="7" t="s">
        <v>1343</v>
      </c>
      <c r="I3096" s="7" t="s">
        <v>1344</v>
      </c>
      <c r="J3096" s="7" t="s">
        <v>1345</v>
      </c>
      <c r="K3096" s="7" t="s">
        <v>1346</v>
      </c>
      <c r="L3096" s="7" t="s">
        <v>1347</v>
      </c>
      <c r="M3096" s="7" t="s">
        <v>1348</v>
      </c>
    </row>
    <row r="3097" spans="1:13" x14ac:dyDescent="0.25">
      <c r="A3097" s="12" t="str">
        <f t="shared" si="96"/>
        <v>DocumentoFornecedorTipoEmissão</v>
      </c>
      <c r="B3097" s="12" t="str">
        <f t="shared" si="97"/>
        <v>Vencto</v>
      </c>
      <c r="C3097" s="7" t="s">
        <v>1020</v>
      </c>
      <c r="D3097" s="7" t="s">
        <v>1342</v>
      </c>
      <c r="E3097" s="7" t="s">
        <v>0</v>
      </c>
      <c r="F3097" s="7" t="s">
        <v>1026</v>
      </c>
      <c r="G3097" s="7" t="s">
        <v>1022</v>
      </c>
      <c r="H3097" s="7" t="s">
        <v>1343</v>
      </c>
      <c r="I3097" s="7" t="s">
        <v>1344</v>
      </c>
      <c r="J3097" s="7" t="s">
        <v>1345</v>
      </c>
      <c r="K3097" s="7" t="s">
        <v>1346</v>
      </c>
      <c r="L3097" s="7" t="s">
        <v>1347</v>
      </c>
      <c r="M3097" s="7" t="s">
        <v>1348</v>
      </c>
    </row>
    <row r="3098" spans="1:13" x14ac:dyDescent="0.25">
      <c r="A3098" s="12" t="str">
        <f t="shared" si="96"/>
        <v>DocumentoFornecedorTipoEmissão</v>
      </c>
      <c r="B3098" s="12" t="str">
        <f t="shared" si="97"/>
        <v>Vencto</v>
      </c>
      <c r="C3098" s="7" t="s">
        <v>1020</v>
      </c>
      <c r="D3098" s="7" t="s">
        <v>1342</v>
      </c>
      <c r="E3098" s="7" t="s">
        <v>0</v>
      </c>
      <c r="F3098" s="7" t="s">
        <v>1026</v>
      </c>
      <c r="G3098" s="7" t="s">
        <v>1022</v>
      </c>
      <c r="H3098" s="7" t="s">
        <v>1343</v>
      </c>
      <c r="I3098" s="7" t="s">
        <v>1344</v>
      </c>
      <c r="J3098" s="7" t="s">
        <v>1345</v>
      </c>
      <c r="K3098" s="7" t="s">
        <v>1346</v>
      </c>
      <c r="L3098" s="7" t="s">
        <v>1347</v>
      </c>
      <c r="M3098" s="7" t="s">
        <v>1348</v>
      </c>
    </row>
    <row r="3099" spans="1:13" x14ac:dyDescent="0.25">
      <c r="A3099" s="12" t="str">
        <f t="shared" ref="A3099:A3162" si="98">$C3099&amp;$E3099&amp;$G3099&amp;$F3099</f>
        <v>DocumentoFornecedorTipoEmissão</v>
      </c>
      <c r="B3099" s="12" t="str">
        <f t="shared" si="97"/>
        <v>Vencto</v>
      </c>
      <c r="C3099" s="7" t="s">
        <v>1020</v>
      </c>
      <c r="D3099" s="7" t="s">
        <v>1342</v>
      </c>
      <c r="E3099" s="7" t="s">
        <v>0</v>
      </c>
      <c r="F3099" s="7" t="s">
        <v>1026</v>
      </c>
      <c r="G3099" s="7" t="s">
        <v>1022</v>
      </c>
      <c r="H3099" s="7" t="s">
        <v>1343</v>
      </c>
      <c r="I3099" s="7" t="s">
        <v>1344</v>
      </c>
      <c r="J3099" s="7" t="s">
        <v>1345</v>
      </c>
      <c r="K3099" s="7" t="s">
        <v>1346</v>
      </c>
      <c r="L3099" s="7" t="s">
        <v>1347</v>
      </c>
      <c r="M3099" s="7" t="s">
        <v>1348</v>
      </c>
    </row>
    <row r="3100" spans="1:13" x14ac:dyDescent="0.25">
      <c r="A3100" s="12" t="str">
        <f t="shared" si="98"/>
        <v>DocumentoFornecedorTipoEmissão</v>
      </c>
      <c r="B3100" s="12" t="str">
        <f t="shared" si="97"/>
        <v>Vencto</v>
      </c>
      <c r="C3100" s="7" t="s">
        <v>1020</v>
      </c>
      <c r="D3100" s="7" t="s">
        <v>1342</v>
      </c>
      <c r="E3100" s="7" t="s">
        <v>0</v>
      </c>
      <c r="F3100" s="7" t="s">
        <v>1026</v>
      </c>
      <c r="G3100" s="7" t="s">
        <v>1022</v>
      </c>
      <c r="H3100" s="7" t="s">
        <v>1343</v>
      </c>
      <c r="I3100" s="7" t="s">
        <v>1344</v>
      </c>
      <c r="J3100" s="7" t="s">
        <v>1345</v>
      </c>
      <c r="K3100" s="7" t="s">
        <v>1346</v>
      </c>
      <c r="L3100" s="7" t="s">
        <v>1347</v>
      </c>
      <c r="M3100" s="7" t="s">
        <v>1348</v>
      </c>
    </row>
    <row r="3101" spans="1:13" x14ac:dyDescent="0.25">
      <c r="A3101" s="12" t="str">
        <f t="shared" si="98"/>
        <v>DocumentoFornecedorTipoEmissão</v>
      </c>
      <c r="B3101" s="12" t="str">
        <f t="shared" si="97"/>
        <v>Vencto</v>
      </c>
      <c r="C3101" s="7" t="s">
        <v>1020</v>
      </c>
      <c r="D3101" s="7" t="s">
        <v>1342</v>
      </c>
      <c r="E3101" s="7" t="s">
        <v>0</v>
      </c>
      <c r="F3101" s="7" t="s">
        <v>1026</v>
      </c>
      <c r="G3101" s="7" t="s">
        <v>1022</v>
      </c>
      <c r="H3101" s="7" t="s">
        <v>1343</v>
      </c>
      <c r="I3101" s="7" t="s">
        <v>1344</v>
      </c>
      <c r="J3101" s="7" t="s">
        <v>1345</v>
      </c>
      <c r="K3101" s="7" t="s">
        <v>1346</v>
      </c>
      <c r="L3101" s="7" t="s">
        <v>1347</v>
      </c>
      <c r="M3101" s="7" t="s">
        <v>1348</v>
      </c>
    </row>
    <row r="3102" spans="1:13" x14ac:dyDescent="0.25">
      <c r="A3102" s="12" t="str">
        <f t="shared" si="98"/>
        <v>DocumentoFornecedorTipoEmissão</v>
      </c>
      <c r="B3102" s="12" t="str">
        <f t="shared" si="97"/>
        <v>Vencto</v>
      </c>
      <c r="C3102" s="7" t="s">
        <v>1020</v>
      </c>
      <c r="D3102" s="7" t="s">
        <v>1342</v>
      </c>
      <c r="E3102" s="7" t="s">
        <v>0</v>
      </c>
      <c r="F3102" s="7" t="s">
        <v>1026</v>
      </c>
      <c r="G3102" s="7" t="s">
        <v>1022</v>
      </c>
      <c r="H3102" s="7" t="s">
        <v>1343</v>
      </c>
      <c r="I3102" s="7" t="s">
        <v>1344</v>
      </c>
      <c r="J3102" s="7" t="s">
        <v>1345</v>
      </c>
      <c r="K3102" s="7" t="s">
        <v>1346</v>
      </c>
      <c r="L3102" s="7" t="s">
        <v>1347</v>
      </c>
      <c r="M3102" s="7" t="s">
        <v>1348</v>
      </c>
    </row>
    <row r="3103" spans="1:13" x14ac:dyDescent="0.25">
      <c r="A3103" s="12" t="str">
        <f t="shared" si="98"/>
        <v>DocumentoFornecedorTipoEmissão</v>
      </c>
      <c r="B3103" s="12" t="str">
        <f t="shared" si="97"/>
        <v>Vencto</v>
      </c>
      <c r="C3103" s="7" t="s">
        <v>1020</v>
      </c>
      <c r="D3103" s="7" t="s">
        <v>1342</v>
      </c>
      <c r="E3103" s="7" t="s">
        <v>0</v>
      </c>
      <c r="F3103" s="7" t="s">
        <v>1026</v>
      </c>
      <c r="G3103" s="7" t="s">
        <v>1022</v>
      </c>
      <c r="H3103" s="7" t="s">
        <v>1343</v>
      </c>
      <c r="I3103" s="7" t="s">
        <v>1344</v>
      </c>
      <c r="J3103" s="7" t="s">
        <v>1345</v>
      </c>
      <c r="K3103" s="7" t="s">
        <v>1346</v>
      </c>
      <c r="L3103" s="7" t="s">
        <v>1347</v>
      </c>
      <c r="M3103" s="7" t="s">
        <v>1348</v>
      </c>
    </row>
    <row r="3104" spans="1:13" x14ac:dyDescent="0.25">
      <c r="A3104" s="12" t="str">
        <f t="shared" si="98"/>
        <v>DocumentoFornecedorTipoEmissão</v>
      </c>
      <c r="B3104" s="12" t="str">
        <f t="shared" si="97"/>
        <v>Vencto</v>
      </c>
      <c r="C3104" s="7" t="s">
        <v>1020</v>
      </c>
      <c r="D3104" s="7" t="s">
        <v>1342</v>
      </c>
      <c r="E3104" s="7" t="s">
        <v>0</v>
      </c>
      <c r="F3104" s="7" t="s">
        <v>1026</v>
      </c>
      <c r="G3104" s="7" t="s">
        <v>1022</v>
      </c>
      <c r="H3104" s="7" t="s">
        <v>1343</v>
      </c>
      <c r="I3104" s="7" t="s">
        <v>1344</v>
      </c>
      <c r="J3104" s="7" t="s">
        <v>1345</v>
      </c>
      <c r="K3104" s="7" t="s">
        <v>1346</v>
      </c>
      <c r="L3104" s="7" t="s">
        <v>1347</v>
      </c>
      <c r="M3104" s="7" t="s">
        <v>1348</v>
      </c>
    </row>
    <row r="3105" spans="1:13" x14ac:dyDescent="0.25">
      <c r="A3105" s="12" t="str">
        <f t="shared" si="98"/>
        <v>DocumentoFornecedorTipoEmissão</v>
      </c>
      <c r="B3105" s="12" t="str">
        <f t="shared" si="97"/>
        <v>Vencto</v>
      </c>
      <c r="C3105" s="7" t="s">
        <v>1020</v>
      </c>
      <c r="D3105" s="7" t="s">
        <v>1342</v>
      </c>
      <c r="E3105" s="7" t="s">
        <v>0</v>
      </c>
      <c r="F3105" s="7" t="s">
        <v>1026</v>
      </c>
      <c r="G3105" s="7" t="s">
        <v>1022</v>
      </c>
      <c r="H3105" s="7" t="s">
        <v>1343</v>
      </c>
      <c r="I3105" s="7" t="s">
        <v>1344</v>
      </c>
      <c r="J3105" s="7" t="s">
        <v>1345</v>
      </c>
      <c r="K3105" s="7" t="s">
        <v>1346</v>
      </c>
      <c r="L3105" s="7" t="s">
        <v>1347</v>
      </c>
      <c r="M3105" s="7" t="s">
        <v>1348</v>
      </c>
    </row>
    <row r="3106" spans="1:13" x14ac:dyDescent="0.25">
      <c r="A3106" s="12" t="str">
        <f t="shared" si="98"/>
        <v>DocumentoFornecedorTipoEmissão</v>
      </c>
      <c r="B3106" s="12" t="str">
        <f t="shared" si="97"/>
        <v>Vencto</v>
      </c>
      <c r="C3106" s="7" t="s">
        <v>1020</v>
      </c>
      <c r="D3106" s="7" t="s">
        <v>1342</v>
      </c>
      <c r="E3106" s="7" t="s">
        <v>0</v>
      </c>
      <c r="F3106" s="7" t="s">
        <v>1026</v>
      </c>
      <c r="G3106" s="7" t="s">
        <v>1022</v>
      </c>
      <c r="H3106" s="7" t="s">
        <v>1343</v>
      </c>
      <c r="I3106" s="7" t="s">
        <v>1344</v>
      </c>
      <c r="J3106" s="7" t="s">
        <v>1345</v>
      </c>
      <c r="K3106" s="7" t="s">
        <v>1346</v>
      </c>
      <c r="L3106" s="7" t="s">
        <v>1347</v>
      </c>
      <c r="M3106" s="7" t="s">
        <v>1348</v>
      </c>
    </row>
    <row r="3107" spans="1:13" x14ac:dyDescent="0.25">
      <c r="A3107" s="12" t="str">
        <f t="shared" si="98"/>
        <v>DocumentoFornecedorTipoEmissão</v>
      </c>
      <c r="B3107" s="12" t="str">
        <f t="shared" si="97"/>
        <v>Vencto</v>
      </c>
      <c r="C3107" s="7" t="s">
        <v>1020</v>
      </c>
      <c r="D3107" s="7" t="s">
        <v>1342</v>
      </c>
      <c r="E3107" s="7" t="s">
        <v>0</v>
      </c>
      <c r="F3107" s="7" t="s">
        <v>1026</v>
      </c>
      <c r="G3107" s="7" t="s">
        <v>1022</v>
      </c>
      <c r="H3107" s="7" t="s">
        <v>1343</v>
      </c>
      <c r="I3107" s="7" t="s">
        <v>1344</v>
      </c>
      <c r="J3107" s="7" t="s">
        <v>1345</v>
      </c>
      <c r="K3107" s="7" t="s">
        <v>1346</v>
      </c>
      <c r="L3107" s="7" t="s">
        <v>1347</v>
      </c>
      <c r="M3107" s="7" t="s">
        <v>1348</v>
      </c>
    </row>
    <row r="3108" spans="1:13" x14ac:dyDescent="0.25">
      <c r="A3108" s="12" t="str">
        <f t="shared" si="98"/>
        <v>DocumentoFornecedorTipoEmissão</v>
      </c>
      <c r="B3108" s="12" t="str">
        <f t="shared" si="97"/>
        <v>Vencto</v>
      </c>
      <c r="C3108" s="7" t="s">
        <v>1020</v>
      </c>
      <c r="D3108" s="7" t="s">
        <v>1342</v>
      </c>
      <c r="E3108" s="7" t="s">
        <v>0</v>
      </c>
      <c r="F3108" s="7" t="s">
        <v>1026</v>
      </c>
      <c r="G3108" s="7" t="s">
        <v>1022</v>
      </c>
      <c r="H3108" s="7" t="s">
        <v>1343</v>
      </c>
      <c r="I3108" s="7" t="s">
        <v>1344</v>
      </c>
      <c r="J3108" s="7" t="s">
        <v>1345</v>
      </c>
      <c r="K3108" s="7" t="s">
        <v>1346</v>
      </c>
      <c r="L3108" s="7" t="s">
        <v>1347</v>
      </c>
      <c r="M3108" s="7" t="s">
        <v>1348</v>
      </c>
    </row>
    <row r="3109" spans="1:13" x14ac:dyDescent="0.25">
      <c r="A3109" s="12" t="str">
        <f t="shared" si="98"/>
        <v>DocumentoFornecedorTipoEmissão</v>
      </c>
      <c r="B3109" s="12" t="str">
        <f t="shared" si="97"/>
        <v>Vencto</v>
      </c>
      <c r="C3109" s="7" t="s">
        <v>1020</v>
      </c>
      <c r="D3109" s="7" t="s">
        <v>1342</v>
      </c>
      <c r="E3109" s="7" t="s">
        <v>0</v>
      </c>
      <c r="F3109" s="7" t="s">
        <v>1026</v>
      </c>
      <c r="G3109" s="7" t="s">
        <v>1022</v>
      </c>
      <c r="H3109" s="7" t="s">
        <v>1343</v>
      </c>
      <c r="I3109" s="7" t="s">
        <v>1344</v>
      </c>
      <c r="J3109" s="7" t="s">
        <v>1345</v>
      </c>
      <c r="K3109" s="7" t="s">
        <v>1346</v>
      </c>
      <c r="L3109" s="7" t="s">
        <v>1347</v>
      </c>
      <c r="M3109" s="7" t="s">
        <v>1348</v>
      </c>
    </row>
    <row r="3110" spans="1:13" x14ac:dyDescent="0.25">
      <c r="A3110" s="12" t="str">
        <f t="shared" si="98"/>
        <v>DocumentoFornecedorTipoEmissão</v>
      </c>
      <c r="B3110" s="12" t="str">
        <f t="shared" si="97"/>
        <v>Vencto</v>
      </c>
      <c r="C3110" s="7" t="s">
        <v>1020</v>
      </c>
      <c r="D3110" s="7" t="s">
        <v>1342</v>
      </c>
      <c r="E3110" s="7" t="s">
        <v>0</v>
      </c>
      <c r="F3110" s="7" t="s">
        <v>1026</v>
      </c>
      <c r="G3110" s="7" t="s">
        <v>1022</v>
      </c>
      <c r="H3110" s="7" t="s">
        <v>1343</v>
      </c>
      <c r="I3110" s="7" t="s">
        <v>1344</v>
      </c>
      <c r="J3110" s="7" t="s">
        <v>1345</v>
      </c>
      <c r="K3110" s="7" t="s">
        <v>1346</v>
      </c>
      <c r="L3110" s="7" t="s">
        <v>1347</v>
      </c>
      <c r="M3110" s="7" t="s">
        <v>1348</v>
      </c>
    </row>
    <row r="3111" spans="1:13" x14ac:dyDescent="0.25">
      <c r="A3111" s="12" t="str">
        <f t="shared" si="98"/>
        <v>DocumentoFornecedorTipoEmissão</v>
      </c>
      <c r="B3111" s="12" t="str">
        <f t="shared" si="97"/>
        <v>Vencto</v>
      </c>
      <c r="C3111" s="7" t="s">
        <v>1020</v>
      </c>
      <c r="D3111" s="7" t="s">
        <v>1342</v>
      </c>
      <c r="E3111" s="7" t="s">
        <v>0</v>
      </c>
      <c r="F3111" s="7" t="s">
        <v>1026</v>
      </c>
      <c r="G3111" s="7" t="s">
        <v>1022</v>
      </c>
      <c r="H3111" s="7" t="s">
        <v>1343</v>
      </c>
      <c r="I3111" s="7" t="s">
        <v>1344</v>
      </c>
      <c r="J3111" s="7" t="s">
        <v>1345</v>
      </c>
      <c r="K3111" s="7" t="s">
        <v>1346</v>
      </c>
      <c r="L3111" s="7" t="s">
        <v>1347</v>
      </c>
      <c r="M3111" s="7" t="s">
        <v>1348</v>
      </c>
    </row>
    <row r="3112" spans="1:13" x14ac:dyDescent="0.25">
      <c r="A3112" s="12" t="str">
        <f t="shared" si="98"/>
        <v>DocumentoFornecedorTipoEmissão</v>
      </c>
      <c r="B3112" s="12" t="str">
        <f t="shared" si="97"/>
        <v>Vencto</v>
      </c>
      <c r="C3112" s="7" t="s">
        <v>1020</v>
      </c>
      <c r="D3112" s="7" t="s">
        <v>1342</v>
      </c>
      <c r="E3112" s="7" t="s">
        <v>0</v>
      </c>
      <c r="F3112" s="7" t="s">
        <v>1026</v>
      </c>
      <c r="G3112" s="7" t="s">
        <v>1022</v>
      </c>
      <c r="H3112" s="7" t="s">
        <v>1343</v>
      </c>
      <c r="I3112" s="7" t="s">
        <v>1344</v>
      </c>
      <c r="J3112" s="7" t="s">
        <v>1345</v>
      </c>
      <c r="K3112" s="7" t="s">
        <v>1346</v>
      </c>
      <c r="L3112" s="7" t="s">
        <v>1347</v>
      </c>
      <c r="M3112" s="7" t="s">
        <v>1348</v>
      </c>
    </row>
    <row r="3113" spans="1:13" x14ac:dyDescent="0.25">
      <c r="A3113" s="12" t="str">
        <f t="shared" si="98"/>
        <v>DocumentoFornecedorTipoEmissão</v>
      </c>
      <c r="B3113" s="12" t="str">
        <f t="shared" si="97"/>
        <v>Vencto</v>
      </c>
      <c r="C3113" s="7" t="s">
        <v>1020</v>
      </c>
      <c r="D3113" s="7" t="s">
        <v>1342</v>
      </c>
      <c r="E3113" s="7" t="s">
        <v>0</v>
      </c>
      <c r="F3113" s="7" t="s">
        <v>1026</v>
      </c>
      <c r="G3113" s="7" t="s">
        <v>1022</v>
      </c>
      <c r="H3113" s="7" t="s">
        <v>1343</v>
      </c>
      <c r="I3113" s="7" t="s">
        <v>1344</v>
      </c>
      <c r="J3113" s="7" t="s">
        <v>1345</v>
      </c>
      <c r="K3113" s="7" t="s">
        <v>1346</v>
      </c>
      <c r="L3113" s="7" t="s">
        <v>1347</v>
      </c>
      <c r="M3113" s="7" t="s">
        <v>1348</v>
      </c>
    </row>
    <row r="3114" spans="1:13" x14ac:dyDescent="0.25">
      <c r="A3114" s="12" t="str">
        <f t="shared" si="98"/>
        <v>DocumentoFornecedorTipoEmissão</v>
      </c>
      <c r="B3114" s="12" t="str">
        <f t="shared" si="97"/>
        <v>Vencto</v>
      </c>
      <c r="C3114" s="7" t="s">
        <v>1020</v>
      </c>
      <c r="D3114" s="7" t="s">
        <v>1342</v>
      </c>
      <c r="E3114" s="7" t="s">
        <v>0</v>
      </c>
      <c r="F3114" s="7" t="s">
        <v>1026</v>
      </c>
      <c r="G3114" s="7" t="s">
        <v>1022</v>
      </c>
      <c r="H3114" s="7" t="s">
        <v>1343</v>
      </c>
      <c r="I3114" s="7" t="s">
        <v>1344</v>
      </c>
      <c r="J3114" s="7" t="s">
        <v>1345</v>
      </c>
      <c r="K3114" s="7" t="s">
        <v>1346</v>
      </c>
      <c r="L3114" s="7" t="s">
        <v>1347</v>
      </c>
      <c r="M3114" s="7" t="s">
        <v>1348</v>
      </c>
    </row>
    <row r="3115" spans="1:13" x14ac:dyDescent="0.25">
      <c r="A3115" s="12" t="str">
        <f t="shared" si="98"/>
        <v>DocumentoFornecedorTipoEmissão</v>
      </c>
      <c r="B3115" s="12" t="str">
        <f t="shared" si="97"/>
        <v>Vencto</v>
      </c>
      <c r="C3115" s="7" t="s">
        <v>1020</v>
      </c>
      <c r="D3115" s="7" t="s">
        <v>1342</v>
      </c>
      <c r="E3115" s="7" t="s">
        <v>0</v>
      </c>
      <c r="F3115" s="7" t="s">
        <v>1026</v>
      </c>
      <c r="G3115" s="7" t="s">
        <v>1022</v>
      </c>
      <c r="H3115" s="7" t="s">
        <v>1343</v>
      </c>
      <c r="I3115" s="7" t="s">
        <v>1344</v>
      </c>
      <c r="J3115" s="7" t="s">
        <v>1345</v>
      </c>
      <c r="K3115" s="7" t="s">
        <v>1346</v>
      </c>
      <c r="L3115" s="7" t="s">
        <v>1347</v>
      </c>
      <c r="M3115" s="7" t="s">
        <v>1348</v>
      </c>
    </row>
    <row r="3116" spans="1:13" x14ac:dyDescent="0.25">
      <c r="A3116" s="12" t="str">
        <f t="shared" si="98"/>
        <v>DocumentoFornecedorTipoEmissão</v>
      </c>
      <c r="B3116" s="12" t="str">
        <f t="shared" si="97"/>
        <v>Vencto</v>
      </c>
      <c r="C3116" s="7" t="s">
        <v>1020</v>
      </c>
      <c r="D3116" s="7" t="s">
        <v>1342</v>
      </c>
      <c r="E3116" s="7" t="s">
        <v>0</v>
      </c>
      <c r="F3116" s="7" t="s">
        <v>1026</v>
      </c>
      <c r="G3116" s="7" t="s">
        <v>1022</v>
      </c>
      <c r="H3116" s="7" t="s">
        <v>1343</v>
      </c>
      <c r="I3116" s="7" t="s">
        <v>1344</v>
      </c>
      <c r="J3116" s="7" t="s">
        <v>1345</v>
      </c>
      <c r="K3116" s="7" t="s">
        <v>1346</v>
      </c>
      <c r="L3116" s="7" t="s">
        <v>1347</v>
      </c>
      <c r="M3116" s="7" t="s">
        <v>1348</v>
      </c>
    </row>
    <row r="3117" spans="1:13" x14ac:dyDescent="0.25">
      <c r="A3117" s="12" t="str">
        <f t="shared" si="98"/>
        <v>DocumentoFornecedorTipoEmissão</v>
      </c>
      <c r="B3117" s="12" t="str">
        <f t="shared" si="97"/>
        <v>Vencto</v>
      </c>
      <c r="C3117" s="7" t="s">
        <v>1020</v>
      </c>
      <c r="D3117" s="7" t="s">
        <v>1342</v>
      </c>
      <c r="E3117" s="7" t="s">
        <v>0</v>
      </c>
      <c r="F3117" s="7" t="s">
        <v>1026</v>
      </c>
      <c r="G3117" s="7" t="s">
        <v>1022</v>
      </c>
      <c r="H3117" s="7" t="s">
        <v>1343</v>
      </c>
      <c r="I3117" s="7" t="s">
        <v>1344</v>
      </c>
      <c r="J3117" s="7" t="s">
        <v>1345</v>
      </c>
      <c r="K3117" s="7" t="s">
        <v>1346</v>
      </c>
      <c r="L3117" s="7" t="s">
        <v>1347</v>
      </c>
      <c r="M3117" s="7" t="s">
        <v>1348</v>
      </c>
    </row>
    <row r="3118" spans="1:13" x14ac:dyDescent="0.25">
      <c r="A3118" s="12" t="str">
        <f t="shared" si="98"/>
        <v>DocumentoFornecedorTipoEmissão</v>
      </c>
      <c r="B3118" s="12" t="str">
        <f t="shared" si="97"/>
        <v>Vencto</v>
      </c>
      <c r="C3118" s="7" t="s">
        <v>1020</v>
      </c>
      <c r="D3118" s="7" t="s">
        <v>1342</v>
      </c>
      <c r="E3118" s="7" t="s">
        <v>0</v>
      </c>
      <c r="F3118" s="7" t="s">
        <v>1026</v>
      </c>
      <c r="G3118" s="7" t="s">
        <v>1022</v>
      </c>
      <c r="H3118" s="7" t="s">
        <v>1343</v>
      </c>
      <c r="I3118" s="7" t="s">
        <v>1344</v>
      </c>
      <c r="J3118" s="7" t="s">
        <v>1345</v>
      </c>
      <c r="K3118" s="7" t="s">
        <v>1346</v>
      </c>
      <c r="L3118" s="7" t="s">
        <v>1347</v>
      </c>
      <c r="M3118" s="7" t="s">
        <v>1348</v>
      </c>
    </row>
    <row r="3119" spans="1:13" x14ac:dyDescent="0.25">
      <c r="A3119" s="12" t="str">
        <f t="shared" si="98"/>
        <v>DocumentoFornecedorTipoEmissão</v>
      </c>
      <c r="B3119" s="12" t="str">
        <f t="shared" si="97"/>
        <v>Vencto</v>
      </c>
      <c r="C3119" s="7" t="s">
        <v>1020</v>
      </c>
      <c r="D3119" s="7" t="s">
        <v>1342</v>
      </c>
      <c r="E3119" s="7" t="s">
        <v>0</v>
      </c>
      <c r="F3119" s="7" t="s">
        <v>1026</v>
      </c>
      <c r="G3119" s="7" t="s">
        <v>1022</v>
      </c>
      <c r="H3119" s="7" t="s">
        <v>1343</v>
      </c>
      <c r="I3119" s="7" t="s">
        <v>1344</v>
      </c>
      <c r="J3119" s="7" t="s">
        <v>1345</v>
      </c>
      <c r="K3119" s="7" t="s">
        <v>1346</v>
      </c>
      <c r="L3119" s="7" t="s">
        <v>1347</v>
      </c>
      <c r="M3119" s="7" t="s">
        <v>1348</v>
      </c>
    </row>
    <row r="3120" spans="1:13" x14ac:dyDescent="0.25">
      <c r="A3120" s="12" t="str">
        <f t="shared" si="98"/>
        <v>DocumentoFornecedorTipoEmissão</v>
      </c>
      <c r="B3120" s="12" t="str">
        <f t="shared" si="97"/>
        <v>Vencto</v>
      </c>
      <c r="C3120" s="7" t="s">
        <v>1020</v>
      </c>
      <c r="D3120" s="7" t="s">
        <v>1342</v>
      </c>
      <c r="E3120" s="7" t="s">
        <v>0</v>
      </c>
      <c r="F3120" s="7" t="s">
        <v>1026</v>
      </c>
      <c r="G3120" s="7" t="s">
        <v>1022</v>
      </c>
      <c r="H3120" s="7" t="s">
        <v>1343</v>
      </c>
      <c r="I3120" s="7" t="s">
        <v>1344</v>
      </c>
      <c r="J3120" s="7" t="s">
        <v>1345</v>
      </c>
      <c r="K3120" s="7" t="s">
        <v>1346</v>
      </c>
      <c r="L3120" s="7" t="s">
        <v>1347</v>
      </c>
      <c r="M3120" s="7" t="s">
        <v>1348</v>
      </c>
    </row>
    <row r="3121" spans="1:13" x14ac:dyDescent="0.25">
      <c r="A3121" s="12" t="str">
        <f t="shared" si="98"/>
        <v>DocumentoFornecedorTipoEmissão</v>
      </c>
      <c r="B3121" s="12" t="str">
        <f t="shared" si="97"/>
        <v>Vencto</v>
      </c>
      <c r="C3121" s="7" t="s">
        <v>1020</v>
      </c>
      <c r="D3121" s="7" t="s">
        <v>1342</v>
      </c>
      <c r="E3121" s="7" t="s">
        <v>0</v>
      </c>
      <c r="F3121" s="7" t="s">
        <v>1026</v>
      </c>
      <c r="G3121" s="7" t="s">
        <v>1022</v>
      </c>
      <c r="H3121" s="7" t="s">
        <v>1343</v>
      </c>
      <c r="I3121" s="7" t="s">
        <v>1344</v>
      </c>
      <c r="J3121" s="7" t="s">
        <v>1345</v>
      </c>
      <c r="K3121" s="7" t="s">
        <v>1346</v>
      </c>
      <c r="L3121" s="7" t="s">
        <v>1347</v>
      </c>
      <c r="M3121" s="7" t="s">
        <v>1348</v>
      </c>
    </row>
    <row r="3122" spans="1:13" x14ac:dyDescent="0.25">
      <c r="A3122" s="12" t="str">
        <f t="shared" si="98"/>
        <v>DocumentoFornecedorTipoEmissão</v>
      </c>
      <c r="B3122" s="12" t="str">
        <f t="shared" si="97"/>
        <v>Vencto</v>
      </c>
      <c r="C3122" s="7" t="s">
        <v>1020</v>
      </c>
      <c r="D3122" s="7" t="s">
        <v>1342</v>
      </c>
      <c r="E3122" s="7" t="s">
        <v>0</v>
      </c>
      <c r="F3122" s="7" t="s">
        <v>1026</v>
      </c>
      <c r="G3122" s="7" t="s">
        <v>1022</v>
      </c>
      <c r="H3122" s="7" t="s">
        <v>1343</v>
      </c>
      <c r="I3122" s="7" t="s">
        <v>1344</v>
      </c>
      <c r="J3122" s="7" t="s">
        <v>1345</v>
      </c>
      <c r="K3122" s="7" t="s">
        <v>1346</v>
      </c>
      <c r="L3122" s="7" t="s">
        <v>1347</v>
      </c>
      <c r="M3122" s="7" t="s">
        <v>1348</v>
      </c>
    </row>
    <row r="3123" spans="1:13" x14ac:dyDescent="0.25">
      <c r="A3123" s="12" t="str">
        <f t="shared" si="98"/>
        <v>DocumentoFornecedorTipoEmissão</v>
      </c>
      <c r="B3123" s="12" t="str">
        <f t="shared" si="97"/>
        <v>Vencto</v>
      </c>
      <c r="C3123" s="7" t="s">
        <v>1020</v>
      </c>
      <c r="D3123" s="7" t="s">
        <v>1342</v>
      </c>
      <c r="E3123" s="7" t="s">
        <v>0</v>
      </c>
      <c r="F3123" s="7" t="s">
        <v>1026</v>
      </c>
      <c r="G3123" s="7" t="s">
        <v>1022</v>
      </c>
      <c r="H3123" s="7" t="s">
        <v>1343</v>
      </c>
      <c r="I3123" s="7" t="s">
        <v>1344</v>
      </c>
      <c r="J3123" s="7" t="s">
        <v>1345</v>
      </c>
      <c r="K3123" s="7" t="s">
        <v>1346</v>
      </c>
      <c r="L3123" s="7" t="s">
        <v>1347</v>
      </c>
      <c r="M3123" s="7" t="s">
        <v>1348</v>
      </c>
    </row>
    <row r="3124" spans="1:13" x14ac:dyDescent="0.25">
      <c r="A3124" s="12" t="str">
        <f t="shared" si="98"/>
        <v>DocumentoFornecedorTipoEmissão</v>
      </c>
      <c r="B3124" s="12" t="str">
        <f t="shared" si="97"/>
        <v>Vencto</v>
      </c>
      <c r="C3124" s="7" t="s">
        <v>1020</v>
      </c>
      <c r="D3124" s="7" t="s">
        <v>1342</v>
      </c>
      <c r="E3124" s="7" t="s">
        <v>0</v>
      </c>
      <c r="F3124" s="7" t="s">
        <v>1026</v>
      </c>
      <c r="G3124" s="7" t="s">
        <v>1022</v>
      </c>
      <c r="H3124" s="7" t="s">
        <v>1343</v>
      </c>
      <c r="I3124" s="7" t="s">
        <v>1344</v>
      </c>
      <c r="J3124" s="7" t="s">
        <v>1345</v>
      </c>
      <c r="K3124" s="7" t="s">
        <v>1346</v>
      </c>
      <c r="L3124" s="7" t="s">
        <v>1347</v>
      </c>
      <c r="M3124" s="7" t="s">
        <v>1348</v>
      </c>
    </row>
    <row r="3125" spans="1:13" x14ac:dyDescent="0.25">
      <c r="A3125" s="12" t="str">
        <f t="shared" si="98"/>
        <v>DocumentoFornecedorTipoEmissão</v>
      </c>
      <c r="B3125" s="12" t="str">
        <f t="shared" si="97"/>
        <v>Vencto</v>
      </c>
      <c r="C3125" s="7" t="s">
        <v>1020</v>
      </c>
      <c r="D3125" s="7" t="s">
        <v>1342</v>
      </c>
      <c r="E3125" s="7" t="s">
        <v>0</v>
      </c>
      <c r="F3125" s="7" t="s">
        <v>1026</v>
      </c>
      <c r="G3125" s="7" t="s">
        <v>1022</v>
      </c>
      <c r="H3125" s="7" t="s">
        <v>1343</v>
      </c>
      <c r="I3125" s="7" t="s">
        <v>1344</v>
      </c>
      <c r="J3125" s="7" t="s">
        <v>1345</v>
      </c>
      <c r="K3125" s="7" t="s">
        <v>1346</v>
      </c>
      <c r="L3125" s="7" t="s">
        <v>1347</v>
      </c>
      <c r="M3125" s="7" t="s">
        <v>1348</v>
      </c>
    </row>
    <row r="3126" spans="1:13" x14ac:dyDescent="0.25">
      <c r="A3126" s="12" t="str">
        <f t="shared" si="98"/>
        <v>DocumentoFornecedorTipoEmissão</v>
      </c>
      <c r="B3126" s="12" t="str">
        <f t="shared" si="97"/>
        <v>Vencto</v>
      </c>
      <c r="C3126" s="7" t="s">
        <v>1020</v>
      </c>
      <c r="D3126" s="7" t="s">
        <v>1342</v>
      </c>
      <c r="E3126" s="7" t="s">
        <v>0</v>
      </c>
      <c r="F3126" s="7" t="s">
        <v>1026</v>
      </c>
      <c r="G3126" s="7" t="s">
        <v>1022</v>
      </c>
      <c r="H3126" s="7" t="s">
        <v>1343</v>
      </c>
      <c r="I3126" s="7" t="s">
        <v>1344</v>
      </c>
      <c r="J3126" s="7" t="s">
        <v>1345</v>
      </c>
      <c r="K3126" s="7" t="s">
        <v>1346</v>
      </c>
      <c r="L3126" s="7" t="s">
        <v>1347</v>
      </c>
      <c r="M3126" s="7" t="s">
        <v>1348</v>
      </c>
    </row>
    <row r="3127" spans="1:13" x14ac:dyDescent="0.25">
      <c r="A3127" s="12" t="str">
        <f t="shared" si="98"/>
        <v>DocumentoFornecedorTipoEmissão</v>
      </c>
      <c r="B3127" s="12" t="str">
        <f t="shared" si="97"/>
        <v>Vencto</v>
      </c>
      <c r="C3127" s="7" t="s">
        <v>1020</v>
      </c>
      <c r="D3127" s="7" t="s">
        <v>1342</v>
      </c>
      <c r="E3127" s="7" t="s">
        <v>0</v>
      </c>
      <c r="F3127" s="7" t="s">
        <v>1026</v>
      </c>
      <c r="G3127" s="7" t="s">
        <v>1022</v>
      </c>
      <c r="H3127" s="7" t="s">
        <v>1343</v>
      </c>
      <c r="I3127" s="7" t="s">
        <v>1344</v>
      </c>
      <c r="J3127" s="7" t="s">
        <v>1345</v>
      </c>
      <c r="K3127" s="7" t="s">
        <v>1346</v>
      </c>
      <c r="L3127" s="7" t="s">
        <v>1347</v>
      </c>
      <c r="M3127" s="7" t="s">
        <v>1348</v>
      </c>
    </row>
    <row r="3128" spans="1:13" x14ac:dyDescent="0.25">
      <c r="A3128" s="12" t="str">
        <f t="shared" si="98"/>
        <v>DocumentoFornecedorTipoEmissão</v>
      </c>
      <c r="B3128" s="12" t="str">
        <f t="shared" si="97"/>
        <v>Vencto</v>
      </c>
      <c r="C3128" s="7" t="s">
        <v>1020</v>
      </c>
      <c r="D3128" s="7" t="s">
        <v>1342</v>
      </c>
      <c r="E3128" s="7" t="s">
        <v>0</v>
      </c>
      <c r="F3128" s="7" t="s">
        <v>1026</v>
      </c>
      <c r="G3128" s="7" t="s">
        <v>1022</v>
      </c>
      <c r="H3128" s="7" t="s">
        <v>1343</v>
      </c>
      <c r="I3128" s="7" t="s">
        <v>1344</v>
      </c>
      <c r="J3128" s="7" t="s">
        <v>1345</v>
      </c>
      <c r="K3128" s="7" t="s">
        <v>1346</v>
      </c>
      <c r="L3128" s="7" t="s">
        <v>1347</v>
      </c>
      <c r="M3128" s="7" t="s">
        <v>1348</v>
      </c>
    </row>
    <row r="3129" spans="1:13" x14ac:dyDescent="0.25">
      <c r="A3129" s="12" t="str">
        <f t="shared" si="98"/>
        <v>DocumentoFornecedorTipoEmissão</v>
      </c>
      <c r="B3129" s="12" t="str">
        <f t="shared" si="97"/>
        <v>Vencto</v>
      </c>
      <c r="C3129" s="7" t="s">
        <v>1020</v>
      </c>
      <c r="D3129" s="7" t="s">
        <v>1342</v>
      </c>
      <c r="E3129" s="7" t="s">
        <v>0</v>
      </c>
      <c r="F3129" s="7" t="s">
        <v>1026</v>
      </c>
      <c r="G3129" s="7" t="s">
        <v>1022</v>
      </c>
      <c r="H3129" s="7" t="s">
        <v>1343</v>
      </c>
      <c r="I3129" s="7" t="s">
        <v>1344</v>
      </c>
      <c r="J3129" s="7" t="s">
        <v>1345</v>
      </c>
      <c r="K3129" s="7" t="s">
        <v>1346</v>
      </c>
      <c r="L3129" s="7" t="s">
        <v>1347</v>
      </c>
      <c r="M3129" s="7" t="s">
        <v>1348</v>
      </c>
    </row>
    <row r="3130" spans="1:13" x14ac:dyDescent="0.25">
      <c r="A3130" s="12" t="str">
        <f t="shared" si="98"/>
        <v>DocumentoFornecedorTipoEmissão</v>
      </c>
      <c r="B3130" s="12" t="str">
        <f t="shared" si="97"/>
        <v>Vencto</v>
      </c>
      <c r="C3130" s="7" t="s">
        <v>1020</v>
      </c>
      <c r="D3130" s="7" t="s">
        <v>1342</v>
      </c>
      <c r="E3130" s="7" t="s">
        <v>0</v>
      </c>
      <c r="F3130" s="7" t="s">
        <v>1026</v>
      </c>
      <c r="G3130" s="7" t="s">
        <v>1022</v>
      </c>
      <c r="H3130" s="7" t="s">
        <v>1343</v>
      </c>
      <c r="I3130" s="7" t="s">
        <v>1344</v>
      </c>
      <c r="J3130" s="7" t="s">
        <v>1345</v>
      </c>
      <c r="K3130" s="7" t="s">
        <v>1346</v>
      </c>
      <c r="L3130" s="7" t="s">
        <v>1347</v>
      </c>
      <c r="M3130" s="7" t="s">
        <v>1348</v>
      </c>
    </row>
    <row r="3131" spans="1:13" x14ac:dyDescent="0.25">
      <c r="A3131" s="12" t="str">
        <f t="shared" si="98"/>
        <v>DocumentoFornecedorTipoEmissão</v>
      </c>
      <c r="B3131" s="12" t="str">
        <f t="shared" si="97"/>
        <v>Vencto</v>
      </c>
      <c r="C3131" s="7" t="s">
        <v>1020</v>
      </c>
      <c r="D3131" s="7" t="s">
        <v>1342</v>
      </c>
      <c r="E3131" s="7" t="s">
        <v>0</v>
      </c>
      <c r="F3131" s="7" t="s">
        <v>1026</v>
      </c>
      <c r="G3131" s="7" t="s">
        <v>1022</v>
      </c>
      <c r="H3131" s="7" t="s">
        <v>1343</v>
      </c>
      <c r="I3131" s="7" t="s">
        <v>1344</v>
      </c>
      <c r="J3131" s="7" t="s">
        <v>1345</v>
      </c>
      <c r="K3131" s="7" t="s">
        <v>1346</v>
      </c>
      <c r="L3131" s="7" t="s">
        <v>1347</v>
      </c>
      <c r="M3131" s="7" t="s">
        <v>1348</v>
      </c>
    </row>
    <row r="3132" spans="1:13" x14ac:dyDescent="0.25">
      <c r="A3132" s="12" t="str">
        <f t="shared" si="98"/>
        <v>DocumentoFornecedorTipoEmissão</v>
      </c>
      <c r="B3132" s="12" t="str">
        <f t="shared" si="97"/>
        <v>Vencto</v>
      </c>
      <c r="C3132" s="7" t="s">
        <v>1020</v>
      </c>
      <c r="D3132" s="7" t="s">
        <v>1342</v>
      </c>
      <c r="E3132" s="7" t="s">
        <v>0</v>
      </c>
      <c r="F3132" s="7" t="s">
        <v>1026</v>
      </c>
      <c r="G3132" s="7" t="s">
        <v>1022</v>
      </c>
      <c r="H3132" s="7" t="s">
        <v>1343</v>
      </c>
      <c r="I3132" s="7" t="s">
        <v>1344</v>
      </c>
      <c r="J3132" s="7" t="s">
        <v>1345</v>
      </c>
      <c r="K3132" s="7" t="s">
        <v>1346</v>
      </c>
      <c r="L3132" s="7" t="s">
        <v>1347</v>
      </c>
      <c r="M3132" s="7" t="s">
        <v>1348</v>
      </c>
    </row>
    <row r="3133" spans="1:13" x14ac:dyDescent="0.25">
      <c r="A3133" s="12" t="str">
        <f t="shared" si="98"/>
        <v>DocumentoFornecedorTipoEmissão</v>
      </c>
      <c r="B3133" s="12" t="str">
        <f t="shared" si="97"/>
        <v>Vencto</v>
      </c>
      <c r="C3133" s="7" t="s">
        <v>1020</v>
      </c>
      <c r="D3133" s="7" t="s">
        <v>1342</v>
      </c>
      <c r="E3133" s="7" t="s">
        <v>0</v>
      </c>
      <c r="F3133" s="7" t="s">
        <v>1026</v>
      </c>
      <c r="G3133" s="7" t="s">
        <v>1022</v>
      </c>
      <c r="H3133" s="7" t="s">
        <v>1343</v>
      </c>
      <c r="I3133" s="7" t="s">
        <v>1344</v>
      </c>
      <c r="J3133" s="7" t="s">
        <v>1345</v>
      </c>
      <c r="K3133" s="7" t="s">
        <v>1346</v>
      </c>
      <c r="L3133" s="7" t="s">
        <v>1347</v>
      </c>
      <c r="M3133" s="7" t="s">
        <v>1348</v>
      </c>
    </row>
    <row r="3134" spans="1:13" x14ac:dyDescent="0.25">
      <c r="A3134" s="12" t="str">
        <f t="shared" si="98"/>
        <v>DocumentoFornecedorTipoEmissão</v>
      </c>
      <c r="B3134" s="12" t="str">
        <f t="shared" si="97"/>
        <v>Vencto</v>
      </c>
      <c r="C3134" s="7" t="s">
        <v>1020</v>
      </c>
      <c r="D3134" s="7" t="s">
        <v>1342</v>
      </c>
      <c r="E3134" s="7" t="s">
        <v>0</v>
      </c>
      <c r="F3134" s="7" t="s">
        <v>1026</v>
      </c>
      <c r="G3134" s="7" t="s">
        <v>1022</v>
      </c>
      <c r="H3134" s="7" t="s">
        <v>1343</v>
      </c>
      <c r="I3134" s="7" t="s">
        <v>1344</v>
      </c>
      <c r="J3134" s="7" t="s">
        <v>1345</v>
      </c>
      <c r="K3134" s="7" t="s">
        <v>1346</v>
      </c>
      <c r="L3134" s="7" t="s">
        <v>1347</v>
      </c>
      <c r="M3134" s="7" t="s">
        <v>1348</v>
      </c>
    </row>
    <row r="3135" spans="1:13" x14ac:dyDescent="0.25">
      <c r="A3135" s="12" t="str">
        <f t="shared" si="98"/>
        <v>DocumentoFornecedorTipoEmissão</v>
      </c>
      <c r="B3135" s="12" t="str">
        <f t="shared" si="97"/>
        <v>Vencto</v>
      </c>
      <c r="C3135" s="7" t="s">
        <v>1020</v>
      </c>
      <c r="D3135" s="7" t="s">
        <v>1342</v>
      </c>
      <c r="E3135" s="7" t="s">
        <v>0</v>
      </c>
      <c r="F3135" s="7" t="s">
        <v>1026</v>
      </c>
      <c r="G3135" s="7" t="s">
        <v>1022</v>
      </c>
      <c r="H3135" s="7" t="s">
        <v>1343</v>
      </c>
      <c r="I3135" s="7" t="s">
        <v>1344</v>
      </c>
      <c r="J3135" s="7" t="s">
        <v>1345</v>
      </c>
      <c r="K3135" s="7" t="s">
        <v>1346</v>
      </c>
      <c r="L3135" s="7" t="s">
        <v>1347</v>
      </c>
      <c r="M3135" s="7" t="s">
        <v>1348</v>
      </c>
    </row>
    <row r="3136" spans="1:13" x14ac:dyDescent="0.25">
      <c r="A3136" s="12" t="str">
        <f t="shared" si="98"/>
        <v>DocumentoFornecedorTipoEmissão</v>
      </c>
      <c r="B3136" s="12" t="str">
        <f t="shared" si="97"/>
        <v>Vencto</v>
      </c>
      <c r="C3136" s="7" t="s">
        <v>1020</v>
      </c>
      <c r="D3136" s="7" t="s">
        <v>1342</v>
      </c>
      <c r="E3136" s="7" t="s">
        <v>0</v>
      </c>
      <c r="F3136" s="7" t="s">
        <v>1026</v>
      </c>
      <c r="G3136" s="7" t="s">
        <v>1022</v>
      </c>
      <c r="H3136" s="7" t="s">
        <v>1343</v>
      </c>
      <c r="I3136" s="7" t="s">
        <v>1344</v>
      </c>
      <c r="J3136" s="7" t="s">
        <v>1345</v>
      </c>
      <c r="K3136" s="7" t="s">
        <v>1346</v>
      </c>
      <c r="L3136" s="7" t="s">
        <v>1347</v>
      </c>
      <c r="M3136" s="7" t="s">
        <v>1348</v>
      </c>
    </row>
    <row r="3137" spans="1:13" x14ac:dyDescent="0.25">
      <c r="A3137" s="12" t="str">
        <f t="shared" si="98"/>
        <v>DocumentoFornecedorTipoEmissão</v>
      </c>
      <c r="B3137" s="12" t="str">
        <f t="shared" si="97"/>
        <v>Vencto</v>
      </c>
      <c r="C3137" s="7" t="s">
        <v>1020</v>
      </c>
      <c r="D3137" s="7" t="s">
        <v>1342</v>
      </c>
      <c r="E3137" s="7" t="s">
        <v>0</v>
      </c>
      <c r="F3137" s="7" t="s">
        <v>1026</v>
      </c>
      <c r="G3137" s="7" t="s">
        <v>1022</v>
      </c>
      <c r="H3137" s="7" t="s">
        <v>1343</v>
      </c>
      <c r="I3137" s="7" t="s">
        <v>1344</v>
      </c>
      <c r="J3137" s="7" t="s">
        <v>1345</v>
      </c>
      <c r="K3137" s="7" t="s">
        <v>1346</v>
      </c>
      <c r="L3137" s="7" t="s">
        <v>1347</v>
      </c>
      <c r="M3137" s="7" t="s">
        <v>1348</v>
      </c>
    </row>
    <row r="3138" spans="1:13" x14ac:dyDescent="0.25">
      <c r="A3138" s="12" t="str">
        <f t="shared" si="98"/>
        <v>DocumentoFornecedorTipoEmissão</v>
      </c>
      <c r="B3138" s="12" t="str">
        <f t="shared" si="97"/>
        <v>Vencto</v>
      </c>
      <c r="C3138" s="7" t="s">
        <v>1020</v>
      </c>
      <c r="D3138" s="7" t="s">
        <v>1342</v>
      </c>
      <c r="E3138" s="7" t="s">
        <v>0</v>
      </c>
      <c r="F3138" s="7" t="s">
        <v>1026</v>
      </c>
      <c r="G3138" s="7" t="s">
        <v>1022</v>
      </c>
      <c r="H3138" s="7" t="s">
        <v>1343</v>
      </c>
      <c r="I3138" s="7" t="s">
        <v>1344</v>
      </c>
      <c r="J3138" s="7" t="s">
        <v>1345</v>
      </c>
      <c r="K3138" s="7" t="s">
        <v>1346</v>
      </c>
      <c r="L3138" s="7" t="s">
        <v>1347</v>
      </c>
      <c r="M3138" s="7" t="s">
        <v>1348</v>
      </c>
    </row>
    <row r="3139" spans="1:13" x14ac:dyDescent="0.25">
      <c r="A3139" s="12" t="str">
        <f t="shared" si="98"/>
        <v>DocumentoFornecedorTipoEmissão</v>
      </c>
      <c r="B3139" s="12" t="str">
        <f t="shared" ref="B3139:B3202" si="99">PROPER(TEXT($H3139,"MMMM"))</f>
        <v>Vencto</v>
      </c>
      <c r="C3139" s="7" t="s">
        <v>1020</v>
      </c>
      <c r="D3139" s="7" t="s">
        <v>1342</v>
      </c>
      <c r="E3139" s="7" t="s">
        <v>0</v>
      </c>
      <c r="F3139" s="7" t="s">
        <v>1026</v>
      </c>
      <c r="G3139" s="7" t="s">
        <v>1022</v>
      </c>
      <c r="H3139" s="7" t="s">
        <v>1343</v>
      </c>
      <c r="I3139" s="7" t="s">
        <v>1344</v>
      </c>
      <c r="J3139" s="7" t="s">
        <v>1345</v>
      </c>
      <c r="K3139" s="7" t="s">
        <v>1346</v>
      </c>
      <c r="L3139" s="7" t="s">
        <v>1347</v>
      </c>
      <c r="M3139" s="7" t="s">
        <v>1348</v>
      </c>
    </row>
    <row r="3140" spans="1:13" x14ac:dyDescent="0.25">
      <c r="A3140" s="12" t="str">
        <f t="shared" si="98"/>
        <v>DocumentoFornecedorTipoEmissão</v>
      </c>
      <c r="B3140" s="12" t="str">
        <f t="shared" si="99"/>
        <v>Vencto</v>
      </c>
      <c r="C3140" s="7" t="s">
        <v>1020</v>
      </c>
      <c r="D3140" s="7" t="s">
        <v>1342</v>
      </c>
      <c r="E3140" s="7" t="s">
        <v>0</v>
      </c>
      <c r="F3140" s="7" t="s">
        <v>1026</v>
      </c>
      <c r="G3140" s="7" t="s">
        <v>1022</v>
      </c>
      <c r="H3140" s="7" t="s">
        <v>1343</v>
      </c>
      <c r="I3140" s="7" t="s">
        <v>1344</v>
      </c>
      <c r="J3140" s="7" t="s">
        <v>1345</v>
      </c>
      <c r="K3140" s="7" t="s">
        <v>1346</v>
      </c>
      <c r="L3140" s="7" t="s">
        <v>1347</v>
      </c>
      <c r="M3140" s="7" t="s">
        <v>1348</v>
      </c>
    </row>
    <row r="3141" spans="1:13" x14ac:dyDescent="0.25">
      <c r="A3141" s="12" t="str">
        <f t="shared" si="98"/>
        <v>DocumentoFornecedorTipoEmissão</v>
      </c>
      <c r="B3141" s="12" t="str">
        <f t="shared" si="99"/>
        <v>Vencto</v>
      </c>
      <c r="C3141" s="7" t="s">
        <v>1020</v>
      </c>
      <c r="D3141" s="7" t="s">
        <v>1342</v>
      </c>
      <c r="E3141" s="7" t="s">
        <v>0</v>
      </c>
      <c r="F3141" s="7" t="s">
        <v>1026</v>
      </c>
      <c r="G3141" s="7" t="s">
        <v>1022</v>
      </c>
      <c r="H3141" s="7" t="s">
        <v>1343</v>
      </c>
      <c r="I3141" s="7" t="s">
        <v>1344</v>
      </c>
      <c r="J3141" s="7" t="s">
        <v>1345</v>
      </c>
      <c r="K3141" s="7" t="s">
        <v>1346</v>
      </c>
      <c r="L3141" s="7" t="s">
        <v>1347</v>
      </c>
      <c r="M3141" s="7" t="s">
        <v>1348</v>
      </c>
    </row>
    <row r="3142" spans="1:13" x14ac:dyDescent="0.25">
      <c r="A3142" s="12" t="str">
        <f t="shared" si="98"/>
        <v>DocumentoFornecedorTipoEmissão</v>
      </c>
      <c r="B3142" s="12" t="str">
        <f t="shared" si="99"/>
        <v>Vencto</v>
      </c>
      <c r="C3142" s="7" t="s">
        <v>1020</v>
      </c>
      <c r="D3142" s="7" t="s">
        <v>1342</v>
      </c>
      <c r="E3142" s="7" t="s">
        <v>0</v>
      </c>
      <c r="F3142" s="7" t="s">
        <v>1026</v>
      </c>
      <c r="G3142" s="7" t="s">
        <v>1022</v>
      </c>
      <c r="H3142" s="7" t="s">
        <v>1343</v>
      </c>
      <c r="I3142" s="7" t="s">
        <v>1344</v>
      </c>
      <c r="J3142" s="7" t="s">
        <v>1345</v>
      </c>
      <c r="K3142" s="7" t="s">
        <v>1346</v>
      </c>
      <c r="L3142" s="7" t="s">
        <v>1347</v>
      </c>
      <c r="M3142" s="7" t="s">
        <v>1348</v>
      </c>
    </row>
    <row r="3143" spans="1:13" x14ac:dyDescent="0.25">
      <c r="A3143" s="12" t="str">
        <f t="shared" si="98"/>
        <v>DocumentoFornecedorTipoEmissão</v>
      </c>
      <c r="B3143" s="12" t="str">
        <f t="shared" si="99"/>
        <v>Vencto</v>
      </c>
      <c r="C3143" s="7" t="s">
        <v>1020</v>
      </c>
      <c r="D3143" s="7" t="s">
        <v>1342</v>
      </c>
      <c r="E3143" s="7" t="s">
        <v>0</v>
      </c>
      <c r="F3143" s="7" t="s">
        <v>1026</v>
      </c>
      <c r="G3143" s="7" t="s">
        <v>1022</v>
      </c>
      <c r="H3143" s="7" t="s">
        <v>1343</v>
      </c>
      <c r="I3143" s="7" t="s">
        <v>1344</v>
      </c>
      <c r="J3143" s="7" t="s">
        <v>1345</v>
      </c>
      <c r="K3143" s="7" t="s">
        <v>1346</v>
      </c>
      <c r="L3143" s="7" t="s">
        <v>1347</v>
      </c>
      <c r="M3143" s="7" t="s">
        <v>1348</v>
      </c>
    </row>
    <row r="3144" spans="1:13" x14ac:dyDescent="0.25">
      <c r="A3144" s="12" t="str">
        <f t="shared" si="98"/>
        <v>DocumentoFornecedorTipoEmissão</v>
      </c>
      <c r="B3144" s="12" t="str">
        <f t="shared" si="99"/>
        <v>Vencto</v>
      </c>
      <c r="C3144" s="7" t="s">
        <v>1020</v>
      </c>
      <c r="D3144" s="7" t="s">
        <v>1342</v>
      </c>
      <c r="E3144" s="7" t="s">
        <v>0</v>
      </c>
      <c r="F3144" s="7" t="s">
        <v>1026</v>
      </c>
      <c r="G3144" s="7" t="s">
        <v>1022</v>
      </c>
      <c r="H3144" s="7" t="s">
        <v>1343</v>
      </c>
      <c r="I3144" s="7" t="s">
        <v>1344</v>
      </c>
      <c r="J3144" s="7" t="s">
        <v>1345</v>
      </c>
      <c r="K3144" s="7" t="s">
        <v>1346</v>
      </c>
      <c r="L3144" s="7" t="s">
        <v>1347</v>
      </c>
      <c r="M3144" s="7" t="s">
        <v>1348</v>
      </c>
    </row>
    <row r="3145" spans="1:13" x14ac:dyDescent="0.25">
      <c r="A3145" s="12" t="str">
        <f t="shared" si="98"/>
        <v>DocumentoFornecedorTipoEmissão</v>
      </c>
      <c r="B3145" s="12" t="str">
        <f t="shared" si="99"/>
        <v>Vencto</v>
      </c>
      <c r="C3145" s="7" t="s">
        <v>1020</v>
      </c>
      <c r="D3145" s="7" t="s">
        <v>1342</v>
      </c>
      <c r="E3145" s="7" t="s">
        <v>0</v>
      </c>
      <c r="F3145" s="7" t="s">
        <v>1026</v>
      </c>
      <c r="G3145" s="7" t="s">
        <v>1022</v>
      </c>
      <c r="H3145" s="7" t="s">
        <v>1343</v>
      </c>
      <c r="I3145" s="7" t="s">
        <v>1344</v>
      </c>
      <c r="J3145" s="7" t="s">
        <v>1345</v>
      </c>
      <c r="K3145" s="7" t="s">
        <v>1346</v>
      </c>
      <c r="L3145" s="7" t="s">
        <v>1347</v>
      </c>
      <c r="M3145" s="7" t="s">
        <v>1348</v>
      </c>
    </row>
    <row r="3146" spans="1:13" x14ac:dyDescent="0.25">
      <c r="A3146" s="12" t="str">
        <f t="shared" si="98"/>
        <v>DocumentoFornecedorTipoEmissão</v>
      </c>
      <c r="B3146" s="12" t="str">
        <f t="shared" si="99"/>
        <v>Vencto</v>
      </c>
      <c r="C3146" s="7" t="s">
        <v>1020</v>
      </c>
      <c r="D3146" s="7" t="s">
        <v>1342</v>
      </c>
      <c r="E3146" s="7" t="s">
        <v>0</v>
      </c>
      <c r="F3146" s="7" t="s">
        <v>1026</v>
      </c>
      <c r="G3146" s="7" t="s">
        <v>1022</v>
      </c>
      <c r="H3146" s="7" t="s">
        <v>1343</v>
      </c>
      <c r="I3146" s="7" t="s">
        <v>1344</v>
      </c>
      <c r="J3146" s="7" t="s">
        <v>1345</v>
      </c>
      <c r="K3146" s="7" t="s">
        <v>1346</v>
      </c>
      <c r="L3146" s="7" t="s">
        <v>1347</v>
      </c>
      <c r="M3146" s="7" t="s">
        <v>1348</v>
      </c>
    </row>
    <row r="3147" spans="1:13" x14ac:dyDescent="0.25">
      <c r="A3147" s="12" t="str">
        <f t="shared" si="98"/>
        <v>DocumentoFornecedorTipoEmissão</v>
      </c>
      <c r="B3147" s="12" t="str">
        <f t="shared" si="99"/>
        <v>Vencto</v>
      </c>
      <c r="C3147" s="7" t="s">
        <v>1020</v>
      </c>
      <c r="D3147" s="7" t="s">
        <v>1342</v>
      </c>
      <c r="E3147" s="7" t="s">
        <v>0</v>
      </c>
      <c r="F3147" s="7" t="s">
        <v>1026</v>
      </c>
      <c r="G3147" s="7" t="s">
        <v>1022</v>
      </c>
      <c r="H3147" s="7" t="s">
        <v>1343</v>
      </c>
      <c r="I3147" s="7" t="s">
        <v>1344</v>
      </c>
      <c r="J3147" s="7" t="s">
        <v>1345</v>
      </c>
      <c r="K3147" s="7" t="s">
        <v>1346</v>
      </c>
      <c r="L3147" s="7" t="s">
        <v>1347</v>
      </c>
      <c r="M3147" s="7" t="s">
        <v>1348</v>
      </c>
    </row>
    <row r="3148" spans="1:13" x14ac:dyDescent="0.25">
      <c r="A3148" s="12" t="str">
        <f t="shared" si="98"/>
        <v>DocumentoFornecedorTipoEmissão</v>
      </c>
      <c r="B3148" s="12" t="str">
        <f t="shared" si="99"/>
        <v>Vencto</v>
      </c>
      <c r="C3148" s="7" t="s">
        <v>1020</v>
      </c>
      <c r="D3148" s="7" t="s">
        <v>1342</v>
      </c>
      <c r="E3148" s="7" t="s">
        <v>0</v>
      </c>
      <c r="F3148" s="7" t="s">
        <v>1026</v>
      </c>
      <c r="G3148" s="7" t="s">
        <v>1022</v>
      </c>
      <c r="H3148" s="7" t="s">
        <v>1343</v>
      </c>
      <c r="I3148" s="7" t="s">
        <v>1344</v>
      </c>
      <c r="J3148" s="7" t="s">
        <v>1345</v>
      </c>
      <c r="K3148" s="7" t="s">
        <v>1346</v>
      </c>
      <c r="L3148" s="7" t="s">
        <v>1347</v>
      </c>
      <c r="M3148" s="7" t="s">
        <v>1348</v>
      </c>
    </row>
    <row r="3149" spans="1:13" x14ac:dyDescent="0.25">
      <c r="A3149" s="12" t="str">
        <f t="shared" si="98"/>
        <v>DocumentoFornecedorTipoEmissão</v>
      </c>
      <c r="B3149" s="12" t="str">
        <f t="shared" si="99"/>
        <v>Vencto</v>
      </c>
      <c r="C3149" s="7" t="s">
        <v>1020</v>
      </c>
      <c r="D3149" s="7" t="s">
        <v>1342</v>
      </c>
      <c r="E3149" s="7" t="s">
        <v>0</v>
      </c>
      <c r="F3149" s="7" t="s">
        <v>1026</v>
      </c>
      <c r="G3149" s="7" t="s">
        <v>1022</v>
      </c>
      <c r="H3149" s="7" t="s">
        <v>1343</v>
      </c>
      <c r="I3149" s="7" t="s">
        <v>1344</v>
      </c>
      <c r="J3149" s="7" t="s">
        <v>1345</v>
      </c>
      <c r="K3149" s="7" t="s">
        <v>1346</v>
      </c>
      <c r="L3149" s="7" t="s">
        <v>1347</v>
      </c>
      <c r="M3149" s="7" t="s">
        <v>1348</v>
      </c>
    </row>
    <row r="3150" spans="1:13" x14ac:dyDescent="0.25">
      <c r="A3150" s="12" t="str">
        <f t="shared" si="98"/>
        <v>DocumentoFornecedorTipoEmissão</v>
      </c>
      <c r="B3150" s="12" t="str">
        <f t="shared" si="99"/>
        <v>Vencto</v>
      </c>
      <c r="C3150" s="7" t="s">
        <v>1020</v>
      </c>
      <c r="D3150" s="7" t="s">
        <v>1342</v>
      </c>
      <c r="E3150" s="7" t="s">
        <v>0</v>
      </c>
      <c r="F3150" s="7" t="s">
        <v>1026</v>
      </c>
      <c r="G3150" s="7" t="s">
        <v>1022</v>
      </c>
      <c r="H3150" s="7" t="s">
        <v>1343</v>
      </c>
      <c r="I3150" s="7" t="s">
        <v>1344</v>
      </c>
      <c r="J3150" s="7" t="s">
        <v>1345</v>
      </c>
      <c r="K3150" s="7" t="s">
        <v>1346</v>
      </c>
      <c r="L3150" s="7" t="s">
        <v>1347</v>
      </c>
      <c r="M3150" s="7" t="s">
        <v>1348</v>
      </c>
    </row>
    <row r="3151" spans="1:13" x14ac:dyDescent="0.25">
      <c r="A3151" s="12" t="str">
        <f t="shared" si="98"/>
        <v>DocumentoFornecedorTipoEmissão</v>
      </c>
      <c r="B3151" s="12" t="str">
        <f t="shared" si="99"/>
        <v>Vencto</v>
      </c>
      <c r="C3151" s="7" t="s">
        <v>1020</v>
      </c>
      <c r="D3151" s="7" t="s">
        <v>1342</v>
      </c>
      <c r="E3151" s="7" t="s">
        <v>0</v>
      </c>
      <c r="F3151" s="7" t="s">
        <v>1026</v>
      </c>
      <c r="G3151" s="7" t="s">
        <v>1022</v>
      </c>
      <c r="H3151" s="7" t="s">
        <v>1343</v>
      </c>
      <c r="I3151" s="7" t="s">
        <v>1344</v>
      </c>
      <c r="J3151" s="7" t="s">
        <v>1345</v>
      </c>
      <c r="K3151" s="7" t="s">
        <v>1346</v>
      </c>
      <c r="L3151" s="7" t="s">
        <v>1347</v>
      </c>
      <c r="M3151" s="7" t="s">
        <v>1348</v>
      </c>
    </row>
    <row r="3152" spans="1:13" x14ac:dyDescent="0.25">
      <c r="A3152" s="12" t="str">
        <f t="shared" si="98"/>
        <v>DocumentoFornecedorTipoEmissão</v>
      </c>
      <c r="B3152" s="12" t="str">
        <f t="shared" si="99"/>
        <v>Vencto</v>
      </c>
      <c r="C3152" s="7" t="s">
        <v>1020</v>
      </c>
      <c r="D3152" s="7" t="s">
        <v>1342</v>
      </c>
      <c r="E3152" s="7" t="s">
        <v>0</v>
      </c>
      <c r="F3152" s="7" t="s">
        <v>1026</v>
      </c>
      <c r="G3152" s="7" t="s">
        <v>1022</v>
      </c>
      <c r="H3152" s="7" t="s">
        <v>1343</v>
      </c>
      <c r="I3152" s="7" t="s">
        <v>1344</v>
      </c>
      <c r="J3152" s="7" t="s">
        <v>1345</v>
      </c>
      <c r="K3152" s="7" t="s">
        <v>1346</v>
      </c>
      <c r="L3152" s="7" t="s">
        <v>1347</v>
      </c>
      <c r="M3152" s="7" t="s">
        <v>1348</v>
      </c>
    </row>
    <row r="3153" spans="1:13" x14ac:dyDescent="0.25">
      <c r="A3153" s="12" t="str">
        <f t="shared" si="98"/>
        <v>DocumentoFornecedorTipoEmissão</v>
      </c>
      <c r="B3153" s="12" t="str">
        <f t="shared" si="99"/>
        <v>Vencto</v>
      </c>
      <c r="C3153" s="7" t="s">
        <v>1020</v>
      </c>
      <c r="D3153" s="7" t="s">
        <v>1342</v>
      </c>
      <c r="E3153" s="7" t="s">
        <v>0</v>
      </c>
      <c r="F3153" s="7" t="s">
        <v>1026</v>
      </c>
      <c r="G3153" s="7" t="s">
        <v>1022</v>
      </c>
      <c r="H3153" s="7" t="s">
        <v>1343</v>
      </c>
      <c r="I3153" s="7" t="s">
        <v>1344</v>
      </c>
      <c r="J3153" s="7" t="s">
        <v>1345</v>
      </c>
      <c r="K3153" s="7" t="s">
        <v>1346</v>
      </c>
      <c r="L3153" s="7" t="s">
        <v>1347</v>
      </c>
      <c r="M3153" s="7" t="s">
        <v>1348</v>
      </c>
    </row>
    <row r="3154" spans="1:13" x14ac:dyDescent="0.25">
      <c r="A3154" s="12" t="str">
        <f t="shared" si="98"/>
        <v>DocumentoFornecedorTipoEmissão</v>
      </c>
      <c r="B3154" s="12" t="str">
        <f t="shared" si="99"/>
        <v>Vencto</v>
      </c>
      <c r="C3154" s="7" t="s">
        <v>1020</v>
      </c>
      <c r="D3154" s="7" t="s">
        <v>1342</v>
      </c>
      <c r="E3154" s="7" t="s">
        <v>0</v>
      </c>
      <c r="F3154" s="7" t="s">
        <v>1026</v>
      </c>
      <c r="G3154" s="7" t="s">
        <v>1022</v>
      </c>
      <c r="H3154" s="7" t="s">
        <v>1343</v>
      </c>
      <c r="I3154" s="7" t="s">
        <v>1344</v>
      </c>
      <c r="J3154" s="7" t="s">
        <v>1345</v>
      </c>
      <c r="K3154" s="7" t="s">
        <v>1346</v>
      </c>
      <c r="L3154" s="7" t="s">
        <v>1347</v>
      </c>
      <c r="M3154" s="7" t="s">
        <v>1348</v>
      </c>
    </row>
    <row r="3155" spans="1:13" x14ac:dyDescent="0.25">
      <c r="A3155" s="12" t="str">
        <f t="shared" si="98"/>
        <v>DocumentoFornecedorTipoEmissão</v>
      </c>
      <c r="B3155" s="12" t="str">
        <f t="shared" si="99"/>
        <v>Vencto</v>
      </c>
      <c r="C3155" s="7" t="s">
        <v>1020</v>
      </c>
      <c r="D3155" s="7" t="s">
        <v>1342</v>
      </c>
      <c r="E3155" s="7" t="s">
        <v>0</v>
      </c>
      <c r="F3155" s="7" t="s">
        <v>1026</v>
      </c>
      <c r="G3155" s="7" t="s">
        <v>1022</v>
      </c>
      <c r="H3155" s="7" t="s">
        <v>1343</v>
      </c>
      <c r="I3155" s="7" t="s">
        <v>1344</v>
      </c>
      <c r="J3155" s="7" t="s">
        <v>1345</v>
      </c>
      <c r="K3155" s="7" t="s">
        <v>1346</v>
      </c>
      <c r="L3155" s="7" t="s">
        <v>1347</v>
      </c>
      <c r="M3155" s="7" t="s">
        <v>1348</v>
      </c>
    </row>
    <row r="3156" spans="1:13" x14ac:dyDescent="0.25">
      <c r="A3156" s="12" t="str">
        <f t="shared" si="98"/>
        <v>DocumentoFornecedorTipoEmissão</v>
      </c>
      <c r="B3156" s="12" t="str">
        <f t="shared" si="99"/>
        <v>Vencto</v>
      </c>
      <c r="C3156" s="7" t="s">
        <v>1020</v>
      </c>
      <c r="D3156" s="7" t="s">
        <v>1342</v>
      </c>
      <c r="E3156" s="7" t="s">
        <v>0</v>
      </c>
      <c r="F3156" s="7" t="s">
        <v>1026</v>
      </c>
      <c r="G3156" s="7" t="s">
        <v>1022</v>
      </c>
      <c r="H3156" s="7" t="s">
        <v>1343</v>
      </c>
      <c r="I3156" s="7" t="s">
        <v>1344</v>
      </c>
      <c r="J3156" s="7" t="s">
        <v>1345</v>
      </c>
      <c r="K3156" s="7" t="s">
        <v>1346</v>
      </c>
      <c r="L3156" s="7" t="s">
        <v>1347</v>
      </c>
      <c r="M3156" s="7" t="s">
        <v>1348</v>
      </c>
    </row>
    <row r="3157" spans="1:13" x14ac:dyDescent="0.25">
      <c r="A3157" s="12" t="str">
        <f t="shared" si="98"/>
        <v>DocumentoFornecedorTipoEmissão</v>
      </c>
      <c r="B3157" s="12" t="str">
        <f t="shared" si="99"/>
        <v>Vencto</v>
      </c>
      <c r="C3157" s="7" t="s">
        <v>1020</v>
      </c>
      <c r="D3157" s="7" t="s">
        <v>1342</v>
      </c>
      <c r="E3157" s="7" t="s">
        <v>0</v>
      </c>
      <c r="F3157" s="7" t="s">
        <v>1026</v>
      </c>
      <c r="G3157" s="7" t="s">
        <v>1022</v>
      </c>
      <c r="H3157" s="7" t="s">
        <v>1343</v>
      </c>
      <c r="I3157" s="7" t="s">
        <v>1344</v>
      </c>
      <c r="J3157" s="7" t="s">
        <v>1345</v>
      </c>
      <c r="K3157" s="7" t="s">
        <v>1346</v>
      </c>
      <c r="L3157" s="7" t="s">
        <v>1347</v>
      </c>
      <c r="M3157" s="7" t="s">
        <v>1348</v>
      </c>
    </row>
    <row r="3158" spans="1:13" x14ac:dyDescent="0.25">
      <c r="A3158" s="12" t="str">
        <f t="shared" si="98"/>
        <v>DocumentoFornecedorTipoEmissão</v>
      </c>
      <c r="B3158" s="12" t="str">
        <f t="shared" si="99"/>
        <v>Vencto</v>
      </c>
      <c r="C3158" s="7" t="s">
        <v>1020</v>
      </c>
      <c r="D3158" s="7" t="s">
        <v>1342</v>
      </c>
      <c r="E3158" s="7" t="s">
        <v>0</v>
      </c>
      <c r="F3158" s="7" t="s">
        <v>1026</v>
      </c>
      <c r="G3158" s="7" t="s">
        <v>1022</v>
      </c>
      <c r="H3158" s="7" t="s">
        <v>1343</v>
      </c>
      <c r="I3158" s="7" t="s">
        <v>1344</v>
      </c>
      <c r="J3158" s="7" t="s">
        <v>1345</v>
      </c>
      <c r="K3158" s="7" t="s">
        <v>1346</v>
      </c>
      <c r="L3158" s="7" t="s">
        <v>1347</v>
      </c>
      <c r="M3158" s="7" t="s">
        <v>1348</v>
      </c>
    </row>
    <row r="3159" spans="1:13" x14ac:dyDescent="0.25">
      <c r="A3159" s="12" t="str">
        <f t="shared" si="98"/>
        <v>DocumentoFornecedorTipoEmissão</v>
      </c>
      <c r="B3159" s="12" t="str">
        <f t="shared" si="99"/>
        <v>Vencto</v>
      </c>
      <c r="C3159" s="7" t="s">
        <v>1020</v>
      </c>
      <c r="D3159" s="7" t="s">
        <v>1342</v>
      </c>
      <c r="E3159" s="7" t="s">
        <v>0</v>
      </c>
      <c r="F3159" s="7" t="s">
        <v>1026</v>
      </c>
      <c r="G3159" s="7" t="s">
        <v>1022</v>
      </c>
      <c r="H3159" s="7" t="s">
        <v>1343</v>
      </c>
      <c r="I3159" s="7" t="s">
        <v>1344</v>
      </c>
      <c r="J3159" s="7" t="s">
        <v>1345</v>
      </c>
      <c r="K3159" s="7" t="s">
        <v>1346</v>
      </c>
      <c r="L3159" s="7" t="s">
        <v>1347</v>
      </c>
      <c r="M3159" s="7" t="s">
        <v>1348</v>
      </c>
    </row>
    <row r="3160" spans="1:13" x14ac:dyDescent="0.25">
      <c r="A3160" s="12" t="str">
        <f t="shared" si="98"/>
        <v>DocumentoFornecedorTipoEmissão</v>
      </c>
      <c r="B3160" s="12" t="str">
        <f t="shared" si="99"/>
        <v>Vencto</v>
      </c>
      <c r="C3160" s="7" t="s">
        <v>1020</v>
      </c>
      <c r="D3160" s="7" t="s">
        <v>1342</v>
      </c>
      <c r="E3160" s="7" t="s">
        <v>0</v>
      </c>
      <c r="F3160" s="7" t="s">
        <v>1026</v>
      </c>
      <c r="G3160" s="7" t="s">
        <v>1022</v>
      </c>
      <c r="H3160" s="7" t="s">
        <v>1343</v>
      </c>
      <c r="I3160" s="7" t="s">
        <v>1344</v>
      </c>
      <c r="J3160" s="7" t="s">
        <v>1345</v>
      </c>
      <c r="K3160" s="7" t="s">
        <v>1346</v>
      </c>
      <c r="L3160" s="7" t="s">
        <v>1347</v>
      </c>
      <c r="M3160" s="7" t="s">
        <v>1348</v>
      </c>
    </row>
    <row r="3161" spans="1:13" x14ac:dyDescent="0.25">
      <c r="A3161" s="12" t="str">
        <f t="shared" si="98"/>
        <v>DocumentoFornecedorTipoEmissão</v>
      </c>
      <c r="B3161" s="12" t="str">
        <f t="shared" si="99"/>
        <v>Vencto</v>
      </c>
      <c r="C3161" s="7" t="s">
        <v>1020</v>
      </c>
      <c r="D3161" s="7" t="s">
        <v>1342</v>
      </c>
      <c r="E3161" s="7" t="s">
        <v>0</v>
      </c>
      <c r="F3161" s="7" t="s">
        <v>1026</v>
      </c>
      <c r="G3161" s="7" t="s">
        <v>1022</v>
      </c>
      <c r="H3161" s="7" t="s">
        <v>1343</v>
      </c>
      <c r="I3161" s="7" t="s">
        <v>1344</v>
      </c>
      <c r="J3161" s="7" t="s">
        <v>1345</v>
      </c>
      <c r="K3161" s="7" t="s">
        <v>1346</v>
      </c>
      <c r="L3161" s="7" t="s">
        <v>1347</v>
      </c>
      <c r="M3161" s="7" t="s">
        <v>1348</v>
      </c>
    </row>
    <row r="3162" spans="1:13" x14ac:dyDescent="0.25">
      <c r="A3162" s="12" t="str">
        <f t="shared" si="98"/>
        <v>DocumentoFornecedorTipoEmissão</v>
      </c>
      <c r="B3162" s="12" t="str">
        <f t="shared" si="99"/>
        <v>Vencto</v>
      </c>
      <c r="C3162" s="7" t="s">
        <v>1020</v>
      </c>
      <c r="D3162" s="7" t="s">
        <v>1342</v>
      </c>
      <c r="E3162" s="7" t="s">
        <v>0</v>
      </c>
      <c r="F3162" s="7" t="s">
        <v>1026</v>
      </c>
      <c r="G3162" s="7" t="s">
        <v>1022</v>
      </c>
      <c r="H3162" s="7" t="s">
        <v>1343</v>
      </c>
      <c r="I3162" s="7" t="s">
        <v>1344</v>
      </c>
      <c r="J3162" s="7" t="s">
        <v>1345</v>
      </c>
      <c r="K3162" s="7" t="s">
        <v>1346</v>
      </c>
      <c r="L3162" s="7" t="s">
        <v>1347</v>
      </c>
      <c r="M3162" s="7" t="s">
        <v>1348</v>
      </c>
    </row>
    <row r="3163" spans="1:13" x14ac:dyDescent="0.25">
      <c r="A3163" s="12" t="str">
        <f t="shared" ref="A3163:A3226" si="100">$C3163&amp;$E3163&amp;$G3163&amp;$F3163</f>
        <v>DocumentoFornecedorTipoEmissão</v>
      </c>
      <c r="B3163" s="12" t="str">
        <f t="shared" si="99"/>
        <v>Vencto</v>
      </c>
      <c r="C3163" s="7" t="s">
        <v>1020</v>
      </c>
      <c r="D3163" s="7" t="s">
        <v>1342</v>
      </c>
      <c r="E3163" s="7" t="s">
        <v>0</v>
      </c>
      <c r="F3163" s="7" t="s">
        <v>1026</v>
      </c>
      <c r="G3163" s="7" t="s">
        <v>1022</v>
      </c>
      <c r="H3163" s="7" t="s">
        <v>1343</v>
      </c>
      <c r="I3163" s="7" t="s">
        <v>1344</v>
      </c>
      <c r="J3163" s="7" t="s">
        <v>1345</v>
      </c>
      <c r="K3163" s="7" t="s">
        <v>1346</v>
      </c>
      <c r="L3163" s="7" t="s">
        <v>1347</v>
      </c>
      <c r="M3163" s="7" t="s">
        <v>1348</v>
      </c>
    </row>
    <row r="3164" spans="1:13" x14ac:dyDescent="0.25">
      <c r="A3164" s="12" t="str">
        <f t="shared" si="100"/>
        <v>DocumentoFornecedorTipoEmissão</v>
      </c>
      <c r="B3164" s="12" t="str">
        <f t="shared" si="99"/>
        <v>Vencto</v>
      </c>
      <c r="C3164" s="7" t="s">
        <v>1020</v>
      </c>
      <c r="D3164" s="7" t="s">
        <v>1342</v>
      </c>
      <c r="E3164" s="7" t="s">
        <v>0</v>
      </c>
      <c r="F3164" s="7" t="s">
        <v>1026</v>
      </c>
      <c r="G3164" s="7" t="s">
        <v>1022</v>
      </c>
      <c r="H3164" s="7" t="s">
        <v>1343</v>
      </c>
      <c r="I3164" s="7" t="s">
        <v>1344</v>
      </c>
      <c r="J3164" s="7" t="s">
        <v>1345</v>
      </c>
      <c r="K3164" s="7" t="s">
        <v>1346</v>
      </c>
      <c r="L3164" s="7" t="s">
        <v>1347</v>
      </c>
      <c r="M3164" s="7" t="s">
        <v>1348</v>
      </c>
    </row>
    <row r="3165" spans="1:13" x14ac:dyDescent="0.25">
      <c r="A3165" s="12" t="str">
        <f t="shared" si="100"/>
        <v>DocumentoFornecedorTipoEmissão</v>
      </c>
      <c r="B3165" s="12" t="str">
        <f t="shared" si="99"/>
        <v>Vencto</v>
      </c>
      <c r="C3165" s="7" t="s">
        <v>1020</v>
      </c>
      <c r="D3165" s="7" t="s">
        <v>1342</v>
      </c>
      <c r="E3165" s="7" t="s">
        <v>0</v>
      </c>
      <c r="F3165" s="7" t="s">
        <v>1026</v>
      </c>
      <c r="G3165" s="7" t="s">
        <v>1022</v>
      </c>
      <c r="H3165" s="7" t="s">
        <v>1343</v>
      </c>
      <c r="I3165" s="7" t="s">
        <v>1344</v>
      </c>
      <c r="J3165" s="7" t="s">
        <v>1345</v>
      </c>
      <c r="K3165" s="7" t="s">
        <v>1346</v>
      </c>
      <c r="L3165" s="7" t="s">
        <v>1347</v>
      </c>
      <c r="M3165" s="7" t="s">
        <v>1348</v>
      </c>
    </row>
    <row r="3166" spans="1:13" x14ac:dyDescent="0.25">
      <c r="A3166" s="12" t="str">
        <f t="shared" si="100"/>
        <v>DocumentoFornecedorTipoEmissão</v>
      </c>
      <c r="B3166" s="12" t="str">
        <f t="shared" si="99"/>
        <v>Vencto</v>
      </c>
      <c r="C3166" s="7" t="s">
        <v>1020</v>
      </c>
      <c r="D3166" s="7" t="s">
        <v>1342</v>
      </c>
      <c r="E3166" s="7" t="s">
        <v>0</v>
      </c>
      <c r="F3166" s="7" t="s">
        <v>1026</v>
      </c>
      <c r="G3166" s="7" t="s">
        <v>1022</v>
      </c>
      <c r="H3166" s="7" t="s">
        <v>1343</v>
      </c>
      <c r="I3166" s="7" t="s">
        <v>1344</v>
      </c>
      <c r="J3166" s="7" t="s">
        <v>1345</v>
      </c>
      <c r="K3166" s="7" t="s">
        <v>1346</v>
      </c>
      <c r="L3166" s="7" t="s">
        <v>1347</v>
      </c>
      <c r="M3166" s="7" t="s">
        <v>1348</v>
      </c>
    </row>
    <row r="3167" spans="1:13" x14ac:dyDescent="0.25">
      <c r="A3167" s="12" t="str">
        <f t="shared" si="100"/>
        <v>DocumentoFornecedorTipoEmissão</v>
      </c>
      <c r="B3167" s="12" t="str">
        <f t="shared" si="99"/>
        <v>Vencto</v>
      </c>
      <c r="C3167" s="7" t="s">
        <v>1020</v>
      </c>
      <c r="D3167" s="7" t="s">
        <v>1342</v>
      </c>
      <c r="E3167" s="7" t="s">
        <v>0</v>
      </c>
      <c r="F3167" s="7" t="s">
        <v>1026</v>
      </c>
      <c r="G3167" s="7" t="s">
        <v>1022</v>
      </c>
      <c r="H3167" s="7" t="s">
        <v>1343</v>
      </c>
      <c r="I3167" s="7" t="s">
        <v>1344</v>
      </c>
      <c r="J3167" s="7" t="s">
        <v>1345</v>
      </c>
      <c r="K3167" s="7" t="s">
        <v>1346</v>
      </c>
      <c r="L3167" s="7" t="s">
        <v>1347</v>
      </c>
      <c r="M3167" s="7" t="s">
        <v>1348</v>
      </c>
    </row>
    <row r="3168" spans="1:13" x14ac:dyDescent="0.25">
      <c r="A3168" s="12" t="str">
        <f t="shared" si="100"/>
        <v>DocumentoFornecedorTipoEmissão</v>
      </c>
      <c r="B3168" s="12" t="str">
        <f t="shared" si="99"/>
        <v>Vencto</v>
      </c>
      <c r="C3168" s="7" t="s">
        <v>1020</v>
      </c>
      <c r="D3168" s="7" t="s">
        <v>1342</v>
      </c>
      <c r="E3168" s="7" t="s">
        <v>0</v>
      </c>
      <c r="F3168" s="7" t="s">
        <v>1026</v>
      </c>
      <c r="G3168" s="7" t="s">
        <v>1022</v>
      </c>
      <c r="H3168" s="7" t="s">
        <v>1343</v>
      </c>
      <c r="I3168" s="7" t="s">
        <v>1344</v>
      </c>
      <c r="J3168" s="7" t="s">
        <v>1345</v>
      </c>
      <c r="K3168" s="7" t="s">
        <v>1346</v>
      </c>
      <c r="L3168" s="7" t="s">
        <v>1347</v>
      </c>
      <c r="M3168" s="7" t="s">
        <v>1348</v>
      </c>
    </row>
    <row r="3169" spans="1:13" x14ac:dyDescent="0.25">
      <c r="A3169" s="12" t="str">
        <f t="shared" si="100"/>
        <v>DocumentoFornecedorTipoEmissão</v>
      </c>
      <c r="B3169" s="12" t="str">
        <f t="shared" si="99"/>
        <v>Vencto</v>
      </c>
      <c r="C3169" s="7" t="s">
        <v>1020</v>
      </c>
      <c r="D3169" s="7" t="s">
        <v>1342</v>
      </c>
      <c r="E3169" s="7" t="s">
        <v>0</v>
      </c>
      <c r="F3169" s="7" t="s">
        <v>1026</v>
      </c>
      <c r="G3169" s="7" t="s">
        <v>1022</v>
      </c>
      <c r="H3169" s="7" t="s">
        <v>1343</v>
      </c>
      <c r="I3169" s="7" t="s">
        <v>1344</v>
      </c>
      <c r="J3169" s="7" t="s">
        <v>1345</v>
      </c>
      <c r="K3169" s="7" t="s">
        <v>1346</v>
      </c>
      <c r="L3169" s="7" t="s">
        <v>1347</v>
      </c>
      <c r="M3169" s="7" t="s">
        <v>1348</v>
      </c>
    </row>
    <row r="3170" spans="1:13" x14ac:dyDescent="0.25">
      <c r="A3170" s="12" t="str">
        <f t="shared" si="100"/>
        <v>DocumentoFornecedorTipoEmissão</v>
      </c>
      <c r="B3170" s="12" t="str">
        <f t="shared" si="99"/>
        <v>Vencto</v>
      </c>
      <c r="C3170" s="7" t="s">
        <v>1020</v>
      </c>
      <c r="D3170" s="7" t="s">
        <v>1342</v>
      </c>
      <c r="E3170" s="7" t="s">
        <v>0</v>
      </c>
      <c r="F3170" s="7" t="s">
        <v>1026</v>
      </c>
      <c r="G3170" s="7" t="s">
        <v>1022</v>
      </c>
      <c r="H3170" s="7" t="s">
        <v>1343</v>
      </c>
      <c r="I3170" s="7" t="s">
        <v>1344</v>
      </c>
      <c r="J3170" s="7" t="s">
        <v>1345</v>
      </c>
      <c r="K3170" s="7" t="s">
        <v>1346</v>
      </c>
      <c r="L3170" s="7" t="s">
        <v>1347</v>
      </c>
      <c r="M3170" s="7" t="s">
        <v>1348</v>
      </c>
    </row>
    <row r="3171" spans="1:13" x14ac:dyDescent="0.25">
      <c r="A3171" s="12" t="str">
        <f t="shared" si="100"/>
        <v>DocumentoFornecedorTipoEmissão</v>
      </c>
      <c r="B3171" s="12" t="str">
        <f t="shared" si="99"/>
        <v>Vencto</v>
      </c>
      <c r="C3171" s="7" t="s">
        <v>1020</v>
      </c>
      <c r="D3171" s="7" t="s">
        <v>1342</v>
      </c>
      <c r="E3171" s="7" t="s">
        <v>0</v>
      </c>
      <c r="F3171" s="7" t="s">
        <v>1026</v>
      </c>
      <c r="G3171" s="7" t="s">
        <v>1022</v>
      </c>
      <c r="H3171" s="7" t="s">
        <v>1343</v>
      </c>
      <c r="I3171" s="7" t="s">
        <v>1344</v>
      </c>
      <c r="J3171" s="7" t="s">
        <v>1345</v>
      </c>
      <c r="K3171" s="7" t="s">
        <v>1346</v>
      </c>
      <c r="L3171" s="7" t="s">
        <v>1347</v>
      </c>
      <c r="M3171" s="7" t="s">
        <v>1348</v>
      </c>
    </row>
    <row r="3172" spans="1:13" x14ac:dyDescent="0.25">
      <c r="A3172" s="12" t="str">
        <f t="shared" si="100"/>
        <v>DocumentoFornecedorTipoEmissão</v>
      </c>
      <c r="B3172" s="12" t="str">
        <f t="shared" si="99"/>
        <v>Vencto</v>
      </c>
      <c r="C3172" s="7" t="s">
        <v>1020</v>
      </c>
      <c r="D3172" s="7" t="s">
        <v>1342</v>
      </c>
      <c r="E3172" s="7" t="s">
        <v>0</v>
      </c>
      <c r="F3172" s="7" t="s">
        <v>1026</v>
      </c>
      <c r="G3172" s="7" t="s">
        <v>1022</v>
      </c>
      <c r="H3172" s="7" t="s">
        <v>1343</v>
      </c>
      <c r="I3172" s="7" t="s">
        <v>1344</v>
      </c>
      <c r="J3172" s="7" t="s">
        <v>1345</v>
      </c>
      <c r="K3172" s="7" t="s">
        <v>1346</v>
      </c>
      <c r="L3172" s="7" t="s">
        <v>1347</v>
      </c>
      <c r="M3172" s="7" t="s">
        <v>1348</v>
      </c>
    </row>
    <row r="3173" spans="1:13" x14ac:dyDescent="0.25">
      <c r="A3173" s="12" t="str">
        <f t="shared" si="100"/>
        <v>DocumentoFornecedorTipoEmissão</v>
      </c>
      <c r="B3173" s="12" t="str">
        <f t="shared" si="99"/>
        <v>Vencto</v>
      </c>
      <c r="C3173" s="7" t="s">
        <v>1020</v>
      </c>
      <c r="D3173" s="7" t="s">
        <v>1342</v>
      </c>
      <c r="E3173" s="7" t="s">
        <v>0</v>
      </c>
      <c r="F3173" s="7" t="s">
        <v>1026</v>
      </c>
      <c r="G3173" s="7" t="s">
        <v>1022</v>
      </c>
      <c r="H3173" s="7" t="s">
        <v>1343</v>
      </c>
      <c r="I3173" s="7" t="s">
        <v>1344</v>
      </c>
      <c r="J3173" s="7" t="s">
        <v>1345</v>
      </c>
      <c r="K3173" s="7" t="s">
        <v>1346</v>
      </c>
      <c r="L3173" s="7" t="s">
        <v>1347</v>
      </c>
      <c r="M3173" s="7" t="s">
        <v>1348</v>
      </c>
    </row>
    <row r="3174" spans="1:13" x14ac:dyDescent="0.25">
      <c r="A3174" s="12" t="str">
        <f t="shared" si="100"/>
        <v>DocumentoFornecedorTipoEmissão</v>
      </c>
      <c r="B3174" s="12" t="str">
        <f t="shared" si="99"/>
        <v>Vencto</v>
      </c>
      <c r="C3174" s="7" t="s">
        <v>1020</v>
      </c>
      <c r="D3174" s="7" t="s">
        <v>1342</v>
      </c>
      <c r="E3174" s="7" t="s">
        <v>0</v>
      </c>
      <c r="F3174" s="7" t="s">
        <v>1026</v>
      </c>
      <c r="G3174" s="7" t="s">
        <v>1022</v>
      </c>
      <c r="H3174" s="7" t="s">
        <v>1343</v>
      </c>
      <c r="I3174" s="7" t="s">
        <v>1344</v>
      </c>
      <c r="J3174" s="7" t="s">
        <v>1345</v>
      </c>
      <c r="K3174" s="7" t="s">
        <v>1346</v>
      </c>
      <c r="L3174" s="7" t="s">
        <v>1347</v>
      </c>
      <c r="M3174" s="7" t="s">
        <v>1348</v>
      </c>
    </row>
    <row r="3175" spans="1:13" x14ac:dyDescent="0.25">
      <c r="A3175" s="12" t="str">
        <f t="shared" si="100"/>
        <v>DocumentoFornecedorTipoEmissão</v>
      </c>
      <c r="B3175" s="12" t="str">
        <f t="shared" si="99"/>
        <v>Vencto</v>
      </c>
      <c r="C3175" s="7" t="s">
        <v>1020</v>
      </c>
      <c r="D3175" s="7" t="s">
        <v>1342</v>
      </c>
      <c r="E3175" s="7" t="s">
        <v>0</v>
      </c>
      <c r="F3175" s="7" t="s">
        <v>1026</v>
      </c>
      <c r="G3175" s="7" t="s">
        <v>1022</v>
      </c>
      <c r="H3175" s="7" t="s">
        <v>1343</v>
      </c>
      <c r="I3175" s="7" t="s">
        <v>1344</v>
      </c>
      <c r="J3175" s="7" t="s">
        <v>1345</v>
      </c>
      <c r="K3175" s="7" t="s">
        <v>1346</v>
      </c>
      <c r="L3175" s="7" t="s">
        <v>1347</v>
      </c>
      <c r="M3175" s="7" t="s">
        <v>1348</v>
      </c>
    </row>
    <row r="3176" spans="1:13" x14ac:dyDescent="0.25">
      <c r="A3176" s="12" t="str">
        <f t="shared" si="100"/>
        <v>DocumentoFornecedorTipoEmissão</v>
      </c>
      <c r="B3176" s="12" t="str">
        <f t="shared" si="99"/>
        <v>Vencto</v>
      </c>
      <c r="C3176" s="7" t="s">
        <v>1020</v>
      </c>
      <c r="D3176" s="7" t="s">
        <v>1342</v>
      </c>
      <c r="E3176" s="7" t="s">
        <v>0</v>
      </c>
      <c r="F3176" s="7" t="s">
        <v>1026</v>
      </c>
      <c r="G3176" s="7" t="s">
        <v>1022</v>
      </c>
      <c r="H3176" s="7" t="s">
        <v>1343</v>
      </c>
      <c r="I3176" s="7" t="s">
        <v>1344</v>
      </c>
      <c r="J3176" s="7" t="s">
        <v>1345</v>
      </c>
      <c r="K3176" s="7" t="s">
        <v>1346</v>
      </c>
      <c r="L3176" s="7" t="s">
        <v>1347</v>
      </c>
      <c r="M3176" s="7" t="s">
        <v>1348</v>
      </c>
    </row>
    <row r="3177" spans="1:13" x14ac:dyDescent="0.25">
      <c r="A3177" s="12" t="str">
        <f t="shared" si="100"/>
        <v>DocumentoFornecedorTipoEmissão</v>
      </c>
      <c r="B3177" s="12" t="str">
        <f t="shared" si="99"/>
        <v>Vencto</v>
      </c>
      <c r="C3177" s="7" t="s">
        <v>1020</v>
      </c>
      <c r="D3177" s="7" t="s">
        <v>1342</v>
      </c>
      <c r="E3177" s="7" t="s">
        <v>0</v>
      </c>
      <c r="F3177" s="7" t="s">
        <v>1026</v>
      </c>
      <c r="G3177" s="7" t="s">
        <v>1022</v>
      </c>
      <c r="H3177" s="7" t="s">
        <v>1343</v>
      </c>
      <c r="I3177" s="7" t="s">
        <v>1344</v>
      </c>
      <c r="J3177" s="7" t="s">
        <v>1345</v>
      </c>
      <c r="K3177" s="7" t="s">
        <v>1346</v>
      </c>
      <c r="L3177" s="7" t="s">
        <v>1347</v>
      </c>
      <c r="M3177" s="7" t="s">
        <v>1348</v>
      </c>
    </row>
    <row r="3178" spans="1:13" x14ac:dyDescent="0.25">
      <c r="A3178" s="12" t="str">
        <f t="shared" si="100"/>
        <v>DocumentoFornecedorTipoEmissão</v>
      </c>
      <c r="B3178" s="12" t="str">
        <f t="shared" si="99"/>
        <v>Vencto</v>
      </c>
      <c r="C3178" s="7" t="s">
        <v>1020</v>
      </c>
      <c r="D3178" s="7" t="s">
        <v>1342</v>
      </c>
      <c r="E3178" s="7" t="s">
        <v>0</v>
      </c>
      <c r="F3178" s="7" t="s">
        <v>1026</v>
      </c>
      <c r="G3178" s="7" t="s">
        <v>1022</v>
      </c>
      <c r="H3178" s="7" t="s">
        <v>1343</v>
      </c>
      <c r="I3178" s="7" t="s">
        <v>1344</v>
      </c>
      <c r="J3178" s="7" t="s">
        <v>1345</v>
      </c>
      <c r="K3178" s="7" t="s">
        <v>1346</v>
      </c>
      <c r="L3178" s="7" t="s">
        <v>1347</v>
      </c>
      <c r="M3178" s="7" t="s">
        <v>1348</v>
      </c>
    </row>
    <row r="3179" spans="1:13" x14ac:dyDescent="0.25">
      <c r="A3179" s="12" t="str">
        <f t="shared" si="100"/>
        <v>DocumentoFornecedorTipoEmissão</v>
      </c>
      <c r="B3179" s="12" t="str">
        <f t="shared" si="99"/>
        <v>Vencto</v>
      </c>
      <c r="C3179" s="7" t="s">
        <v>1020</v>
      </c>
      <c r="D3179" s="7" t="s">
        <v>1342</v>
      </c>
      <c r="E3179" s="7" t="s">
        <v>0</v>
      </c>
      <c r="F3179" s="7" t="s">
        <v>1026</v>
      </c>
      <c r="G3179" s="7" t="s">
        <v>1022</v>
      </c>
      <c r="H3179" s="7" t="s">
        <v>1343</v>
      </c>
      <c r="I3179" s="7" t="s">
        <v>1344</v>
      </c>
      <c r="J3179" s="7" t="s">
        <v>1345</v>
      </c>
      <c r="K3179" s="7" t="s">
        <v>1346</v>
      </c>
      <c r="L3179" s="7" t="s">
        <v>1347</v>
      </c>
      <c r="M3179" s="7" t="s">
        <v>1348</v>
      </c>
    </row>
    <row r="3180" spans="1:13" x14ac:dyDescent="0.25">
      <c r="A3180" s="12" t="str">
        <f t="shared" si="100"/>
        <v>DocumentoFornecedorTipoEmissão</v>
      </c>
      <c r="B3180" s="12" t="str">
        <f t="shared" si="99"/>
        <v>Vencto</v>
      </c>
      <c r="C3180" s="7" t="s">
        <v>1020</v>
      </c>
      <c r="D3180" s="7" t="s">
        <v>1342</v>
      </c>
      <c r="E3180" s="7" t="s">
        <v>0</v>
      </c>
      <c r="F3180" s="7" t="s">
        <v>1026</v>
      </c>
      <c r="G3180" s="7" t="s">
        <v>1022</v>
      </c>
      <c r="H3180" s="7" t="s">
        <v>1343</v>
      </c>
      <c r="I3180" s="7" t="s">
        <v>1344</v>
      </c>
      <c r="J3180" s="7" t="s">
        <v>1345</v>
      </c>
      <c r="K3180" s="7" t="s">
        <v>1346</v>
      </c>
      <c r="L3180" s="7" t="s">
        <v>1347</v>
      </c>
      <c r="M3180" s="7" t="s">
        <v>1348</v>
      </c>
    </row>
    <row r="3181" spans="1:13" x14ac:dyDescent="0.25">
      <c r="A3181" s="12" t="str">
        <f t="shared" si="100"/>
        <v>DocumentoFornecedorTipoEmissão</v>
      </c>
      <c r="B3181" s="12" t="str">
        <f t="shared" si="99"/>
        <v>Vencto</v>
      </c>
      <c r="C3181" s="7" t="s">
        <v>1020</v>
      </c>
      <c r="D3181" s="7" t="s">
        <v>1342</v>
      </c>
      <c r="E3181" s="7" t="s">
        <v>0</v>
      </c>
      <c r="F3181" s="7" t="s">
        <v>1026</v>
      </c>
      <c r="G3181" s="7" t="s">
        <v>1022</v>
      </c>
      <c r="H3181" s="7" t="s">
        <v>1343</v>
      </c>
      <c r="I3181" s="7" t="s">
        <v>1344</v>
      </c>
      <c r="J3181" s="7" t="s">
        <v>1345</v>
      </c>
      <c r="K3181" s="7" t="s">
        <v>1346</v>
      </c>
      <c r="L3181" s="7" t="s">
        <v>1347</v>
      </c>
      <c r="M3181" s="7" t="s">
        <v>1348</v>
      </c>
    </row>
    <row r="3182" spans="1:13" x14ac:dyDescent="0.25">
      <c r="A3182" s="12" t="str">
        <f t="shared" si="100"/>
        <v>DocumentoFornecedorTipoEmissão</v>
      </c>
      <c r="B3182" s="12" t="str">
        <f t="shared" si="99"/>
        <v>Vencto</v>
      </c>
      <c r="C3182" s="7" t="s">
        <v>1020</v>
      </c>
      <c r="D3182" s="7" t="s">
        <v>1342</v>
      </c>
      <c r="E3182" s="7" t="s">
        <v>0</v>
      </c>
      <c r="F3182" s="7" t="s">
        <v>1026</v>
      </c>
      <c r="G3182" s="7" t="s">
        <v>1022</v>
      </c>
      <c r="H3182" s="7" t="s">
        <v>1343</v>
      </c>
      <c r="I3182" s="7" t="s">
        <v>1344</v>
      </c>
      <c r="J3182" s="7" t="s">
        <v>1345</v>
      </c>
      <c r="K3182" s="7" t="s">
        <v>1346</v>
      </c>
      <c r="L3182" s="7" t="s">
        <v>1347</v>
      </c>
      <c r="M3182" s="7" t="s">
        <v>1348</v>
      </c>
    </row>
    <row r="3183" spans="1:13" x14ac:dyDescent="0.25">
      <c r="A3183" s="12" t="str">
        <f t="shared" si="100"/>
        <v>DocumentoFornecedorTipoEmissão</v>
      </c>
      <c r="B3183" s="12" t="str">
        <f t="shared" si="99"/>
        <v>Vencto</v>
      </c>
      <c r="C3183" s="7" t="s">
        <v>1020</v>
      </c>
      <c r="D3183" s="7" t="s">
        <v>1342</v>
      </c>
      <c r="E3183" s="7" t="s">
        <v>0</v>
      </c>
      <c r="F3183" s="7" t="s">
        <v>1026</v>
      </c>
      <c r="G3183" s="7" t="s">
        <v>1022</v>
      </c>
      <c r="H3183" s="7" t="s">
        <v>1343</v>
      </c>
      <c r="I3183" s="7" t="s">
        <v>1344</v>
      </c>
      <c r="J3183" s="7" t="s">
        <v>1345</v>
      </c>
      <c r="K3183" s="7" t="s">
        <v>1346</v>
      </c>
      <c r="L3183" s="7" t="s">
        <v>1347</v>
      </c>
      <c r="M3183" s="7" t="s">
        <v>1348</v>
      </c>
    </row>
    <row r="3184" spans="1:13" x14ac:dyDescent="0.25">
      <c r="A3184" s="12" t="str">
        <f t="shared" si="100"/>
        <v>DocumentoFornecedorTipoEmissão</v>
      </c>
      <c r="B3184" s="12" t="str">
        <f t="shared" si="99"/>
        <v>Vencto</v>
      </c>
      <c r="C3184" s="7" t="s">
        <v>1020</v>
      </c>
      <c r="D3184" s="7" t="s">
        <v>1342</v>
      </c>
      <c r="E3184" s="7" t="s">
        <v>0</v>
      </c>
      <c r="F3184" s="7" t="s">
        <v>1026</v>
      </c>
      <c r="G3184" s="7" t="s">
        <v>1022</v>
      </c>
      <c r="H3184" s="7" t="s">
        <v>1343</v>
      </c>
      <c r="I3184" s="7" t="s">
        <v>1344</v>
      </c>
      <c r="J3184" s="7" t="s">
        <v>1345</v>
      </c>
      <c r="K3184" s="7" t="s">
        <v>1346</v>
      </c>
      <c r="L3184" s="7" t="s">
        <v>1347</v>
      </c>
      <c r="M3184" s="7" t="s">
        <v>1348</v>
      </c>
    </row>
    <row r="3185" spans="1:13" x14ac:dyDescent="0.25">
      <c r="A3185" s="12" t="str">
        <f t="shared" si="100"/>
        <v>DocumentoFornecedorTipoEmissão</v>
      </c>
      <c r="B3185" s="12" t="str">
        <f t="shared" si="99"/>
        <v>Vencto</v>
      </c>
      <c r="C3185" s="7" t="s">
        <v>1020</v>
      </c>
      <c r="D3185" s="7" t="s">
        <v>1342</v>
      </c>
      <c r="E3185" s="7" t="s">
        <v>0</v>
      </c>
      <c r="F3185" s="7" t="s">
        <v>1026</v>
      </c>
      <c r="G3185" s="7" t="s">
        <v>1022</v>
      </c>
      <c r="H3185" s="7" t="s">
        <v>1343</v>
      </c>
      <c r="I3185" s="7" t="s">
        <v>1344</v>
      </c>
      <c r="J3185" s="7" t="s">
        <v>1345</v>
      </c>
      <c r="K3185" s="7" t="s">
        <v>1346</v>
      </c>
      <c r="L3185" s="7" t="s">
        <v>1347</v>
      </c>
      <c r="M3185" s="7" t="s">
        <v>1348</v>
      </c>
    </row>
    <row r="3186" spans="1:13" x14ac:dyDescent="0.25">
      <c r="A3186" s="12" t="str">
        <f t="shared" si="100"/>
        <v>DocumentoFornecedorTipoEmissão</v>
      </c>
      <c r="B3186" s="12" t="str">
        <f t="shared" si="99"/>
        <v>Vencto</v>
      </c>
      <c r="C3186" s="7" t="s">
        <v>1020</v>
      </c>
      <c r="D3186" s="7" t="s">
        <v>1342</v>
      </c>
      <c r="E3186" s="7" t="s">
        <v>0</v>
      </c>
      <c r="F3186" s="7" t="s">
        <v>1026</v>
      </c>
      <c r="G3186" s="7" t="s">
        <v>1022</v>
      </c>
      <c r="H3186" s="7" t="s">
        <v>1343</v>
      </c>
      <c r="I3186" s="7" t="s">
        <v>1344</v>
      </c>
      <c r="J3186" s="7" t="s">
        <v>1345</v>
      </c>
      <c r="K3186" s="7" t="s">
        <v>1346</v>
      </c>
      <c r="L3186" s="7" t="s">
        <v>1347</v>
      </c>
      <c r="M3186" s="7" t="s">
        <v>1348</v>
      </c>
    </row>
    <row r="3187" spans="1:13" x14ac:dyDescent="0.25">
      <c r="A3187" s="12" t="str">
        <f t="shared" si="100"/>
        <v>DocumentoFornecedorTipoEmissão</v>
      </c>
      <c r="B3187" s="12" t="str">
        <f t="shared" si="99"/>
        <v>Vencto</v>
      </c>
      <c r="C3187" s="7" t="s">
        <v>1020</v>
      </c>
      <c r="D3187" s="7" t="s">
        <v>1342</v>
      </c>
      <c r="E3187" s="7" t="s">
        <v>0</v>
      </c>
      <c r="F3187" s="7" t="s">
        <v>1026</v>
      </c>
      <c r="G3187" s="7" t="s">
        <v>1022</v>
      </c>
      <c r="H3187" s="7" t="s">
        <v>1343</v>
      </c>
      <c r="I3187" s="7" t="s">
        <v>1344</v>
      </c>
      <c r="J3187" s="7" t="s">
        <v>1345</v>
      </c>
      <c r="K3187" s="7" t="s">
        <v>1346</v>
      </c>
      <c r="L3187" s="7" t="s">
        <v>1347</v>
      </c>
      <c r="M3187" s="7" t="s">
        <v>1348</v>
      </c>
    </row>
    <row r="3188" spans="1:13" x14ac:dyDescent="0.25">
      <c r="A3188" s="12" t="str">
        <f t="shared" si="100"/>
        <v>DocumentoFornecedorTipoEmissão</v>
      </c>
      <c r="B3188" s="12" t="str">
        <f t="shared" si="99"/>
        <v>Vencto</v>
      </c>
      <c r="C3188" s="7" t="s">
        <v>1020</v>
      </c>
      <c r="D3188" s="7" t="s">
        <v>1342</v>
      </c>
      <c r="E3188" s="7" t="s">
        <v>0</v>
      </c>
      <c r="F3188" s="7" t="s">
        <v>1026</v>
      </c>
      <c r="G3188" s="7" t="s">
        <v>1022</v>
      </c>
      <c r="H3188" s="7" t="s">
        <v>1343</v>
      </c>
      <c r="I3188" s="7" t="s">
        <v>1344</v>
      </c>
      <c r="J3188" s="7" t="s">
        <v>1345</v>
      </c>
      <c r="K3188" s="7" t="s">
        <v>1346</v>
      </c>
      <c r="L3188" s="7" t="s">
        <v>1347</v>
      </c>
      <c r="M3188" s="7" t="s">
        <v>1348</v>
      </c>
    </row>
    <row r="3189" spans="1:13" x14ac:dyDescent="0.25">
      <c r="A3189" s="12" t="str">
        <f t="shared" si="100"/>
        <v>DocumentoFornecedorTipoEmissão</v>
      </c>
      <c r="B3189" s="12" t="str">
        <f t="shared" si="99"/>
        <v>Vencto</v>
      </c>
      <c r="C3189" s="7" t="s">
        <v>1020</v>
      </c>
      <c r="D3189" s="7" t="s">
        <v>1342</v>
      </c>
      <c r="E3189" s="7" t="s">
        <v>0</v>
      </c>
      <c r="F3189" s="7" t="s">
        <v>1026</v>
      </c>
      <c r="G3189" s="7" t="s">
        <v>1022</v>
      </c>
      <c r="H3189" s="7" t="s">
        <v>1343</v>
      </c>
      <c r="I3189" s="7" t="s">
        <v>1344</v>
      </c>
      <c r="J3189" s="7" t="s">
        <v>1345</v>
      </c>
      <c r="K3189" s="7" t="s">
        <v>1346</v>
      </c>
      <c r="L3189" s="7" t="s">
        <v>1347</v>
      </c>
      <c r="M3189" s="7" t="s">
        <v>1348</v>
      </c>
    </row>
    <row r="3190" spans="1:13" x14ac:dyDescent="0.25">
      <c r="A3190" s="12" t="str">
        <f t="shared" si="100"/>
        <v>DocumentoFornecedorTipoEmissão</v>
      </c>
      <c r="B3190" s="12" t="str">
        <f t="shared" si="99"/>
        <v>Vencto</v>
      </c>
      <c r="C3190" s="7" t="s">
        <v>1020</v>
      </c>
      <c r="D3190" s="7" t="s">
        <v>1342</v>
      </c>
      <c r="E3190" s="7" t="s">
        <v>0</v>
      </c>
      <c r="F3190" s="7" t="s">
        <v>1026</v>
      </c>
      <c r="G3190" s="7" t="s">
        <v>1022</v>
      </c>
      <c r="H3190" s="7" t="s">
        <v>1343</v>
      </c>
      <c r="I3190" s="7" t="s">
        <v>1344</v>
      </c>
      <c r="J3190" s="7" t="s">
        <v>1345</v>
      </c>
      <c r="K3190" s="7" t="s">
        <v>1346</v>
      </c>
      <c r="L3190" s="7" t="s">
        <v>1347</v>
      </c>
      <c r="M3190" s="7" t="s">
        <v>1348</v>
      </c>
    </row>
    <row r="3191" spans="1:13" x14ac:dyDescent="0.25">
      <c r="A3191" s="12" t="str">
        <f t="shared" si="100"/>
        <v>DocumentoFornecedorTipoEmissão</v>
      </c>
      <c r="B3191" s="12" t="str">
        <f t="shared" si="99"/>
        <v>Vencto</v>
      </c>
      <c r="C3191" s="7" t="s">
        <v>1020</v>
      </c>
      <c r="D3191" s="7" t="s">
        <v>1342</v>
      </c>
      <c r="E3191" s="7" t="s">
        <v>0</v>
      </c>
      <c r="F3191" s="7" t="s">
        <v>1026</v>
      </c>
      <c r="G3191" s="7" t="s">
        <v>1022</v>
      </c>
      <c r="H3191" s="7" t="s">
        <v>1343</v>
      </c>
      <c r="I3191" s="7" t="s">
        <v>1344</v>
      </c>
      <c r="J3191" s="7" t="s">
        <v>1345</v>
      </c>
      <c r="K3191" s="7" t="s">
        <v>1346</v>
      </c>
      <c r="L3191" s="7" t="s">
        <v>1347</v>
      </c>
      <c r="M3191" s="7" t="s">
        <v>1348</v>
      </c>
    </row>
    <row r="3192" spans="1:13" x14ac:dyDescent="0.25">
      <c r="A3192" s="12" t="str">
        <f t="shared" si="100"/>
        <v>DocumentoFornecedorTipoEmissão</v>
      </c>
      <c r="B3192" s="12" t="str">
        <f t="shared" si="99"/>
        <v>Vencto</v>
      </c>
      <c r="C3192" s="7" t="s">
        <v>1020</v>
      </c>
      <c r="D3192" s="7" t="s">
        <v>1342</v>
      </c>
      <c r="E3192" s="7" t="s">
        <v>0</v>
      </c>
      <c r="F3192" s="7" t="s">
        <v>1026</v>
      </c>
      <c r="G3192" s="7" t="s">
        <v>1022</v>
      </c>
      <c r="H3192" s="7" t="s">
        <v>1343</v>
      </c>
      <c r="I3192" s="7" t="s">
        <v>1344</v>
      </c>
      <c r="J3192" s="7" t="s">
        <v>1345</v>
      </c>
      <c r="K3192" s="7" t="s">
        <v>1346</v>
      </c>
      <c r="L3192" s="7" t="s">
        <v>1347</v>
      </c>
      <c r="M3192" s="7" t="s">
        <v>1348</v>
      </c>
    </row>
    <row r="3193" spans="1:13" x14ac:dyDescent="0.25">
      <c r="A3193" s="12" t="str">
        <f t="shared" si="100"/>
        <v>DocumentoFornecedorTipoEmissão</v>
      </c>
      <c r="B3193" s="12" t="str">
        <f t="shared" si="99"/>
        <v>Vencto</v>
      </c>
      <c r="C3193" s="7" t="s">
        <v>1020</v>
      </c>
      <c r="D3193" s="7" t="s">
        <v>1342</v>
      </c>
      <c r="E3193" s="7" t="s">
        <v>0</v>
      </c>
      <c r="F3193" s="7" t="s">
        <v>1026</v>
      </c>
      <c r="G3193" s="7" t="s">
        <v>1022</v>
      </c>
      <c r="H3193" s="7" t="s">
        <v>1343</v>
      </c>
      <c r="I3193" s="7" t="s">
        <v>1344</v>
      </c>
      <c r="J3193" s="7" t="s">
        <v>1345</v>
      </c>
      <c r="K3193" s="7" t="s">
        <v>1346</v>
      </c>
      <c r="L3193" s="7" t="s">
        <v>1347</v>
      </c>
      <c r="M3193" s="7" t="s">
        <v>1348</v>
      </c>
    </row>
    <row r="3194" spans="1:13" x14ac:dyDescent="0.25">
      <c r="A3194" s="12" t="str">
        <f t="shared" si="100"/>
        <v>DocumentoFornecedorTipoEmissão</v>
      </c>
      <c r="B3194" s="12" t="str">
        <f t="shared" si="99"/>
        <v>Vencto</v>
      </c>
      <c r="C3194" s="7" t="s">
        <v>1020</v>
      </c>
      <c r="D3194" s="7" t="s">
        <v>1342</v>
      </c>
      <c r="E3194" s="7" t="s">
        <v>0</v>
      </c>
      <c r="F3194" s="7" t="s">
        <v>1026</v>
      </c>
      <c r="G3194" s="7" t="s">
        <v>1022</v>
      </c>
      <c r="H3194" s="7" t="s">
        <v>1343</v>
      </c>
      <c r="I3194" s="7" t="s">
        <v>1344</v>
      </c>
      <c r="J3194" s="7" t="s">
        <v>1345</v>
      </c>
      <c r="K3194" s="7" t="s">
        <v>1346</v>
      </c>
      <c r="L3194" s="7" t="s">
        <v>1347</v>
      </c>
      <c r="M3194" s="7" t="s">
        <v>1348</v>
      </c>
    </row>
    <row r="3195" spans="1:13" x14ac:dyDescent="0.25">
      <c r="A3195" s="12" t="str">
        <f t="shared" si="100"/>
        <v>DocumentoFornecedorTipoEmissão</v>
      </c>
      <c r="B3195" s="12" t="str">
        <f t="shared" si="99"/>
        <v>Vencto</v>
      </c>
      <c r="C3195" s="7" t="s">
        <v>1020</v>
      </c>
      <c r="D3195" s="7" t="s">
        <v>1342</v>
      </c>
      <c r="E3195" s="7" t="s">
        <v>0</v>
      </c>
      <c r="F3195" s="7" t="s">
        <v>1026</v>
      </c>
      <c r="G3195" s="7" t="s">
        <v>1022</v>
      </c>
      <c r="H3195" s="7" t="s">
        <v>1343</v>
      </c>
      <c r="I3195" s="7" t="s">
        <v>1344</v>
      </c>
      <c r="J3195" s="7" t="s">
        <v>1345</v>
      </c>
      <c r="K3195" s="7" t="s">
        <v>1346</v>
      </c>
      <c r="L3195" s="7" t="s">
        <v>1347</v>
      </c>
      <c r="M3195" s="7" t="s">
        <v>1348</v>
      </c>
    </row>
    <row r="3196" spans="1:13" x14ac:dyDescent="0.25">
      <c r="A3196" s="12" t="str">
        <f t="shared" si="100"/>
        <v>DocumentoFornecedorTipoEmissão</v>
      </c>
      <c r="B3196" s="12" t="str">
        <f t="shared" si="99"/>
        <v>Vencto</v>
      </c>
      <c r="C3196" s="7" t="s">
        <v>1020</v>
      </c>
      <c r="D3196" s="7" t="s">
        <v>1342</v>
      </c>
      <c r="E3196" s="7" t="s">
        <v>0</v>
      </c>
      <c r="F3196" s="7" t="s">
        <v>1026</v>
      </c>
      <c r="G3196" s="7" t="s">
        <v>1022</v>
      </c>
      <c r="H3196" s="7" t="s">
        <v>1343</v>
      </c>
      <c r="I3196" s="7" t="s">
        <v>1344</v>
      </c>
      <c r="J3196" s="7" t="s">
        <v>1345</v>
      </c>
      <c r="K3196" s="7" t="s">
        <v>1346</v>
      </c>
      <c r="L3196" s="7" t="s">
        <v>1347</v>
      </c>
      <c r="M3196" s="7" t="s">
        <v>1348</v>
      </c>
    </row>
    <row r="3197" spans="1:13" x14ac:dyDescent="0.25">
      <c r="A3197" s="12" t="str">
        <f t="shared" si="100"/>
        <v>DocumentoFornecedorTipoEmissão</v>
      </c>
      <c r="B3197" s="12" t="str">
        <f t="shared" si="99"/>
        <v>Vencto</v>
      </c>
      <c r="C3197" s="7" t="s">
        <v>1020</v>
      </c>
      <c r="D3197" s="7" t="s">
        <v>1342</v>
      </c>
      <c r="E3197" s="7" t="s">
        <v>0</v>
      </c>
      <c r="F3197" s="7" t="s">
        <v>1026</v>
      </c>
      <c r="G3197" s="7" t="s">
        <v>1022</v>
      </c>
      <c r="H3197" s="7" t="s">
        <v>1343</v>
      </c>
      <c r="I3197" s="7" t="s">
        <v>1344</v>
      </c>
      <c r="J3197" s="7" t="s">
        <v>1345</v>
      </c>
      <c r="K3197" s="7" t="s">
        <v>1346</v>
      </c>
      <c r="L3197" s="7" t="s">
        <v>1347</v>
      </c>
      <c r="M3197" s="7" t="s">
        <v>1348</v>
      </c>
    </row>
    <row r="3198" spans="1:13" x14ac:dyDescent="0.25">
      <c r="A3198" s="12" t="str">
        <f t="shared" si="100"/>
        <v>DocumentoFornecedorTipoEmissão</v>
      </c>
      <c r="B3198" s="12" t="str">
        <f t="shared" si="99"/>
        <v>Vencto</v>
      </c>
      <c r="C3198" s="7" t="s">
        <v>1020</v>
      </c>
      <c r="D3198" s="7" t="s">
        <v>1342</v>
      </c>
      <c r="E3198" s="7" t="s">
        <v>0</v>
      </c>
      <c r="F3198" s="7" t="s">
        <v>1026</v>
      </c>
      <c r="G3198" s="7" t="s">
        <v>1022</v>
      </c>
      <c r="H3198" s="7" t="s">
        <v>1343</v>
      </c>
      <c r="I3198" s="7" t="s">
        <v>1344</v>
      </c>
      <c r="J3198" s="7" t="s">
        <v>1345</v>
      </c>
      <c r="K3198" s="7" t="s">
        <v>1346</v>
      </c>
      <c r="L3198" s="7" t="s">
        <v>1347</v>
      </c>
      <c r="M3198" s="7" t="s">
        <v>1348</v>
      </c>
    </row>
    <row r="3199" spans="1:13" x14ac:dyDescent="0.25">
      <c r="A3199" s="12" t="str">
        <f t="shared" si="100"/>
        <v>DocumentoFornecedorTipoEmissão</v>
      </c>
      <c r="B3199" s="12" t="str">
        <f t="shared" si="99"/>
        <v>Vencto</v>
      </c>
      <c r="C3199" s="7" t="s">
        <v>1020</v>
      </c>
      <c r="D3199" s="7" t="s">
        <v>1342</v>
      </c>
      <c r="E3199" s="7" t="s">
        <v>0</v>
      </c>
      <c r="F3199" s="7" t="s">
        <v>1026</v>
      </c>
      <c r="G3199" s="7" t="s">
        <v>1022</v>
      </c>
      <c r="H3199" s="7" t="s">
        <v>1343</v>
      </c>
      <c r="I3199" s="7" t="s">
        <v>1344</v>
      </c>
      <c r="J3199" s="7" t="s">
        <v>1345</v>
      </c>
      <c r="K3199" s="7" t="s">
        <v>1346</v>
      </c>
      <c r="L3199" s="7" t="s">
        <v>1347</v>
      </c>
      <c r="M3199" s="7" t="s">
        <v>1348</v>
      </c>
    </row>
    <row r="3200" spans="1:13" x14ac:dyDescent="0.25">
      <c r="A3200" s="12" t="str">
        <f t="shared" si="100"/>
        <v>DocumentoFornecedorTipoEmissão</v>
      </c>
      <c r="B3200" s="12" t="str">
        <f t="shared" si="99"/>
        <v>Vencto</v>
      </c>
      <c r="C3200" s="7" t="s">
        <v>1020</v>
      </c>
      <c r="D3200" s="7" t="s">
        <v>1342</v>
      </c>
      <c r="E3200" s="7" t="s">
        <v>0</v>
      </c>
      <c r="F3200" s="7" t="s">
        <v>1026</v>
      </c>
      <c r="G3200" s="7" t="s">
        <v>1022</v>
      </c>
      <c r="H3200" s="7" t="s">
        <v>1343</v>
      </c>
      <c r="I3200" s="7" t="s">
        <v>1344</v>
      </c>
      <c r="J3200" s="7" t="s">
        <v>1345</v>
      </c>
      <c r="K3200" s="7" t="s">
        <v>1346</v>
      </c>
      <c r="L3200" s="7" t="s">
        <v>1347</v>
      </c>
      <c r="M3200" s="7" t="s">
        <v>1348</v>
      </c>
    </row>
    <row r="3201" spans="1:13" x14ac:dyDescent="0.25">
      <c r="A3201" s="12" t="str">
        <f t="shared" si="100"/>
        <v>DocumentoFornecedorTipoEmissão</v>
      </c>
      <c r="B3201" s="12" t="str">
        <f t="shared" si="99"/>
        <v>Vencto</v>
      </c>
      <c r="C3201" s="7" t="s">
        <v>1020</v>
      </c>
      <c r="D3201" s="7" t="s">
        <v>1342</v>
      </c>
      <c r="E3201" s="7" t="s">
        <v>0</v>
      </c>
      <c r="F3201" s="7" t="s">
        <v>1026</v>
      </c>
      <c r="G3201" s="7" t="s">
        <v>1022</v>
      </c>
      <c r="H3201" s="7" t="s">
        <v>1343</v>
      </c>
      <c r="I3201" s="7" t="s">
        <v>1344</v>
      </c>
      <c r="J3201" s="7" t="s">
        <v>1345</v>
      </c>
      <c r="K3201" s="7" t="s">
        <v>1346</v>
      </c>
      <c r="L3201" s="7" t="s">
        <v>1347</v>
      </c>
      <c r="M3201" s="7" t="s">
        <v>1348</v>
      </c>
    </row>
    <row r="3202" spans="1:13" x14ac:dyDescent="0.25">
      <c r="A3202" s="12" t="str">
        <f t="shared" si="100"/>
        <v>DocumentoFornecedorTipoEmissão</v>
      </c>
      <c r="B3202" s="12" t="str">
        <f t="shared" si="99"/>
        <v>Vencto</v>
      </c>
      <c r="C3202" s="7" t="s">
        <v>1020</v>
      </c>
      <c r="D3202" s="7" t="s">
        <v>1342</v>
      </c>
      <c r="E3202" s="7" t="s">
        <v>0</v>
      </c>
      <c r="F3202" s="7" t="s">
        <v>1026</v>
      </c>
      <c r="G3202" s="7" t="s">
        <v>1022</v>
      </c>
      <c r="H3202" s="7" t="s">
        <v>1343</v>
      </c>
      <c r="I3202" s="7" t="s">
        <v>1344</v>
      </c>
      <c r="J3202" s="7" t="s">
        <v>1345</v>
      </c>
      <c r="K3202" s="7" t="s">
        <v>1346</v>
      </c>
      <c r="L3202" s="7" t="s">
        <v>1347</v>
      </c>
      <c r="M3202" s="7" t="s">
        <v>1348</v>
      </c>
    </row>
    <row r="3203" spans="1:13" x14ac:dyDescent="0.25">
      <c r="A3203" s="12" t="str">
        <f t="shared" si="100"/>
        <v>DocumentoFornecedorTipoEmissão</v>
      </c>
      <c r="B3203" s="12" t="str">
        <f t="shared" ref="B3203:B3266" si="101">PROPER(TEXT($H3203,"MMMM"))</f>
        <v>Vencto</v>
      </c>
      <c r="C3203" s="7" t="s">
        <v>1020</v>
      </c>
      <c r="D3203" s="7" t="s">
        <v>1342</v>
      </c>
      <c r="E3203" s="7" t="s">
        <v>0</v>
      </c>
      <c r="F3203" s="7" t="s">
        <v>1026</v>
      </c>
      <c r="G3203" s="7" t="s">
        <v>1022</v>
      </c>
      <c r="H3203" s="7" t="s">
        <v>1343</v>
      </c>
      <c r="I3203" s="7" t="s">
        <v>1344</v>
      </c>
      <c r="J3203" s="7" t="s">
        <v>1345</v>
      </c>
      <c r="K3203" s="7" t="s">
        <v>1346</v>
      </c>
      <c r="L3203" s="7" t="s">
        <v>1347</v>
      </c>
      <c r="M3203" s="7" t="s">
        <v>1348</v>
      </c>
    </row>
    <row r="3204" spans="1:13" x14ac:dyDescent="0.25">
      <c r="A3204" s="12" t="str">
        <f t="shared" si="100"/>
        <v>DocumentoFornecedorTipoEmissão</v>
      </c>
      <c r="B3204" s="12" t="str">
        <f t="shared" si="101"/>
        <v>Vencto</v>
      </c>
      <c r="C3204" s="7" t="s">
        <v>1020</v>
      </c>
      <c r="D3204" s="7" t="s">
        <v>1342</v>
      </c>
      <c r="E3204" s="7" t="s">
        <v>0</v>
      </c>
      <c r="F3204" s="7" t="s">
        <v>1026</v>
      </c>
      <c r="G3204" s="7" t="s">
        <v>1022</v>
      </c>
      <c r="H3204" s="7" t="s">
        <v>1343</v>
      </c>
      <c r="I3204" s="7" t="s">
        <v>1344</v>
      </c>
      <c r="J3204" s="7" t="s">
        <v>1345</v>
      </c>
      <c r="K3204" s="7" t="s">
        <v>1346</v>
      </c>
      <c r="L3204" s="7" t="s">
        <v>1347</v>
      </c>
      <c r="M3204" s="7" t="s">
        <v>1348</v>
      </c>
    </row>
    <row r="3205" spans="1:13" x14ac:dyDescent="0.25">
      <c r="A3205" s="12" t="str">
        <f t="shared" si="100"/>
        <v>DocumentoFornecedorTipoEmissão</v>
      </c>
      <c r="B3205" s="12" t="str">
        <f t="shared" si="101"/>
        <v>Vencto</v>
      </c>
      <c r="C3205" s="7" t="s">
        <v>1020</v>
      </c>
      <c r="D3205" s="7" t="s">
        <v>1342</v>
      </c>
      <c r="E3205" s="7" t="s">
        <v>0</v>
      </c>
      <c r="F3205" s="7" t="s">
        <v>1026</v>
      </c>
      <c r="G3205" s="7" t="s">
        <v>1022</v>
      </c>
      <c r="H3205" s="7" t="s">
        <v>1343</v>
      </c>
      <c r="I3205" s="7" t="s">
        <v>1344</v>
      </c>
      <c r="J3205" s="7" t="s">
        <v>1345</v>
      </c>
      <c r="K3205" s="7" t="s">
        <v>1346</v>
      </c>
      <c r="L3205" s="7" t="s">
        <v>1347</v>
      </c>
      <c r="M3205" s="7" t="s">
        <v>1348</v>
      </c>
    </row>
    <row r="3206" spans="1:13" x14ac:dyDescent="0.25">
      <c r="A3206" s="12" t="str">
        <f t="shared" si="100"/>
        <v>DocumentoFornecedorTipoEmissão</v>
      </c>
      <c r="B3206" s="12" t="str">
        <f t="shared" si="101"/>
        <v>Vencto</v>
      </c>
      <c r="C3206" s="7" t="s">
        <v>1020</v>
      </c>
      <c r="D3206" s="7" t="s">
        <v>1342</v>
      </c>
      <c r="E3206" s="7" t="s">
        <v>0</v>
      </c>
      <c r="F3206" s="7" t="s">
        <v>1026</v>
      </c>
      <c r="G3206" s="7" t="s">
        <v>1022</v>
      </c>
      <c r="H3206" s="7" t="s">
        <v>1343</v>
      </c>
      <c r="I3206" s="7" t="s">
        <v>1344</v>
      </c>
      <c r="J3206" s="7" t="s">
        <v>1345</v>
      </c>
      <c r="K3206" s="7" t="s">
        <v>1346</v>
      </c>
      <c r="L3206" s="7" t="s">
        <v>1347</v>
      </c>
      <c r="M3206" s="7" t="s">
        <v>1348</v>
      </c>
    </row>
    <row r="3207" spans="1:13" x14ac:dyDescent="0.25">
      <c r="A3207" s="12" t="str">
        <f t="shared" si="100"/>
        <v>DocumentoFornecedorTipoEmissão</v>
      </c>
      <c r="B3207" s="12" t="str">
        <f t="shared" si="101"/>
        <v>Vencto</v>
      </c>
      <c r="C3207" s="7" t="s">
        <v>1020</v>
      </c>
      <c r="D3207" s="7" t="s">
        <v>1342</v>
      </c>
      <c r="E3207" s="7" t="s">
        <v>0</v>
      </c>
      <c r="F3207" s="7" t="s">
        <v>1026</v>
      </c>
      <c r="G3207" s="7" t="s">
        <v>1022</v>
      </c>
      <c r="H3207" s="7" t="s">
        <v>1343</v>
      </c>
      <c r="I3207" s="7" t="s">
        <v>1344</v>
      </c>
      <c r="J3207" s="7" t="s">
        <v>1345</v>
      </c>
      <c r="K3207" s="7" t="s">
        <v>1346</v>
      </c>
      <c r="L3207" s="7" t="s">
        <v>1347</v>
      </c>
      <c r="M3207" s="7" t="s">
        <v>1348</v>
      </c>
    </row>
    <row r="3208" spans="1:13" x14ac:dyDescent="0.25">
      <c r="A3208" s="12" t="str">
        <f t="shared" si="100"/>
        <v>DocumentoFornecedorTipoEmissão</v>
      </c>
      <c r="B3208" s="12" t="str">
        <f t="shared" si="101"/>
        <v>Vencto</v>
      </c>
      <c r="C3208" s="7" t="s">
        <v>1020</v>
      </c>
      <c r="D3208" s="7" t="s">
        <v>1342</v>
      </c>
      <c r="E3208" s="7" t="s">
        <v>0</v>
      </c>
      <c r="F3208" s="7" t="s">
        <v>1026</v>
      </c>
      <c r="G3208" s="7" t="s">
        <v>1022</v>
      </c>
      <c r="H3208" s="7" t="s">
        <v>1343</v>
      </c>
      <c r="I3208" s="7" t="s">
        <v>1344</v>
      </c>
      <c r="J3208" s="7" t="s">
        <v>1345</v>
      </c>
      <c r="K3208" s="7" t="s">
        <v>1346</v>
      </c>
      <c r="L3208" s="7" t="s">
        <v>1347</v>
      </c>
      <c r="M3208" s="7" t="s">
        <v>1348</v>
      </c>
    </row>
    <row r="3209" spans="1:13" x14ac:dyDescent="0.25">
      <c r="A3209" s="12" t="str">
        <f t="shared" si="100"/>
        <v>DocumentoFornecedorTipoEmissão</v>
      </c>
      <c r="B3209" s="12" t="str">
        <f t="shared" si="101"/>
        <v>Vencto</v>
      </c>
      <c r="C3209" s="7" t="s">
        <v>1020</v>
      </c>
      <c r="D3209" s="7" t="s">
        <v>1342</v>
      </c>
      <c r="E3209" s="7" t="s">
        <v>0</v>
      </c>
      <c r="F3209" s="7" t="s">
        <v>1026</v>
      </c>
      <c r="G3209" s="7" t="s">
        <v>1022</v>
      </c>
      <c r="H3209" s="7" t="s">
        <v>1343</v>
      </c>
      <c r="I3209" s="7" t="s">
        <v>1344</v>
      </c>
      <c r="J3209" s="7" t="s">
        <v>1345</v>
      </c>
      <c r="K3209" s="7" t="s">
        <v>1346</v>
      </c>
      <c r="L3209" s="7" t="s">
        <v>1347</v>
      </c>
      <c r="M3209" s="7" t="s">
        <v>1348</v>
      </c>
    </row>
    <row r="3210" spans="1:13" x14ac:dyDescent="0.25">
      <c r="A3210" s="12" t="str">
        <f t="shared" si="100"/>
        <v>DocumentoFornecedorTipoEmissão</v>
      </c>
      <c r="B3210" s="12" t="str">
        <f t="shared" si="101"/>
        <v>Vencto</v>
      </c>
      <c r="C3210" s="7" t="s">
        <v>1020</v>
      </c>
      <c r="D3210" s="7" t="s">
        <v>1342</v>
      </c>
      <c r="E3210" s="7" t="s">
        <v>0</v>
      </c>
      <c r="F3210" s="7" t="s">
        <v>1026</v>
      </c>
      <c r="G3210" s="7" t="s">
        <v>1022</v>
      </c>
      <c r="H3210" s="7" t="s">
        <v>1343</v>
      </c>
      <c r="I3210" s="7" t="s">
        <v>1344</v>
      </c>
      <c r="J3210" s="7" t="s">
        <v>1345</v>
      </c>
      <c r="K3210" s="7" t="s">
        <v>1346</v>
      </c>
      <c r="L3210" s="7" t="s">
        <v>1347</v>
      </c>
      <c r="M3210" s="7" t="s">
        <v>1348</v>
      </c>
    </row>
    <row r="3211" spans="1:13" x14ac:dyDescent="0.25">
      <c r="A3211" s="12" t="str">
        <f t="shared" si="100"/>
        <v>DocumentoFornecedorTipoEmissão</v>
      </c>
      <c r="B3211" s="12" t="str">
        <f t="shared" si="101"/>
        <v>Vencto</v>
      </c>
      <c r="C3211" s="7" t="s">
        <v>1020</v>
      </c>
      <c r="D3211" s="7" t="s">
        <v>1342</v>
      </c>
      <c r="E3211" s="7" t="s">
        <v>0</v>
      </c>
      <c r="F3211" s="7" t="s">
        <v>1026</v>
      </c>
      <c r="G3211" s="7" t="s">
        <v>1022</v>
      </c>
      <c r="H3211" s="7" t="s">
        <v>1343</v>
      </c>
      <c r="I3211" s="7" t="s">
        <v>1344</v>
      </c>
      <c r="J3211" s="7" t="s">
        <v>1345</v>
      </c>
      <c r="K3211" s="7" t="s">
        <v>1346</v>
      </c>
      <c r="L3211" s="7" t="s">
        <v>1347</v>
      </c>
      <c r="M3211" s="7" t="s">
        <v>1348</v>
      </c>
    </row>
    <row r="3212" spans="1:13" x14ac:dyDescent="0.25">
      <c r="A3212" s="12" t="str">
        <f t="shared" si="100"/>
        <v>DocumentoFornecedorTipoEmissão</v>
      </c>
      <c r="B3212" s="12" t="str">
        <f t="shared" si="101"/>
        <v>Vencto</v>
      </c>
      <c r="C3212" s="7" t="s">
        <v>1020</v>
      </c>
      <c r="D3212" s="7" t="s">
        <v>1342</v>
      </c>
      <c r="E3212" s="7" t="s">
        <v>0</v>
      </c>
      <c r="F3212" s="7" t="s">
        <v>1026</v>
      </c>
      <c r="G3212" s="7" t="s">
        <v>1022</v>
      </c>
      <c r="H3212" s="7" t="s">
        <v>1343</v>
      </c>
      <c r="I3212" s="7" t="s">
        <v>1344</v>
      </c>
      <c r="J3212" s="7" t="s">
        <v>1345</v>
      </c>
      <c r="K3212" s="7" t="s">
        <v>1346</v>
      </c>
      <c r="L3212" s="7" t="s">
        <v>1347</v>
      </c>
      <c r="M3212" s="7" t="s">
        <v>1348</v>
      </c>
    </row>
    <row r="3213" spans="1:13" x14ac:dyDescent="0.25">
      <c r="A3213" s="12" t="str">
        <f t="shared" si="100"/>
        <v>DocumentoFornecedorTipoEmissão</v>
      </c>
      <c r="B3213" s="12" t="str">
        <f t="shared" si="101"/>
        <v>Vencto</v>
      </c>
      <c r="C3213" s="7" t="s">
        <v>1020</v>
      </c>
      <c r="D3213" s="7" t="s">
        <v>1342</v>
      </c>
      <c r="E3213" s="7" t="s">
        <v>0</v>
      </c>
      <c r="F3213" s="7" t="s">
        <v>1026</v>
      </c>
      <c r="G3213" s="7" t="s">
        <v>1022</v>
      </c>
      <c r="H3213" s="7" t="s">
        <v>1343</v>
      </c>
      <c r="I3213" s="7" t="s">
        <v>1344</v>
      </c>
      <c r="J3213" s="7" t="s">
        <v>1345</v>
      </c>
      <c r="K3213" s="7" t="s">
        <v>1346</v>
      </c>
      <c r="L3213" s="7" t="s">
        <v>1347</v>
      </c>
      <c r="M3213" s="7" t="s">
        <v>1348</v>
      </c>
    </row>
    <row r="3214" spans="1:13" x14ac:dyDescent="0.25">
      <c r="A3214" s="12" t="str">
        <f t="shared" si="100"/>
        <v>DocumentoFornecedorTipoEmissão</v>
      </c>
      <c r="B3214" s="12" t="str">
        <f t="shared" si="101"/>
        <v>Vencto</v>
      </c>
      <c r="C3214" s="7" t="s">
        <v>1020</v>
      </c>
      <c r="D3214" s="7" t="s">
        <v>1342</v>
      </c>
      <c r="E3214" s="7" t="s">
        <v>0</v>
      </c>
      <c r="F3214" s="7" t="s">
        <v>1026</v>
      </c>
      <c r="G3214" s="7" t="s">
        <v>1022</v>
      </c>
      <c r="H3214" s="7" t="s">
        <v>1343</v>
      </c>
      <c r="I3214" s="7" t="s">
        <v>1344</v>
      </c>
      <c r="J3214" s="7" t="s">
        <v>1345</v>
      </c>
      <c r="K3214" s="7" t="s">
        <v>1346</v>
      </c>
      <c r="L3214" s="7" t="s">
        <v>1347</v>
      </c>
      <c r="M3214" s="7" t="s">
        <v>1348</v>
      </c>
    </row>
    <row r="3215" spans="1:13" x14ac:dyDescent="0.25">
      <c r="A3215" s="12" t="str">
        <f t="shared" si="100"/>
        <v>DocumentoFornecedorTipoEmissão</v>
      </c>
      <c r="B3215" s="12" t="str">
        <f t="shared" si="101"/>
        <v>Vencto</v>
      </c>
      <c r="C3215" s="7" t="s">
        <v>1020</v>
      </c>
      <c r="D3215" s="7" t="s">
        <v>1342</v>
      </c>
      <c r="E3215" s="7" t="s">
        <v>0</v>
      </c>
      <c r="F3215" s="7" t="s">
        <v>1026</v>
      </c>
      <c r="G3215" s="7" t="s">
        <v>1022</v>
      </c>
      <c r="H3215" s="7" t="s">
        <v>1343</v>
      </c>
      <c r="I3215" s="7" t="s">
        <v>1344</v>
      </c>
      <c r="J3215" s="7" t="s">
        <v>1345</v>
      </c>
      <c r="K3215" s="7" t="s">
        <v>1346</v>
      </c>
      <c r="L3215" s="7" t="s">
        <v>1347</v>
      </c>
      <c r="M3215" s="7" t="s">
        <v>1348</v>
      </c>
    </row>
    <row r="3216" spans="1:13" x14ac:dyDescent="0.25">
      <c r="A3216" s="12" t="str">
        <f t="shared" si="100"/>
        <v>DocumentoFornecedorTipoEmissão</v>
      </c>
      <c r="B3216" s="12" t="str">
        <f t="shared" si="101"/>
        <v>Vencto</v>
      </c>
      <c r="C3216" s="7" t="s">
        <v>1020</v>
      </c>
      <c r="D3216" s="7" t="s">
        <v>1342</v>
      </c>
      <c r="E3216" s="7" t="s">
        <v>0</v>
      </c>
      <c r="F3216" s="7" t="s">
        <v>1026</v>
      </c>
      <c r="G3216" s="7" t="s">
        <v>1022</v>
      </c>
      <c r="H3216" s="7" t="s">
        <v>1343</v>
      </c>
      <c r="I3216" s="7" t="s">
        <v>1344</v>
      </c>
      <c r="J3216" s="7" t="s">
        <v>1345</v>
      </c>
      <c r="K3216" s="7" t="s">
        <v>1346</v>
      </c>
      <c r="L3216" s="7" t="s">
        <v>1347</v>
      </c>
      <c r="M3216" s="7" t="s">
        <v>1348</v>
      </c>
    </row>
    <row r="3217" spans="1:13" x14ac:dyDescent="0.25">
      <c r="A3217" s="12" t="str">
        <f t="shared" si="100"/>
        <v>DocumentoFornecedorTipoEmissão</v>
      </c>
      <c r="B3217" s="12" t="str">
        <f t="shared" si="101"/>
        <v>Vencto</v>
      </c>
      <c r="C3217" s="7" t="s">
        <v>1020</v>
      </c>
      <c r="D3217" s="7" t="s">
        <v>1342</v>
      </c>
      <c r="E3217" s="7" t="s">
        <v>0</v>
      </c>
      <c r="F3217" s="7" t="s">
        <v>1026</v>
      </c>
      <c r="G3217" s="7" t="s">
        <v>1022</v>
      </c>
      <c r="H3217" s="7" t="s">
        <v>1343</v>
      </c>
      <c r="I3217" s="7" t="s">
        <v>1344</v>
      </c>
      <c r="J3217" s="7" t="s">
        <v>1345</v>
      </c>
      <c r="K3217" s="7" t="s">
        <v>1346</v>
      </c>
      <c r="L3217" s="7" t="s">
        <v>1347</v>
      </c>
      <c r="M3217" s="7" t="s">
        <v>1348</v>
      </c>
    </row>
    <row r="3218" spans="1:13" x14ac:dyDescent="0.25">
      <c r="A3218" s="12" t="str">
        <f t="shared" si="100"/>
        <v>DocumentoFornecedorTipoEmissão</v>
      </c>
      <c r="B3218" s="12" t="str">
        <f t="shared" si="101"/>
        <v>Vencto</v>
      </c>
      <c r="C3218" s="7" t="s">
        <v>1020</v>
      </c>
      <c r="D3218" s="7" t="s">
        <v>1342</v>
      </c>
      <c r="E3218" s="7" t="s">
        <v>0</v>
      </c>
      <c r="F3218" s="7" t="s">
        <v>1026</v>
      </c>
      <c r="G3218" s="7" t="s">
        <v>1022</v>
      </c>
      <c r="H3218" s="7" t="s">
        <v>1343</v>
      </c>
      <c r="I3218" s="7" t="s">
        <v>1344</v>
      </c>
      <c r="J3218" s="7" t="s">
        <v>1345</v>
      </c>
      <c r="K3218" s="7" t="s">
        <v>1346</v>
      </c>
      <c r="L3218" s="7" t="s">
        <v>1347</v>
      </c>
      <c r="M3218" s="7" t="s">
        <v>1348</v>
      </c>
    </row>
    <row r="3219" spans="1:13" x14ac:dyDescent="0.25">
      <c r="A3219" s="12" t="str">
        <f t="shared" si="100"/>
        <v>DocumentoFornecedorTipoEmissão</v>
      </c>
      <c r="B3219" s="12" t="str">
        <f t="shared" si="101"/>
        <v>Vencto</v>
      </c>
      <c r="C3219" s="7" t="s">
        <v>1020</v>
      </c>
      <c r="D3219" s="7" t="s">
        <v>1342</v>
      </c>
      <c r="E3219" s="7" t="s">
        <v>0</v>
      </c>
      <c r="F3219" s="7" t="s">
        <v>1026</v>
      </c>
      <c r="G3219" s="7" t="s">
        <v>1022</v>
      </c>
      <c r="H3219" s="7" t="s">
        <v>1343</v>
      </c>
      <c r="I3219" s="7" t="s">
        <v>1344</v>
      </c>
      <c r="J3219" s="7" t="s">
        <v>1345</v>
      </c>
      <c r="K3219" s="7" t="s">
        <v>1346</v>
      </c>
      <c r="L3219" s="7" t="s">
        <v>1347</v>
      </c>
      <c r="M3219" s="7" t="s">
        <v>1348</v>
      </c>
    </row>
    <row r="3220" spans="1:13" x14ac:dyDescent="0.25">
      <c r="A3220" s="12" t="str">
        <f t="shared" si="100"/>
        <v>DocumentoFornecedorTipoEmissão</v>
      </c>
      <c r="B3220" s="12" t="str">
        <f t="shared" si="101"/>
        <v>Vencto</v>
      </c>
      <c r="C3220" s="7" t="s">
        <v>1020</v>
      </c>
      <c r="D3220" s="7" t="s">
        <v>1342</v>
      </c>
      <c r="E3220" s="7" t="s">
        <v>0</v>
      </c>
      <c r="F3220" s="7" t="s">
        <v>1026</v>
      </c>
      <c r="G3220" s="7" t="s">
        <v>1022</v>
      </c>
      <c r="H3220" s="7" t="s">
        <v>1343</v>
      </c>
      <c r="I3220" s="7" t="s">
        <v>1344</v>
      </c>
      <c r="J3220" s="7" t="s">
        <v>1345</v>
      </c>
      <c r="K3220" s="7" t="s">
        <v>1346</v>
      </c>
      <c r="L3220" s="7" t="s">
        <v>1347</v>
      </c>
      <c r="M3220" s="7" t="s">
        <v>1348</v>
      </c>
    </row>
    <row r="3221" spans="1:13" x14ac:dyDescent="0.25">
      <c r="A3221" s="12" t="str">
        <f t="shared" si="100"/>
        <v>DocumentoFornecedorTipoEmissão</v>
      </c>
      <c r="B3221" s="12" t="str">
        <f t="shared" si="101"/>
        <v>Vencto</v>
      </c>
      <c r="C3221" s="7" t="s">
        <v>1020</v>
      </c>
      <c r="D3221" s="7" t="s">
        <v>1342</v>
      </c>
      <c r="E3221" s="7" t="s">
        <v>0</v>
      </c>
      <c r="F3221" s="7" t="s">
        <v>1026</v>
      </c>
      <c r="G3221" s="7" t="s">
        <v>1022</v>
      </c>
      <c r="H3221" s="7" t="s">
        <v>1343</v>
      </c>
      <c r="I3221" s="7" t="s">
        <v>1344</v>
      </c>
      <c r="J3221" s="7" t="s">
        <v>1345</v>
      </c>
      <c r="K3221" s="7" t="s">
        <v>1346</v>
      </c>
      <c r="L3221" s="7" t="s">
        <v>1347</v>
      </c>
      <c r="M3221" s="7" t="s">
        <v>1348</v>
      </c>
    </row>
    <row r="3222" spans="1:13" x14ac:dyDescent="0.25">
      <c r="A3222" s="12" t="str">
        <f t="shared" si="100"/>
        <v>DocumentoFornecedorTipoEmissão</v>
      </c>
      <c r="B3222" s="12" t="str">
        <f t="shared" si="101"/>
        <v>Vencto</v>
      </c>
      <c r="C3222" s="7" t="s">
        <v>1020</v>
      </c>
      <c r="D3222" s="7" t="s">
        <v>1342</v>
      </c>
      <c r="E3222" s="7" t="s">
        <v>0</v>
      </c>
      <c r="F3222" s="7" t="s">
        <v>1026</v>
      </c>
      <c r="G3222" s="7" t="s">
        <v>1022</v>
      </c>
      <c r="H3222" s="7" t="s">
        <v>1343</v>
      </c>
      <c r="I3222" s="7" t="s">
        <v>1344</v>
      </c>
      <c r="J3222" s="7" t="s">
        <v>1345</v>
      </c>
      <c r="K3222" s="7" t="s">
        <v>1346</v>
      </c>
      <c r="L3222" s="7" t="s">
        <v>1347</v>
      </c>
      <c r="M3222" s="7" t="s">
        <v>1348</v>
      </c>
    </row>
    <row r="3223" spans="1:13" x14ac:dyDescent="0.25">
      <c r="A3223" s="12" t="str">
        <f t="shared" si="100"/>
        <v>DocumentoFornecedorTipoEmissão</v>
      </c>
      <c r="B3223" s="12" t="str">
        <f t="shared" si="101"/>
        <v>Vencto</v>
      </c>
      <c r="C3223" s="7" t="s">
        <v>1020</v>
      </c>
      <c r="D3223" s="7" t="s">
        <v>1342</v>
      </c>
      <c r="E3223" s="7" t="s">
        <v>0</v>
      </c>
      <c r="F3223" s="7" t="s">
        <v>1026</v>
      </c>
      <c r="G3223" s="7" t="s">
        <v>1022</v>
      </c>
      <c r="H3223" s="7" t="s">
        <v>1343</v>
      </c>
      <c r="I3223" s="7" t="s">
        <v>1344</v>
      </c>
      <c r="J3223" s="7" t="s">
        <v>1345</v>
      </c>
      <c r="K3223" s="7" t="s">
        <v>1346</v>
      </c>
      <c r="L3223" s="7" t="s">
        <v>1347</v>
      </c>
      <c r="M3223" s="7" t="s">
        <v>1348</v>
      </c>
    </row>
    <row r="3224" spans="1:13" x14ac:dyDescent="0.25">
      <c r="A3224" s="12" t="str">
        <f t="shared" si="100"/>
        <v>DocumentoFornecedorTipoEmissão</v>
      </c>
      <c r="B3224" s="12" t="str">
        <f t="shared" si="101"/>
        <v>Vencto</v>
      </c>
      <c r="C3224" s="7" t="s">
        <v>1020</v>
      </c>
      <c r="D3224" s="7" t="s">
        <v>1342</v>
      </c>
      <c r="E3224" s="7" t="s">
        <v>0</v>
      </c>
      <c r="F3224" s="7" t="s">
        <v>1026</v>
      </c>
      <c r="G3224" s="7" t="s">
        <v>1022</v>
      </c>
      <c r="H3224" s="7" t="s">
        <v>1343</v>
      </c>
      <c r="I3224" s="7" t="s">
        <v>1344</v>
      </c>
      <c r="J3224" s="7" t="s">
        <v>1345</v>
      </c>
      <c r="K3224" s="7" t="s">
        <v>1346</v>
      </c>
      <c r="L3224" s="7" t="s">
        <v>1347</v>
      </c>
      <c r="M3224" s="7" t="s">
        <v>1348</v>
      </c>
    </row>
    <row r="3225" spans="1:13" x14ac:dyDescent="0.25">
      <c r="A3225" s="12" t="str">
        <f t="shared" si="100"/>
        <v>DocumentoFornecedorTipoEmissão</v>
      </c>
      <c r="B3225" s="12" t="str">
        <f t="shared" si="101"/>
        <v>Vencto</v>
      </c>
      <c r="C3225" s="7" t="s">
        <v>1020</v>
      </c>
      <c r="D3225" s="7" t="s">
        <v>1342</v>
      </c>
      <c r="E3225" s="7" t="s">
        <v>0</v>
      </c>
      <c r="F3225" s="7" t="s">
        <v>1026</v>
      </c>
      <c r="G3225" s="7" t="s">
        <v>1022</v>
      </c>
      <c r="H3225" s="7" t="s">
        <v>1343</v>
      </c>
      <c r="I3225" s="7" t="s">
        <v>1344</v>
      </c>
      <c r="J3225" s="7" t="s">
        <v>1345</v>
      </c>
      <c r="K3225" s="7" t="s">
        <v>1346</v>
      </c>
      <c r="L3225" s="7" t="s">
        <v>1347</v>
      </c>
      <c r="M3225" s="7" t="s">
        <v>1348</v>
      </c>
    </row>
    <row r="3226" spans="1:13" x14ac:dyDescent="0.25">
      <c r="A3226" s="12" t="str">
        <f t="shared" si="100"/>
        <v>DocumentoFornecedorTipoEmissão</v>
      </c>
      <c r="B3226" s="12" t="str">
        <f t="shared" si="101"/>
        <v>Vencto</v>
      </c>
      <c r="C3226" s="7" t="s">
        <v>1020</v>
      </c>
      <c r="D3226" s="7" t="s">
        <v>1342</v>
      </c>
      <c r="E3226" s="7" t="s">
        <v>0</v>
      </c>
      <c r="F3226" s="7" t="s">
        <v>1026</v>
      </c>
      <c r="G3226" s="7" t="s">
        <v>1022</v>
      </c>
      <c r="H3226" s="7" t="s">
        <v>1343</v>
      </c>
      <c r="I3226" s="7" t="s">
        <v>1344</v>
      </c>
      <c r="J3226" s="7" t="s">
        <v>1345</v>
      </c>
      <c r="K3226" s="7" t="s">
        <v>1346</v>
      </c>
      <c r="L3226" s="7" t="s">
        <v>1347</v>
      </c>
      <c r="M3226" s="7" t="s">
        <v>1348</v>
      </c>
    </row>
    <row r="3227" spans="1:13" x14ac:dyDescent="0.25">
      <c r="A3227" s="12" t="str">
        <f t="shared" ref="A3227:A3290" si="102">$C3227&amp;$E3227&amp;$G3227&amp;$F3227</f>
        <v>DocumentoFornecedorTipoEmissão</v>
      </c>
      <c r="B3227" s="12" t="str">
        <f t="shared" si="101"/>
        <v>Vencto</v>
      </c>
      <c r="C3227" s="7" t="s">
        <v>1020</v>
      </c>
      <c r="D3227" s="7" t="s">
        <v>1342</v>
      </c>
      <c r="E3227" s="7" t="s">
        <v>0</v>
      </c>
      <c r="F3227" s="7" t="s">
        <v>1026</v>
      </c>
      <c r="G3227" s="7" t="s">
        <v>1022</v>
      </c>
      <c r="H3227" s="7" t="s">
        <v>1343</v>
      </c>
      <c r="I3227" s="7" t="s">
        <v>1344</v>
      </c>
      <c r="J3227" s="7" t="s">
        <v>1345</v>
      </c>
      <c r="K3227" s="7" t="s">
        <v>1346</v>
      </c>
      <c r="L3227" s="7" t="s">
        <v>1347</v>
      </c>
      <c r="M3227" s="7" t="s">
        <v>1348</v>
      </c>
    </row>
    <row r="3228" spans="1:13" x14ac:dyDescent="0.25">
      <c r="A3228" s="12" t="str">
        <f t="shared" si="102"/>
        <v>DocumentoFornecedorTipoEmissão</v>
      </c>
      <c r="B3228" s="12" t="str">
        <f t="shared" si="101"/>
        <v>Vencto</v>
      </c>
      <c r="C3228" s="7" t="s">
        <v>1020</v>
      </c>
      <c r="D3228" s="7" t="s">
        <v>1342</v>
      </c>
      <c r="E3228" s="7" t="s">
        <v>0</v>
      </c>
      <c r="F3228" s="7" t="s">
        <v>1026</v>
      </c>
      <c r="G3228" s="7" t="s">
        <v>1022</v>
      </c>
      <c r="H3228" s="7" t="s">
        <v>1343</v>
      </c>
      <c r="I3228" s="7" t="s">
        <v>1344</v>
      </c>
      <c r="J3228" s="7" t="s">
        <v>1345</v>
      </c>
      <c r="K3228" s="7" t="s">
        <v>1346</v>
      </c>
      <c r="L3228" s="7" t="s">
        <v>1347</v>
      </c>
      <c r="M3228" s="7" t="s">
        <v>1348</v>
      </c>
    </row>
    <row r="3229" spans="1:13" x14ac:dyDescent="0.25">
      <c r="A3229" s="12" t="str">
        <f t="shared" si="102"/>
        <v>DocumentoFornecedorTipoEmissão</v>
      </c>
      <c r="B3229" s="12" t="str">
        <f t="shared" si="101"/>
        <v>Vencto</v>
      </c>
      <c r="C3229" s="7" t="s">
        <v>1020</v>
      </c>
      <c r="D3229" s="7" t="s">
        <v>1342</v>
      </c>
      <c r="E3229" s="7" t="s">
        <v>0</v>
      </c>
      <c r="F3229" s="7" t="s">
        <v>1026</v>
      </c>
      <c r="G3229" s="7" t="s">
        <v>1022</v>
      </c>
      <c r="H3229" s="7" t="s">
        <v>1343</v>
      </c>
      <c r="I3229" s="7" t="s">
        <v>1344</v>
      </c>
      <c r="J3229" s="7" t="s">
        <v>1345</v>
      </c>
      <c r="K3229" s="7" t="s">
        <v>1346</v>
      </c>
      <c r="L3229" s="7" t="s">
        <v>1347</v>
      </c>
      <c r="M3229" s="7" t="s">
        <v>1348</v>
      </c>
    </row>
    <row r="3230" spans="1:13" x14ac:dyDescent="0.25">
      <c r="A3230" s="12" t="str">
        <f t="shared" si="102"/>
        <v>DocumentoFornecedorTipoEmissão</v>
      </c>
      <c r="B3230" s="12" t="str">
        <f t="shared" si="101"/>
        <v>Vencto</v>
      </c>
      <c r="C3230" s="7" t="s">
        <v>1020</v>
      </c>
      <c r="D3230" s="7" t="s">
        <v>1342</v>
      </c>
      <c r="E3230" s="7" t="s">
        <v>0</v>
      </c>
      <c r="F3230" s="7" t="s">
        <v>1026</v>
      </c>
      <c r="G3230" s="7" t="s">
        <v>1022</v>
      </c>
      <c r="H3230" s="7" t="s">
        <v>1343</v>
      </c>
      <c r="I3230" s="7" t="s">
        <v>1344</v>
      </c>
      <c r="J3230" s="7" t="s">
        <v>1345</v>
      </c>
      <c r="K3230" s="7" t="s">
        <v>1346</v>
      </c>
      <c r="L3230" s="7" t="s">
        <v>1347</v>
      </c>
      <c r="M3230" s="7" t="s">
        <v>1348</v>
      </c>
    </row>
    <row r="3231" spans="1:13" x14ac:dyDescent="0.25">
      <c r="A3231" s="12" t="str">
        <f t="shared" si="102"/>
        <v>DocumentoFornecedorTipoEmissão</v>
      </c>
      <c r="B3231" s="12" t="str">
        <f t="shared" si="101"/>
        <v>Vencto</v>
      </c>
      <c r="C3231" s="7" t="s">
        <v>1020</v>
      </c>
      <c r="D3231" s="7" t="s">
        <v>1342</v>
      </c>
      <c r="E3231" s="7" t="s">
        <v>0</v>
      </c>
      <c r="F3231" s="7" t="s">
        <v>1026</v>
      </c>
      <c r="G3231" s="7" t="s">
        <v>1022</v>
      </c>
      <c r="H3231" s="7" t="s">
        <v>1343</v>
      </c>
      <c r="I3231" s="7" t="s">
        <v>1344</v>
      </c>
      <c r="J3231" s="7" t="s">
        <v>1345</v>
      </c>
      <c r="K3231" s="7" t="s">
        <v>1346</v>
      </c>
      <c r="L3231" s="7" t="s">
        <v>1347</v>
      </c>
      <c r="M3231" s="7" t="s">
        <v>1348</v>
      </c>
    </row>
    <row r="3232" spans="1:13" x14ac:dyDescent="0.25">
      <c r="A3232" s="12" t="str">
        <f t="shared" si="102"/>
        <v>DocumentoFornecedorTipoEmissão</v>
      </c>
      <c r="B3232" s="12" t="str">
        <f t="shared" si="101"/>
        <v>Vencto</v>
      </c>
      <c r="C3232" s="7" t="s">
        <v>1020</v>
      </c>
      <c r="D3232" s="7" t="s">
        <v>1342</v>
      </c>
      <c r="E3232" s="7" t="s">
        <v>0</v>
      </c>
      <c r="F3232" s="7" t="s">
        <v>1026</v>
      </c>
      <c r="G3232" s="7" t="s">
        <v>1022</v>
      </c>
      <c r="H3232" s="7" t="s">
        <v>1343</v>
      </c>
      <c r="I3232" s="7" t="s">
        <v>1344</v>
      </c>
      <c r="J3232" s="7" t="s">
        <v>1345</v>
      </c>
      <c r="K3232" s="7" t="s">
        <v>1346</v>
      </c>
      <c r="L3232" s="7" t="s">
        <v>1347</v>
      </c>
      <c r="M3232" s="7" t="s">
        <v>1348</v>
      </c>
    </row>
    <row r="3233" spans="1:13" x14ac:dyDescent="0.25">
      <c r="A3233" s="12" t="str">
        <f t="shared" si="102"/>
        <v>DocumentoFornecedorTipoEmissão</v>
      </c>
      <c r="B3233" s="12" t="str">
        <f t="shared" si="101"/>
        <v>Vencto</v>
      </c>
      <c r="C3233" s="7" t="s">
        <v>1020</v>
      </c>
      <c r="D3233" s="7" t="s">
        <v>1342</v>
      </c>
      <c r="E3233" s="7" t="s">
        <v>0</v>
      </c>
      <c r="F3233" s="7" t="s">
        <v>1026</v>
      </c>
      <c r="G3233" s="7" t="s">
        <v>1022</v>
      </c>
      <c r="H3233" s="7" t="s">
        <v>1343</v>
      </c>
      <c r="I3233" s="7" t="s">
        <v>1344</v>
      </c>
      <c r="J3233" s="7" t="s">
        <v>1345</v>
      </c>
      <c r="K3233" s="7" t="s">
        <v>1346</v>
      </c>
      <c r="L3233" s="7" t="s">
        <v>1347</v>
      </c>
      <c r="M3233" s="7" t="s">
        <v>1348</v>
      </c>
    </row>
    <row r="3234" spans="1:13" x14ac:dyDescent="0.25">
      <c r="A3234" s="12" t="str">
        <f t="shared" si="102"/>
        <v>DocumentoFornecedorTipoEmissão</v>
      </c>
      <c r="B3234" s="12" t="str">
        <f t="shared" si="101"/>
        <v>Vencto</v>
      </c>
      <c r="C3234" s="7" t="s">
        <v>1020</v>
      </c>
      <c r="D3234" s="7" t="s">
        <v>1342</v>
      </c>
      <c r="E3234" s="7" t="s">
        <v>0</v>
      </c>
      <c r="F3234" s="7" t="s">
        <v>1026</v>
      </c>
      <c r="G3234" s="7" t="s">
        <v>1022</v>
      </c>
      <c r="H3234" s="7" t="s">
        <v>1343</v>
      </c>
      <c r="I3234" s="7" t="s">
        <v>1344</v>
      </c>
      <c r="J3234" s="7" t="s">
        <v>1345</v>
      </c>
      <c r="K3234" s="7" t="s">
        <v>1346</v>
      </c>
      <c r="L3234" s="7" t="s">
        <v>1347</v>
      </c>
      <c r="M3234" s="7" t="s">
        <v>1348</v>
      </c>
    </row>
    <row r="3235" spans="1:13" x14ac:dyDescent="0.25">
      <c r="A3235" s="12" t="str">
        <f t="shared" si="102"/>
        <v>DocumentoFornecedorTipoEmissão</v>
      </c>
      <c r="B3235" s="12" t="str">
        <f t="shared" si="101"/>
        <v>Vencto</v>
      </c>
      <c r="C3235" s="7" t="s">
        <v>1020</v>
      </c>
      <c r="D3235" s="7" t="s">
        <v>1342</v>
      </c>
      <c r="E3235" s="7" t="s">
        <v>0</v>
      </c>
      <c r="F3235" s="7" t="s">
        <v>1026</v>
      </c>
      <c r="G3235" s="7" t="s">
        <v>1022</v>
      </c>
      <c r="H3235" s="7" t="s">
        <v>1343</v>
      </c>
      <c r="I3235" s="7" t="s">
        <v>1344</v>
      </c>
      <c r="J3235" s="7" t="s">
        <v>1345</v>
      </c>
      <c r="K3235" s="7" t="s">
        <v>1346</v>
      </c>
      <c r="L3235" s="7" t="s">
        <v>1347</v>
      </c>
      <c r="M3235" s="7" t="s">
        <v>1348</v>
      </c>
    </row>
    <row r="3236" spans="1:13" x14ac:dyDescent="0.25">
      <c r="A3236" s="12" t="str">
        <f t="shared" si="102"/>
        <v>DocumentoFornecedorTipoEmissão</v>
      </c>
      <c r="B3236" s="12" t="str">
        <f t="shared" si="101"/>
        <v>Vencto</v>
      </c>
      <c r="C3236" s="7" t="s">
        <v>1020</v>
      </c>
      <c r="D3236" s="7" t="s">
        <v>1342</v>
      </c>
      <c r="E3236" s="7" t="s">
        <v>0</v>
      </c>
      <c r="F3236" s="7" t="s">
        <v>1026</v>
      </c>
      <c r="G3236" s="7" t="s">
        <v>1022</v>
      </c>
      <c r="H3236" s="7" t="s">
        <v>1343</v>
      </c>
      <c r="I3236" s="7" t="s">
        <v>1344</v>
      </c>
      <c r="J3236" s="7" t="s">
        <v>1345</v>
      </c>
      <c r="K3236" s="7" t="s">
        <v>1346</v>
      </c>
      <c r="L3236" s="7" t="s">
        <v>1347</v>
      </c>
      <c r="M3236" s="7" t="s">
        <v>1348</v>
      </c>
    </row>
    <row r="3237" spans="1:13" x14ac:dyDescent="0.25">
      <c r="A3237" s="12" t="str">
        <f t="shared" si="102"/>
        <v>DocumentoFornecedorTipoEmissão</v>
      </c>
      <c r="B3237" s="12" t="str">
        <f t="shared" si="101"/>
        <v>Vencto</v>
      </c>
      <c r="C3237" s="7" t="s">
        <v>1020</v>
      </c>
      <c r="D3237" s="7" t="s">
        <v>1342</v>
      </c>
      <c r="E3237" s="7" t="s">
        <v>0</v>
      </c>
      <c r="F3237" s="7" t="s">
        <v>1026</v>
      </c>
      <c r="G3237" s="7" t="s">
        <v>1022</v>
      </c>
      <c r="H3237" s="7" t="s">
        <v>1343</v>
      </c>
      <c r="I3237" s="7" t="s">
        <v>1344</v>
      </c>
      <c r="J3237" s="7" t="s">
        <v>1345</v>
      </c>
      <c r="K3237" s="7" t="s">
        <v>1346</v>
      </c>
      <c r="L3237" s="7" t="s">
        <v>1347</v>
      </c>
      <c r="M3237" s="7" t="s">
        <v>1348</v>
      </c>
    </row>
    <row r="3238" spans="1:13" x14ac:dyDescent="0.25">
      <c r="A3238" s="12" t="str">
        <f t="shared" si="102"/>
        <v>DocumentoFornecedorTipoEmissão</v>
      </c>
      <c r="B3238" s="12" t="str">
        <f t="shared" si="101"/>
        <v>Vencto</v>
      </c>
      <c r="C3238" s="7" t="s">
        <v>1020</v>
      </c>
      <c r="D3238" s="7" t="s">
        <v>1342</v>
      </c>
      <c r="E3238" s="7" t="s">
        <v>0</v>
      </c>
      <c r="F3238" s="7" t="s">
        <v>1026</v>
      </c>
      <c r="G3238" s="7" t="s">
        <v>1022</v>
      </c>
      <c r="H3238" s="7" t="s">
        <v>1343</v>
      </c>
      <c r="I3238" s="7" t="s">
        <v>1344</v>
      </c>
      <c r="J3238" s="7" t="s">
        <v>1345</v>
      </c>
      <c r="K3238" s="7" t="s">
        <v>1346</v>
      </c>
      <c r="L3238" s="7" t="s">
        <v>1347</v>
      </c>
      <c r="M3238" s="7" t="s">
        <v>1348</v>
      </c>
    </row>
    <row r="3239" spans="1:13" x14ac:dyDescent="0.25">
      <c r="A3239" s="12" t="str">
        <f t="shared" si="102"/>
        <v>DocumentoFornecedorTipoEmissão</v>
      </c>
      <c r="B3239" s="12" t="str">
        <f t="shared" si="101"/>
        <v>Vencto</v>
      </c>
      <c r="C3239" s="7" t="s">
        <v>1020</v>
      </c>
      <c r="D3239" s="7" t="s">
        <v>1342</v>
      </c>
      <c r="E3239" s="7" t="s">
        <v>0</v>
      </c>
      <c r="F3239" s="7" t="s">
        <v>1026</v>
      </c>
      <c r="G3239" s="7" t="s">
        <v>1022</v>
      </c>
      <c r="H3239" s="7" t="s">
        <v>1343</v>
      </c>
      <c r="I3239" s="7" t="s">
        <v>1344</v>
      </c>
      <c r="J3239" s="7" t="s">
        <v>1345</v>
      </c>
      <c r="K3239" s="7" t="s">
        <v>1346</v>
      </c>
      <c r="L3239" s="7" t="s">
        <v>1347</v>
      </c>
      <c r="M3239" s="7" t="s">
        <v>1348</v>
      </c>
    </row>
    <row r="3240" spans="1:13" x14ac:dyDescent="0.25">
      <c r="A3240" s="12" t="str">
        <f t="shared" si="102"/>
        <v>DocumentoFornecedorTipoEmissão</v>
      </c>
      <c r="B3240" s="12" t="str">
        <f t="shared" si="101"/>
        <v>Vencto</v>
      </c>
      <c r="C3240" s="7" t="s">
        <v>1020</v>
      </c>
      <c r="D3240" s="7" t="s">
        <v>1342</v>
      </c>
      <c r="E3240" s="7" t="s">
        <v>0</v>
      </c>
      <c r="F3240" s="7" t="s">
        <v>1026</v>
      </c>
      <c r="G3240" s="7" t="s">
        <v>1022</v>
      </c>
      <c r="H3240" s="7" t="s">
        <v>1343</v>
      </c>
      <c r="I3240" s="7" t="s">
        <v>1344</v>
      </c>
      <c r="J3240" s="7" t="s">
        <v>1345</v>
      </c>
      <c r="K3240" s="7" t="s">
        <v>1346</v>
      </c>
      <c r="L3240" s="7" t="s">
        <v>1347</v>
      </c>
      <c r="M3240" s="7" t="s">
        <v>1348</v>
      </c>
    </row>
    <row r="3241" spans="1:13" x14ac:dyDescent="0.25">
      <c r="A3241" s="12" t="str">
        <f t="shared" si="102"/>
        <v>DocumentoFornecedorTipoEmissão</v>
      </c>
      <c r="B3241" s="12" t="str">
        <f t="shared" si="101"/>
        <v>Vencto</v>
      </c>
      <c r="C3241" s="7" t="s">
        <v>1020</v>
      </c>
      <c r="D3241" s="7" t="s">
        <v>1342</v>
      </c>
      <c r="E3241" s="7" t="s">
        <v>0</v>
      </c>
      <c r="F3241" s="7" t="s">
        <v>1026</v>
      </c>
      <c r="G3241" s="7" t="s">
        <v>1022</v>
      </c>
      <c r="H3241" s="7" t="s">
        <v>1343</v>
      </c>
      <c r="I3241" s="7" t="s">
        <v>1344</v>
      </c>
      <c r="J3241" s="7" t="s">
        <v>1345</v>
      </c>
      <c r="K3241" s="7" t="s">
        <v>1346</v>
      </c>
      <c r="L3241" s="7" t="s">
        <v>1347</v>
      </c>
      <c r="M3241" s="7" t="s">
        <v>1348</v>
      </c>
    </row>
    <row r="3242" spans="1:13" x14ac:dyDescent="0.25">
      <c r="A3242" s="12" t="str">
        <f t="shared" si="102"/>
        <v>DocumentoFornecedorTipoEmissão</v>
      </c>
      <c r="B3242" s="12" t="str">
        <f t="shared" si="101"/>
        <v>Vencto</v>
      </c>
      <c r="C3242" s="7" t="s">
        <v>1020</v>
      </c>
      <c r="D3242" s="7" t="s">
        <v>1342</v>
      </c>
      <c r="E3242" s="7" t="s">
        <v>0</v>
      </c>
      <c r="F3242" s="7" t="s">
        <v>1026</v>
      </c>
      <c r="G3242" s="7" t="s">
        <v>1022</v>
      </c>
      <c r="H3242" s="7" t="s">
        <v>1343</v>
      </c>
      <c r="I3242" s="7" t="s">
        <v>1344</v>
      </c>
      <c r="J3242" s="7" t="s">
        <v>1345</v>
      </c>
      <c r="K3242" s="7" t="s">
        <v>1346</v>
      </c>
      <c r="L3242" s="7" t="s">
        <v>1347</v>
      </c>
      <c r="M3242" s="7" t="s">
        <v>1348</v>
      </c>
    </row>
    <row r="3243" spans="1:13" x14ac:dyDescent="0.25">
      <c r="A3243" s="12" t="str">
        <f t="shared" si="102"/>
        <v>DocumentoFornecedorTipoEmissão</v>
      </c>
      <c r="B3243" s="12" t="str">
        <f t="shared" si="101"/>
        <v>Vencto</v>
      </c>
      <c r="C3243" s="7" t="s">
        <v>1020</v>
      </c>
      <c r="D3243" s="7" t="s">
        <v>1342</v>
      </c>
      <c r="E3243" s="7" t="s">
        <v>0</v>
      </c>
      <c r="F3243" s="7" t="s">
        <v>1026</v>
      </c>
      <c r="G3243" s="7" t="s">
        <v>1022</v>
      </c>
      <c r="H3243" s="7" t="s">
        <v>1343</v>
      </c>
      <c r="I3243" s="7" t="s">
        <v>1344</v>
      </c>
      <c r="J3243" s="7" t="s">
        <v>1345</v>
      </c>
      <c r="K3243" s="7" t="s">
        <v>1346</v>
      </c>
      <c r="L3243" s="7" t="s">
        <v>1347</v>
      </c>
      <c r="M3243" s="7" t="s">
        <v>1348</v>
      </c>
    </row>
    <row r="3244" spans="1:13" x14ac:dyDescent="0.25">
      <c r="A3244" s="12" t="str">
        <f t="shared" si="102"/>
        <v>DocumentoFornecedorTipoEmissão</v>
      </c>
      <c r="B3244" s="12" t="str">
        <f t="shared" si="101"/>
        <v>Vencto</v>
      </c>
      <c r="C3244" s="7" t="s">
        <v>1020</v>
      </c>
      <c r="D3244" s="7" t="s">
        <v>1342</v>
      </c>
      <c r="E3244" s="7" t="s">
        <v>0</v>
      </c>
      <c r="F3244" s="7" t="s">
        <v>1026</v>
      </c>
      <c r="G3244" s="7" t="s">
        <v>1022</v>
      </c>
      <c r="H3244" s="7" t="s">
        <v>1343</v>
      </c>
      <c r="I3244" s="7" t="s">
        <v>1344</v>
      </c>
      <c r="J3244" s="7" t="s">
        <v>1345</v>
      </c>
      <c r="K3244" s="7" t="s">
        <v>1346</v>
      </c>
      <c r="L3244" s="7" t="s">
        <v>1347</v>
      </c>
      <c r="M3244" s="7" t="s">
        <v>1348</v>
      </c>
    </row>
    <row r="3245" spans="1:13" x14ac:dyDescent="0.25">
      <c r="A3245" s="12" t="str">
        <f t="shared" si="102"/>
        <v>DocumentoFornecedorTipoEmissão</v>
      </c>
      <c r="B3245" s="12" t="str">
        <f t="shared" si="101"/>
        <v>Vencto</v>
      </c>
      <c r="C3245" s="7" t="s">
        <v>1020</v>
      </c>
      <c r="D3245" s="7" t="s">
        <v>1342</v>
      </c>
      <c r="E3245" s="7" t="s">
        <v>0</v>
      </c>
      <c r="F3245" s="7" t="s">
        <v>1026</v>
      </c>
      <c r="G3245" s="7" t="s">
        <v>1022</v>
      </c>
      <c r="H3245" s="7" t="s">
        <v>1343</v>
      </c>
      <c r="I3245" s="7" t="s">
        <v>1344</v>
      </c>
      <c r="J3245" s="7" t="s">
        <v>1345</v>
      </c>
      <c r="K3245" s="7" t="s">
        <v>1346</v>
      </c>
      <c r="L3245" s="7" t="s">
        <v>1347</v>
      </c>
      <c r="M3245" s="7" t="s">
        <v>1348</v>
      </c>
    </row>
    <row r="3246" spans="1:13" x14ac:dyDescent="0.25">
      <c r="A3246" s="12" t="str">
        <f t="shared" si="102"/>
        <v>DocumentoFornecedorTipoEmissão</v>
      </c>
      <c r="B3246" s="12" t="str">
        <f t="shared" si="101"/>
        <v>Vencto</v>
      </c>
      <c r="C3246" s="7" t="s">
        <v>1020</v>
      </c>
      <c r="D3246" s="7" t="s">
        <v>1342</v>
      </c>
      <c r="E3246" s="7" t="s">
        <v>0</v>
      </c>
      <c r="F3246" s="7" t="s">
        <v>1026</v>
      </c>
      <c r="G3246" s="7" t="s">
        <v>1022</v>
      </c>
      <c r="H3246" s="7" t="s">
        <v>1343</v>
      </c>
      <c r="I3246" s="7" t="s">
        <v>1344</v>
      </c>
      <c r="J3246" s="7" t="s">
        <v>1345</v>
      </c>
      <c r="K3246" s="7" t="s">
        <v>1346</v>
      </c>
      <c r="L3246" s="7" t="s">
        <v>1347</v>
      </c>
      <c r="M3246" s="7" t="s">
        <v>1348</v>
      </c>
    </row>
    <row r="3247" spans="1:13" x14ac:dyDescent="0.25">
      <c r="A3247" s="12" t="str">
        <f t="shared" si="102"/>
        <v>DocumentoFornecedorTipoEmissão</v>
      </c>
      <c r="B3247" s="12" t="str">
        <f t="shared" si="101"/>
        <v>Vencto</v>
      </c>
      <c r="C3247" s="7" t="s">
        <v>1020</v>
      </c>
      <c r="D3247" s="7" t="s">
        <v>1342</v>
      </c>
      <c r="E3247" s="7" t="s">
        <v>0</v>
      </c>
      <c r="F3247" s="7" t="s">
        <v>1026</v>
      </c>
      <c r="G3247" s="7" t="s">
        <v>1022</v>
      </c>
      <c r="H3247" s="7" t="s">
        <v>1343</v>
      </c>
      <c r="I3247" s="7" t="s">
        <v>1344</v>
      </c>
      <c r="J3247" s="7" t="s">
        <v>1345</v>
      </c>
      <c r="K3247" s="7" t="s">
        <v>1346</v>
      </c>
      <c r="L3247" s="7" t="s">
        <v>1347</v>
      </c>
      <c r="M3247" s="7" t="s">
        <v>1348</v>
      </c>
    </row>
    <row r="3248" spans="1:13" x14ac:dyDescent="0.25">
      <c r="A3248" s="12" t="str">
        <f t="shared" si="102"/>
        <v>DocumentoFornecedorTipoEmissão</v>
      </c>
      <c r="B3248" s="12" t="str">
        <f t="shared" si="101"/>
        <v>Vencto</v>
      </c>
      <c r="C3248" s="7" t="s">
        <v>1020</v>
      </c>
      <c r="D3248" s="7" t="s">
        <v>1342</v>
      </c>
      <c r="E3248" s="7" t="s">
        <v>0</v>
      </c>
      <c r="F3248" s="7" t="s">
        <v>1026</v>
      </c>
      <c r="G3248" s="7" t="s">
        <v>1022</v>
      </c>
      <c r="H3248" s="7" t="s">
        <v>1343</v>
      </c>
      <c r="I3248" s="7" t="s">
        <v>1344</v>
      </c>
      <c r="J3248" s="7" t="s">
        <v>1345</v>
      </c>
      <c r="K3248" s="7" t="s">
        <v>1346</v>
      </c>
      <c r="L3248" s="7" t="s">
        <v>1347</v>
      </c>
      <c r="M3248" s="7" t="s">
        <v>1348</v>
      </c>
    </row>
    <row r="3249" spans="1:13" x14ac:dyDescent="0.25">
      <c r="A3249" s="12" t="str">
        <f t="shared" si="102"/>
        <v>DocumentoFornecedorTipoEmissão</v>
      </c>
      <c r="B3249" s="12" t="str">
        <f t="shared" si="101"/>
        <v>Vencto</v>
      </c>
      <c r="C3249" s="7" t="s">
        <v>1020</v>
      </c>
      <c r="D3249" s="7" t="s">
        <v>1342</v>
      </c>
      <c r="E3249" s="7" t="s">
        <v>0</v>
      </c>
      <c r="F3249" s="7" t="s">
        <v>1026</v>
      </c>
      <c r="G3249" s="7" t="s">
        <v>1022</v>
      </c>
      <c r="H3249" s="7" t="s">
        <v>1343</v>
      </c>
      <c r="I3249" s="7" t="s">
        <v>1344</v>
      </c>
      <c r="J3249" s="7" t="s">
        <v>1345</v>
      </c>
      <c r="K3249" s="7" t="s">
        <v>1346</v>
      </c>
      <c r="L3249" s="7" t="s">
        <v>1347</v>
      </c>
      <c r="M3249" s="7" t="s">
        <v>1348</v>
      </c>
    </row>
    <row r="3250" spans="1:13" x14ac:dyDescent="0.25">
      <c r="A3250" s="12" t="str">
        <f t="shared" si="102"/>
        <v>DocumentoFornecedorTipoEmissão</v>
      </c>
      <c r="B3250" s="12" t="str">
        <f t="shared" si="101"/>
        <v>Vencto</v>
      </c>
      <c r="C3250" s="7" t="s">
        <v>1020</v>
      </c>
      <c r="D3250" s="7" t="s">
        <v>1342</v>
      </c>
      <c r="E3250" s="7" t="s">
        <v>0</v>
      </c>
      <c r="F3250" s="7" t="s">
        <v>1026</v>
      </c>
      <c r="G3250" s="7" t="s">
        <v>1022</v>
      </c>
      <c r="H3250" s="7" t="s">
        <v>1343</v>
      </c>
      <c r="I3250" s="7" t="s">
        <v>1344</v>
      </c>
      <c r="J3250" s="7" t="s">
        <v>1345</v>
      </c>
      <c r="K3250" s="7" t="s">
        <v>1346</v>
      </c>
      <c r="L3250" s="7" t="s">
        <v>1347</v>
      </c>
      <c r="M3250" s="7" t="s">
        <v>1348</v>
      </c>
    </row>
    <row r="3251" spans="1:13" x14ac:dyDescent="0.25">
      <c r="A3251" s="12" t="str">
        <f t="shared" si="102"/>
        <v>DocumentoFornecedorTipoEmissão</v>
      </c>
      <c r="B3251" s="12" t="str">
        <f t="shared" si="101"/>
        <v>Vencto</v>
      </c>
      <c r="C3251" s="7" t="s">
        <v>1020</v>
      </c>
      <c r="D3251" s="7" t="s">
        <v>1342</v>
      </c>
      <c r="E3251" s="7" t="s">
        <v>0</v>
      </c>
      <c r="F3251" s="7" t="s">
        <v>1026</v>
      </c>
      <c r="G3251" s="7" t="s">
        <v>1022</v>
      </c>
      <c r="H3251" s="7" t="s">
        <v>1343</v>
      </c>
      <c r="I3251" s="7" t="s">
        <v>1344</v>
      </c>
      <c r="J3251" s="7" t="s">
        <v>1345</v>
      </c>
      <c r="K3251" s="7" t="s">
        <v>1346</v>
      </c>
      <c r="L3251" s="7" t="s">
        <v>1347</v>
      </c>
      <c r="M3251" s="7" t="s">
        <v>1348</v>
      </c>
    </row>
    <row r="3252" spans="1:13" x14ac:dyDescent="0.25">
      <c r="A3252" s="12" t="str">
        <f t="shared" si="102"/>
        <v>DocumentoFornecedorTipoEmissão</v>
      </c>
      <c r="B3252" s="12" t="str">
        <f t="shared" si="101"/>
        <v>Vencto</v>
      </c>
      <c r="C3252" s="7" t="s">
        <v>1020</v>
      </c>
      <c r="D3252" s="7" t="s">
        <v>1342</v>
      </c>
      <c r="E3252" s="7" t="s">
        <v>0</v>
      </c>
      <c r="F3252" s="7" t="s">
        <v>1026</v>
      </c>
      <c r="G3252" s="7" t="s">
        <v>1022</v>
      </c>
      <c r="H3252" s="7" t="s">
        <v>1343</v>
      </c>
      <c r="I3252" s="7" t="s">
        <v>1344</v>
      </c>
      <c r="J3252" s="7" t="s">
        <v>1345</v>
      </c>
      <c r="K3252" s="7" t="s">
        <v>1346</v>
      </c>
      <c r="L3252" s="7" t="s">
        <v>1347</v>
      </c>
      <c r="M3252" s="7" t="s">
        <v>1348</v>
      </c>
    </row>
    <row r="3253" spans="1:13" x14ac:dyDescent="0.25">
      <c r="A3253" s="12" t="str">
        <f t="shared" si="102"/>
        <v>DocumentoFornecedorTipoEmissão</v>
      </c>
      <c r="B3253" s="12" t="str">
        <f t="shared" si="101"/>
        <v>Vencto</v>
      </c>
      <c r="C3253" s="7" t="s">
        <v>1020</v>
      </c>
      <c r="D3253" s="7" t="s">
        <v>1342</v>
      </c>
      <c r="E3253" s="7" t="s">
        <v>0</v>
      </c>
      <c r="F3253" s="7" t="s">
        <v>1026</v>
      </c>
      <c r="G3253" s="7" t="s">
        <v>1022</v>
      </c>
      <c r="H3253" s="7" t="s">
        <v>1343</v>
      </c>
      <c r="I3253" s="7" t="s">
        <v>1344</v>
      </c>
      <c r="J3253" s="7" t="s">
        <v>1345</v>
      </c>
      <c r="K3253" s="7" t="s">
        <v>1346</v>
      </c>
      <c r="L3253" s="7" t="s">
        <v>1347</v>
      </c>
      <c r="M3253" s="7" t="s">
        <v>1348</v>
      </c>
    </row>
    <row r="3254" spans="1:13" x14ac:dyDescent="0.25">
      <c r="A3254" s="12" t="str">
        <f t="shared" si="102"/>
        <v>DocumentoFornecedorTipoEmissão</v>
      </c>
      <c r="B3254" s="12" t="str">
        <f t="shared" si="101"/>
        <v>Vencto</v>
      </c>
      <c r="C3254" s="7" t="s">
        <v>1020</v>
      </c>
      <c r="D3254" s="7" t="s">
        <v>1342</v>
      </c>
      <c r="E3254" s="7" t="s">
        <v>0</v>
      </c>
      <c r="F3254" s="7" t="s">
        <v>1026</v>
      </c>
      <c r="G3254" s="7" t="s">
        <v>1022</v>
      </c>
      <c r="H3254" s="7" t="s">
        <v>1343</v>
      </c>
      <c r="I3254" s="7" t="s">
        <v>1344</v>
      </c>
      <c r="J3254" s="7" t="s">
        <v>1345</v>
      </c>
      <c r="K3254" s="7" t="s">
        <v>1346</v>
      </c>
      <c r="L3254" s="7" t="s">
        <v>1347</v>
      </c>
      <c r="M3254" s="7" t="s">
        <v>1348</v>
      </c>
    </row>
    <row r="3255" spans="1:13" x14ac:dyDescent="0.25">
      <c r="A3255" s="12" t="str">
        <f t="shared" si="102"/>
        <v>DocumentoFornecedorTipoEmissão</v>
      </c>
      <c r="B3255" s="12" t="str">
        <f t="shared" si="101"/>
        <v>Vencto</v>
      </c>
      <c r="C3255" s="7" t="s">
        <v>1020</v>
      </c>
      <c r="D3255" s="7" t="s">
        <v>1342</v>
      </c>
      <c r="E3255" s="7" t="s">
        <v>0</v>
      </c>
      <c r="F3255" s="7" t="s">
        <v>1026</v>
      </c>
      <c r="G3255" s="7" t="s">
        <v>1022</v>
      </c>
      <c r="H3255" s="7" t="s">
        <v>1343</v>
      </c>
      <c r="I3255" s="7" t="s">
        <v>1344</v>
      </c>
      <c r="J3255" s="7" t="s">
        <v>1345</v>
      </c>
      <c r="K3255" s="7" t="s">
        <v>1346</v>
      </c>
      <c r="L3255" s="7" t="s">
        <v>1347</v>
      </c>
      <c r="M3255" s="7" t="s">
        <v>1348</v>
      </c>
    </row>
    <row r="3256" spans="1:13" x14ac:dyDescent="0.25">
      <c r="A3256" s="12" t="str">
        <f t="shared" si="102"/>
        <v>DocumentoFornecedorTipoEmissão</v>
      </c>
      <c r="B3256" s="12" t="str">
        <f t="shared" si="101"/>
        <v>Vencto</v>
      </c>
      <c r="C3256" s="7" t="s">
        <v>1020</v>
      </c>
      <c r="D3256" s="7" t="s">
        <v>1342</v>
      </c>
      <c r="E3256" s="7" t="s">
        <v>0</v>
      </c>
      <c r="F3256" s="7" t="s">
        <v>1026</v>
      </c>
      <c r="G3256" s="7" t="s">
        <v>1022</v>
      </c>
      <c r="H3256" s="7" t="s">
        <v>1343</v>
      </c>
      <c r="I3256" s="7" t="s">
        <v>1344</v>
      </c>
      <c r="J3256" s="7" t="s">
        <v>1345</v>
      </c>
      <c r="K3256" s="7" t="s">
        <v>1346</v>
      </c>
      <c r="L3256" s="7" t="s">
        <v>1347</v>
      </c>
      <c r="M3256" s="7" t="s">
        <v>1348</v>
      </c>
    </row>
    <row r="3257" spans="1:13" x14ac:dyDescent="0.25">
      <c r="A3257" s="12" t="str">
        <f t="shared" si="102"/>
        <v>DocumentoFornecedorTipoEmissão</v>
      </c>
      <c r="B3257" s="12" t="str">
        <f t="shared" si="101"/>
        <v>Vencto</v>
      </c>
      <c r="C3257" s="7" t="s">
        <v>1020</v>
      </c>
      <c r="D3257" s="7" t="s">
        <v>1342</v>
      </c>
      <c r="E3257" s="7" t="s">
        <v>0</v>
      </c>
      <c r="F3257" s="7" t="s">
        <v>1026</v>
      </c>
      <c r="G3257" s="7" t="s">
        <v>1022</v>
      </c>
      <c r="H3257" s="7" t="s">
        <v>1343</v>
      </c>
      <c r="I3257" s="7" t="s">
        <v>1344</v>
      </c>
      <c r="J3257" s="7" t="s">
        <v>1345</v>
      </c>
      <c r="K3257" s="7" t="s">
        <v>1346</v>
      </c>
      <c r="L3257" s="7" t="s">
        <v>1347</v>
      </c>
      <c r="M3257" s="7" t="s">
        <v>1348</v>
      </c>
    </row>
    <row r="3258" spans="1:13" x14ac:dyDescent="0.25">
      <c r="A3258" s="12" t="str">
        <f t="shared" si="102"/>
        <v>DocumentoFornecedorTipoEmissão</v>
      </c>
      <c r="B3258" s="12" t="str">
        <f t="shared" si="101"/>
        <v>Vencto</v>
      </c>
      <c r="C3258" s="7" t="s">
        <v>1020</v>
      </c>
      <c r="D3258" s="7" t="s">
        <v>1342</v>
      </c>
      <c r="E3258" s="7" t="s">
        <v>0</v>
      </c>
      <c r="F3258" s="7" t="s">
        <v>1026</v>
      </c>
      <c r="G3258" s="7" t="s">
        <v>1022</v>
      </c>
      <c r="H3258" s="7" t="s">
        <v>1343</v>
      </c>
      <c r="I3258" s="7" t="s">
        <v>1344</v>
      </c>
      <c r="J3258" s="7" t="s">
        <v>1345</v>
      </c>
      <c r="K3258" s="7" t="s">
        <v>1346</v>
      </c>
      <c r="L3258" s="7" t="s">
        <v>1347</v>
      </c>
      <c r="M3258" s="7" t="s">
        <v>1348</v>
      </c>
    </row>
    <row r="3259" spans="1:13" x14ac:dyDescent="0.25">
      <c r="A3259" s="12" t="str">
        <f t="shared" si="102"/>
        <v>DocumentoFornecedorTipoEmissão</v>
      </c>
      <c r="B3259" s="12" t="str">
        <f t="shared" si="101"/>
        <v>Vencto</v>
      </c>
      <c r="C3259" s="7" t="s">
        <v>1020</v>
      </c>
      <c r="D3259" s="7" t="s">
        <v>1342</v>
      </c>
      <c r="E3259" s="7" t="s">
        <v>0</v>
      </c>
      <c r="F3259" s="7" t="s">
        <v>1026</v>
      </c>
      <c r="G3259" s="7" t="s">
        <v>1022</v>
      </c>
      <c r="H3259" s="7" t="s">
        <v>1343</v>
      </c>
      <c r="I3259" s="7" t="s">
        <v>1344</v>
      </c>
      <c r="J3259" s="7" t="s">
        <v>1345</v>
      </c>
      <c r="K3259" s="7" t="s">
        <v>1346</v>
      </c>
      <c r="L3259" s="7" t="s">
        <v>1347</v>
      </c>
      <c r="M3259" s="7" t="s">
        <v>1348</v>
      </c>
    </row>
    <row r="3260" spans="1:13" x14ac:dyDescent="0.25">
      <c r="A3260" s="12" t="str">
        <f t="shared" si="102"/>
        <v>DocumentoFornecedorTipoEmissão</v>
      </c>
      <c r="B3260" s="12" t="str">
        <f t="shared" si="101"/>
        <v>Vencto</v>
      </c>
      <c r="C3260" s="7" t="s">
        <v>1020</v>
      </c>
      <c r="D3260" s="7" t="s">
        <v>1342</v>
      </c>
      <c r="E3260" s="7" t="s">
        <v>0</v>
      </c>
      <c r="F3260" s="7" t="s">
        <v>1026</v>
      </c>
      <c r="G3260" s="7" t="s">
        <v>1022</v>
      </c>
      <c r="H3260" s="7" t="s">
        <v>1343</v>
      </c>
      <c r="I3260" s="7" t="s">
        <v>1344</v>
      </c>
      <c r="J3260" s="7" t="s">
        <v>1345</v>
      </c>
      <c r="K3260" s="7" t="s">
        <v>1346</v>
      </c>
      <c r="L3260" s="7" t="s">
        <v>1347</v>
      </c>
      <c r="M3260" s="7" t="s">
        <v>1348</v>
      </c>
    </row>
    <row r="3261" spans="1:13" x14ac:dyDescent="0.25">
      <c r="A3261" s="12" t="str">
        <f t="shared" si="102"/>
        <v>DocumentoFornecedorTipoEmissão</v>
      </c>
      <c r="B3261" s="12" t="str">
        <f t="shared" si="101"/>
        <v>Vencto</v>
      </c>
      <c r="C3261" s="7" t="s">
        <v>1020</v>
      </c>
      <c r="D3261" s="7" t="s">
        <v>1342</v>
      </c>
      <c r="E3261" s="7" t="s">
        <v>0</v>
      </c>
      <c r="F3261" s="7" t="s">
        <v>1026</v>
      </c>
      <c r="G3261" s="7" t="s">
        <v>1022</v>
      </c>
      <c r="H3261" s="7" t="s">
        <v>1343</v>
      </c>
      <c r="I3261" s="7" t="s">
        <v>1344</v>
      </c>
      <c r="J3261" s="7" t="s">
        <v>1345</v>
      </c>
      <c r="K3261" s="7" t="s">
        <v>1346</v>
      </c>
      <c r="L3261" s="7" t="s">
        <v>1347</v>
      </c>
      <c r="M3261" s="7" t="s">
        <v>1348</v>
      </c>
    </row>
    <row r="3262" spans="1:13" x14ac:dyDescent="0.25">
      <c r="A3262" s="12" t="str">
        <f t="shared" si="102"/>
        <v>DocumentoFornecedorTipoEmissão</v>
      </c>
      <c r="B3262" s="12" t="str">
        <f t="shared" si="101"/>
        <v>Vencto</v>
      </c>
      <c r="C3262" s="7" t="s">
        <v>1020</v>
      </c>
      <c r="D3262" s="7" t="s">
        <v>1342</v>
      </c>
      <c r="E3262" s="7" t="s">
        <v>0</v>
      </c>
      <c r="F3262" s="7" t="s">
        <v>1026</v>
      </c>
      <c r="G3262" s="7" t="s">
        <v>1022</v>
      </c>
      <c r="H3262" s="7" t="s">
        <v>1343</v>
      </c>
      <c r="I3262" s="7" t="s">
        <v>1344</v>
      </c>
      <c r="J3262" s="7" t="s">
        <v>1345</v>
      </c>
      <c r="K3262" s="7" t="s">
        <v>1346</v>
      </c>
      <c r="L3262" s="7" t="s">
        <v>1347</v>
      </c>
      <c r="M3262" s="7" t="s">
        <v>1348</v>
      </c>
    </row>
    <row r="3263" spans="1:13" x14ac:dyDescent="0.25">
      <c r="A3263" s="12" t="str">
        <f t="shared" si="102"/>
        <v>DocumentoFornecedorTipoEmissão</v>
      </c>
      <c r="B3263" s="12" t="str">
        <f t="shared" si="101"/>
        <v>Vencto</v>
      </c>
      <c r="C3263" s="7" t="s">
        <v>1020</v>
      </c>
      <c r="D3263" s="7" t="s">
        <v>1342</v>
      </c>
      <c r="E3263" s="7" t="s">
        <v>0</v>
      </c>
      <c r="F3263" s="7" t="s">
        <v>1026</v>
      </c>
      <c r="G3263" s="7" t="s">
        <v>1022</v>
      </c>
      <c r="H3263" s="7" t="s">
        <v>1343</v>
      </c>
      <c r="I3263" s="7" t="s">
        <v>1344</v>
      </c>
      <c r="J3263" s="7" t="s">
        <v>1345</v>
      </c>
      <c r="K3263" s="7" t="s">
        <v>1346</v>
      </c>
      <c r="L3263" s="7" t="s">
        <v>1347</v>
      </c>
      <c r="M3263" s="7" t="s">
        <v>1348</v>
      </c>
    </row>
    <row r="3264" spans="1:13" x14ac:dyDescent="0.25">
      <c r="A3264" s="12" t="str">
        <f t="shared" si="102"/>
        <v>DocumentoFornecedorTipoEmissão</v>
      </c>
      <c r="B3264" s="12" t="str">
        <f t="shared" si="101"/>
        <v>Vencto</v>
      </c>
      <c r="C3264" s="7" t="s">
        <v>1020</v>
      </c>
      <c r="D3264" s="7" t="s">
        <v>1342</v>
      </c>
      <c r="E3264" s="7" t="s">
        <v>0</v>
      </c>
      <c r="F3264" s="7" t="s">
        <v>1026</v>
      </c>
      <c r="G3264" s="7" t="s">
        <v>1022</v>
      </c>
      <c r="H3264" s="7" t="s">
        <v>1343</v>
      </c>
      <c r="I3264" s="7" t="s">
        <v>1344</v>
      </c>
      <c r="J3264" s="7" t="s">
        <v>1345</v>
      </c>
      <c r="K3264" s="7" t="s">
        <v>1346</v>
      </c>
      <c r="L3264" s="7" t="s">
        <v>1347</v>
      </c>
      <c r="M3264" s="7" t="s">
        <v>1348</v>
      </c>
    </row>
    <row r="3265" spans="1:13" x14ac:dyDescent="0.25">
      <c r="A3265" s="12" t="str">
        <f t="shared" si="102"/>
        <v>DocumentoFornecedorTipoEmissão</v>
      </c>
      <c r="B3265" s="12" t="str">
        <f t="shared" si="101"/>
        <v>Vencto</v>
      </c>
      <c r="C3265" s="7" t="s">
        <v>1020</v>
      </c>
      <c r="D3265" s="7" t="s">
        <v>1342</v>
      </c>
      <c r="E3265" s="7" t="s">
        <v>0</v>
      </c>
      <c r="F3265" s="7" t="s">
        <v>1026</v>
      </c>
      <c r="G3265" s="7" t="s">
        <v>1022</v>
      </c>
      <c r="H3265" s="7" t="s">
        <v>1343</v>
      </c>
      <c r="I3265" s="7" t="s">
        <v>1344</v>
      </c>
      <c r="J3265" s="7" t="s">
        <v>1345</v>
      </c>
      <c r="K3265" s="7" t="s">
        <v>1346</v>
      </c>
      <c r="L3265" s="7" t="s">
        <v>1347</v>
      </c>
      <c r="M3265" s="7" t="s">
        <v>1348</v>
      </c>
    </row>
    <row r="3266" spans="1:13" x14ac:dyDescent="0.25">
      <c r="A3266" s="12" t="str">
        <f t="shared" si="102"/>
        <v>DocumentoFornecedorTipoEmissão</v>
      </c>
      <c r="B3266" s="12" t="str">
        <f t="shared" si="101"/>
        <v>Vencto</v>
      </c>
      <c r="C3266" s="7" t="s">
        <v>1020</v>
      </c>
      <c r="D3266" s="7" t="s">
        <v>1342</v>
      </c>
      <c r="E3266" s="7" t="s">
        <v>0</v>
      </c>
      <c r="F3266" s="7" t="s">
        <v>1026</v>
      </c>
      <c r="G3266" s="7" t="s">
        <v>1022</v>
      </c>
      <c r="H3266" s="7" t="s">
        <v>1343</v>
      </c>
      <c r="I3266" s="7" t="s">
        <v>1344</v>
      </c>
      <c r="J3266" s="7" t="s">
        <v>1345</v>
      </c>
      <c r="K3266" s="7" t="s">
        <v>1346</v>
      </c>
      <c r="L3266" s="7" t="s">
        <v>1347</v>
      </c>
      <c r="M3266" s="7" t="s">
        <v>1348</v>
      </c>
    </row>
    <row r="3267" spans="1:13" x14ac:dyDescent="0.25">
      <c r="A3267" s="12" t="str">
        <f t="shared" si="102"/>
        <v>DocumentoFornecedorTipoEmissão</v>
      </c>
      <c r="B3267" s="12" t="str">
        <f t="shared" ref="B3267:B3330" si="103">PROPER(TEXT($H3267,"MMMM"))</f>
        <v>Vencto</v>
      </c>
      <c r="C3267" s="7" t="s">
        <v>1020</v>
      </c>
      <c r="D3267" s="7" t="s">
        <v>1342</v>
      </c>
      <c r="E3267" s="7" t="s">
        <v>0</v>
      </c>
      <c r="F3267" s="7" t="s">
        <v>1026</v>
      </c>
      <c r="G3267" s="7" t="s">
        <v>1022</v>
      </c>
      <c r="H3267" s="7" t="s">
        <v>1343</v>
      </c>
      <c r="I3267" s="7" t="s">
        <v>1344</v>
      </c>
      <c r="J3267" s="7" t="s">
        <v>1345</v>
      </c>
      <c r="K3267" s="7" t="s">
        <v>1346</v>
      </c>
      <c r="L3267" s="7" t="s">
        <v>1347</v>
      </c>
      <c r="M3267" s="7" t="s">
        <v>1348</v>
      </c>
    </row>
    <row r="3268" spans="1:13" x14ac:dyDescent="0.25">
      <c r="A3268" s="12" t="str">
        <f t="shared" si="102"/>
        <v>DocumentoFornecedorTipoEmissão</v>
      </c>
      <c r="B3268" s="12" t="str">
        <f t="shared" si="103"/>
        <v>Vencto</v>
      </c>
      <c r="C3268" s="7" t="s">
        <v>1020</v>
      </c>
      <c r="D3268" s="7" t="s">
        <v>1342</v>
      </c>
      <c r="E3268" s="7" t="s">
        <v>0</v>
      </c>
      <c r="F3268" s="7" t="s">
        <v>1026</v>
      </c>
      <c r="G3268" s="7" t="s">
        <v>1022</v>
      </c>
      <c r="H3268" s="7" t="s">
        <v>1343</v>
      </c>
      <c r="I3268" s="7" t="s">
        <v>1344</v>
      </c>
      <c r="J3268" s="7" t="s">
        <v>1345</v>
      </c>
      <c r="K3268" s="7" t="s">
        <v>1346</v>
      </c>
      <c r="L3268" s="7" t="s">
        <v>1347</v>
      </c>
      <c r="M3268" s="7" t="s">
        <v>1348</v>
      </c>
    </row>
    <row r="3269" spans="1:13" x14ac:dyDescent="0.25">
      <c r="A3269" s="12" t="str">
        <f t="shared" si="102"/>
        <v>DocumentoFornecedorTipoEmissão</v>
      </c>
      <c r="B3269" s="12" t="str">
        <f t="shared" si="103"/>
        <v>Vencto</v>
      </c>
      <c r="C3269" s="7" t="s">
        <v>1020</v>
      </c>
      <c r="D3269" s="7" t="s">
        <v>1342</v>
      </c>
      <c r="E3269" s="7" t="s">
        <v>0</v>
      </c>
      <c r="F3269" s="7" t="s">
        <v>1026</v>
      </c>
      <c r="G3269" s="7" t="s">
        <v>1022</v>
      </c>
      <c r="H3269" s="7" t="s">
        <v>1343</v>
      </c>
      <c r="I3269" s="7" t="s">
        <v>1344</v>
      </c>
      <c r="J3269" s="7" t="s">
        <v>1345</v>
      </c>
      <c r="K3269" s="7" t="s">
        <v>1346</v>
      </c>
      <c r="L3269" s="7" t="s">
        <v>1347</v>
      </c>
      <c r="M3269" s="7" t="s">
        <v>1348</v>
      </c>
    </row>
    <row r="3270" spans="1:13" x14ac:dyDescent="0.25">
      <c r="A3270" s="12" t="str">
        <f t="shared" si="102"/>
        <v>DocumentoFornecedorTipoEmissão</v>
      </c>
      <c r="B3270" s="12" t="str">
        <f t="shared" si="103"/>
        <v>Vencto</v>
      </c>
      <c r="C3270" s="7" t="s">
        <v>1020</v>
      </c>
      <c r="D3270" s="7" t="s">
        <v>1342</v>
      </c>
      <c r="E3270" s="7" t="s">
        <v>0</v>
      </c>
      <c r="F3270" s="7" t="s">
        <v>1026</v>
      </c>
      <c r="G3270" s="7" t="s">
        <v>1022</v>
      </c>
      <c r="H3270" s="7" t="s">
        <v>1343</v>
      </c>
      <c r="I3270" s="7" t="s">
        <v>1344</v>
      </c>
      <c r="J3270" s="7" t="s">
        <v>1345</v>
      </c>
      <c r="K3270" s="7" t="s">
        <v>1346</v>
      </c>
      <c r="L3270" s="7" t="s">
        <v>1347</v>
      </c>
      <c r="M3270" s="7" t="s">
        <v>1348</v>
      </c>
    </row>
    <row r="3271" spans="1:13" x14ac:dyDescent="0.25">
      <c r="A3271" s="12" t="str">
        <f t="shared" si="102"/>
        <v>DocumentoFornecedorTipoEmissão</v>
      </c>
      <c r="B3271" s="12" t="str">
        <f t="shared" si="103"/>
        <v>Vencto</v>
      </c>
      <c r="C3271" s="7" t="s">
        <v>1020</v>
      </c>
      <c r="D3271" s="7" t="s">
        <v>1342</v>
      </c>
      <c r="E3271" s="7" t="s">
        <v>0</v>
      </c>
      <c r="F3271" s="7" t="s">
        <v>1026</v>
      </c>
      <c r="G3271" s="7" t="s">
        <v>1022</v>
      </c>
      <c r="H3271" s="7" t="s">
        <v>1343</v>
      </c>
      <c r="I3271" s="7" t="s">
        <v>1344</v>
      </c>
      <c r="J3271" s="7" t="s">
        <v>1345</v>
      </c>
      <c r="K3271" s="7" t="s">
        <v>1346</v>
      </c>
      <c r="L3271" s="7" t="s">
        <v>1347</v>
      </c>
      <c r="M3271" s="7" t="s">
        <v>1348</v>
      </c>
    </row>
    <row r="3272" spans="1:13" x14ac:dyDescent="0.25">
      <c r="A3272" s="12" t="str">
        <f t="shared" si="102"/>
        <v>DocumentoFornecedorTipoEmissão</v>
      </c>
      <c r="B3272" s="12" t="str">
        <f t="shared" si="103"/>
        <v>Vencto</v>
      </c>
      <c r="C3272" s="7" t="s">
        <v>1020</v>
      </c>
      <c r="D3272" s="7" t="s">
        <v>1342</v>
      </c>
      <c r="E3272" s="7" t="s">
        <v>0</v>
      </c>
      <c r="F3272" s="7" t="s">
        <v>1026</v>
      </c>
      <c r="G3272" s="7" t="s">
        <v>1022</v>
      </c>
      <c r="H3272" s="7" t="s">
        <v>1343</v>
      </c>
      <c r="I3272" s="7" t="s">
        <v>1344</v>
      </c>
      <c r="J3272" s="7" t="s">
        <v>1345</v>
      </c>
      <c r="K3272" s="7" t="s">
        <v>1346</v>
      </c>
      <c r="L3272" s="7" t="s">
        <v>1347</v>
      </c>
      <c r="M3272" s="7" t="s">
        <v>1348</v>
      </c>
    </row>
    <row r="3273" spans="1:13" x14ac:dyDescent="0.25">
      <c r="A3273" s="12" t="str">
        <f t="shared" si="102"/>
        <v>DocumentoFornecedorTipoEmissão</v>
      </c>
      <c r="B3273" s="12" t="str">
        <f t="shared" si="103"/>
        <v>Vencto</v>
      </c>
      <c r="C3273" s="7" t="s">
        <v>1020</v>
      </c>
      <c r="D3273" s="7" t="s">
        <v>1342</v>
      </c>
      <c r="E3273" s="7" t="s">
        <v>0</v>
      </c>
      <c r="F3273" s="7" t="s">
        <v>1026</v>
      </c>
      <c r="G3273" s="7" t="s">
        <v>1022</v>
      </c>
      <c r="H3273" s="7" t="s">
        <v>1343</v>
      </c>
      <c r="I3273" s="7" t="s">
        <v>1344</v>
      </c>
      <c r="J3273" s="7" t="s">
        <v>1345</v>
      </c>
      <c r="K3273" s="7" t="s">
        <v>1346</v>
      </c>
      <c r="L3273" s="7" t="s">
        <v>1347</v>
      </c>
      <c r="M3273" s="7" t="s">
        <v>1348</v>
      </c>
    </row>
    <row r="3274" spans="1:13" x14ac:dyDescent="0.25">
      <c r="A3274" s="12" t="str">
        <f t="shared" si="102"/>
        <v>DocumentoFornecedorTipoEmissão</v>
      </c>
      <c r="B3274" s="12" t="str">
        <f t="shared" si="103"/>
        <v>Vencto</v>
      </c>
      <c r="C3274" s="7" t="s">
        <v>1020</v>
      </c>
      <c r="D3274" s="7" t="s">
        <v>1342</v>
      </c>
      <c r="E3274" s="7" t="s">
        <v>0</v>
      </c>
      <c r="F3274" s="7" t="s">
        <v>1026</v>
      </c>
      <c r="G3274" s="7" t="s">
        <v>1022</v>
      </c>
      <c r="H3274" s="7" t="s">
        <v>1343</v>
      </c>
      <c r="I3274" s="7" t="s">
        <v>1344</v>
      </c>
      <c r="J3274" s="7" t="s">
        <v>1345</v>
      </c>
      <c r="K3274" s="7" t="s">
        <v>1346</v>
      </c>
      <c r="L3274" s="7" t="s">
        <v>1347</v>
      </c>
      <c r="M3274" s="7" t="s">
        <v>1348</v>
      </c>
    </row>
    <row r="3275" spans="1:13" x14ac:dyDescent="0.25">
      <c r="A3275" s="12" t="str">
        <f t="shared" si="102"/>
        <v>DocumentoFornecedorTipoEmissão</v>
      </c>
      <c r="B3275" s="12" t="str">
        <f t="shared" si="103"/>
        <v>Vencto</v>
      </c>
      <c r="C3275" s="7" t="s">
        <v>1020</v>
      </c>
      <c r="D3275" s="7" t="s">
        <v>1342</v>
      </c>
      <c r="E3275" s="7" t="s">
        <v>0</v>
      </c>
      <c r="F3275" s="7" t="s">
        <v>1026</v>
      </c>
      <c r="G3275" s="7" t="s">
        <v>1022</v>
      </c>
      <c r="H3275" s="7" t="s">
        <v>1343</v>
      </c>
      <c r="I3275" s="7" t="s">
        <v>1344</v>
      </c>
      <c r="J3275" s="7" t="s">
        <v>1345</v>
      </c>
      <c r="K3275" s="7" t="s">
        <v>1346</v>
      </c>
      <c r="L3275" s="7" t="s">
        <v>1347</v>
      </c>
      <c r="M3275" s="7" t="s">
        <v>1348</v>
      </c>
    </row>
    <row r="3276" spans="1:13" x14ac:dyDescent="0.25">
      <c r="A3276" s="12" t="str">
        <f t="shared" si="102"/>
        <v>DocumentoFornecedorTipoEmissão</v>
      </c>
      <c r="B3276" s="12" t="str">
        <f t="shared" si="103"/>
        <v>Vencto</v>
      </c>
      <c r="C3276" s="7" t="s">
        <v>1020</v>
      </c>
      <c r="D3276" s="7" t="s">
        <v>1342</v>
      </c>
      <c r="E3276" s="7" t="s">
        <v>0</v>
      </c>
      <c r="F3276" s="7" t="s">
        <v>1026</v>
      </c>
      <c r="G3276" s="7" t="s">
        <v>1022</v>
      </c>
      <c r="H3276" s="7" t="s">
        <v>1343</v>
      </c>
      <c r="I3276" s="7" t="s">
        <v>1344</v>
      </c>
      <c r="J3276" s="7" t="s">
        <v>1345</v>
      </c>
      <c r="K3276" s="7" t="s">
        <v>1346</v>
      </c>
      <c r="L3276" s="7" t="s">
        <v>1347</v>
      </c>
      <c r="M3276" s="7" t="s">
        <v>1348</v>
      </c>
    </row>
    <row r="3277" spans="1:13" x14ac:dyDescent="0.25">
      <c r="A3277" s="12" t="str">
        <f t="shared" si="102"/>
        <v>DocumentoFornecedorTipoEmissão</v>
      </c>
      <c r="B3277" s="12" t="str">
        <f t="shared" si="103"/>
        <v>Vencto</v>
      </c>
      <c r="C3277" s="7" t="s">
        <v>1020</v>
      </c>
      <c r="D3277" s="7" t="s">
        <v>1342</v>
      </c>
      <c r="E3277" s="7" t="s">
        <v>0</v>
      </c>
      <c r="F3277" s="7" t="s">
        <v>1026</v>
      </c>
      <c r="G3277" s="7" t="s">
        <v>1022</v>
      </c>
      <c r="H3277" s="7" t="s">
        <v>1343</v>
      </c>
      <c r="I3277" s="7" t="s">
        <v>1344</v>
      </c>
      <c r="J3277" s="7" t="s">
        <v>1345</v>
      </c>
      <c r="K3277" s="7" t="s">
        <v>1346</v>
      </c>
      <c r="L3277" s="7" t="s">
        <v>1347</v>
      </c>
      <c r="M3277" s="7" t="s">
        <v>1348</v>
      </c>
    </row>
    <row r="3278" spans="1:13" x14ac:dyDescent="0.25">
      <c r="A3278" s="12" t="str">
        <f t="shared" si="102"/>
        <v>DocumentoFornecedorTipoEmissão</v>
      </c>
      <c r="B3278" s="12" t="str">
        <f t="shared" si="103"/>
        <v>Vencto</v>
      </c>
      <c r="C3278" s="7" t="s">
        <v>1020</v>
      </c>
      <c r="D3278" s="7" t="s">
        <v>1342</v>
      </c>
      <c r="E3278" s="7" t="s">
        <v>0</v>
      </c>
      <c r="F3278" s="7" t="s">
        <v>1026</v>
      </c>
      <c r="G3278" s="7" t="s">
        <v>1022</v>
      </c>
      <c r="H3278" s="7" t="s">
        <v>1343</v>
      </c>
      <c r="I3278" s="7" t="s">
        <v>1344</v>
      </c>
      <c r="J3278" s="7" t="s">
        <v>1345</v>
      </c>
      <c r="K3278" s="7" t="s">
        <v>1346</v>
      </c>
      <c r="L3278" s="7" t="s">
        <v>1347</v>
      </c>
      <c r="M3278" s="7" t="s">
        <v>1348</v>
      </c>
    </row>
    <row r="3279" spans="1:13" x14ac:dyDescent="0.25">
      <c r="A3279" s="12" t="str">
        <f t="shared" si="102"/>
        <v>DocumentoFornecedorTipoEmissão</v>
      </c>
      <c r="B3279" s="12" t="str">
        <f t="shared" si="103"/>
        <v>Vencto</v>
      </c>
      <c r="C3279" s="7" t="s">
        <v>1020</v>
      </c>
      <c r="D3279" s="7" t="s">
        <v>1342</v>
      </c>
      <c r="E3279" s="7" t="s">
        <v>0</v>
      </c>
      <c r="F3279" s="7" t="s">
        <v>1026</v>
      </c>
      <c r="G3279" s="7" t="s">
        <v>1022</v>
      </c>
      <c r="H3279" s="7" t="s">
        <v>1343</v>
      </c>
      <c r="I3279" s="7" t="s">
        <v>1344</v>
      </c>
      <c r="J3279" s="7" t="s">
        <v>1345</v>
      </c>
      <c r="K3279" s="7" t="s">
        <v>1346</v>
      </c>
      <c r="L3279" s="7" t="s">
        <v>1347</v>
      </c>
      <c r="M3279" s="7" t="s">
        <v>1348</v>
      </c>
    </row>
    <row r="3280" spans="1:13" x14ac:dyDescent="0.25">
      <c r="A3280" s="12" t="str">
        <f t="shared" si="102"/>
        <v>DocumentoFornecedorTipoEmissão</v>
      </c>
      <c r="B3280" s="12" t="str">
        <f t="shared" si="103"/>
        <v>Vencto</v>
      </c>
      <c r="C3280" s="7" t="s">
        <v>1020</v>
      </c>
      <c r="D3280" s="7" t="s">
        <v>1342</v>
      </c>
      <c r="E3280" s="7" t="s">
        <v>0</v>
      </c>
      <c r="F3280" s="7" t="s">
        <v>1026</v>
      </c>
      <c r="G3280" s="7" t="s">
        <v>1022</v>
      </c>
      <c r="H3280" s="7" t="s">
        <v>1343</v>
      </c>
      <c r="I3280" s="7" t="s">
        <v>1344</v>
      </c>
      <c r="J3280" s="7" t="s">
        <v>1345</v>
      </c>
      <c r="K3280" s="7" t="s">
        <v>1346</v>
      </c>
      <c r="L3280" s="7" t="s">
        <v>1347</v>
      </c>
      <c r="M3280" s="7" t="s">
        <v>1348</v>
      </c>
    </row>
    <row r="3281" spans="1:13" x14ac:dyDescent="0.25">
      <c r="A3281" s="12" t="str">
        <f t="shared" si="102"/>
        <v>DocumentoFornecedorTipoEmissão</v>
      </c>
      <c r="B3281" s="12" t="str">
        <f t="shared" si="103"/>
        <v>Vencto</v>
      </c>
      <c r="C3281" s="7" t="s">
        <v>1020</v>
      </c>
      <c r="D3281" s="7" t="s">
        <v>1342</v>
      </c>
      <c r="E3281" s="7" t="s">
        <v>0</v>
      </c>
      <c r="F3281" s="7" t="s">
        <v>1026</v>
      </c>
      <c r="G3281" s="7" t="s">
        <v>1022</v>
      </c>
      <c r="H3281" s="7" t="s">
        <v>1343</v>
      </c>
      <c r="I3281" s="7" t="s">
        <v>1344</v>
      </c>
      <c r="J3281" s="7" t="s">
        <v>1345</v>
      </c>
      <c r="K3281" s="7" t="s">
        <v>1346</v>
      </c>
      <c r="L3281" s="7" t="s">
        <v>1347</v>
      </c>
      <c r="M3281" s="7" t="s">
        <v>1348</v>
      </c>
    </row>
    <row r="3282" spans="1:13" x14ac:dyDescent="0.25">
      <c r="A3282" s="12" t="str">
        <f t="shared" si="102"/>
        <v>DocumentoFornecedorTipoEmissão</v>
      </c>
      <c r="B3282" s="12" t="str">
        <f t="shared" si="103"/>
        <v>Vencto</v>
      </c>
      <c r="C3282" s="7" t="s">
        <v>1020</v>
      </c>
      <c r="D3282" s="7" t="s">
        <v>1342</v>
      </c>
      <c r="E3282" s="7" t="s">
        <v>0</v>
      </c>
      <c r="F3282" s="7" t="s">
        <v>1026</v>
      </c>
      <c r="G3282" s="7" t="s">
        <v>1022</v>
      </c>
      <c r="H3282" s="7" t="s">
        <v>1343</v>
      </c>
      <c r="I3282" s="7" t="s">
        <v>1344</v>
      </c>
      <c r="J3282" s="7" t="s">
        <v>1345</v>
      </c>
      <c r="K3282" s="7" t="s">
        <v>1346</v>
      </c>
      <c r="L3282" s="7" t="s">
        <v>1347</v>
      </c>
      <c r="M3282" s="7" t="s">
        <v>1348</v>
      </c>
    </row>
    <row r="3283" spans="1:13" x14ac:dyDescent="0.25">
      <c r="A3283" s="12" t="str">
        <f t="shared" si="102"/>
        <v>E200008555MUNICIPIO DE SAO JOAO DEL REImul46178</v>
      </c>
      <c r="B3283" s="12" t="str">
        <f t="shared" si="103"/>
        <v>Julho</v>
      </c>
      <c r="C3283" s="8" t="s">
        <v>2616</v>
      </c>
      <c r="D3283" s="8" t="s">
        <v>1491</v>
      </c>
      <c r="E3283" s="8" t="s">
        <v>1654</v>
      </c>
      <c r="F3283" s="23">
        <v>46178</v>
      </c>
      <c r="G3283" s="8" t="s">
        <v>1493</v>
      </c>
      <c r="H3283" s="23">
        <v>46212</v>
      </c>
      <c r="I3283" s="23">
        <v>46178</v>
      </c>
      <c r="J3283" s="10">
        <v>390.46</v>
      </c>
      <c r="K3283" s="10">
        <v>156.18</v>
      </c>
      <c r="L3283" s="24">
        <v>0</v>
      </c>
      <c r="M3283" s="10">
        <v>234.28</v>
      </c>
    </row>
    <row r="3284" spans="1:13" x14ac:dyDescent="0.25">
      <c r="A3284" s="12" t="str">
        <f t="shared" si="102"/>
        <v>E-CON12/25MGCAIXA ECONÔMICA FEDERALIM46030,3979166667</v>
      </c>
      <c r="B3284" s="12" t="str">
        <f t="shared" si="103"/>
        <v>Janeiro</v>
      </c>
      <c r="C3284" s="8" t="s">
        <v>1499</v>
      </c>
      <c r="D3284" s="8" t="s">
        <v>664</v>
      </c>
      <c r="E3284" s="8" t="s">
        <v>1484</v>
      </c>
      <c r="F3284" s="23">
        <v>46030.397916666669</v>
      </c>
      <c r="G3284" s="8" t="s">
        <v>1142</v>
      </c>
      <c r="H3284" s="23">
        <v>46042</v>
      </c>
      <c r="I3284" s="23">
        <v>46030.397916666669</v>
      </c>
      <c r="J3284" s="10">
        <v>13407.86</v>
      </c>
      <c r="K3284" s="10">
        <v>0</v>
      </c>
      <c r="L3284" s="24">
        <v>0</v>
      </c>
      <c r="M3284" s="10">
        <v>13407.86</v>
      </c>
    </row>
    <row r="3285" spans="1:13" x14ac:dyDescent="0.25">
      <c r="A3285" s="12" t="str">
        <f t="shared" si="102"/>
        <v>FER1780HORIZONTE EXPRESS TRANSPORTES LTDAFOL46027</v>
      </c>
      <c r="B3285" s="12" t="str">
        <f t="shared" si="103"/>
        <v>Janeiro</v>
      </c>
      <c r="C3285" s="8" t="s">
        <v>1368</v>
      </c>
      <c r="D3285" s="8" t="s">
        <v>1369</v>
      </c>
      <c r="E3285" s="8" t="s">
        <v>1350</v>
      </c>
      <c r="F3285" s="23">
        <v>46027</v>
      </c>
      <c r="G3285" s="8" t="s">
        <v>1037</v>
      </c>
      <c r="H3285" s="23">
        <v>46027</v>
      </c>
      <c r="I3285" s="23">
        <v>46027</v>
      </c>
      <c r="J3285" s="10">
        <v>11633</v>
      </c>
      <c r="K3285" s="10">
        <v>0</v>
      </c>
      <c r="L3285" s="24">
        <v>0</v>
      </c>
      <c r="M3285" s="10">
        <v>11633</v>
      </c>
    </row>
    <row r="3286" spans="1:13" x14ac:dyDescent="0.25">
      <c r="A3286" s="12" t="str">
        <f t="shared" si="102"/>
        <v>FER1802HORIZONTE EXPRESS TRANSPORTES LTDAFOL46059</v>
      </c>
      <c r="B3286" s="12" t="str">
        <f t="shared" si="103"/>
        <v>Fevereiro</v>
      </c>
      <c r="C3286" s="8" t="s">
        <v>1683</v>
      </c>
      <c r="D3286" s="8" t="s">
        <v>1369</v>
      </c>
      <c r="E3286" s="8" t="s">
        <v>1350</v>
      </c>
      <c r="F3286" s="23">
        <v>46059</v>
      </c>
      <c r="G3286" s="8" t="s">
        <v>1037</v>
      </c>
      <c r="H3286" s="23">
        <v>46059</v>
      </c>
      <c r="I3286" s="23">
        <v>46059</v>
      </c>
      <c r="J3286" s="10">
        <v>14634</v>
      </c>
      <c r="K3286" s="10">
        <v>0</v>
      </c>
      <c r="L3286" s="24">
        <v>0</v>
      </c>
      <c r="M3286" s="10">
        <v>14634</v>
      </c>
    </row>
    <row r="3287" spans="1:13" x14ac:dyDescent="0.25">
      <c r="A3287" s="12" t="str">
        <f t="shared" si="102"/>
        <v>FER1827HORIZONTE EXPRESS TRANSPORTES LTDAFOL46086</v>
      </c>
      <c r="B3287" s="12" t="str">
        <f t="shared" si="103"/>
        <v>Março</v>
      </c>
      <c r="C3287" s="8" t="s">
        <v>1962</v>
      </c>
      <c r="D3287" s="8" t="s">
        <v>1369</v>
      </c>
      <c r="E3287" s="8" t="s">
        <v>1350</v>
      </c>
      <c r="F3287" s="23">
        <v>46086</v>
      </c>
      <c r="G3287" s="8" t="s">
        <v>1037</v>
      </c>
      <c r="H3287" s="23">
        <v>46086</v>
      </c>
      <c r="I3287" s="23">
        <v>46086</v>
      </c>
      <c r="J3287" s="10">
        <v>3786</v>
      </c>
      <c r="K3287" s="10">
        <v>0</v>
      </c>
      <c r="L3287" s="24">
        <v>0</v>
      </c>
      <c r="M3287" s="10">
        <v>3786</v>
      </c>
    </row>
    <row r="3288" spans="1:13" x14ac:dyDescent="0.25">
      <c r="A3288" s="12" t="str">
        <f t="shared" si="102"/>
        <v>FER1843HORIZONTE EXPRESS TRANSPORTES LTDAFOL46118</v>
      </c>
      <c r="B3288" s="12" t="str">
        <f t="shared" si="103"/>
        <v>Abril</v>
      </c>
      <c r="C3288" s="8" t="s">
        <v>2155</v>
      </c>
      <c r="D3288" s="8" t="s">
        <v>1369</v>
      </c>
      <c r="E3288" s="8" t="s">
        <v>1350</v>
      </c>
      <c r="F3288" s="23">
        <v>46118</v>
      </c>
      <c r="G3288" s="8" t="s">
        <v>1037</v>
      </c>
      <c r="H3288" s="23">
        <v>46118</v>
      </c>
      <c r="I3288" s="23">
        <v>46118</v>
      </c>
      <c r="J3288" s="10">
        <v>16133</v>
      </c>
      <c r="K3288" s="10">
        <v>0</v>
      </c>
      <c r="L3288" s="24">
        <v>0</v>
      </c>
      <c r="M3288" s="10">
        <v>16133</v>
      </c>
    </row>
    <row r="3289" spans="1:13" x14ac:dyDescent="0.25">
      <c r="A3289" s="12" t="str">
        <f t="shared" si="102"/>
        <v>FER1869HORIZONTE EXPRESS TRANSPORTES LTDAFOL46146</v>
      </c>
      <c r="B3289" s="12" t="str">
        <f t="shared" si="103"/>
        <v>Maio</v>
      </c>
      <c r="C3289" s="8" t="s">
        <v>2336</v>
      </c>
      <c r="D3289" s="8" t="s">
        <v>1369</v>
      </c>
      <c r="E3289" s="8" t="s">
        <v>1350</v>
      </c>
      <c r="F3289" s="23">
        <v>46146</v>
      </c>
      <c r="G3289" s="8" t="s">
        <v>1037</v>
      </c>
      <c r="H3289" s="23">
        <v>46146</v>
      </c>
      <c r="I3289" s="23">
        <v>46146</v>
      </c>
      <c r="J3289" s="10">
        <v>19292</v>
      </c>
      <c r="K3289" s="10">
        <v>0</v>
      </c>
      <c r="L3289" s="24">
        <v>0</v>
      </c>
      <c r="M3289" s="10">
        <v>19292</v>
      </c>
    </row>
    <row r="3290" spans="1:13" x14ac:dyDescent="0.25">
      <c r="A3290" s="12" t="str">
        <f t="shared" si="102"/>
        <v>FER1898HORIZONTE EXPRESS TRANSPORTES LTDAFOL46178</v>
      </c>
      <c r="B3290" s="12" t="str">
        <f t="shared" si="103"/>
        <v>Junho</v>
      </c>
      <c r="C3290" s="8" t="s">
        <v>2536</v>
      </c>
      <c r="D3290" s="8" t="s">
        <v>1369</v>
      </c>
      <c r="E3290" s="8" t="s">
        <v>1350</v>
      </c>
      <c r="F3290" s="23">
        <v>46178</v>
      </c>
      <c r="G3290" s="8" t="s">
        <v>1037</v>
      </c>
      <c r="H3290" s="23">
        <v>46178</v>
      </c>
      <c r="I3290" s="23">
        <v>46178</v>
      </c>
      <c r="J3290" s="10">
        <v>17849</v>
      </c>
      <c r="K3290" s="10">
        <v>0</v>
      </c>
      <c r="L3290" s="24">
        <v>0</v>
      </c>
      <c r="M3290" s="10">
        <v>17849</v>
      </c>
    </row>
    <row r="3291" spans="1:13" x14ac:dyDescent="0.25">
      <c r="A3291" s="12" t="str">
        <f t="shared" ref="A3291:A3354" si="104">$C3291&amp;$E3291&amp;$G3291&amp;$F3291</f>
        <v>FER1925HORIZONTE EXPRESS TRANSPORTES LTDAFOL46209</v>
      </c>
      <c r="B3291" s="12" t="str">
        <f t="shared" si="103"/>
        <v>Julho</v>
      </c>
      <c r="C3291" s="8" t="s">
        <v>2710</v>
      </c>
      <c r="D3291" s="8" t="s">
        <v>1369</v>
      </c>
      <c r="E3291" s="8" t="s">
        <v>1350</v>
      </c>
      <c r="F3291" s="23">
        <v>46209</v>
      </c>
      <c r="G3291" s="8" t="s">
        <v>1037</v>
      </c>
      <c r="H3291" s="23">
        <v>46209</v>
      </c>
      <c r="I3291" s="23">
        <v>46209</v>
      </c>
      <c r="J3291" s="10">
        <v>18056</v>
      </c>
      <c r="K3291" s="10">
        <v>0</v>
      </c>
      <c r="L3291" s="24">
        <v>0</v>
      </c>
      <c r="M3291" s="10">
        <v>18056</v>
      </c>
    </row>
    <row r="3292" spans="1:13" x14ac:dyDescent="0.25">
      <c r="A3292" s="12" t="str">
        <f t="shared" si="104"/>
        <v>FER1950HORIZONTE EXPRESS TRANSPORTES LTDAFOL46241</v>
      </c>
      <c r="B3292" s="12" t="str">
        <f t="shared" si="103"/>
        <v>Agosto</v>
      </c>
      <c r="C3292" s="8" t="s">
        <v>2925</v>
      </c>
      <c r="D3292" s="8" t="s">
        <v>1369</v>
      </c>
      <c r="E3292" s="8" t="s">
        <v>1350</v>
      </c>
      <c r="F3292" s="23">
        <v>46241</v>
      </c>
      <c r="G3292" s="8" t="s">
        <v>1037</v>
      </c>
      <c r="H3292" s="23">
        <v>46241</v>
      </c>
      <c r="I3292" s="23">
        <v>46241</v>
      </c>
      <c r="J3292" s="10">
        <v>12478</v>
      </c>
      <c r="K3292" s="10">
        <v>0</v>
      </c>
      <c r="L3292" s="24">
        <v>0</v>
      </c>
      <c r="M3292" s="10">
        <v>12478</v>
      </c>
    </row>
    <row r="3293" spans="1:13" x14ac:dyDescent="0.25">
      <c r="A3293" s="12" t="str">
        <f t="shared" si="104"/>
        <v>FER1981HORIZONTE EXPRESS TRANSPORTES LTDAFOL46269</v>
      </c>
      <c r="B3293" s="12" t="str">
        <f t="shared" si="103"/>
        <v>Setembro</v>
      </c>
      <c r="C3293" s="8" t="s">
        <v>3054</v>
      </c>
      <c r="D3293" s="8" t="s">
        <v>1369</v>
      </c>
      <c r="E3293" s="8" t="s">
        <v>1350</v>
      </c>
      <c r="F3293" s="23">
        <v>46269</v>
      </c>
      <c r="G3293" s="8" t="s">
        <v>1037</v>
      </c>
      <c r="H3293" s="23">
        <v>46269</v>
      </c>
      <c r="I3293" s="23">
        <v>46269</v>
      </c>
      <c r="J3293" s="10">
        <v>18576</v>
      </c>
      <c r="K3293" s="10">
        <v>0</v>
      </c>
      <c r="L3293" s="24">
        <v>0</v>
      </c>
      <c r="M3293" s="10">
        <v>18576</v>
      </c>
    </row>
    <row r="3294" spans="1:13" x14ac:dyDescent="0.25">
      <c r="A3294" s="12" t="str">
        <f t="shared" si="104"/>
        <v>FER2001HORIZONTE EXPRESS TRANSPORTES LTDAFOL46300</v>
      </c>
      <c r="B3294" s="12" t="str">
        <f t="shared" si="103"/>
        <v>Outubro</v>
      </c>
      <c r="C3294" s="8" t="s">
        <v>3194</v>
      </c>
      <c r="D3294" s="8" t="s">
        <v>1369</v>
      </c>
      <c r="E3294" s="8" t="s">
        <v>1350</v>
      </c>
      <c r="F3294" s="23">
        <v>46300</v>
      </c>
      <c r="G3294" s="8" t="s">
        <v>1037</v>
      </c>
      <c r="H3294" s="23">
        <v>46300</v>
      </c>
      <c r="I3294" s="23">
        <v>46300</v>
      </c>
      <c r="J3294" s="10">
        <v>22917</v>
      </c>
      <c r="K3294" s="10">
        <v>0</v>
      </c>
      <c r="L3294" s="24">
        <v>0</v>
      </c>
      <c r="M3294" s="10">
        <v>22917</v>
      </c>
    </row>
    <row r="3295" spans="1:13" x14ac:dyDescent="0.25">
      <c r="A3295" s="12" t="str">
        <f t="shared" si="104"/>
        <v>FGT012026SCMGCAIXA ECONÔMICA FEDERALIM46072</v>
      </c>
      <c r="B3295" s="12" t="str">
        <f t="shared" si="103"/>
        <v>Fevereiro</v>
      </c>
      <c r="C3295" s="8" t="s">
        <v>1888</v>
      </c>
      <c r="D3295" s="8" t="s">
        <v>664</v>
      </c>
      <c r="E3295" s="8" t="s">
        <v>1484</v>
      </c>
      <c r="F3295" s="23">
        <v>46072</v>
      </c>
      <c r="G3295" s="8" t="s">
        <v>1142</v>
      </c>
      <c r="H3295" s="23">
        <v>46073</v>
      </c>
      <c r="I3295" s="23">
        <v>46073</v>
      </c>
      <c r="J3295" s="10">
        <v>46114.17</v>
      </c>
      <c r="K3295" s="10">
        <v>0</v>
      </c>
      <c r="L3295" s="24">
        <v>0</v>
      </c>
      <c r="M3295" s="10">
        <v>46114.17</v>
      </c>
    </row>
    <row r="3296" spans="1:13" x14ac:dyDescent="0.25">
      <c r="A3296" s="12" t="str">
        <f t="shared" si="104"/>
        <v>FGT032026SCMGCAIXA ECONÔMICA FEDERALIM46127</v>
      </c>
      <c r="B3296" s="12" t="str">
        <f t="shared" si="103"/>
        <v>Abril</v>
      </c>
      <c r="C3296" s="8" t="s">
        <v>2284</v>
      </c>
      <c r="D3296" s="8" t="s">
        <v>664</v>
      </c>
      <c r="E3296" s="8" t="s">
        <v>1484</v>
      </c>
      <c r="F3296" s="23">
        <v>46127</v>
      </c>
      <c r="G3296" s="8" t="s">
        <v>1142</v>
      </c>
      <c r="H3296" s="23">
        <v>46132</v>
      </c>
      <c r="I3296" s="23">
        <v>46132</v>
      </c>
      <c r="J3296" s="10">
        <v>51906.400000000001</v>
      </c>
      <c r="K3296" s="10">
        <v>0</v>
      </c>
      <c r="L3296" s="24">
        <v>0</v>
      </c>
      <c r="M3296" s="10">
        <v>51906.400000000001</v>
      </c>
    </row>
    <row r="3297" spans="1:13" x14ac:dyDescent="0.25">
      <c r="A3297" s="12" t="str">
        <f t="shared" si="104"/>
        <v>FGT042026SCMGCAIXA ECONÔMICA FEDERALIM46157</v>
      </c>
      <c r="B3297" s="12" t="str">
        <f t="shared" si="103"/>
        <v>Maio</v>
      </c>
      <c r="C3297" s="8" t="s">
        <v>2476</v>
      </c>
      <c r="D3297" s="8" t="s">
        <v>664</v>
      </c>
      <c r="E3297" s="8" t="s">
        <v>1484</v>
      </c>
      <c r="F3297" s="23">
        <v>46157</v>
      </c>
      <c r="G3297" s="8" t="s">
        <v>1142</v>
      </c>
      <c r="H3297" s="23">
        <v>46162</v>
      </c>
      <c r="I3297" s="23">
        <v>46162</v>
      </c>
      <c r="J3297" s="10">
        <v>57600.05</v>
      </c>
      <c r="K3297" s="10">
        <v>0</v>
      </c>
      <c r="L3297" s="24">
        <v>0</v>
      </c>
      <c r="M3297" s="10">
        <v>57600.05</v>
      </c>
    </row>
    <row r="3298" spans="1:13" x14ac:dyDescent="0.25">
      <c r="A3298" s="12" t="str">
        <f t="shared" si="104"/>
        <v>FGT052026SCMGCAIXA ECONÔMICA FEDERALIM46188</v>
      </c>
      <c r="B3298" s="12" t="str">
        <f t="shared" si="103"/>
        <v>Junho</v>
      </c>
      <c r="C3298" s="8" t="s">
        <v>2663</v>
      </c>
      <c r="D3298" s="8" t="s">
        <v>664</v>
      </c>
      <c r="E3298" s="8" t="s">
        <v>1484</v>
      </c>
      <c r="F3298" s="23">
        <v>46188</v>
      </c>
      <c r="G3298" s="8" t="s">
        <v>1142</v>
      </c>
      <c r="H3298" s="23">
        <v>46192</v>
      </c>
      <c r="I3298" s="23">
        <v>46192</v>
      </c>
      <c r="J3298" s="10">
        <v>57976.17</v>
      </c>
      <c r="K3298" s="10">
        <v>0</v>
      </c>
      <c r="L3298" s="24">
        <v>0</v>
      </c>
      <c r="M3298" s="10">
        <v>57976.17</v>
      </c>
    </row>
    <row r="3299" spans="1:13" x14ac:dyDescent="0.25">
      <c r="A3299" s="12" t="str">
        <f t="shared" si="104"/>
        <v>FGT062026SCMGCAIXA ECONÔMICA FEDERALIM46218</v>
      </c>
      <c r="B3299" s="12" t="str">
        <f t="shared" si="103"/>
        <v>Julho</v>
      </c>
      <c r="C3299" s="8" t="s">
        <v>2824</v>
      </c>
      <c r="D3299" s="8" t="s">
        <v>664</v>
      </c>
      <c r="E3299" s="8" t="s">
        <v>1484</v>
      </c>
      <c r="F3299" s="23">
        <v>46218</v>
      </c>
      <c r="G3299" s="8" t="s">
        <v>1142</v>
      </c>
      <c r="H3299" s="23">
        <v>46223</v>
      </c>
      <c r="I3299" s="23">
        <v>46223</v>
      </c>
      <c r="J3299" s="10">
        <v>61497.98</v>
      </c>
      <c r="K3299" s="10">
        <v>0</v>
      </c>
      <c r="L3299" s="24">
        <v>0</v>
      </c>
      <c r="M3299" s="10">
        <v>61497.98</v>
      </c>
    </row>
    <row r="3300" spans="1:13" x14ac:dyDescent="0.25">
      <c r="A3300" s="12" t="str">
        <f t="shared" si="104"/>
        <v>FGT072026SCMGCAIXA ECONÔMICA FEDERALIM46248</v>
      </c>
      <c r="B3300" s="12" t="str">
        <f t="shared" si="103"/>
        <v>Agosto</v>
      </c>
      <c r="C3300" s="8" t="s">
        <v>2995</v>
      </c>
      <c r="D3300" s="8" t="s">
        <v>664</v>
      </c>
      <c r="E3300" s="8" t="s">
        <v>1484</v>
      </c>
      <c r="F3300" s="23">
        <v>46248</v>
      </c>
      <c r="G3300" s="8" t="s">
        <v>1142</v>
      </c>
      <c r="H3300" s="23">
        <v>46254</v>
      </c>
      <c r="I3300" s="23">
        <v>46254</v>
      </c>
      <c r="J3300" s="10">
        <v>62403.92</v>
      </c>
      <c r="K3300" s="10">
        <v>0</v>
      </c>
      <c r="L3300" s="24">
        <v>0</v>
      </c>
      <c r="M3300" s="10">
        <v>62403.92</v>
      </c>
    </row>
    <row r="3301" spans="1:13" x14ac:dyDescent="0.25">
      <c r="A3301" s="12" t="str">
        <f t="shared" si="104"/>
        <v>FGT082026SCMGCAIXA ECONÔMICA FEDERALIM46281</v>
      </c>
      <c r="B3301" s="12" t="str">
        <f t="shared" si="103"/>
        <v>Setembro</v>
      </c>
      <c r="C3301" s="8" t="s">
        <v>3143</v>
      </c>
      <c r="D3301" s="8" t="s">
        <v>664</v>
      </c>
      <c r="E3301" s="8" t="s">
        <v>1484</v>
      </c>
      <c r="F3301" s="23">
        <v>46281</v>
      </c>
      <c r="G3301" s="8" t="s">
        <v>1142</v>
      </c>
      <c r="H3301" s="23">
        <v>46283</v>
      </c>
      <c r="I3301" s="23">
        <v>46283</v>
      </c>
      <c r="J3301" s="10">
        <v>64066.71</v>
      </c>
      <c r="K3301" s="10">
        <v>0</v>
      </c>
      <c r="L3301" s="24">
        <v>0</v>
      </c>
      <c r="M3301" s="10">
        <v>64066.71</v>
      </c>
    </row>
    <row r="3302" spans="1:13" x14ac:dyDescent="0.25">
      <c r="A3302" s="12" t="str">
        <f t="shared" si="104"/>
        <v>FGT122025SCMGCAIXA ECONÔMICA FEDERALIM46038</v>
      </c>
      <c r="B3302" s="12" t="str">
        <f t="shared" si="103"/>
        <v>Janeiro</v>
      </c>
      <c r="C3302" s="8" t="s">
        <v>1600</v>
      </c>
      <c r="D3302" s="8" t="s">
        <v>664</v>
      </c>
      <c r="E3302" s="8" t="s">
        <v>1484</v>
      </c>
      <c r="F3302" s="23">
        <v>46038</v>
      </c>
      <c r="G3302" s="8" t="s">
        <v>1142</v>
      </c>
      <c r="H3302" s="23">
        <v>46042</v>
      </c>
      <c r="I3302" s="23">
        <v>46038</v>
      </c>
      <c r="J3302" s="10">
        <v>56502.06</v>
      </c>
      <c r="K3302" s="10">
        <v>0</v>
      </c>
      <c r="L3302" s="24">
        <v>0</v>
      </c>
      <c r="M3302" s="10">
        <v>56502.06</v>
      </c>
    </row>
    <row r="3303" spans="1:13" x14ac:dyDescent="0.25">
      <c r="A3303" s="12" t="str">
        <f t="shared" si="104"/>
        <v>FGT1611CAIXA ECONÔMICA FEDERALFOL46022</v>
      </c>
      <c r="B3303" s="12" t="str">
        <f t="shared" si="103"/>
        <v>Janeiro</v>
      </c>
      <c r="C3303" s="8" t="s">
        <v>1500</v>
      </c>
      <c r="D3303" s="8" t="s">
        <v>1369</v>
      </c>
      <c r="E3303" s="8" t="s">
        <v>1484</v>
      </c>
      <c r="F3303" s="23">
        <v>46022</v>
      </c>
      <c r="G3303" s="8" t="s">
        <v>1037</v>
      </c>
      <c r="H3303" s="23">
        <v>46042</v>
      </c>
      <c r="I3303" s="23">
        <v>46038</v>
      </c>
      <c r="J3303" s="10">
        <v>32135.439999999999</v>
      </c>
      <c r="K3303" s="10">
        <v>0</v>
      </c>
      <c r="L3303" s="24">
        <v>0</v>
      </c>
      <c r="M3303" s="10">
        <v>32135.439999999999</v>
      </c>
    </row>
    <row r="3304" spans="1:13" x14ac:dyDescent="0.25">
      <c r="A3304" s="12" t="str">
        <f t="shared" si="104"/>
        <v>FGT1612CAIXA ECONÔMICA FEDERALFOL46022</v>
      </c>
      <c r="B3304" s="12" t="str">
        <f t="shared" si="103"/>
        <v>Janeiro</v>
      </c>
      <c r="C3304" s="8" t="s">
        <v>1501</v>
      </c>
      <c r="D3304" s="8" t="s">
        <v>1369</v>
      </c>
      <c r="E3304" s="8" t="s">
        <v>1484</v>
      </c>
      <c r="F3304" s="23">
        <v>46022</v>
      </c>
      <c r="G3304" s="8" t="s">
        <v>1037</v>
      </c>
      <c r="H3304" s="23">
        <v>46042</v>
      </c>
      <c r="I3304" s="23">
        <v>46038</v>
      </c>
      <c r="J3304" s="10">
        <v>10958.76</v>
      </c>
      <c r="K3304" s="10">
        <v>0</v>
      </c>
      <c r="L3304" s="24">
        <v>0</v>
      </c>
      <c r="M3304" s="10">
        <v>10958.76</v>
      </c>
    </row>
    <row r="3305" spans="1:13" x14ac:dyDescent="0.25">
      <c r="A3305" s="12" t="str">
        <f t="shared" si="104"/>
        <v>FGT1641CAIXA ECONÔMICA FEDERALFOL46053</v>
      </c>
      <c r="B3305" s="12" t="str">
        <f t="shared" si="103"/>
        <v>Fevereiro</v>
      </c>
      <c r="C3305" s="8" t="s">
        <v>1889</v>
      </c>
      <c r="D3305" s="8" t="s">
        <v>1369</v>
      </c>
      <c r="E3305" s="8" t="s">
        <v>1484</v>
      </c>
      <c r="F3305" s="23">
        <v>46053</v>
      </c>
      <c r="G3305" s="8" t="s">
        <v>1037</v>
      </c>
      <c r="H3305" s="23">
        <v>46073</v>
      </c>
      <c r="I3305" s="23">
        <v>46072</v>
      </c>
      <c r="J3305" s="10">
        <v>28962.83</v>
      </c>
      <c r="K3305" s="10">
        <v>0</v>
      </c>
      <c r="L3305" s="24">
        <v>0</v>
      </c>
      <c r="M3305" s="10">
        <v>28962.83</v>
      </c>
    </row>
    <row r="3306" spans="1:13" x14ac:dyDescent="0.25">
      <c r="A3306" s="12" t="str">
        <f t="shared" si="104"/>
        <v>FGT1657CAIXA ECONÔMICA FEDERALFOL46082</v>
      </c>
      <c r="B3306" s="12" t="str">
        <f t="shared" si="103"/>
        <v>Março</v>
      </c>
      <c r="C3306" s="8" t="s">
        <v>1935</v>
      </c>
      <c r="D3306" s="8" t="s">
        <v>1369</v>
      </c>
      <c r="E3306" s="8" t="s">
        <v>1484</v>
      </c>
      <c r="F3306" s="23">
        <v>46082</v>
      </c>
      <c r="G3306" s="8" t="s">
        <v>1037</v>
      </c>
      <c r="H3306" s="23">
        <v>46101</v>
      </c>
      <c r="I3306" s="23">
        <v>46082</v>
      </c>
      <c r="J3306" s="10">
        <v>19035.57</v>
      </c>
      <c r="K3306" s="10">
        <v>0</v>
      </c>
      <c r="L3306" s="24">
        <v>0</v>
      </c>
      <c r="M3306" s="10">
        <v>19035.57</v>
      </c>
    </row>
    <row r="3307" spans="1:13" x14ac:dyDescent="0.25">
      <c r="A3307" s="12" t="str">
        <f t="shared" si="104"/>
        <v>FGT1697CAIXA ECONÔMICA FEDERALFOL46082</v>
      </c>
      <c r="B3307" s="12" t="str">
        <f t="shared" si="103"/>
        <v>Março</v>
      </c>
      <c r="C3307" s="8" t="s">
        <v>1936</v>
      </c>
      <c r="D3307" s="8" t="s">
        <v>1369</v>
      </c>
      <c r="E3307" s="8" t="s">
        <v>1484</v>
      </c>
      <c r="F3307" s="23">
        <v>46082</v>
      </c>
      <c r="G3307" s="8" t="s">
        <v>1037</v>
      </c>
      <c r="H3307" s="23">
        <v>46101</v>
      </c>
      <c r="I3307" s="23">
        <v>46082</v>
      </c>
      <c r="J3307" s="10">
        <v>28320.44</v>
      </c>
      <c r="K3307" s="10">
        <v>0</v>
      </c>
      <c r="L3307" s="24">
        <v>0</v>
      </c>
      <c r="M3307" s="10">
        <v>28320.44</v>
      </c>
    </row>
    <row r="3308" spans="1:13" x14ac:dyDescent="0.25">
      <c r="A3308" s="12" t="str">
        <f t="shared" si="104"/>
        <v>FGT1736CAIXA ECONÔMICA FEDERALFOL46112</v>
      </c>
      <c r="B3308" s="12" t="str">
        <f t="shared" si="103"/>
        <v>Abril</v>
      </c>
      <c r="C3308" s="8" t="s">
        <v>2285</v>
      </c>
      <c r="D3308" s="8" t="s">
        <v>1369</v>
      </c>
      <c r="E3308" s="8" t="s">
        <v>1484</v>
      </c>
      <c r="F3308" s="23">
        <v>46112</v>
      </c>
      <c r="G3308" s="8" t="s">
        <v>1037</v>
      </c>
      <c r="H3308" s="23">
        <v>46132</v>
      </c>
      <c r="I3308" s="23">
        <v>46127</v>
      </c>
      <c r="J3308" s="10">
        <v>27982.42</v>
      </c>
      <c r="K3308" s="10">
        <v>0</v>
      </c>
      <c r="L3308" s="24">
        <v>0</v>
      </c>
      <c r="M3308" s="10">
        <v>27982.42</v>
      </c>
    </row>
    <row r="3309" spans="1:13" x14ac:dyDescent="0.25">
      <c r="A3309" s="12" t="str">
        <f t="shared" si="104"/>
        <v>FGT1740CAIXA ECONÔMICA FEDERALFOL46132</v>
      </c>
      <c r="B3309" s="12" t="str">
        <f t="shared" si="103"/>
        <v>Abril</v>
      </c>
      <c r="C3309" s="8" t="s">
        <v>2286</v>
      </c>
      <c r="D3309" s="8" t="s">
        <v>1369</v>
      </c>
      <c r="E3309" s="8" t="s">
        <v>1484</v>
      </c>
      <c r="F3309" s="23">
        <v>46132</v>
      </c>
      <c r="G3309" s="8" t="s">
        <v>1037</v>
      </c>
      <c r="H3309" s="23">
        <v>46132</v>
      </c>
      <c r="I3309" s="23">
        <v>46132</v>
      </c>
      <c r="J3309" s="10">
        <v>23923.98</v>
      </c>
      <c r="K3309" s="10">
        <v>0</v>
      </c>
      <c r="L3309" s="24">
        <v>0</v>
      </c>
      <c r="M3309" s="10">
        <v>23923.98</v>
      </c>
    </row>
    <row r="3310" spans="1:13" x14ac:dyDescent="0.25">
      <c r="A3310" s="12" t="str">
        <f t="shared" si="104"/>
        <v>FGT1793CAIXA ECONÔMICA FEDERALFOL46142</v>
      </c>
      <c r="B3310" s="12" t="str">
        <f t="shared" si="103"/>
        <v>Maio</v>
      </c>
      <c r="C3310" s="8" t="s">
        <v>2477</v>
      </c>
      <c r="D3310" s="8" t="s">
        <v>1369</v>
      </c>
      <c r="E3310" s="8" t="s">
        <v>1484</v>
      </c>
      <c r="F3310" s="23">
        <v>46142</v>
      </c>
      <c r="G3310" s="8" t="s">
        <v>1037</v>
      </c>
      <c r="H3310" s="23">
        <v>46162</v>
      </c>
      <c r="I3310" s="23">
        <v>46157</v>
      </c>
      <c r="J3310" s="10">
        <v>30710.04</v>
      </c>
      <c r="K3310" s="10">
        <v>0</v>
      </c>
      <c r="L3310" s="24">
        <v>0</v>
      </c>
      <c r="M3310" s="10">
        <v>30710.04</v>
      </c>
    </row>
    <row r="3311" spans="1:13" x14ac:dyDescent="0.25">
      <c r="A3311" s="12" t="str">
        <f t="shared" si="104"/>
        <v>FGT1794CAIXA ECONÔMICA FEDERALFOL46162</v>
      </c>
      <c r="B3311" s="12" t="str">
        <f t="shared" si="103"/>
        <v>Maio</v>
      </c>
      <c r="C3311" s="8" t="s">
        <v>2478</v>
      </c>
      <c r="D3311" s="8" t="s">
        <v>1369</v>
      </c>
      <c r="E3311" s="8" t="s">
        <v>1484</v>
      </c>
      <c r="F3311" s="23">
        <v>46162</v>
      </c>
      <c r="G3311" s="8" t="s">
        <v>1037</v>
      </c>
      <c r="H3311" s="23">
        <v>46162</v>
      </c>
      <c r="I3311" s="23">
        <v>46162</v>
      </c>
      <c r="J3311" s="10">
        <v>26890.01</v>
      </c>
      <c r="K3311" s="10">
        <v>0</v>
      </c>
      <c r="L3311" s="24">
        <v>0</v>
      </c>
      <c r="M3311" s="10">
        <v>26890.01</v>
      </c>
    </row>
    <row r="3312" spans="1:13" x14ac:dyDescent="0.25">
      <c r="A3312" s="12" t="str">
        <f t="shared" si="104"/>
        <v>FGT1827CAIXA ECONÔMICA FEDERALFOL46192</v>
      </c>
      <c r="B3312" s="12" t="str">
        <f t="shared" si="103"/>
        <v>Junho</v>
      </c>
      <c r="C3312" s="8" t="s">
        <v>2664</v>
      </c>
      <c r="D3312" s="8" t="s">
        <v>1369</v>
      </c>
      <c r="E3312" s="8" t="s">
        <v>1484</v>
      </c>
      <c r="F3312" s="23">
        <v>46192</v>
      </c>
      <c r="G3312" s="8" t="s">
        <v>1037</v>
      </c>
      <c r="H3312" s="23">
        <v>46192</v>
      </c>
      <c r="I3312" s="23">
        <v>46192</v>
      </c>
      <c r="J3312" s="10">
        <v>30989.95</v>
      </c>
      <c r="K3312" s="10">
        <v>0</v>
      </c>
      <c r="L3312" s="24">
        <v>0</v>
      </c>
      <c r="M3312" s="10">
        <v>30989.95</v>
      </c>
    </row>
    <row r="3313" spans="1:13" x14ac:dyDescent="0.25">
      <c r="A3313" s="12" t="str">
        <f t="shared" si="104"/>
        <v>FGT1828CAIXA ECONÔMICA FEDERALFOL46192</v>
      </c>
      <c r="B3313" s="12" t="str">
        <f t="shared" si="103"/>
        <v>Junho</v>
      </c>
      <c r="C3313" s="8" t="s">
        <v>2665</v>
      </c>
      <c r="D3313" s="8" t="s">
        <v>1369</v>
      </c>
      <c r="E3313" s="8" t="s">
        <v>1484</v>
      </c>
      <c r="F3313" s="23">
        <v>46192</v>
      </c>
      <c r="G3313" s="8" t="s">
        <v>1037</v>
      </c>
      <c r="H3313" s="23">
        <v>46192</v>
      </c>
      <c r="I3313" s="23">
        <v>46192</v>
      </c>
      <c r="J3313" s="10">
        <v>26986.22</v>
      </c>
      <c r="K3313" s="10">
        <v>0</v>
      </c>
      <c r="L3313" s="24">
        <v>0</v>
      </c>
      <c r="M3313" s="10">
        <v>26986.22</v>
      </c>
    </row>
    <row r="3314" spans="1:13" x14ac:dyDescent="0.25">
      <c r="A3314" s="12" t="str">
        <f t="shared" si="104"/>
        <v>FGT1882CAIXA ECONÔMICA FEDERALFOL46223</v>
      </c>
      <c r="B3314" s="12" t="str">
        <f t="shared" si="103"/>
        <v>Julho</v>
      </c>
      <c r="C3314" s="8" t="s">
        <v>2825</v>
      </c>
      <c r="D3314" s="8" t="s">
        <v>1369</v>
      </c>
      <c r="E3314" s="8" t="s">
        <v>1484</v>
      </c>
      <c r="F3314" s="23">
        <v>46223</v>
      </c>
      <c r="G3314" s="8" t="s">
        <v>1037</v>
      </c>
      <c r="H3314" s="23">
        <v>46223</v>
      </c>
      <c r="I3314" s="23">
        <v>46223</v>
      </c>
      <c r="J3314" s="10">
        <v>33395.86</v>
      </c>
      <c r="K3314" s="10">
        <v>0</v>
      </c>
      <c r="L3314" s="24">
        <v>0</v>
      </c>
      <c r="M3314" s="10">
        <v>33395.86</v>
      </c>
    </row>
    <row r="3315" spans="1:13" x14ac:dyDescent="0.25">
      <c r="A3315" s="12" t="str">
        <f t="shared" si="104"/>
        <v>FGT1883CAIXA ECONÔMICA FEDERALFOL46223</v>
      </c>
      <c r="B3315" s="12" t="str">
        <f t="shared" si="103"/>
        <v>Julho</v>
      </c>
      <c r="C3315" s="8" t="s">
        <v>2826</v>
      </c>
      <c r="D3315" s="8" t="s">
        <v>1369</v>
      </c>
      <c r="E3315" s="8" t="s">
        <v>1484</v>
      </c>
      <c r="F3315" s="23">
        <v>46223</v>
      </c>
      <c r="G3315" s="8" t="s">
        <v>1037</v>
      </c>
      <c r="H3315" s="23">
        <v>46223</v>
      </c>
      <c r="I3315" s="23">
        <v>46223</v>
      </c>
      <c r="J3315" s="10">
        <v>28102.12</v>
      </c>
      <c r="K3315" s="10">
        <v>0</v>
      </c>
      <c r="L3315" s="24">
        <v>0</v>
      </c>
      <c r="M3315" s="10">
        <v>28102.12</v>
      </c>
    </row>
    <row r="3316" spans="1:13" x14ac:dyDescent="0.25">
      <c r="A3316" s="12" t="str">
        <f t="shared" si="104"/>
        <v>FGT1918CAIXA ECONÔMICA FEDERALFOL46234</v>
      </c>
      <c r="B3316" s="12" t="str">
        <f t="shared" si="103"/>
        <v>Agosto</v>
      </c>
      <c r="C3316" s="8" t="s">
        <v>2996</v>
      </c>
      <c r="D3316" s="8" t="s">
        <v>1369</v>
      </c>
      <c r="E3316" s="8" t="s">
        <v>1484</v>
      </c>
      <c r="F3316" s="23">
        <v>46234</v>
      </c>
      <c r="G3316" s="8" t="s">
        <v>1037</v>
      </c>
      <c r="H3316" s="23">
        <v>46254</v>
      </c>
      <c r="I3316" s="23">
        <v>46248</v>
      </c>
      <c r="J3316" s="10">
        <v>32595.94</v>
      </c>
      <c r="K3316" s="10">
        <v>0</v>
      </c>
      <c r="L3316" s="24">
        <v>0</v>
      </c>
      <c r="M3316" s="10">
        <v>32595.94</v>
      </c>
    </row>
    <row r="3317" spans="1:13" x14ac:dyDescent="0.25">
      <c r="A3317" s="12" t="str">
        <f t="shared" si="104"/>
        <v>FGT1922CAIXA ECONÔMICA FEDERALFOL46254</v>
      </c>
      <c r="B3317" s="12" t="str">
        <f t="shared" si="103"/>
        <v>Agosto</v>
      </c>
      <c r="C3317" s="8" t="s">
        <v>2997</v>
      </c>
      <c r="D3317" s="8" t="s">
        <v>1369</v>
      </c>
      <c r="E3317" s="8" t="s">
        <v>1484</v>
      </c>
      <c r="F3317" s="23">
        <v>46254</v>
      </c>
      <c r="G3317" s="8" t="s">
        <v>1037</v>
      </c>
      <c r="H3317" s="23">
        <v>46254</v>
      </c>
      <c r="I3317" s="23">
        <v>46254</v>
      </c>
      <c r="J3317" s="10">
        <v>29807.98</v>
      </c>
      <c r="K3317" s="10">
        <v>0</v>
      </c>
      <c r="L3317" s="24">
        <v>0</v>
      </c>
      <c r="M3317" s="10">
        <v>29807.98</v>
      </c>
    </row>
    <row r="3318" spans="1:13" x14ac:dyDescent="0.25">
      <c r="A3318" s="12" t="str">
        <f t="shared" si="104"/>
        <v>FGT1965CAIXA ECONÔMICA FEDERALFOL46265</v>
      </c>
      <c r="B3318" s="12" t="str">
        <f t="shared" si="103"/>
        <v>Setembro</v>
      </c>
      <c r="C3318" s="8" t="s">
        <v>3149</v>
      </c>
      <c r="D3318" s="8" t="s">
        <v>1369</v>
      </c>
      <c r="E3318" s="8" t="s">
        <v>1484</v>
      </c>
      <c r="F3318" s="23">
        <v>46265</v>
      </c>
      <c r="G3318" s="8" t="s">
        <v>1037</v>
      </c>
      <c r="H3318" s="23">
        <v>46283</v>
      </c>
      <c r="I3318" s="23">
        <v>46281</v>
      </c>
      <c r="J3318" s="10">
        <v>33349.24</v>
      </c>
      <c r="K3318" s="10">
        <v>0</v>
      </c>
      <c r="L3318" s="24">
        <v>0</v>
      </c>
      <c r="M3318" s="10">
        <v>33349.24</v>
      </c>
    </row>
    <row r="3319" spans="1:13" x14ac:dyDescent="0.25">
      <c r="A3319" s="12" t="str">
        <f t="shared" si="104"/>
        <v>FGT1971CAIXA ECONÔMICA FEDERALFOL46285</v>
      </c>
      <c r="B3319" s="12" t="str">
        <f t="shared" si="103"/>
        <v>Setembro</v>
      </c>
      <c r="C3319" s="8" t="s">
        <v>3150</v>
      </c>
      <c r="D3319" s="8" t="s">
        <v>1369</v>
      </c>
      <c r="E3319" s="8" t="s">
        <v>1484</v>
      </c>
      <c r="F3319" s="23">
        <v>46285</v>
      </c>
      <c r="G3319" s="8" t="s">
        <v>1037</v>
      </c>
      <c r="H3319" s="23">
        <v>46285</v>
      </c>
      <c r="I3319" s="23">
        <v>46285</v>
      </c>
      <c r="J3319" s="10">
        <v>30717.47</v>
      </c>
      <c r="K3319" s="10">
        <v>0</v>
      </c>
      <c r="L3319" s="24">
        <v>0</v>
      </c>
      <c r="M3319" s="10">
        <v>30717.47</v>
      </c>
    </row>
    <row r="3320" spans="1:13" x14ac:dyDescent="0.25">
      <c r="A3320" s="12" t="str">
        <f t="shared" si="104"/>
        <v>FGTS0226SCMGCAIXA ECONÔMICA FEDERALIM46082</v>
      </c>
      <c r="B3320" s="12" t="str">
        <f t="shared" si="103"/>
        <v>Março</v>
      </c>
      <c r="C3320" s="8" t="s">
        <v>2092</v>
      </c>
      <c r="D3320" s="8" t="s">
        <v>1369</v>
      </c>
      <c r="E3320" s="8" t="s">
        <v>1484</v>
      </c>
      <c r="F3320" s="23">
        <v>46082</v>
      </c>
      <c r="G3320" s="8" t="s">
        <v>1142</v>
      </c>
      <c r="H3320" s="23">
        <v>46101</v>
      </c>
      <c r="I3320" s="23">
        <v>46082</v>
      </c>
      <c r="J3320" s="10">
        <v>47356.01</v>
      </c>
      <c r="K3320" s="10">
        <v>0</v>
      </c>
      <c r="L3320" s="24">
        <v>0</v>
      </c>
      <c r="M3320" s="10">
        <v>47356.01</v>
      </c>
    </row>
    <row r="3321" spans="1:13" x14ac:dyDescent="0.25">
      <c r="A3321" s="12" t="str">
        <f t="shared" si="104"/>
        <v xml:space="preserve">Filial </v>
      </c>
      <c r="B3321" s="12" t="str">
        <f t="shared" si="103"/>
        <v>Janeiro</v>
      </c>
      <c r="C3321" s="7" t="s">
        <v>1656</v>
      </c>
      <c r="D3321" s="8" t="s">
        <v>1657</v>
      </c>
      <c r="E3321" s="7"/>
      <c r="F3321" s="7"/>
      <c r="G3321" s="7"/>
      <c r="H3321" s="7"/>
      <c r="I3321" s="7"/>
      <c r="J3321" s="7"/>
      <c r="K3321" s="7"/>
      <c r="L3321" s="7"/>
      <c r="M3321" s="7"/>
    </row>
    <row r="3322" spans="1:13" x14ac:dyDescent="0.25">
      <c r="A3322" s="12" t="str">
        <f t="shared" si="104"/>
        <v xml:space="preserve">Filial </v>
      </c>
      <c r="B3322" s="12" t="str">
        <f t="shared" si="103"/>
        <v>Janeiro</v>
      </c>
      <c r="C3322" s="7" t="s">
        <v>1656</v>
      </c>
      <c r="D3322" s="8" t="s">
        <v>1933</v>
      </c>
      <c r="E3322" s="7"/>
      <c r="F3322" s="7"/>
      <c r="G3322" s="7"/>
      <c r="H3322" s="7"/>
      <c r="I3322" s="7"/>
      <c r="J3322" s="7"/>
      <c r="K3322" s="7"/>
      <c r="L3322" s="7"/>
      <c r="M3322" s="7"/>
    </row>
    <row r="3323" spans="1:13" x14ac:dyDescent="0.25">
      <c r="A3323" s="12" t="str">
        <f t="shared" si="104"/>
        <v xml:space="preserve">Filial </v>
      </c>
      <c r="B3323" s="12" t="str">
        <f t="shared" si="103"/>
        <v>Janeiro</v>
      </c>
      <c r="C3323" s="7" t="s">
        <v>1656</v>
      </c>
      <c r="D3323" s="8" t="s">
        <v>1933</v>
      </c>
      <c r="E3323" s="7"/>
      <c r="F3323" s="7"/>
      <c r="G3323" s="7"/>
      <c r="H3323" s="7"/>
      <c r="I3323" s="7"/>
      <c r="J3323" s="7"/>
      <c r="K3323" s="7"/>
      <c r="L3323" s="7"/>
      <c r="M3323" s="7"/>
    </row>
    <row r="3324" spans="1:13" x14ac:dyDescent="0.25">
      <c r="A3324" s="12" t="str">
        <f t="shared" si="104"/>
        <v xml:space="preserve">Filial </v>
      </c>
      <c r="B3324" s="12" t="str">
        <f t="shared" si="103"/>
        <v>Janeiro</v>
      </c>
      <c r="C3324" s="7" t="s">
        <v>1656</v>
      </c>
      <c r="D3324" s="8" t="s">
        <v>1933</v>
      </c>
      <c r="E3324" s="7"/>
      <c r="F3324" s="7"/>
      <c r="G3324" s="7"/>
      <c r="H3324" s="7"/>
      <c r="I3324" s="7"/>
      <c r="J3324" s="7"/>
      <c r="K3324" s="7"/>
      <c r="L3324" s="7"/>
      <c r="M3324" s="7"/>
    </row>
    <row r="3325" spans="1:13" x14ac:dyDescent="0.25">
      <c r="A3325" s="12" t="str">
        <f t="shared" si="104"/>
        <v xml:space="preserve">Filial </v>
      </c>
      <c r="B3325" s="12" t="str">
        <f t="shared" si="103"/>
        <v>Janeiro</v>
      </c>
      <c r="C3325" s="7" t="s">
        <v>1656</v>
      </c>
      <c r="D3325" s="8" t="s">
        <v>2513</v>
      </c>
      <c r="E3325" s="7"/>
      <c r="F3325" s="7"/>
      <c r="G3325" s="7"/>
      <c r="H3325" s="7"/>
      <c r="I3325" s="7"/>
      <c r="J3325" s="7"/>
      <c r="K3325" s="7"/>
      <c r="L3325" s="7"/>
      <c r="M3325" s="7"/>
    </row>
    <row r="3326" spans="1:13" x14ac:dyDescent="0.25">
      <c r="A3326" s="12" t="str">
        <f t="shared" si="104"/>
        <v xml:space="preserve">Filial </v>
      </c>
      <c r="B3326" s="12" t="str">
        <f t="shared" si="103"/>
        <v>Janeiro</v>
      </c>
      <c r="C3326" s="7" t="s">
        <v>1656</v>
      </c>
      <c r="D3326" s="8" t="s">
        <v>1657</v>
      </c>
      <c r="E3326" s="7"/>
      <c r="F3326" s="7"/>
      <c r="G3326" s="7"/>
      <c r="H3326" s="7"/>
      <c r="I3326" s="7"/>
      <c r="J3326" s="7"/>
      <c r="K3326" s="7"/>
      <c r="L3326" s="7"/>
      <c r="M3326" s="7"/>
    </row>
    <row r="3327" spans="1:13" x14ac:dyDescent="0.25">
      <c r="A3327" s="12" t="str">
        <f t="shared" si="104"/>
        <v xml:space="preserve">Filial </v>
      </c>
      <c r="B3327" s="12" t="str">
        <f t="shared" si="103"/>
        <v>Janeiro</v>
      </c>
      <c r="C3327" s="7" t="s">
        <v>1656</v>
      </c>
      <c r="D3327" s="8" t="s">
        <v>1657</v>
      </c>
      <c r="E3327" s="7"/>
      <c r="F3327" s="7"/>
      <c r="G3327" s="7"/>
      <c r="H3327" s="7"/>
      <c r="I3327" s="7"/>
      <c r="J3327" s="7"/>
      <c r="K3327" s="7"/>
      <c r="L3327" s="7"/>
      <c r="M3327" s="7"/>
    </row>
    <row r="3328" spans="1:13" x14ac:dyDescent="0.25">
      <c r="A3328" s="12" t="str">
        <f t="shared" si="104"/>
        <v xml:space="preserve">Filial </v>
      </c>
      <c r="B3328" s="12" t="str">
        <f t="shared" si="103"/>
        <v>Janeiro</v>
      </c>
      <c r="C3328" s="7" t="s">
        <v>1656</v>
      </c>
      <c r="D3328" s="8" t="s">
        <v>1657</v>
      </c>
      <c r="E3328" s="7"/>
      <c r="F3328" s="7"/>
      <c r="G3328" s="7"/>
      <c r="H3328" s="7"/>
      <c r="I3328" s="7"/>
      <c r="J3328" s="7"/>
      <c r="K3328" s="7"/>
      <c r="L3328" s="7"/>
      <c r="M3328" s="7"/>
    </row>
    <row r="3329" spans="1:13" x14ac:dyDescent="0.25">
      <c r="A3329" s="12" t="str">
        <f t="shared" si="104"/>
        <v xml:space="preserve">Filial </v>
      </c>
      <c r="B3329" s="12" t="str">
        <f t="shared" si="103"/>
        <v>Janeiro</v>
      </c>
      <c r="C3329" s="7" t="s">
        <v>1656</v>
      </c>
      <c r="D3329" s="8" t="s">
        <v>1657</v>
      </c>
      <c r="E3329" s="7"/>
      <c r="F3329" s="7"/>
      <c r="G3329" s="7"/>
      <c r="H3329" s="7"/>
      <c r="I3329" s="7"/>
      <c r="J3329" s="7"/>
      <c r="K3329" s="7"/>
      <c r="L3329" s="7"/>
      <c r="M3329" s="7"/>
    </row>
    <row r="3330" spans="1:13" x14ac:dyDescent="0.25">
      <c r="A3330" s="12" t="str">
        <f t="shared" si="104"/>
        <v>FPG3824HORIZONTE EXPRESS TRANSPORTES LTDAFOL46022</v>
      </c>
      <c r="B3330" s="12" t="str">
        <f t="shared" si="103"/>
        <v>Janeiro</v>
      </c>
      <c r="C3330" s="8" t="s">
        <v>1370</v>
      </c>
      <c r="D3330" s="8" t="s">
        <v>1369</v>
      </c>
      <c r="E3330" s="8" t="s">
        <v>1350</v>
      </c>
      <c r="F3330" s="23">
        <v>46022</v>
      </c>
      <c r="G3330" s="8" t="s">
        <v>1037</v>
      </c>
      <c r="H3330" s="23">
        <v>46027</v>
      </c>
      <c r="I3330" s="23">
        <v>46022</v>
      </c>
      <c r="J3330" s="10">
        <v>186049</v>
      </c>
      <c r="K3330" s="10">
        <v>0</v>
      </c>
      <c r="L3330" s="24">
        <v>0</v>
      </c>
      <c r="M3330" s="10">
        <v>186049</v>
      </c>
    </row>
    <row r="3331" spans="1:13" x14ac:dyDescent="0.25">
      <c r="A3331" s="12" t="str">
        <f t="shared" si="104"/>
        <v>FPG3841HORIZONTE EXPRESS TRANSPORTES LTDAFOL46042</v>
      </c>
      <c r="B3331" s="12" t="str">
        <f t="shared" ref="B3331:B3394" si="105">PROPER(TEXT($H3331,"MMMM"))</f>
        <v>Janeiro</v>
      </c>
      <c r="C3331" s="8" t="s">
        <v>1601</v>
      </c>
      <c r="D3331" s="8" t="s">
        <v>1369</v>
      </c>
      <c r="E3331" s="8" t="s">
        <v>1350</v>
      </c>
      <c r="F3331" s="23">
        <v>46042</v>
      </c>
      <c r="G3331" s="8" t="s">
        <v>1037</v>
      </c>
      <c r="H3331" s="23">
        <v>46042</v>
      </c>
      <c r="I3331" s="23">
        <v>46042</v>
      </c>
      <c r="J3331" s="10">
        <v>116956</v>
      </c>
      <c r="K3331" s="10">
        <v>0</v>
      </c>
      <c r="L3331" s="24">
        <v>0</v>
      </c>
      <c r="M3331" s="10">
        <v>116956</v>
      </c>
    </row>
    <row r="3332" spans="1:13" x14ac:dyDescent="0.25">
      <c r="A3332" s="12" t="str">
        <f t="shared" si="104"/>
        <v>FPG3879HORIZONTE EXPRESS TRANSPORTES LTDAFOL46053</v>
      </c>
      <c r="B3332" s="12" t="str">
        <f t="shared" si="105"/>
        <v>Fevereiro</v>
      </c>
      <c r="C3332" s="8" t="s">
        <v>1673</v>
      </c>
      <c r="D3332" s="8" t="s">
        <v>1369</v>
      </c>
      <c r="E3332" s="8" t="s">
        <v>1350</v>
      </c>
      <c r="F3332" s="23">
        <v>46053</v>
      </c>
      <c r="G3332" s="8" t="s">
        <v>1037</v>
      </c>
      <c r="H3332" s="23">
        <v>46058</v>
      </c>
      <c r="I3332" s="23">
        <v>46053</v>
      </c>
      <c r="J3332" s="10">
        <v>153349</v>
      </c>
      <c r="K3332" s="10">
        <v>0</v>
      </c>
      <c r="L3332" s="24">
        <v>0</v>
      </c>
      <c r="M3332" s="10">
        <v>153349</v>
      </c>
    </row>
    <row r="3333" spans="1:13" x14ac:dyDescent="0.25">
      <c r="A3333" s="12" t="str">
        <f t="shared" si="104"/>
        <v>FPG3893CAIXA ECONÔMICA FEDERALFOL46073</v>
      </c>
      <c r="B3333" s="12" t="str">
        <f t="shared" si="105"/>
        <v>Fevereiro</v>
      </c>
      <c r="C3333" s="8" t="s">
        <v>1890</v>
      </c>
      <c r="D3333" s="8" t="s">
        <v>1369</v>
      </c>
      <c r="E3333" s="8" t="s">
        <v>1484</v>
      </c>
      <c r="F3333" s="23">
        <v>46073</v>
      </c>
      <c r="G3333" s="8" t="s">
        <v>1037</v>
      </c>
      <c r="H3333" s="23">
        <v>46073</v>
      </c>
      <c r="I3333" s="23">
        <v>46073</v>
      </c>
      <c r="J3333" s="10">
        <v>17151.34</v>
      </c>
      <c r="K3333" s="10">
        <v>0</v>
      </c>
      <c r="L3333" s="24">
        <v>0</v>
      </c>
      <c r="M3333" s="10">
        <v>17151.34</v>
      </c>
    </row>
    <row r="3334" spans="1:13" x14ac:dyDescent="0.25">
      <c r="A3334" s="12" t="str">
        <f t="shared" si="104"/>
        <v>FPG3914HORIZONTE EXPRESS TRANSPORTES LTDAFOL46073</v>
      </c>
      <c r="B3334" s="12" t="str">
        <f t="shared" si="105"/>
        <v>Fevereiro</v>
      </c>
      <c r="C3334" s="8" t="s">
        <v>1898</v>
      </c>
      <c r="D3334" s="8" t="s">
        <v>1369</v>
      </c>
      <c r="E3334" s="8" t="s">
        <v>1350</v>
      </c>
      <c r="F3334" s="23">
        <v>46073</v>
      </c>
      <c r="G3334" s="8" t="s">
        <v>1037</v>
      </c>
      <c r="H3334" s="23">
        <v>46073</v>
      </c>
      <c r="I3334" s="23">
        <v>46073</v>
      </c>
      <c r="J3334" s="10">
        <v>113046</v>
      </c>
      <c r="K3334" s="10">
        <v>0</v>
      </c>
      <c r="L3334" s="24">
        <v>0</v>
      </c>
      <c r="M3334" s="10">
        <v>113046</v>
      </c>
    </row>
    <row r="3335" spans="1:13" x14ac:dyDescent="0.25">
      <c r="A3335" s="12" t="str">
        <f t="shared" si="104"/>
        <v>FPG3940HORIZONTE EXPRESS TRANSPORTES LTDAFOL46081</v>
      </c>
      <c r="B3335" s="12" t="str">
        <f t="shared" si="105"/>
        <v>Março</v>
      </c>
      <c r="C3335" s="8" t="s">
        <v>1963</v>
      </c>
      <c r="D3335" s="8" t="s">
        <v>1369</v>
      </c>
      <c r="E3335" s="8" t="s">
        <v>1350</v>
      </c>
      <c r="F3335" s="23">
        <v>46081</v>
      </c>
      <c r="G3335" s="8" t="s">
        <v>1037</v>
      </c>
      <c r="H3335" s="23">
        <v>46086</v>
      </c>
      <c r="I3335" s="23">
        <v>46081</v>
      </c>
      <c r="J3335" s="10">
        <v>143859</v>
      </c>
      <c r="K3335" s="10">
        <v>0</v>
      </c>
      <c r="L3335" s="24">
        <v>0</v>
      </c>
      <c r="M3335" s="10">
        <v>143859</v>
      </c>
    </row>
    <row r="3336" spans="1:13" x14ac:dyDescent="0.25">
      <c r="A3336" s="12" t="str">
        <f t="shared" si="104"/>
        <v>FPG3966HORIZONTE EXPRESS TRANSPORTES LTDAFOL46101</v>
      </c>
      <c r="B3336" s="12" t="str">
        <f t="shared" si="105"/>
        <v>Março</v>
      </c>
      <c r="C3336" s="8" t="s">
        <v>2095</v>
      </c>
      <c r="D3336" s="8" t="s">
        <v>1369</v>
      </c>
      <c r="E3336" s="8" t="s">
        <v>1350</v>
      </c>
      <c r="F3336" s="23">
        <v>46101</v>
      </c>
      <c r="G3336" s="8" t="s">
        <v>1037</v>
      </c>
      <c r="H3336" s="23">
        <v>46101</v>
      </c>
      <c r="I3336" s="23">
        <v>46101</v>
      </c>
      <c r="J3336" s="10">
        <v>114662</v>
      </c>
      <c r="K3336" s="10">
        <v>0</v>
      </c>
      <c r="L3336" s="24">
        <v>0</v>
      </c>
      <c r="M3336" s="10">
        <v>114662</v>
      </c>
    </row>
    <row r="3337" spans="1:13" x14ac:dyDescent="0.25">
      <c r="A3337" s="12" t="str">
        <f t="shared" si="104"/>
        <v>FPG3989HORIZONTE EXPRESS TRANSPORTES LTDAFOL46112</v>
      </c>
      <c r="B3337" s="12" t="str">
        <f t="shared" si="105"/>
        <v>Abril</v>
      </c>
      <c r="C3337" s="8" t="s">
        <v>2156</v>
      </c>
      <c r="D3337" s="8" t="s">
        <v>1369</v>
      </c>
      <c r="E3337" s="8" t="s">
        <v>1350</v>
      </c>
      <c r="F3337" s="23">
        <v>46112</v>
      </c>
      <c r="G3337" s="8" t="s">
        <v>1037</v>
      </c>
      <c r="H3337" s="23">
        <v>46118</v>
      </c>
      <c r="I3337" s="23">
        <v>46112</v>
      </c>
      <c r="J3337" s="10">
        <v>141338</v>
      </c>
      <c r="K3337" s="10">
        <v>0</v>
      </c>
      <c r="L3337" s="24">
        <v>0</v>
      </c>
      <c r="M3337" s="10">
        <v>141338</v>
      </c>
    </row>
    <row r="3338" spans="1:13" x14ac:dyDescent="0.25">
      <c r="A3338" s="12" t="str">
        <f t="shared" si="104"/>
        <v>FPG4019HORIZONTE EXPRESS TRANSPORTES LTDAFOL46132</v>
      </c>
      <c r="B3338" s="12" t="str">
        <f t="shared" si="105"/>
        <v>Abril</v>
      </c>
      <c r="C3338" s="8" t="s">
        <v>2287</v>
      </c>
      <c r="D3338" s="8" t="s">
        <v>1369</v>
      </c>
      <c r="E3338" s="8" t="s">
        <v>1350</v>
      </c>
      <c r="F3338" s="23">
        <v>46132</v>
      </c>
      <c r="G3338" s="8" t="s">
        <v>1037</v>
      </c>
      <c r="H3338" s="23">
        <v>46132</v>
      </c>
      <c r="I3338" s="23">
        <v>46132</v>
      </c>
      <c r="J3338" s="10">
        <v>114902</v>
      </c>
      <c r="K3338" s="10">
        <v>0</v>
      </c>
      <c r="L3338" s="24">
        <v>0</v>
      </c>
      <c r="M3338" s="10">
        <v>114902</v>
      </c>
    </row>
    <row r="3339" spans="1:13" x14ac:dyDescent="0.25">
      <c r="A3339" s="12" t="str">
        <f t="shared" si="104"/>
        <v>FPG4045HORIZONTE EXPRESS TRANSPORTES LTDAFOL46142</v>
      </c>
      <c r="B3339" s="12" t="str">
        <f t="shared" si="105"/>
        <v>Maio</v>
      </c>
      <c r="C3339" s="8" t="s">
        <v>2351</v>
      </c>
      <c r="D3339" s="8" t="s">
        <v>1369</v>
      </c>
      <c r="E3339" s="8" t="s">
        <v>1350</v>
      </c>
      <c r="F3339" s="23">
        <v>46142</v>
      </c>
      <c r="G3339" s="8" t="s">
        <v>1037</v>
      </c>
      <c r="H3339" s="23">
        <v>46147</v>
      </c>
      <c r="I3339" s="23">
        <v>46142</v>
      </c>
      <c r="J3339" s="10">
        <v>152776</v>
      </c>
      <c r="K3339" s="10">
        <v>0</v>
      </c>
      <c r="L3339" s="24">
        <v>0</v>
      </c>
      <c r="M3339" s="10">
        <v>152776</v>
      </c>
    </row>
    <row r="3340" spans="1:13" x14ac:dyDescent="0.25">
      <c r="A3340" s="12" t="str">
        <f t="shared" si="104"/>
        <v>FPG4075HORIZONTE EXPRESS TRANSPORTES LTDAFOL46162</v>
      </c>
      <c r="B3340" s="12" t="str">
        <f t="shared" si="105"/>
        <v>Maio</v>
      </c>
      <c r="C3340" s="8" t="s">
        <v>2482</v>
      </c>
      <c r="D3340" s="8" t="s">
        <v>1369</v>
      </c>
      <c r="E3340" s="8" t="s">
        <v>1350</v>
      </c>
      <c r="F3340" s="23">
        <v>46162</v>
      </c>
      <c r="G3340" s="8" t="s">
        <v>1037</v>
      </c>
      <c r="H3340" s="23">
        <v>46162</v>
      </c>
      <c r="I3340" s="23">
        <v>46162</v>
      </c>
      <c r="J3340" s="10">
        <v>113121</v>
      </c>
      <c r="K3340" s="10">
        <v>0</v>
      </c>
      <c r="L3340" s="24">
        <v>0</v>
      </c>
      <c r="M3340" s="10">
        <v>113121</v>
      </c>
    </row>
    <row r="3341" spans="1:13" x14ac:dyDescent="0.25">
      <c r="A3341" s="12" t="str">
        <f t="shared" si="104"/>
        <v>FPG4117HORIZONTE EXPRESS TRANSPORTES LTDAFOL46173</v>
      </c>
      <c r="B3341" s="12" t="str">
        <f t="shared" si="105"/>
        <v>Junho</v>
      </c>
      <c r="C3341" s="8" t="s">
        <v>2537</v>
      </c>
      <c r="D3341" s="8" t="s">
        <v>1369</v>
      </c>
      <c r="E3341" s="8" t="s">
        <v>1350</v>
      </c>
      <c r="F3341" s="23">
        <v>46173</v>
      </c>
      <c r="G3341" s="8" t="s">
        <v>1037</v>
      </c>
      <c r="H3341" s="23">
        <v>46178</v>
      </c>
      <c r="I3341" s="23">
        <v>46173</v>
      </c>
      <c r="J3341" s="10">
        <v>150979</v>
      </c>
      <c r="K3341" s="10">
        <v>0</v>
      </c>
      <c r="L3341" s="24">
        <v>0</v>
      </c>
      <c r="M3341" s="10">
        <v>150979</v>
      </c>
    </row>
    <row r="3342" spans="1:13" x14ac:dyDescent="0.25">
      <c r="A3342" s="12" t="str">
        <f t="shared" si="104"/>
        <v>FPG4119HORIZONTE EXPRESS TRANSPORTES LTDAFOL46195</v>
      </c>
      <c r="B3342" s="12" t="str">
        <f t="shared" si="105"/>
        <v>Junho</v>
      </c>
      <c r="C3342" s="8" t="s">
        <v>2670</v>
      </c>
      <c r="D3342" s="8" t="s">
        <v>1369</v>
      </c>
      <c r="E3342" s="8" t="s">
        <v>1350</v>
      </c>
      <c r="F3342" s="23">
        <v>46195</v>
      </c>
      <c r="G3342" s="8" t="s">
        <v>1037</v>
      </c>
      <c r="H3342" s="23">
        <v>46195</v>
      </c>
      <c r="I3342" s="23">
        <v>46195</v>
      </c>
      <c r="J3342" s="10">
        <v>111627</v>
      </c>
      <c r="K3342" s="10">
        <v>0</v>
      </c>
      <c r="L3342" s="24">
        <v>0</v>
      </c>
      <c r="M3342" s="10">
        <v>111627</v>
      </c>
    </row>
    <row r="3343" spans="1:13" x14ac:dyDescent="0.25">
      <c r="A3343" s="12" t="str">
        <f t="shared" si="104"/>
        <v>FPG4152HORIZONTE EXPRESS TRANSPORTES LTDAFOL46203</v>
      </c>
      <c r="B3343" s="12" t="str">
        <f t="shared" si="105"/>
        <v>Julho</v>
      </c>
      <c r="C3343" s="8" t="s">
        <v>2711</v>
      </c>
      <c r="D3343" s="8" t="s">
        <v>1369</v>
      </c>
      <c r="E3343" s="8" t="s">
        <v>1350</v>
      </c>
      <c r="F3343" s="23">
        <v>46203</v>
      </c>
      <c r="G3343" s="8" t="s">
        <v>1037</v>
      </c>
      <c r="H3343" s="23">
        <v>46209</v>
      </c>
      <c r="I3343" s="23">
        <v>46203</v>
      </c>
      <c r="J3343" s="10">
        <v>169444</v>
      </c>
      <c r="K3343" s="10">
        <v>0</v>
      </c>
      <c r="L3343" s="24">
        <v>0</v>
      </c>
      <c r="M3343" s="10">
        <v>169444</v>
      </c>
    </row>
    <row r="3344" spans="1:13" x14ac:dyDescent="0.25">
      <c r="A3344" s="12" t="str">
        <f t="shared" si="104"/>
        <v>FPG4153HORIZONTE EXPRESS TRANSPORTES LTDAFOL46203</v>
      </c>
      <c r="B3344" s="12" t="str">
        <f t="shared" si="105"/>
        <v>Julho</v>
      </c>
      <c r="C3344" s="8" t="s">
        <v>2712</v>
      </c>
      <c r="D3344" s="8" t="s">
        <v>1369</v>
      </c>
      <c r="E3344" s="8" t="s">
        <v>1350</v>
      </c>
      <c r="F3344" s="23">
        <v>46203</v>
      </c>
      <c r="G3344" s="8" t="s">
        <v>1037</v>
      </c>
      <c r="H3344" s="23">
        <v>46209</v>
      </c>
      <c r="I3344" s="23">
        <v>46203</v>
      </c>
      <c r="J3344" s="10">
        <v>16397.189999999999</v>
      </c>
      <c r="K3344" s="10">
        <v>0</v>
      </c>
      <c r="L3344" s="24">
        <v>0</v>
      </c>
      <c r="M3344" s="10">
        <v>16397.189999999999</v>
      </c>
    </row>
    <row r="3345" spans="1:13" x14ac:dyDescent="0.25">
      <c r="A3345" s="12" t="str">
        <f t="shared" si="104"/>
        <v>FPG4174HORIZONTE EXPRESS TRANSPORTES LTDAFOL46223</v>
      </c>
      <c r="B3345" s="12" t="str">
        <f t="shared" si="105"/>
        <v>Julho</v>
      </c>
      <c r="C3345" s="8" t="s">
        <v>2830</v>
      </c>
      <c r="D3345" s="8" t="s">
        <v>1369</v>
      </c>
      <c r="E3345" s="8" t="s">
        <v>1350</v>
      </c>
      <c r="F3345" s="23">
        <v>46223</v>
      </c>
      <c r="G3345" s="8" t="s">
        <v>1037</v>
      </c>
      <c r="H3345" s="23">
        <v>46223</v>
      </c>
      <c r="I3345" s="23">
        <v>46223</v>
      </c>
      <c r="J3345" s="10">
        <v>121150</v>
      </c>
      <c r="K3345" s="10">
        <v>0</v>
      </c>
      <c r="L3345" s="24">
        <v>0</v>
      </c>
      <c r="M3345" s="10">
        <v>121150</v>
      </c>
    </row>
    <row r="3346" spans="1:13" x14ac:dyDescent="0.25">
      <c r="A3346" s="12" t="str">
        <f t="shared" si="104"/>
        <v>FPG4198HORIZONTE EXPRESS TRANSPORTES LTDAFOL46234</v>
      </c>
      <c r="B3346" s="12" t="str">
        <f t="shared" si="105"/>
        <v>Agosto</v>
      </c>
      <c r="C3346" s="8" t="s">
        <v>2892</v>
      </c>
      <c r="D3346" s="8" t="s">
        <v>1369</v>
      </c>
      <c r="E3346" s="8" t="s">
        <v>1350</v>
      </c>
      <c r="F3346" s="23">
        <v>46234</v>
      </c>
      <c r="G3346" s="8" t="s">
        <v>1037</v>
      </c>
      <c r="H3346" s="23">
        <v>46239</v>
      </c>
      <c r="I3346" s="23">
        <v>46234</v>
      </c>
      <c r="J3346" s="10">
        <v>168426</v>
      </c>
      <c r="K3346" s="10">
        <v>0</v>
      </c>
      <c r="L3346" s="24">
        <v>0</v>
      </c>
      <c r="M3346" s="10">
        <v>168426</v>
      </c>
    </row>
    <row r="3347" spans="1:13" x14ac:dyDescent="0.25">
      <c r="A3347" s="12" t="str">
        <f t="shared" si="104"/>
        <v>FPG4226HORIZONTE EXPRESS TRANSPORTES LTDAFOL46254</v>
      </c>
      <c r="B3347" s="12" t="str">
        <f t="shared" si="105"/>
        <v>Agosto</v>
      </c>
      <c r="C3347" s="8" t="s">
        <v>3009</v>
      </c>
      <c r="D3347" s="8" t="s">
        <v>1369</v>
      </c>
      <c r="E3347" s="8" t="s">
        <v>1350</v>
      </c>
      <c r="F3347" s="23">
        <v>46254</v>
      </c>
      <c r="G3347" s="8" t="s">
        <v>1037</v>
      </c>
      <c r="H3347" s="23">
        <v>46254</v>
      </c>
      <c r="I3347" s="23">
        <v>46254</v>
      </c>
      <c r="J3347" s="10">
        <v>128819</v>
      </c>
      <c r="K3347" s="10">
        <v>0</v>
      </c>
      <c r="L3347" s="24">
        <v>0</v>
      </c>
      <c r="M3347" s="10">
        <v>128819</v>
      </c>
    </row>
    <row r="3348" spans="1:13" x14ac:dyDescent="0.25">
      <c r="A3348" s="12" t="str">
        <f t="shared" si="104"/>
        <v>FPG4259HORIZONTE EXPRESS TRANSPORTES LTDAFOL46265</v>
      </c>
      <c r="B3348" s="12" t="str">
        <f t="shared" si="105"/>
        <v>Setembro</v>
      </c>
      <c r="C3348" s="8" t="s">
        <v>3055</v>
      </c>
      <c r="D3348" s="8" t="s">
        <v>1369</v>
      </c>
      <c r="E3348" s="8" t="s">
        <v>1350</v>
      </c>
      <c r="F3348" s="23">
        <v>46265</v>
      </c>
      <c r="G3348" s="8" t="s">
        <v>1037</v>
      </c>
      <c r="H3348" s="23">
        <v>46269</v>
      </c>
      <c r="I3348" s="23">
        <v>46265</v>
      </c>
      <c r="J3348" s="10">
        <v>164876</v>
      </c>
      <c r="K3348" s="10">
        <v>0</v>
      </c>
      <c r="L3348" s="24">
        <v>0</v>
      </c>
      <c r="M3348" s="10">
        <v>164876</v>
      </c>
    </row>
    <row r="3349" spans="1:13" x14ac:dyDescent="0.25">
      <c r="A3349" s="12" t="str">
        <f t="shared" si="104"/>
        <v>FPG4283HORIZONTE EXPRESS TRANSPORTES LTDAFOL46286</v>
      </c>
      <c r="B3349" s="12" t="str">
        <f t="shared" si="105"/>
        <v>Setembro</v>
      </c>
      <c r="C3349" s="8" t="s">
        <v>3152</v>
      </c>
      <c r="D3349" s="8" t="s">
        <v>1369</v>
      </c>
      <c r="E3349" s="8" t="s">
        <v>1350</v>
      </c>
      <c r="F3349" s="23">
        <v>46286</v>
      </c>
      <c r="G3349" s="8" t="s">
        <v>1037</v>
      </c>
      <c r="H3349" s="23">
        <v>46286</v>
      </c>
      <c r="I3349" s="23">
        <v>46286</v>
      </c>
      <c r="J3349" s="10">
        <v>128741</v>
      </c>
      <c r="K3349" s="10">
        <v>0</v>
      </c>
      <c r="L3349" s="24">
        <v>0</v>
      </c>
      <c r="M3349" s="10">
        <v>128741</v>
      </c>
    </row>
    <row r="3350" spans="1:13" x14ac:dyDescent="0.25">
      <c r="A3350" s="12" t="str">
        <f t="shared" si="104"/>
        <v>FPG4305HORIZONTE EXPRESS TRANSPORTES LTDAFOL46295</v>
      </c>
      <c r="B3350" s="12" t="str">
        <f t="shared" si="105"/>
        <v>Outubro</v>
      </c>
      <c r="C3350" s="8" t="s">
        <v>3195</v>
      </c>
      <c r="D3350" s="8" t="s">
        <v>1369</v>
      </c>
      <c r="E3350" s="8" t="s">
        <v>1350</v>
      </c>
      <c r="F3350" s="23">
        <v>46295</v>
      </c>
      <c r="G3350" s="8" t="s">
        <v>1037</v>
      </c>
      <c r="H3350" s="23">
        <v>46300</v>
      </c>
      <c r="I3350" s="23">
        <v>46295</v>
      </c>
      <c r="J3350" s="10">
        <v>172307</v>
      </c>
      <c r="K3350" s="10">
        <v>0</v>
      </c>
      <c r="L3350" s="24">
        <v>0</v>
      </c>
      <c r="M3350" s="10">
        <v>172307</v>
      </c>
    </row>
    <row r="3351" spans="1:13" x14ac:dyDescent="0.25">
      <c r="A3351" s="12" t="str">
        <f t="shared" si="104"/>
        <v>GRF2627CAIXA ECONÔMICA FEDERALFOL46036</v>
      </c>
      <c r="B3351" s="12" t="str">
        <f t="shared" si="105"/>
        <v>Janeiro</v>
      </c>
      <c r="C3351" s="8" t="s">
        <v>1483</v>
      </c>
      <c r="D3351" s="8" t="s">
        <v>1369</v>
      </c>
      <c r="E3351" s="8" t="s">
        <v>1484</v>
      </c>
      <c r="F3351" s="23">
        <v>46036</v>
      </c>
      <c r="G3351" s="8" t="s">
        <v>1037</v>
      </c>
      <c r="H3351" s="23">
        <v>46036</v>
      </c>
      <c r="I3351" s="23">
        <v>46036</v>
      </c>
      <c r="J3351" s="10">
        <v>975.07</v>
      </c>
      <c r="K3351" s="10">
        <v>0</v>
      </c>
      <c r="L3351" s="24">
        <v>0</v>
      </c>
      <c r="M3351" s="10">
        <v>975.07</v>
      </c>
    </row>
    <row r="3352" spans="1:13" x14ac:dyDescent="0.25">
      <c r="A3352" s="12" t="str">
        <f t="shared" si="104"/>
        <v>GRF2638CAIXA ECONÔMICA FEDERALFOL46043</v>
      </c>
      <c r="B3352" s="12" t="str">
        <f t="shared" si="105"/>
        <v>Janeiro</v>
      </c>
      <c r="C3352" s="8" t="s">
        <v>1611</v>
      </c>
      <c r="D3352" s="8" t="s">
        <v>1369</v>
      </c>
      <c r="E3352" s="8" t="s">
        <v>1484</v>
      </c>
      <c r="F3352" s="23">
        <v>46043</v>
      </c>
      <c r="G3352" s="8" t="s">
        <v>1037</v>
      </c>
      <c r="H3352" s="23">
        <v>46043</v>
      </c>
      <c r="I3352" s="23">
        <v>46043</v>
      </c>
      <c r="J3352" s="10">
        <v>30.42</v>
      </c>
      <c r="K3352" s="10">
        <v>0</v>
      </c>
      <c r="L3352" s="24">
        <v>0</v>
      </c>
      <c r="M3352" s="10">
        <v>30.42</v>
      </c>
    </row>
    <row r="3353" spans="1:13" x14ac:dyDescent="0.25">
      <c r="A3353" s="12" t="str">
        <f t="shared" si="104"/>
        <v>GRF2643CAIXA ECONÔMICA FEDERALFOL46050</v>
      </c>
      <c r="B3353" s="12" t="str">
        <f t="shared" si="105"/>
        <v>Janeiro</v>
      </c>
      <c r="C3353" s="8" t="s">
        <v>1639</v>
      </c>
      <c r="D3353" s="8" t="s">
        <v>1369</v>
      </c>
      <c r="E3353" s="8" t="s">
        <v>1484</v>
      </c>
      <c r="F3353" s="23">
        <v>46050</v>
      </c>
      <c r="G3353" s="8" t="s">
        <v>1037</v>
      </c>
      <c r="H3353" s="23">
        <v>46051</v>
      </c>
      <c r="I3353" s="23">
        <v>46050</v>
      </c>
      <c r="J3353" s="10">
        <v>867.3</v>
      </c>
      <c r="K3353" s="10">
        <v>0</v>
      </c>
      <c r="L3353" s="24">
        <v>0</v>
      </c>
      <c r="M3353" s="10">
        <v>867.3</v>
      </c>
    </row>
    <row r="3354" spans="1:13" x14ac:dyDescent="0.25">
      <c r="A3354" s="12" t="str">
        <f t="shared" si="104"/>
        <v>GRF2655CAIXA ECONÔMICA FEDERALFOL46062</v>
      </c>
      <c r="B3354" s="12" t="str">
        <f t="shared" si="105"/>
        <v>Fevereiro</v>
      </c>
      <c r="C3354" s="8" t="s">
        <v>1721</v>
      </c>
      <c r="D3354" s="8" t="s">
        <v>1369</v>
      </c>
      <c r="E3354" s="8" t="s">
        <v>1484</v>
      </c>
      <c r="F3354" s="23">
        <v>46062</v>
      </c>
      <c r="G3354" s="8" t="s">
        <v>1037</v>
      </c>
      <c r="H3354" s="23">
        <v>46063</v>
      </c>
      <c r="I3354" s="23">
        <v>46062</v>
      </c>
      <c r="J3354" s="10">
        <v>8008.24</v>
      </c>
      <c r="K3354" s="10">
        <v>0</v>
      </c>
      <c r="L3354" s="24">
        <v>0</v>
      </c>
      <c r="M3354" s="10">
        <v>8008.24</v>
      </c>
    </row>
    <row r="3355" spans="1:13" x14ac:dyDescent="0.25">
      <c r="A3355" s="12" t="str">
        <f t="shared" ref="A3355:A3418" si="106">$C3355&amp;$E3355&amp;$G3355&amp;$F3355</f>
        <v>GRF2657CAIXA ECONÔMICA FEDERALFOL46064</v>
      </c>
      <c r="B3355" s="12" t="str">
        <f t="shared" si="105"/>
        <v>Fevereiro</v>
      </c>
      <c r="C3355" s="8" t="s">
        <v>1749</v>
      </c>
      <c r="D3355" s="8" t="s">
        <v>1369</v>
      </c>
      <c r="E3355" s="8" t="s">
        <v>1484</v>
      </c>
      <c r="F3355" s="23">
        <v>46064</v>
      </c>
      <c r="G3355" s="8" t="s">
        <v>1037</v>
      </c>
      <c r="H3355" s="23">
        <v>46064</v>
      </c>
      <c r="I3355" s="23">
        <v>46064</v>
      </c>
      <c r="J3355" s="10">
        <v>218.06</v>
      </c>
      <c r="K3355" s="10">
        <v>0</v>
      </c>
      <c r="L3355" s="24">
        <v>0</v>
      </c>
      <c r="M3355" s="10">
        <v>218.06</v>
      </c>
    </row>
    <row r="3356" spans="1:13" x14ac:dyDescent="0.25">
      <c r="A3356" s="12" t="str">
        <f t="shared" si="106"/>
        <v>GRF2661CAIXA ECONÔMICA FEDERALFOL46065</v>
      </c>
      <c r="B3356" s="12" t="str">
        <f t="shared" si="105"/>
        <v>Fevereiro</v>
      </c>
      <c r="C3356" s="8" t="s">
        <v>1757</v>
      </c>
      <c r="D3356" s="8" t="s">
        <v>1369</v>
      </c>
      <c r="E3356" s="8" t="s">
        <v>1484</v>
      </c>
      <c r="F3356" s="23">
        <v>46065</v>
      </c>
      <c r="G3356" s="8" t="s">
        <v>1037</v>
      </c>
      <c r="H3356" s="23">
        <v>46065</v>
      </c>
      <c r="I3356" s="23">
        <v>46065</v>
      </c>
      <c r="J3356" s="10">
        <v>3193.31</v>
      </c>
      <c r="K3356" s="10">
        <v>0</v>
      </c>
      <c r="L3356" s="24">
        <v>0</v>
      </c>
      <c r="M3356" s="10">
        <v>3193.31</v>
      </c>
    </row>
    <row r="3357" spans="1:13" x14ac:dyDescent="0.25">
      <c r="A3357" s="12" t="str">
        <f t="shared" si="106"/>
        <v>GRF2664CAIXA ECONÔMICA FEDERALFOL46064</v>
      </c>
      <c r="B3357" s="12" t="str">
        <f t="shared" si="105"/>
        <v>Fevereiro</v>
      </c>
      <c r="C3357" s="8" t="s">
        <v>1750</v>
      </c>
      <c r="D3357" s="8" t="s">
        <v>1369</v>
      </c>
      <c r="E3357" s="8" t="s">
        <v>1484</v>
      </c>
      <c r="F3357" s="23">
        <v>46064</v>
      </c>
      <c r="G3357" s="8" t="s">
        <v>1037</v>
      </c>
      <c r="H3357" s="23">
        <v>46064</v>
      </c>
      <c r="I3357" s="23">
        <v>46064</v>
      </c>
      <c r="J3357" s="10">
        <v>2468.9299999999998</v>
      </c>
      <c r="K3357" s="10">
        <v>0</v>
      </c>
      <c r="L3357" s="24">
        <v>0</v>
      </c>
      <c r="M3357" s="10">
        <v>2468.9299999999998</v>
      </c>
    </row>
    <row r="3358" spans="1:13" x14ac:dyDescent="0.25">
      <c r="A3358" s="12" t="str">
        <f t="shared" si="106"/>
        <v>GRF2666CAIXA ECONÔMICA FEDERALFOL46072</v>
      </c>
      <c r="B3358" s="12" t="str">
        <f t="shared" si="105"/>
        <v>Fevereiro</v>
      </c>
      <c r="C3358" s="8" t="s">
        <v>1825</v>
      </c>
      <c r="D3358" s="8" t="s">
        <v>1369</v>
      </c>
      <c r="E3358" s="8" t="s">
        <v>1484</v>
      </c>
      <c r="F3358" s="23">
        <v>46072</v>
      </c>
      <c r="G3358" s="8" t="s">
        <v>1037</v>
      </c>
      <c r="H3358" s="23">
        <v>46072</v>
      </c>
      <c r="I3358" s="23">
        <v>46072</v>
      </c>
      <c r="J3358" s="10">
        <v>2644.63</v>
      </c>
      <c r="K3358" s="10">
        <v>0</v>
      </c>
      <c r="L3358" s="24">
        <v>0</v>
      </c>
      <c r="M3358" s="10">
        <v>2644.63</v>
      </c>
    </row>
    <row r="3359" spans="1:13" x14ac:dyDescent="0.25">
      <c r="A3359" s="12" t="str">
        <f t="shared" si="106"/>
        <v>GRF2669CAIXA ECONÔMICA FEDERALFOL46076</v>
      </c>
      <c r="B3359" s="12" t="str">
        <f t="shared" si="105"/>
        <v>Fevereiro</v>
      </c>
      <c r="C3359" s="8" t="s">
        <v>1901</v>
      </c>
      <c r="D3359" s="8" t="s">
        <v>1369</v>
      </c>
      <c r="E3359" s="8" t="s">
        <v>1484</v>
      </c>
      <c r="F3359" s="23">
        <v>46076</v>
      </c>
      <c r="G3359" s="8" t="s">
        <v>1037</v>
      </c>
      <c r="H3359" s="23">
        <v>46076</v>
      </c>
      <c r="I3359" s="23">
        <v>46076</v>
      </c>
      <c r="J3359" s="10">
        <v>272.89999999999998</v>
      </c>
      <c r="K3359" s="10">
        <v>0</v>
      </c>
      <c r="L3359" s="24">
        <v>0</v>
      </c>
      <c r="M3359" s="10">
        <v>272.89999999999998</v>
      </c>
    </row>
    <row r="3360" spans="1:13" x14ac:dyDescent="0.25">
      <c r="A3360" s="12" t="str">
        <f t="shared" si="106"/>
        <v>GRF2697CAIXA ECONÔMICA FEDERALFOL46093</v>
      </c>
      <c r="B3360" s="12" t="str">
        <f t="shared" si="105"/>
        <v>Março</v>
      </c>
      <c r="C3360" s="8" t="s">
        <v>2019</v>
      </c>
      <c r="D3360" s="8" t="s">
        <v>1369</v>
      </c>
      <c r="E3360" s="8" t="s">
        <v>1484</v>
      </c>
      <c r="F3360" s="23">
        <v>46093</v>
      </c>
      <c r="G3360" s="8" t="s">
        <v>1037</v>
      </c>
      <c r="H3360" s="23">
        <v>46093</v>
      </c>
      <c r="I3360" s="23">
        <v>46093</v>
      </c>
      <c r="J3360" s="10">
        <v>2159.9299999999998</v>
      </c>
      <c r="K3360" s="10">
        <v>0</v>
      </c>
      <c r="L3360" s="24">
        <v>0</v>
      </c>
      <c r="M3360" s="10">
        <v>2159.9299999999998</v>
      </c>
    </row>
    <row r="3361" spans="1:13" x14ac:dyDescent="0.25">
      <c r="A3361" s="12" t="str">
        <f t="shared" si="106"/>
        <v>GRF2715CAIXA ECONÔMICA FEDERALFOL46113</v>
      </c>
      <c r="B3361" s="12" t="str">
        <f t="shared" si="105"/>
        <v>Abril</v>
      </c>
      <c r="C3361" s="8" t="s">
        <v>2143</v>
      </c>
      <c r="D3361" s="8" t="s">
        <v>1369</v>
      </c>
      <c r="E3361" s="8" t="s">
        <v>1484</v>
      </c>
      <c r="F3361" s="23">
        <v>46113</v>
      </c>
      <c r="G3361" s="8" t="s">
        <v>1037</v>
      </c>
      <c r="H3361" s="23">
        <v>46113</v>
      </c>
      <c r="I3361" s="23">
        <v>46113</v>
      </c>
      <c r="J3361" s="10">
        <v>7082.27</v>
      </c>
      <c r="K3361" s="10">
        <v>0</v>
      </c>
      <c r="L3361" s="24">
        <v>0</v>
      </c>
      <c r="M3361" s="10">
        <v>7082.27</v>
      </c>
    </row>
    <row r="3362" spans="1:13" x14ac:dyDescent="0.25">
      <c r="A3362" s="12" t="str">
        <f t="shared" si="106"/>
        <v>GRF2719CAIXA ECONÔMICA FEDERALFOL46121</v>
      </c>
      <c r="B3362" s="12" t="str">
        <f t="shared" si="105"/>
        <v>Abril</v>
      </c>
      <c r="C3362" s="8" t="s">
        <v>2198</v>
      </c>
      <c r="D3362" s="8" t="s">
        <v>1369</v>
      </c>
      <c r="E3362" s="8" t="s">
        <v>1484</v>
      </c>
      <c r="F3362" s="23">
        <v>46121</v>
      </c>
      <c r="G3362" s="8" t="s">
        <v>1037</v>
      </c>
      <c r="H3362" s="23">
        <v>46121</v>
      </c>
      <c r="I3362" s="23">
        <v>46121</v>
      </c>
      <c r="J3362" s="10">
        <v>11329.95</v>
      </c>
      <c r="K3362" s="10">
        <v>0</v>
      </c>
      <c r="L3362" s="24">
        <v>0</v>
      </c>
      <c r="M3362" s="10">
        <v>11329.95</v>
      </c>
    </row>
    <row r="3363" spans="1:13" x14ac:dyDescent="0.25">
      <c r="A3363" s="12" t="str">
        <f t="shared" si="106"/>
        <v>GRF2758CAIXA ECONÔMICA FEDERALFOL46146</v>
      </c>
      <c r="B3363" s="12" t="str">
        <f t="shared" si="105"/>
        <v>Maio</v>
      </c>
      <c r="C3363" s="8" t="s">
        <v>2335</v>
      </c>
      <c r="D3363" s="8" t="s">
        <v>1369</v>
      </c>
      <c r="E3363" s="8" t="s">
        <v>1484</v>
      </c>
      <c r="F3363" s="23">
        <v>46146</v>
      </c>
      <c r="G3363" s="8" t="s">
        <v>1037</v>
      </c>
      <c r="H3363" s="23">
        <v>46146</v>
      </c>
      <c r="I3363" s="23">
        <v>46146</v>
      </c>
      <c r="J3363" s="10">
        <v>321.85000000000002</v>
      </c>
      <c r="K3363" s="10">
        <v>0</v>
      </c>
      <c r="L3363" s="24">
        <v>0</v>
      </c>
      <c r="M3363" s="10">
        <v>321.85000000000002</v>
      </c>
    </row>
    <row r="3364" spans="1:13" x14ac:dyDescent="0.25">
      <c r="A3364" s="12" t="str">
        <f t="shared" si="106"/>
        <v>GRF2759CAIXA ECONÔMICA FEDERALFOL46147</v>
      </c>
      <c r="B3364" s="12" t="str">
        <f t="shared" si="105"/>
        <v>Maio</v>
      </c>
      <c r="C3364" s="8" t="s">
        <v>2345</v>
      </c>
      <c r="D3364" s="8" t="s">
        <v>1369</v>
      </c>
      <c r="E3364" s="8" t="s">
        <v>1484</v>
      </c>
      <c r="F3364" s="23">
        <v>46147</v>
      </c>
      <c r="G3364" s="8" t="s">
        <v>1037</v>
      </c>
      <c r="H3364" s="23">
        <v>46147</v>
      </c>
      <c r="I3364" s="23">
        <v>46147</v>
      </c>
      <c r="J3364" s="10">
        <v>254.69</v>
      </c>
      <c r="K3364" s="10">
        <v>0</v>
      </c>
      <c r="L3364" s="24">
        <v>0</v>
      </c>
      <c r="M3364" s="10">
        <v>254.69</v>
      </c>
    </row>
    <row r="3365" spans="1:13" x14ac:dyDescent="0.25">
      <c r="A3365" s="12" t="str">
        <f t="shared" si="106"/>
        <v>GRF2774CAIXA ECONÔMICA FEDERALFOL46156</v>
      </c>
      <c r="B3365" s="12" t="str">
        <f t="shared" si="105"/>
        <v>Maio</v>
      </c>
      <c r="C3365" s="8" t="s">
        <v>2403</v>
      </c>
      <c r="D3365" s="8" t="s">
        <v>1369</v>
      </c>
      <c r="E3365" s="8" t="s">
        <v>1484</v>
      </c>
      <c r="F3365" s="23">
        <v>46156</v>
      </c>
      <c r="G3365" s="8" t="s">
        <v>1037</v>
      </c>
      <c r="H3365" s="23">
        <v>46156</v>
      </c>
      <c r="I3365" s="23">
        <v>46156</v>
      </c>
      <c r="J3365" s="10">
        <v>183.86</v>
      </c>
      <c r="K3365" s="10">
        <v>0</v>
      </c>
      <c r="L3365" s="24">
        <v>0</v>
      </c>
      <c r="M3365" s="10">
        <v>183.86</v>
      </c>
    </row>
    <row r="3366" spans="1:13" x14ac:dyDescent="0.25">
      <c r="A3366" s="12" t="str">
        <f t="shared" si="106"/>
        <v>GRF2783CAIXA ECONÔMICA FEDERALFOL46160</v>
      </c>
      <c r="B3366" s="12" t="str">
        <f t="shared" si="105"/>
        <v>Maio</v>
      </c>
      <c r="C3366" s="8" t="s">
        <v>2422</v>
      </c>
      <c r="D3366" s="8" t="s">
        <v>1369</v>
      </c>
      <c r="E3366" s="8" t="s">
        <v>1484</v>
      </c>
      <c r="F3366" s="23">
        <v>46160</v>
      </c>
      <c r="G3366" s="8" t="s">
        <v>1037</v>
      </c>
      <c r="H3366" s="23">
        <v>46160</v>
      </c>
      <c r="I3366" s="23">
        <v>46160</v>
      </c>
      <c r="J3366" s="10">
        <v>1472.94</v>
      </c>
      <c r="K3366" s="10">
        <v>0</v>
      </c>
      <c r="L3366" s="24">
        <v>0</v>
      </c>
      <c r="M3366" s="10">
        <v>1472.94</v>
      </c>
    </row>
    <row r="3367" spans="1:13" x14ac:dyDescent="0.25">
      <c r="A3367" s="12" t="str">
        <f t="shared" si="106"/>
        <v>GRF2792CAIXA ECONÔMICA FEDERALFOL46169</v>
      </c>
      <c r="B3367" s="12" t="str">
        <f t="shared" si="105"/>
        <v>Maio</v>
      </c>
      <c r="C3367" s="8" t="s">
        <v>2497</v>
      </c>
      <c r="D3367" s="8" t="s">
        <v>1369</v>
      </c>
      <c r="E3367" s="8" t="s">
        <v>1484</v>
      </c>
      <c r="F3367" s="23">
        <v>46169</v>
      </c>
      <c r="G3367" s="8" t="s">
        <v>1037</v>
      </c>
      <c r="H3367" s="23">
        <v>46169</v>
      </c>
      <c r="I3367" s="23">
        <v>46169</v>
      </c>
      <c r="J3367" s="10">
        <v>3701.34</v>
      </c>
      <c r="K3367" s="10">
        <v>0</v>
      </c>
      <c r="L3367" s="24">
        <v>0</v>
      </c>
      <c r="M3367" s="10">
        <v>3701.34</v>
      </c>
    </row>
    <row r="3368" spans="1:13" x14ac:dyDescent="0.25">
      <c r="A3368" s="12" t="str">
        <f t="shared" si="106"/>
        <v>GRF2802CAIXA ECONÔMICA FEDERALFOL46178</v>
      </c>
      <c r="B3368" s="12" t="str">
        <f t="shared" si="105"/>
        <v>Junho</v>
      </c>
      <c r="C3368" s="8" t="s">
        <v>2544</v>
      </c>
      <c r="D3368" s="8" t="s">
        <v>1369</v>
      </c>
      <c r="E3368" s="8" t="s">
        <v>1484</v>
      </c>
      <c r="F3368" s="23">
        <v>46178</v>
      </c>
      <c r="G3368" s="8" t="s">
        <v>1037</v>
      </c>
      <c r="H3368" s="23">
        <v>46182</v>
      </c>
      <c r="I3368" s="23">
        <v>46178</v>
      </c>
      <c r="J3368" s="10">
        <v>267.56</v>
      </c>
      <c r="K3368" s="10">
        <v>0</v>
      </c>
      <c r="L3368" s="24">
        <v>0</v>
      </c>
      <c r="M3368" s="10">
        <v>267.56</v>
      </c>
    </row>
    <row r="3369" spans="1:13" x14ac:dyDescent="0.25">
      <c r="A3369" s="12" t="str">
        <f t="shared" si="106"/>
        <v>GRF2812CAIXA ECONÔMICA FEDERALFOL46185</v>
      </c>
      <c r="B3369" s="12" t="str">
        <f t="shared" si="105"/>
        <v>Junho</v>
      </c>
      <c r="C3369" s="8" t="s">
        <v>2576</v>
      </c>
      <c r="D3369" s="8" t="s">
        <v>1369</v>
      </c>
      <c r="E3369" s="8" t="s">
        <v>1484</v>
      </c>
      <c r="F3369" s="23">
        <v>46185</v>
      </c>
      <c r="G3369" s="8" t="s">
        <v>1037</v>
      </c>
      <c r="H3369" s="23">
        <v>46185</v>
      </c>
      <c r="I3369" s="23">
        <v>46185</v>
      </c>
      <c r="J3369" s="10">
        <v>4473.07</v>
      </c>
      <c r="K3369" s="10">
        <v>0</v>
      </c>
      <c r="L3369" s="24">
        <v>0</v>
      </c>
      <c r="M3369" s="10">
        <v>4473.07</v>
      </c>
    </row>
    <row r="3370" spans="1:13" x14ac:dyDescent="0.25">
      <c r="A3370" s="12" t="str">
        <f t="shared" si="106"/>
        <v>GRF2838CAIXA ECONÔMICA FEDERALFOL46212</v>
      </c>
      <c r="B3370" s="12" t="str">
        <f t="shared" si="105"/>
        <v>Julho</v>
      </c>
      <c r="C3370" s="8" t="s">
        <v>2750</v>
      </c>
      <c r="D3370" s="8" t="s">
        <v>1369</v>
      </c>
      <c r="E3370" s="8" t="s">
        <v>1484</v>
      </c>
      <c r="F3370" s="23">
        <v>46212</v>
      </c>
      <c r="G3370" s="8" t="s">
        <v>1037</v>
      </c>
      <c r="H3370" s="23">
        <v>46212</v>
      </c>
      <c r="I3370" s="23">
        <v>46212</v>
      </c>
      <c r="J3370" s="10">
        <v>4991.55</v>
      </c>
      <c r="K3370" s="10">
        <v>0</v>
      </c>
      <c r="L3370" s="24">
        <v>0</v>
      </c>
      <c r="M3370" s="10">
        <v>4991.55</v>
      </c>
    </row>
    <row r="3371" spans="1:13" x14ac:dyDescent="0.25">
      <c r="A3371" s="12" t="str">
        <f t="shared" si="106"/>
        <v>GRF2848CAIXA ECONÔMICA FEDERALFOL46218</v>
      </c>
      <c r="B3371" s="12" t="str">
        <f t="shared" si="105"/>
        <v>Julho</v>
      </c>
      <c r="C3371" s="8" t="s">
        <v>2765</v>
      </c>
      <c r="D3371" s="8" t="s">
        <v>1369</v>
      </c>
      <c r="E3371" s="8" t="s">
        <v>1484</v>
      </c>
      <c r="F3371" s="23">
        <v>46218</v>
      </c>
      <c r="G3371" s="8" t="s">
        <v>1037</v>
      </c>
      <c r="H3371" s="23">
        <v>46218</v>
      </c>
      <c r="I3371" s="23">
        <v>46218</v>
      </c>
      <c r="J3371" s="10">
        <v>6050.21</v>
      </c>
      <c r="K3371" s="10">
        <v>0</v>
      </c>
      <c r="L3371" s="24">
        <v>0</v>
      </c>
      <c r="M3371" s="10">
        <v>6050.21</v>
      </c>
    </row>
    <row r="3372" spans="1:13" x14ac:dyDescent="0.25">
      <c r="A3372" s="12" t="str">
        <f t="shared" si="106"/>
        <v>GRF2858CAIXA ECONÔMICA FEDERALFOL46225</v>
      </c>
      <c r="B3372" s="12" t="str">
        <f t="shared" si="105"/>
        <v>Julho</v>
      </c>
      <c r="C3372" s="8" t="s">
        <v>2837</v>
      </c>
      <c r="D3372" s="8" t="s">
        <v>1369</v>
      </c>
      <c r="E3372" s="8" t="s">
        <v>1484</v>
      </c>
      <c r="F3372" s="23">
        <v>46225</v>
      </c>
      <c r="G3372" s="8" t="s">
        <v>1037</v>
      </c>
      <c r="H3372" s="23">
        <v>46225</v>
      </c>
      <c r="I3372" s="23">
        <v>46225</v>
      </c>
      <c r="J3372" s="10">
        <v>246.4</v>
      </c>
      <c r="K3372" s="10">
        <v>0</v>
      </c>
      <c r="L3372" s="24">
        <v>0</v>
      </c>
      <c r="M3372" s="10">
        <v>246.4</v>
      </c>
    </row>
    <row r="3373" spans="1:13" x14ac:dyDescent="0.25">
      <c r="A3373" s="12" t="str">
        <f t="shared" si="106"/>
        <v>GRF2863CAIXA ECONÔMICA FEDERALFOL46227</v>
      </c>
      <c r="B3373" s="12" t="str">
        <f t="shared" si="105"/>
        <v>Julho</v>
      </c>
      <c r="C3373" s="8" t="s">
        <v>2846</v>
      </c>
      <c r="D3373" s="8" t="s">
        <v>1369</v>
      </c>
      <c r="E3373" s="8" t="s">
        <v>1484</v>
      </c>
      <c r="F3373" s="23">
        <v>46227</v>
      </c>
      <c r="G3373" s="8" t="s">
        <v>1037</v>
      </c>
      <c r="H3373" s="23">
        <v>46227</v>
      </c>
      <c r="I3373" s="23">
        <v>46227</v>
      </c>
      <c r="J3373" s="10">
        <v>1964.25</v>
      </c>
      <c r="K3373" s="10">
        <v>0</v>
      </c>
      <c r="L3373" s="24">
        <v>0</v>
      </c>
      <c r="M3373" s="10">
        <v>1964.25</v>
      </c>
    </row>
    <row r="3374" spans="1:13" x14ac:dyDescent="0.25">
      <c r="A3374" s="12" t="str">
        <f t="shared" si="106"/>
        <v>GRF2866CAIXA ECONÔMICA FEDERALFOL46231</v>
      </c>
      <c r="B3374" s="12" t="str">
        <f t="shared" si="105"/>
        <v>Julho</v>
      </c>
      <c r="C3374" s="8" t="s">
        <v>2858</v>
      </c>
      <c r="D3374" s="8" t="s">
        <v>1369</v>
      </c>
      <c r="E3374" s="8" t="s">
        <v>1484</v>
      </c>
      <c r="F3374" s="23">
        <v>46231</v>
      </c>
      <c r="G3374" s="8" t="s">
        <v>1037</v>
      </c>
      <c r="H3374" s="23">
        <v>46231</v>
      </c>
      <c r="I3374" s="23">
        <v>46231</v>
      </c>
      <c r="J3374" s="10">
        <v>719.73</v>
      </c>
      <c r="K3374" s="10">
        <v>0</v>
      </c>
      <c r="L3374" s="24">
        <v>0</v>
      </c>
      <c r="M3374" s="10">
        <v>719.73</v>
      </c>
    </row>
    <row r="3375" spans="1:13" x14ac:dyDescent="0.25">
      <c r="A3375" s="12" t="str">
        <f t="shared" si="106"/>
        <v>GRF2868CAIXA ECONÔMICA FEDERALFOL46232</v>
      </c>
      <c r="B3375" s="12" t="str">
        <f t="shared" si="105"/>
        <v>Julho</v>
      </c>
      <c r="C3375" s="8" t="s">
        <v>2861</v>
      </c>
      <c r="D3375" s="8" t="s">
        <v>1369</v>
      </c>
      <c r="E3375" s="8" t="s">
        <v>1484</v>
      </c>
      <c r="F3375" s="23">
        <v>46232</v>
      </c>
      <c r="G3375" s="8" t="s">
        <v>1037</v>
      </c>
      <c r="H3375" s="23">
        <v>46232</v>
      </c>
      <c r="I3375" s="23">
        <v>46232</v>
      </c>
      <c r="J3375" s="10">
        <v>774.09</v>
      </c>
      <c r="K3375" s="10">
        <v>0</v>
      </c>
      <c r="L3375" s="24">
        <v>0</v>
      </c>
      <c r="M3375" s="10">
        <v>774.09</v>
      </c>
    </row>
    <row r="3376" spans="1:13" x14ac:dyDescent="0.25">
      <c r="A3376" s="12" t="str">
        <f t="shared" si="106"/>
        <v>GRF2881CAIXA ECONÔMICA FEDERALFOL46247</v>
      </c>
      <c r="B3376" s="12" t="str">
        <f t="shared" si="105"/>
        <v>Agosto</v>
      </c>
      <c r="C3376" s="8" t="s">
        <v>2940</v>
      </c>
      <c r="D3376" s="8" t="s">
        <v>1369</v>
      </c>
      <c r="E3376" s="8" t="s">
        <v>1484</v>
      </c>
      <c r="F3376" s="23">
        <v>46247</v>
      </c>
      <c r="G3376" s="8" t="s">
        <v>1037</v>
      </c>
      <c r="H3376" s="23">
        <v>46247</v>
      </c>
      <c r="I3376" s="23">
        <v>46247</v>
      </c>
      <c r="J3376" s="10">
        <v>1871.7</v>
      </c>
      <c r="K3376" s="10">
        <v>0</v>
      </c>
      <c r="L3376" s="24">
        <v>0</v>
      </c>
      <c r="M3376" s="10">
        <v>1871.7</v>
      </c>
    </row>
    <row r="3377" spans="1:13" x14ac:dyDescent="0.25">
      <c r="A3377" s="12" t="str">
        <f t="shared" si="106"/>
        <v>GRF2885CAIXA ECONÔMICA FEDERALFOL46248</v>
      </c>
      <c r="B3377" s="12" t="str">
        <f t="shared" si="105"/>
        <v>Agosto</v>
      </c>
      <c r="C3377" s="8" t="s">
        <v>2946</v>
      </c>
      <c r="D3377" s="8" t="s">
        <v>1369</v>
      </c>
      <c r="E3377" s="8" t="s">
        <v>1484</v>
      </c>
      <c r="F3377" s="23">
        <v>46248</v>
      </c>
      <c r="G3377" s="8" t="s">
        <v>1037</v>
      </c>
      <c r="H3377" s="23">
        <v>46248</v>
      </c>
      <c r="I3377" s="23">
        <v>46248</v>
      </c>
      <c r="J3377" s="10">
        <v>3705.2</v>
      </c>
      <c r="K3377" s="10">
        <v>0</v>
      </c>
      <c r="L3377" s="24">
        <v>0</v>
      </c>
      <c r="M3377" s="10">
        <v>3705.2</v>
      </c>
    </row>
    <row r="3378" spans="1:13" x14ac:dyDescent="0.25">
      <c r="A3378" s="12" t="str">
        <f t="shared" si="106"/>
        <v>GRF2887CAIXA ECONÔMICA FEDERALFOL46251</v>
      </c>
      <c r="B3378" s="12" t="str">
        <f t="shared" si="105"/>
        <v>Agosto</v>
      </c>
      <c r="C3378" s="8" t="s">
        <v>2951</v>
      </c>
      <c r="D3378" s="8" t="s">
        <v>1369</v>
      </c>
      <c r="E3378" s="8" t="s">
        <v>1484</v>
      </c>
      <c r="F3378" s="23">
        <v>46251</v>
      </c>
      <c r="G3378" s="8" t="s">
        <v>1037</v>
      </c>
      <c r="H3378" s="23">
        <v>46251</v>
      </c>
      <c r="I3378" s="23">
        <v>46251</v>
      </c>
      <c r="J3378" s="10">
        <v>3572.47</v>
      </c>
      <c r="K3378" s="10">
        <v>0</v>
      </c>
      <c r="L3378" s="24">
        <v>0</v>
      </c>
      <c r="M3378" s="10">
        <v>3572.47</v>
      </c>
    </row>
    <row r="3379" spans="1:13" x14ac:dyDescent="0.25">
      <c r="A3379" s="12" t="str">
        <f t="shared" si="106"/>
        <v>GRF2895CAIXA ECONÔMICA FEDERALFOL46254</v>
      </c>
      <c r="B3379" s="12" t="str">
        <f t="shared" si="105"/>
        <v>Agosto</v>
      </c>
      <c r="C3379" s="8" t="s">
        <v>2998</v>
      </c>
      <c r="D3379" s="8" t="s">
        <v>1369</v>
      </c>
      <c r="E3379" s="8" t="s">
        <v>1484</v>
      </c>
      <c r="F3379" s="23">
        <v>46254</v>
      </c>
      <c r="G3379" s="8" t="s">
        <v>1037</v>
      </c>
      <c r="H3379" s="23">
        <v>46254</v>
      </c>
      <c r="I3379" s="23">
        <v>46254</v>
      </c>
      <c r="J3379" s="10">
        <v>120.42</v>
      </c>
      <c r="K3379" s="10">
        <v>0</v>
      </c>
      <c r="L3379" s="24">
        <v>0</v>
      </c>
      <c r="M3379" s="10">
        <v>120.42</v>
      </c>
    </row>
    <row r="3380" spans="1:13" x14ac:dyDescent="0.25">
      <c r="A3380" s="12" t="str">
        <f t="shared" si="106"/>
        <v>GRF2900CAIXA ECONÔMICA FEDERALFOL46255</v>
      </c>
      <c r="B3380" s="12" t="str">
        <f t="shared" si="105"/>
        <v>Agosto</v>
      </c>
      <c r="C3380" s="8" t="s">
        <v>3015</v>
      </c>
      <c r="D3380" s="8" t="s">
        <v>1369</v>
      </c>
      <c r="E3380" s="8" t="s">
        <v>1484</v>
      </c>
      <c r="F3380" s="23">
        <v>46255</v>
      </c>
      <c r="G3380" s="8" t="s">
        <v>1037</v>
      </c>
      <c r="H3380" s="23">
        <v>46255</v>
      </c>
      <c r="I3380" s="23">
        <v>46255</v>
      </c>
      <c r="J3380" s="10">
        <v>80.89</v>
      </c>
      <c r="K3380" s="10">
        <v>0</v>
      </c>
      <c r="L3380" s="24">
        <v>0</v>
      </c>
      <c r="M3380" s="10">
        <v>80.89</v>
      </c>
    </row>
    <row r="3381" spans="1:13" x14ac:dyDescent="0.25">
      <c r="A3381" s="12" t="str">
        <f t="shared" si="106"/>
        <v>GRF2928CAIXA ECONÔMICA FEDERALFOL46275</v>
      </c>
      <c r="B3381" s="12" t="str">
        <f t="shared" si="105"/>
        <v>Setembro</v>
      </c>
      <c r="C3381" s="8" t="s">
        <v>3077</v>
      </c>
      <c r="D3381" s="8" t="s">
        <v>1369</v>
      </c>
      <c r="E3381" s="8" t="s">
        <v>1484</v>
      </c>
      <c r="F3381" s="23">
        <v>46275</v>
      </c>
      <c r="G3381" s="8" t="s">
        <v>1037</v>
      </c>
      <c r="H3381" s="23">
        <v>46275</v>
      </c>
      <c r="I3381" s="23">
        <v>46275</v>
      </c>
      <c r="J3381" s="10">
        <v>10680.24</v>
      </c>
      <c r="K3381" s="10">
        <v>0</v>
      </c>
      <c r="L3381" s="24">
        <v>0</v>
      </c>
      <c r="M3381" s="10">
        <v>10680.24</v>
      </c>
    </row>
    <row r="3382" spans="1:13" x14ac:dyDescent="0.25">
      <c r="A3382" s="12" t="str">
        <f t="shared" si="106"/>
        <v>GRF2954CAIXA ECONÔMICA FEDERALFOL46288</v>
      </c>
      <c r="B3382" s="12" t="str">
        <f t="shared" si="105"/>
        <v>Setembro</v>
      </c>
      <c r="C3382" s="8" t="s">
        <v>3158</v>
      </c>
      <c r="D3382" s="8" t="s">
        <v>1369</v>
      </c>
      <c r="E3382" s="8" t="s">
        <v>1484</v>
      </c>
      <c r="F3382" s="23">
        <v>46288</v>
      </c>
      <c r="G3382" s="8" t="s">
        <v>1037</v>
      </c>
      <c r="H3382" s="23">
        <v>46288</v>
      </c>
      <c r="I3382" s="23">
        <v>46288</v>
      </c>
      <c r="J3382" s="10">
        <v>1469.93</v>
      </c>
      <c r="K3382" s="10">
        <v>0</v>
      </c>
      <c r="L3382" s="24">
        <v>0</v>
      </c>
      <c r="M3382" s="10">
        <v>1469.93</v>
      </c>
    </row>
    <row r="3383" spans="1:13" x14ac:dyDescent="0.25">
      <c r="A3383" s="12" t="str">
        <f t="shared" si="106"/>
        <v>GRF2964CAIXA ECONÔMICA FEDERALFOL46294</v>
      </c>
      <c r="B3383" s="12" t="str">
        <f t="shared" si="105"/>
        <v>Setembro</v>
      </c>
      <c r="C3383" s="8" t="s">
        <v>3174</v>
      </c>
      <c r="D3383" s="8" t="s">
        <v>1369</v>
      </c>
      <c r="E3383" s="8" t="s">
        <v>1484</v>
      </c>
      <c r="F3383" s="23">
        <v>46294</v>
      </c>
      <c r="G3383" s="8" t="s">
        <v>1037</v>
      </c>
      <c r="H3383" s="23">
        <v>46294</v>
      </c>
      <c r="I3383" s="23">
        <v>46294</v>
      </c>
      <c r="J3383" s="10">
        <v>4241.3</v>
      </c>
      <c r="K3383" s="10">
        <v>0</v>
      </c>
      <c r="L3383" s="24">
        <v>0</v>
      </c>
      <c r="M3383" s="10">
        <v>4241.3</v>
      </c>
    </row>
    <row r="3384" spans="1:13" x14ac:dyDescent="0.25">
      <c r="A3384" s="12" t="str">
        <f t="shared" si="106"/>
        <v>I38972026SECRETARIA DE ADMINISTRAÇÃO DO GOVERNO DO ESTADO DE PERNAMBUCOIPV46054</v>
      </c>
      <c r="B3384" s="12" t="str">
        <f t="shared" si="105"/>
        <v>Fevereiro</v>
      </c>
      <c r="C3384" s="8" t="s">
        <v>1167</v>
      </c>
      <c r="D3384" s="8" t="s">
        <v>1723</v>
      </c>
      <c r="E3384" s="8" t="s">
        <v>1744</v>
      </c>
      <c r="F3384" s="23">
        <v>46054</v>
      </c>
      <c r="G3384" s="8" t="s">
        <v>1144</v>
      </c>
      <c r="H3384" s="23">
        <v>46072</v>
      </c>
      <c r="I3384" s="23">
        <v>46054</v>
      </c>
      <c r="J3384" s="10">
        <v>544.78</v>
      </c>
      <c r="K3384" s="10">
        <v>0</v>
      </c>
      <c r="L3384" s="24">
        <v>0</v>
      </c>
      <c r="M3384" s="10">
        <v>544.78</v>
      </c>
    </row>
    <row r="3385" spans="1:13" x14ac:dyDescent="0.25">
      <c r="A3385" s="12" t="str">
        <f t="shared" si="106"/>
        <v>I38972026SECRETARIA DE ADMINISTRAÇÃO DO GOVERNO DO ESTADO DE PERNAMBUCOIPV46054</v>
      </c>
      <c r="B3385" s="12" t="str">
        <f t="shared" si="105"/>
        <v>Março</v>
      </c>
      <c r="C3385" s="8" t="s">
        <v>1167</v>
      </c>
      <c r="D3385" s="8" t="s">
        <v>1723</v>
      </c>
      <c r="E3385" s="8" t="s">
        <v>1744</v>
      </c>
      <c r="F3385" s="23">
        <v>46054</v>
      </c>
      <c r="G3385" s="8" t="s">
        <v>1144</v>
      </c>
      <c r="H3385" s="23">
        <v>46097</v>
      </c>
      <c r="I3385" s="23">
        <v>46054</v>
      </c>
      <c r="J3385" s="10">
        <v>544.78</v>
      </c>
      <c r="K3385" s="10">
        <v>0</v>
      </c>
      <c r="L3385" s="24">
        <v>0</v>
      </c>
      <c r="M3385" s="10">
        <v>544.78</v>
      </c>
    </row>
    <row r="3386" spans="1:13" x14ac:dyDescent="0.25">
      <c r="A3386" s="12" t="str">
        <f t="shared" si="106"/>
        <v>I38972026SECRETARIA DE ADMINISTRAÇÃO DO GOVERNO DO ESTADO DE PERNAMBUCOIPV46054</v>
      </c>
      <c r="B3386" s="12" t="str">
        <f t="shared" si="105"/>
        <v>Abril</v>
      </c>
      <c r="C3386" s="8" t="s">
        <v>1167</v>
      </c>
      <c r="D3386" s="8" t="s">
        <v>1723</v>
      </c>
      <c r="E3386" s="8" t="s">
        <v>1744</v>
      </c>
      <c r="F3386" s="23">
        <v>46054</v>
      </c>
      <c r="G3386" s="8" t="s">
        <v>1144</v>
      </c>
      <c r="H3386" s="23">
        <v>46127</v>
      </c>
      <c r="I3386" s="23">
        <v>46054</v>
      </c>
      <c r="J3386" s="10">
        <v>544.78</v>
      </c>
      <c r="K3386" s="10">
        <v>0</v>
      </c>
      <c r="L3386" s="24">
        <v>0</v>
      </c>
      <c r="M3386" s="10">
        <v>544.78</v>
      </c>
    </row>
    <row r="3387" spans="1:13" x14ac:dyDescent="0.25">
      <c r="A3387" s="12" t="str">
        <f t="shared" si="106"/>
        <v>I38972026SECRETARIA DE ADMINISTRAÇÃO DO GOVERNO DO ESTADO DE PERNAMBUCOIPV46054</v>
      </c>
      <c r="B3387" s="12" t="str">
        <f t="shared" si="105"/>
        <v>Maio</v>
      </c>
      <c r="C3387" s="8" t="s">
        <v>1167</v>
      </c>
      <c r="D3387" s="8" t="s">
        <v>1723</v>
      </c>
      <c r="E3387" s="8" t="s">
        <v>1744</v>
      </c>
      <c r="F3387" s="23">
        <v>46054</v>
      </c>
      <c r="G3387" s="8" t="s">
        <v>1144</v>
      </c>
      <c r="H3387" s="23">
        <v>46157</v>
      </c>
      <c r="I3387" s="23">
        <v>46054</v>
      </c>
      <c r="J3387" s="10">
        <v>544.78</v>
      </c>
      <c r="K3387" s="10">
        <v>0</v>
      </c>
      <c r="L3387" s="24">
        <v>0</v>
      </c>
      <c r="M3387" s="10">
        <v>544.78</v>
      </c>
    </row>
    <row r="3388" spans="1:13" x14ac:dyDescent="0.25">
      <c r="A3388" s="12" t="str">
        <f t="shared" si="106"/>
        <v>I38972026SECRETARIA DE ADMINISTRAÇÃO DO GOVERNO DO ESTADO DE PERNAMBUCOIPV46054</v>
      </c>
      <c r="B3388" s="12" t="str">
        <f t="shared" si="105"/>
        <v>Junho</v>
      </c>
      <c r="C3388" s="8" t="s">
        <v>1167</v>
      </c>
      <c r="D3388" s="8" t="s">
        <v>1723</v>
      </c>
      <c r="E3388" s="8" t="s">
        <v>1744</v>
      </c>
      <c r="F3388" s="23">
        <v>46054</v>
      </c>
      <c r="G3388" s="8" t="s">
        <v>1144</v>
      </c>
      <c r="H3388" s="23">
        <v>46188</v>
      </c>
      <c r="I3388" s="23">
        <v>46054</v>
      </c>
      <c r="J3388" s="10">
        <v>544.78</v>
      </c>
      <c r="K3388" s="10">
        <v>0</v>
      </c>
      <c r="L3388" s="24">
        <v>0</v>
      </c>
      <c r="M3388" s="10">
        <v>544.78</v>
      </c>
    </row>
    <row r="3389" spans="1:13" x14ac:dyDescent="0.25">
      <c r="A3389" s="12" t="str">
        <f t="shared" si="106"/>
        <v>I38972026SECRETARIA DE ADMINISTRAÇÃO DO GOVERNO DO ESTADO DE PERNAMBUCOIPV46054</v>
      </c>
      <c r="B3389" s="12" t="str">
        <f t="shared" si="105"/>
        <v>Julho</v>
      </c>
      <c r="C3389" s="8" t="s">
        <v>1167</v>
      </c>
      <c r="D3389" s="8" t="s">
        <v>1723</v>
      </c>
      <c r="E3389" s="8" t="s">
        <v>1744</v>
      </c>
      <c r="F3389" s="23">
        <v>46054</v>
      </c>
      <c r="G3389" s="8" t="s">
        <v>1144</v>
      </c>
      <c r="H3389" s="23">
        <v>46218</v>
      </c>
      <c r="I3389" s="23">
        <v>46054</v>
      </c>
      <c r="J3389" s="10">
        <v>544.78</v>
      </c>
      <c r="K3389" s="10">
        <v>0</v>
      </c>
      <c r="L3389" s="24">
        <v>0</v>
      </c>
      <c r="M3389" s="10">
        <v>544.78</v>
      </c>
    </row>
    <row r="3390" spans="1:13" x14ac:dyDescent="0.25">
      <c r="A3390" s="12" t="str">
        <f t="shared" si="106"/>
        <v>I38972026SECRETARIA DE ADMINISTRAÇÃO DO GOVERNO DO ESTADO DE PERNAMBUCOIPV46054</v>
      </c>
      <c r="B3390" s="12" t="str">
        <f t="shared" si="105"/>
        <v>Agosto</v>
      </c>
      <c r="C3390" s="8" t="s">
        <v>1167</v>
      </c>
      <c r="D3390" s="8" t="s">
        <v>1723</v>
      </c>
      <c r="E3390" s="8" t="s">
        <v>1744</v>
      </c>
      <c r="F3390" s="23">
        <v>46054</v>
      </c>
      <c r="G3390" s="8" t="s">
        <v>1144</v>
      </c>
      <c r="H3390" s="23">
        <v>46251</v>
      </c>
      <c r="I3390" s="23">
        <v>46054</v>
      </c>
      <c r="J3390" s="10">
        <v>544.78</v>
      </c>
      <c r="K3390" s="10">
        <v>0</v>
      </c>
      <c r="L3390" s="24">
        <v>0</v>
      </c>
      <c r="M3390" s="10">
        <v>544.78</v>
      </c>
    </row>
    <row r="3391" spans="1:13" x14ac:dyDescent="0.25">
      <c r="A3391" s="12" t="str">
        <f t="shared" si="106"/>
        <v>I38972026SECRETARIA DE ADMINISTRAÇÃO DO GOVERNO DO ESTADO DE PERNAMBUCOIPV46054</v>
      </c>
      <c r="B3391" s="12" t="str">
        <f t="shared" si="105"/>
        <v>Setembro</v>
      </c>
      <c r="C3391" s="8" t="s">
        <v>1167</v>
      </c>
      <c r="D3391" s="8" t="s">
        <v>1723</v>
      </c>
      <c r="E3391" s="8" t="s">
        <v>1744</v>
      </c>
      <c r="F3391" s="23">
        <v>46054</v>
      </c>
      <c r="G3391" s="8" t="s">
        <v>1144</v>
      </c>
      <c r="H3391" s="23">
        <v>46280</v>
      </c>
      <c r="I3391" s="23">
        <v>46054</v>
      </c>
      <c r="J3391" s="10">
        <v>544.78</v>
      </c>
      <c r="K3391" s="10">
        <v>0</v>
      </c>
      <c r="L3391" s="24">
        <v>0</v>
      </c>
      <c r="M3391" s="10">
        <v>544.78</v>
      </c>
    </row>
    <row r="3392" spans="1:13" x14ac:dyDescent="0.25">
      <c r="A3392" s="12" t="str">
        <f t="shared" si="106"/>
        <v>I38982026SECRETARIA DE ADMINISTRAÇÃO DO GOVERNO DO ESTADO DE PERNAMBUCOIPV46054</v>
      </c>
      <c r="B3392" s="12" t="str">
        <f t="shared" si="105"/>
        <v>Fevereiro</v>
      </c>
      <c r="C3392" s="8" t="s">
        <v>1168</v>
      </c>
      <c r="D3392" s="8" t="s">
        <v>1723</v>
      </c>
      <c r="E3392" s="8" t="s">
        <v>1744</v>
      </c>
      <c r="F3392" s="23">
        <v>46054</v>
      </c>
      <c r="G3392" s="8" t="s">
        <v>1144</v>
      </c>
      <c r="H3392" s="23">
        <v>46072</v>
      </c>
      <c r="I3392" s="23">
        <v>46054</v>
      </c>
      <c r="J3392" s="10">
        <v>544.78</v>
      </c>
      <c r="K3392" s="10">
        <v>0</v>
      </c>
      <c r="L3392" s="24">
        <v>0</v>
      </c>
      <c r="M3392" s="10">
        <v>544.78</v>
      </c>
    </row>
    <row r="3393" spans="1:13" x14ac:dyDescent="0.25">
      <c r="A3393" s="12" t="str">
        <f t="shared" si="106"/>
        <v>I38982026SECRETARIA DE ADMINISTRAÇÃO DO GOVERNO DO ESTADO DE PERNAMBUCOIPV46054</v>
      </c>
      <c r="B3393" s="12" t="str">
        <f t="shared" si="105"/>
        <v>Março</v>
      </c>
      <c r="C3393" s="8" t="s">
        <v>1168</v>
      </c>
      <c r="D3393" s="8" t="s">
        <v>1723</v>
      </c>
      <c r="E3393" s="8" t="s">
        <v>1744</v>
      </c>
      <c r="F3393" s="23">
        <v>46054</v>
      </c>
      <c r="G3393" s="8" t="s">
        <v>1144</v>
      </c>
      <c r="H3393" s="23">
        <v>46097</v>
      </c>
      <c r="I3393" s="23">
        <v>46054</v>
      </c>
      <c r="J3393" s="10">
        <v>544.78</v>
      </c>
      <c r="K3393" s="10">
        <v>0</v>
      </c>
      <c r="L3393" s="24">
        <v>0</v>
      </c>
      <c r="M3393" s="10">
        <v>544.78</v>
      </c>
    </row>
    <row r="3394" spans="1:13" x14ac:dyDescent="0.25">
      <c r="A3394" s="12" t="str">
        <f t="shared" si="106"/>
        <v>I38982026SECRETARIA DE ADMINISTRAÇÃO DO GOVERNO DO ESTADO DE PERNAMBUCOIPV46054</v>
      </c>
      <c r="B3394" s="12" t="str">
        <f t="shared" si="105"/>
        <v>Abril</v>
      </c>
      <c r="C3394" s="8" t="s">
        <v>1168</v>
      </c>
      <c r="D3394" s="8" t="s">
        <v>1723</v>
      </c>
      <c r="E3394" s="8" t="s">
        <v>1744</v>
      </c>
      <c r="F3394" s="23">
        <v>46054</v>
      </c>
      <c r="G3394" s="8" t="s">
        <v>1144</v>
      </c>
      <c r="H3394" s="23">
        <v>46127</v>
      </c>
      <c r="I3394" s="23">
        <v>46054</v>
      </c>
      <c r="J3394" s="10">
        <v>544.78</v>
      </c>
      <c r="K3394" s="10">
        <v>0</v>
      </c>
      <c r="L3394" s="24">
        <v>0</v>
      </c>
      <c r="M3394" s="10">
        <v>544.78</v>
      </c>
    </row>
    <row r="3395" spans="1:13" x14ac:dyDescent="0.25">
      <c r="A3395" s="12" t="str">
        <f t="shared" si="106"/>
        <v>I38982026SECRETARIA DE ADMINISTRAÇÃO DO GOVERNO DO ESTADO DE PERNAMBUCOIPV46054</v>
      </c>
      <c r="B3395" s="12" t="str">
        <f t="shared" ref="B3395:B3458" si="107">PROPER(TEXT($H3395,"MMMM"))</f>
        <v>Maio</v>
      </c>
      <c r="C3395" s="8" t="s">
        <v>1168</v>
      </c>
      <c r="D3395" s="8" t="s">
        <v>1723</v>
      </c>
      <c r="E3395" s="8" t="s">
        <v>1744</v>
      </c>
      <c r="F3395" s="23">
        <v>46054</v>
      </c>
      <c r="G3395" s="8" t="s">
        <v>1144</v>
      </c>
      <c r="H3395" s="23">
        <v>46157</v>
      </c>
      <c r="I3395" s="23">
        <v>46054</v>
      </c>
      <c r="J3395" s="10">
        <v>544.78</v>
      </c>
      <c r="K3395" s="10">
        <v>0</v>
      </c>
      <c r="L3395" s="24">
        <v>0</v>
      </c>
      <c r="M3395" s="10">
        <v>544.78</v>
      </c>
    </row>
    <row r="3396" spans="1:13" x14ac:dyDescent="0.25">
      <c r="A3396" s="12" t="str">
        <f t="shared" si="106"/>
        <v>I38982026SECRETARIA DE ADMINISTRAÇÃO DO GOVERNO DO ESTADO DE PERNAMBUCOIPV46054</v>
      </c>
      <c r="B3396" s="12" t="str">
        <f t="shared" si="107"/>
        <v>Junho</v>
      </c>
      <c r="C3396" s="8" t="s">
        <v>1168</v>
      </c>
      <c r="D3396" s="8" t="s">
        <v>1723</v>
      </c>
      <c r="E3396" s="8" t="s">
        <v>1744</v>
      </c>
      <c r="F3396" s="23">
        <v>46054</v>
      </c>
      <c r="G3396" s="8" t="s">
        <v>1144</v>
      </c>
      <c r="H3396" s="23">
        <v>46188</v>
      </c>
      <c r="I3396" s="23">
        <v>46054</v>
      </c>
      <c r="J3396" s="10">
        <v>544.78</v>
      </c>
      <c r="K3396" s="10">
        <v>0</v>
      </c>
      <c r="L3396" s="24">
        <v>0</v>
      </c>
      <c r="M3396" s="10">
        <v>544.78</v>
      </c>
    </row>
    <row r="3397" spans="1:13" x14ac:dyDescent="0.25">
      <c r="A3397" s="12" t="str">
        <f t="shared" si="106"/>
        <v>I38982026SECRETARIA DE ADMINISTRAÇÃO DO GOVERNO DO ESTADO DE PERNAMBUCOIPV46054</v>
      </c>
      <c r="B3397" s="12" t="str">
        <f t="shared" si="107"/>
        <v>Julho</v>
      </c>
      <c r="C3397" s="8" t="s">
        <v>1168</v>
      </c>
      <c r="D3397" s="8" t="s">
        <v>1723</v>
      </c>
      <c r="E3397" s="8" t="s">
        <v>1744</v>
      </c>
      <c r="F3397" s="23">
        <v>46054</v>
      </c>
      <c r="G3397" s="8" t="s">
        <v>1144</v>
      </c>
      <c r="H3397" s="23">
        <v>46218</v>
      </c>
      <c r="I3397" s="23">
        <v>46054</v>
      </c>
      <c r="J3397" s="10">
        <v>544.78</v>
      </c>
      <c r="K3397" s="10">
        <v>0</v>
      </c>
      <c r="L3397" s="24">
        <v>0</v>
      </c>
      <c r="M3397" s="10">
        <v>544.78</v>
      </c>
    </row>
    <row r="3398" spans="1:13" x14ac:dyDescent="0.25">
      <c r="A3398" s="12" t="str">
        <f t="shared" si="106"/>
        <v>I38982026SECRETARIA DE ADMINISTRAÇÃO DO GOVERNO DO ESTADO DE PERNAMBUCOIPV46054</v>
      </c>
      <c r="B3398" s="12" t="str">
        <f t="shared" si="107"/>
        <v>Agosto</v>
      </c>
      <c r="C3398" s="8" t="s">
        <v>1168</v>
      </c>
      <c r="D3398" s="8" t="s">
        <v>1723</v>
      </c>
      <c r="E3398" s="8" t="s">
        <v>1744</v>
      </c>
      <c r="F3398" s="23">
        <v>46054</v>
      </c>
      <c r="G3398" s="8" t="s">
        <v>1144</v>
      </c>
      <c r="H3398" s="23">
        <v>46251</v>
      </c>
      <c r="I3398" s="23">
        <v>46054</v>
      </c>
      <c r="J3398" s="10">
        <v>544.78</v>
      </c>
      <c r="K3398" s="10">
        <v>0</v>
      </c>
      <c r="L3398" s="24">
        <v>0</v>
      </c>
      <c r="M3398" s="10">
        <v>544.78</v>
      </c>
    </row>
    <row r="3399" spans="1:13" x14ac:dyDescent="0.25">
      <c r="A3399" s="12" t="str">
        <f t="shared" si="106"/>
        <v>I38982026SECRETARIA DE ADMINISTRAÇÃO DO GOVERNO DO ESTADO DE PERNAMBUCOIPV46054</v>
      </c>
      <c r="B3399" s="12" t="str">
        <f t="shared" si="107"/>
        <v>Setembro</v>
      </c>
      <c r="C3399" s="8" t="s">
        <v>1168</v>
      </c>
      <c r="D3399" s="8" t="s">
        <v>1723</v>
      </c>
      <c r="E3399" s="8" t="s">
        <v>1744</v>
      </c>
      <c r="F3399" s="23">
        <v>46054</v>
      </c>
      <c r="G3399" s="8" t="s">
        <v>1144</v>
      </c>
      <c r="H3399" s="23">
        <v>46280</v>
      </c>
      <c r="I3399" s="23">
        <v>46054</v>
      </c>
      <c r="J3399" s="10">
        <v>544.78</v>
      </c>
      <c r="K3399" s="10">
        <v>0</v>
      </c>
      <c r="L3399" s="24">
        <v>0</v>
      </c>
      <c r="M3399" s="10">
        <v>544.78</v>
      </c>
    </row>
    <row r="3400" spans="1:13" x14ac:dyDescent="0.25">
      <c r="A3400" s="12" t="str">
        <f t="shared" si="106"/>
        <v>I38992026SECRETARIA DE ADMINISTRAÇÃO DO GOVERNO DO ESTADO DE PERNAMBUCOIPV46054</v>
      </c>
      <c r="B3400" s="12" t="str">
        <f t="shared" si="107"/>
        <v>Fevereiro</v>
      </c>
      <c r="C3400" s="8" t="s">
        <v>1169</v>
      </c>
      <c r="D3400" s="8" t="s">
        <v>1723</v>
      </c>
      <c r="E3400" s="8" t="s">
        <v>1744</v>
      </c>
      <c r="F3400" s="23">
        <v>46054</v>
      </c>
      <c r="G3400" s="8" t="s">
        <v>1144</v>
      </c>
      <c r="H3400" s="23">
        <v>46072</v>
      </c>
      <c r="I3400" s="23">
        <v>46054</v>
      </c>
      <c r="J3400" s="10">
        <v>521.59</v>
      </c>
      <c r="K3400" s="10">
        <v>0</v>
      </c>
      <c r="L3400" s="24">
        <v>0</v>
      </c>
      <c r="M3400" s="10">
        <v>521.59</v>
      </c>
    </row>
    <row r="3401" spans="1:13" x14ac:dyDescent="0.25">
      <c r="A3401" s="12" t="str">
        <f t="shared" si="106"/>
        <v>I38992026SECRETARIA DE ADMINISTRAÇÃO DO GOVERNO DO ESTADO DE PERNAMBUCOIPV46054</v>
      </c>
      <c r="B3401" s="12" t="str">
        <f t="shared" si="107"/>
        <v>Março</v>
      </c>
      <c r="C3401" s="8" t="s">
        <v>1169</v>
      </c>
      <c r="D3401" s="8" t="s">
        <v>1723</v>
      </c>
      <c r="E3401" s="8" t="s">
        <v>1744</v>
      </c>
      <c r="F3401" s="23">
        <v>46054</v>
      </c>
      <c r="G3401" s="8" t="s">
        <v>1144</v>
      </c>
      <c r="H3401" s="23">
        <v>46097</v>
      </c>
      <c r="I3401" s="23">
        <v>46054</v>
      </c>
      <c r="J3401" s="10">
        <v>521.59</v>
      </c>
      <c r="K3401" s="10">
        <v>0</v>
      </c>
      <c r="L3401" s="24">
        <v>0</v>
      </c>
      <c r="M3401" s="10">
        <v>521.59</v>
      </c>
    </row>
    <row r="3402" spans="1:13" x14ac:dyDescent="0.25">
      <c r="A3402" s="12" t="str">
        <f t="shared" si="106"/>
        <v>I38992026SECRETARIA DE ADMINISTRAÇÃO DO GOVERNO DO ESTADO DE PERNAMBUCOIPV46054</v>
      </c>
      <c r="B3402" s="12" t="str">
        <f t="shared" si="107"/>
        <v>Abril</v>
      </c>
      <c r="C3402" s="8" t="s">
        <v>1169</v>
      </c>
      <c r="D3402" s="8" t="s">
        <v>1723</v>
      </c>
      <c r="E3402" s="8" t="s">
        <v>1744</v>
      </c>
      <c r="F3402" s="23">
        <v>46054</v>
      </c>
      <c r="G3402" s="8" t="s">
        <v>1144</v>
      </c>
      <c r="H3402" s="23">
        <v>46127</v>
      </c>
      <c r="I3402" s="23">
        <v>46054</v>
      </c>
      <c r="J3402" s="10">
        <v>521.59</v>
      </c>
      <c r="K3402" s="10">
        <v>0</v>
      </c>
      <c r="L3402" s="24">
        <v>0</v>
      </c>
      <c r="M3402" s="10">
        <v>521.59</v>
      </c>
    </row>
    <row r="3403" spans="1:13" x14ac:dyDescent="0.25">
      <c r="A3403" s="12" t="str">
        <f t="shared" si="106"/>
        <v>I38992026SECRETARIA DE ADMINISTRAÇÃO DO GOVERNO DO ESTADO DE PERNAMBUCOIPV46054</v>
      </c>
      <c r="B3403" s="12" t="str">
        <f t="shared" si="107"/>
        <v>Maio</v>
      </c>
      <c r="C3403" s="8" t="s">
        <v>1169</v>
      </c>
      <c r="D3403" s="8" t="s">
        <v>1723</v>
      </c>
      <c r="E3403" s="8" t="s">
        <v>1744</v>
      </c>
      <c r="F3403" s="23">
        <v>46054</v>
      </c>
      <c r="G3403" s="8" t="s">
        <v>1144</v>
      </c>
      <c r="H3403" s="23">
        <v>46157</v>
      </c>
      <c r="I3403" s="23">
        <v>46054</v>
      </c>
      <c r="J3403" s="10">
        <v>521.59</v>
      </c>
      <c r="K3403" s="10">
        <v>0</v>
      </c>
      <c r="L3403" s="24">
        <v>0</v>
      </c>
      <c r="M3403" s="10">
        <v>521.59</v>
      </c>
    </row>
    <row r="3404" spans="1:13" x14ac:dyDescent="0.25">
      <c r="A3404" s="12" t="str">
        <f t="shared" si="106"/>
        <v>I38992026SECRETARIA DE ADMINISTRAÇÃO DO GOVERNO DO ESTADO DE PERNAMBUCOIPV46054</v>
      </c>
      <c r="B3404" s="12" t="str">
        <f t="shared" si="107"/>
        <v>Junho</v>
      </c>
      <c r="C3404" s="8" t="s">
        <v>1169</v>
      </c>
      <c r="D3404" s="8" t="s">
        <v>1723</v>
      </c>
      <c r="E3404" s="8" t="s">
        <v>1744</v>
      </c>
      <c r="F3404" s="23">
        <v>46054</v>
      </c>
      <c r="G3404" s="8" t="s">
        <v>1144</v>
      </c>
      <c r="H3404" s="23">
        <v>46188</v>
      </c>
      <c r="I3404" s="23">
        <v>46054</v>
      </c>
      <c r="J3404" s="10">
        <v>521.59</v>
      </c>
      <c r="K3404" s="10">
        <v>0</v>
      </c>
      <c r="L3404" s="24">
        <v>0</v>
      </c>
      <c r="M3404" s="10">
        <v>521.59</v>
      </c>
    </row>
    <row r="3405" spans="1:13" x14ac:dyDescent="0.25">
      <c r="A3405" s="12" t="str">
        <f t="shared" si="106"/>
        <v>I38992026SECRETARIA DE ADMINISTRAÇÃO DO GOVERNO DO ESTADO DE PERNAMBUCOIPV46054</v>
      </c>
      <c r="B3405" s="12" t="str">
        <f t="shared" si="107"/>
        <v>Julho</v>
      </c>
      <c r="C3405" s="8" t="s">
        <v>1169</v>
      </c>
      <c r="D3405" s="8" t="s">
        <v>1723</v>
      </c>
      <c r="E3405" s="8" t="s">
        <v>1744</v>
      </c>
      <c r="F3405" s="23">
        <v>46054</v>
      </c>
      <c r="G3405" s="8" t="s">
        <v>1144</v>
      </c>
      <c r="H3405" s="23">
        <v>46218</v>
      </c>
      <c r="I3405" s="23">
        <v>46054</v>
      </c>
      <c r="J3405" s="10">
        <v>521.59</v>
      </c>
      <c r="K3405" s="10">
        <v>0</v>
      </c>
      <c r="L3405" s="24">
        <v>0</v>
      </c>
      <c r="M3405" s="10">
        <v>521.59</v>
      </c>
    </row>
    <row r="3406" spans="1:13" x14ac:dyDescent="0.25">
      <c r="A3406" s="12" t="str">
        <f t="shared" si="106"/>
        <v>I38992026SECRETARIA DE ADMINISTRAÇÃO DO GOVERNO DO ESTADO DE PERNAMBUCOIPV46054</v>
      </c>
      <c r="B3406" s="12" t="str">
        <f t="shared" si="107"/>
        <v>Agosto</v>
      </c>
      <c r="C3406" s="8" t="s">
        <v>1169</v>
      </c>
      <c r="D3406" s="8" t="s">
        <v>1723</v>
      </c>
      <c r="E3406" s="8" t="s">
        <v>1744</v>
      </c>
      <c r="F3406" s="23">
        <v>46054</v>
      </c>
      <c r="G3406" s="8" t="s">
        <v>1144</v>
      </c>
      <c r="H3406" s="23">
        <v>46251</v>
      </c>
      <c r="I3406" s="23">
        <v>46054</v>
      </c>
      <c r="J3406" s="10">
        <v>521.59</v>
      </c>
      <c r="K3406" s="10">
        <v>0</v>
      </c>
      <c r="L3406" s="24">
        <v>0</v>
      </c>
      <c r="M3406" s="10">
        <v>521.59</v>
      </c>
    </row>
    <row r="3407" spans="1:13" x14ac:dyDescent="0.25">
      <c r="A3407" s="12" t="str">
        <f t="shared" si="106"/>
        <v>I38992026SECRETARIA DE ADMINISTRAÇÃO DO GOVERNO DO ESTADO DE PERNAMBUCOIPV46054</v>
      </c>
      <c r="B3407" s="12" t="str">
        <f t="shared" si="107"/>
        <v>Setembro</v>
      </c>
      <c r="C3407" s="8" t="s">
        <v>1169</v>
      </c>
      <c r="D3407" s="8" t="s">
        <v>1723</v>
      </c>
      <c r="E3407" s="8" t="s">
        <v>1744</v>
      </c>
      <c r="F3407" s="23">
        <v>46054</v>
      </c>
      <c r="G3407" s="8" t="s">
        <v>1144</v>
      </c>
      <c r="H3407" s="23">
        <v>46280</v>
      </c>
      <c r="I3407" s="23">
        <v>46054</v>
      </c>
      <c r="J3407" s="10">
        <v>521.59</v>
      </c>
      <c r="K3407" s="10">
        <v>0</v>
      </c>
      <c r="L3407" s="24">
        <v>0</v>
      </c>
      <c r="M3407" s="10">
        <v>521.59</v>
      </c>
    </row>
    <row r="3408" spans="1:13" x14ac:dyDescent="0.25">
      <c r="A3408" s="12" t="str">
        <f t="shared" si="106"/>
        <v>I39002026SECRETARIA DE ADMINISTRAÇÃO DO GOVERNO DO ESTADO DE PERNAMBUCOIPV46054</v>
      </c>
      <c r="B3408" s="12" t="str">
        <f t="shared" si="107"/>
        <v>Fevereiro</v>
      </c>
      <c r="C3408" s="8" t="s">
        <v>1170</v>
      </c>
      <c r="D3408" s="8" t="s">
        <v>1723</v>
      </c>
      <c r="E3408" s="8" t="s">
        <v>1744</v>
      </c>
      <c r="F3408" s="23">
        <v>46054</v>
      </c>
      <c r="G3408" s="8" t="s">
        <v>1144</v>
      </c>
      <c r="H3408" s="23">
        <v>46072</v>
      </c>
      <c r="I3408" s="23">
        <v>46054</v>
      </c>
      <c r="J3408" s="10">
        <v>521.59</v>
      </c>
      <c r="K3408" s="10">
        <v>0</v>
      </c>
      <c r="L3408" s="24">
        <v>0</v>
      </c>
      <c r="M3408" s="10">
        <v>521.59</v>
      </c>
    </row>
    <row r="3409" spans="1:13" x14ac:dyDescent="0.25">
      <c r="A3409" s="12" t="str">
        <f t="shared" si="106"/>
        <v>I39002026SECRETARIA DE ADMINISTRAÇÃO DO GOVERNO DO ESTADO DE PERNAMBUCOIPV46054</v>
      </c>
      <c r="B3409" s="12" t="str">
        <f t="shared" si="107"/>
        <v>Março</v>
      </c>
      <c r="C3409" s="8" t="s">
        <v>1170</v>
      </c>
      <c r="D3409" s="8" t="s">
        <v>1723</v>
      </c>
      <c r="E3409" s="8" t="s">
        <v>1744</v>
      </c>
      <c r="F3409" s="23">
        <v>46054</v>
      </c>
      <c r="G3409" s="8" t="s">
        <v>1144</v>
      </c>
      <c r="H3409" s="23">
        <v>46097</v>
      </c>
      <c r="I3409" s="23">
        <v>46054</v>
      </c>
      <c r="J3409" s="10">
        <v>521.59</v>
      </c>
      <c r="K3409" s="10">
        <v>0</v>
      </c>
      <c r="L3409" s="24">
        <v>0</v>
      </c>
      <c r="M3409" s="10">
        <v>521.59</v>
      </c>
    </row>
    <row r="3410" spans="1:13" x14ac:dyDescent="0.25">
      <c r="A3410" s="12" t="str">
        <f t="shared" si="106"/>
        <v>I39002026SECRETARIA DE ADMINISTRAÇÃO DO GOVERNO DO ESTADO DE PERNAMBUCOIPV46054</v>
      </c>
      <c r="B3410" s="12" t="str">
        <f t="shared" si="107"/>
        <v>Abril</v>
      </c>
      <c r="C3410" s="8" t="s">
        <v>1170</v>
      </c>
      <c r="D3410" s="8" t="s">
        <v>1723</v>
      </c>
      <c r="E3410" s="8" t="s">
        <v>1744</v>
      </c>
      <c r="F3410" s="23">
        <v>46054</v>
      </c>
      <c r="G3410" s="8" t="s">
        <v>1144</v>
      </c>
      <c r="H3410" s="23">
        <v>46127</v>
      </c>
      <c r="I3410" s="23">
        <v>46054</v>
      </c>
      <c r="J3410" s="10">
        <v>521.59</v>
      </c>
      <c r="K3410" s="10">
        <v>0</v>
      </c>
      <c r="L3410" s="24">
        <v>0</v>
      </c>
      <c r="M3410" s="10">
        <v>521.59</v>
      </c>
    </row>
    <row r="3411" spans="1:13" x14ac:dyDescent="0.25">
      <c r="A3411" s="12" t="str">
        <f t="shared" si="106"/>
        <v>I39002026SECRETARIA DE ADMINISTRAÇÃO DO GOVERNO DO ESTADO DE PERNAMBUCOIPV46054</v>
      </c>
      <c r="B3411" s="12" t="str">
        <f t="shared" si="107"/>
        <v>Maio</v>
      </c>
      <c r="C3411" s="8" t="s">
        <v>1170</v>
      </c>
      <c r="D3411" s="8" t="s">
        <v>1723</v>
      </c>
      <c r="E3411" s="8" t="s">
        <v>1744</v>
      </c>
      <c r="F3411" s="23">
        <v>46054</v>
      </c>
      <c r="G3411" s="8" t="s">
        <v>1144</v>
      </c>
      <c r="H3411" s="23">
        <v>46157</v>
      </c>
      <c r="I3411" s="23">
        <v>46054</v>
      </c>
      <c r="J3411" s="10">
        <v>521.59</v>
      </c>
      <c r="K3411" s="10">
        <v>0</v>
      </c>
      <c r="L3411" s="24">
        <v>0</v>
      </c>
      <c r="M3411" s="10">
        <v>521.59</v>
      </c>
    </row>
    <row r="3412" spans="1:13" x14ac:dyDescent="0.25">
      <c r="A3412" s="12" t="str">
        <f t="shared" si="106"/>
        <v>I39002026SECRETARIA DE ADMINISTRAÇÃO DO GOVERNO DO ESTADO DE PERNAMBUCOIPV46054</v>
      </c>
      <c r="B3412" s="12" t="str">
        <f t="shared" si="107"/>
        <v>Junho</v>
      </c>
      <c r="C3412" s="8" t="s">
        <v>1170</v>
      </c>
      <c r="D3412" s="8" t="s">
        <v>1723</v>
      </c>
      <c r="E3412" s="8" t="s">
        <v>1744</v>
      </c>
      <c r="F3412" s="23">
        <v>46054</v>
      </c>
      <c r="G3412" s="8" t="s">
        <v>1144</v>
      </c>
      <c r="H3412" s="23">
        <v>46188</v>
      </c>
      <c r="I3412" s="23">
        <v>46054</v>
      </c>
      <c r="J3412" s="10">
        <v>521.59</v>
      </c>
      <c r="K3412" s="10">
        <v>0</v>
      </c>
      <c r="L3412" s="24">
        <v>0</v>
      </c>
      <c r="M3412" s="10">
        <v>521.59</v>
      </c>
    </row>
    <row r="3413" spans="1:13" x14ac:dyDescent="0.25">
      <c r="A3413" s="12" t="str">
        <f t="shared" si="106"/>
        <v>I39002026SECRETARIA DE ADMINISTRAÇÃO DO GOVERNO DO ESTADO DE PERNAMBUCOIPV46054</v>
      </c>
      <c r="B3413" s="12" t="str">
        <f t="shared" si="107"/>
        <v>Julho</v>
      </c>
      <c r="C3413" s="8" t="s">
        <v>1170</v>
      </c>
      <c r="D3413" s="8" t="s">
        <v>1723</v>
      </c>
      <c r="E3413" s="8" t="s">
        <v>1744</v>
      </c>
      <c r="F3413" s="23">
        <v>46054</v>
      </c>
      <c r="G3413" s="8" t="s">
        <v>1144</v>
      </c>
      <c r="H3413" s="23">
        <v>46218</v>
      </c>
      <c r="I3413" s="23">
        <v>46054</v>
      </c>
      <c r="J3413" s="10">
        <v>521.59</v>
      </c>
      <c r="K3413" s="10">
        <v>0</v>
      </c>
      <c r="L3413" s="24">
        <v>0</v>
      </c>
      <c r="M3413" s="10">
        <v>521.59</v>
      </c>
    </row>
    <row r="3414" spans="1:13" x14ac:dyDescent="0.25">
      <c r="A3414" s="12" t="str">
        <f t="shared" si="106"/>
        <v>I39002026SECRETARIA DE ADMINISTRAÇÃO DO GOVERNO DO ESTADO DE PERNAMBUCOIPV46054</v>
      </c>
      <c r="B3414" s="12" t="str">
        <f t="shared" si="107"/>
        <v>Agosto</v>
      </c>
      <c r="C3414" s="8" t="s">
        <v>1170</v>
      </c>
      <c r="D3414" s="8" t="s">
        <v>1723</v>
      </c>
      <c r="E3414" s="8" t="s">
        <v>1744</v>
      </c>
      <c r="F3414" s="23">
        <v>46054</v>
      </c>
      <c r="G3414" s="8" t="s">
        <v>1144</v>
      </c>
      <c r="H3414" s="23">
        <v>46251</v>
      </c>
      <c r="I3414" s="23">
        <v>46054</v>
      </c>
      <c r="J3414" s="10">
        <v>521.59</v>
      </c>
      <c r="K3414" s="10">
        <v>0</v>
      </c>
      <c r="L3414" s="24">
        <v>0</v>
      </c>
      <c r="M3414" s="10">
        <v>521.59</v>
      </c>
    </row>
    <row r="3415" spans="1:13" x14ac:dyDescent="0.25">
      <c r="A3415" s="12" t="str">
        <f t="shared" si="106"/>
        <v>I39002026SECRETARIA DE ADMINISTRAÇÃO DO GOVERNO DO ESTADO DE PERNAMBUCOIPV46054</v>
      </c>
      <c r="B3415" s="12" t="str">
        <f t="shared" si="107"/>
        <v>Setembro</v>
      </c>
      <c r="C3415" s="8" t="s">
        <v>1170</v>
      </c>
      <c r="D3415" s="8" t="s">
        <v>1723</v>
      </c>
      <c r="E3415" s="8" t="s">
        <v>1744</v>
      </c>
      <c r="F3415" s="23">
        <v>46054</v>
      </c>
      <c r="G3415" s="8" t="s">
        <v>1144</v>
      </c>
      <c r="H3415" s="23">
        <v>46280</v>
      </c>
      <c r="I3415" s="23">
        <v>46054</v>
      </c>
      <c r="J3415" s="10">
        <v>521.59</v>
      </c>
      <c r="K3415" s="10">
        <v>0</v>
      </c>
      <c r="L3415" s="24">
        <v>0</v>
      </c>
      <c r="M3415" s="10">
        <v>521.59</v>
      </c>
    </row>
    <row r="3416" spans="1:13" x14ac:dyDescent="0.25">
      <c r="A3416" s="12" t="str">
        <f t="shared" si="106"/>
        <v>I39012026SECRETARIA DE ADMINISTRAÇÃO DO GOVERNO DO ESTADO DE PERNAMBUCOIPV46054</v>
      </c>
      <c r="B3416" s="12" t="str">
        <f t="shared" si="107"/>
        <v>Fevereiro</v>
      </c>
      <c r="C3416" s="8" t="s">
        <v>1171</v>
      </c>
      <c r="D3416" s="8" t="s">
        <v>1723</v>
      </c>
      <c r="E3416" s="8" t="s">
        <v>1744</v>
      </c>
      <c r="F3416" s="23">
        <v>46054</v>
      </c>
      <c r="G3416" s="8" t="s">
        <v>1144</v>
      </c>
      <c r="H3416" s="23">
        <v>46072</v>
      </c>
      <c r="I3416" s="23">
        <v>46054</v>
      </c>
      <c r="J3416" s="10">
        <v>544.78</v>
      </c>
      <c r="K3416" s="10">
        <v>0</v>
      </c>
      <c r="L3416" s="24">
        <v>0</v>
      </c>
      <c r="M3416" s="10">
        <v>544.78</v>
      </c>
    </row>
    <row r="3417" spans="1:13" x14ac:dyDescent="0.25">
      <c r="A3417" s="12" t="str">
        <f t="shared" si="106"/>
        <v>I39012026SECRETARIA DE ADMINISTRAÇÃO DO GOVERNO DO ESTADO DE PERNAMBUCOIPV46054</v>
      </c>
      <c r="B3417" s="12" t="str">
        <f t="shared" si="107"/>
        <v>Março</v>
      </c>
      <c r="C3417" s="8" t="s">
        <v>1171</v>
      </c>
      <c r="D3417" s="8" t="s">
        <v>1723</v>
      </c>
      <c r="E3417" s="8" t="s">
        <v>1744</v>
      </c>
      <c r="F3417" s="23">
        <v>46054</v>
      </c>
      <c r="G3417" s="8" t="s">
        <v>1144</v>
      </c>
      <c r="H3417" s="23">
        <v>46097</v>
      </c>
      <c r="I3417" s="23">
        <v>46054</v>
      </c>
      <c r="J3417" s="10">
        <v>544.78</v>
      </c>
      <c r="K3417" s="10">
        <v>0</v>
      </c>
      <c r="L3417" s="24">
        <v>0</v>
      </c>
      <c r="M3417" s="10">
        <v>544.78</v>
      </c>
    </row>
    <row r="3418" spans="1:13" x14ac:dyDescent="0.25">
      <c r="A3418" s="12" t="str">
        <f t="shared" si="106"/>
        <v>I39012026SECRETARIA DE ADMINISTRAÇÃO DO GOVERNO DO ESTADO DE PERNAMBUCOIPV46054</v>
      </c>
      <c r="B3418" s="12" t="str">
        <f t="shared" si="107"/>
        <v>Abril</v>
      </c>
      <c r="C3418" s="8" t="s">
        <v>1171</v>
      </c>
      <c r="D3418" s="8" t="s">
        <v>1723</v>
      </c>
      <c r="E3418" s="8" t="s">
        <v>1744</v>
      </c>
      <c r="F3418" s="23">
        <v>46054</v>
      </c>
      <c r="G3418" s="8" t="s">
        <v>1144</v>
      </c>
      <c r="H3418" s="23">
        <v>46127</v>
      </c>
      <c r="I3418" s="23">
        <v>46054</v>
      </c>
      <c r="J3418" s="10">
        <v>544.78</v>
      </c>
      <c r="K3418" s="10">
        <v>0</v>
      </c>
      <c r="L3418" s="24">
        <v>0</v>
      </c>
      <c r="M3418" s="10">
        <v>544.78</v>
      </c>
    </row>
    <row r="3419" spans="1:13" x14ac:dyDescent="0.25">
      <c r="A3419" s="12" t="str">
        <f t="shared" ref="A3419:A3482" si="108">$C3419&amp;$E3419&amp;$G3419&amp;$F3419</f>
        <v>I39012026SECRETARIA DE ADMINISTRAÇÃO DO GOVERNO DO ESTADO DE PERNAMBUCOIPV46054</v>
      </c>
      <c r="B3419" s="12" t="str">
        <f t="shared" si="107"/>
        <v>Maio</v>
      </c>
      <c r="C3419" s="8" t="s">
        <v>1171</v>
      </c>
      <c r="D3419" s="8" t="s">
        <v>1723</v>
      </c>
      <c r="E3419" s="8" t="s">
        <v>1744</v>
      </c>
      <c r="F3419" s="23">
        <v>46054</v>
      </c>
      <c r="G3419" s="8" t="s">
        <v>1144</v>
      </c>
      <c r="H3419" s="23">
        <v>46157</v>
      </c>
      <c r="I3419" s="23">
        <v>46054</v>
      </c>
      <c r="J3419" s="10">
        <v>544.78</v>
      </c>
      <c r="K3419" s="10">
        <v>0</v>
      </c>
      <c r="L3419" s="24">
        <v>0</v>
      </c>
      <c r="M3419" s="10">
        <v>544.78</v>
      </c>
    </row>
    <row r="3420" spans="1:13" x14ac:dyDescent="0.25">
      <c r="A3420" s="12" t="str">
        <f t="shared" si="108"/>
        <v>I39012026SECRETARIA DE ADMINISTRAÇÃO DO GOVERNO DO ESTADO DE PERNAMBUCOIPV46054</v>
      </c>
      <c r="B3420" s="12" t="str">
        <f t="shared" si="107"/>
        <v>Junho</v>
      </c>
      <c r="C3420" s="8" t="s">
        <v>1171</v>
      </c>
      <c r="D3420" s="8" t="s">
        <v>1723</v>
      </c>
      <c r="E3420" s="8" t="s">
        <v>1744</v>
      </c>
      <c r="F3420" s="23">
        <v>46054</v>
      </c>
      <c r="G3420" s="8" t="s">
        <v>1144</v>
      </c>
      <c r="H3420" s="23">
        <v>46188</v>
      </c>
      <c r="I3420" s="23">
        <v>46054</v>
      </c>
      <c r="J3420" s="10">
        <v>544.78</v>
      </c>
      <c r="K3420" s="10">
        <v>0</v>
      </c>
      <c r="L3420" s="24">
        <v>0</v>
      </c>
      <c r="M3420" s="10">
        <v>544.78</v>
      </c>
    </row>
    <row r="3421" spans="1:13" x14ac:dyDescent="0.25">
      <c r="A3421" s="12" t="str">
        <f t="shared" si="108"/>
        <v>I39012026SECRETARIA DE ADMINISTRAÇÃO DO GOVERNO DO ESTADO DE PERNAMBUCOIPV46054</v>
      </c>
      <c r="B3421" s="12" t="str">
        <f t="shared" si="107"/>
        <v>Julho</v>
      </c>
      <c r="C3421" s="8" t="s">
        <v>1171</v>
      </c>
      <c r="D3421" s="8" t="s">
        <v>1723</v>
      </c>
      <c r="E3421" s="8" t="s">
        <v>1744</v>
      </c>
      <c r="F3421" s="23">
        <v>46054</v>
      </c>
      <c r="G3421" s="8" t="s">
        <v>1144</v>
      </c>
      <c r="H3421" s="23">
        <v>46218</v>
      </c>
      <c r="I3421" s="23">
        <v>46054</v>
      </c>
      <c r="J3421" s="10">
        <v>544.78</v>
      </c>
      <c r="K3421" s="10">
        <v>0</v>
      </c>
      <c r="L3421" s="24">
        <v>0</v>
      </c>
      <c r="M3421" s="10">
        <v>544.78</v>
      </c>
    </row>
    <row r="3422" spans="1:13" x14ac:dyDescent="0.25">
      <c r="A3422" s="12" t="str">
        <f t="shared" si="108"/>
        <v>I39012026SECRETARIA DE ADMINISTRAÇÃO DO GOVERNO DO ESTADO DE PERNAMBUCOIPV46054</v>
      </c>
      <c r="B3422" s="12" t="str">
        <f t="shared" si="107"/>
        <v>Agosto</v>
      </c>
      <c r="C3422" s="8" t="s">
        <v>1171</v>
      </c>
      <c r="D3422" s="8" t="s">
        <v>1723</v>
      </c>
      <c r="E3422" s="8" t="s">
        <v>1744</v>
      </c>
      <c r="F3422" s="23">
        <v>46054</v>
      </c>
      <c r="G3422" s="8" t="s">
        <v>1144</v>
      </c>
      <c r="H3422" s="23">
        <v>46251</v>
      </c>
      <c r="I3422" s="23">
        <v>46054</v>
      </c>
      <c r="J3422" s="10">
        <v>544.78</v>
      </c>
      <c r="K3422" s="10">
        <v>0</v>
      </c>
      <c r="L3422" s="24">
        <v>0</v>
      </c>
      <c r="M3422" s="10">
        <v>544.78</v>
      </c>
    </row>
    <row r="3423" spans="1:13" x14ac:dyDescent="0.25">
      <c r="A3423" s="12" t="str">
        <f t="shared" si="108"/>
        <v>I39012026SECRETARIA DE ADMINISTRAÇÃO DO GOVERNO DO ESTADO DE PERNAMBUCOIPV46054</v>
      </c>
      <c r="B3423" s="12" t="str">
        <f t="shared" si="107"/>
        <v>Setembro</v>
      </c>
      <c r="C3423" s="8" t="s">
        <v>1171</v>
      </c>
      <c r="D3423" s="8" t="s">
        <v>1723</v>
      </c>
      <c r="E3423" s="8" t="s">
        <v>1744</v>
      </c>
      <c r="F3423" s="23">
        <v>46054</v>
      </c>
      <c r="G3423" s="8" t="s">
        <v>1144</v>
      </c>
      <c r="H3423" s="23">
        <v>46280</v>
      </c>
      <c r="I3423" s="23">
        <v>46054</v>
      </c>
      <c r="J3423" s="10">
        <v>544.78</v>
      </c>
      <c r="K3423" s="10">
        <v>0</v>
      </c>
      <c r="L3423" s="24">
        <v>0</v>
      </c>
      <c r="M3423" s="10">
        <v>544.78</v>
      </c>
    </row>
    <row r="3424" spans="1:13" x14ac:dyDescent="0.25">
      <c r="A3424" s="12" t="str">
        <f t="shared" si="108"/>
        <v>I39022026SECRETARIA DE ADMINISTRAÇÃO DO GOVERNO DO ESTADO DE PERNAMBUCOIPV46054</v>
      </c>
      <c r="B3424" s="12" t="str">
        <f t="shared" si="107"/>
        <v>Fevereiro</v>
      </c>
      <c r="C3424" s="8" t="s">
        <v>1172</v>
      </c>
      <c r="D3424" s="8" t="s">
        <v>1723</v>
      </c>
      <c r="E3424" s="8" t="s">
        <v>1744</v>
      </c>
      <c r="F3424" s="23">
        <v>46054</v>
      </c>
      <c r="G3424" s="8" t="s">
        <v>1144</v>
      </c>
      <c r="H3424" s="23">
        <v>46072</v>
      </c>
      <c r="I3424" s="23">
        <v>46054</v>
      </c>
      <c r="J3424" s="10">
        <v>544.78</v>
      </c>
      <c r="K3424" s="10">
        <v>0</v>
      </c>
      <c r="L3424" s="24">
        <v>0</v>
      </c>
      <c r="M3424" s="10">
        <v>544.78</v>
      </c>
    </row>
    <row r="3425" spans="1:13" x14ac:dyDescent="0.25">
      <c r="A3425" s="12" t="str">
        <f t="shared" si="108"/>
        <v>I39022026SECRETARIA DE ADMINISTRAÇÃO DO GOVERNO DO ESTADO DE PERNAMBUCOIPV46054</v>
      </c>
      <c r="B3425" s="12" t="str">
        <f t="shared" si="107"/>
        <v>Março</v>
      </c>
      <c r="C3425" s="8" t="s">
        <v>1172</v>
      </c>
      <c r="D3425" s="8" t="s">
        <v>1723</v>
      </c>
      <c r="E3425" s="8" t="s">
        <v>1744</v>
      </c>
      <c r="F3425" s="23">
        <v>46054</v>
      </c>
      <c r="G3425" s="8" t="s">
        <v>1144</v>
      </c>
      <c r="H3425" s="23">
        <v>46097</v>
      </c>
      <c r="I3425" s="23">
        <v>46054</v>
      </c>
      <c r="J3425" s="10">
        <v>544.78</v>
      </c>
      <c r="K3425" s="10">
        <v>0</v>
      </c>
      <c r="L3425" s="24">
        <v>0</v>
      </c>
      <c r="M3425" s="10">
        <v>544.78</v>
      </c>
    </row>
    <row r="3426" spans="1:13" x14ac:dyDescent="0.25">
      <c r="A3426" s="12" t="str">
        <f t="shared" si="108"/>
        <v>I39022026SECRETARIA DE ADMINISTRAÇÃO DO GOVERNO DO ESTADO DE PERNAMBUCOIPV46054</v>
      </c>
      <c r="B3426" s="12" t="str">
        <f t="shared" si="107"/>
        <v>Abril</v>
      </c>
      <c r="C3426" s="8" t="s">
        <v>1172</v>
      </c>
      <c r="D3426" s="8" t="s">
        <v>1723</v>
      </c>
      <c r="E3426" s="8" t="s">
        <v>1744</v>
      </c>
      <c r="F3426" s="23">
        <v>46054</v>
      </c>
      <c r="G3426" s="8" t="s">
        <v>1144</v>
      </c>
      <c r="H3426" s="23">
        <v>46127</v>
      </c>
      <c r="I3426" s="23">
        <v>46054</v>
      </c>
      <c r="J3426" s="10">
        <v>544.78</v>
      </c>
      <c r="K3426" s="10">
        <v>0</v>
      </c>
      <c r="L3426" s="24">
        <v>0</v>
      </c>
      <c r="M3426" s="10">
        <v>544.78</v>
      </c>
    </row>
    <row r="3427" spans="1:13" x14ac:dyDescent="0.25">
      <c r="A3427" s="12" t="str">
        <f t="shared" si="108"/>
        <v>I39022026SECRETARIA DE ADMINISTRAÇÃO DO GOVERNO DO ESTADO DE PERNAMBUCOIPV46054</v>
      </c>
      <c r="B3427" s="12" t="str">
        <f t="shared" si="107"/>
        <v>Maio</v>
      </c>
      <c r="C3427" s="8" t="s">
        <v>1172</v>
      </c>
      <c r="D3427" s="8" t="s">
        <v>1723</v>
      </c>
      <c r="E3427" s="8" t="s">
        <v>1744</v>
      </c>
      <c r="F3427" s="23">
        <v>46054</v>
      </c>
      <c r="G3427" s="8" t="s">
        <v>1144</v>
      </c>
      <c r="H3427" s="23">
        <v>46157</v>
      </c>
      <c r="I3427" s="23">
        <v>46054</v>
      </c>
      <c r="J3427" s="10">
        <v>544.78</v>
      </c>
      <c r="K3427" s="10">
        <v>0</v>
      </c>
      <c r="L3427" s="24">
        <v>0</v>
      </c>
      <c r="M3427" s="10">
        <v>544.78</v>
      </c>
    </row>
    <row r="3428" spans="1:13" x14ac:dyDescent="0.25">
      <c r="A3428" s="12" t="str">
        <f t="shared" si="108"/>
        <v>I39022026SECRETARIA DE ADMINISTRAÇÃO DO GOVERNO DO ESTADO DE PERNAMBUCOIPV46054</v>
      </c>
      <c r="B3428" s="12" t="str">
        <f t="shared" si="107"/>
        <v>Junho</v>
      </c>
      <c r="C3428" s="8" t="s">
        <v>1172</v>
      </c>
      <c r="D3428" s="8" t="s">
        <v>1723</v>
      </c>
      <c r="E3428" s="8" t="s">
        <v>1744</v>
      </c>
      <c r="F3428" s="23">
        <v>46054</v>
      </c>
      <c r="G3428" s="8" t="s">
        <v>1144</v>
      </c>
      <c r="H3428" s="23">
        <v>46188</v>
      </c>
      <c r="I3428" s="23">
        <v>46054</v>
      </c>
      <c r="J3428" s="10">
        <v>544.78</v>
      </c>
      <c r="K3428" s="10">
        <v>0</v>
      </c>
      <c r="L3428" s="24">
        <v>0</v>
      </c>
      <c r="M3428" s="10">
        <v>544.78</v>
      </c>
    </row>
    <row r="3429" spans="1:13" x14ac:dyDescent="0.25">
      <c r="A3429" s="12" t="str">
        <f t="shared" si="108"/>
        <v>I39022026SECRETARIA DE ADMINISTRAÇÃO DO GOVERNO DO ESTADO DE PERNAMBUCOIPV46054</v>
      </c>
      <c r="B3429" s="12" t="str">
        <f t="shared" si="107"/>
        <v>Julho</v>
      </c>
      <c r="C3429" s="8" t="s">
        <v>1172</v>
      </c>
      <c r="D3429" s="8" t="s">
        <v>1723</v>
      </c>
      <c r="E3429" s="8" t="s">
        <v>1744</v>
      </c>
      <c r="F3429" s="23">
        <v>46054</v>
      </c>
      <c r="G3429" s="8" t="s">
        <v>1144</v>
      </c>
      <c r="H3429" s="23">
        <v>46218</v>
      </c>
      <c r="I3429" s="23">
        <v>46054</v>
      </c>
      <c r="J3429" s="10">
        <v>544.78</v>
      </c>
      <c r="K3429" s="10">
        <v>0</v>
      </c>
      <c r="L3429" s="24">
        <v>0</v>
      </c>
      <c r="M3429" s="10">
        <v>544.78</v>
      </c>
    </row>
    <row r="3430" spans="1:13" x14ac:dyDescent="0.25">
      <c r="A3430" s="12" t="str">
        <f t="shared" si="108"/>
        <v>I39022026SECRETARIA DE ADMINISTRAÇÃO DO GOVERNO DO ESTADO DE PERNAMBUCOIPV46054</v>
      </c>
      <c r="B3430" s="12" t="str">
        <f t="shared" si="107"/>
        <v>Agosto</v>
      </c>
      <c r="C3430" s="8" t="s">
        <v>1172</v>
      </c>
      <c r="D3430" s="8" t="s">
        <v>1723</v>
      </c>
      <c r="E3430" s="8" t="s">
        <v>1744</v>
      </c>
      <c r="F3430" s="23">
        <v>46054</v>
      </c>
      <c r="G3430" s="8" t="s">
        <v>1144</v>
      </c>
      <c r="H3430" s="23">
        <v>46251</v>
      </c>
      <c r="I3430" s="23">
        <v>46054</v>
      </c>
      <c r="J3430" s="10">
        <v>544.78</v>
      </c>
      <c r="K3430" s="10">
        <v>0</v>
      </c>
      <c r="L3430" s="24">
        <v>0</v>
      </c>
      <c r="M3430" s="10">
        <v>544.78</v>
      </c>
    </row>
    <row r="3431" spans="1:13" x14ac:dyDescent="0.25">
      <c r="A3431" s="12" t="str">
        <f t="shared" si="108"/>
        <v>I39022026SECRETARIA DE ADMINISTRAÇÃO DO GOVERNO DO ESTADO DE PERNAMBUCOIPV46054</v>
      </c>
      <c r="B3431" s="12" t="str">
        <f t="shared" si="107"/>
        <v>Setembro</v>
      </c>
      <c r="C3431" s="8" t="s">
        <v>1172</v>
      </c>
      <c r="D3431" s="8" t="s">
        <v>1723</v>
      </c>
      <c r="E3431" s="8" t="s">
        <v>1744</v>
      </c>
      <c r="F3431" s="23">
        <v>46054</v>
      </c>
      <c r="G3431" s="8" t="s">
        <v>1144</v>
      </c>
      <c r="H3431" s="23">
        <v>46280</v>
      </c>
      <c r="I3431" s="23">
        <v>46054</v>
      </c>
      <c r="J3431" s="10">
        <v>544.78</v>
      </c>
      <c r="K3431" s="10">
        <v>0</v>
      </c>
      <c r="L3431" s="24">
        <v>0</v>
      </c>
      <c r="M3431" s="10">
        <v>544.78</v>
      </c>
    </row>
    <row r="3432" spans="1:13" x14ac:dyDescent="0.25">
      <c r="A3432" s="12" t="str">
        <f t="shared" si="108"/>
        <v>I39032026SECRETARIA DE ADMINISTRAÇÃO DO GOVERNO DO ESTADO DE PERNAMBUCOIPV46054</v>
      </c>
      <c r="B3432" s="12" t="str">
        <f t="shared" si="107"/>
        <v>Fevereiro</v>
      </c>
      <c r="C3432" s="8" t="s">
        <v>1173</v>
      </c>
      <c r="D3432" s="8" t="s">
        <v>1723</v>
      </c>
      <c r="E3432" s="8" t="s">
        <v>1744</v>
      </c>
      <c r="F3432" s="23">
        <v>46054</v>
      </c>
      <c r="G3432" s="8" t="s">
        <v>1144</v>
      </c>
      <c r="H3432" s="23">
        <v>46072</v>
      </c>
      <c r="I3432" s="23">
        <v>46054</v>
      </c>
      <c r="J3432" s="10">
        <v>544.78</v>
      </c>
      <c r="K3432" s="10">
        <v>0</v>
      </c>
      <c r="L3432" s="24">
        <v>0</v>
      </c>
      <c r="M3432" s="10">
        <v>544.78</v>
      </c>
    </row>
    <row r="3433" spans="1:13" x14ac:dyDescent="0.25">
      <c r="A3433" s="12" t="str">
        <f t="shared" si="108"/>
        <v>I39032026SECRETARIA DE ADMINISTRAÇÃO DO GOVERNO DO ESTADO DE PERNAMBUCOIPV46054</v>
      </c>
      <c r="B3433" s="12" t="str">
        <f t="shared" si="107"/>
        <v>Março</v>
      </c>
      <c r="C3433" s="8" t="s">
        <v>1173</v>
      </c>
      <c r="D3433" s="8" t="s">
        <v>1723</v>
      </c>
      <c r="E3433" s="8" t="s">
        <v>1744</v>
      </c>
      <c r="F3433" s="23">
        <v>46054</v>
      </c>
      <c r="G3433" s="8" t="s">
        <v>1144</v>
      </c>
      <c r="H3433" s="23">
        <v>46097</v>
      </c>
      <c r="I3433" s="23">
        <v>46054</v>
      </c>
      <c r="J3433" s="10">
        <v>544.78</v>
      </c>
      <c r="K3433" s="10">
        <v>0</v>
      </c>
      <c r="L3433" s="24">
        <v>0</v>
      </c>
      <c r="M3433" s="10">
        <v>544.78</v>
      </c>
    </row>
    <row r="3434" spans="1:13" x14ac:dyDescent="0.25">
      <c r="A3434" s="12" t="str">
        <f t="shared" si="108"/>
        <v>I39032026SECRETARIA DE ADMINISTRAÇÃO DO GOVERNO DO ESTADO DE PERNAMBUCOIPV46054</v>
      </c>
      <c r="B3434" s="12" t="str">
        <f t="shared" si="107"/>
        <v>Abril</v>
      </c>
      <c r="C3434" s="8" t="s">
        <v>1173</v>
      </c>
      <c r="D3434" s="8" t="s">
        <v>1723</v>
      </c>
      <c r="E3434" s="8" t="s">
        <v>1744</v>
      </c>
      <c r="F3434" s="23">
        <v>46054</v>
      </c>
      <c r="G3434" s="8" t="s">
        <v>1144</v>
      </c>
      <c r="H3434" s="23">
        <v>46127</v>
      </c>
      <c r="I3434" s="23">
        <v>46054</v>
      </c>
      <c r="J3434" s="10">
        <v>544.78</v>
      </c>
      <c r="K3434" s="10">
        <v>0</v>
      </c>
      <c r="L3434" s="24">
        <v>0</v>
      </c>
      <c r="M3434" s="10">
        <v>544.78</v>
      </c>
    </row>
    <row r="3435" spans="1:13" x14ac:dyDescent="0.25">
      <c r="A3435" s="12" t="str">
        <f t="shared" si="108"/>
        <v>I39032026SECRETARIA DE ADMINISTRAÇÃO DO GOVERNO DO ESTADO DE PERNAMBUCOIPV46054</v>
      </c>
      <c r="B3435" s="12" t="str">
        <f t="shared" si="107"/>
        <v>Maio</v>
      </c>
      <c r="C3435" s="8" t="s">
        <v>1173</v>
      </c>
      <c r="D3435" s="8" t="s">
        <v>1723</v>
      </c>
      <c r="E3435" s="8" t="s">
        <v>1744</v>
      </c>
      <c r="F3435" s="23">
        <v>46054</v>
      </c>
      <c r="G3435" s="8" t="s">
        <v>1144</v>
      </c>
      <c r="H3435" s="23">
        <v>46157</v>
      </c>
      <c r="I3435" s="23">
        <v>46054</v>
      </c>
      <c r="J3435" s="10">
        <v>544.78</v>
      </c>
      <c r="K3435" s="10">
        <v>0</v>
      </c>
      <c r="L3435" s="24">
        <v>0</v>
      </c>
      <c r="M3435" s="10">
        <v>544.78</v>
      </c>
    </row>
    <row r="3436" spans="1:13" x14ac:dyDescent="0.25">
      <c r="A3436" s="12" t="str">
        <f t="shared" si="108"/>
        <v>I39032026SECRETARIA DE ADMINISTRAÇÃO DO GOVERNO DO ESTADO DE PERNAMBUCOIPV46054</v>
      </c>
      <c r="B3436" s="12" t="str">
        <f t="shared" si="107"/>
        <v>Junho</v>
      </c>
      <c r="C3436" s="8" t="s">
        <v>1173</v>
      </c>
      <c r="D3436" s="8" t="s">
        <v>1723</v>
      </c>
      <c r="E3436" s="8" t="s">
        <v>1744</v>
      </c>
      <c r="F3436" s="23">
        <v>46054</v>
      </c>
      <c r="G3436" s="8" t="s">
        <v>1144</v>
      </c>
      <c r="H3436" s="23">
        <v>46188</v>
      </c>
      <c r="I3436" s="23">
        <v>46054</v>
      </c>
      <c r="J3436" s="10">
        <v>544.78</v>
      </c>
      <c r="K3436" s="10">
        <v>0</v>
      </c>
      <c r="L3436" s="24">
        <v>0</v>
      </c>
      <c r="M3436" s="10">
        <v>544.78</v>
      </c>
    </row>
    <row r="3437" spans="1:13" x14ac:dyDescent="0.25">
      <c r="A3437" s="12" t="str">
        <f t="shared" si="108"/>
        <v>I39032026SECRETARIA DE ADMINISTRAÇÃO DO GOVERNO DO ESTADO DE PERNAMBUCOIPV46054</v>
      </c>
      <c r="B3437" s="12" t="str">
        <f t="shared" si="107"/>
        <v>Julho</v>
      </c>
      <c r="C3437" s="8" t="s">
        <v>1173</v>
      </c>
      <c r="D3437" s="8" t="s">
        <v>1723</v>
      </c>
      <c r="E3437" s="8" t="s">
        <v>1744</v>
      </c>
      <c r="F3437" s="23">
        <v>46054</v>
      </c>
      <c r="G3437" s="8" t="s">
        <v>1144</v>
      </c>
      <c r="H3437" s="23">
        <v>46218</v>
      </c>
      <c r="I3437" s="23">
        <v>46054</v>
      </c>
      <c r="J3437" s="10">
        <v>544.78</v>
      </c>
      <c r="K3437" s="10">
        <v>0</v>
      </c>
      <c r="L3437" s="24">
        <v>0</v>
      </c>
      <c r="M3437" s="10">
        <v>544.78</v>
      </c>
    </row>
    <row r="3438" spans="1:13" x14ac:dyDescent="0.25">
      <c r="A3438" s="12" t="str">
        <f t="shared" si="108"/>
        <v>I39032026SECRETARIA DE ADMINISTRAÇÃO DO GOVERNO DO ESTADO DE PERNAMBUCOIPV46054</v>
      </c>
      <c r="B3438" s="12" t="str">
        <f t="shared" si="107"/>
        <v>Agosto</v>
      </c>
      <c r="C3438" s="8" t="s">
        <v>1173</v>
      </c>
      <c r="D3438" s="8" t="s">
        <v>1723</v>
      </c>
      <c r="E3438" s="8" t="s">
        <v>1744</v>
      </c>
      <c r="F3438" s="23">
        <v>46054</v>
      </c>
      <c r="G3438" s="8" t="s">
        <v>1144</v>
      </c>
      <c r="H3438" s="23">
        <v>46251</v>
      </c>
      <c r="I3438" s="23">
        <v>46054</v>
      </c>
      <c r="J3438" s="10">
        <v>544.78</v>
      </c>
      <c r="K3438" s="10">
        <v>0</v>
      </c>
      <c r="L3438" s="24">
        <v>0</v>
      </c>
      <c r="M3438" s="10">
        <v>544.78</v>
      </c>
    </row>
    <row r="3439" spans="1:13" x14ac:dyDescent="0.25">
      <c r="A3439" s="12" t="str">
        <f t="shared" si="108"/>
        <v>I39032026SECRETARIA DE ADMINISTRAÇÃO DO GOVERNO DO ESTADO DE PERNAMBUCOIPV46054</v>
      </c>
      <c r="B3439" s="12" t="str">
        <f t="shared" si="107"/>
        <v>Setembro</v>
      </c>
      <c r="C3439" s="8" t="s">
        <v>1173</v>
      </c>
      <c r="D3439" s="8" t="s">
        <v>1723</v>
      </c>
      <c r="E3439" s="8" t="s">
        <v>1744</v>
      </c>
      <c r="F3439" s="23">
        <v>46054</v>
      </c>
      <c r="G3439" s="8" t="s">
        <v>1144</v>
      </c>
      <c r="H3439" s="23">
        <v>46280</v>
      </c>
      <c r="I3439" s="23">
        <v>46054</v>
      </c>
      <c r="J3439" s="10">
        <v>544.78</v>
      </c>
      <c r="K3439" s="10">
        <v>0</v>
      </c>
      <c r="L3439" s="24">
        <v>0</v>
      </c>
      <c r="M3439" s="10">
        <v>544.78</v>
      </c>
    </row>
    <row r="3440" spans="1:13" x14ac:dyDescent="0.25">
      <c r="A3440" s="12" t="str">
        <f t="shared" si="108"/>
        <v>IA00027131MUNICIPIO DE ITABIRAmul46163</v>
      </c>
      <c r="B3440" s="12" t="str">
        <f t="shared" si="107"/>
        <v>Junho</v>
      </c>
      <c r="C3440" s="8" t="s">
        <v>2523</v>
      </c>
      <c r="D3440" s="8" t="s">
        <v>1491</v>
      </c>
      <c r="E3440" s="8" t="s">
        <v>2524</v>
      </c>
      <c r="F3440" s="23">
        <v>46163</v>
      </c>
      <c r="G3440" s="8" t="s">
        <v>1493</v>
      </c>
      <c r="H3440" s="23">
        <v>46199</v>
      </c>
      <c r="I3440" s="23">
        <v>46163</v>
      </c>
      <c r="J3440" s="10">
        <v>293.47000000000003</v>
      </c>
      <c r="K3440" s="10">
        <v>117.39</v>
      </c>
      <c r="L3440" s="24">
        <v>0</v>
      </c>
      <c r="M3440" s="10">
        <v>176.08</v>
      </c>
    </row>
    <row r="3441" spans="1:13" x14ac:dyDescent="0.25">
      <c r="A3441" s="12" t="str">
        <f t="shared" si="108"/>
        <v>IA00028538MUNICIPIO DE ITABIRAMUL46253</v>
      </c>
      <c r="B3441" s="12" t="str">
        <f t="shared" si="107"/>
        <v>Setembro</v>
      </c>
      <c r="C3441" s="8" t="s">
        <v>3035</v>
      </c>
      <c r="D3441" s="8" t="s">
        <v>1491</v>
      </c>
      <c r="E3441" s="8" t="s">
        <v>2524</v>
      </c>
      <c r="F3441" s="23">
        <v>46253</v>
      </c>
      <c r="G3441" s="8" t="s">
        <v>1491</v>
      </c>
      <c r="H3441" s="23">
        <v>46283</v>
      </c>
      <c r="I3441" s="23">
        <v>46253</v>
      </c>
      <c r="J3441" s="10">
        <v>88.38</v>
      </c>
      <c r="K3441" s="10">
        <v>17.68</v>
      </c>
      <c r="L3441" s="24">
        <v>0</v>
      </c>
      <c r="M3441" s="10">
        <v>70.7</v>
      </c>
    </row>
    <row r="3442" spans="1:13" x14ac:dyDescent="0.25">
      <c r="A3442" s="12" t="str">
        <f t="shared" si="108"/>
        <v>IFL1152026SECRETARIA DE ADMINISTRAÇÃO DO GOVERNO DO ESTADO DE PERNAMBUCOIPV46063</v>
      </c>
      <c r="B3442" s="12" t="str">
        <f t="shared" si="107"/>
        <v>Fevereiro</v>
      </c>
      <c r="C3442" s="8" t="s">
        <v>1253</v>
      </c>
      <c r="D3442" s="8" t="s">
        <v>1723</v>
      </c>
      <c r="E3442" s="8" t="s">
        <v>1744</v>
      </c>
      <c r="F3442" s="23">
        <v>46063</v>
      </c>
      <c r="G3442" s="8" t="s">
        <v>1144</v>
      </c>
      <c r="H3442" s="23">
        <v>46073</v>
      </c>
      <c r="I3442" s="23">
        <v>46063</v>
      </c>
      <c r="J3442" s="10">
        <v>198.61</v>
      </c>
      <c r="K3442" s="10">
        <v>0</v>
      </c>
      <c r="L3442" s="24">
        <v>0</v>
      </c>
      <c r="M3442" s="10">
        <v>198.61</v>
      </c>
    </row>
    <row r="3443" spans="1:13" x14ac:dyDescent="0.25">
      <c r="A3443" s="12" t="str">
        <f t="shared" si="108"/>
        <v>IFL1152026SECRETARIA DE ADMINISTRAÇÃO DO GOVERNO DO ESTADO DE PERNAMBUCOIPV46063</v>
      </c>
      <c r="B3443" s="12" t="str">
        <f t="shared" si="107"/>
        <v>Março</v>
      </c>
      <c r="C3443" s="8" t="s">
        <v>1253</v>
      </c>
      <c r="D3443" s="8" t="s">
        <v>1723</v>
      </c>
      <c r="E3443" s="8" t="s">
        <v>1744</v>
      </c>
      <c r="F3443" s="23">
        <v>46063</v>
      </c>
      <c r="G3443" s="8" t="s">
        <v>1144</v>
      </c>
      <c r="H3443" s="23">
        <v>46101</v>
      </c>
      <c r="I3443" s="23">
        <v>46063</v>
      </c>
      <c r="J3443" s="10">
        <v>198.61</v>
      </c>
      <c r="K3443" s="10">
        <v>0</v>
      </c>
      <c r="L3443" s="24">
        <v>0</v>
      </c>
      <c r="M3443" s="10">
        <v>198.61</v>
      </c>
    </row>
    <row r="3444" spans="1:13" x14ac:dyDescent="0.25">
      <c r="A3444" s="12" t="str">
        <f t="shared" si="108"/>
        <v>IFL1152026SECRETARIA DE ADMINISTRAÇÃO DO GOVERNO DO ESTADO DE PERNAMBUCOIPV46063</v>
      </c>
      <c r="B3444" s="12" t="str">
        <f t="shared" si="107"/>
        <v>Abril</v>
      </c>
      <c r="C3444" s="8" t="s">
        <v>1253</v>
      </c>
      <c r="D3444" s="8" t="s">
        <v>1723</v>
      </c>
      <c r="E3444" s="8" t="s">
        <v>1744</v>
      </c>
      <c r="F3444" s="23">
        <v>46063</v>
      </c>
      <c r="G3444" s="8" t="s">
        <v>1144</v>
      </c>
      <c r="H3444" s="23">
        <v>46132</v>
      </c>
      <c r="I3444" s="23">
        <v>46063</v>
      </c>
      <c r="J3444" s="10">
        <v>198.61</v>
      </c>
      <c r="K3444" s="10">
        <v>0</v>
      </c>
      <c r="L3444" s="24">
        <v>0</v>
      </c>
      <c r="M3444" s="10">
        <v>198.61</v>
      </c>
    </row>
    <row r="3445" spans="1:13" x14ac:dyDescent="0.25">
      <c r="A3445" s="12" t="str">
        <f t="shared" si="108"/>
        <v>IFL1152026SECRETARIA DE ADMINISTRAÇÃO DO GOVERNO DO ESTADO DE PERNAMBUCOIPV46063</v>
      </c>
      <c r="B3445" s="12" t="str">
        <f t="shared" si="107"/>
        <v>Maio</v>
      </c>
      <c r="C3445" s="8" t="s">
        <v>1253</v>
      </c>
      <c r="D3445" s="8" t="s">
        <v>1723</v>
      </c>
      <c r="E3445" s="8" t="s">
        <v>1744</v>
      </c>
      <c r="F3445" s="23">
        <v>46063</v>
      </c>
      <c r="G3445" s="8" t="s">
        <v>1144</v>
      </c>
      <c r="H3445" s="23">
        <v>46162</v>
      </c>
      <c r="I3445" s="23">
        <v>46063</v>
      </c>
      <c r="J3445" s="10">
        <v>198.61</v>
      </c>
      <c r="K3445" s="10">
        <v>0</v>
      </c>
      <c r="L3445" s="24">
        <v>0</v>
      </c>
      <c r="M3445" s="10">
        <v>198.61</v>
      </c>
    </row>
    <row r="3446" spans="1:13" x14ac:dyDescent="0.25">
      <c r="A3446" s="12" t="str">
        <f t="shared" si="108"/>
        <v>IFL1152026SECRETARIA DE ADMINISTRAÇÃO DO GOVERNO DO ESTADO DE PERNAMBUCOIPV46063</v>
      </c>
      <c r="B3446" s="12" t="str">
        <f t="shared" si="107"/>
        <v>Junho</v>
      </c>
      <c r="C3446" s="8" t="s">
        <v>1253</v>
      </c>
      <c r="D3446" s="8" t="s">
        <v>1723</v>
      </c>
      <c r="E3446" s="8" t="s">
        <v>1744</v>
      </c>
      <c r="F3446" s="23">
        <v>46063</v>
      </c>
      <c r="G3446" s="8" t="s">
        <v>1144</v>
      </c>
      <c r="H3446" s="23">
        <v>46195</v>
      </c>
      <c r="I3446" s="23">
        <v>46063</v>
      </c>
      <c r="J3446" s="10">
        <v>198.61</v>
      </c>
      <c r="K3446" s="10">
        <v>0</v>
      </c>
      <c r="L3446" s="24">
        <v>0</v>
      </c>
      <c r="M3446" s="10">
        <v>198.61</v>
      </c>
    </row>
    <row r="3447" spans="1:13" x14ac:dyDescent="0.25">
      <c r="A3447" s="12" t="str">
        <f t="shared" si="108"/>
        <v>IFL1152026SECRETARIA DE ADMINISTRAÇÃO DO GOVERNO DO ESTADO DE PERNAMBUCOIPV46063</v>
      </c>
      <c r="B3447" s="12" t="str">
        <f t="shared" si="107"/>
        <v>Julho</v>
      </c>
      <c r="C3447" s="8" t="s">
        <v>1253</v>
      </c>
      <c r="D3447" s="8" t="s">
        <v>1723</v>
      </c>
      <c r="E3447" s="8" t="s">
        <v>1744</v>
      </c>
      <c r="F3447" s="23">
        <v>46063</v>
      </c>
      <c r="G3447" s="8" t="s">
        <v>1144</v>
      </c>
      <c r="H3447" s="23">
        <v>46223</v>
      </c>
      <c r="I3447" s="23">
        <v>46063</v>
      </c>
      <c r="J3447" s="10">
        <v>198.61</v>
      </c>
      <c r="K3447" s="10">
        <v>0</v>
      </c>
      <c r="L3447" s="24">
        <v>0</v>
      </c>
      <c r="M3447" s="10">
        <v>198.61</v>
      </c>
    </row>
    <row r="3448" spans="1:13" x14ac:dyDescent="0.25">
      <c r="A3448" s="12" t="str">
        <f t="shared" si="108"/>
        <v>IFL1152026SECRETARIA DE ADMINISTRAÇÃO DO GOVERNO DO ESTADO DE PERNAMBUCOIPV46063</v>
      </c>
      <c r="B3448" s="12" t="str">
        <f t="shared" si="107"/>
        <v>Agosto</v>
      </c>
      <c r="C3448" s="8" t="s">
        <v>1253</v>
      </c>
      <c r="D3448" s="8" t="s">
        <v>1723</v>
      </c>
      <c r="E3448" s="8" t="s">
        <v>1744</v>
      </c>
      <c r="F3448" s="23">
        <v>46063</v>
      </c>
      <c r="G3448" s="8" t="s">
        <v>1144</v>
      </c>
      <c r="H3448" s="23">
        <v>46254</v>
      </c>
      <c r="I3448" s="23">
        <v>46063</v>
      </c>
      <c r="J3448" s="10">
        <v>198.61</v>
      </c>
      <c r="K3448" s="10">
        <v>0</v>
      </c>
      <c r="L3448" s="24">
        <v>0</v>
      </c>
      <c r="M3448" s="10">
        <v>198.61</v>
      </c>
    </row>
    <row r="3449" spans="1:13" x14ac:dyDescent="0.25">
      <c r="A3449" s="12" t="str">
        <f t="shared" si="108"/>
        <v>IFL1152026SECRETARIA DE ADMINISTRAÇÃO DO GOVERNO DO ESTADO DE PERNAMBUCOIPV46063</v>
      </c>
      <c r="B3449" s="12" t="str">
        <f t="shared" si="107"/>
        <v>Setembro</v>
      </c>
      <c r="C3449" s="8" t="s">
        <v>1253</v>
      </c>
      <c r="D3449" s="8" t="s">
        <v>1723</v>
      </c>
      <c r="E3449" s="8" t="s">
        <v>1744</v>
      </c>
      <c r="F3449" s="23">
        <v>46063</v>
      </c>
      <c r="G3449" s="8" t="s">
        <v>1144</v>
      </c>
      <c r="H3449" s="23">
        <v>46286</v>
      </c>
      <c r="I3449" s="23">
        <v>46063</v>
      </c>
      <c r="J3449" s="10">
        <v>198.61</v>
      </c>
      <c r="K3449" s="10">
        <v>0</v>
      </c>
      <c r="L3449" s="24">
        <v>0</v>
      </c>
      <c r="M3449" s="10">
        <v>198.61</v>
      </c>
    </row>
    <row r="3450" spans="1:13" x14ac:dyDescent="0.25">
      <c r="A3450" s="12" t="str">
        <f t="shared" si="108"/>
        <v>IFL1162026SECRETARIA DE ADMINISTRAÇÃO DO GOVERNO DO ESTADO DE PERNAMBUCOIPV46063</v>
      </c>
      <c r="B3450" s="12" t="str">
        <f t="shared" si="107"/>
        <v>Fevereiro</v>
      </c>
      <c r="C3450" s="8" t="s">
        <v>1254</v>
      </c>
      <c r="D3450" s="8" t="s">
        <v>1723</v>
      </c>
      <c r="E3450" s="8" t="s">
        <v>1744</v>
      </c>
      <c r="F3450" s="23">
        <v>46063</v>
      </c>
      <c r="G3450" s="8" t="s">
        <v>1144</v>
      </c>
      <c r="H3450" s="23">
        <v>46073</v>
      </c>
      <c r="I3450" s="23">
        <v>46063</v>
      </c>
      <c r="J3450" s="10">
        <v>198.61</v>
      </c>
      <c r="K3450" s="10">
        <v>0</v>
      </c>
      <c r="L3450" s="24">
        <v>0</v>
      </c>
      <c r="M3450" s="10">
        <v>198.61</v>
      </c>
    </row>
    <row r="3451" spans="1:13" x14ac:dyDescent="0.25">
      <c r="A3451" s="12" t="str">
        <f t="shared" si="108"/>
        <v>IFL1162026SECRETARIA DE ADMINISTRAÇÃO DO GOVERNO DO ESTADO DE PERNAMBUCOIPV46063</v>
      </c>
      <c r="B3451" s="12" t="str">
        <f t="shared" si="107"/>
        <v>Março</v>
      </c>
      <c r="C3451" s="8" t="s">
        <v>1254</v>
      </c>
      <c r="D3451" s="8" t="s">
        <v>1723</v>
      </c>
      <c r="E3451" s="8" t="s">
        <v>1744</v>
      </c>
      <c r="F3451" s="23">
        <v>46063</v>
      </c>
      <c r="G3451" s="8" t="s">
        <v>1144</v>
      </c>
      <c r="H3451" s="23">
        <v>46101</v>
      </c>
      <c r="I3451" s="23">
        <v>46063</v>
      </c>
      <c r="J3451" s="10">
        <v>198.61</v>
      </c>
      <c r="K3451" s="10">
        <v>0</v>
      </c>
      <c r="L3451" s="24">
        <v>0</v>
      </c>
      <c r="M3451" s="10">
        <v>198.61</v>
      </c>
    </row>
    <row r="3452" spans="1:13" x14ac:dyDescent="0.25">
      <c r="A3452" s="12" t="str">
        <f t="shared" si="108"/>
        <v>IFL1162026SECRETARIA DE ADMINISTRAÇÃO DO GOVERNO DO ESTADO DE PERNAMBUCOIPV46063</v>
      </c>
      <c r="B3452" s="12" t="str">
        <f t="shared" si="107"/>
        <v>Abril</v>
      </c>
      <c r="C3452" s="8" t="s">
        <v>1254</v>
      </c>
      <c r="D3452" s="8" t="s">
        <v>1723</v>
      </c>
      <c r="E3452" s="8" t="s">
        <v>1744</v>
      </c>
      <c r="F3452" s="23">
        <v>46063</v>
      </c>
      <c r="G3452" s="8" t="s">
        <v>1144</v>
      </c>
      <c r="H3452" s="23">
        <v>46132</v>
      </c>
      <c r="I3452" s="23">
        <v>46063</v>
      </c>
      <c r="J3452" s="10">
        <v>198.61</v>
      </c>
      <c r="K3452" s="10">
        <v>0</v>
      </c>
      <c r="L3452" s="24">
        <v>0</v>
      </c>
      <c r="M3452" s="10">
        <v>198.61</v>
      </c>
    </row>
    <row r="3453" spans="1:13" x14ac:dyDescent="0.25">
      <c r="A3453" s="12" t="str">
        <f t="shared" si="108"/>
        <v>IFL1162026SECRETARIA DE ADMINISTRAÇÃO DO GOVERNO DO ESTADO DE PERNAMBUCOIPV46063</v>
      </c>
      <c r="B3453" s="12" t="str">
        <f t="shared" si="107"/>
        <v>Maio</v>
      </c>
      <c r="C3453" s="8" t="s">
        <v>1254</v>
      </c>
      <c r="D3453" s="8" t="s">
        <v>1723</v>
      </c>
      <c r="E3453" s="8" t="s">
        <v>1744</v>
      </c>
      <c r="F3453" s="23">
        <v>46063</v>
      </c>
      <c r="G3453" s="8" t="s">
        <v>1144</v>
      </c>
      <c r="H3453" s="23">
        <v>46162</v>
      </c>
      <c r="I3453" s="23">
        <v>46063</v>
      </c>
      <c r="J3453" s="10">
        <v>198.61</v>
      </c>
      <c r="K3453" s="10">
        <v>0</v>
      </c>
      <c r="L3453" s="24">
        <v>0</v>
      </c>
      <c r="M3453" s="10">
        <v>198.61</v>
      </c>
    </row>
    <row r="3454" spans="1:13" x14ac:dyDescent="0.25">
      <c r="A3454" s="12" t="str">
        <f t="shared" si="108"/>
        <v>IFL1162026SECRETARIA DE ADMINISTRAÇÃO DO GOVERNO DO ESTADO DE PERNAMBUCOIPV46063</v>
      </c>
      <c r="B3454" s="12" t="str">
        <f t="shared" si="107"/>
        <v>Junho</v>
      </c>
      <c r="C3454" s="8" t="s">
        <v>1254</v>
      </c>
      <c r="D3454" s="8" t="s">
        <v>1723</v>
      </c>
      <c r="E3454" s="8" t="s">
        <v>1744</v>
      </c>
      <c r="F3454" s="23">
        <v>46063</v>
      </c>
      <c r="G3454" s="8" t="s">
        <v>1144</v>
      </c>
      <c r="H3454" s="23">
        <v>46195</v>
      </c>
      <c r="I3454" s="23">
        <v>46063</v>
      </c>
      <c r="J3454" s="10">
        <v>198.61</v>
      </c>
      <c r="K3454" s="10">
        <v>0</v>
      </c>
      <c r="L3454" s="24">
        <v>0</v>
      </c>
      <c r="M3454" s="10">
        <v>198.61</v>
      </c>
    </row>
    <row r="3455" spans="1:13" x14ac:dyDescent="0.25">
      <c r="A3455" s="12" t="str">
        <f t="shared" si="108"/>
        <v>IFL1162026SECRETARIA DE ADMINISTRAÇÃO DO GOVERNO DO ESTADO DE PERNAMBUCOIPV46063</v>
      </c>
      <c r="B3455" s="12" t="str">
        <f t="shared" si="107"/>
        <v>Julho</v>
      </c>
      <c r="C3455" s="8" t="s">
        <v>1254</v>
      </c>
      <c r="D3455" s="8" t="s">
        <v>1723</v>
      </c>
      <c r="E3455" s="8" t="s">
        <v>1744</v>
      </c>
      <c r="F3455" s="23">
        <v>46063</v>
      </c>
      <c r="G3455" s="8" t="s">
        <v>1144</v>
      </c>
      <c r="H3455" s="23">
        <v>46223</v>
      </c>
      <c r="I3455" s="23">
        <v>46063</v>
      </c>
      <c r="J3455" s="10">
        <v>198.61</v>
      </c>
      <c r="K3455" s="10">
        <v>0</v>
      </c>
      <c r="L3455" s="24">
        <v>0</v>
      </c>
      <c r="M3455" s="10">
        <v>198.61</v>
      </c>
    </row>
    <row r="3456" spans="1:13" x14ac:dyDescent="0.25">
      <c r="A3456" s="12" t="str">
        <f t="shared" si="108"/>
        <v>IFL1162026SECRETARIA DE ADMINISTRAÇÃO DO GOVERNO DO ESTADO DE PERNAMBUCOIPV46063</v>
      </c>
      <c r="B3456" s="12" t="str">
        <f t="shared" si="107"/>
        <v>Agosto</v>
      </c>
      <c r="C3456" s="8" t="s">
        <v>1254</v>
      </c>
      <c r="D3456" s="8" t="s">
        <v>1723</v>
      </c>
      <c r="E3456" s="8" t="s">
        <v>1744</v>
      </c>
      <c r="F3456" s="23">
        <v>46063</v>
      </c>
      <c r="G3456" s="8" t="s">
        <v>1144</v>
      </c>
      <c r="H3456" s="23">
        <v>46254</v>
      </c>
      <c r="I3456" s="23">
        <v>46063</v>
      </c>
      <c r="J3456" s="10">
        <v>198.61</v>
      </c>
      <c r="K3456" s="10">
        <v>0</v>
      </c>
      <c r="L3456" s="24">
        <v>0</v>
      </c>
      <c r="M3456" s="10">
        <v>198.61</v>
      </c>
    </row>
    <row r="3457" spans="1:13" x14ac:dyDescent="0.25">
      <c r="A3457" s="12" t="str">
        <f t="shared" si="108"/>
        <v>IFL1162026SECRETARIA DE ADMINISTRAÇÃO DO GOVERNO DO ESTADO DE PERNAMBUCOIPV46063</v>
      </c>
      <c r="B3457" s="12" t="str">
        <f t="shared" si="107"/>
        <v>Setembro</v>
      </c>
      <c r="C3457" s="8" t="s">
        <v>1254</v>
      </c>
      <c r="D3457" s="8" t="s">
        <v>1723</v>
      </c>
      <c r="E3457" s="8" t="s">
        <v>1744</v>
      </c>
      <c r="F3457" s="23">
        <v>46063</v>
      </c>
      <c r="G3457" s="8" t="s">
        <v>1144</v>
      </c>
      <c r="H3457" s="23">
        <v>46286</v>
      </c>
      <c r="I3457" s="23">
        <v>46063</v>
      </c>
      <c r="J3457" s="10">
        <v>198.61</v>
      </c>
      <c r="K3457" s="10">
        <v>0</v>
      </c>
      <c r="L3457" s="24">
        <v>0</v>
      </c>
      <c r="M3457" s="10">
        <v>198.61</v>
      </c>
    </row>
    <row r="3458" spans="1:13" x14ac:dyDescent="0.25">
      <c r="A3458" s="12" t="str">
        <f t="shared" si="108"/>
        <v>IFL1172026SECRETARIA DE ADMINISTRAÇÃO DO GOVERNO DO ESTADO DE PERNAMBUCOIPV46063</v>
      </c>
      <c r="B3458" s="12" t="str">
        <f t="shared" si="107"/>
        <v>Fevereiro</v>
      </c>
      <c r="C3458" s="8" t="s">
        <v>1255</v>
      </c>
      <c r="D3458" s="8" t="s">
        <v>1723</v>
      </c>
      <c r="E3458" s="8" t="s">
        <v>1744</v>
      </c>
      <c r="F3458" s="23">
        <v>46063</v>
      </c>
      <c r="G3458" s="8" t="s">
        <v>1144</v>
      </c>
      <c r="H3458" s="23">
        <v>46073</v>
      </c>
      <c r="I3458" s="23">
        <v>46063</v>
      </c>
      <c r="J3458" s="10">
        <v>198.61</v>
      </c>
      <c r="K3458" s="10">
        <v>0</v>
      </c>
      <c r="L3458" s="24">
        <v>0</v>
      </c>
      <c r="M3458" s="10">
        <v>198.61</v>
      </c>
    </row>
    <row r="3459" spans="1:13" x14ac:dyDescent="0.25">
      <c r="A3459" s="12" t="str">
        <f t="shared" si="108"/>
        <v>IFL1172026SECRETARIA DE ADMINISTRAÇÃO DO GOVERNO DO ESTADO DE PERNAMBUCOIPV46063</v>
      </c>
      <c r="B3459" s="12" t="str">
        <f t="shared" ref="B3459:B3522" si="109">PROPER(TEXT($H3459,"MMMM"))</f>
        <v>Março</v>
      </c>
      <c r="C3459" s="8" t="s">
        <v>1255</v>
      </c>
      <c r="D3459" s="8" t="s">
        <v>1723</v>
      </c>
      <c r="E3459" s="8" t="s">
        <v>1744</v>
      </c>
      <c r="F3459" s="23">
        <v>46063</v>
      </c>
      <c r="G3459" s="8" t="s">
        <v>1144</v>
      </c>
      <c r="H3459" s="23">
        <v>46101</v>
      </c>
      <c r="I3459" s="23">
        <v>46063</v>
      </c>
      <c r="J3459" s="10">
        <v>198.61</v>
      </c>
      <c r="K3459" s="10">
        <v>0</v>
      </c>
      <c r="L3459" s="24">
        <v>0</v>
      </c>
      <c r="M3459" s="10">
        <v>198.61</v>
      </c>
    </row>
    <row r="3460" spans="1:13" x14ac:dyDescent="0.25">
      <c r="A3460" s="12" t="str">
        <f t="shared" si="108"/>
        <v>IFL1172026SECRETARIA DE ADMINISTRAÇÃO DO GOVERNO DO ESTADO DE PERNAMBUCOIPV46063</v>
      </c>
      <c r="B3460" s="12" t="str">
        <f t="shared" si="109"/>
        <v>Abril</v>
      </c>
      <c r="C3460" s="8" t="s">
        <v>1255</v>
      </c>
      <c r="D3460" s="8" t="s">
        <v>1723</v>
      </c>
      <c r="E3460" s="8" t="s">
        <v>1744</v>
      </c>
      <c r="F3460" s="23">
        <v>46063</v>
      </c>
      <c r="G3460" s="8" t="s">
        <v>1144</v>
      </c>
      <c r="H3460" s="23">
        <v>46132</v>
      </c>
      <c r="I3460" s="23">
        <v>46063</v>
      </c>
      <c r="J3460" s="10">
        <v>198.61</v>
      </c>
      <c r="K3460" s="10">
        <v>0</v>
      </c>
      <c r="L3460" s="24">
        <v>0</v>
      </c>
      <c r="M3460" s="10">
        <v>198.61</v>
      </c>
    </row>
    <row r="3461" spans="1:13" x14ac:dyDescent="0.25">
      <c r="A3461" s="12" t="str">
        <f t="shared" si="108"/>
        <v>IFL1172026SECRETARIA DE ADMINISTRAÇÃO DO GOVERNO DO ESTADO DE PERNAMBUCOIPV46063</v>
      </c>
      <c r="B3461" s="12" t="str">
        <f t="shared" si="109"/>
        <v>Maio</v>
      </c>
      <c r="C3461" s="8" t="s">
        <v>1255</v>
      </c>
      <c r="D3461" s="8" t="s">
        <v>1723</v>
      </c>
      <c r="E3461" s="8" t="s">
        <v>1744</v>
      </c>
      <c r="F3461" s="23">
        <v>46063</v>
      </c>
      <c r="G3461" s="8" t="s">
        <v>1144</v>
      </c>
      <c r="H3461" s="23">
        <v>46162</v>
      </c>
      <c r="I3461" s="23">
        <v>46063</v>
      </c>
      <c r="J3461" s="10">
        <v>198.61</v>
      </c>
      <c r="K3461" s="10">
        <v>0</v>
      </c>
      <c r="L3461" s="24">
        <v>0</v>
      </c>
      <c r="M3461" s="10">
        <v>198.61</v>
      </c>
    </row>
    <row r="3462" spans="1:13" x14ac:dyDescent="0.25">
      <c r="A3462" s="12" t="str">
        <f t="shared" si="108"/>
        <v>IFL1172026SECRETARIA DE ADMINISTRAÇÃO DO GOVERNO DO ESTADO DE PERNAMBUCOIPV46063</v>
      </c>
      <c r="B3462" s="12" t="str">
        <f t="shared" si="109"/>
        <v>Junho</v>
      </c>
      <c r="C3462" s="8" t="s">
        <v>1255</v>
      </c>
      <c r="D3462" s="8" t="s">
        <v>1723</v>
      </c>
      <c r="E3462" s="8" t="s">
        <v>1744</v>
      </c>
      <c r="F3462" s="23">
        <v>46063</v>
      </c>
      <c r="G3462" s="8" t="s">
        <v>1144</v>
      </c>
      <c r="H3462" s="23">
        <v>46195</v>
      </c>
      <c r="I3462" s="23">
        <v>46063</v>
      </c>
      <c r="J3462" s="10">
        <v>198.61</v>
      </c>
      <c r="K3462" s="10">
        <v>0</v>
      </c>
      <c r="L3462" s="24">
        <v>0</v>
      </c>
      <c r="M3462" s="10">
        <v>198.61</v>
      </c>
    </row>
    <row r="3463" spans="1:13" x14ac:dyDescent="0.25">
      <c r="A3463" s="12" t="str">
        <f t="shared" si="108"/>
        <v>IFL1172026SECRETARIA DE ADMINISTRAÇÃO DO GOVERNO DO ESTADO DE PERNAMBUCOIPV46063</v>
      </c>
      <c r="B3463" s="12" t="str">
        <f t="shared" si="109"/>
        <v>Julho</v>
      </c>
      <c r="C3463" s="8" t="s">
        <v>1255</v>
      </c>
      <c r="D3463" s="8" t="s">
        <v>1723</v>
      </c>
      <c r="E3463" s="8" t="s">
        <v>1744</v>
      </c>
      <c r="F3463" s="23">
        <v>46063</v>
      </c>
      <c r="G3463" s="8" t="s">
        <v>1144</v>
      </c>
      <c r="H3463" s="23">
        <v>46223</v>
      </c>
      <c r="I3463" s="23">
        <v>46063</v>
      </c>
      <c r="J3463" s="10">
        <v>198.61</v>
      </c>
      <c r="K3463" s="10">
        <v>0</v>
      </c>
      <c r="L3463" s="24">
        <v>0</v>
      </c>
      <c r="M3463" s="10">
        <v>198.61</v>
      </c>
    </row>
    <row r="3464" spans="1:13" x14ac:dyDescent="0.25">
      <c r="A3464" s="12" t="str">
        <f t="shared" si="108"/>
        <v>IFL1172026SECRETARIA DE ADMINISTRAÇÃO DO GOVERNO DO ESTADO DE PERNAMBUCOIPV46063</v>
      </c>
      <c r="B3464" s="12" t="str">
        <f t="shared" si="109"/>
        <v>Agosto</v>
      </c>
      <c r="C3464" s="8" t="s">
        <v>1255</v>
      </c>
      <c r="D3464" s="8" t="s">
        <v>1723</v>
      </c>
      <c r="E3464" s="8" t="s">
        <v>1744</v>
      </c>
      <c r="F3464" s="23">
        <v>46063</v>
      </c>
      <c r="G3464" s="8" t="s">
        <v>1144</v>
      </c>
      <c r="H3464" s="23">
        <v>46254</v>
      </c>
      <c r="I3464" s="23">
        <v>46063</v>
      </c>
      <c r="J3464" s="10">
        <v>198.61</v>
      </c>
      <c r="K3464" s="10">
        <v>0</v>
      </c>
      <c r="L3464" s="24">
        <v>0</v>
      </c>
      <c r="M3464" s="10">
        <v>198.61</v>
      </c>
    </row>
    <row r="3465" spans="1:13" x14ac:dyDescent="0.25">
      <c r="A3465" s="12" t="str">
        <f t="shared" si="108"/>
        <v>IFL1172026SECRETARIA DE ADMINISTRAÇÃO DO GOVERNO DO ESTADO DE PERNAMBUCOIPV46063</v>
      </c>
      <c r="B3465" s="12" t="str">
        <f t="shared" si="109"/>
        <v>Setembro</v>
      </c>
      <c r="C3465" s="8" t="s">
        <v>1255</v>
      </c>
      <c r="D3465" s="8" t="s">
        <v>1723</v>
      </c>
      <c r="E3465" s="8" t="s">
        <v>1744</v>
      </c>
      <c r="F3465" s="23">
        <v>46063</v>
      </c>
      <c r="G3465" s="8" t="s">
        <v>1144</v>
      </c>
      <c r="H3465" s="23">
        <v>46286</v>
      </c>
      <c r="I3465" s="23">
        <v>46063</v>
      </c>
      <c r="J3465" s="10">
        <v>198.61</v>
      </c>
      <c r="K3465" s="10">
        <v>0</v>
      </c>
      <c r="L3465" s="24">
        <v>0</v>
      </c>
      <c r="M3465" s="10">
        <v>198.61</v>
      </c>
    </row>
    <row r="3466" spans="1:13" x14ac:dyDescent="0.25">
      <c r="A3466" s="12" t="str">
        <f t="shared" si="108"/>
        <v>IFL1182026SECRETARIA DE ADMINISTRAÇÃO DO GOVERNO DO ESTADO DE PERNAMBUCOIPV46063</v>
      </c>
      <c r="B3466" s="12" t="str">
        <f t="shared" si="109"/>
        <v>Fevereiro</v>
      </c>
      <c r="C3466" s="8" t="s">
        <v>1256</v>
      </c>
      <c r="D3466" s="8" t="s">
        <v>1723</v>
      </c>
      <c r="E3466" s="8" t="s">
        <v>1744</v>
      </c>
      <c r="F3466" s="23">
        <v>46063</v>
      </c>
      <c r="G3466" s="8" t="s">
        <v>1144</v>
      </c>
      <c r="H3466" s="23">
        <v>46073</v>
      </c>
      <c r="I3466" s="23">
        <v>46063</v>
      </c>
      <c r="J3466" s="10">
        <v>198.61</v>
      </c>
      <c r="K3466" s="10">
        <v>0</v>
      </c>
      <c r="L3466" s="24">
        <v>0</v>
      </c>
      <c r="M3466" s="10">
        <v>198.61</v>
      </c>
    </row>
    <row r="3467" spans="1:13" x14ac:dyDescent="0.25">
      <c r="A3467" s="12" t="str">
        <f t="shared" si="108"/>
        <v>IFL1182026SECRETARIA DE ADMINISTRAÇÃO DO GOVERNO DO ESTADO DE PERNAMBUCOIPV46063</v>
      </c>
      <c r="B3467" s="12" t="str">
        <f t="shared" si="109"/>
        <v>Março</v>
      </c>
      <c r="C3467" s="8" t="s">
        <v>1256</v>
      </c>
      <c r="D3467" s="8" t="s">
        <v>1723</v>
      </c>
      <c r="E3467" s="8" t="s">
        <v>1744</v>
      </c>
      <c r="F3467" s="23">
        <v>46063</v>
      </c>
      <c r="G3467" s="8" t="s">
        <v>1144</v>
      </c>
      <c r="H3467" s="23">
        <v>46101</v>
      </c>
      <c r="I3467" s="23">
        <v>46063</v>
      </c>
      <c r="J3467" s="10">
        <v>198.61</v>
      </c>
      <c r="K3467" s="10">
        <v>0</v>
      </c>
      <c r="L3467" s="24">
        <v>0</v>
      </c>
      <c r="M3467" s="10">
        <v>198.61</v>
      </c>
    </row>
    <row r="3468" spans="1:13" x14ac:dyDescent="0.25">
      <c r="A3468" s="12" t="str">
        <f t="shared" si="108"/>
        <v>IFL1182026SECRETARIA DE ADMINISTRAÇÃO DO GOVERNO DO ESTADO DE PERNAMBUCOIPV46063</v>
      </c>
      <c r="B3468" s="12" t="str">
        <f t="shared" si="109"/>
        <v>Abril</v>
      </c>
      <c r="C3468" s="8" t="s">
        <v>1256</v>
      </c>
      <c r="D3468" s="8" t="s">
        <v>1723</v>
      </c>
      <c r="E3468" s="8" t="s">
        <v>1744</v>
      </c>
      <c r="F3468" s="23">
        <v>46063</v>
      </c>
      <c r="G3468" s="8" t="s">
        <v>1144</v>
      </c>
      <c r="H3468" s="23">
        <v>46132</v>
      </c>
      <c r="I3468" s="23">
        <v>46063</v>
      </c>
      <c r="J3468" s="10">
        <v>198.61</v>
      </c>
      <c r="K3468" s="10">
        <v>0</v>
      </c>
      <c r="L3468" s="24">
        <v>0</v>
      </c>
      <c r="M3468" s="10">
        <v>198.61</v>
      </c>
    </row>
    <row r="3469" spans="1:13" x14ac:dyDescent="0.25">
      <c r="A3469" s="12" t="str">
        <f t="shared" si="108"/>
        <v>IFL1182026SECRETARIA DE ADMINISTRAÇÃO DO GOVERNO DO ESTADO DE PERNAMBUCOIPV46063</v>
      </c>
      <c r="B3469" s="12" t="str">
        <f t="shared" si="109"/>
        <v>Maio</v>
      </c>
      <c r="C3469" s="8" t="s">
        <v>1256</v>
      </c>
      <c r="D3469" s="8" t="s">
        <v>1723</v>
      </c>
      <c r="E3469" s="8" t="s">
        <v>1744</v>
      </c>
      <c r="F3469" s="23">
        <v>46063</v>
      </c>
      <c r="G3469" s="8" t="s">
        <v>1144</v>
      </c>
      <c r="H3469" s="23">
        <v>46162</v>
      </c>
      <c r="I3469" s="23">
        <v>46063</v>
      </c>
      <c r="J3469" s="10">
        <v>198.61</v>
      </c>
      <c r="K3469" s="10">
        <v>0</v>
      </c>
      <c r="L3469" s="24">
        <v>0</v>
      </c>
      <c r="M3469" s="10">
        <v>198.61</v>
      </c>
    </row>
    <row r="3470" spans="1:13" x14ac:dyDescent="0.25">
      <c r="A3470" s="12" t="str">
        <f t="shared" si="108"/>
        <v>IFL1182026SECRETARIA DE ADMINISTRAÇÃO DO GOVERNO DO ESTADO DE PERNAMBUCOIPV46063</v>
      </c>
      <c r="B3470" s="12" t="str">
        <f t="shared" si="109"/>
        <v>Junho</v>
      </c>
      <c r="C3470" s="8" t="s">
        <v>1256</v>
      </c>
      <c r="D3470" s="8" t="s">
        <v>1723</v>
      </c>
      <c r="E3470" s="8" t="s">
        <v>1744</v>
      </c>
      <c r="F3470" s="23">
        <v>46063</v>
      </c>
      <c r="G3470" s="8" t="s">
        <v>1144</v>
      </c>
      <c r="H3470" s="23">
        <v>46195</v>
      </c>
      <c r="I3470" s="23">
        <v>46063</v>
      </c>
      <c r="J3470" s="10">
        <v>198.61</v>
      </c>
      <c r="K3470" s="10">
        <v>0</v>
      </c>
      <c r="L3470" s="24">
        <v>0</v>
      </c>
      <c r="M3470" s="10">
        <v>198.61</v>
      </c>
    </row>
    <row r="3471" spans="1:13" x14ac:dyDescent="0.25">
      <c r="A3471" s="12" t="str">
        <f t="shared" si="108"/>
        <v>IFL1182026SECRETARIA DE ADMINISTRAÇÃO DO GOVERNO DO ESTADO DE PERNAMBUCOIPV46063</v>
      </c>
      <c r="B3471" s="12" t="str">
        <f t="shared" si="109"/>
        <v>Julho</v>
      </c>
      <c r="C3471" s="8" t="s">
        <v>1256</v>
      </c>
      <c r="D3471" s="8" t="s">
        <v>1723</v>
      </c>
      <c r="E3471" s="8" t="s">
        <v>1744</v>
      </c>
      <c r="F3471" s="23">
        <v>46063</v>
      </c>
      <c r="G3471" s="8" t="s">
        <v>1144</v>
      </c>
      <c r="H3471" s="23">
        <v>46223</v>
      </c>
      <c r="I3471" s="23">
        <v>46063</v>
      </c>
      <c r="J3471" s="10">
        <v>198.61</v>
      </c>
      <c r="K3471" s="10">
        <v>0</v>
      </c>
      <c r="L3471" s="24">
        <v>0</v>
      </c>
      <c r="M3471" s="10">
        <v>198.61</v>
      </c>
    </row>
    <row r="3472" spans="1:13" x14ac:dyDescent="0.25">
      <c r="A3472" s="12" t="str">
        <f t="shared" si="108"/>
        <v>IFL1182026SECRETARIA DE ADMINISTRAÇÃO DO GOVERNO DO ESTADO DE PERNAMBUCOIPV46063</v>
      </c>
      <c r="B3472" s="12" t="str">
        <f t="shared" si="109"/>
        <v>Agosto</v>
      </c>
      <c r="C3472" s="8" t="s">
        <v>1256</v>
      </c>
      <c r="D3472" s="8" t="s">
        <v>1723</v>
      </c>
      <c r="E3472" s="8" t="s">
        <v>1744</v>
      </c>
      <c r="F3472" s="23">
        <v>46063</v>
      </c>
      <c r="G3472" s="8" t="s">
        <v>1144</v>
      </c>
      <c r="H3472" s="23">
        <v>46254</v>
      </c>
      <c r="I3472" s="23">
        <v>46063</v>
      </c>
      <c r="J3472" s="10">
        <v>198.61</v>
      </c>
      <c r="K3472" s="10">
        <v>0</v>
      </c>
      <c r="L3472" s="24">
        <v>0</v>
      </c>
      <c r="M3472" s="10">
        <v>198.61</v>
      </c>
    </row>
    <row r="3473" spans="1:13" x14ac:dyDescent="0.25">
      <c r="A3473" s="12" t="str">
        <f t="shared" si="108"/>
        <v>IFL1182026SECRETARIA DE ADMINISTRAÇÃO DO GOVERNO DO ESTADO DE PERNAMBUCOIPV46063</v>
      </c>
      <c r="B3473" s="12" t="str">
        <f t="shared" si="109"/>
        <v>Setembro</v>
      </c>
      <c r="C3473" s="8" t="s">
        <v>1256</v>
      </c>
      <c r="D3473" s="8" t="s">
        <v>1723</v>
      </c>
      <c r="E3473" s="8" t="s">
        <v>1744</v>
      </c>
      <c r="F3473" s="23">
        <v>46063</v>
      </c>
      <c r="G3473" s="8" t="s">
        <v>1144</v>
      </c>
      <c r="H3473" s="23">
        <v>46286</v>
      </c>
      <c r="I3473" s="23">
        <v>46063</v>
      </c>
      <c r="J3473" s="10">
        <v>198.61</v>
      </c>
      <c r="K3473" s="10">
        <v>0</v>
      </c>
      <c r="L3473" s="24">
        <v>0</v>
      </c>
      <c r="M3473" s="10">
        <v>198.61</v>
      </c>
    </row>
    <row r="3474" spans="1:13" x14ac:dyDescent="0.25">
      <c r="A3474" s="12" t="str">
        <f t="shared" si="108"/>
        <v>IFL1432026SECRETARIA DE ADMINISTRAÇÃO DO GOVERNO DO ESTADO DE PERNAMBUCOIPV46054</v>
      </c>
      <c r="B3474" s="12" t="str">
        <f t="shared" si="109"/>
        <v>Fevereiro</v>
      </c>
      <c r="C3474" s="8" t="s">
        <v>1174</v>
      </c>
      <c r="D3474" s="8" t="s">
        <v>1723</v>
      </c>
      <c r="E3474" s="8" t="s">
        <v>1744</v>
      </c>
      <c r="F3474" s="23">
        <v>46054</v>
      </c>
      <c r="G3474" s="8" t="s">
        <v>1144</v>
      </c>
      <c r="H3474" s="23">
        <v>46072</v>
      </c>
      <c r="I3474" s="23">
        <v>46054</v>
      </c>
      <c r="J3474" s="10">
        <v>247.12</v>
      </c>
      <c r="K3474" s="10">
        <v>0</v>
      </c>
      <c r="L3474" s="24">
        <v>0</v>
      </c>
      <c r="M3474" s="10">
        <v>247.12</v>
      </c>
    </row>
    <row r="3475" spans="1:13" x14ac:dyDescent="0.25">
      <c r="A3475" s="12" t="str">
        <f t="shared" si="108"/>
        <v>IFL1432026SECRETARIA DE ADMINISTRAÇÃO DO GOVERNO DO ESTADO DE PERNAMBUCOIPV46054</v>
      </c>
      <c r="B3475" s="12" t="str">
        <f t="shared" si="109"/>
        <v>Março</v>
      </c>
      <c r="C3475" s="8" t="s">
        <v>1174</v>
      </c>
      <c r="D3475" s="8" t="s">
        <v>1723</v>
      </c>
      <c r="E3475" s="8" t="s">
        <v>1744</v>
      </c>
      <c r="F3475" s="23">
        <v>46054</v>
      </c>
      <c r="G3475" s="8" t="s">
        <v>1144</v>
      </c>
      <c r="H3475" s="23">
        <v>46097</v>
      </c>
      <c r="I3475" s="23">
        <v>46054</v>
      </c>
      <c r="J3475" s="10">
        <v>247.12</v>
      </c>
      <c r="K3475" s="10">
        <v>0</v>
      </c>
      <c r="L3475" s="24">
        <v>0</v>
      </c>
      <c r="M3475" s="10">
        <v>247.12</v>
      </c>
    </row>
    <row r="3476" spans="1:13" x14ac:dyDescent="0.25">
      <c r="A3476" s="12" t="str">
        <f t="shared" si="108"/>
        <v>IFL1432026SECRETARIA DE ADMINISTRAÇÃO DO GOVERNO DO ESTADO DE PERNAMBUCOIPV46054</v>
      </c>
      <c r="B3476" s="12" t="str">
        <f t="shared" si="109"/>
        <v>Abril</v>
      </c>
      <c r="C3476" s="8" t="s">
        <v>1174</v>
      </c>
      <c r="D3476" s="8" t="s">
        <v>1723</v>
      </c>
      <c r="E3476" s="8" t="s">
        <v>1744</v>
      </c>
      <c r="F3476" s="23">
        <v>46054</v>
      </c>
      <c r="G3476" s="8" t="s">
        <v>1144</v>
      </c>
      <c r="H3476" s="23">
        <v>46127</v>
      </c>
      <c r="I3476" s="23">
        <v>46054</v>
      </c>
      <c r="J3476" s="10">
        <v>247.12</v>
      </c>
      <c r="K3476" s="10">
        <v>0</v>
      </c>
      <c r="L3476" s="24">
        <v>0</v>
      </c>
      <c r="M3476" s="10">
        <v>247.12</v>
      </c>
    </row>
    <row r="3477" spans="1:13" x14ac:dyDescent="0.25">
      <c r="A3477" s="12" t="str">
        <f t="shared" si="108"/>
        <v>IFL1432026SECRETARIA DE ADMINISTRAÇÃO DO GOVERNO DO ESTADO DE PERNAMBUCOIPV46054</v>
      </c>
      <c r="B3477" s="12" t="str">
        <f t="shared" si="109"/>
        <v>Maio</v>
      </c>
      <c r="C3477" s="8" t="s">
        <v>1174</v>
      </c>
      <c r="D3477" s="8" t="s">
        <v>1723</v>
      </c>
      <c r="E3477" s="8" t="s">
        <v>1744</v>
      </c>
      <c r="F3477" s="23">
        <v>46054</v>
      </c>
      <c r="G3477" s="8" t="s">
        <v>1144</v>
      </c>
      <c r="H3477" s="23">
        <v>46157</v>
      </c>
      <c r="I3477" s="23">
        <v>46054</v>
      </c>
      <c r="J3477" s="10">
        <v>247.12</v>
      </c>
      <c r="K3477" s="10">
        <v>0</v>
      </c>
      <c r="L3477" s="24">
        <v>0</v>
      </c>
      <c r="M3477" s="10">
        <v>247.12</v>
      </c>
    </row>
    <row r="3478" spans="1:13" x14ac:dyDescent="0.25">
      <c r="A3478" s="12" t="str">
        <f t="shared" si="108"/>
        <v>IFL1432026SECRETARIA DE ADMINISTRAÇÃO DO GOVERNO DO ESTADO DE PERNAMBUCOIPV46054</v>
      </c>
      <c r="B3478" s="12" t="str">
        <f t="shared" si="109"/>
        <v>Junho</v>
      </c>
      <c r="C3478" s="8" t="s">
        <v>1174</v>
      </c>
      <c r="D3478" s="8" t="s">
        <v>1723</v>
      </c>
      <c r="E3478" s="8" t="s">
        <v>1744</v>
      </c>
      <c r="F3478" s="23">
        <v>46054</v>
      </c>
      <c r="G3478" s="8" t="s">
        <v>1144</v>
      </c>
      <c r="H3478" s="23">
        <v>46188</v>
      </c>
      <c r="I3478" s="23">
        <v>46054</v>
      </c>
      <c r="J3478" s="10">
        <v>247.12</v>
      </c>
      <c r="K3478" s="10">
        <v>0</v>
      </c>
      <c r="L3478" s="24">
        <v>0</v>
      </c>
      <c r="M3478" s="10">
        <v>247.12</v>
      </c>
    </row>
    <row r="3479" spans="1:13" x14ac:dyDescent="0.25">
      <c r="A3479" s="12" t="str">
        <f t="shared" si="108"/>
        <v>IFL1432026SECRETARIA DE ADMINISTRAÇÃO DO GOVERNO DO ESTADO DE PERNAMBUCOIPV46054</v>
      </c>
      <c r="B3479" s="12" t="str">
        <f t="shared" si="109"/>
        <v>Julho</v>
      </c>
      <c r="C3479" s="8" t="s">
        <v>1174</v>
      </c>
      <c r="D3479" s="8" t="s">
        <v>1723</v>
      </c>
      <c r="E3479" s="8" t="s">
        <v>1744</v>
      </c>
      <c r="F3479" s="23">
        <v>46054</v>
      </c>
      <c r="G3479" s="8" t="s">
        <v>1144</v>
      </c>
      <c r="H3479" s="23">
        <v>46218</v>
      </c>
      <c r="I3479" s="23">
        <v>46054</v>
      </c>
      <c r="J3479" s="10">
        <v>247.12</v>
      </c>
      <c r="K3479" s="10">
        <v>0</v>
      </c>
      <c r="L3479" s="24">
        <v>0</v>
      </c>
      <c r="M3479" s="10">
        <v>247.12</v>
      </c>
    </row>
    <row r="3480" spans="1:13" x14ac:dyDescent="0.25">
      <c r="A3480" s="12" t="str">
        <f t="shared" si="108"/>
        <v>IFL1432026SECRETARIA DE ADMINISTRAÇÃO DO GOVERNO DO ESTADO DE PERNAMBUCOIPV46054</v>
      </c>
      <c r="B3480" s="12" t="str">
        <f t="shared" si="109"/>
        <v>Agosto</v>
      </c>
      <c r="C3480" s="8" t="s">
        <v>1174</v>
      </c>
      <c r="D3480" s="8" t="s">
        <v>1723</v>
      </c>
      <c r="E3480" s="8" t="s">
        <v>1744</v>
      </c>
      <c r="F3480" s="23">
        <v>46054</v>
      </c>
      <c r="G3480" s="8" t="s">
        <v>1144</v>
      </c>
      <c r="H3480" s="23">
        <v>46251</v>
      </c>
      <c r="I3480" s="23">
        <v>46054</v>
      </c>
      <c r="J3480" s="10">
        <v>247.12</v>
      </c>
      <c r="K3480" s="10">
        <v>0</v>
      </c>
      <c r="L3480" s="24">
        <v>0</v>
      </c>
      <c r="M3480" s="10">
        <v>247.12</v>
      </c>
    </row>
    <row r="3481" spans="1:13" x14ac:dyDescent="0.25">
      <c r="A3481" s="12" t="str">
        <f t="shared" si="108"/>
        <v>IFL1432026SECRETARIA DE ADMINISTRAÇÃO DO GOVERNO DO ESTADO DE PERNAMBUCOIPV46054</v>
      </c>
      <c r="B3481" s="12" t="str">
        <f t="shared" si="109"/>
        <v>Setembro</v>
      </c>
      <c r="C3481" s="8" t="s">
        <v>1174</v>
      </c>
      <c r="D3481" s="8" t="s">
        <v>1723</v>
      </c>
      <c r="E3481" s="8" t="s">
        <v>1744</v>
      </c>
      <c r="F3481" s="23">
        <v>46054</v>
      </c>
      <c r="G3481" s="8" t="s">
        <v>1144</v>
      </c>
      <c r="H3481" s="23">
        <v>46280</v>
      </c>
      <c r="I3481" s="23">
        <v>46054</v>
      </c>
      <c r="J3481" s="10">
        <v>247.12</v>
      </c>
      <c r="K3481" s="10">
        <v>0</v>
      </c>
      <c r="L3481" s="24">
        <v>0</v>
      </c>
      <c r="M3481" s="10">
        <v>247.12</v>
      </c>
    </row>
    <row r="3482" spans="1:13" x14ac:dyDescent="0.25">
      <c r="A3482" s="12" t="str">
        <f t="shared" si="108"/>
        <v>IFL1442026SECRETARIA DE ADMINISTRAÇÃO DO GOVERNO DO ESTADO DE PERNAMBUCOIPV46054</v>
      </c>
      <c r="B3482" s="12" t="str">
        <f t="shared" si="109"/>
        <v>Fevereiro</v>
      </c>
      <c r="C3482" s="8" t="s">
        <v>1175</v>
      </c>
      <c r="D3482" s="8" t="s">
        <v>1723</v>
      </c>
      <c r="E3482" s="8" t="s">
        <v>1744</v>
      </c>
      <c r="F3482" s="23">
        <v>46054</v>
      </c>
      <c r="G3482" s="8" t="s">
        <v>1144</v>
      </c>
      <c r="H3482" s="23">
        <v>46072</v>
      </c>
      <c r="I3482" s="23">
        <v>46054</v>
      </c>
      <c r="J3482" s="10">
        <v>247.12</v>
      </c>
      <c r="K3482" s="10">
        <v>0</v>
      </c>
      <c r="L3482" s="24">
        <v>0</v>
      </c>
      <c r="M3482" s="10">
        <v>247.12</v>
      </c>
    </row>
    <row r="3483" spans="1:13" x14ac:dyDescent="0.25">
      <c r="A3483" s="12" t="str">
        <f t="shared" ref="A3483:A3546" si="110">$C3483&amp;$E3483&amp;$G3483&amp;$F3483</f>
        <v>IFL1442026SECRETARIA DE ADMINISTRAÇÃO DO GOVERNO DO ESTADO DE PERNAMBUCOIPV46054</v>
      </c>
      <c r="B3483" s="12" t="str">
        <f t="shared" si="109"/>
        <v>Março</v>
      </c>
      <c r="C3483" s="8" t="s">
        <v>1175</v>
      </c>
      <c r="D3483" s="8" t="s">
        <v>1723</v>
      </c>
      <c r="E3483" s="8" t="s">
        <v>1744</v>
      </c>
      <c r="F3483" s="23">
        <v>46054</v>
      </c>
      <c r="G3483" s="8" t="s">
        <v>1144</v>
      </c>
      <c r="H3483" s="23">
        <v>46097</v>
      </c>
      <c r="I3483" s="23">
        <v>46054</v>
      </c>
      <c r="J3483" s="10">
        <v>247.12</v>
      </c>
      <c r="K3483" s="10">
        <v>0</v>
      </c>
      <c r="L3483" s="24">
        <v>0</v>
      </c>
      <c r="M3483" s="10">
        <v>247.12</v>
      </c>
    </row>
    <row r="3484" spans="1:13" x14ac:dyDescent="0.25">
      <c r="A3484" s="12" t="str">
        <f t="shared" si="110"/>
        <v>IFL1442026SECRETARIA DE ADMINISTRAÇÃO DO GOVERNO DO ESTADO DE PERNAMBUCOIPV46054</v>
      </c>
      <c r="B3484" s="12" t="str">
        <f t="shared" si="109"/>
        <v>Abril</v>
      </c>
      <c r="C3484" s="8" t="s">
        <v>1175</v>
      </c>
      <c r="D3484" s="8" t="s">
        <v>1723</v>
      </c>
      <c r="E3484" s="8" t="s">
        <v>1744</v>
      </c>
      <c r="F3484" s="23">
        <v>46054</v>
      </c>
      <c r="G3484" s="8" t="s">
        <v>1144</v>
      </c>
      <c r="H3484" s="23">
        <v>46127</v>
      </c>
      <c r="I3484" s="23">
        <v>46054</v>
      </c>
      <c r="J3484" s="10">
        <v>247.12</v>
      </c>
      <c r="K3484" s="10">
        <v>0</v>
      </c>
      <c r="L3484" s="24">
        <v>0</v>
      </c>
      <c r="M3484" s="10">
        <v>247.12</v>
      </c>
    </row>
    <row r="3485" spans="1:13" x14ac:dyDescent="0.25">
      <c r="A3485" s="12" t="str">
        <f t="shared" si="110"/>
        <v>IFL1442026SECRETARIA DE ADMINISTRAÇÃO DO GOVERNO DO ESTADO DE PERNAMBUCOIPV46054</v>
      </c>
      <c r="B3485" s="12" t="str">
        <f t="shared" si="109"/>
        <v>Maio</v>
      </c>
      <c r="C3485" s="8" t="s">
        <v>1175</v>
      </c>
      <c r="D3485" s="8" t="s">
        <v>1723</v>
      </c>
      <c r="E3485" s="8" t="s">
        <v>1744</v>
      </c>
      <c r="F3485" s="23">
        <v>46054</v>
      </c>
      <c r="G3485" s="8" t="s">
        <v>1144</v>
      </c>
      <c r="H3485" s="23">
        <v>46157</v>
      </c>
      <c r="I3485" s="23">
        <v>46054</v>
      </c>
      <c r="J3485" s="10">
        <v>247.12</v>
      </c>
      <c r="K3485" s="10">
        <v>0</v>
      </c>
      <c r="L3485" s="24">
        <v>0</v>
      </c>
      <c r="M3485" s="10">
        <v>247.12</v>
      </c>
    </row>
    <row r="3486" spans="1:13" x14ac:dyDescent="0.25">
      <c r="A3486" s="12" t="str">
        <f t="shared" si="110"/>
        <v>IFL1442026SECRETARIA DE ADMINISTRAÇÃO DO GOVERNO DO ESTADO DE PERNAMBUCOIPV46054</v>
      </c>
      <c r="B3486" s="12" t="str">
        <f t="shared" si="109"/>
        <v>Junho</v>
      </c>
      <c r="C3486" s="8" t="s">
        <v>1175</v>
      </c>
      <c r="D3486" s="8" t="s">
        <v>1723</v>
      </c>
      <c r="E3486" s="8" t="s">
        <v>1744</v>
      </c>
      <c r="F3486" s="23">
        <v>46054</v>
      </c>
      <c r="G3486" s="8" t="s">
        <v>1144</v>
      </c>
      <c r="H3486" s="23">
        <v>46188</v>
      </c>
      <c r="I3486" s="23">
        <v>46054</v>
      </c>
      <c r="J3486" s="10">
        <v>247.12</v>
      </c>
      <c r="K3486" s="10">
        <v>0</v>
      </c>
      <c r="L3486" s="24">
        <v>0</v>
      </c>
      <c r="M3486" s="10">
        <v>247.12</v>
      </c>
    </row>
    <row r="3487" spans="1:13" x14ac:dyDescent="0.25">
      <c r="A3487" s="12" t="str">
        <f t="shared" si="110"/>
        <v>IFL1442026SECRETARIA DE ADMINISTRAÇÃO DO GOVERNO DO ESTADO DE PERNAMBUCOIPV46054</v>
      </c>
      <c r="B3487" s="12" t="str">
        <f t="shared" si="109"/>
        <v>Julho</v>
      </c>
      <c r="C3487" s="8" t="s">
        <v>1175</v>
      </c>
      <c r="D3487" s="8" t="s">
        <v>1723</v>
      </c>
      <c r="E3487" s="8" t="s">
        <v>1744</v>
      </c>
      <c r="F3487" s="23">
        <v>46054</v>
      </c>
      <c r="G3487" s="8" t="s">
        <v>1144</v>
      </c>
      <c r="H3487" s="23">
        <v>46218</v>
      </c>
      <c r="I3487" s="23">
        <v>46054</v>
      </c>
      <c r="J3487" s="10">
        <v>247.12</v>
      </c>
      <c r="K3487" s="10">
        <v>0</v>
      </c>
      <c r="L3487" s="24">
        <v>0</v>
      </c>
      <c r="M3487" s="10">
        <v>247.12</v>
      </c>
    </row>
    <row r="3488" spans="1:13" x14ac:dyDescent="0.25">
      <c r="A3488" s="12" t="str">
        <f t="shared" si="110"/>
        <v>IFL1442026SECRETARIA DE ADMINISTRAÇÃO DO GOVERNO DO ESTADO DE PERNAMBUCOIPV46054</v>
      </c>
      <c r="B3488" s="12" t="str">
        <f t="shared" si="109"/>
        <v>Agosto</v>
      </c>
      <c r="C3488" s="8" t="s">
        <v>1175</v>
      </c>
      <c r="D3488" s="8" t="s">
        <v>1723</v>
      </c>
      <c r="E3488" s="8" t="s">
        <v>1744</v>
      </c>
      <c r="F3488" s="23">
        <v>46054</v>
      </c>
      <c r="G3488" s="8" t="s">
        <v>1144</v>
      </c>
      <c r="H3488" s="23">
        <v>46251</v>
      </c>
      <c r="I3488" s="23">
        <v>46054</v>
      </c>
      <c r="J3488" s="10">
        <v>247.12</v>
      </c>
      <c r="K3488" s="10">
        <v>0</v>
      </c>
      <c r="L3488" s="24">
        <v>0</v>
      </c>
      <c r="M3488" s="10">
        <v>247.12</v>
      </c>
    </row>
    <row r="3489" spans="1:13" x14ac:dyDescent="0.25">
      <c r="A3489" s="12" t="str">
        <f t="shared" si="110"/>
        <v>IFL1442026SECRETARIA DE ADMINISTRAÇÃO DO GOVERNO DO ESTADO DE PERNAMBUCOIPV46054</v>
      </c>
      <c r="B3489" s="12" t="str">
        <f t="shared" si="109"/>
        <v>Setembro</v>
      </c>
      <c r="C3489" s="8" t="s">
        <v>1175</v>
      </c>
      <c r="D3489" s="8" t="s">
        <v>1723</v>
      </c>
      <c r="E3489" s="8" t="s">
        <v>1744</v>
      </c>
      <c r="F3489" s="23">
        <v>46054</v>
      </c>
      <c r="G3489" s="8" t="s">
        <v>1144</v>
      </c>
      <c r="H3489" s="23">
        <v>46280</v>
      </c>
      <c r="I3489" s="23">
        <v>46054</v>
      </c>
      <c r="J3489" s="10">
        <v>247.12</v>
      </c>
      <c r="K3489" s="10">
        <v>0</v>
      </c>
      <c r="L3489" s="24">
        <v>0</v>
      </c>
      <c r="M3489" s="10">
        <v>247.12</v>
      </c>
    </row>
    <row r="3490" spans="1:13" x14ac:dyDescent="0.25">
      <c r="A3490" s="12" t="str">
        <f t="shared" si="110"/>
        <v>IFL1452026SECRETARIA DE ADMINISTRAÇÃO DO GOVERNO DO ESTADO DE PERNAMBUCOIPV46054</v>
      </c>
      <c r="B3490" s="12" t="str">
        <f t="shared" si="109"/>
        <v>Fevereiro</v>
      </c>
      <c r="C3490" s="8" t="s">
        <v>1176</v>
      </c>
      <c r="D3490" s="8" t="s">
        <v>1723</v>
      </c>
      <c r="E3490" s="8" t="s">
        <v>1744</v>
      </c>
      <c r="F3490" s="23">
        <v>46054</v>
      </c>
      <c r="G3490" s="8" t="s">
        <v>1144</v>
      </c>
      <c r="H3490" s="23">
        <v>46072</v>
      </c>
      <c r="I3490" s="23">
        <v>46054</v>
      </c>
      <c r="J3490" s="10">
        <v>247.12</v>
      </c>
      <c r="K3490" s="10">
        <v>0</v>
      </c>
      <c r="L3490" s="24">
        <v>0</v>
      </c>
      <c r="M3490" s="10">
        <v>247.12</v>
      </c>
    </row>
    <row r="3491" spans="1:13" x14ac:dyDescent="0.25">
      <c r="A3491" s="12" t="str">
        <f t="shared" si="110"/>
        <v>IFL1452026SECRETARIA DE ADMINISTRAÇÃO DO GOVERNO DO ESTADO DE PERNAMBUCOIPV46054</v>
      </c>
      <c r="B3491" s="12" t="str">
        <f t="shared" si="109"/>
        <v>Março</v>
      </c>
      <c r="C3491" s="8" t="s">
        <v>1176</v>
      </c>
      <c r="D3491" s="8" t="s">
        <v>1723</v>
      </c>
      <c r="E3491" s="8" t="s">
        <v>1744</v>
      </c>
      <c r="F3491" s="23">
        <v>46054</v>
      </c>
      <c r="G3491" s="8" t="s">
        <v>1144</v>
      </c>
      <c r="H3491" s="23">
        <v>46097</v>
      </c>
      <c r="I3491" s="23">
        <v>46054</v>
      </c>
      <c r="J3491" s="10">
        <v>247.12</v>
      </c>
      <c r="K3491" s="10">
        <v>0</v>
      </c>
      <c r="L3491" s="24">
        <v>0</v>
      </c>
      <c r="M3491" s="10">
        <v>247.12</v>
      </c>
    </row>
    <row r="3492" spans="1:13" x14ac:dyDescent="0.25">
      <c r="A3492" s="12" t="str">
        <f t="shared" si="110"/>
        <v>IFL1452026SECRETARIA DE ADMINISTRAÇÃO DO GOVERNO DO ESTADO DE PERNAMBUCOIPV46054</v>
      </c>
      <c r="B3492" s="12" t="str">
        <f t="shared" si="109"/>
        <v>Abril</v>
      </c>
      <c r="C3492" s="8" t="s">
        <v>1176</v>
      </c>
      <c r="D3492" s="8" t="s">
        <v>1723</v>
      </c>
      <c r="E3492" s="8" t="s">
        <v>1744</v>
      </c>
      <c r="F3492" s="23">
        <v>46054</v>
      </c>
      <c r="G3492" s="8" t="s">
        <v>1144</v>
      </c>
      <c r="H3492" s="23">
        <v>46127</v>
      </c>
      <c r="I3492" s="23">
        <v>46054</v>
      </c>
      <c r="J3492" s="10">
        <v>247.12</v>
      </c>
      <c r="K3492" s="10">
        <v>0</v>
      </c>
      <c r="L3492" s="24">
        <v>0</v>
      </c>
      <c r="M3492" s="10">
        <v>247.12</v>
      </c>
    </row>
    <row r="3493" spans="1:13" x14ac:dyDescent="0.25">
      <c r="A3493" s="12" t="str">
        <f t="shared" si="110"/>
        <v>IFL1452026SECRETARIA DE ADMINISTRAÇÃO DO GOVERNO DO ESTADO DE PERNAMBUCOIPV46054</v>
      </c>
      <c r="B3493" s="12" t="str">
        <f t="shared" si="109"/>
        <v>Maio</v>
      </c>
      <c r="C3493" s="8" t="s">
        <v>1176</v>
      </c>
      <c r="D3493" s="8" t="s">
        <v>1723</v>
      </c>
      <c r="E3493" s="8" t="s">
        <v>1744</v>
      </c>
      <c r="F3493" s="23">
        <v>46054</v>
      </c>
      <c r="G3493" s="8" t="s">
        <v>1144</v>
      </c>
      <c r="H3493" s="23">
        <v>46157</v>
      </c>
      <c r="I3493" s="23">
        <v>46054</v>
      </c>
      <c r="J3493" s="10">
        <v>247.12</v>
      </c>
      <c r="K3493" s="10">
        <v>0</v>
      </c>
      <c r="L3493" s="24">
        <v>0</v>
      </c>
      <c r="M3493" s="10">
        <v>247.12</v>
      </c>
    </row>
    <row r="3494" spans="1:13" x14ac:dyDescent="0.25">
      <c r="A3494" s="12" t="str">
        <f t="shared" si="110"/>
        <v>IFL1452026SECRETARIA DE ADMINISTRAÇÃO DO GOVERNO DO ESTADO DE PERNAMBUCOIPV46054</v>
      </c>
      <c r="B3494" s="12" t="str">
        <f t="shared" si="109"/>
        <v>Junho</v>
      </c>
      <c r="C3494" s="8" t="s">
        <v>1176</v>
      </c>
      <c r="D3494" s="8" t="s">
        <v>1723</v>
      </c>
      <c r="E3494" s="8" t="s">
        <v>1744</v>
      </c>
      <c r="F3494" s="23">
        <v>46054</v>
      </c>
      <c r="G3494" s="8" t="s">
        <v>1144</v>
      </c>
      <c r="H3494" s="23">
        <v>46188</v>
      </c>
      <c r="I3494" s="23">
        <v>46054</v>
      </c>
      <c r="J3494" s="10">
        <v>247.12</v>
      </c>
      <c r="K3494" s="10">
        <v>0</v>
      </c>
      <c r="L3494" s="24">
        <v>0</v>
      </c>
      <c r="M3494" s="10">
        <v>247.12</v>
      </c>
    </row>
    <row r="3495" spans="1:13" x14ac:dyDescent="0.25">
      <c r="A3495" s="12" t="str">
        <f t="shared" si="110"/>
        <v>IFL1452026SECRETARIA DE ADMINISTRAÇÃO DO GOVERNO DO ESTADO DE PERNAMBUCOIPV46054</v>
      </c>
      <c r="B3495" s="12" t="str">
        <f t="shared" si="109"/>
        <v>Julho</v>
      </c>
      <c r="C3495" s="8" t="s">
        <v>1176</v>
      </c>
      <c r="D3495" s="8" t="s">
        <v>1723</v>
      </c>
      <c r="E3495" s="8" t="s">
        <v>1744</v>
      </c>
      <c r="F3495" s="23">
        <v>46054</v>
      </c>
      <c r="G3495" s="8" t="s">
        <v>1144</v>
      </c>
      <c r="H3495" s="23">
        <v>46218</v>
      </c>
      <c r="I3495" s="23">
        <v>46054</v>
      </c>
      <c r="J3495" s="10">
        <v>247.12</v>
      </c>
      <c r="K3495" s="10">
        <v>0</v>
      </c>
      <c r="L3495" s="24">
        <v>0</v>
      </c>
      <c r="M3495" s="10">
        <v>247.12</v>
      </c>
    </row>
    <row r="3496" spans="1:13" x14ac:dyDescent="0.25">
      <c r="A3496" s="12" t="str">
        <f t="shared" si="110"/>
        <v>IFL1452026SECRETARIA DE ADMINISTRAÇÃO DO GOVERNO DO ESTADO DE PERNAMBUCOIPV46054</v>
      </c>
      <c r="B3496" s="12" t="str">
        <f t="shared" si="109"/>
        <v>Agosto</v>
      </c>
      <c r="C3496" s="8" t="s">
        <v>1176</v>
      </c>
      <c r="D3496" s="8" t="s">
        <v>1723</v>
      </c>
      <c r="E3496" s="8" t="s">
        <v>1744</v>
      </c>
      <c r="F3496" s="23">
        <v>46054</v>
      </c>
      <c r="G3496" s="8" t="s">
        <v>1144</v>
      </c>
      <c r="H3496" s="23">
        <v>46251</v>
      </c>
      <c r="I3496" s="23">
        <v>46054</v>
      </c>
      <c r="J3496" s="10">
        <v>247.12</v>
      </c>
      <c r="K3496" s="10">
        <v>0</v>
      </c>
      <c r="L3496" s="24">
        <v>0</v>
      </c>
      <c r="M3496" s="10">
        <v>247.12</v>
      </c>
    </row>
    <row r="3497" spans="1:13" x14ac:dyDescent="0.25">
      <c r="A3497" s="12" t="str">
        <f t="shared" si="110"/>
        <v>IFL1452026SECRETARIA DE ADMINISTRAÇÃO DO GOVERNO DO ESTADO DE PERNAMBUCOIPV46054</v>
      </c>
      <c r="B3497" s="12" t="str">
        <f t="shared" si="109"/>
        <v>Setembro</v>
      </c>
      <c r="C3497" s="8" t="s">
        <v>1176</v>
      </c>
      <c r="D3497" s="8" t="s">
        <v>1723</v>
      </c>
      <c r="E3497" s="8" t="s">
        <v>1744</v>
      </c>
      <c r="F3497" s="23">
        <v>46054</v>
      </c>
      <c r="G3497" s="8" t="s">
        <v>1144</v>
      </c>
      <c r="H3497" s="23">
        <v>46280</v>
      </c>
      <c r="I3497" s="23">
        <v>46054</v>
      </c>
      <c r="J3497" s="10">
        <v>247.12</v>
      </c>
      <c r="K3497" s="10">
        <v>0</v>
      </c>
      <c r="L3497" s="24">
        <v>0</v>
      </c>
      <c r="M3497" s="10">
        <v>247.12</v>
      </c>
    </row>
    <row r="3498" spans="1:13" x14ac:dyDescent="0.25">
      <c r="A3498" s="12" t="str">
        <f t="shared" si="110"/>
        <v>IFL322026SECRETARIA DE ADMINISTRAÇÃO DO GOVERNO DO ESTADO DE PERNAMBUCOIPV46054</v>
      </c>
      <c r="B3498" s="12" t="str">
        <f t="shared" si="109"/>
        <v>Fevereiro</v>
      </c>
      <c r="C3498" s="8" t="s">
        <v>1177</v>
      </c>
      <c r="D3498" s="8" t="s">
        <v>1723</v>
      </c>
      <c r="E3498" s="8" t="s">
        <v>1744</v>
      </c>
      <c r="F3498" s="23">
        <v>46054</v>
      </c>
      <c r="G3498" s="8" t="s">
        <v>1144</v>
      </c>
      <c r="H3498" s="23">
        <v>46072</v>
      </c>
      <c r="I3498" s="23">
        <v>46054</v>
      </c>
      <c r="J3498" s="10">
        <v>170.26</v>
      </c>
      <c r="K3498" s="10">
        <v>0</v>
      </c>
      <c r="L3498" s="24">
        <v>0</v>
      </c>
      <c r="M3498" s="10">
        <v>170.26</v>
      </c>
    </row>
    <row r="3499" spans="1:13" x14ac:dyDescent="0.25">
      <c r="A3499" s="12" t="str">
        <f t="shared" si="110"/>
        <v>IFL322026SECRETARIA DE ADMINISTRAÇÃO DO GOVERNO DO ESTADO DE PERNAMBUCOIPV46054</v>
      </c>
      <c r="B3499" s="12" t="str">
        <f t="shared" si="109"/>
        <v>Março</v>
      </c>
      <c r="C3499" s="8" t="s">
        <v>1177</v>
      </c>
      <c r="D3499" s="8" t="s">
        <v>1723</v>
      </c>
      <c r="E3499" s="8" t="s">
        <v>1744</v>
      </c>
      <c r="F3499" s="23">
        <v>46054</v>
      </c>
      <c r="G3499" s="8" t="s">
        <v>1144</v>
      </c>
      <c r="H3499" s="23">
        <v>46097</v>
      </c>
      <c r="I3499" s="23">
        <v>46054</v>
      </c>
      <c r="J3499" s="10">
        <v>170.26</v>
      </c>
      <c r="K3499" s="10">
        <v>0</v>
      </c>
      <c r="L3499" s="24">
        <v>0</v>
      </c>
      <c r="M3499" s="10">
        <v>170.26</v>
      </c>
    </row>
    <row r="3500" spans="1:13" x14ac:dyDescent="0.25">
      <c r="A3500" s="12" t="str">
        <f t="shared" si="110"/>
        <v>IFL322026SECRETARIA DE ADMINISTRAÇÃO DO GOVERNO DO ESTADO DE PERNAMBUCOIPV46054</v>
      </c>
      <c r="B3500" s="12" t="str">
        <f t="shared" si="109"/>
        <v>Abril</v>
      </c>
      <c r="C3500" s="8" t="s">
        <v>1177</v>
      </c>
      <c r="D3500" s="8" t="s">
        <v>1723</v>
      </c>
      <c r="E3500" s="8" t="s">
        <v>1744</v>
      </c>
      <c r="F3500" s="23">
        <v>46054</v>
      </c>
      <c r="G3500" s="8" t="s">
        <v>1144</v>
      </c>
      <c r="H3500" s="23">
        <v>46127</v>
      </c>
      <c r="I3500" s="23">
        <v>46054</v>
      </c>
      <c r="J3500" s="10">
        <v>170.26</v>
      </c>
      <c r="K3500" s="10">
        <v>0</v>
      </c>
      <c r="L3500" s="24">
        <v>0</v>
      </c>
      <c r="M3500" s="10">
        <v>170.26</v>
      </c>
    </row>
    <row r="3501" spans="1:13" x14ac:dyDescent="0.25">
      <c r="A3501" s="12" t="str">
        <f t="shared" si="110"/>
        <v>IFL322026SECRETARIA DE ADMINISTRAÇÃO DO GOVERNO DO ESTADO DE PERNAMBUCOIPV46054</v>
      </c>
      <c r="B3501" s="12" t="str">
        <f t="shared" si="109"/>
        <v>Maio</v>
      </c>
      <c r="C3501" s="8" t="s">
        <v>1177</v>
      </c>
      <c r="D3501" s="8" t="s">
        <v>1723</v>
      </c>
      <c r="E3501" s="8" t="s">
        <v>1744</v>
      </c>
      <c r="F3501" s="23">
        <v>46054</v>
      </c>
      <c r="G3501" s="8" t="s">
        <v>1144</v>
      </c>
      <c r="H3501" s="23">
        <v>46157</v>
      </c>
      <c r="I3501" s="23">
        <v>46054</v>
      </c>
      <c r="J3501" s="10">
        <v>170.26</v>
      </c>
      <c r="K3501" s="10">
        <v>0</v>
      </c>
      <c r="L3501" s="24">
        <v>0</v>
      </c>
      <c r="M3501" s="10">
        <v>170.26</v>
      </c>
    </row>
    <row r="3502" spans="1:13" x14ac:dyDescent="0.25">
      <c r="A3502" s="12" t="str">
        <f t="shared" si="110"/>
        <v>IFL322026SECRETARIA DE ADMINISTRAÇÃO DO GOVERNO DO ESTADO DE PERNAMBUCOIPV46054</v>
      </c>
      <c r="B3502" s="12" t="str">
        <f t="shared" si="109"/>
        <v>Junho</v>
      </c>
      <c r="C3502" s="8" t="s">
        <v>1177</v>
      </c>
      <c r="D3502" s="8" t="s">
        <v>1723</v>
      </c>
      <c r="E3502" s="8" t="s">
        <v>1744</v>
      </c>
      <c r="F3502" s="23">
        <v>46054</v>
      </c>
      <c r="G3502" s="8" t="s">
        <v>1144</v>
      </c>
      <c r="H3502" s="23">
        <v>46188</v>
      </c>
      <c r="I3502" s="23">
        <v>46054</v>
      </c>
      <c r="J3502" s="10">
        <v>170.26</v>
      </c>
      <c r="K3502" s="10">
        <v>0</v>
      </c>
      <c r="L3502" s="24">
        <v>0</v>
      </c>
      <c r="M3502" s="10">
        <v>170.26</v>
      </c>
    </row>
    <row r="3503" spans="1:13" x14ac:dyDescent="0.25">
      <c r="A3503" s="12" t="str">
        <f t="shared" si="110"/>
        <v>IFL322026SECRETARIA DE ADMINISTRAÇÃO DO GOVERNO DO ESTADO DE PERNAMBUCOIPV46054</v>
      </c>
      <c r="B3503" s="12" t="str">
        <f t="shared" si="109"/>
        <v>Julho</v>
      </c>
      <c r="C3503" s="8" t="s">
        <v>1177</v>
      </c>
      <c r="D3503" s="8" t="s">
        <v>1723</v>
      </c>
      <c r="E3503" s="8" t="s">
        <v>1744</v>
      </c>
      <c r="F3503" s="23">
        <v>46054</v>
      </c>
      <c r="G3503" s="8" t="s">
        <v>1144</v>
      </c>
      <c r="H3503" s="23">
        <v>46218</v>
      </c>
      <c r="I3503" s="23">
        <v>46054</v>
      </c>
      <c r="J3503" s="10">
        <v>170.26</v>
      </c>
      <c r="K3503" s="10">
        <v>0</v>
      </c>
      <c r="L3503" s="24">
        <v>0</v>
      </c>
      <c r="M3503" s="10">
        <v>170.26</v>
      </c>
    </row>
    <row r="3504" spans="1:13" x14ac:dyDescent="0.25">
      <c r="A3504" s="12" t="str">
        <f t="shared" si="110"/>
        <v>IFL322026SECRETARIA DE ADMINISTRAÇÃO DO GOVERNO DO ESTADO DE PERNAMBUCOIPV46054</v>
      </c>
      <c r="B3504" s="12" t="str">
        <f t="shared" si="109"/>
        <v>Agosto</v>
      </c>
      <c r="C3504" s="8" t="s">
        <v>1177</v>
      </c>
      <c r="D3504" s="8" t="s">
        <v>1723</v>
      </c>
      <c r="E3504" s="8" t="s">
        <v>1744</v>
      </c>
      <c r="F3504" s="23">
        <v>46054</v>
      </c>
      <c r="G3504" s="8" t="s">
        <v>1144</v>
      </c>
      <c r="H3504" s="23">
        <v>46251</v>
      </c>
      <c r="I3504" s="23">
        <v>46054</v>
      </c>
      <c r="J3504" s="10">
        <v>170.26</v>
      </c>
      <c r="K3504" s="10">
        <v>0</v>
      </c>
      <c r="L3504" s="24">
        <v>0</v>
      </c>
      <c r="M3504" s="10">
        <v>170.26</v>
      </c>
    </row>
    <row r="3505" spans="1:13" x14ac:dyDescent="0.25">
      <c r="A3505" s="12" t="str">
        <f t="shared" si="110"/>
        <v>IFL322026SECRETARIA DE ADMINISTRAÇÃO DO GOVERNO DO ESTADO DE PERNAMBUCOIPV46054</v>
      </c>
      <c r="B3505" s="12" t="str">
        <f t="shared" si="109"/>
        <v>Setembro</v>
      </c>
      <c r="C3505" s="8" t="s">
        <v>1177</v>
      </c>
      <c r="D3505" s="8" t="s">
        <v>1723</v>
      </c>
      <c r="E3505" s="8" t="s">
        <v>1744</v>
      </c>
      <c r="F3505" s="23">
        <v>46054</v>
      </c>
      <c r="G3505" s="8" t="s">
        <v>1144</v>
      </c>
      <c r="H3505" s="23">
        <v>46280</v>
      </c>
      <c r="I3505" s="23">
        <v>46054</v>
      </c>
      <c r="J3505" s="10">
        <v>170.26</v>
      </c>
      <c r="K3505" s="10">
        <v>0</v>
      </c>
      <c r="L3505" s="24">
        <v>0</v>
      </c>
      <c r="M3505" s="10">
        <v>170.26</v>
      </c>
    </row>
    <row r="3506" spans="1:13" x14ac:dyDescent="0.25">
      <c r="A3506" s="12" t="str">
        <f t="shared" si="110"/>
        <v>IFL332026SECRETARIA DE ADMINISTRAÇÃO DO GOVERNO DO ESTADO DE PERNAMBUCOIPV46054</v>
      </c>
      <c r="B3506" s="12" t="str">
        <f t="shared" si="109"/>
        <v>Fevereiro</v>
      </c>
      <c r="C3506" s="8" t="s">
        <v>1178</v>
      </c>
      <c r="D3506" s="8" t="s">
        <v>1723</v>
      </c>
      <c r="E3506" s="8" t="s">
        <v>1744</v>
      </c>
      <c r="F3506" s="23">
        <v>46054</v>
      </c>
      <c r="G3506" s="8" t="s">
        <v>1144</v>
      </c>
      <c r="H3506" s="23">
        <v>46072</v>
      </c>
      <c r="I3506" s="23">
        <v>46054</v>
      </c>
      <c r="J3506" s="10">
        <v>170.26</v>
      </c>
      <c r="K3506" s="10">
        <v>0</v>
      </c>
      <c r="L3506" s="24">
        <v>0</v>
      </c>
      <c r="M3506" s="10">
        <v>170.26</v>
      </c>
    </row>
    <row r="3507" spans="1:13" x14ac:dyDescent="0.25">
      <c r="A3507" s="12" t="str">
        <f t="shared" si="110"/>
        <v>IFL332026SECRETARIA DE ADMINISTRAÇÃO DO GOVERNO DO ESTADO DE PERNAMBUCOIPV46054</v>
      </c>
      <c r="B3507" s="12" t="str">
        <f t="shared" si="109"/>
        <v>Março</v>
      </c>
      <c r="C3507" s="8" t="s">
        <v>1178</v>
      </c>
      <c r="D3507" s="8" t="s">
        <v>1723</v>
      </c>
      <c r="E3507" s="8" t="s">
        <v>1744</v>
      </c>
      <c r="F3507" s="23">
        <v>46054</v>
      </c>
      <c r="G3507" s="8" t="s">
        <v>1144</v>
      </c>
      <c r="H3507" s="23">
        <v>46097</v>
      </c>
      <c r="I3507" s="23">
        <v>46054</v>
      </c>
      <c r="J3507" s="10">
        <v>170.26</v>
      </c>
      <c r="K3507" s="10">
        <v>0</v>
      </c>
      <c r="L3507" s="24">
        <v>0</v>
      </c>
      <c r="M3507" s="10">
        <v>170.26</v>
      </c>
    </row>
    <row r="3508" spans="1:13" x14ac:dyDescent="0.25">
      <c r="A3508" s="12" t="str">
        <f t="shared" si="110"/>
        <v>IFL332026SECRETARIA DE ADMINISTRAÇÃO DO GOVERNO DO ESTADO DE PERNAMBUCOIPV46054</v>
      </c>
      <c r="B3508" s="12" t="str">
        <f t="shared" si="109"/>
        <v>Abril</v>
      </c>
      <c r="C3508" s="8" t="s">
        <v>1178</v>
      </c>
      <c r="D3508" s="8" t="s">
        <v>1723</v>
      </c>
      <c r="E3508" s="8" t="s">
        <v>1744</v>
      </c>
      <c r="F3508" s="23">
        <v>46054</v>
      </c>
      <c r="G3508" s="8" t="s">
        <v>1144</v>
      </c>
      <c r="H3508" s="23">
        <v>46127</v>
      </c>
      <c r="I3508" s="23">
        <v>46054</v>
      </c>
      <c r="J3508" s="10">
        <v>170.26</v>
      </c>
      <c r="K3508" s="10">
        <v>0</v>
      </c>
      <c r="L3508" s="24">
        <v>0</v>
      </c>
      <c r="M3508" s="10">
        <v>170.26</v>
      </c>
    </row>
    <row r="3509" spans="1:13" x14ac:dyDescent="0.25">
      <c r="A3509" s="12" t="str">
        <f t="shared" si="110"/>
        <v>IFL332026SECRETARIA DE ADMINISTRAÇÃO DO GOVERNO DO ESTADO DE PERNAMBUCOIPV46054</v>
      </c>
      <c r="B3509" s="12" t="str">
        <f t="shared" si="109"/>
        <v>Maio</v>
      </c>
      <c r="C3509" s="8" t="s">
        <v>1178</v>
      </c>
      <c r="D3509" s="8" t="s">
        <v>1723</v>
      </c>
      <c r="E3509" s="8" t="s">
        <v>1744</v>
      </c>
      <c r="F3509" s="23">
        <v>46054</v>
      </c>
      <c r="G3509" s="8" t="s">
        <v>1144</v>
      </c>
      <c r="H3509" s="23">
        <v>46157</v>
      </c>
      <c r="I3509" s="23">
        <v>46054</v>
      </c>
      <c r="J3509" s="10">
        <v>170.26</v>
      </c>
      <c r="K3509" s="10">
        <v>0</v>
      </c>
      <c r="L3509" s="24">
        <v>0</v>
      </c>
      <c r="M3509" s="10">
        <v>170.26</v>
      </c>
    </row>
    <row r="3510" spans="1:13" x14ac:dyDescent="0.25">
      <c r="A3510" s="12" t="str">
        <f t="shared" si="110"/>
        <v>IFL332026SECRETARIA DE ADMINISTRAÇÃO DO GOVERNO DO ESTADO DE PERNAMBUCOIPV46054</v>
      </c>
      <c r="B3510" s="12" t="str">
        <f t="shared" si="109"/>
        <v>Junho</v>
      </c>
      <c r="C3510" s="8" t="s">
        <v>1178</v>
      </c>
      <c r="D3510" s="8" t="s">
        <v>1723</v>
      </c>
      <c r="E3510" s="8" t="s">
        <v>1744</v>
      </c>
      <c r="F3510" s="23">
        <v>46054</v>
      </c>
      <c r="G3510" s="8" t="s">
        <v>1144</v>
      </c>
      <c r="H3510" s="23">
        <v>46188</v>
      </c>
      <c r="I3510" s="23">
        <v>46054</v>
      </c>
      <c r="J3510" s="10">
        <v>170.26</v>
      </c>
      <c r="K3510" s="10">
        <v>0</v>
      </c>
      <c r="L3510" s="24">
        <v>0</v>
      </c>
      <c r="M3510" s="10">
        <v>170.26</v>
      </c>
    </row>
    <row r="3511" spans="1:13" x14ac:dyDescent="0.25">
      <c r="A3511" s="12" t="str">
        <f t="shared" si="110"/>
        <v>IFL332026SECRETARIA DE ADMINISTRAÇÃO DO GOVERNO DO ESTADO DE PERNAMBUCOIPV46054</v>
      </c>
      <c r="B3511" s="12" t="str">
        <f t="shared" si="109"/>
        <v>Julho</v>
      </c>
      <c r="C3511" s="8" t="s">
        <v>1178</v>
      </c>
      <c r="D3511" s="8" t="s">
        <v>1723</v>
      </c>
      <c r="E3511" s="8" t="s">
        <v>1744</v>
      </c>
      <c r="F3511" s="23">
        <v>46054</v>
      </c>
      <c r="G3511" s="8" t="s">
        <v>1144</v>
      </c>
      <c r="H3511" s="23">
        <v>46218</v>
      </c>
      <c r="I3511" s="23">
        <v>46054</v>
      </c>
      <c r="J3511" s="10">
        <v>170.26</v>
      </c>
      <c r="K3511" s="10">
        <v>0</v>
      </c>
      <c r="L3511" s="24">
        <v>0</v>
      </c>
      <c r="M3511" s="10">
        <v>170.26</v>
      </c>
    </row>
    <row r="3512" spans="1:13" x14ac:dyDescent="0.25">
      <c r="A3512" s="12" t="str">
        <f t="shared" si="110"/>
        <v>IFL332026SECRETARIA DE ADMINISTRAÇÃO DO GOVERNO DO ESTADO DE PERNAMBUCOIPV46054</v>
      </c>
      <c r="B3512" s="12" t="str">
        <f t="shared" si="109"/>
        <v>Agosto</v>
      </c>
      <c r="C3512" s="8" t="s">
        <v>1178</v>
      </c>
      <c r="D3512" s="8" t="s">
        <v>1723</v>
      </c>
      <c r="E3512" s="8" t="s">
        <v>1744</v>
      </c>
      <c r="F3512" s="23">
        <v>46054</v>
      </c>
      <c r="G3512" s="8" t="s">
        <v>1144</v>
      </c>
      <c r="H3512" s="23">
        <v>46251</v>
      </c>
      <c r="I3512" s="23">
        <v>46054</v>
      </c>
      <c r="J3512" s="10">
        <v>170.26</v>
      </c>
      <c r="K3512" s="10">
        <v>0</v>
      </c>
      <c r="L3512" s="24">
        <v>0</v>
      </c>
      <c r="M3512" s="10">
        <v>170.26</v>
      </c>
    </row>
    <row r="3513" spans="1:13" x14ac:dyDescent="0.25">
      <c r="A3513" s="12" t="str">
        <f t="shared" si="110"/>
        <v>IFL332026SECRETARIA DE ADMINISTRAÇÃO DO GOVERNO DO ESTADO DE PERNAMBUCOIPV46054</v>
      </c>
      <c r="B3513" s="12" t="str">
        <f t="shared" si="109"/>
        <v>Setembro</v>
      </c>
      <c r="C3513" s="8" t="s">
        <v>1178</v>
      </c>
      <c r="D3513" s="8" t="s">
        <v>1723</v>
      </c>
      <c r="E3513" s="8" t="s">
        <v>1744</v>
      </c>
      <c r="F3513" s="23">
        <v>46054</v>
      </c>
      <c r="G3513" s="8" t="s">
        <v>1144</v>
      </c>
      <c r="H3513" s="23">
        <v>46280</v>
      </c>
      <c r="I3513" s="23">
        <v>46054</v>
      </c>
      <c r="J3513" s="10">
        <v>170.26</v>
      </c>
      <c r="K3513" s="10">
        <v>0</v>
      </c>
      <c r="L3513" s="24">
        <v>0</v>
      </c>
      <c r="M3513" s="10">
        <v>170.26</v>
      </c>
    </row>
    <row r="3514" spans="1:13" x14ac:dyDescent="0.25">
      <c r="A3514" s="12" t="str">
        <f t="shared" si="110"/>
        <v>IFL342026SECRETARIA DE ADMINISTRAÇÃO DO GOVERNO DO ESTADO DE PERNAMBUCOIPV46054</v>
      </c>
      <c r="B3514" s="12" t="str">
        <f t="shared" si="109"/>
        <v>Fevereiro</v>
      </c>
      <c r="C3514" s="8" t="s">
        <v>1179</v>
      </c>
      <c r="D3514" s="8" t="s">
        <v>1723</v>
      </c>
      <c r="E3514" s="8" t="s">
        <v>1744</v>
      </c>
      <c r="F3514" s="23">
        <v>46054</v>
      </c>
      <c r="G3514" s="8" t="s">
        <v>1144</v>
      </c>
      <c r="H3514" s="23">
        <v>46072</v>
      </c>
      <c r="I3514" s="23">
        <v>46054</v>
      </c>
      <c r="J3514" s="10">
        <v>170.26</v>
      </c>
      <c r="K3514" s="10">
        <v>0</v>
      </c>
      <c r="L3514" s="24">
        <v>0</v>
      </c>
      <c r="M3514" s="10">
        <v>170.26</v>
      </c>
    </row>
    <row r="3515" spans="1:13" x14ac:dyDescent="0.25">
      <c r="A3515" s="12" t="str">
        <f t="shared" si="110"/>
        <v>IFL342026SECRETARIA DE ADMINISTRAÇÃO DO GOVERNO DO ESTADO DE PERNAMBUCOIPV46054</v>
      </c>
      <c r="B3515" s="12" t="str">
        <f t="shared" si="109"/>
        <v>Março</v>
      </c>
      <c r="C3515" s="8" t="s">
        <v>1179</v>
      </c>
      <c r="D3515" s="8" t="s">
        <v>1723</v>
      </c>
      <c r="E3515" s="8" t="s">
        <v>1744</v>
      </c>
      <c r="F3515" s="23">
        <v>46054</v>
      </c>
      <c r="G3515" s="8" t="s">
        <v>1144</v>
      </c>
      <c r="H3515" s="23">
        <v>46097</v>
      </c>
      <c r="I3515" s="23">
        <v>46054</v>
      </c>
      <c r="J3515" s="10">
        <v>170.26</v>
      </c>
      <c r="K3515" s="10">
        <v>0</v>
      </c>
      <c r="L3515" s="24">
        <v>0</v>
      </c>
      <c r="M3515" s="10">
        <v>170.26</v>
      </c>
    </row>
    <row r="3516" spans="1:13" x14ac:dyDescent="0.25">
      <c r="A3516" s="12" t="str">
        <f t="shared" si="110"/>
        <v>IFL342026SECRETARIA DE ADMINISTRAÇÃO DO GOVERNO DO ESTADO DE PERNAMBUCOIPV46054</v>
      </c>
      <c r="B3516" s="12" t="str">
        <f t="shared" si="109"/>
        <v>Abril</v>
      </c>
      <c r="C3516" s="8" t="s">
        <v>1179</v>
      </c>
      <c r="D3516" s="8" t="s">
        <v>1723</v>
      </c>
      <c r="E3516" s="8" t="s">
        <v>1744</v>
      </c>
      <c r="F3516" s="23">
        <v>46054</v>
      </c>
      <c r="G3516" s="8" t="s">
        <v>1144</v>
      </c>
      <c r="H3516" s="23">
        <v>46127</v>
      </c>
      <c r="I3516" s="23">
        <v>46054</v>
      </c>
      <c r="J3516" s="10">
        <v>170.26</v>
      </c>
      <c r="K3516" s="10">
        <v>0</v>
      </c>
      <c r="L3516" s="24">
        <v>0</v>
      </c>
      <c r="M3516" s="10">
        <v>170.26</v>
      </c>
    </row>
    <row r="3517" spans="1:13" x14ac:dyDescent="0.25">
      <c r="A3517" s="12" t="str">
        <f t="shared" si="110"/>
        <v>IFL342026SECRETARIA DE ADMINISTRAÇÃO DO GOVERNO DO ESTADO DE PERNAMBUCOIPV46054</v>
      </c>
      <c r="B3517" s="12" t="str">
        <f t="shared" si="109"/>
        <v>Maio</v>
      </c>
      <c r="C3517" s="8" t="s">
        <v>1179</v>
      </c>
      <c r="D3517" s="8" t="s">
        <v>1723</v>
      </c>
      <c r="E3517" s="8" t="s">
        <v>1744</v>
      </c>
      <c r="F3517" s="23">
        <v>46054</v>
      </c>
      <c r="G3517" s="8" t="s">
        <v>1144</v>
      </c>
      <c r="H3517" s="23">
        <v>46157</v>
      </c>
      <c r="I3517" s="23">
        <v>46054</v>
      </c>
      <c r="J3517" s="10">
        <v>170.26</v>
      </c>
      <c r="K3517" s="10">
        <v>0</v>
      </c>
      <c r="L3517" s="24">
        <v>0</v>
      </c>
      <c r="M3517" s="10">
        <v>170.26</v>
      </c>
    </row>
    <row r="3518" spans="1:13" x14ac:dyDescent="0.25">
      <c r="A3518" s="12" t="str">
        <f t="shared" si="110"/>
        <v>IFL342026SECRETARIA DE ADMINISTRAÇÃO DO GOVERNO DO ESTADO DE PERNAMBUCOIPV46054</v>
      </c>
      <c r="B3518" s="12" t="str">
        <f t="shared" si="109"/>
        <v>Junho</v>
      </c>
      <c r="C3518" s="8" t="s">
        <v>1179</v>
      </c>
      <c r="D3518" s="8" t="s">
        <v>1723</v>
      </c>
      <c r="E3518" s="8" t="s">
        <v>1744</v>
      </c>
      <c r="F3518" s="23">
        <v>46054</v>
      </c>
      <c r="G3518" s="8" t="s">
        <v>1144</v>
      </c>
      <c r="H3518" s="23">
        <v>46188</v>
      </c>
      <c r="I3518" s="23">
        <v>46054</v>
      </c>
      <c r="J3518" s="10">
        <v>170.26</v>
      </c>
      <c r="K3518" s="10">
        <v>0</v>
      </c>
      <c r="L3518" s="24">
        <v>0</v>
      </c>
      <c r="M3518" s="10">
        <v>170.26</v>
      </c>
    </row>
    <row r="3519" spans="1:13" x14ac:dyDescent="0.25">
      <c r="A3519" s="12" t="str">
        <f t="shared" si="110"/>
        <v>IFL342026SECRETARIA DE ADMINISTRAÇÃO DO GOVERNO DO ESTADO DE PERNAMBUCOIPV46054</v>
      </c>
      <c r="B3519" s="12" t="str">
        <f t="shared" si="109"/>
        <v>Julho</v>
      </c>
      <c r="C3519" s="8" t="s">
        <v>1179</v>
      </c>
      <c r="D3519" s="8" t="s">
        <v>1723</v>
      </c>
      <c r="E3519" s="8" t="s">
        <v>1744</v>
      </c>
      <c r="F3519" s="23">
        <v>46054</v>
      </c>
      <c r="G3519" s="8" t="s">
        <v>1144</v>
      </c>
      <c r="H3519" s="23">
        <v>46218</v>
      </c>
      <c r="I3519" s="23">
        <v>46054</v>
      </c>
      <c r="J3519" s="10">
        <v>170.26</v>
      </c>
      <c r="K3519" s="10">
        <v>0</v>
      </c>
      <c r="L3519" s="24">
        <v>0</v>
      </c>
      <c r="M3519" s="10">
        <v>170.26</v>
      </c>
    </row>
    <row r="3520" spans="1:13" x14ac:dyDescent="0.25">
      <c r="A3520" s="12" t="str">
        <f t="shared" si="110"/>
        <v>IFL342026SECRETARIA DE ADMINISTRAÇÃO DO GOVERNO DO ESTADO DE PERNAMBUCOIPV46054</v>
      </c>
      <c r="B3520" s="12" t="str">
        <f t="shared" si="109"/>
        <v>Agosto</v>
      </c>
      <c r="C3520" s="8" t="s">
        <v>1179</v>
      </c>
      <c r="D3520" s="8" t="s">
        <v>1723</v>
      </c>
      <c r="E3520" s="8" t="s">
        <v>1744</v>
      </c>
      <c r="F3520" s="23">
        <v>46054</v>
      </c>
      <c r="G3520" s="8" t="s">
        <v>1144</v>
      </c>
      <c r="H3520" s="23">
        <v>46251</v>
      </c>
      <c r="I3520" s="23">
        <v>46054</v>
      </c>
      <c r="J3520" s="10">
        <v>170.26</v>
      </c>
      <c r="K3520" s="10">
        <v>0</v>
      </c>
      <c r="L3520" s="24">
        <v>0</v>
      </c>
      <c r="M3520" s="10">
        <v>170.26</v>
      </c>
    </row>
    <row r="3521" spans="1:13" x14ac:dyDescent="0.25">
      <c r="A3521" s="12" t="str">
        <f t="shared" si="110"/>
        <v>IFL342026SECRETARIA DE ADMINISTRAÇÃO DO GOVERNO DO ESTADO DE PERNAMBUCOIPV46054</v>
      </c>
      <c r="B3521" s="12" t="str">
        <f t="shared" si="109"/>
        <v>Setembro</v>
      </c>
      <c r="C3521" s="8" t="s">
        <v>1179</v>
      </c>
      <c r="D3521" s="8" t="s">
        <v>1723</v>
      </c>
      <c r="E3521" s="8" t="s">
        <v>1744</v>
      </c>
      <c r="F3521" s="23">
        <v>46054</v>
      </c>
      <c r="G3521" s="8" t="s">
        <v>1144</v>
      </c>
      <c r="H3521" s="23">
        <v>46280</v>
      </c>
      <c r="I3521" s="23">
        <v>46054</v>
      </c>
      <c r="J3521" s="10">
        <v>170.26</v>
      </c>
      <c r="K3521" s="10">
        <v>0</v>
      </c>
      <c r="L3521" s="24">
        <v>0</v>
      </c>
      <c r="M3521" s="10">
        <v>170.26</v>
      </c>
    </row>
    <row r="3522" spans="1:13" x14ac:dyDescent="0.25">
      <c r="A3522" s="12" t="str">
        <f t="shared" si="110"/>
        <v>IFL352026SECRETARIA DE ADMINISTRAÇÃO DO GOVERNO DO ESTADO DE PERNAMBUCOIPV46054</v>
      </c>
      <c r="B3522" s="12" t="str">
        <f t="shared" si="109"/>
        <v>Fevereiro</v>
      </c>
      <c r="C3522" s="8" t="s">
        <v>1180</v>
      </c>
      <c r="D3522" s="8" t="s">
        <v>1723</v>
      </c>
      <c r="E3522" s="8" t="s">
        <v>1744</v>
      </c>
      <c r="F3522" s="23">
        <v>46054</v>
      </c>
      <c r="G3522" s="8" t="s">
        <v>1144</v>
      </c>
      <c r="H3522" s="23">
        <v>46072</v>
      </c>
      <c r="I3522" s="23">
        <v>46054</v>
      </c>
      <c r="J3522" s="10">
        <v>170.26</v>
      </c>
      <c r="K3522" s="10">
        <v>0</v>
      </c>
      <c r="L3522" s="24">
        <v>0</v>
      </c>
      <c r="M3522" s="10">
        <v>170.26</v>
      </c>
    </row>
    <row r="3523" spans="1:13" x14ac:dyDescent="0.25">
      <c r="A3523" s="12" t="str">
        <f t="shared" si="110"/>
        <v>IFL352026SECRETARIA DE ADMINISTRAÇÃO DO GOVERNO DO ESTADO DE PERNAMBUCOIPV46054</v>
      </c>
      <c r="B3523" s="12" t="str">
        <f t="shared" ref="B3523:B3586" si="111">PROPER(TEXT($H3523,"MMMM"))</f>
        <v>Março</v>
      </c>
      <c r="C3523" s="8" t="s">
        <v>1180</v>
      </c>
      <c r="D3523" s="8" t="s">
        <v>1723</v>
      </c>
      <c r="E3523" s="8" t="s">
        <v>1744</v>
      </c>
      <c r="F3523" s="23">
        <v>46054</v>
      </c>
      <c r="G3523" s="8" t="s">
        <v>1144</v>
      </c>
      <c r="H3523" s="23">
        <v>46097</v>
      </c>
      <c r="I3523" s="23">
        <v>46054</v>
      </c>
      <c r="J3523" s="10">
        <v>170.26</v>
      </c>
      <c r="K3523" s="10">
        <v>0</v>
      </c>
      <c r="L3523" s="24">
        <v>0</v>
      </c>
      <c r="M3523" s="10">
        <v>170.26</v>
      </c>
    </row>
    <row r="3524" spans="1:13" x14ac:dyDescent="0.25">
      <c r="A3524" s="12" t="str">
        <f t="shared" si="110"/>
        <v>IFL352026SECRETARIA DE ADMINISTRAÇÃO DO GOVERNO DO ESTADO DE PERNAMBUCOIPV46054</v>
      </c>
      <c r="B3524" s="12" t="str">
        <f t="shared" si="111"/>
        <v>Abril</v>
      </c>
      <c r="C3524" s="8" t="s">
        <v>1180</v>
      </c>
      <c r="D3524" s="8" t="s">
        <v>1723</v>
      </c>
      <c r="E3524" s="8" t="s">
        <v>1744</v>
      </c>
      <c r="F3524" s="23">
        <v>46054</v>
      </c>
      <c r="G3524" s="8" t="s">
        <v>1144</v>
      </c>
      <c r="H3524" s="23">
        <v>46127</v>
      </c>
      <c r="I3524" s="23">
        <v>46054</v>
      </c>
      <c r="J3524" s="10">
        <v>170.26</v>
      </c>
      <c r="K3524" s="10">
        <v>0</v>
      </c>
      <c r="L3524" s="24">
        <v>0</v>
      </c>
      <c r="M3524" s="10">
        <v>170.26</v>
      </c>
    </row>
    <row r="3525" spans="1:13" x14ac:dyDescent="0.25">
      <c r="A3525" s="12" t="str">
        <f t="shared" si="110"/>
        <v>IFL352026SECRETARIA DE ADMINISTRAÇÃO DO GOVERNO DO ESTADO DE PERNAMBUCOIPV46054</v>
      </c>
      <c r="B3525" s="12" t="str">
        <f t="shared" si="111"/>
        <v>Maio</v>
      </c>
      <c r="C3525" s="8" t="s">
        <v>1180</v>
      </c>
      <c r="D3525" s="8" t="s">
        <v>1723</v>
      </c>
      <c r="E3525" s="8" t="s">
        <v>1744</v>
      </c>
      <c r="F3525" s="23">
        <v>46054</v>
      </c>
      <c r="G3525" s="8" t="s">
        <v>1144</v>
      </c>
      <c r="H3525" s="23">
        <v>46157</v>
      </c>
      <c r="I3525" s="23">
        <v>46054</v>
      </c>
      <c r="J3525" s="10">
        <v>170.26</v>
      </c>
      <c r="K3525" s="10">
        <v>0</v>
      </c>
      <c r="L3525" s="24">
        <v>0</v>
      </c>
      <c r="M3525" s="10">
        <v>170.26</v>
      </c>
    </row>
    <row r="3526" spans="1:13" x14ac:dyDescent="0.25">
      <c r="A3526" s="12" t="str">
        <f t="shared" si="110"/>
        <v>IFL352026SECRETARIA DE ADMINISTRAÇÃO DO GOVERNO DO ESTADO DE PERNAMBUCOIPV46054</v>
      </c>
      <c r="B3526" s="12" t="str">
        <f t="shared" si="111"/>
        <v>Junho</v>
      </c>
      <c r="C3526" s="8" t="s">
        <v>1180</v>
      </c>
      <c r="D3526" s="8" t="s">
        <v>1723</v>
      </c>
      <c r="E3526" s="8" t="s">
        <v>1744</v>
      </c>
      <c r="F3526" s="23">
        <v>46054</v>
      </c>
      <c r="G3526" s="8" t="s">
        <v>1144</v>
      </c>
      <c r="H3526" s="23">
        <v>46188</v>
      </c>
      <c r="I3526" s="23">
        <v>46054</v>
      </c>
      <c r="J3526" s="10">
        <v>170.26</v>
      </c>
      <c r="K3526" s="10">
        <v>0</v>
      </c>
      <c r="L3526" s="24">
        <v>0</v>
      </c>
      <c r="M3526" s="10">
        <v>170.26</v>
      </c>
    </row>
    <row r="3527" spans="1:13" x14ac:dyDescent="0.25">
      <c r="A3527" s="12" t="str">
        <f t="shared" si="110"/>
        <v>IFL352026SECRETARIA DE ADMINISTRAÇÃO DO GOVERNO DO ESTADO DE PERNAMBUCOIPV46054</v>
      </c>
      <c r="B3527" s="12" t="str">
        <f t="shared" si="111"/>
        <v>Julho</v>
      </c>
      <c r="C3527" s="8" t="s">
        <v>1180</v>
      </c>
      <c r="D3527" s="8" t="s">
        <v>1723</v>
      </c>
      <c r="E3527" s="8" t="s">
        <v>1744</v>
      </c>
      <c r="F3527" s="23">
        <v>46054</v>
      </c>
      <c r="G3527" s="8" t="s">
        <v>1144</v>
      </c>
      <c r="H3527" s="23">
        <v>46218</v>
      </c>
      <c r="I3527" s="23">
        <v>46054</v>
      </c>
      <c r="J3527" s="10">
        <v>170.26</v>
      </c>
      <c r="K3527" s="10">
        <v>0</v>
      </c>
      <c r="L3527" s="24">
        <v>0</v>
      </c>
      <c r="M3527" s="10">
        <v>170.26</v>
      </c>
    </row>
    <row r="3528" spans="1:13" x14ac:dyDescent="0.25">
      <c r="A3528" s="12" t="str">
        <f t="shared" si="110"/>
        <v>IFL352026SECRETARIA DE ADMINISTRAÇÃO DO GOVERNO DO ESTADO DE PERNAMBUCOIPV46054</v>
      </c>
      <c r="B3528" s="12" t="str">
        <f t="shared" si="111"/>
        <v>Agosto</v>
      </c>
      <c r="C3528" s="8" t="s">
        <v>1180</v>
      </c>
      <c r="D3528" s="8" t="s">
        <v>1723</v>
      </c>
      <c r="E3528" s="8" t="s">
        <v>1744</v>
      </c>
      <c r="F3528" s="23">
        <v>46054</v>
      </c>
      <c r="G3528" s="8" t="s">
        <v>1144</v>
      </c>
      <c r="H3528" s="23">
        <v>46251</v>
      </c>
      <c r="I3528" s="23">
        <v>46054</v>
      </c>
      <c r="J3528" s="10">
        <v>170.26</v>
      </c>
      <c r="K3528" s="10">
        <v>0</v>
      </c>
      <c r="L3528" s="24">
        <v>0</v>
      </c>
      <c r="M3528" s="10">
        <v>170.26</v>
      </c>
    </row>
    <row r="3529" spans="1:13" x14ac:dyDescent="0.25">
      <c r="A3529" s="12" t="str">
        <f t="shared" si="110"/>
        <v>IFL352026SECRETARIA DE ADMINISTRAÇÃO DO GOVERNO DO ESTADO DE PERNAMBUCOIPV46054</v>
      </c>
      <c r="B3529" s="12" t="str">
        <f t="shared" si="111"/>
        <v>Setembro</v>
      </c>
      <c r="C3529" s="8" t="s">
        <v>1180</v>
      </c>
      <c r="D3529" s="8" t="s">
        <v>1723</v>
      </c>
      <c r="E3529" s="8" t="s">
        <v>1744</v>
      </c>
      <c r="F3529" s="23">
        <v>46054</v>
      </c>
      <c r="G3529" s="8" t="s">
        <v>1144</v>
      </c>
      <c r="H3529" s="23">
        <v>46280</v>
      </c>
      <c r="I3529" s="23">
        <v>46054</v>
      </c>
      <c r="J3529" s="10">
        <v>170.26</v>
      </c>
      <c r="K3529" s="10">
        <v>0</v>
      </c>
      <c r="L3529" s="24">
        <v>0</v>
      </c>
      <c r="M3529" s="10">
        <v>170.26</v>
      </c>
    </row>
    <row r="3530" spans="1:13" x14ac:dyDescent="0.25">
      <c r="A3530" s="12" t="str">
        <f t="shared" si="110"/>
        <v>IFL362026SECRETARIA DE ADMINISTRAÇÃO DO GOVERNO DO ESTADO DE PERNAMBUCOIPV46054</v>
      </c>
      <c r="B3530" s="12" t="str">
        <f t="shared" si="111"/>
        <v>Fevereiro</v>
      </c>
      <c r="C3530" s="8" t="s">
        <v>1181</v>
      </c>
      <c r="D3530" s="8" t="s">
        <v>1723</v>
      </c>
      <c r="E3530" s="8" t="s">
        <v>1744</v>
      </c>
      <c r="F3530" s="23">
        <v>46054</v>
      </c>
      <c r="G3530" s="8" t="s">
        <v>1144</v>
      </c>
      <c r="H3530" s="23">
        <v>46072</v>
      </c>
      <c r="I3530" s="23">
        <v>46054</v>
      </c>
      <c r="J3530" s="10">
        <v>170.26</v>
      </c>
      <c r="K3530" s="10">
        <v>0</v>
      </c>
      <c r="L3530" s="24">
        <v>0</v>
      </c>
      <c r="M3530" s="10">
        <v>170.26</v>
      </c>
    </row>
    <row r="3531" spans="1:13" x14ac:dyDescent="0.25">
      <c r="A3531" s="12" t="str">
        <f t="shared" si="110"/>
        <v>IFL362026SECRETARIA DE ADMINISTRAÇÃO DO GOVERNO DO ESTADO DE PERNAMBUCOIPV46054</v>
      </c>
      <c r="B3531" s="12" t="str">
        <f t="shared" si="111"/>
        <v>Março</v>
      </c>
      <c r="C3531" s="8" t="s">
        <v>1181</v>
      </c>
      <c r="D3531" s="8" t="s">
        <v>1723</v>
      </c>
      <c r="E3531" s="8" t="s">
        <v>1744</v>
      </c>
      <c r="F3531" s="23">
        <v>46054</v>
      </c>
      <c r="G3531" s="8" t="s">
        <v>1144</v>
      </c>
      <c r="H3531" s="23">
        <v>46097</v>
      </c>
      <c r="I3531" s="23">
        <v>46054</v>
      </c>
      <c r="J3531" s="10">
        <v>170.26</v>
      </c>
      <c r="K3531" s="10">
        <v>0</v>
      </c>
      <c r="L3531" s="24">
        <v>0</v>
      </c>
      <c r="M3531" s="10">
        <v>170.26</v>
      </c>
    </row>
    <row r="3532" spans="1:13" x14ac:dyDescent="0.25">
      <c r="A3532" s="12" t="str">
        <f t="shared" si="110"/>
        <v>IFL362026SECRETARIA DE ADMINISTRAÇÃO DO GOVERNO DO ESTADO DE PERNAMBUCOIPV46054</v>
      </c>
      <c r="B3532" s="12" t="str">
        <f t="shared" si="111"/>
        <v>Abril</v>
      </c>
      <c r="C3532" s="8" t="s">
        <v>1181</v>
      </c>
      <c r="D3532" s="8" t="s">
        <v>1723</v>
      </c>
      <c r="E3532" s="8" t="s">
        <v>1744</v>
      </c>
      <c r="F3532" s="23">
        <v>46054</v>
      </c>
      <c r="G3532" s="8" t="s">
        <v>1144</v>
      </c>
      <c r="H3532" s="23">
        <v>46127</v>
      </c>
      <c r="I3532" s="23">
        <v>46054</v>
      </c>
      <c r="J3532" s="10">
        <v>170.26</v>
      </c>
      <c r="K3532" s="10">
        <v>0</v>
      </c>
      <c r="L3532" s="24">
        <v>0</v>
      </c>
      <c r="M3532" s="10">
        <v>170.26</v>
      </c>
    </row>
    <row r="3533" spans="1:13" x14ac:dyDescent="0.25">
      <c r="A3533" s="12" t="str">
        <f t="shared" si="110"/>
        <v>IFL362026SECRETARIA DE ADMINISTRAÇÃO DO GOVERNO DO ESTADO DE PERNAMBUCOIPV46054</v>
      </c>
      <c r="B3533" s="12" t="str">
        <f t="shared" si="111"/>
        <v>Maio</v>
      </c>
      <c r="C3533" s="8" t="s">
        <v>1181</v>
      </c>
      <c r="D3533" s="8" t="s">
        <v>1723</v>
      </c>
      <c r="E3533" s="8" t="s">
        <v>1744</v>
      </c>
      <c r="F3533" s="23">
        <v>46054</v>
      </c>
      <c r="G3533" s="8" t="s">
        <v>1144</v>
      </c>
      <c r="H3533" s="23">
        <v>46157</v>
      </c>
      <c r="I3533" s="23">
        <v>46054</v>
      </c>
      <c r="J3533" s="10">
        <v>170.26</v>
      </c>
      <c r="K3533" s="10">
        <v>0</v>
      </c>
      <c r="L3533" s="24">
        <v>0</v>
      </c>
      <c r="M3533" s="10">
        <v>170.26</v>
      </c>
    </row>
    <row r="3534" spans="1:13" x14ac:dyDescent="0.25">
      <c r="A3534" s="12" t="str">
        <f t="shared" si="110"/>
        <v>IFL362026SECRETARIA DE ADMINISTRAÇÃO DO GOVERNO DO ESTADO DE PERNAMBUCOIPV46054</v>
      </c>
      <c r="B3534" s="12" t="str">
        <f t="shared" si="111"/>
        <v>Junho</v>
      </c>
      <c r="C3534" s="8" t="s">
        <v>1181</v>
      </c>
      <c r="D3534" s="8" t="s">
        <v>1723</v>
      </c>
      <c r="E3534" s="8" t="s">
        <v>1744</v>
      </c>
      <c r="F3534" s="23">
        <v>46054</v>
      </c>
      <c r="G3534" s="8" t="s">
        <v>1144</v>
      </c>
      <c r="H3534" s="23">
        <v>46188</v>
      </c>
      <c r="I3534" s="23">
        <v>46054</v>
      </c>
      <c r="J3534" s="10">
        <v>170.26</v>
      </c>
      <c r="K3534" s="10">
        <v>0</v>
      </c>
      <c r="L3534" s="24">
        <v>0</v>
      </c>
      <c r="M3534" s="10">
        <v>170.26</v>
      </c>
    </row>
    <row r="3535" spans="1:13" x14ac:dyDescent="0.25">
      <c r="A3535" s="12" t="str">
        <f t="shared" si="110"/>
        <v>IFL362026SECRETARIA DE ADMINISTRAÇÃO DO GOVERNO DO ESTADO DE PERNAMBUCOIPV46054</v>
      </c>
      <c r="B3535" s="12" t="str">
        <f t="shared" si="111"/>
        <v>Julho</v>
      </c>
      <c r="C3535" s="8" t="s">
        <v>1181</v>
      </c>
      <c r="D3535" s="8" t="s">
        <v>1723</v>
      </c>
      <c r="E3535" s="8" t="s">
        <v>1744</v>
      </c>
      <c r="F3535" s="23">
        <v>46054</v>
      </c>
      <c r="G3535" s="8" t="s">
        <v>1144</v>
      </c>
      <c r="H3535" s="23">
        <v>46218</v>
      </c>
      <c r="I3535" s="23">
        <v>46054</v>
      </c>
      <c r="J3535" s="10">
        <v>170.26</v>
      </c>
      <c r="K3535" s="10">
        <v>0</v>
      </c>
      <c r="L3535" s="24">
        <v>0</v>
      </c>
      <c r="M3535" s="10">
        <v>170.26</v>
      </c>
    </row>
    <row r="3536" spans="1:13" x14ac:dyDescent="0.25">
      <c r="A3536" s="12" t="str">
        <f t="shared" si="110"/>
        <v>IFL362026SECRETARIA DE ADMINISTRAÇÃO DO GOVERNO DO ESTADO DE PERNAMBUCOIPV46054</v>
      </c>
      <c r="B3536" s="12" t="str">
        <f t="shared" si="111"/>
        <v>Agosto</v>
      </c>
      <c r="C3536" s="8" t="s">
        <v>1181</v>
      </c>
      <c r="D3536" s="8" t="s">
        <v>1723</v>
      </c>
      <c r="E3536" s="8" t="s">
        <v>1744</v>
      </c>
      <c r="F3536" s="23">
        <v>46054</v>
      </c>
      <c r="G3536" s="8" t="s">
        <v>1144</v>
      </c>
      <c r="H3536" s="23">
        <v>46251</v>
      </c>
      <c r="I3536" s="23">
        <v>46054</v>
      </c>
      <c r="J3536" s="10">
        <v>170.26</v>
      </c>
      <c r="K3536" s="10">
        <v>0</v>
      </c>
      <c r="L3536" s="24">
        <v>0</v>
      </c>
      <c r="M3536" s="10">
        <v>170.26</v>
      </c>
    </row>
    <row r="3537" spans="1:13" x14ac:dyDescent="0.25">
      <c r="A3537" s="12" t="str">
        <f t="shared" si="110"/>
        <v>IFL362026SECRETARIA DE ADMINISTRAÇÃO DO GOVERNO DO ESTADO DE PERNAMBUCOIPV46054</v>
      </c>
      <c r="B3537" s="12" t="str">
        <f t="shared" si="111"/>
        <v>Setembro</v>
      </c>
      <c r="C3537" s="8" t="s">
        <v>1181</v>
      </c>
      <c r="D3537" s="8" t="s">
        <v>1723</v>
      </c>
      <c r="E3537" s="8" t="s">
        <v>1744</v>
      </c>
      <c r="F3537" s="23">
        <v>46054</v>
      </c>
      <c r="G3537" s="8" t="s">
        <v>1144</v>
      </c>
      <c r="H3537" s="23">
        <v>46280</v>
      </c>
      <c r="I3537" s="23">
        <v>46054</v>
      </c>
      <c r="J3537" s="10">
        <v>170.26</v>
      </c>
      <c r="K3537" s="10">
        <v>0</v>
      </c>
      <c r="L3537" s="24">
        <v>0</v>
      </c>
      <c r="M3537" s="10">
        <v>170.26</v>
      </c>
    </row>
    <row r="3538" spans="1:13" x14ac:dyDescent="0.25">
      <c r="A3538" s="12" t="str">
        <f t="shared" si="110"/>
        <v>INSS01/26MGMINISTERIO DA FAZENDAIM46056,6541666667</v>
      </c>
      <c r="B3538" s="12" t="str">
        <f t="shared" si="111"/>
        <v>Fevereiro</v>
      </c>
      <c r="C3538" s="8" t="s">
        <v>1774</v>
      </c>
      <c r="D3538" s="8" t="s">
        <v>664</v>
      </c>
      <c r="E3538" s="8" t="s">
        <v>1503</v>
      </c>
      <c r="F3538" s="23">
        <v>46056.654166666667</v>
      </c>
      <c r="G3538" s="8" t="s">
        <v>1142</v>
      </c>
      <c r="H3538" s="23">
        <v>46073</v>
      </c>
      <c r="I3538" s="23">
        <v>46053</v>
      </c>
      <c r="J3538" s="10">
        <v>103829.45</v>
      </c>
      <c r="K3538" s="10">
        <v>0</v>
      </c>
      <c r="L3538" s="24">
        <v>0</v>
      </c>
      <c r="M3538" s="10">
        <v>103829.45</v>
      </c>
    </row>
    <row r="3539" spans="1:13" x14ac:dyDescent="0.25">
      <c r="A3539" s="12" t="str">
        <f t="shared" si="110"/>
        <v>INSS03/26MGMINISTERIO DA FAZENDAIM46112</v>
      </c>
      <c r="B3539" s="12" t="str">
        <f t="shared" si="111"/>
        <v>Abril</v>
      </c>
      <c r="C3539" s="8" t="s">
        <v>2243</v>
      </c>
      <c r="D3539" s="8" t="s">
        <v>664</v>
      </c>
      <c r="E3539" s="8" t="s">
        <v>1503</v>
      </c>
      <c r="F3539" s="23">
        <v>46112</v>
      </c>
      <c r="G3539" s="8" t="s">
        <v>1142</v>
      </c>
      <c r="H3539" s="23">
        <v>46132</v>
      </c>
      <c r="I3539" s="23">
        <v>46112</v>
      </c>
      <c r="J3539" s="10">
        <v>102504.45</v>
      </c>
      <c r="K3539" s="10">
        <v>0</v>
      </c>
      <c r="L3539" s="24">
        <v>0</v>
      </c>
      <c r="M3539" s="10">
        <v>102504.45</v>
      </c>
    </row>
    <row r="3540" spans="1:13" x14ac:dyDescent="0.25">
      <c r="A3540" s="12" t="str">
        <f t="shared" si="110"/>
        <v>INSS04/26MGMINISTERIO DA FAZENDAIM46147,4340277778</v>
      </c>
      <c r="B3540" s="12" t="str">
        <f t="shared" si="111"/>
        <v>Maio</v>
      </c>
      <c r="C3540" s="8" t="s">
        <v>2440</v>
      </c>
      <c r="D3540" s="8" t="s">
        <v>664</v>
      </c>
      <c r="E3540" s="8" t="s">
        <v>1503</v>
      </c>
      <c r="F3540" s="23">
        <v>46147.434027777781</v>
      </c>
      <c r="G3540" s="8" t="s">
        <v>1142</v>
      </c>
      <c r="H3540" s="23">
        <v>46162</v>
      </c>
      <c r="I3540" s="23">
        <v>46142</v>
      </c>
      <c r="J3540" s="10">
        <v>110331.75</v>
      </c>
      <c r="K3540" s="10">
        <v>0</v>
      </c>
      <c r="L3540" s="24">
        <v>0</v>
      </c>
      <c r="M3540" s="10">
        <v>110331.75</v>
      </c>
    </row>
    <row r="3541" spans="1:13" x14ac:dyDescent="0.25">
      <c r="A3541" s="12" t="str">
        <f t="shared" si="110"/>
        <v>INSS06/26MGMINISTERIO DA FAZENDAIM46178,2777777778</v>
      </c>
      <c r="B3541" s="12" t="str">
        <f t="shared" si="111"/>
        <v>Junho</v>
      </c>
      <c r="C3541" s="8" t="s">
        <v>2593</v>
      </c>
      <c r="D3541" s="8" t="s">
        <v>664</v>
      </c>
      <c r="E3541" s="8" t="s">
        <v>1503</v>
      </c>
      <c r="F3541" s="23">
        <v>46178.277777777781</v>
      </c>
      <c r="G3541" s="8" t="s">
        <v>1142</v>
      </c>
      <c r="H3541" s="23">
        <v>46192</v>
      </c>
      <c r="I3541" s="23">
        <v>46173</v>
      </c>
      <c r="J3541" s="10">
        <v>110235.5</v>
      </c>
      <c r="K3541" s="10">
        <v>0</v>
      </c>
      <c r="L3541" s="24">
        <v>0</v>
      </c>
      <c r="M3541" s="10">
        <v>110235.5</v>
      </c>
    </row>
    <row r="3542" spans="1:13" x14ac:dyDescent="0.25">
      <c r="A3542" s="12" t="str">
        <f t="shared" si="110"/>
        <v>INSS06/26SCMGMINISTERIO DA FAZENDADEP46211,4097222222</v>
      </c>
      <c r="B3542" s="12" t="str">
        <f t="shared" si="111"/>
        <v>Julho</v>
      </c>
      <c r="C3542" s="8" t="s">
        <v>2778</v>
      </c>
      <c r="D3542" s="8" t="s">
        <v>664</v>
      </c>
      <c r="E3542" s="8" t="s">
        <v>1503</v>
      </c>
      <c r="F3542" s="23">
        <v>46211.409722222219</v>
      </c>
      <c r="G3542" s="8" t="s">
        <v>1043</v>
      </c>
      <c r="H3542" s="23">
        <v>46223</v>
      </c>
      <c r="I3542" s="23">
        <v>46203</v>
      </c>
      <c r="J3542" s="10">
        <v>114891.12</v>
      </c>
      <c r="K3542" s="10">
        <v>0</v>
      </c>
      <c r="L3542" s="24">
        <v>0</v>
      </c>
      <c r="M3542" s="10">
        <v>114891.12</v>
      </c>
    </row>
    <row r="3543" spans="1:13" x14ac:dyDescent="0.25">
      <c r="A3543" s="12" t="str">
        <f t="shared" si="110"/>
        <v>INSS08/26MGMINISTERIO DA FAZENDAIM46274,3597222222</v>
      </c>
      <c r="B3543" s="12" t="str">
        <f t="shared" si="111"/>
        <v>Setembro</v>
      </c>
      <c r="C3543" s="8" t="s">
        <v>3096</v>
      </c>
      <c r="D3543" s="8" t="s">
        <v>664</v>
      </c>
      <c r="E3543" s="8" t="s">
        <v>1503</v>
      </c>
      <c r="F3543" s="23">
        <v>46274.359722222223</v>
      </c>
      <c r="G3543" s="8" t="s">
        <v>1142</v>
      </c>
      <c r="H3543" s="23">
        <v>46283</v>
      </c>
      <c r="I3543" s="23">
        <v>46265</v>
      </c>
      <c r="J3543" s="10">
        <v>121614.13</v>
      </c>
      <c r="K3543" s="10">
        <v>0</v>
      </c>
      <c r="L3543" s="24">
        <v>0</v>
      </c>
      <c r="M3543" s="10">
        <v>121614.13</v>
      </c>
    </row>
    <row r="3544" spans="1:13" x14ac:dyDescent="0.25">
      <c r="A3544" s="12" t="str">
        <f t="shared" si="110"/>
        <v>INSS12/25MGMINISTERIO DA FAZENDAIM46028,3645833333</v>
      </c>
      <c r="B3544" s="12" t="str">
        <f t="shared" si="111"/>
        <v>Janeiro</v>
      </c>
      <c r="C3544" s="8" t="s">
        <v>1581</v>
      </c>
      <c r="D3544" s="8" t="s">
        <v>664</v>
      </c>
      <c r="E3544" s="8" t="s">
        <v>1503</v>
      </c>
      <c r="F3544" s="23">
        <v>46028.364583333336</v>
      </c>
      <c r="G3544" s="8" t="s">
        <v>1142</v>
      </c>
      <c r="H3544" s="23">
        <v>46042</v>
      </c>
      <c r="I3544" s="23">
        <v>46022</v>
      </c>
      <c r="J3544" s="10">
        <v>97968.3</v>
      </c>
      <c r="K3544" s="10">
        <v>0</v>
      </c>
      <c r="L3544" s="24">
        <v>0</v>
      </c>
      <c r="M3544" s="10">
        <v>97968.3</v>
      </c>
    </row>
    <row r="3545" spans="1:13" x14ac:dyDescent="0.25">
      <c r="A3545" s="12" t="str">
        <f t="shared" si="110"/>
        <v>INSSDIS0626SCMGMINISTERIO DA FAZENDAIM46212,4590277778</v>
      </c>
      <c r="B3545" s="12" t="str">
        <f t="shared" si="111"/>
        <v>Julho</v>
      </c>
      <c r="C3545" s="8" t="s">
        <v>2779</v>
      </c>
      <c r="D3545" s="8" t="s">
        <v>664</v>
      </c>
      <c r="E3545" s="8" t="s">
        <v>1503</v>
      </c>
      <c r="F3545" s="23">
        <v>46212.459027777775</v>
      </c>
      <c r="G3545" s="8" t="s">
        <v>1142</v>
      </c>
      <c r="H3545" s="23">
        <v>46223</v>
      </c>
      <c r="I3545" s="23">
        <v>46203</v>
      </c>
      <c r="J3545" s="10">
        <v>5452.8</v>
      </c>
      <c r="K3545" s="10">
        <v>0</v>
      </c>
      <c r="L3545" s="24">
        <v>0</v>
      </c>
      <c r="M3545" s="10">
        <v>5452.8</v>
      </c>
    </row>
    <row r="3546" spans="1:13" x14ac:dyDescent="0.25">
      <c r="A3546" s="12" t="str">
        <f t="shared" si="110"/>
        <v>INSSFEV/26MGMINISTERIO DA FAZENDAIM46094,4298611111</v>
      </c>
      <c r="B3546" s="12" t="str">
        <f t="shared" si="111"/>
        <v>Março</v>
      </c>
      <c r="C3546" s="8" t="s">
        <v>2084</v>
      </c>
      <c r="D3546" s="8" t="s">
        <v>664</v>
      </c>
      <c r="E3546" s="8" t="s">
        <v>1503</v>
      </c>
      <c r="F3546" s="23">
        <v>46094.429861111108</v>
      </c>
      <c r="G3546" s="8" t="s">
        <v>1142</v>
      </c>
      <c r="H3546" s="23">
        <v>46101</v>
      </c>
      <c r="I3546" s="23">
        <v>46081</v>
      </c>
      <c r="J3546" s="10">
        <v>101601.65</v>
      </c>
      <c r="K3546" s="10">
        <v>0</v>
      </c>
      <c r="L3546" s="24">
        <v>0</v>
      </c>
      <c r="M3546" s="10">
        <v>101601.65</v>
      </c>
    </row>
    <row r="3547" spans="1:13" x14ac:dyDescent="0.25">
      <c r="A3547" s="12" t="str">
        <f t="shared" ref="A3547:A3610" si="112">$C3547&amp;$E3547&amp;$G3547&amp;$F3547</f>
        <v>INSSSC07/2026MINISTERIO DA FAZENDAIM46239,4923611111</v>
      </c>
      <c r="B3547" s="12" t="str">
        <f t="shared" si="111"/>
        <v>Agosto</v>
      </c>
      <c r="C3547" s="8" t="s">
        <v>2991</v>
      </c>
      <c r="D3547" s="8" t="s">
        <v>664</v>
      </c>
      <c r="E3547" s="8" t="s">
        <v>1503</v>
      </c>
      <c r="F3547" s="23">
        <v>46239.492361111108</v>
      </c>
      <c r="G3547" s="8" t="s">
        <v>1142</v>
      </c>
      <c r="H3547" s="23">
        <v>46254</v>
      </c>
      <c r="I3547" s="23">
        <v>46234</v>
      </c>
      <c r="J3547" s="10">
        <v>120121.82</v>
      </c>
      <c r="K3547" s="10">
        <v>0</v>
      </c>
      <c r="L3547" s="24">
        <v>0</v>
      </c>
      <c r="M3547" s="10">
        <v>120121.82</v>
      </c>
    </row>
    <row r="3548" spans="1:13" x14ac:dyDescent="0.25">
      <c r="A3548" s="12" t="str">
        <f t="shared" si="112"/>
        <v>IPDG92962026SECRETARIA DE ADMINISTRAÇÃO DO GOVERNO DO ESTADO DE PERNAMBUCOIPV46057</v>
      </c>
      <c r="B3548" s="12" t="str">
        <f t="shared" si="111"/>
        <v>Fevereiro</v>
      </c>
      <c r="C3548" s="8" t="s">
        <v>1182</v>
      </c>
      <c r="D3548" s="8" t="s">
        <v>1723</v>
      </c>
      <c r="E3548" s="8" t="s">
        <v>1744</v>
      </c>
      <c r="F3548" s="23">
        <v>46057</v>
      </c>
      <c r="G3548" s="8" t="s">
        <v>1144</v>
      </c>
      <c r="H3548" s="23">
        <v>46072</v>
      </c>
      <c r="I3548" s="23">
        <v>46057</v>
      </c>
      <c r="J3548" s="10">
        <v>323.81</v>
      </c>
      <c r="K3548" s="10">
        <v>0</v>
      </c>
      <c r="L3548" s="24">
        <v>0</v>
      </c>
      <c r="M3548" s="10">
        <v>323.81</v>
      </c>
    </row>
    <row r="3549" spans="1:13" x14ac:dyDescent="0.25">
      <c r="A3549" s="12" t="str">
        <f t="shared" si="112"/>
        <v>IPDG92962026SECRETARIA DE ADMINISTRAÇÃO DO GOVERNO DO ESTADO DE PERNAMBUCOIPV46057</v>
      </c>
      <c r="B3549" s="12" t="str">
        <f t="shared" si="111"/>
        <v>Março</v>
      </c>
      <c r="C3549" s="8" t="s">
        <v>1182</v>
      </c>
      <c r="D3549" s="8" t="s">
        <v>1723</v>
      </c>
      <c r="E3549" s="8" t="s">
        <v>1744</v>
      </c>
      <c r="F3549" s="23">
        <v>46057</v>
      </c>
      <c r="G3549" s="8" t="s">
        <v>1144</v>
      </c>
      <c r="H3549" s="23">
        <v>46097</v>
      </c>
      <c r="I3549" s="23">
        <v>46057</v>
      </c>
      <c r="J3549" s="10">
        <v>323.81</v>
      </c>
      <c r="K3549" s="10">
        <v>0</v>
      </c>
      <c r="L3549" s="24">
        <v>0</v>
      </c>
      <c r="M3549" s="10">
        <v>323.81</v>
      </c>
    </row>
    <row r="3550" spans="1:13" x14ac:dyDescent="0.25">
      <c r="A3550" s="12" t="str">
        <f t="shared" si="112"/>
        <v>IPDG92962026SECRETARIA DE ADMINISTRAÇÃO DO GOVERNO DO ESTADO DE PERNAMBUCOIPV46057</v>
      </c>
      <c r="B3550" s="12" t="str">
        <f t="shared" si="111"/>
        <v>Abril</v>
      </c>
      <c r="C3550" s="8" t="s">
        <v>1182</v>
      </c>
      <c r="D3550" s="8" t="s">
        <v>1723</v>
      </c>
      <c r="E3550" s="8" t="s">
        <v>1744</v>
      </c>
      <c r="F3550" s="23">
        <v>46057</v>
      </c>
      <c r="G3550" s="8" t="s">
        <v>1144</v>
      </c>
      <c r="H3550" s="23">
        <v>46127</v>
      </c>
      <c r="I3550" s="23">
        <v>46057</v>
      </c>
      <c r="J3550" s="10">
        <v>323.81</v>
      </c>
      <c r="K3550" s="10">
        <v>0</v>
      </c>
      <c r="L3550" s="24">
        <v>0</v>
      </c>
      <c r="M3550" s="10">
        <v>323.81</v>
      </c>
    </row>
    <row r="3551" spans="1:13" x14ac:dyDescent="0.25">
      <c r="A3551" s="12" t="str">
        <f t="shared" si="112"/>
        <v>IPDG92962026SECRETARIA DE ADMINISTRAÇÃO DO GOVERNO DO ESTADO DE PERNAMBUCOIPV46057</v>
      </c>
      <c r="B3551" s="12" t="str">
        <f t="shared" si="111"/>
        <v>Maio</v>
      </c>
      <c r="C3551" s="8" t="s">
        <v>1182</v>
      </c>
      <c r="D3551" s="8" t="s">
        <v>1723</v>
      </c>
      <c r="E3551" s="8" t="s">
        <v>1744</v>
      </c>
      <c r="F3551" s="23">
        <v>46057</v>
      </c>
      <c r="G3551" s="8" t="s">
        <v>1144</v>
      </c>
      <c r="H3551" s="23">
        <v>46157</v>
      </c>
      <c r="I3551" s="23">
        <v>46057</v>
      </c>
      <c r="J3551" s="10">
        <v>323.81</v>
      </c>
      <c r="K3551" s="10">
        <v>0</v>
      </c>
      <c r="L3551" s="24">
        <v>0</v>
      </c>
      <c r="M3551" s="10">
        <v>323.81</v>
      </c>
    </row>
    <row r="3552" spans="1:13" x14ac:dyDescent="0.25">
      <c r="A3552" s="12" t="str">
        <f t="shared" si="112"/>
        <v>IPDG92962026SECRETARIA DE ADMINISTRAÇÃO DO GOVERNO DO ESTADO DE PERNAMBUCOIPV46057</v>
      </c>
      <c r="B3552" s="12" t="str">
        <f t="shared" si="111"/>
        <v>Junho</v>
      </c>
      <c r="C3552" s="8" t="s">
        <v>1182</v>
      </c>
      <c r="D3552" s="8" t="s">
        <v>1723</v>
      </c>
      <c r="E3552" s="8" t="s">
        <v>1744</v>
      </c>
      <c r="F3552" s="23">
        <v>46057</v>
      </c>
      <c r="G3552" s="8" t="s">
        <v>1144</v>
      </c>
      <c r="H3552" s="23">
        <v>46188</v>
      </c>
      <c r="I3552" s="23">
        <v>46057</v>
      </c>
      <c r="J3552" s="10">
        <v>323.81</v>
      </c>
      <c r="K3552" s="10">
        <v>0</v>
      </c>
      <c r="L3552" s="24">
        <v>0</v>
      </c>
      <c r="M3552" s="10">
        <v>323.81</v>
      </c>
    </row>
    <row r="3553" spans="1:13" x14ac:dyDescent="0.25">
      <c r="A3553" s="12" t="str">
        <f t="shared" si="112"/>
        <v>IPDG92962026SECRETARIA DE ADMINISTRAÇÃO DO GOVERNO DO ESTADO DE PERNAMBUCOIPV46057</v>
      </c>
      <c r="B3553" s="12" t="str">
        <f t="shared" si="111"/>
        <v>Julho</v>
      </c>
      <c r="C3553" s="8" t="s">
        <v>1182</v>
      </c>
      <c r="D3553" s="8" t="s">
        <v>1723</v>
      </c>
      <c r="E3553" s="8" t="s">
        <v>1744</v>
      </c>
      <c r="F3553" s="23">
        <v>46057</v>
      </c>
      <c r="G3553" s="8" t="s">
        <v>1144</v>
      </c>
      <c r="H3553" s="23">
        <v>46218</v>
      </c>
      <c r="I3553" s="23">
        <v>46057</v>
      </c>
      <c r="J3553" s="10">
        <v>323.81</v>
      </c>
      <c r="K3553" s="10">
        <v>0</v>
      </c>
      <c r="L3553" s="24">
        <v>0</v>
      </c>
      <c r="M3553" s="10">
        <v>323.81</v>
      </c>
    </row>
    <row r="3554" spans="1:13" x14ac:dyDescent="0.25">
      <c r="A3554" s="12" t="str">
        <f t="shared" si="112"/>
        <v>IPDG92962026SECRETARIA DE ADMINISTRAÇÃO DO GOVERNO DO ESTADO DE PERNAMBUCOIPV46057</v>
      </c>
      <c r="B3554" s="12" t="str">
        <f t="shared" si="111"/>
        <v>Agosto</v>
      </c>
      <c r="C3554" s="8" t="s">
        <v>1182</v>
      </c>
      <c r="D3554" s="8" t="s">
        <v>1723</v>
      </c>
      <c r="E3554" s="8" t="s">
        <v>1744</v>
      </c>
      <c r="F3554" s="23">
        <v>46057</v>
      </c>
      <c r="G3554" s="8" t="s">
        <v>1144</v>
      </c>
      <c r="H3554" s="23">
        <v>46251</v>
      </c>
      <c r="I3554" s="23">
        <v>46057</v>
      </c>
      <c r="J3554" s="10">
        <v>323.81</v>
      </c>
      <c r="K3554" s="10">
        <v>0</v>
      </c>
      <c r="L3554" s="24">
        <v>0</v>
      </c>
      <c r="M3554" s="10">
        <v>323.81</v>
      </c>
    </row>
    <row r="3555" spans="1:13" x14ac:dyDescent="0.25">
      <c r="A3555" s="12" t="str">
        <f t="shared" si="112"/>
        <v>IPDG92962026SECRETARIA DE ADMINISTRAÇÃO DO GOVERNO DO ESTADO DE PERNAMBUCOIPV46057</v>
      </c>
      <c r="B3555" s="12" t="str">
        <f t="shared" si="111"/>
        <v>Setembro</v>
      </c>
      <c r="C3555" s="8" t="s">
        <v>1182</v>
      </c>
      <c r="D3555" s="8" t="s">
        <v>1723</v>
      </c>
      <c r="E3555" s="8" t="s">
        <v>1744</v>
      </c>
      <c r="F3555" s="23">
        <v>46057</v>
      </c>
      <c r="G3555" s="8" t="s">
        <v>1144</v>
      </c>
      <c r="H3555" s="23">
        <v>46280</v>
      </c>
      <c r="I3555" s="23">
        <v>46057</v>
      </c>
      <c r="J3555" s="10">
        <v>323.81</v>
      </c>
      <c r="K3555" s="10">
        <v>0</v>
      </c>
      <c r="L3555" s="24">
        <v>0</v>
      </c>
      <c r="M3555" s="10">
        <v>323.81</v>
      </c>
    </row>
    <row r="3556" spans="1:13" x14ac:dyDescent="0.25">
      <c r="A3556" s="12" t="str">
        <f t="shared" si="112"/>
        <v>IRR146MINISTERIO DA FAZENDAFOL46254</v>
      </c>
      <c r="B3556" s="12" t="str">
        <f t="shared" si="111"/>
        <v>Agosto</v>
      </c>
      <c r="C3556" s="8" t="s">
        <v>3006</v>
      </c>
      <c r="D3556" s="8" t="s">
        <v>1369</v>
      </c>
      <c r="E3556" s="8" t="s">
        <v>1503</v>
      </c>
      <c r="F3556" s="23">
        <v>46254</v>
      </c>
      <c r="G3556" s="8" t="s">
        <v>1037</v>
      </c>
      <c r="H3556" s="23">
        <v>46254</v>
      </c>
      <c r="I3556" s="23">
        <v>46203</v>
      </c>
      <c r="J3556" s="10">
        <v>2897.99</v>
      </c>
      <c r="K3556" s="10">
        <v>0</v>
      </c>
      <c r="L3556" s="24">
        <v>0</v>
      </c>
      <c r="M3556" s="10">
        <v>2897.99</v>
      </c>
    </row>
    <row r="3557" spans="1:13" x14ac:dyDescent="0.25">
      <c r="A3557" s="12" t="str">
        <f t="shared" si="112"/>
        <v>IRR147MINISTERIO DA FAZENDAFOL46203</v>
      </c>
      <c r="B3557" s="12" t="str">
        <f t="shared" si="111"/>
        <v>Julho</v>
      </c>
      <c r="C3557" s="8" t="s">
        <v>2828</v>
      </c>
      <c r="D3557" s="8" t="s">
        <v>1369</v>
      </c>
      <c r="E3557" s="8" t="s">
        <v>1503</v>
      </c>
      <c r="F3557" s="23">
        <v>46203</v>
      </c>
      <c r="G3557" s="8" t="s">
        <v>1037</v>
      </c>
      <c r="H3557" s="23">
        <v>46223</v>
      </c>
      <c r="I3557" s="23">
        <v>46203</v>
      </c>
      <c r="J3557" s="10">
        <v>2259.3000000000002</v>
      </c>
      <c r="K3557" s="10">
        <v>0</v>
      </c>
      <c r="L3557" s="24">
        <v>0</v>
      </c>
      <c r="M3557" s="10">
        <v>2259.3000000000002</v>
      </c>
    </row>
    <row r="3558" spans="1:13" x14ac:dyDescent="0.25">
      <c r="A3558" s="12" t="str">
        <f t="shared" si="112"/>
        <v>IRR174MINISTERIO DA FAZENDAFOL46234</v>
      </c>
      <c r="B3558" s="12" t="str">
        <f t="shared" si="111"/>
        <v>Setembro</v>
      </c>
      <c r="C3558" s="8" t="s">
        <v>3144</v>
      </c>
      <c r="D3558" s="8" t="s">
        <v>1369</v>
      </c>
      <c r="E3558" s="8" t="s">
        <v>1503</v>
      </c>
      <c r="F3558" s="23">
        <v>46234</v>
      </c>
      <c r="G3558" s="8" t="s">
        <v>1037</v>
      </c>
      <c r="H3558" s="23">
        <v>46283</v>
      </c>
      <c r="I3558" s="23">
        <v>46234</v>
      </c>
      <c r="J3558" s="10">
        <v>3418.62</v>
      </c>
      <c r="K3558" s="10">
        <v>0</v>
      </c>
      <c r="L3558" s="24">
        <v>0</v>
      </c>
      <c r="M3558" s="10">
        <v>3418.62</v>
      </c>
    </row>
    <row r="3559" spans="1:13" x14ac:dyDescent="0.25">
      <c r="A3559" s="12" t="str">
        <f t="shared" si="112"/>
        <v>IRR175MINISTERIO DA FAZENDAFOL46234</v>
      </c>
      <c r="B3559" s="12" t="str">
        <f t="shared" si="111"/>
        <v>Agosto</v>
      </c>
      <c r="C3559" s="8" t="s">
        <v>3007</v>
      </c>
      <c r="D3559" s="8" t="s">
        <v>1369</v>
      </c>
      <c r="E3559" s="8" t="s">
        <v>1503</v>
      </c>
      <c r="F3559" s="23">
        <v>46234</v>
      </c>
      <c r="G3559" s="8" t="s">
        <v>1037</v>
      </c>
      <c r="H3559" s="23">
        <v>46254</v>
      </c>
      <c r="I3559" s="23">
        <v>46234</v>
      </c>
      <c r="J3559" s="10">
        <v>114.32</v>
      </c>
      <c r="K3559" s="10">
        <v>0</v>
      </c>
      <c r="L3559" s="24">
        <v>0</v>
      </c>
      <c r="M3559" s="10">
        <v>114.32</v>
      </c>
    </row>
    <row r="3560" spans="1:13" x14ac:dyDescent="0.25">
      <c r="A3560" s="12" t="str">
        <f t="shared" si="112"/>
        <v>IRRF03/26MGMINISTERIO DA FAZENDAIM46112</v>
      </c>
      <c r="B3560" s="12" t="str">
        <f t="shared" si="111"/>
        <v>Maio</v>
      </c>
      <c r="C3560" s="8" t="s">
        <v>2479</v>
      </c>
      <c r="D3560" s="8" t="s">
        <v>664</v>
      </c>
      <c r="E3560" s="8" t="s">
        <v>1503</v>
      </c>
      <c r="F3560" s="23">
        <v>46112</v>
      </c>
      <c r="G3560" s="8" t="s">
        <v>1142</v>
      </c>
      <c r="H3560" s="23">
        <v>46162</v>
      </c>
      <c r="I3560" s="23">
        <v>46112</v>
      </c>
      <c r="J3560" s="10">
        <v>3505.86</v>
      </c>
      <c r="K3560" s="10">
        <v>0</v>
      </c>
      <c r="L3560" s="24">
        <v>0</v>
      </c>
      <c r="M3560" s="10">
        <v>3505.86</v>
      </c>
    </row>
    <row r="3561" spans="1:13" x14ac:dyDescent="0.25">
      <c r="A3561" s="12" t="str">
        <f t="shared" si="112"/>
        <v>IRRF13MGMINISTERIO DA FAZENDAIM46028,3569444444</v>
      </c>
      <c r="B3561" s="12" t="str">
        <f t="shared" si="111"/>
        <v>Janeiro</v>
      </c>
      <c r="C3561" s="8" t="s">
        <v>1514</v>
      </c>
      <c r="D3561" s="8" t="s">
        <v>664</v>
      </c>
      <c r="E3561" s="8" t="s">
        <v>1503</v>
      </c>
      <c r="F3561" s="23">
        <v>46028.356944444444</v>
      </c>
      <c r="G3561" s="8" t="s">
        <v>1142</v>
      </c>
      <c r="H3561" s="23">
        <v>46042</v>
      </c>
      <c r="I3561" s="23">
        <v>46022</v>
      </c>
      <c r="J3561" s="10">
        <v>4433.54</v>
      </c>
      <c r="K3561" s="10">
        <v>0</v>
      </c>
      <c r="L3561" s="24">
        <v>0</v>
      </c>
      <c r="M3561" s="10">
        <v>4433.54</v>
      </c>
    </row>
    <row r="3562" spans="1:13" x14ac:dyDescent="0.25">
      <c r="A3562" s="12" t="str">
        <f t="shared" si="112"/>
        <v>IRRFCOMPMGMINISTERIO DA FAZENDAIM46028,3590277778</v>
      </c>
      <c r="B3562" s="12" t="str">
        <f t="shared" si="111"/>
        <v>Fevereiro</v>
      </c>
      <c r="C3562" s="8" t="s">
        <v>1881</v>
      </c>
      <c r="D3562" s="8" t="s">
        <v>664</v>
      </c>
      <c r="E3562" s="8" t="s">
        <v>1503</v>
      </c>
      <c r="F3562" s="23">
        <v>46028.359027777777</v>
      </c>
      <c r="G3562" s="8" t="s">
        <v>1142</v>
      </c>
      <c r="H3562" s="23">
        <v>46073</v>
      </c>
      <c r="I3562" s="23">
        <v>46022</v>
      </c>
      <c r="J3562" s="10">
        <v>250.73</v>
      </c>
      <c r="K3562" s="10">
        <v>0</v>
      </c>
      <c r="L3562" s="24">
        <v>0</v>
      </c>
      <c r="M3562" s="10">
        <v>250.73</v>
      </c>
    </row>
    <row r="3563" spans="1:13" x14ac:dyDescent="0.25">
      <c r="A3563" s="12" t="str">
        <f t="shared" si="112"/>
        <v>IRRFFE05/26MGMINISTERIO DA FAZENDAIM46178,2847222222</v>
      </c>
      <c r="B3563" s="12" t="str">
        <f t="shared" si="111"/>
        <v>Junho</v>
      </c>
      <c r="C3563" s="8" t="s">
        <v>2594</v>
      </c>
      <c r="D3563" s="8" t="s">
        <v>664</v>
      </c>
      <c r="E3563" s="8" t="s">
        <v>1503</v>
      </c>
      <c r="F3563" s="23">
        <v>46178.284722222219</v>
      </c>
      <c r="G3563" s="8" t="s">
        <v>1142</v>
      </c>
      <c r="H3563" s="23">
        <v>46192</v>
      </c>
      <c r="I3563" s="23">
        <v>46173</v>
      </c>
      <c r="J3563" s="10">
        <v>1143.8900000000001</v>
      </c>
      <c r="K3563" s="10">
        <v>0</v>
      </c>
      <c r="L3563" s="24">
        <v>0</v>
      </c>
      <c r="M3563" s="10">
        <v>1143.8900000000001</v>
      </c>
    </row>
    <row r="3564" spans="1:13" x14ac:dyDescent="0.25">
      <c r="A3564" s="12" t="str">
        <f t="shared" si="112"/>
        <v>IRRFFE12/25MGMINISTERIO DA FAZENDAIM46028,3729166667</v>
      </c>
      <c r="B3564" s="12" t="str">
        <f t="shared" si="111"/>
        <v>Janeiro</v>
      </c>
      <c r="C3564" s="8" t="s">
        <v>1515</v>
      </c>
      <c r="D3564" s="8" t="s">
        <v>664</v>
      </c>
      <c r="E3564" s="8" t="s">
        <v>1503</v>
      </c>
      <c r="F3564" s="23">
        <v>46028.372916666667</v>
      </c>
      <c r="G3564" s="8" t="s">
        <v>1142</v>
      </c>
      <c r="H3564" s="23">
        <v>46042</v>
      </c>
      <c r="I3564" s="23">
        <v>46022</v>
      </c>
      <c r="J3564" s="10">
        <v>136.75</v>
      </c>
      <c r="K3564" s="10">
        <v>0</v>
      </c>
      <c r="L3564" s="24">
        <v>0</v>
      </c>
      <c r="M3564" s="10">
        <v>136.75</v>
      </c>
    </row>
    <row r="3565" spans="1:13" x14ac:dyDescent="0.25">
      <c r="A3565" s="12" t="str">
        <f t="shared" si="112"/>
        <v>IRRFFEV/26MGMINISTERIO DA FAZENDADEP46094,4375</v>
      </c>
      <c r="B3565" s="12" t="str">
        <f t="shared" si="111"/>
        <v>Abril</v>
      </c>
      <c r="C3565" s="8" t="s">
        <v>2244</v>
      </c>
      <c r="D3565" s="8" t="s">
        <v>664</v>
      </c>
      <c r="E3565" s="8" t="s">
        <v>1503</v>
      </c>
      <c r="F3565" s="23">
        <v>46094.4375</v>
      </c>
      <c r="G3565" s="8" t="s">
        <v>1043</v>
      </c>
      <c r="H3565" s="23">
        <v>46132</v>
      </c>
      <c r="I3565" s="23">
        <v>46081</v>
      </c>
      <c r="J3565" s="10">
        <v>3954.15</v>
      </c>
      <c r="K3565" s="10">
        <v>0</v>
      </c>
      <c r="L3565" s="24">
        <v>0</v>
      </c>
      <c r="M3565" s="10">
        <v>3954.15</v>
      </c>
    </row>
    <row r="3566" spans="1:13" x14ac:dyDescent="0.25">
      <c r="A3566" s="12" t="str">
        <f t="shared" si="112"/>
        <v>IRRFFO04/26MGMINISTERIO DA FAZENDAIM46147,4416666667</v>
      </c>
      <c r="B3566" s="12" t="str">
        <f t="shared" si="111"/>
        <v>Junho</v>
      </c>
      <c r="C3566" s="8" t="s">
        <v>2595</v>
      </c>
      <c r="D3566" s="8" t="s">
        <v>664</v>
      </c>
      <c r="E3566" s="8" t="s">
        <v>1503</v>
      </c>
      <c r="F3566" s="23">
        <v>46147.441666666666</v>
      </c>
      <c r="G3566" s="8" t="s">
        <v>1142</v>
      </c>
      <c r="H3566" s="23">
        <v>46192</v>
      </c>
      <c r="I3566" s="23">
        <v>46142</v>
      </c>
      <c r="J3566" s="10">
        <v>3928.92</v>
      </c>
      <c r="K3566" s="10">
        <v>0</v>
      </c>
      <c r="L3566" s="24">
        <v>0</v>
      </c>
      <c r="M3566" s="10">
        <v>3928.92</v>
      </c>
    </row>
    <row r="3567" spans="1:13" x14ac:dyDescent="0.25">
      <c r="A3567" s="12" t="str">
        <f t="shared" si="112"/>
        <v>IRRFFO05/26MGMINISTERIO DA FAZENDAIM46178,2833333333</v>
      </c>
      <c r="B3567" s="12" t="str">
        <f t="shared" si="111"/>
        <v>Julho</v>
      </c>
      <c r="C3567" s="8" t="s">
        <v>2827</v>
      </c>
      <c r="D3567" s="8" t="s">
        <v>664</v>
      </c>
      <c r="E3567" s="8" t="s">
        <v>1503</v>
      </c>
      <c r="F3567" s="23">
        <v>46178.283333333333</v>
      </c>
      <c r="G3567" s="8" t="s">
        <v>1142</v>
      </c>
      <c r="H3567" s="23">
        <v>46223</v>
      </c>
      <c r="I3567" s="23">
        <v>46173</v>
      </c>
      <c r="J3567" s="10">
        <v>3042.9</v>
      </c>
      <c r="K3567" s="10">
        <v>0</v>
      </c>
      <c r="L3567" s="24">
        <v>0</v>
      </c>
      <c r="M3567" s="10">
        <v>3042.9</v>
      </c>
    </row>
    <row r="3568" spans="1:13" x14ac:dyDescent="0.25">
      <c r="A3568" s="12" t="str">
        <f t="shared" si="112"/>
        <v>IRRFFOP12/25MGMINISTERIO DA FAZENDAIM46028,3694444444</v>
      </c>
      <c r="B3568" s="12" t="str">
        <f t="shared" si="111"/>
        <v>Fevereiro</v>
      </c>
      <c r="C3568" s="8" t="s">
        <v>1882</v>
      </c>
      <c r="D3568" s="8" t="s">
        <v>664</v>
      </c>
      <c r="E3568" s="8" t="s">
        <v>1503</v>
      </c>
      <c r="F3568" s="23">
        <v>46028.369444444441</v>
      </c>
      <c r="G3568" s="8" t="s">
        <v>1142</v>
      </c>
      <c r="H3568" s="23">
        <v>46073</v>
      </c>
      <c r="I3568" s="23">
        <v>46022</v>
      </c>
      <c r="J3568" s="10">
        <v>3796.97</v>
      </c>
      <c r="K3568" s="10">
        <v>0</v>
      </c>
      <c r="L3568" s="24">
        <v>0</v>
      </c>
      <c r="M3568" s="10">
        <v>3796.97</v>
      </c>
    </row>
    <row r="3569" spans="1:13" x14ac:dyDescent="0.25">
      <c r="A3569" s="12" t="str">
        <f t="shared" si="112"/>
        <v>IRRFO01/26MGMINISTERIO DA FAZENDAIM46056,6652777778</v>
      </c>
      <c r="B3569" s="12" t="str">
        <f t="shared" si="111"/>
        <v>Março</v>
      </c>
      <c r="C3569" s="8" t="s">
        <v>2093</v>
      </c>
      <c r="D3569" s="8" t="s">
        <v>664</v>
      </c>
      <c r="E3569" s="8" t="s">
        <v>1503</v>
      </c>
      <c r="F3569" s="23">
        <v>46056.665277777778</v>
      </c>
      <c r="G3569" s="8" t="s">
        <v>1142</v>
      </c>
      <c r="H3569" s="23">
        <v>46101</v>
      </c>
      <c r="I3569" s="23">
        <v>46053</v>
      </c>
      <c r="J3569" s="10">
        <v>4187.49</v>
      </c>
      <c r="K3569" s="10">
        <v>0</v>
      </c>
      <c r="L3569" s="24">
        <v>0</v>
      </c>
      <c r="M3569" s="10">
        <v>4187.49</v>
      </c>
    </row>
    <row r="3570" spans="1:13" x14ac:dyDescent="0.25">
      <c r="A3570" s="12" t="str">
        <f t="shared" si="112"/>
        <v>IRRFO11/25MGMINISTERIO DA FAZENDAIM46002,3048611111</v>
      </c>
      <c r="B3570" s="12" t="str">
        <f t="shared" si="111"/>
        <v>Janeiro</v>
      </c>
      <c r="C3570" s="8" t="s">
        <v>1516</v>
      </c>
      <c r="D3570" s="8" t="s">
        <v>664</v>
      </c>
      <c r="E3570" s="8" t="s">
        <v>1503</v>
      </c>
      <c r="F3570" s="23">
        <v>46002.304861111108</v>
      </c>
      <c r="G3570" s="8" t="s">
        <v>1142</v>
      </c>
      <c r="H3570" s="23">
        <v>46042</v>
      </c>
      <c r="I3570" s="23">
        <v>45991</v>
      </c>
      <c r="J3570" s="10">
        <v>6421</v>
      </c>
      <c r="K3570" s="10">
        <v>0</v>
      </c>
      <c r="L3570" s="24">
        <v>0</v>
      </c>
      <c r="M3570" s="10">
        <v>6421</v>
      </c>
    </row>
    <row r="3571" spans="1:13" x14ac:dyDescent="0.25">
      <c r="A3571" s="12" t="str">
        <f t="shared" si="112"/>
        <v>IRRFRES04/26MGMINISTERIO DA FAZENDAIM46147,44375</v>
      </c>
      <c r="B3571" s="12" t="str">
        <f t="shared" si="111"/>
        <v>Maio</v>
      </c>
      <c r="C3571" s="8" t="s">
        <v>2480</v>
      </c>
      <c r="D3571" s="8" t="s">
        <v>664</v>
      </c>
      <c r="E3571" s="8" t="s">
        <v>1503</v>
      </c>
      <c r="F3571" s="23">
        <v>46147.443749999999</v>
      </c>
      <c r="G3571" s="8" t="s">
        <v>1142</v>
      </c>
      <c r="H3571" s="23">
        <v>46162</v>
      </c>
      <c r="I3571" s="23">
        <v>46142</v>
      </c>
      <c r="J3571" s="10">
        <v>406.63</v>
      </c>
      <c r="K3571" s="10">
        <v>0</v>
      </c>
      <c r="L3571" s="24">
        <v>0</v>
      </c>
      <c r="M3571" s="10">
        <v>406.63</v>
      </c>
    </row>
    <row r="3572" spans="1:13" x14ac:dyDescent="0.25">
      <c r="A3572" s="12" t="str">
        <f t="shared" si="112"/>
        <v>IRRFRES12/25MGMINISTERIO DA FAZENDAIM46028,3715277778</v>
      </c>
      <c r="B3572" s="12" t="str">
        <f t="shared" si="111"/>
        <v>Janeiro</v>
      </c>
      <c r="C3572" s="8" t="s">
        <v>1517</v>
      </c>
      <c r="D3572" s="8" t="s">
        <v>664</v>
      </c>
      <c r="E3572" s="8" t="s">
        <v>1503</v>
      </c>
      <c r="F3572" s="23">
        <v>46028.371527777781</v>
      </c>
      <c r="G3572" s="8" t="s">
        <v>1142</v>
      </c>
      <c r="H3572" s="23">
        <v>46042</v>
      </c>
      <c r="I3572" s="23">
        <v>46022</v>
      </c>
      <c r="J3572" s="10">
        <v>577.91999999999996</v>
      </c>
      <c r="K3572" s="10">
        <v>0</v>
      </c>
      <c r="L3572" s="24">
        <v>0</v>
      </c>
      <c r="M3572" s="10">
        <v>577.91999999999996</v>
      </c>
    </row>
    <row r="3573" spans="1:13" x14ac:dyDescent="0.25">
      <c r="A3573" s="12" t="str">
        <f t="shared" si="112"/>
        <v>IVA1132026SECRETARIA DE ADMINISTRAÇÃO DO GOVERNO DO ESTADO DE PERNAMBUCOIPV46054</v>
      </c>
      <c r="B3573" s="12" t="str">
        <f t="shared" si="111"/>
        <v>Fevereiro</v>
      </c>
      <c r="C3573" s="8" t="s">
        <v>1183</v>
      </c>
      <c r="D3573" s="8" t="s">
        <v>1723</v>
      </c>
      <c r="E3573" s="8" t="s">
        <v>1744</v>
      </c>
      <c r="F3573" s="23">
        <v>46054</v>
      </c>
      <c r="G3573" s="8" t="s">
        <v>1144</v>
      </c>
      <c r="H3573" s="23">
        <v>46072</v>
      </c>
      <c r="I3573" s="23">
        <v>46054</v>
      </c>
      <c r="J3573" s="10">
        <v>178.78</v>
      </c>
      <c r="K3573" s="10">
        <v>0</v>
      </c>
      <c r="L3573" s="24">
        <v>0</v>
      </c>
      <c r="M3573" s="10">
        <v>178.78</v>
      </c>
    </row>
    <row r="3574" spans="1:13" x14ac:dyDescent="0.25">
      <c r="A3574" s="12" t="str">
        <f t="shared" si="112"/>
        <v>IVA1132026SECRETARIA DE ADMINISTRAÇÃO DO GOVERNO DO ESTADO DE PERNAMBUCOIPV46054</v>
      </c>
      <c r="B3574" s="12" t="str">
        <f t="shared" si="111"/>
        <v>Março</v>
      </c>
      <c r="C3574" s="8" t="s">
        <v>1183</v>
      </c>
      <c r="D3574" s="8" t="s">
        <v>1723</v>
      </c>
      <c r="E3574" s="8" t="s">
        <v>1744</v>
      </c>
      <c r="F3574" s="23">
        <v>46054</v>
      </c>
      <c r="G3574" s="8" t="s">
        <v>1144</v>
      </c>
      <c r="H3574" s="23">
        <v>46097</v>
      </c>
      <c r="I3574" s="23">
        <v>46054</v>
      </c>
      <c r="J3574" s="10">
        <v>178.78</v>
      </c>
      <c r="K3574" s="10">
        <v>0</v>
      </c>
      <c r="L3574" s="24">
        <v>0</v>
      </c>
      <c r="M3574" s="10">
        <v>178.78</v>
      </c>
    </row>
    <row r="3575" spans="1:13" x14ac:dyDescent="0.25">
      <c r="A3575" s="12" t="str">
        <f t="shared" si="112"/>
        <v>IVA1132026SECRETARIA DE ADMINISTRAÇÃO DO GOVERNO DO ESTADO DE PERNAMBUCOIPV46054</v>
      </c>
      <c r="B3575" s="12" t="str">
        <f t="shared" si="111"/>
        <v>Abril</v>
      </c>
      <c r="C3575" s="8" t="s">
        <v>1183</v>
      </c>
      <c r="D3575" s="8" t="s">
        <v>1723</v>
      </c>
      <c r="E3575" s="8" t="s">
        <v>1744</v>
      </c>
      <c r="F3575" s="23">
        <v>46054</v>
      </c>
      <c r="G3575" s="8" t="s">
        <v>1144</v>
      </c>
      <c r="H3575" s="23">
        <v>46127</v>
      </c>
      <c r="I3575" s="23">
        <v>46054</v>
      </c>
      <c r="J3575" s="10">
        <v>178.78</v>
      </c>
      <c r="K3575" s="10">
        <v>0</v>
      </c>
      <c r="L3575" s="24">
        <v>0</v>
      </c>
      <c r="M3575" s="10">
        <v>178.78</v>
      </c>
    </row>
    <row r="3576" spans="1:13" x14ac:dyDescent="0.25">
      <c r="A3576" s="12" t="str">
        <f t="shared" si="112"/>
        <v>IVA1132026SECRETARIA DE ADMINISTRAÇÃO DO GOVERNO DO ESTADO DE PERNAMBUCOIPV46054</v>
      </c>
      <c r="B3576" s="12" t="str">
        <f t="shared" si="111"/>
        <v>Maio</v>
      </c>
      <c r="C3576" s="8" t="s">
        <v>1183</v>
      </c>
      <c r="D3576" s="8" t="s">
        <v>1723</v>
      </c>
      <c r="E3576" s="8" t="s">
        <v>1744</v>
      </c>
      <c r="F3576" s="23">
        <v>46054</v>
      </c>
      <c r="G3576" s="8" t="s">
        <v>1144</v>
      </c>
      <c r="H3576" s="23">
        <v>46157</v>
      </c>
      <c r="I3576" s="23">
        <v>46054</v>
      </c>
      <c r="J3576" s="10">
        <v>178.78</v>
      </c>
      <c r="K3576" s="10">
        <v>0</v>
      </c>
      <c r="L3576" s="24">
        <v>0</v>
      </c>
      <c r="M3576" s="10">
        <v>178.78</v>
      </c>
    </row>
    <row r="3577" spans="1:13" x14ac:dyDescent="0.25">
      <c r="A3577" s="12" t="str">
        <f t="shared" si="112"/>
        <v>IVA1132026SECRETARIA DE ADMINISTRAÇÃO DO GOVERNO DO ESTADO DE PERNAMBUCOIPV46054</v>
      </c>
      <c r="B3577" s="12" t="str">
        <f t="shared" si="111"/>
        <v>Junho</v>
      </c>
      <c r="C3577" s="8" t="s">
        <v>1183</v>
      </c>
      <c r="D3577" s="8" t="s">
        <v>1723</v>
      </c>
      <c r="E3577" s="8" t="s">
        <v>1744</v>
      </c>
      <c r="F3577" s="23">
        <v>46054</v>
      </c>
      <c r="G3577" s="8" t="s">
        <v>1144</v>
      </c>
      <c r="H3577" s="23">
        <v>46188</v>
      </c>
      <c r="I3577" s="23">
        <v>46054</v>
      </c>
      <c r="J3577" s="10">
        <v>178.78</v>
      </c>
      <c r="K3577" s="10">
        <v>0</v>
      </c>
      <c r="L3577" s="24">
        <v>0</v>
      </c>
      <c r="M3577" s="10">
        <v>178.78</v>
      </c>
    </row>
    <row r="3578" spans="1:13" x14ac:dyDescent="0.25">
      <c r="A3578" s="12" t="str">
        <f t="shared" si="112"/>
        <v>IVA1132026SECRETARIA DE ADMINISTRAÇÃO DO GOVERNO DO ESTADO DE PERNAMBUCOIPV46054</v>
      </c>
      <c r="B3578" s="12" t="str">
        <f t="shared" si="111"/>
        <v>Julho</v>
      </c>
      <c r="C3578" s="8" t="s">
        <v>1183</v>
      </c>
      <c r="D3578" s="8" t="s">
        <v>1723</v>
      </c>
      <c r="E3578" s="8" t="s">
        <v>1744</v>
      </c>
      <c r="F3578" s="23">
        <v>46054</v>
      </c>
      <c r="G3578" s="8" t="s">
        <v>1144</v>
      </c>
      <c r="H3578" s="23">
        <v>46218</v>
      </c>
      <c r="I3578" s="23">
        <v>46054</v>
      </c>
      <c r="J3578" s="10">
        <v>178.78</v>
      </c>
      <c r="K3578" s="10">
        <v>0</v>
      </c>
      <c r="L3578" s="24">
        <v>0</v>
      </c>
      <c r="M3578" s="10">
        <v>178.78</v>
      </c>
    </row>
    <row r="3579" spans="1:13" x14ac:dyDescent="0.25">
      <c r="A3579" s="12" t="str">
        <f t="shared" si="112"/>
        <v>IVA1132026SECRETARIA DE ADMINISTRAÇÃO DO GOVERNO DO ESTADO DE PERNAMBUCOIPV46054</v>
      </c>
      <c r="B3579" s="12" t="str">
        <f t="shared" si="111"/>
        <v>Agosto</v>
      </c>
      <c r="C3579" s="8" t="s">
        <v>1183</v>
      </c>
      <c r="D3579" s="8" t="s">
        <v>1723</v>
      </c>
      <c r="E3579" s="8" t="s">
        <v>1744</v>
      </c>
      <c r="F3579" s="23">
        <v>46054</v>
      </c>
      <c r="G3579" s="8" t="s">
        <v>1144</v>
      </c>
      <c r="H3579" s="23">
        <v>46251</v>
      </c>
      <c r="I3579" s="23">
        <v>46054</v>
      </c>
      <c r="J3579" s="10">
        <v>178.78</v>
      </c>
      <c r="K3579" s="10">
        <v>0</v>
      </c>
      <c r="L3579" s="24">
        <v>0</v>
      </c>
      <c r="M3579" s="10">
        <v>178.78</v>
      </c>
    </row>
    <row r="3580" spans="1:13" x14ac:dyDescent="0.25">
      <c r="A3580" s="12" t="str">
        <f t="shared" si="112"/>
        <v>IVA1132026SECRETARIA DE ADMINISTRAÇÃO DO GOVERNO DO ESTADO DE PERNAMBUCOIPV46054</v>
      </c>
      <c r="B3580" s="12" t="str">
        <f t="shared" si="111"/>
        <v>Setembro</v>
      </c>
      <c r="C3580" s="8" t="s">
        <v>1183</v>
      </c>
      <c r="D3580" s="8" t="s">
        <v>1723</v>
      </c>
      <c r="E3580" s="8" t="s">
        <v>1744</v>
      </c>
      <c r="F3580" s="23">
        <v>46054</v>
      </c>
      <c r="G3580" s="8" t="s">
        <v>1144</v>
      </c>
      <c r="H3580" s="23">
        <v>46280</v>
      </c>
      <c r="I3580" s="23">
        <v>46054</v>
      </c>
      <c r="J3580" s="10">
        <v>178.78</v>
      </c>
      <c r="K3580" s="10">
        <v>0</v>
      </c>
      <c r="L3580" s="24">
        <v>0</v>
      </c>
      <c r="M3580" s="10">
        <v>178.78</v>
      </c>
    </row>
    <row r="3581" spans="1:13" x14ac:dyDescent="0.25">
      <c r="A3581" s="12" t="str">
        <f t="shared" si="112"/>
        <v>IVA1142026SECRETARIA DE ADMINISTRAÇÃO DO GOVERNO DO ESTADO DE PERNAMBUCOIPV46054</v>
      </c>
      <c r="B3581" s="12" t="str">
        <f t="shared" si="111"/>
        <v>Fevereiro</v>
      </c>
      <c r="C3581" s="8" t="s">
        <v>1184</v>
      </c>
      <c r="D3581" s="8" t="s">
        <v>1723</v>
      </c>
      <c r="E3581" s="8" t="s">
        <v>1744</v>
      </c>
      <c r="F3581" s="23">
        <v>46054</v>
      </c>
      <c r="G3581" s="8" t="s">
        <v>1144</v>
      </c>
      <c r="H3581" s="23">
        <v>46072</v>
      </c>
      <c r="I3581" s="23">
        <v>46054</v>
      </c>
      <c r="J3581" s="10">
        <v>178.78</v>
      </c>
      <c r="K3581" s="10">
        <v>0</v>
      </c>
      <c r="L3581" s="24">
        <v>0</v>
      </c>
      <c r="M3581" s="10">
        <v>178.78</v>
      </c>
    </row>
    <row r="3582" spans="1:13" x14ac:dyDescent="0.25">
      <c r="A3582" s="12" t="str">
        <f t="shared" si="112"/>
        <v>IVA1142026SECRETARIA DE ADMINISTRAÇÃO DO GOVERNO DO ESTADO DE PERNAMBUCOIPV46054</v>
      </c>
      <c r="B3582" s="12" t="str">
        <f t="shared" si="111"/>
        <v>Março</v>
      </c>
      <c r="C3582" s="8" t="s">
        <v>1184</v>
      </c>
      <c r="D3582" s="8" t="s">
        <v>1723</v>
      </c>
      <c r="E3582" s="8" t="s">
        <v>1744</v>
      </c>
      <c r="F3582" s="23">
        <v>46054</v>
      </c>
      <c r="G3582" s="8" t="s">
        <v>1144</v>
      </c>
      <c r="H3582" s="23">
        <v>46097</v>
      </c>
      <c r="I3582" s="23">
        <v>46054</v>
      </c>
      <c r="J3582" s="10">
        <v>178.78</v>
      </c>
      <c r="K3582" s="10">
        <v>0</v>
      </c>
      <c r="L3582" s="24">
        <v>0</v>
      </c>
      <c r="M3582" s="10">
        <v>178.78</v>
      </c>
    </row>
    <row r="3583" spans="1:13" x14ac:dyDescent="0.25">
      <c r="A3583" s="12" t="str">
        <f t="shared" si="112"/>
        <v>IVA1142026SECRETARIA DE ADMINISTRAÇÃO DO GOVERNO DO ESTADO DE PERNAMBUCOIPV46054</v>
      </c>
      <c r="B3583" s="12" t="str">
        <f t="shared" si="111"/>
        <v>Abril</v>
      </c>
      <c r="C3583" s="8" t="s">
        <v>1184</v>
      </c>
      <c r="D3583" s="8" t="s">
        <v>1723</v>
      </c>
      <c r="E3583" s="8" t="s">
        <v>1744</v>
      </c>
      <c r="F3583" s="23">
        <v>46054</v>
      </c>
      <c r="G3583" s="8" t="s">
        <v>1144</v>
      </c>
      <c r="H3583" s="23">
        <v>46127</v>
      </c>
      <c r="I3583" s="23">
        <v>46054</v>
      </c>
      <c r="J3583" s="10">
        <v>178.78</v>
      </c>
      <c r="K3583" s="10">
        <v>0</v>
      </c>
      <c r="L3583" s="24">
        <v>0</v>
      </c>
      <c r="M3583" s="10">
        <v>178.78</v>
      </c>
    </row>
    <row r="3584" spans="1:13" x14ac:dyDescent="0.25">
      <c r="A3584" s="12" t="str">
        <f t="shared" si="112"/>
        <v>IVA1142026SECRETARIA DE ADMINISTRAÇÃO DO GOVERNO DO ESTADO DE PERNAMBUCOIPV46054</v>
      </c>
      <c r="B3584" s="12" t="str">
        <f t="shared" si="111"/>
        <v>Maio</v>
      </c>
      <c r="C3584" s="8" t="s">
        <v>1184</v>
      </c>
      <c r="D3584" s="8" t="s">
        <v>1723</v>
      </c>
      <c r="E3584" s="8" t="s">
        <v>1744</v>
      </c>
      <c r="F3584" s="23">
        <v>46054</v>
      </c>
      <c r="G3584" s="8" t="s">
        <v>1144</v>
      </c>
      <c r="H3584" s="23">
        <v>46157</v>
      </c>
      <c r="I3584" s="23">
        <v>46054</v>
      </c>
      <c r="J3584" s="10">
        <v>178.78</v>
      </c>
      <c r="K3584" s="10">
        <v>0</v>
      </c>
      <c r="L3584" s="24">
        <v>0</v>
      </c>
      <c r="M3584" s="10">
        <v>178.78</v>
      </c>
    </row>
    <row r="3585" spans="1:13" x14ac:dyDescent="0.25">
      <c r="A3585" s="12" t="str">
        <f t="shared" si="112"/>
        <v>IVA1142026SECRETARIA DE ADMINISTRAÇÃO DO GOVERNO DO ESTADO DE PERNAMBUCOIPV46054</v>
      </c>
      <c r="B3585" s="12" t="str">
        <f t="shared" si="111"/>
        <v>Junho</v>
      </c>
      <c r="C3585" s="8" t="s">
        <v>1184</v>
      </c>
      <c r="D3585" s="8" t="s">
        <v>1723</v>
      </c>
      <c r="E3585" s="8" t="s">
        <v>1744</v>
      </c>
      <c r="F3585" s="23">
        <v>46054</v>
      </c>
      <c r="G3585" s="8" t="s">
        <v>1144</v>
      </c>
      <c r="H3585" s="23">
        <v>46188</v>
      </c>
      <c r="I3585" s="23">
        <v>46054</v>
      </c>
      <c r="J3585" s="10">
        <v>178.78</v>
      </c>
      <c r="K3585" s="10">
        <v>0</v>
      </c>
      <c r="L3585" s="24">
        <v>0</v>
      </c>
      <c r="M3585" s="10">
        <v>178.78</v>
      </c>
    </row>
    <row r="3586" spans="1:13" x14ac:dyDescent="0.25">
      <c r="A3586" s="12" t="str">
        <f t="shared" si="112"/>
        <v>IVA1142026SECRETARIA DE ADMINISTRAÇÃO DO GOVERNO DO ESTADO DE PERNAMBUCOIPV46054</v>
      </c>
      <c r="B3586" s="12" t="str">
        <f t="shared" si="111"/>
        <v>Julho</v>
      </c>
      <c r="C3586" s="8" t="s">
        <v>1184</v>
      </c>
      <c r="D3586" s="8" t="s">
        <v>1723</v>
      </c>
      <c r="E3586" s="8" t="s">
        <v>1744</v>
      </c>
      <c r="F3586" s="23">
        <v>46054</v>
      </c>
      <c r="G3586" s="8" t="s">
        <v>1144</v>
      </c>
      <c r="H3586" s="23">
        <v>46218</v>
      </c>
      <c r="I3586" s="23">
        <v>46054</v>
      </c>
      <c r="J3586" s="10">
        <v>178.78</v>
      </c>
      <c r="K3586" s="10">
        <v>0</v>
      </c>
      <c r="L3586" s="24">
        <v>0</v>
      </c>
      <c r="M3586" s="10">
        <v>178.78</v>
      </c>
    </row>
    <row r="3587" spans="1:13" x14ac:dyDescent="0.25">
      <c r="A3587" s="12" t="str">
        <f t="shared" si="112"/>
        <v>IVA1142026SECRETARIA DE ADMINISTRAÇÃO DO GOVERNO DO ESTADO DE PERNAMBUCOIPV46054</v>
      </c>
      <c r="B3587" s="12" t="str">
        <f t="shared" ref="B3587:B3650" si="113">PROPER(TEXT($H3587,"MMMM"))</f>
        <v>Agosto</v>
      </c>
      <c r="C3587" s="8" t="s">
        <v>1184</v>
      </c>
      <c r="D3587" s="8" t="s">
        <v>1723</v>
      </c>
      <c r="E3587" s="8" t="s">
        <v>1744</v>
      </c>
      <c r="F3587" s="23">
        <v>46054</v>
      </c>
      <c r="G3587" s="8" t="s">
        <v>1144</v>
      </c>
      <c r="H3587" s="23">
        <v>46251</v>
      </c>
      <c r="I3587" s="23">
        <v>46054</v>
      </c>
      <c r="J3587" s="10">
        <v>178.78</v>
      </c>
      <c r="K3587" s="10">
        <v>0</v>
      </c>
      <c r="L3587" s="24">
        <v>0</v>
      </c>
      <c r="M3587" s="10">
        <v>178.78</v>
      </c>
    </row>
    <row r="3588" spans="1:13" x14ac:dyDescent="0.25">
      <c r="A3588" s="12" t="str">
        <f t="shared" si="112"/>
        <v>IVA1142026SECRETARIA DE ADMINISTRAÇÃO DO GOVERNO DO ESTADO DE PERNAMBUCOIPV46054</v>
      </c>
      <c r="B3588" s="12" t="str">
        <f t="shared" si="113"/>
        <v>Setembro</v>
      </c>
      <c r="C3588" s="8" t="s">
        <v>1184</v>
      </c>
      <c r="D3588" s="8" t="s">
        <v>1723</v>
      </c>
      <c r="E3588" s="8" t="s">
        <v>1744</v>
      </c>
      <c r="F3588" s="23">
        <v>46054</v>
      </c>
      <c r="G3588" s="8" t="s">
        <v>1144</v>
      </c>
      <c r="H3588" s="23">
        <v>46280</v>
      </c>
      <c r="I3588" s="23">
        <v>46054</v>
      </c>
      <c r="J3588" s="10">
        <v>178.78</v>
      </c>
      <c r="K3588" s="10">
        <v>0</v>
      </c>
      <c r="L3588" s="24">
        <v>0</v>
      </c>
      <c r="M3588" s="10">
        <v>178.78</v>
      </c>
    </row>
    <row r="3589" spans="1:13" x14ac:dyDescent="0.25">
      <c r="A3589" s="12" t="str">
        <f t="shared" si="112"/>
        <v>IVA1162026SECRETARIA DE ADMINISTRAÇÃO DO GOVERNO DO ESTADO DE PERNAMBUCOIPV46054</v>
      </c>
      <c r="B3589" s="12" t="str">
        <f t="shared" si="113"/>
        <v>Fevereiro</v>
      </c>
      <c r="C3589" s="8" t="s">
        <v>1185</v>
      </c>
      <c r="D3589" s="8" t="s">
        <v>1723</v>
      </c>
      <c r="E3589" s="8" t="s">
        <v>1744</v>
      </c>
      <c r="F3589" s="23">
        <v>46054</v>
      </c>
      <c r="G3589" s="8" t="s">
        <v>1144</v>
      </c>
      <c r="H3589" s="23">
        <v>46072</v>
      </c>
      <c r="I3589" s="23">
        <v>46054</v>
      </c>
      <c r="J3589" s="10">
        <v>213.97</v>
      </c>
      <c r="K3589" s="10">
        <v>0</v>
      </c>
      <c r="L3589" s="24">
        <v>0</v>
      </c>
      <c r="M3589" s="10">
        <v>213.97</v>
      </c>
    </row>
    <row r="3590" spans="1:13" x14ac:dyDescent="0.25">
      <c r="A3590" s="12" t="str">
        <f t="shared" si="112"/>
        <v>IVA1162026SECRETARIA DE ADMINISTRAÇÃO DO GOVERNO DO ESTADO DE PERNAMBUCOIPV46054</v>
      </c>
      <c r="B3590" s="12" t="str">
        <f t="shared" si="113"/>
        <v>Março</v>
      </c>
      <c r="C3590" s="8" t="s">
        <v>1185</v>
      </c>
      <c r="D3590" s="8" t="s">
        <v>1723</v>
      </c>
      <c r="E3590" s="8" t="s">
        <v>1744</v>
      </c>
      <c r="F3590" s="23">
        <v>46054</v>
      </c>
      <c r="G3590" s="8" t="s">
        <v>1144</v>
      </c>
      <c r="H3590" s="23">
        <v>46097</v>
      </c>
      <c r="I3590" s="23">
        <v>46054</v>
      </c>
      <c r="J3590" s="10">
        <v>213.97</v>
      </c>
      <c r="K3590" s="10">
        <v>0</v>
      </c>
      <c r="L3590" s="24">
        <v>0</v>
      </c>
      <c r="M3590" s="10">
        <v>213.97</v>
      </c>
    </row>
    <row r="3591" spans="1:13" x14ac:dyDescent="0.25">
      <c r="A3591" s="12" t="str">
        <f t="shared" si="112"/>
        <v>IVA1162026SECRETARIA DE ADMINISTRAÇÃO DO GOVERNO DO ESTADO DE PERNAMBUCOIPV46054</v>
      </c>
      <c r="B3591" s="12" t="str">
        <f t="shared" si="113"/>
        <v>Abril</v>
      </c>
      <c r="C3591" s="8" t="s">
        <v>1185</v>
      </c>
      <c r="D3591" s="8" t="s">
        <v>1723</v>
      </c>
      <c r="E3591" s="8" t="s">
        <v>1744</v>
      </c>
      <c r="F3591" s="23">
        <v>46054</v>
      </c>
      <c r="G3591" s="8" t="s">
        <v>1144</v>
      </c>
      <c r="H3591" s="23">
        <v>46127</v>
      </c>
      <c r="I3591" s="23">
        <v>46054</v>
      </c>
      <c r="J3591" s="10">
        <v>213.97</v>
      </c>
      <c r="K3591" s="10">
        <v>0</v>
      </c>
      <c r="L3591" s="24">
        <v>0</v>
      </c>
      <c r="M3591" s="10">
        <v>213.97</v>
      </c>
    </row>
    <row r="3592" spans="1:13" x14ac:dyDescent="0.25">
      <c r="A3592" s="12" t="str">
        <f t="shared" si="112"/>
        <v>IVA1162026SECRETARIA DE ADMINISTRAÇÃO DO GOVERNO DO ESTADO DE PERNAMBUCOIPV46054</v>
      </c>
      <c r="B3592" s="12" t="str">
        <f t="shared" si="113"/>
        <v>Maio</v>
      </c>
      <c r="C3592" s="8" t="s">
        <v>1185</v>
      </c>
      <c r="D3592" s="8" t="s">
        <v>1723</v>
      </c>
      <c r="E3592" s="8" t="s">
        <v>1744</v>
      </c>
      <c r="F3592" s="23">
        <v>46054</v>
      </c>
      <c r="G3592" s="8" t="s">
        <v>1144</v>
      </c>
      <c r="H3592" s="23">
        <v>46157</v>
      </c>
      <c r="I3592" s="23">
        <v>46054</v>
      </c>
      <c r="J3592" s="10">
        <v>213.97</v>
      </c>
      <c r="K3592" s="10">
        <v>0</v>
      </c>
      <c r="L3592" s="24">
        <v>0</v>
      </c>
      <c r="M3592" s="10">
        <v>213.97</v>
      </c>
    </row>
    <row r="3593" spans="1:13" x14ac:dyDescent="0.25">
      <c r="A3593" s="12" t="str">
        <f t="shared" si="112"/>
        <v>IVA1162026SECRETARIA DE ADMINISTRAÇÃO DO GOVERNO DO ESTADO DE PERNAMBUCOIPV46054</v>
      </c>
      <c r="B3593" s="12" t="str">
        <f t="shared" si="113"/>
        <v>Junho</v>
      </c>
      <c r="C3593" s="8" t="s">
        <v>1185</v>
      </c>
      <c r="D3593" s="8" t="s">
        <v>1723</v>
      </c>
      <c r="E3593" s="8" t="s">
        <v>1744</v>
      </c>
      <c r="F3593" s="23">
        <v>46054</v>
      </c>
      <c r="G3593" s="8" t="s">
        <v>1144</v>
      </c>
      <c r="H3593" s="23">
        <v>46188</v>
      </c>
      <c r="I3593" s="23">
        <v>46054</v>
      </c>
      <c r="J3593" s="10">
        <v>213.97</v>
      </c>
      <c r="K3593" s="10">
        <v>0</v>
      </c>
      <c r="L3593" s="24">
        <v>0</v>
      </c>
      <c r="M3593" s="10">
        <v>213.97</v>
      </c>
    </row>
    <row r="3594" spans="1:13" x14ac:dyDescent="0.25">
      <c r="A3594" s="12" t="str">
        <f t="shared" si="112"/>
        <v>IVA1162026SECRETARIA DE ADMINISTRAÇÃO DO GOVERNO DO ESTADO DE PERNAMBUCOIPV46054</v>
      </c>
      <c r="B3594" s="12" t="str">
        <f t="shared" si="113"/>
        <v>Julho</v>
      </c>
      <c r="C3594" s="8" t="s">
        <v>1185</v>
      </c>
      <c r="D3594" s="8" t="s">
        <v>1723</v>
      </c>
      <c r="E3594" s="8" t="s">
        <v>1744</v>
      </c>
      <c r="F3594" s="23">
        <v>46054</v>
      </c>
      <c r="G3594" s="8" t="s">
        <v>1144</v>
      </c>
      <c r="H3594" s="23">
        <v>46218</v>
      </c>
      <c r="I3594" s="23">
        <v>46054</v>
      </c>
      <c r="J3594" s="10">
        <v>213.97</v>
      </c>
      <c r="K3594" s="10">
        <v>0</v>
      </c>
      <c r="L3594" s="24">
        <v>0</v>
      </c>
      <c r="M3594" s="10">
        <v>213.97</v>
      </c>
    </row>
    <row r="3595" spans="1:13" x14ac:dyDescent="0.25">
      <c r="A3595" s="12" t="str">
        <f t="shared" si="112"/>
        <v>IVA1162026SECRETARIA DE ADMINISTRAÇÃO DO GOVERNO DO ESTADO DE PERNAMBUCOIPV46054</v>
      </c>
      <c r="B3595" s="12" t="str">
        <f t="shared" si="113"/>
        <v>Agosto</v>
      </c>
      <c r="C3595" s="8" t="s">
        <v>1185</v>
      </c>
      <c r="D3595" s="8" t="s">
        <v>1723</v>
      </c>
      <c r="E3595" s="8" t="s">
        <v>1744</v>
      </c>
      <c r="F3595" s="23">
        <v>46054</v>
      </c>
      <c r="G3595" s="8" t="s">
        <v>1144</v>
      </c>
      <c r="H3595" s="23">
        <v>46251</v>
      </c>
      <c r="I3595" s="23">
        <v>46054</v>
      </c>
      <c r="J3595" s="10">
        <v>213.97</v>
      </c>
      <c r="K3595" s="10">
        <v>0</v>
      </c>
      <c r="L3595" s="24">
        <v>0</v>
      </c>
      <c r="M3595" s="10">
        <v>213.97</v>
      </c>
    </row>
    <row r="3596" spans="1:13" x14ac:dyDescent="0.25">
      <c r="A3596" s="12" t="str">
        <f t="shared" si="112"/>
        <v>IVA1162026SECRETARIA DE ADMINISTRAÇÃO DO GOVERNO DO ESTADO DE PERNAMBUCOIPV46054</v>
      </c>
      <c r="B3596" s="12" t="str">
        <f t="shared" si="113"/>
        <v>Setembro</v>
      </c>
      <c r="C3596" s="8" t="s">
        <v>1185</v>
      </c>
      <c r="D3596" s="8" t="s">
        <v>1723</v>
      </c>
      <c r="E3596" s="8" t="s">
        <v>1744</v>
      </c>
      <c r="F3596" s="23">
        <v>46054</v>
      </c>
      <c r="G3596" s="8" t="s">
        <v>1144</v>
      </c>
      <c r="H3596" s="23">
        <v>46280</v>
      </c>
      <c r="I3596" s="23">
        <v>46054</v>
      </c>
      <c r="J3596" s="10">
        <v>213.97</v>
      </c>
      <c r="K3596" s="10">
        <v>0</v>
      </c>
      <c r="L3596" s="24">
        <v>0</v>
      </c>
      <c r="M3596" s="10">
        <v>213.97</v>
      </c>
    </row>
    <row r="3597" spans="1:13" x14ac:dyDescent="0.25">
      <c r="A3597" s="12" t="str">
        <f t="shared" si="112"/>
        <v>IVA1172026SECRETARIA DE ADMINISTRAÇÃO DO GOVERNO DO ESTADO DE PERNAMBUCOIPV46054</v>
      </c>
      <c r="B3597" s="12" t="str">
        <f t="shared" si="113"/>
        <v>Fevereiro</v>
      </c>
      <c r="C3597" s="8" t="s">
        <v>1186</v>
      </c>
      <c r="D3597" s="8" t="s">
        <v>1723</v>
      </c>
      <c r="E3597" s="8" t="s">
        <v>1744</v>
      </c>
      <c r="F3597" s="23">
        <v>46054</v>
      </c>
      <c r="G3597" s="8" t="s">
        <v>1144</v>
      </c>
      <c r="H3597" s="23">
        <v>46072</v>
      </c>
      <c r="I3597" s="23">
        <v>46054</v>
      </c>
      <c r="J3597" s="10">
        <v>213.97</v>
      </c>
      <c r="K3597" s="10">
        <v>0</v>
      </c>
      <c r="L3597" s="24">
        <v>0</v>
      </c>
      <c r="M3597" s="10">
        <v>213.97</v>
      </c>
    </row>
    <row r="3598" spans="1:13" x14ac:dyDescent="0.25">
      <c r="A3598" s="12" t="str">
        <f t="shared" si="112"/>
        <v>IVA1172026SECRETARIA DE ADMINISTRAÇÃO DO GOVERNO DO ESTADO DE PERNAMBUCOIPV46054</v>
      </c>
      <c r="B3598" s="12" t="str">
        <f t="shared" si="113"/>
        <v>Março</v>
      </c>
      <c r="C3598" s="8" t="s">
        <v>1186</v>
      </c>
      <c r="D3598" s="8" t="s">
        <v>1723</v>
      </c>
      <c r="E3598" s="8" t="s">
        <v>1744</v>
      </c>
      <c r="F3598" s="23">
        <v>46054</v>
      </c>
      <c r="G3598" s="8" t="s">
        <v>1144</v>
      </c>
      <c r="H3598" s="23">
        <v>46097</v>
      </c>
      <c r="I3598" s="23">
        <v>46054</v>
      </c>
      <c r="J3598" s="10">
        <v>213.97</v>
      </c>
      <c r="K3598" s="10">
        <v>0</v>
      </c>
      <c r="L3598" s="24">
        <v>0</v>
      </c>
      <c r="M3598" s="10">
        <v>213.97</v>
      </c>
    </row>
    <row r="3599" spans="1:13" x14ac:dyDescent="0.25">
      <c r="A3599" s="12" t="str">
        <f t="shared" si="112"/>
        <v>IVA1172026SECRETARIA DE ADMINISTRAÇÃO DO GOVERNO DO ESTADO DE PERNAMBUCOIPV46054</v>
      </c>
      <c r="B3599" s="12" t="str">
        <f t="shared" si="113"/>
        <v>Abril</v>
      </c>
      <c r="C3599" s="8" t="s">
        <v>1186</v>
      </c>
      <c r="D3599" s="8" t="s">
        <v>1723</v>
      </c>
      <c r="E3599" s="8" t="s">
        <v>1744</v>
      </c>
      <c r="F3599" s="23">
        <v>46054</v>
      </c>
      <c r="G3599" s="8" t="s">
        <v>1144</v>
      </c>
      <c r="H3599" s="23">
        <v>46127</v>
      </c>
      <c r="I3599" s="23">
        <v>46054</v>
      </c>
      <c r="J3599" s="10">
        <v>213.97</v>
      </c>
      <c r="K3599" s="10">
        <v>0</v>
      </c>
      <c r="L3599" s="24">
        <v>0</v>
      </c>
      <c r="M3599" s="10">
        <v>213.97</v>
      </c>
    </row>
    <row r="3600" spans="1:13" x14ac:dyDescent="0.25">
      <c r="A3600" s="12" t="str">
        <f t="shared" si="112"/>
        <v>IVA1172026SECRETARIA DE ADMINISTRAÇÃO DO GOVERNO DO ESTADO DE PERNAMBUCOIPV46054</v>
      </c>
      <c r="B3600" s="12" t="str">
        <f t="shared" si="113"/>
        <v>Maio</v>
      </c>
      <c r="C3600" s="8" t="s">
        <v>1186</v>
      </c>
      <c r="D3600" s="8" t="s">
        <v>1723</v>
      </c>
      <c r="E3600" s="8" t="s">
        <v>1744</v>
      </c>
      <c r="F3600" s="23">
        <v>46054</v>
      </c>
      <c r="G3600" s="8" t="s">
        <v>1144</v>
      </c>
      <c r="H3600" s="23">
        <v>46157</v>
      </c>
      <c r="I3600" s="23">
        <v>46054</v>
      </c>
      <c r="J3600" s="10">
        <v>213.97</v>
      </c>
      <c r="K3600" s="10">
        <v>0</v>
      </c>
      <c r="L3600" s="24">
        <v>0</v>
      </c>
      <c r="M3600" s="10">
        <v>213.97</v>
      </c>
    </row>
    <row r="3601" spans="1:13" x14ac:dyDescent="0.25">
      <c r="A3601" s="12" t="str">
        <f t="shared" si="112"/>
        <v>IVA1172026SECRETARIA DE ADMINISTRAÇÃO DO GOVERNO DO ESTADO DE PERNAMBUCOIPV46054</v>
      </c>
      <c r="B3601" s="12" t="str">
        <f t="shared" si="113"/>
        <v>Junho</v>
      </c>
      <c r="C3601" s="8" t="s">
        <v>1186</v>
      </c>
      <c r="D3601" s="8" t="s">
        <v>1723</v>
      </c>
      <c r="E3601" s="8" t="s">
        <v>1744</v>
      </c>
      <c r="F3601" s="23">
        <v>46054</v>
      </c>
      <c r="G3601" s="8" t="s">
        <v>1144</v>
      </c>
      <c r="H3601" s="23">
        <v>46188</v>
      </c>
      <c r="I3601" s="23">
        <v>46054</v>
      </c>
      <c r="J3601" s="10">
        <v>213.97</v>
      </c>
      <c r="K3601" s="10">
        <v>0</v>
      </c>
      <c r="L3601" s="24">
        <v>0</v>
      </c>
      <c r="M3601" s="10">
        <v>213.97</v>
      </c>
    </row>
    <row r="3602" spans="1:13" x14ac:dyDescent="0.25">
      <c r="A3602" s="12" t="str">
        <f t="shared" si="112"/>
        <v>IVA1172026SECRETARIA DE ADMINISTRAÇÃO DO GOVERNO DO ESTADO DE PERNAMBUCOIPV46054</v>
      </c>
      <c r="B3602" s="12" t="str">
        <f t="shared" si="113"/>
        <v>Julho</v>
      </c>
      <c r="C3602" s="8" t="s">
        <v>1186</v>
      </c>
      <c r="D3602" s="8" t="s">
        <v>1723</v>
      </c>
      <c r="E3602" s="8" t="s">
        <v>1744</v>
      </c>
      <c r="F3602" s="23">
        <v>46054</v>
      </c>
      <c r="G3602" s="8" t="s">
        <v>1144</v>
      </c>
      <c r="H3602" s="23">
        <v>46218</v>
      </c>
      <c r="I3602" s="23">
        <v>46054</v>
      </c>
      <c r="J3602" s="10">
        <v>213.97</v>
      </c>
      <c r="K3602" s="10">
        <v>0</v>
      </c>
      <c r="L3602" s="24">
        <v>0</v>
      </c>
      <c r="M3602" s="10">
        <v>213.97</v>
      </c>
    </row>
    <row r="3603" spans="1:13" x14ac:dyDescent="0.25">
      <c r="A3603" s="12" t="str">
        <f t="shared" si="112"/>
        <v>IVA1172026SECRETARIA DE ADMINISTRAÇÃO DO GOVERNO DO ESTADO DE PERNAMBUCOIPV46054</v>
      </c>
      <c r="B3603" s="12" t="str">
        <f t="shared" si="113"/>
        <v>Agosto</v>
      </c>
      <c r="C3603" s="8" t="s">
        <v>1186</v>
      </c>
      <c r="D3603" s="8" t="s">
        <v>1723</v>
      </c>
      <c r="E3603" s="8" t="s">
        <v>1744</v>
      </c>
      <c r="F3603" s="23">
        <v>46054</v>
      </c>
      <c r="G3603" s="8" t="s">
        <v>1144</v>
      </c>
      <c r="H3603" s="23">
        <v>46251</v>
      </c>
      <c r="I3603" s="23">
        <v>46054</v>
      </c>
      <c r="J3603" s="10">
        <v>213.97</v>
      </c>
      <c r="K3603" s="10">
        <v>0</v>
      </c>
      <c r="L3603" s="24">
        <v>0</v>
      </c>
      <c r="M3603" s="10">
        <v>213.97</v>
      </c>
    </row>
    <row r="3604" spans="1:13" x14ac:dyDescent="0.25">
      <c r="A3604" s="12" t="str">
        <f t="shared" si="112"/>
        <v>IVA1172026SECRETARIA DE ADMINISTRAÇÃO DO GOVERNO DO ESTADO DE PERNAMBUCOIPV46054</v>
      </c>
      <c r="B3604" s="12" t="str">
        <f t="shared" si="113"/>
        <v>Setembro</v>
      </c>
      <c r="C3604" s="8" t="s">
        <v>1186</v>
      </c>
      <c r="D3604" s="8" t="s">
        <v>1723</v>
      </c>
      <c r="E3604" s="8" t="s">
        <v>1744</v>
      </c>
      <c r="F3604" s="23">
        <v>46054</v>
      </c>
      <c r="G3604" s="8" t="s">
        <v>1144</v>
      </c>
      <c r="H3604" s="23">
        <v>46280</v>
      </c>
      <c r="I3604" s="23">
        <v>46054</v>
      </c>
      <c r="J3604" s="10">
        <v>213.97</v>
      </c>
      <c r="K3604" s="10">
        <v>0</v>
      </c>
      <c r="L3604" s="24">
        <v>0</v>
      </c>
      <c r="M3604" s="10">
        <v>213.97</v>
      </c>
    </row>
    <row r="3605" spans="1:13" x14ac:dyDescent="0.25">
      <c r="A3605" s="12" t="str">
        <f t="shared" si="112"/>
        <v>IVA1182026SECRETARIA DE ADMINISTRAÇÃO DO GOVERNO DO ESTADO DE PERNAMBUCOIPV46054</v>
      </c>
      <c r="B3605" s="12" t="str">
        <f t="shared" si="113"/>
        <v>Fevereiro</v>
      </c>
      <c r="C3605" s="8" t="s">
        <v>1187</v>
      </c>
      <c r="D3605" s="8" t="s">
        <v>1723</v>
      </c>
      <c r="E3605" s="8" t="s">
        <v>1744</v>
      </c>
      <c r="F3605" s="23">
        <v>46054</v>
      </c>
      <c r="G3605" s="8" t="s">
        <v>1144</v>
      </c>
      <c r="H3605" s="23">
        <v>46072</v>
      </c>
      <c r="I3605" s="23">
        <v>46054</v>
      </c>
      <c r="J3605" s="10">
        <v>213.97</v>
      </c>
      <c r="K3605" s="10">
        <v>0</v>
      </c>
      <c r="L3605" s="24">
        <v>0</v>
      </c>
      <c r="M3605" s="10">
        <v>213.97</v>
      </c>
    </row>
    <row r="3606" spans="1:13" x14ac:dyDescent="0.25">
      <c r="A3606" s="12" t="str">
        <f t="shared" si="112"/>
        <v>IVA1182026SECRETARIA DE ADMINISTRAÇÃO DO GOVERNO DO ESTADO DE PERNAMBUCOIPV46054</v>
      </c>
      <c r="B3606" s="12" t="str">
        <f t="shared" si="113"/>
        <v>Março</v>
      </c>
      <c r="C3606" s="8" t="s">
        <v>1187</v>
      </c>
      <c r="D3606" s="8" t="s">
        <v>1723</v>
      </c>
      <c r="E3606" s="8" t="s">
        <v>1744</v>
      </c>
      <c r="F3606" s="23">
        <v>46054</v>
      </c>
      <c r="G3606" s="8" t="s">
        <v>1144</v>
      </c>
      <c r="H3606" s="23">
        <v>46097</v>
      </c>
      <c r="I3606" s="23">
        <v>46054</v>
      </c>
      <c r="J3606" s="10">
        <v>213.97</v>
      </c>
      <c r="K3606" s="10">
        <v>0</v>
      </c>
      <c r="L3606" s="24">
        <v>0</v>
      </c>
      <c r="M3606" s="10">
        <v>213.97</v>
      </c>
    </row>
    <row r="3607" spans="1:13" x14ac:dyDescent="0.25">
      <c r="A3607" s="12" t="str">
        <f t="shared" si="112"/>
        <v>IVA1182026SECRETARIA DE ADMINISTRAÇÃO DO GOVERNO DO ESTADO DE PERNAMBUCOIPV46054</v>
      </c>
      <c r="B3607" s="12" t="str">
        <f t="shared" si="113"/>
        <v>Abril</v>
      </c>
      <c r="C3607" s="8" t="s">
        <v>1187</v>
      </c>
      <c r="D3607" s="8" t="s">
        <v>1723</v>
      </c>
      <c r="E3607" s="8" t="s">
        <v>1744</v>
      </c>
      <c r="F3607" s="23">
        <v>46054</v>
      </c>
      <c r="G3607" s="8" t="s">
        <v>1144</v>
      </c>
      <c r="H3607" s="23">
        <v>46127</v>
      </c>
      <c r="I3607" s="23">
        <v>46054</v>
      </c>
      <c r="J3607" s="10">
        <v>213.97</v>
      </c>
      <c r="K3607" s="10">
        <v>0</v>
      </c>
      <c r="L3607" s="24">
        <v>0</v>
      </c>
      <c r="M3607" s="10">
        <v>213.97</v>
      </c>
    </row>
    <row r="3608" spans="1:13" x14ac:dyDescent="0.25">
      <c r="A3608" s="12" t="str">
        <f t="shared" si="112"/>
        <v>IVA1182026SECRETARIA DE ADMINISTRAÇÃO DO GOVERNO DO ESTADO DE PERNAMBUCOIPV46054</v>
      </c>
      <c r="B3608" s="12" t="str">
        <f t="shared" si="113"/>
        <v>Maio</v>
      </c>
      <c r="C3608" s="8" t="s">
        <v>1187</v>
      </c>
      <c r="D3608" s="8" t="s">
        <v>1723</v>
      </c>
      <c r="E3608" s="8" t="s">
        <v>1744</v>
      </c>
      <c r="F3608" s="23">
        <v>46054</v>
      </c>
      <c r="G3608" s="8" t="s">
        <v>1144</v>
      </c>
      <c r="H3608" s="23">
        <v>46157</v>
      </c>
      <c r="I3608" s="23">
        <v>46054</v>
      </c>
      <c r="J3608" s="10">
        <v>213.97</v>
      </c>
      <c r="K3608" s="10">
        <v>0</v>
      </c>
      <c r="L3608" s="24">
        <v>0</v>
      </c>
      <c r="M3608" s="10">
        <v>213.97</v>
      </c>
    </row>
    <row r="3609" spans="1:13" x14ac:dyDescent="0.25">
      <c r="A3609" s="12" t="str">
        <f t="shared" si="112"/>
        <v>IVA1182026SECRETARIA DE ADMINISTRAÇÃO DO GOVERNO DO ESTADO DE PERNAMBUCOIPV46054</v>
      </c>
      <c r="B3609" s="12" t="str">
        <f t="shared" si="113"/>
        <v>Junho</v>
      </c>
      <c r="C3609" s="8" t="s">
        <v>1187</v>
      </c>
      <c r="D3609" s="8" t="s">
        <v>1723</v>
      </c>
      <c r="E3609" s="8" t="s">
        <v>1744</v>
      </c>
      <c r="F3609" s="23">
        <v>46054</v>
      </c>
      <c r="G3609" s="8" t="s">
        <v>1144</v>
      </c>
      <c r="H3609" s="23">
        <v>46188</v>
      </c>
      <c r="I3609" s="23">
        <v>46054</v>
      </c>
      <c r="J3609" s="10">
        <v>213.97</v>
      </c>
      <c r="K3609" s="10">
        <v>0</v>
      </c>
      <c r="L3609" s="24">
        <v>0</v>
      </c>
      <c r="M3609" s="10">
        <v>213.97</v>
      </c>
    </row>
    <row r="3610" spans="1:13" x14ac:dyDescent="0.25">
      <c r="A3610" s="12" t="str">
        <f t="shared" si="112"/>
        <v>IVA1182026SECRETARIA DE ADMINISTRAÇÃO DO GOVERNO DO ESTADO DE PERNAMBUCOIPV46054</v>
      </c>
      <c r="B3610" s="12" t="str">
        <f t="shared" si="113"/>
        <v>Julho</v>
      </c>
      <c r="C3610" s="8" t="s">
        <v>1187</v>
      </c>
      <c r="D3610" s="8" t="s">
        <v>1723</v>
      </c>
      <c r="E3610" s="8" t="s">
        <v>1744</v>
      </c>
      <c r="F3610" s="23">
        <v>46054</v>
      </c>
      <c r="G3610" s="8" t="s">
        <v>1144</v>
      </c>
      <c r="H3610" s="23">
        <v>46218</v>
      </c>
      <c r="I3610" s="23">
        <v>46054</v>
      </c>
      <c r="J3610" s="10">
        <v>213.97</v>
      </c>
      <c r="K3610" s="10">
        <v>0</v>
      </c>
      <c r="L3610" s="24">
        <v>0</v>
      </c>
      <c r="M3610" s="10">
        <v>213.97</v>
      </c>
    </row>
    <row r="3611" spans="1:13" x14ac:dyDescent="0.25">
      <c r="A3611" s="12" t="str">
        <f t="shared" ref="A3611:A3674" si="114">$C3611&amp;$E3611&amp;$G3611&amp;$F3611</f>
        <v>IVA1182026SECRETARIA DE ADMINISTRAÇÃO DO GOVERNO DO ESTADO DE PERNAMBUCOIPV46054</v>
      </c>
      <c r="B3611" s="12" t="str">
        <f t="shared" si="113"/>
        <v>Agosto</v>
      </c>
      <c r="C3611" s="8" t="s">
        <v>1187</v>
      </c>
      <c r="D3611" s="8" t="s">
        <v>1723</v>
      </c>
      <c r="E3611" s="8" t="s">
        <v>1744</v>
      </c>
      <c r="F3611" s="23">
        <v>46054</v>
      </c>
      <c r="G3611" s="8" t="s">
        <v>1144</v>
      </c>
      <c r="H3611" s="23">
        <v>46251</v>
      </c>
      <c r="I3611" s="23">
        <v>46054</v>
      </c>
      <c r="J3611" s="10">
        <v>213.97</v>
      </c>
      <c r="K3611" s="10">
        <v>0</v>
      </c>
      <c r="L3611" s="24">
        <v>0</v>
      </c>
      <c r="M3611" s="10">
        <v>213.97</v>
      </c>
    </row>
    <row r="3612" spans="1:13" x14ac:dyDescent="0.25">
      <c r="A3612" s="12" t="str">
        <f t="shared" si="114"/>
        <v>IVA1182026SECRETARIA DE ADMINISTRAÇÃO DO GOVERNO DO ESTADO DE PERNAMBUCOIPV46054</v>
      </c>
      <c r="B3612" s="12" t="str">
        <f t="shared" si="113"/>
        <v>Setembro</v>
      </c>
      <c r="C3612" s="8" t="s">
        <v>1187</v>
      </c>
      <c r="D3612" s="8" t="s">
        <v>1723</v>
      </c>
      <c r="E3612" s="8" t="s">
        <v>1744</v>
      </c>
      <c r="F3612" s="23">
        <v>46054</v>
      </c>
      <c r="G3612" s="8" t="s">
        <v>1144</v>
      </c>
      <c r="H3612" s="23">
        <v>46280</v>
      </c>
      <c r="I3612" s="23">
        <v>46054</v>
      </c>
      <c r="J3612" s="10">
        <v>213.97</v>
      </c>
      <c r="K3612" s="10">
        <v>0</v>
      </c>
      <c r="L3612" s="24">
        <v>0</v>
      </c>
      <c r="M3612" s="10">
        <v>213.97</v>
      </c>
    </row>
    <row r="3613" spans="1:13" x14ac:dyDescent="0.25">
      <c r="A3613" s="12" t="str">
        <f t="shared" si="114"/>
        <v>IVA1192026SECRETARIA DE ADMINISTRAÇÃO DO GOVERNO DO ESTADO DE PERNAMBUCOIPV46054</v>
      </c>
      <c r="B3613" s="12" t="str">
        <f t="shared" si="113"/>
        <v>Fevereiro</v>
      </c>
      <c r="C3613" s="8" t="s">
        <v>1188</v>
      </c>
      <c r="D3613" s="8" t="s">
        <v>1723</v>
      </c>
      <c r="E3613" s="8" t="s">
        <v>1744</v>
      </c>
      <c r="F3613" s="23">
        <v>46054</v>
      </c>
      <c r="G3613" s="8" t="s">
        <v>1144</v>
      </c>
      <c r="H3613" s="23">
        <v>46072</v>
      </c>
      <c r="I3613" s="23">
        <v>46054</v>
      </c>
      <c r="J3613" s="10">
        <v>213.97</v>
      </c>
      <c r="K3613" s="10">
        <v>0</v>
      </c>
      <c r="L3613" s="24">
        <v>0</v>
      </c>
      <c r="M3613" s="10">
        <v>213.97</v>
      </c>
    </row>
    <row r="3614" spans="1:13" x14ac:dyDescent="0.25">
      <c r="A3614" s="12" t="str">
        <f t="shared" si="114"/>
        <v>IVA1192026SECRETARIA DE ADMINISTRAÇÃO DO GOVERNO DO ESTADO DE PERNAMBUCOIPV46054</v>
      </c>
      <c r="B3614" s="12" t="str">
        <f t="shared" si="113"/>
        <v>Março</v>
      </c>
      <c r="C3614" s="8" t="s">
        <v>1188</v>
      </c>
      <c r="D3614" s="8" t="s">
        <v>1723</v>
      </c>
      <c r="E3614" s="8" t="s">
        <v>1744</v>
      </c>
      <c r="F3614" s="23">
        <v>46054</v>
      </c>
      <c r="G3614" s="8" t="s">
        <v>1144</v>
      </c>
      <c r="H3614" s="23">
        <v>46097</v>
      </c>
      <c r="I3614" s="23">
        <v>46054</v>
      </c>
      <c r="J3614" s="10">
        <v>213.97</v>
      </c>
      <c r="K3614" s="10">
        <v>0</v>
      </c>
      <c r="L3614" s="24">
        <v>0</v>
      </c>
      <c r="M3614" s="10">
        <v>213.97</v>
      </c>
    </row>
    <row r="3615" spans="1:13" x14ac:dyDescent="0.25">
      <c r="A3615" s="12" t="str">
        <f t="shared" si="114"/>
        <v>IVA1192026SECRETARIA DE ADMINISTRAÇÃO DO GOVERNO DO ESTADO DE PERNAMBUCOIPV46054</v>
      </c>
      <c r="B3615" s="12" t="str">
        <f t="shared" si="113"/>
        <v>Abril</v>
      </c>
      <c r="C3615" s="8" t="s">
        <v>1188</v>
      </c>
      <c r="D3615" s="8" t="s">
        <v>1723</v>
      </c>
      <c r="E3615" s="8" t="s">
        <v>1744</v>
      </c>
      <c r="F3615" s="23">
        <v>46054</v>
      </c>
      <c r="G3615" s="8" t="s">
        <v>1144</v>
      </c>
      <c r="H3615" s="23">
        <v>46127</v>
      </c>
      <c r="I3615" s="23">
        <v>46054</v>
      </c>
      <c r="J3615" s="10">
        <v>213.97</v>
      </c>
      <c r="K3615" s="10">
        <v>0</v>
      </c>
      <c r="L3615" s="24">
        <v>0</v>
      </c>
      <c r="M3615" s="10">
        <v>213.97</v>
      </c>
    </row>
    <row r="3616" spans="1:13" x14ac:dyDescent="0.25">
      <c r="A3616" s="12" t="str">
        <f t="shared" si="114"/>
        <v>IVA1192026SECRETARIA DE ADMINISTRAÇÃO DO GOVERNO DO ESTADO DE PERNAMBUCOIPV46054</v>
      </c>
      <c r="B3616" s="12" t="str">
        <f t="shared" si="113"/>
        <v>Maio</v>
      </c>
      <c r="C3616" s="8" t="s">
        <v>1188</v>
      </c>
      <c r="D3616" s="8" t="s">
        <v>1723</v>
      </c>
      <c r="E3616" s="8" t="s">
        <v>1744</v>
      </c>
      <c r="F3616" s="23">
        <v>46054</v>
      </c>
      <c r="G3616" s="8" t="s">
        <v>1144</v>
      </c>
      <c r="H3616" s="23">
        <v>46157</v>
      </c>
      <c r="I3616" s="23">
        <v>46054</v>
      </c>
      <c r="J3616" s="10">
        <v>213.97</v>
      </c>
      <c r="K3616" s="10">
        <v>0</v>
      </c>
      <c r="L3616" s="24">
        <v>0</v>
      </c>
      <c r="M3616" s="10">
        <v>213.97</v>
      </c>
    </row>
    <row r="3617" spans="1:13" x14ac:dyDescent="0.25">
      <c r="A3617" s="12" t="str">
        <f t="shared" si="114"/>
        <v>IVA1192026SECRETARIA DE ADMINISTRAÇÃO DO GOVERNO DO ESTADO DE PERNAMBUCOIPV46054</v>
      </c>
      <c r="B3617" s="12" t="str">
        <f t="shared" si="113"/>
        <v>Junho</v>
      </c>
      <c r="C3617" s="8" t="s">
        <v>1188</v>
      </c>
      <c r="D3617" s="8" t="s">
        <v>1723</v>
      </c>
      <c r="E3617" s="8" t="s">
        <v>1744</v>
      </c>
      <c r="F3617" s="23">
        <v>46054</v>
      </c>
      <c r="G3617" s="8" t="s">
        <v>1144</v>
      </c>
      <c r="H3617" s="23">
        <v>46188</v>
      </c>
      <c r="I3617" s="23">
        <v>46054</v>
      </c>
      <c r="J3617" s="10">
        <v>213.97</v>
      </c>
      <c r="K3617" s="10">
        <v>0</v>
      </c>
      <c r="L3617" s="24">
        <v>0</v>
      </c>
      <c r="M3617" s="10">
        <v>213.97</v>
      </c>
    </row>
    <row r="3618" spans="1:13" x14ac:dyDescent="0.25">
      <c r="A3618" s="12" t="str">
        <f t="shared" si="114"/>
        <v>IVA1192026SECRETARIA DE ADMINISTRAÇÃO DO GOVERNO DO ESTADO DE PERNAMBUCOIPV46054</v>
      </c>
      <c r="B3618" s="12" t="str">
        <f t="shared" si="113"/>
        <v>Julho</v>
      </c>
      <c r="C3618" s="8" t="s">
        <v>1188</v>
      </c>
      <c r="D3618" s="8" t="s">
        <v>1723</v>
      </c>
      <c r="E3618" s="8" t="s">
        <v>1744</v>
      </c>
      <c r="F3618" s="23">
        <v>46054</v>
      </c>
      <c r="G3618" s="8" t="s">
        <v>1144</v>
      </c>
      <c r="H3618" s="23">
        <v>46218</v>
      </c>
      <c r="I3618" s="23">
        <v>46054</v>
      </c>
      <c r="J3618" s="10">
        <v>213.97</v>
      </c>
      <c r="K3618" s="10">
        <v>0</v>
      </c>
      <c r="L3618" s="24">
        <v>0</v>
      </c>
      <c r="M3618" s="10">
        <v>213.97</v>
      </c>
    </row>
    <row r="3619" spans="1:13" x14ac:dyDescent="0.25">
      <c r="A3619" s="12" t="str">
        <f t="shared" si="114"/>
        <v>IVA1192026SECRETARIA DE ADMINISTRAÇÃO DO GOVERNO DO ESTADO DE PERNAMBUCOIPV46054</v>
      </c>
      <c r="B3619" s="12" t="str">
        <f t="shared" si="113"/>
        <v>Agosto</v>
      </c>
      <c r="C3619" s="8" t="s">
        <v>1188</v>
      </c>
      <c r="D3619" s="8" t="s">
        <v>1723</v>
      </c>
      <c r="E3619" s="8" t="s">
        <v>1744</v>
      </c>
      <c r="F3619" s="23">
        <v>46054</v>
      </c>
      <c r="G3619" s="8" t="s">
        <v>1144</v>
      </c>
      <c r="H3619" s="23">
        <v>46251</v>
      </c>
      <c r="I3619" s="23">
        <v>46054</v>
      </c>
      <c r="J3619" s="10">
        <v>213.97</v>
      </c>
      <c r="K3619" s="10">
        <v>0</v>
      </c>
      <c r="L3619" s="24">
        <v>0</v>
      </c>
      <c r="M3619" s="10">
        <v>213.97</v>
      </c>
    </row>
    <row r="3620" spans="1:13" x14ac:dyDescent="0.25">
      <c r="A3620" s="12" t="str">
        <f t="shared" si="114"/>
        <v>IVA1192026SECRETARIA DE ADMINISTRAÇÃO DO GOVERNO DO ESTADO DE PERNAMBUCOIPV46054</v>
      </c>
      <c r="B3620" s="12" t="str">
        <f t="shared" si="113"/>
        <v>Setembro</v>
      </c>
      <c r="C3620" s="8" t="s">
        <v>1188</v>
      </c>
      <c r="D3620" s="8" t="s">
        <v>1723</v>
      </c>
      <c r="E3620" s="8" t="s">
        <v>1744</v>
      </c>
      <c r="F3620" s="23">
        <v>46054</v>
      </c>
      <c r="G3620" s="8" t="s">
        <v>1144</v>
      </c>
      <c r="H3620" s="23">
        <v>46280</v>
      </c>
      <c r="I3620" s="23">
        <v>46054</v>
      </c>
      <c r="J3620" s="10">
        <v>213.97</v>
      </c>
      <c r="K3620" s="10">
        <v>0</v>
      </c>
      <c r="L3620" s="24">
        <v>0</v>
      </c>
      <c r="M3620" s="10">
        <v>213.97</v>
      </c>
    </row>
    <row r="3621" spans="1:13" x14ac:dyDescent="0.25">
      <c r="A3621" s="12" t="str">
        <f t="shared" si="114"/>
        <v>IVA1202026SECRETARIA DE ADMINISTRAÇÃO DO GOVERNO DO ESTADO DE PERNAMBUCOIPV46054</v>
      </c>
      <c r="B3621" s="12" t="str">
        <f t="shared" si="113"/>
        <v>Fevereiro</v>
      </c>
      <c r="C3621" s="8" t="s">
        <v>1189</v>
      </c>
      <c r="D3621" s="8" t="s">
        <v>1723</v>
      </c>
      <c r="E3621" s="8" t="s">
        <v>1744</v>
      </c>
      <c r="F3621" s="23">
        <v>46054</v>
      </c>
      <c r="G3621" s="8" t="s">
        <v>1144</v>
      </c>
      <c r="H3621" s="23">
        <v>46072</v>
      </c>
      <c r="I3621" s="23">
        <v>46054</v>
      </c>
      <c r="J3621" s="10">
        <v>213.97</v>
      </c>
      <c r="K3621" s="10">
        <v>0</v>
      </c>
      <c r="L3621" s="24">
        <v>0</v>
      </c>
      <c r="M3621" s="10">
        <v>213.97</v>
      </c>
    </row>
    <row r="3622" spans="1:13" x14ac:dyDescent="0.25">
      <c r="A3622" s="12" t="str">
        <f t="shared" si="114"/>
        <v>IVA1202026SECRETARIA DE ADMINISTRAÇÃO DO GOVERNO DO ESTADO DE PERNAMBUCOIPV46054</v>
      </c>
      <c r="B3622" s="12" t="str">
        <f t="shared" si="113"/>
        <v>Março</v>
      </c>
      <c r="C3622" s="8" t="s">
        <v>1189</v>
      </c>
      <c r="D3622" s="8" t="s">
        <v>1723</v>
      </c>
      <c r="E3622" s="8" t="s">
        <v>1744</v>
      </c>
      <c r="F3622" s="23">
        <v>46054</v>
      </c>
      <c r="G3622" s="8" t="s">
        <v>1144</v>
      </c>
      <c r="H3622" s="23">
        <v>46097</v>
      </c>
      <c r="I3622" s="23">
        <v>46054</v>
      </c>
      <c r="J3622" s="10">
        <v>213.97</v>
      </c>
      <c r="K3622" s="10">
        <v>0</v>
      </c>
      <c r="L3622" s="24">
        <v>0</v>
      </c>
      <c r="M3622" s="10">
        <v>213.97</v>
      </c>
    </row>
    <row r="3623" spans="1:13" x14ac:dyDescent="0.25">
      <c r="A3623" s="12" t="str">
        <f t="shared" si="114"/>
        <v>IVA1202026SECRETARIA DE ADMINISTRAÇÃO DO GOVERNO DO ESTADO DE PERNAMBUCOIPV46054</v>
      </c>
      <c r="B3623" s="12" t="str">
        <f t="shared" si="113"/>
        <v>Abril</v>
      </c>
      <c r="C3623" s="8" t="s">
        <v>1189</v>
      </c>
      <c r="D3623" s="8" t="s">
        <v>1723</v>
      </c>
      <c r="E3623" s="8" t="s">
        <v>1744</v>
      </c>
      <c r="F3623" s="23">
        <v>46054</v>
      </c>
      <c r="G3623" s="8" t="s">
        <v>1144</v>
      </c>
      <c r="H3623" s="23">
        <v>46127</v>
      </c>
      <c r="I3623" s="23">
        <v>46054</v>
      </c>
      <c r="J3623" s="10">
        <v>213.97</v>
      </c>
      <c r="K3623" s="10">
        <v>0</v>
      </c>
      <c r="L3623" s="24">
        <v>0</v>
      </c>
      <c r="M3623" s="10">
        <v>213.97</v>
      </c>
    </row>
    <row r="3624" spans="1:13" x14ac:dyDescent="0.25">
      <c r="A3624" s="12" t="str">
        <f t="shared" si="114"/>
        <v>IVA1202026SECRETARIA DE ADMINISTRAÇÃO DO GOVERNO DO ESTADO DE PERNAMBUCOIPV46054</v>
      </c>
      <c r="B3624" s="12" t="str">
        <f t="shared" si="113"/>
        <v>Maio</v>
      </c>
      <c r="C3624" s="8" t="s">
        <v>1189</v>
      </c>
      <c r="D3624" s="8" t="s">
        <v>1723</v>
      </c>
      <c r="E3624" s="8" t="s">
        <v>1744</v>
      </c>
      <c r="F3624" s="23">
        <v>46054</v>
      </c>
      <c r="G3624" s="8" t="s">
        <v>1144</v>
      </c>
      <c r="H3624" s="23">
        <v>46157</v>
      </c>
      <c r="I3624" s="23">
        <v>46054</v>
      </c>
      <c r="J3624" s="10">
        <v>213.97</v>
      </c>
      <c r="K3624" s="10">
        <v>0</v>
      </c>
      <c r="L3624" s="24">
        <v>0</v>
      </c>
      <c r="M3624" s="10">
        <v>213.97</v>
      </c>
    </row>
    <row r="3625" spans="1:13" x14ac:dyDescent="0.25">
      <c r="A3625" s="12" t="str">
        <f t="shared" si="114"/>
        <v>IVA1202026SECRETARIA DE ADMINISTRAÇÃO DO GOVERNO DO ESTADO DE PERNAMBUCOIPV46054</v>
      </c>
      <c r="B3625" s="12" t="str">
        <f t="shared" si="113"/>
        <v>Junho</v>
      </c>
      <c r="C3625" s="8" t="s">
        <v>1189</v>
      </c>
      <c r="D3625" s="8" t="s">
        <v>1723</v>
      </c>
      <c r="E3625" s="8" t="s">
        <v>1744</v>
      </c>
      <c r="F3625" s="23">
        <v>46054</v>
      </c>
      <c r="G3625" s="8" t="s">
        <v>1144</v>
      </c>
      <c r="H3625" s="23">
        <v>46188</v>
      </c>
      <c r="I3625" s="23">
        <v>46054</v>
      </c>
      <c r="J3625" s="10">
        <v>213.97</v>
      </c>
      <c r="K3625" s="10">
        <v>0</v>
      </c>
      <c r="L3625" s="24">
        <v>0</v>
      </c>
      <c r="M3625" s="10">
        <v>213.97</v>
      </c>
    </row>
    <row r="3626" spans="1:13" x14ac:dyDescent="0.25">
      <c r="A3626" s="12" t="str">
        <f t="shared" si="114"/>
        <v>IVA1202026SECRETARIA DE ADMINISTRAÇÃO DO GOVERNO DO ESTADO DE PERNAMBUCOIPV46054</v>
      </c>
      <c r="B3626" s="12" t="str">
        <f t="shared" si="113"/>
        <v>Julho</v>
      </c>
      <c r="C3626" s="8" t="s">
        <v>1189</v>
      </c>
      <c r="D3626" s="8" t="s">
        <v>1723</v>
      </c>
      <c r="E3626" s="8" t="s">
        <v>1744</v>
      </c>
      <c r="F3626" s="23">
        <v>46054</v>
      </c>
      <c r="G3626" s="8" t="s">
        <v>1144</v>
      </c>
      <c r="H3626" s="23">
        <v>46218</v>
      </c>
      <c r="I3626" s="23">
        <v>46054</v>
      </c>
      <c r="J3626" s="10">
        <v>213.97</v>
      </c>
      <c r="K3626" s="10">
        <v>0</v>
      </c>
      <c r="L3626" s="24">
        <v>0</v>
      </c>
      <c r="M3626" s="10">
        <v>213.97</v>
      </c>
    </row>
    <row r="3627" spans="1:13" x14ac:dyDescent="0.25">
      <c r="A3627" s="12" t="str">
        <f t="shared" si="114"/>
        <v>IVA1202026SECRETARIA DE ADMINISTRAÇÃO DO GOVERNO DO ESTADO DE PERNAMBUCOIPV46054</v>
      </c>
      <c r="B3627" s="12" t="str">
        <f t="shared" si="113"/>
        <v>Agosto</v>
      </c>
      <c r="C3627" s="8" t="s">
        <v>1189</v>
      </c>
      <c r="D3627" s="8" t="s">
        <v>1723</v>
      </c>
      <c r="E3627" s="8" t="s">
        <v>1744</v>
      </c>
      <c r="F3627" s="23">
        <v>46054</v>
      </c>
      <c r="G3627" s="8" t="s">
        <v>1144</v>
      </c>
      <c r="H3627" s="23">
        <v>46251</v>
      </c>
      <c r="I3627" s="23">
        <v>46054</v>
      </c>
      <c r="J3627" s="10">
        <v>213.97</v>
      </c>
      <c r="K3627" s="10">
        <v>0</v>
      </c>
      <c r="L3627" s="24">
        <v>0</v>
      </c>
      <c r="M3627" s="10">
        <v>213.97</v>
      </c>
    </row>
    <row r="3628" spans="1:13" x14ac:dyDescent="0.25">
      <c r="A3628" s="12" t="str">
        <f t="shared" si="114"/>
        <v>IVA1202026SECRETARIA DE ADMINISTRAÇÃO DO GOVERNO DO ESTADO DE PERNAMBUCOIPV46054</v>
      </c>
      <c r="B3628" s="12" t="str">
        <f t="shared" si="113"/>
        <v>Setembro</v>
      </c>
      <c r="C3628" s="8" t="s">
        <v>1189</v>
      </c>
      <c r="D3628" s="8" t="s">
        <v>1723</v>
      </c>
      <c r="E3628" s="8" t="s">
        <v>1744</v>
      </c>
      <c r="F3628" s="23">
        <v>46054</v>
      </c>
      <c r="G3628" s="8" t="s">
        <v>1144</v>
      </c>
      <c r="H3628" s="23">
        <v>46280</v>
      </c>
      <c r="I3628" s="23">
        <v>46054</v>
      </c>
      <c r="J3628" s="10">
        <v>213.97</v>
      </c>
      <c r="K3628" s="10">
        <v>0</v>
      </c>
      <c r="L3628" s="24">
        <v>0</v>
      </c>
      <c r="M3628" s="10">
        <v>213.97</v>
      </c>
    </row>
    <row r="3629" spans="1:13" x14ac:dyDescent="0.25">
      <c r="A3629" s="12" t="str">
        <f t="shared" si="114"/>
        <v>IVA1212026SECRETARIA DE ADMINISTRAÇÃO DO GOVERNO DO ESTADO DE PERNAMBUCOIPV46054</v>
      </c>
      <c r="B3629" s="12" t="str">
        <f t="shared" si="113"/>
        <v>Fevereiro</v>
      </c>
      <c r="C3629" s="8" t="s">
        <v>1190</v>
      </c>
      <c r="D3629" s="8" t="s">
        <v>1723</v>
      </c>
      <c r="E3629" s="8" t="s">
        <v>1744</v>
      </c>
      <c r="F3629" s="23">
        <v>46054</v>
      </c>
      <c r="G3629" s="8" t="s">
        <v>1144</v>
      </c>
      <c r="H3629" s="23">
        <v>46072</v>
      </c>
      <c r="I3629" s="23">
        <v>46054</v>
      </c>
      <c r="J3629" s="10">
        <v>213.97</v>
      </c>
      <c r="K3629" s="10">
        <v>0</v>
      </c>
      <c r="L3629" s="24">
        <v>0</v>
      </c>
      <c r="M3629" s="10">
        <v>213.97</v>
      </c>
    </row>
    <row r="3630" spans="1:13" x14ac:dyDescent="0.25">
      <c r="A3630" s="12" t="str">
        <f t="shared" si="114"/>
        <v>IVA1212026SECRETARIA DE ADMINISTRAÇÃO DO GOVERNO DO ESTADO DE PERNAMBUCOIPV46054</v>
      </c>
      <c r="B3630" s="12" t="str">
        <f t="shared" si="113"/>
        <v>Março</v>
      </c>
      <c r="C3630" s="8" t="s">
        <v>1190</v>
      </c>
      <c r="D3630" s="8" t="s">
        <v>1723</v>
      </c>
      <c r="E3630" s="8" t="s">
        <v>1744</v>
      </c>
      <c r="F3630" s="23">
        <v>46054</v>
      </c>
      <c r="G3630" s="8" t="s">
        <v>1144</v>
      </c>
      <c r="H3630" s="23">
        <v>46097</v>
      </c>
      <c r="I3630" s="23">
        <v>46054</v>
      </c>
      <c r="J3630" s="10">
        <v>213.97</v>
      </c>
      <c r="K3630" s="10">
        <v>0</v>
      </c>
      <c r="L3630" s="24">
        <v>0</v>
      </c>
      <c r="M3630" s="10">
        <v>213.97</v>
      </c>
    </row>
    <row r="3631" spans="1:13" x14ac:dyDescent="0.25">
      <c r="A3631" s="12" t="str">
        <f t="shared" si="114"/>
        <v>IVA1212026SECRETARIA DE ADMINISTRAÇÃO DO GOVERNO DO ESTADO DE PERNAMBUCOIPV46054</v>
      </c>
      <c r="B3631" s="12" t="str">
        <f t="shared" si="113"/>
        <v>Abril</v>
      </c>
      <c r="C3631" s="8" t="s">
        <v>1190</v>
      </c>
      <c r="D3631" s="8" t="s">
        <v>1723</v>
      </c>
      <c r="E3631" s="8" t="s">
        <v>1744</v>
      </c>
      <c r="F3631" s="23">
        <v>46054</v>
      </c>
      <c r="G3631" s="8" t="s">
        <v>1144</v>
      </c>
      <c r="H3631" s="23">
        <v>46127</v>
      </c>
      <c r="I3631" s="23">
        <v>46054</v>
      </c>
      <c r="J3631" s="10">
        <v>213.97</v>
      </c>
      <c r="K3631" s="10">
        <v>0</v>
      </c>
      <c r="L3631" s="24">
        <v>0</v>
      </c>
      <c r="M3631" s="10">
        <v>213.97</v>
      </c>
    </row>
    <row r="3632" spans="1:13" x14ac:dyDescent="0.25">
      <c r="A3632" s="12" t="str">
        <f t="shared" si="114"/>
        <v>IVA1212026SECRETARIA DE ADMINISTRAÇÃO DO GOVERNO DO ESTADO DE PERNAMBUCOIPV46054</v>
      </c>
      <c r="B3632" s="12" t="str">
        <f t="shared" si="113"/>
        <v>Maio</v>
      </c>
      <c r="C3632" s="8" t="s">
        <v>1190</v>
      </c>
      <c r="D3632" s="8" t="s">
        <v>1723</v>
      </c>
      <c r="E3632" s="8" t="s">
        <v>1744</v>
      </c>
      <c r="F3632" s="23">
        <v>46054</v>
      </c>
      <c r="G3632" s="8" t="s">
        <v>1144</v>
      </c>
      <c r="H3632" s="23">
        <v>46157</v>
      </c>
      <c r="I3632" s="23">
        <v>46054</v>
      </c>
      <c r="J3632" s="10">
        <v>213.97</v>
      </c>
      <c r="K3632" s="10">
        <v>0</v>
      </c>
      <c r="L3632" s="24">
        <v>0</v>
      </c>
      <c r="M3632" s="10">
        <v>213.97</v>
      </c>
    </row>
    <row r="3633" spans="1:13" x14ac:dyDescent="0.25">
      <c r="A3633" s="12" t="str">
        <f t="shared" si="114"/>
        <v>IVA1212026SECRETARIA DE ADMINISTRAÇÃO DO GOVERNO DO ESTADO DE PERNAMBUCOIPV46054</v>
      </c>
      <c r="B3633" s="12" t="str">
        <f t="shared" si="113"/>
        <v>Junho</v>
      </c>
      <c r="C3633" s="8" t="s">
        <v>1190</v>
      </c>
      <c r="D3633" s="8" t="s">
        <v>1723</v>
      </c>
      <c r="E3633" s="8" t="s">
        <v>1744</v>
      </c>
      <c r="F3633" s="23">
        <v>46054</v>
      </c>
      <c r="G3633" s="8" t="s">
        <v>1144</v>
      </c>
      <c r="H3633" s="23">
        <v>46188</v>
      </c>
      <c r="I3633" s="23">
        <v>46054</v>
      </c>
      <c r="J3633" s="10">
        <v>213.97</v>
      </c>
      <c r="K3633" s="10">
        <v>0</v>
      </c>
      <c r="L3633" s="24">
        <v>0</v>
      </c>
      <c r="M3633" s="10">
        <v>213.97</v>
      </c>
    </row>
    <row r="3634" spans="1:13" x14ac:dyDescent="0.25">
      <c r="A3634" s="12" t="str">
        <f t="shared" si="114"/>
        <v>IVA1212026SECRETARIA DE ADMINISTRAÇÃO DO GOVERNO DO ESTADO DE PERNAMBUCOIPV46054</v>
      </c>
      <c r="B3634" s="12" t="str">
        <f t="shared" si="113"/>
        <v>Julho</v>
      </c>
      <c r="C3634" s="8" t="s">
        <v>1190</v>
      </c>
      <c r="D3634" s="8" t="s">
        <v>1723</v>
      </c>
      <c r="E3634" s="8" t="s">
        <v>1744</v>
      </c>
      <c r="F3634" s="23">
        <v>46054</v>
      </c>
      <c r="G3634" s="8" t="s">
        <v>1144</v>
      </c>
      <c r="H3634" s="23">
        <v>46218</v>
      </c>
      <c r="I3634" s="23">
        <v>46054</v>
      </c>
      <c r="J3634" s="10">
        <v>213.97</v>
      </c>
      <c r="K3634" s="10">
        <v>0</v>
      </c>
      <c r="L3634" s="24">
        <v>0</v>
      </c>
      <c r="M3634" s="10">
        <v>213.97</v>
      </c>
    </row>
    <row r="3635" spans="1:13" x14ac:dyDescent="0.25">
      <c r="A3635" s="12" t="str">
        <f t="shared" si="114"/>
        <v>IVA1212026SECRETARIA DE ADMINISTRAÇÃO DO GOVERNO DO ESTADO DE PERNAMBUCOIPV46054</v>
      </c>
      <c r="B3635" s="12" t="str">
        <f t="shared" si="113"/>
        <v>Agosto</v>
      </c>
      <c r="C3635" s="8" t="s">
        <v>1190</v>
      </c>
      <c r="D3635" s="8" t="s">
        <v>1723</v>
      </c>
      <c r="E3635" s="8" t="s">
        <v>1744</v>
      </c>
      <c r="F3635" s="23">
        <v>46054</v>
      </c>
      <c r="G3635" s="8" t="s">
        <v>1144</v>
      </c>
      <c r="H3635" s="23">
        <v>46251</v>
      </c>
      <c r="I3635" s="23">
        <v>46054</v>
      </c>
      <c r="J3635" s="10">
        <v>213.97</v>
      </c>
      <c r="K3635" s="10">
        <v>0</v>
      </c>
      <c r="L3635" s="24">
        <v>0</v>
      </c>
      <c r="M3635" s="10">
        <v>213.97</v>
      </c>
    </row>
    <row r="3636" spans="1:13" x14ac:dyDescent="0.25">
      <c r="A3636" s="12" t="str">
        <f t="shared" si="114"/>
        <v>IVA1212026SECRETARIA DE ADMINISTRAÇÃO DO GOVERNO DO ESTADO DE PERNAMBUCOIPV46054</v>
      </c>
      <c r="B3636" s="12" t="str">
        <f t="shared" si="113"/>
        <v>Setembro</v>
      </c>
      <c r="C3636" s="8" t="s">
        <v>1190</v>
      </c>
      <c r="D3636" s="8" t="s">
        <v>1723</v>
      </c>
      <c r="E3636" s="8" t="s">
        <v>1744</v>
      </c>
      <c r="F3636" s="23">
        <v>46054</v>
      </c>
      <c r="G3636" s="8" t="s">
        <v>1144</v>
      </c>
      <c r="H3636" s="23">
        <v>46280</v>
      </c>
      <c r="I3636" s="23">
        <v>46054</v>
      </c>
      <c r="J3636" s="10">
        <v>213.97</v>
      </c>
      <c r="K3636" s="10">
        <v>0</v>
      </c>
      <c r="L3636" s="24">
        <v>0</v>
      </c>
      <c r="M3636" s="10">
        <v>213.97</v>
      </c>
    </row>
    <row r="3637" spans="1:13" x14ac:dyDescent="0.25">
      <c r="A3637" s="12" t="str">
        <f t="shared" si="114"/>
        <v>IVA1222026SECRETARIA DE ADMINISTRAÇÃO DO GOVERNO DO ESTADO DE PERNAMBUCOIPV46054</v>
      </c>
      <c r="B3637" s="12" t="str">
        <f t="shared" si="113"/>
        <v>Fevereiro</v>
      </c>
      <c r="C3637" s="8" t="s">
        <v>1191</v>
      </c>
      <c r="D3637" s="8" t="s">
        <v>1723</v>
      </c>
      <c r="E3637" s="8" t="s">
        <v>1744</v>
      </c>
      <c r="F3637" s="23">
        <v>46054</v>
      </c>
      <c r="G3637" s="8" t="s">
        <v>1144</v>
      </c>
      <c r="H3637" s="23">
        <v>46072</v>
      </c>
      <c r="I3637" s="23">
        <v>46054</v>
      </c>
      <c r="J3637" s="10">
        <v>213.97</v>
      </c>
      <c r="K3637" s="10">
        <v>0</v>
      </c>
      <c r="L3637" s="24">
        <v>0</v>
      </c>
      <c r="M3637" s="10">
        <v>213.97</v>
      </c>
    </row>
    <row r="3638" spans="1:13" x14ac:dyDescent="0.25">
      <c r="A3638" s="12" t="str">
        <f t="shared" si="114"/>
        <v>IVA1222026SECRETARIA DE ADMINISTRAÇÃO DO GOVERNO DO ESTADO DE PERNAMBUCOIPV46054</v>
      </c>
      <c r="B3638" s="12" t="str">
        <f t="shared" si="113"/>
        <v>Março</v>
      </c>
      <c r="C3638" s="8" t="s">
        <v>1191</v>
      </c>
      <c r="D3638" s="8" t="s">
        <v>1723</v>
      </c>
      <c r="E3638" s="8" t="s">
        <v>1744</v>
      </c>
      <c r="F3638" s="23">
        <v>46054</v>
      </c>
      <c r="G3638" s="8" t="s">
        <v>1144</v>
      </c>
      <c r="H3638" s="23">
        <v>46097</v>
      </c>
      <c r="I3638" s="23">
        <v>46054</v>
      </c>
      <c r="J3638" s="10">
        <v>213.97</v>
      </c>
      <c r="K3638" s="10">
        <v>0</v>
      </c>
      <c r="L3638" s="24">
        <v>0</v>
      </c>
      <c r="M3638" s="10">
        <v>213.97</v>
      </c>
    </row>
    <row r="3639" spans="1:13" x14ac:dyDescent="0.25">
      <c r="A3639" s="12" t="str">
        <f t="shared" si="114"/>
        <v>IVA1222026SECRETARIA DE ADMINISTRAÇÃO DO GOVERNO DO ESTADO DE PERNAMBUCOIPV46054</v>
      </c>
      <c r="B3639" s="12" t="str">
        <f t="shared" si="113"/>
        <v>Abril</v>
      </c>
      <c r="C3639" s="8" t="s">
        <v>1191</v>
      </c>
      <c r="D3639" s="8" t="s">
        <v>1723</v>
      </c>
      <c r="E3639" s="8" t="s">
        <v>1744</v>
      </c>
      <c r="F3639" s="23">
        <v>46054</v>
      </c>
      <c r="G3639" s="8" t="s">
        <v>1144</v>
      </c>
      <c r="H3639" s="23">
        <v>46127</v>
      </c>
      <c r="I3639" s="23">
        <v>46054</v>
      </c>
      <c r="J3639" s="10">
        <v>213.97</v>
      </c>
      <c r="K3639" s="10">
        <v>0</v>
      </c>
      <c r="L3639" s="24">
        <v>0</v>
      </c>
      <c r="M3639" s="10">
        <v>213.97</v>
      </c>
    </row>
    <row r="3640" spans="1:13" x14ac:dyDescent="0.25">
      <c r="A3640" s="12" t="str">
        <f t="shared" si="114"/>
        <v>IVA1222026SECRETARIA DE ADMINISTRAÇÃO DO GOVERNO DO ESTADO DE PERNAMBUCOIPV46054</v>
      </c>
      <c r="B3640" s="12" t="str">
        <f t="shared" si="113"/>
        <v>Maio</v>
      </c>
      <c r="C3640" s="8" t="s">
        <v>1191</v>
      </c>
      <c r="D3640" s="8" t="s">
        <v>1723</v>
      </c>
      <c r="E3640" s="8" t="s">
        <v>1744</v>
      </c>
      <c r="F3640" s="23">
        <v>46054</v>
      </c>
      <c r="G3640" s="8" t="s">
        <v>1144</v>
      </c>
      <c r="H3640" s="23">
        <v>46157</v>
      </c>
      <c r="I3640" s="23">
        <v>46054</v>
      </c>
      <c r="J3640" s="10">
        <v>213.97</v>
      </c>
      <c r="K3640" s="10">
        <v>0</v>
      </c>
      <c r="L3640" s="24">
        <v>0</v>
      </c>
      <c r="M3640" s="10">
        <v>213.97</v>
      </c>
    </row>
    <row r="3641" spans="1:13" x14ac:dyDescent="0.25">
      <c r="A3641" s="12" t="str">
        <f t="shared" si="114"/>
        <v>IVA1222026SECRETARIA DE ADMINISTRAÇÃO DO GOVERNO DO ESTADO DE PERNAMBUCOIPV46054</v>
      </c>
      <c r="B3641" s="12" t="str">
        <f t="shared" si="113"/>
        <v>Junho</v>
      </c>
      <c r="C3641" s="8" t="s">
        <v>1191</v>
      </c>
      <c r="D3641" s="8" t="s">
        <v>1723</v>
      </c>
      <c r="E3641" s="8" t="s">
        <v>1744</v>
      </c>
      <c r="F3641" s="23">
        <v>46054</v>
      </c>
      <c r="G3641" s="8" t="s">
        <v>1144</v>
      </c>
      <c r="H3641" s="23">
        <v>46188</v>
      </c>
      <c r="I3641" s="23">
        <v>46054</v>
      </c>
      <c r="J3641" s="10">
        <v>213.97</v>
      </c>
      <c r="K3641" s="10">
        <v>0</v>
      </c>
      <c r="L3641" s="24">
        <v>0</v>
      </c>
      <c r="M3641" s="10">
        <v>213.97</v>
      </c>
    </row>
    <row r="3642" spans="1:13" x14ac:dyDescent="0.25">
      <c r="A3642" s="12" t="str">
        <f t="shared" si="114"/>
        <v>IVA1222026SECRETARIA DE ADMINISTRAÇÃO DO GOVERNO DO ESTADO DE PERNAMBUCOIPV46054</v>
      </c>
      <c r="B3642" s="12" t="str">
        <f t="shared" si="113"/>
        <v>Julho</v>
      </c>
      <c r="C3642" s="8" t="s">
        <v>1191</v>
      </c>
      <c r="D3642" s="8" t="s">
        <v>1723</v>
      </c>
      <c r="E3642" s="8" t="s">
        <v>1744</v>
      </c>
      <c r="F3642" s="23">
        <v>46054</v>
      </c>
      <c r="G3642" s="8" t="s">
        <v>1144</v>
      </c>
      <c r="H3642" s="23">
        <v>46218</v>
      </c>
      <c r="I3642" s="23">
        <v>46054</v>
      </c>
      <c r="J3642" s="10">
        <v>213.97</v>
      </c>
      <c r="K3642" s="10">
        <v>0</v>
      </c>
      <c r="L3642" s="24">
        <v>0</v>
      </c>
      <c r="M3642" s="10">
        <v>213.97</v>
      </c>
    </row>
    <row r="3643" spans="1:13" x14ac:dyDescent="0.25">
      <c r="A3643" s="12" t="str">
        <f t="shared" si="114"/>
        <v>IVA1222026SECRETARIA DE ADMINISTRAÇÃO DO GOVERNO DO ESTADO DE PERNAMBUCOIPV46054</v>
      </c>
      <c r="B3643" s="12" t="str">
        <f t="shared" si="113"/>
        <v>Agosto</v>
      </c>
      <c r="C3643" s="8" t="s">
        <v>1191</v>
      </c>
      <c r="D3643" s="8" t="s">
        <v>1723</v>
      </c>
      <c r="E3643" s="8" t="s">
        <v>1744</v>
      </c>
      <c r="F3643" s="23">
        <v>46054</v>
      </c>
      <c r="G3643" s="8" t="s">
        <v>1144</v>
      </c>
      <c r="H3643" s="23">
        <v>46251</v>
      </c>
      <c r="I3643" s="23">
        <v>46054</v>
      </c>
      <c r="J3643" s="10">
        <v>213.97</v>
      </c>
      <c r="K3643" s="10">
        <v>0</v>
      </c>
      <c r="L3643" s="24">
        <v>0</v>
      </c>
      <c r="M3643" s="10">
        <v>213.97</v>
      </c>
    </row>
    <row r="3644" spans="1:13" x14ac:dyDescent="0.25">
      <c r="A3644" s="12" t="str">
        <f t="shared" si="114"/>
        <v>IVA1222026SECRETARIA DE ADMINISTRAÇÃO DO GOVERNO DO ESTADO DE PERNAMBUCOIPV46054</v>
      </c>
      <c r="B3644" s="12" t="str">
        <f t="shared" si="113"/>
        <v>Setembro</v>
      </c>
      <c r="C3644" s="8" t="s">
        <v>1191</v>
      </c>
      <c r="D3644" s="8" t="s">
        <v>1723</v>
      </c>
      <c r="E3644" s="8" t="s">
        <v>1744</v>
      </c>
      <c r="F3644" s="23">
        <v>46054</v>
      </c>
      <c r="G3644" s="8" t="s">
        <v>1144</v>
      </c>
      <c r="H3644" s="23">
        <v>46280</v>
      </c>
      <c r="I3644" s="23">
        <v>46054</v>
      </c>
      <c r="J3644" s="10">
        <v>213.97</v>
      </c>
      <c r="K3644" s="10">
        <v>0</v>
      </c>
      <c r="L3644" s="24">
        <v>0</v>
      </c>
      <c r="M3644" s="10">
        <v>213.97</v>
      </c>
    </row>
    <row r="3645" spans="1:13" x14ac:dyDescent="0.25">
      <c r="A3645" s="12" t="str">
        <f t="shared" si="114"/>
        <v>IVA1232026SECRETARIA DE ADMINISTRAÇÃO DO GOVERNO DO ESTADO DE PERNAMBUCOIPV46054</v>
      </c>
      <c r="B3645" s="12" t="str">
        <f t="shared" si="113"/>
        <v>Fevereiro</v>
      </c>
      <c r="C3645" s="8" t="s">
        <v>1192</v>
      </c>
      <c r="D3645" s="8" t="s">
        <v>1723</v>
      </c>
      <c r="E3645" s="8" t="s">
        <v>1744</v>
      </c>
      <c r="F3645" s="23">
        <v>46054</v>
      </c>
      <c r="G3645" s="8" t="s">
        <v>1144</v>
      </c>
      <c r="H3645" s="23">
        <v>46072</v>
      </c>
      <c r="I3645" s="23">
        <v>46054</v>
      </c>
      <c r="J3645" s="10">
        <v>213.97</v>
      </c>
      <c r="K3645" s="10">
        <v>0</v>
      </c>
      <c r="L3645" s="24">
        <v>0</v>
      </c>
      <c r="M3645" s="10">
        <v>213.97</v>
      </c>
    </row>
    <row r="3646" spans="1:13" x14ac:dyDescent="0.25">
      <c r="A3646" s="12" t="str">
        <f t="shared" si="114"/>
        <v>IVA1232026SECRETARIA DE ADMINISTRAÇÃO DO GOVERNO DO ESTADO DE PERNAMBUCOIPV46054</v>
      </c>
      <c r="B3646" s="12" t="str">
        <f t="shared" si="113"/>
        <v>Março</v>
      </c>
      <c r="C3646" s="8" t="s">
        <v>1192</v>
      </c>
      <c r="D3646" s="8" t="s">
        <v>1723</v>
      </c>
      <c r="E3646" s="8" t="s">
        <v>1744</v>
      </c>
      <c r="F3646" s="23">
        <v>46054</v>
      </c>
      <c r="G3646" s="8" t="s">
        <v>1144</v>
      </c>
      <c r="H3646" s="23">
        <v>46097</v>
      </c>
      <c r="I3646" s="23">
        <v>46054</v>
      </c>
      <c r="J3646" s="10">
        <v>213.97</v>
      </c>
      <c r="K3646" s="10">
        <v>0</v>
      </c>
      <c r="L3646" s="24">
        <v>0</v>
      </c>
      <c r="M3646" s="10">
        <v>213.97</v>
      </c>
    </row>
    <row r="3647" spans="1:13" x14ac:dyDescent="0.25">
      <c r="A3647" s="12" t="str">
        <f t="shared" si="114"/>
        <v>IVA1232026SECRETARIA DE ADMINISTRAÇÃO DO GOVERNO DO ESTADO DE PERNAMBUCOIPV46054</v>
      </c>
      <c r="B3647" s="12" t="str">
        <f t="shared" si="113"/>
        <v>Abril</v>
      </c>
      <c r="C3647" s="8" t="s">
        <v>1192</v>
      </c>
      <c r="D3647" s="8" t="s">
        <v>1723</v>
      </c>
      <c r="E3647" s="8" t="s">
        <v>1744</v>
      </c>
      <c r="F3647" s="23">
        <v>46054</v>
      </c>
      <c r="G3647" s="8" t="s">
        <v>1144</v>
      </c>
      <c r="H3647" s="23">
        <v>46127</v>
      </c>
      <c r="I3647" s="23">
        <v>46054</v>
      </c>
      <c r="J3647" s="10">
        <v>213.97</v>
      </c>
      <c r="K3647" s="10">
        <v>0</v>
      </c>
      <c r="L3647" s="24">
        <v>0</v>
      </c>
      <c r="M3647" s="10">
        <v>213.97</v>
      </c>
    </row>
    <row r="3648" spans="1:13" x14ac:dyDescent="0.25">
      <c r="A3648" s="12" t="str">
        <f t="shared" si="114"/>
        <v>IVA1232026SECRETARIA DE ADMINISTRAÇÃO DO GOVERNO DO ESTADO DE PERNAMBUCOIPV46054</v>
      </c>
      <c r="B3648" s="12" t="str">
        <f t="shared" si="113"/>
        <v>Maio</v>
      </c>
      <c r="C3648" s="8" t="s">
        <v>1192</v>
      </c>
      <c r="D3648" s="8" t="s">
        <v>1723</v>
      </c>
      <c r="E3648" s="8" t="s">
        <v>1744</v>
      </c>
      <c r="F3648" s="23">
        <v>46054</v>
      </c>
      <c r="G3648" s="8" t="s">
        <v>1144</v>
      </c>
      <c r="H3648" s="23">
        <v>46157</v>
      </c>
      <c r="I3648" s="23">
        <v>46054</v>
      </c>
      <c r="J3648" s="10">
        <v>213.97</v>
      </c>
      <c r="K3648" s="10">
        <v>0</v>
      </c>
      <c r="L3648" s="24">
        <v>0</v>
      </c>
      <c r="M3648" s="10">
        <v>213.97</v>
      </c>
    </row>
    <row r="3649" spans="1:13" x14ac:dyDescent="0.25">
      <c r="A3649" s="12" t="str">
        <f t="shared" si="114"/>
        <v>IVA1232026SECRETARIA DE ADMINISTRAÇÃO DO GOVERNO DO ESTADO DE PERNAMBUCOIPV46054</v>
      </c>
      <c r="B3649" s="12" t="str">
        <f t="shared" si="113"/>
        <v>Junho</v>
      </c>
      <c r="C3649" s="8" t="s">
        <v>1192</v>
      </c>
      <c r="D3649" s="8" t="s">
        <v>1723</v>
      </c>
      <c r="E3649" s="8" t="s">
        <v>1744</v>
      </c>
      <c r="F3649" s="23">
        <v>46054</v>
      </c>
      <c r="G3649" s="8" t="s">
        <v>1144</v>
      </c>
      <c r="H3649" s="23">
        <v>46188</v>
      </c>
      <c r="I3649" s="23">
        <v>46054</v>
      </c>
      <c r="J3649" s="10">
        <v>213.97</v>
      </c>
      <c r="K3649" s="10">
        <v>0</v>
      </c>
      <c r="L3649" s="24">
        <v>0</v>
      </c>
      <c r="M3649" s="10">
        <v>213.97</v>
      </c>
    </row>
    <row r="3650" spans="1:13" x14ac:dyDescent="0.25">
      <c r="A3650" s="12" t="str">
        <f t="shared" si="114"/>
        <v>IVA1232026SECRETARIA DE ADMINISTRAÇÃO DO GOVERNO DO ESTADO DE PERNAMBUCOIPV46054</v>
      </c>
      <c r="B3650" s="12" t="str">
        <f t="shared" si="113"/>
        <v>Julho</v>
      </c>
      <c r="C3650" s="8" t="s">
        <v>1192</v>
      </c>
      <c r="D3650" s="8" t="s">
        <v>1723</v>
      </c>
      <c r="E3650" s="8" t="s">
        <v>1744</v>
      </c>
      <c r="F3650" s="23">
        <v>46054</v>
      </c>
      <c r="G3650" s="8" t="s">
        <v>1144</v>
      </c>
      <c r="H3650" s="23">
        <v>46218</v>
      </c>
      <c r="I3650" s="23">
        <v>46054</v>
      </c>
      <c r="J3650" s="10">
        <v>213.97</v>
      </c>
      <c r="K3650" s="10">
        <v>0</v>
      </c>
      <c r="L3650" s="24">
        <v>0</v>
      </c>
      <c r="M3650" s="10">
        <v>213.97</v>
      </c>
    </row>
    <row r="3651" spans="1:13" x14ac:dyDescent="0.25">
      <c r="A3651" s="12" t="str">
        <f t="shared" si="114"/>
        <v>IVA1232026SECRETARIA DE ADMINISTRAÇÃO DO GOVERNO DO ESTADO DE PERNAMBUCOIPV46054</v>
      </c>
      <c r="B3651" s="12" t="str">
        <f t="shared" ref="B3651:B3714" si="115">PROPER(TEXT($H3651,"MMMM"))</f>
        <v>Agosto</v>
      </c>
      <c r="C3651" s="8" t="s">
        <v>1192</v>
      </c>
      <c r="D3651" s="8" t="s">
        <v>1723</v>
      </c>
      <c r="E3651" s="8" t="s">
        <v>1744</v>
      </c>
      <c r="F3651" s="23">
        <v>46054</v>
      </c>
      <c r="G3651" s="8" t="s">
        <v>1144</v>
      </c>
      <c r="H3651" s="23">
        <v>46251</v>
      </c>
      <c r="I3651" s="23">
        <v>46054</v>
      </c>
      <c r="J3651" s="10">
        <v>213.97</v>
      </c>
      <c r="K3651" s="10">
        <v>0</v>
      </c>
      <c r="L3651" s="24">
        <v>0</v>
      </c>
      <c r="M3651" s="10">
        <v>213.97</v>
      </c>
    </row>
    <row r="3652" spans="1:13" x14ac:dyDescent="0.25">
      <c r="A3652" s="12" t="str">
        <f t="shared" si="114"/>
        <v>IVA1232026SECRETARIA DE ADMINISTRAÇÃO DO GOVERNO DO ESTADO DE PERNAMBUCOIPV46054</v>
      </c>
      <c r="B3652" s="12" t="str">
        <f t="shared" si="115"/>
        <v>Setembro</v>
      </c>
      <c r="C3652" s="8" t="s">
        <v>1192</v>
      </c>
      <c r="D3652" s="8" t="s">
        <v>1723</v>
      </c>
      <c r="E3652" s="8" t="s">
        <v>1744</v>
      </c>
      <c r="F3652" s="23">
        <v>46054</v>
      </c>
      <c r="G3652" s="8" t="s">
        <v>1144</v>
      </c>
      <c r="H3652" s="23">
        <v>46280</v>
      </c>
      <c r="I3652" s="23">
        <v>46054</v>
      </c>
      <c r="J3652" s="10">
        <v>213.97</v>
      </c>
      <c r="K3652" s="10">
        <v>0</v>
      </c>
      <c r="L3652" s="24">
        <v>0</v>
      </c>
      <c r="M3652" s="10">
        <v>213.97</v>
      </c>
    </row>
    <row r="3653" spans="1:13" x14ac:dyDescent="0.25">
      <c r="A3653" s="12" t="str">
        <f t="shared" si="114"/>
        <v>IVA1242026SECRETARIA DE ADMINISTRAÇÃO DO GOVERNO DO ESTADO DE PERNAMBUCOIPV46054</v>
      </c>
      <c r="B3653" s="12" t="str">
        <f t="shared" si="115"/>
        <v>Fevereiro</v>
      </c>
      <c r="C3653" s="8" t="s">
        <v>1193</v>
      </c>
      <c r="D3653" s="8" t="s">
        <v>1723</v>
      </c>
      <c r="E3653" s="8" t="s">
        <v>1744</v>
      </c>
      <c r="F3653" s="23">
        <v>46054</v>
      </c>
      <c r="G3653" s="8" t="s">
        <v>1144</v>
      </c>
      <c r="H3653" s="23">
        <v>46072</v>
      </c>
      <c r="I3653" s="23">
        <v>46054</v>
      </c>
      <c r="J3653" s="10">
        <v>213.97</v>
      </c>
      <c r="K3653" s="10">
        <v>0</v>
      </c>
      <c r="L3653" s="24">
        <v>0</v>
      </c>
      <c r="M3653" s="10">
        <v>213.97</v>
      </c>
    </row>
    <row r="3654" spans="1:13" x14ac:dyDescent="0.25">
      <c r="A3654" s="12" t="str">
        <f t="shared" si="114"/>
        <v>IVA1242026SECRETARIA DE ADMINISTRAÇÃO DO GOVERNO DO ESTADO DE PERNAMBUCOIPV46054</v>
      </c>
      <c r="B3654" s="12" t="str">
        <f t="shared" si="115"/>
        <v>Março</v>
      </c>
      <c r="C3654" s="8" t="s">
        <v>1193</v>
      </c>
      <c r="D3654" s="8" t="s">
        <v>1723</v>
      </c>
      <c r="E3654" s="8" t="s">
        <v>1744</v>
      </c>
      <c r="F3654" s="23">
        <v>46054</v>
      </c>
      <c r="G3654" s="8" t="s">
        <v>1144</v>
      </c>
      <c r="H3654" s="23">
        <v>46097</v>
      </c>
      <c r="I3654" s="23">
        <v>46054</v>
      </c>
      <c r="J3654" s="10">
        <v>213.97</v>
      </c>
      <c r="K3654" s="10">
        <v>0</v>
      </c>
      <c r="L3654" s="24">
        <v>0</v>
      </c>
      <c r="M3654" s="10">
        <v>213.97</v>
      </c>
    </row>
    <row r="3655" spans="1:13" x14ac:dyDescent="0.25">
      <c r="A3655" s="12" t="str">
        <f t="shared" si="114"/>
        <v>IVA1242026SECRETARIA DE ADMINISTRAÇÃO DO GOVERNO DO ESTADO DE PERNAMBUCOIPV46054</v>
      </c>
      <c r="B3655" s="12" t="str">
        <f t="shared" si="115"/>
        <v>Abril</v>
      </c>
      <c r="C3655" s="8" t="s">
        <v>1193</v>
      </c>
      <c r="D3655" s="8" t="s">
        <v>1723</v>
      </c>
      <c r="E3655" s="8" t="s">
        <v>1744</v>
      </c>
      <c r="F3655" s="23">
        <v>46054</v>
      </c>
      <c r="G3655" s="8" t="s">
        <v>1144</v>
      </c>
      <c r="H3655" s="23">
        <v>46127</v>
      </c>
      <c r="I3655" s="23">
        <v>46054</v>
      </c>
      <c r="J3655" s="10">
        <v>213.97</v>
      </c>
      <c r="K3655" s="10">
        <v>0</v>
      </c>
      <c r="L3655" s="24">
        <v>0</v>
      </c>
      <c r="M3655" s="10">
        <v>213.97</v>
      </c>
    </row>
    <row r="3656" spans="1:13" x14ac:dyDescent="0.25">
      <c r="A3656" s="12" t="str">
        <f t="shared" si="114"/>
        <v>IVA1242026SECRETARIA DE ADMINISTRAÇÃO DO GOVERNO DO ESTADO DE PERNAMBUCOIPV46054</v>
      </c>
      <c r="B3656" s="12" t="str">
        <f t="shared" si="115"/>
        <v>Maio</v>
      </c>
      <c r="C3656" s="8" t="s">
        <v>1193</v>
      </c>
      <c r="D3656" s="8" t="s">
        <v>1723</v>
      </c>
      <c r="E3656" s="8" t="s">
        <v>1744</v>
      </c>
      <c r="F3656" s="23">
        <v>46054</v>
      </c>
      <c r="G3656" s="8" t="s">
        <v>1144</v>
      </c>
      <c r="H3656" s="23">
        <v>46157</v>
      </c>
      <c r="I3656" s="23">
        <v>46054</v>
      </c>
      <c r="J3656" s="10">
        <v>213.97</v>
      </c>
      <c r="K3656" s="10">
        <v>0</v>
      </c>
      <c r="L3656" s="24">
        <v>0</v>
      </c>
      <c r="M3656" s="10">
        <v>213.97</v>
      </c>
    </row>
    <row r="3657" spans="1:13" x14ac:dyDescent="0.25">
      <c r="A3657" s="12" t="str">
        <f t="shared" si="114"/>
        <v>IVA1242026SECRETARIA DE ADMINISTRAÇÃO DO GOVERNO DO ESTADO DE PERNAMBUCOIPV46054</v>
      </c>
      <c r="B3657" s="12" t="str">
        <f t="shared" si="115"/>
        <v>Junho</v>
      </c>
      <c r="C3657" s="8" t="s">
        <v>1193</v>
      </c>
      <c r="D3657" s="8" t="s">
        <v>1723</v>
      </c>
      <c r="E3657" s="8" t="s">
        <v>1744</v>
      </c>
      <c r="F3657" s="23">
        <v>46054</v>
      </c>
      <c r="G3657" s="8" t="s">
        <v>1144</v>
      </c>
      <c r="H3657" s="23">
        <v>46188</v>
      </c>
      <c r="I3657" s="23">
        <v>46054</v>
      </c>
      <c r="J3657" s="10">
        <v>213.97</v>
      </c>
      <c r="K3657" s="10">
        <v>0</v>
      </c>
      <c r="L3657" s="24">
        <v>0</v>
      </c>
      <c r="M3657" s="10">
        <v>213.97</v>
      </c>
    </row>
    <row r="3658" spans="1:13" x14ac:dyDescent="0.25">
      <c r="A3658" s="12" t="str">
        <f t="shared" si="114"/>
        <v>IVA1242026SECRETARIA DE ADMINISTRAÇÃO DO GOVERNO DO ESTADO DE PERNAMBUCOIPV46054</v>
      </c>
      <c r="B3658" s="12" t="str">
        <f t="shared" si="115"/>
        <v>Julho</v>
      </c>
      <c r="C3658" s="8" t="s">
        <v>1193</v>
      </c>
      <c r="D3658" s="8" t="s">
        <v>1723</v>
      </c>
      <c r="E3658" s="8" t="s">
        <v>1744</v>
      </c>
      <c r="F3658" s="23">
        <v>46054</v>
      </c>
      <c r="G3658" s="8" t="s">
        <v>1144</v>
      </c>
      <c r="H3658" s="23">
        <v>46218</v>
      </c>
      <c r="I3658" s="23">
        <v>46054</v>
      </c>
      <c r="J3658" s="10">
        <v>213.97</v>
      </c>
      <c r="K3658" s="10">
        <v>0</v>
      </c>
      <c r="L3658" s="24">
        <v>0</v>
      </c>
      <c r="M3658" s="10">
        <v>213.97</v>
      </c>
    </row>
    <row r="3659" spans="1:13" x14ac:dyDescent="0.25">
      <c r="A3659" s="12" t="str">
        <f t="shared" si="114"/>
        <v>IVA1242026SECRETARIA DE ADMINISTRAÇÃO DO GOVERNO DO ESTADO DE PERNAMBUCOIPV46054</v>
      </c>
      <c r="B3659" s="12" t="str">
        <f t="shared" si="115"/>
        <v>Agosto</v>
      </c>
      <c r="C3659" s="8" t="s">
        <v>1193</v>
      </c>
      <c r="D3659" s="8" t="s">
        <v>1723</v>
      </c>
      <c r="E3659" s="8" t="s">
        <v>1744</v>
      </c>
      <c r="F3659" s="23">
        <v>46054</v>
      </c>
      <c r="G3659" s="8" t="s">
        <v>1144</v>
      </c>
      <c r="H3659" s="23">
        <v>46251</v>
      </c>
      <c r="I3659" s="23">
        <v>46054</v>
      </c>
      <c r="J3659" s="10">
        <v>213.97</v>
      </c>
      <c r="K3659" s="10">
        <v>0</v>
      </c>
      <c r="L3659" s="24">
        <v>0</v>
      </c>
      <c r="M3659" s="10">
        <v>213.97</v>
      </c>
    </row>
    <row r="3660" spans="1:13" x14ac:dyDescent="0.25">
      <c r="A3660" s="12" t="str">
        <f t="shared" si="114"/>
        <v>IVA1242026SECRETARIA DE ADMINISTRAÇÃO DO GOVERNO DO ESTADO DE PERNAMBUCOIPV46054</v>
      </c>
      <c r="B3660" s="12" t="str">
        <f t="shared" si="115"/>
        <v>Setembro</v>
      </c>
      <c r="C3660" s="8" t="s">
        <v>1193</v>
      </c>
      <c r="D3660" s="8" t="s">
        <v>1723</v>
      </c>
      <c r="E3660" s="8" t="s">
        <v>1744</v>
      </c>
      <c r="F3660" s="23">
        <v>46054</v>
      </c>
      <c r="G3660" s="8" t="s">
        <v>1144</v>
      </c>
      <c r="H3660" s="23">
        <v>46280</v>
      </c>
      <c r="I3660" s="23">
        <v>46054</v>
      </c>
      <c r="J3660" s="10">
        <v>213.97</v>
      </c>
      <c r="K3660" s="10">
        <v>0</v>
      </c>
      <c r="L3660" s="24">
        <v>0</v>
      </c>
      <c r="M3660" s="10">
        <v>213.97</v>
      </c>
    </row>
    <row r="3661" spans="1:13" x14ac:dyDescent="0.25">
      <c r="A3661" s="12" t="str">
        <f t="shared" si="114"/>
        <v>IVA1252026SECRETARIA DE ADMINISTRAÇÃO DO GOVERNO DO ESTADO DE PERNAMBUCOIPV46054</v>
      </c>
      <c r="B3661" s="12" t="str">
        <f t="shared" si="115"/>
        <v>Fevereiro</v>
      </c>
      <c r="C3661" s="8" t="s">
        <v>1194</v>
      </c>
      <c r="D3661" s="8" t="s">
        <v>1723</v>
      </c>
      <c r="E3661" s="8" t="s">
        <v>1744</v>
      </c>
      <c r="F3661" s="23">
        <v>46054</v>
      </c>
      <c r="G3661" s="8" t="s">
        <v>1144</v>
      </c>
      <c r="H3661" s="23">
        <v>46072</v>
      </c>
      <c r="I3661" s="23">
        <v>46054</v>
      </c>
      <c r="J3661" s="10">
        <v>213.97</v>
      </c>
      <c r="K3661" s="10">
        <v>0</v>
      </c>
      <c r="L3661" s="24">
        <v>0</v>
      </c>
      <c r="M3661" s="10">
        <v>213.97</v>
      </c>
    </row>
    <row r="3662" spans="1:13" x14ac:dyDescent="0.25">
      <c r="A3662" s="12" t="str">
        <f t="shared" si="114"/>
        <v>IVA1252026SECRETARIA DE ADMINISTRAÇÃO DO GOVERNO DO ESTADO DE PERNAMBUCOIPV46054</v>
      </c>
      <c r="B3662" s="12" t="str">
        <f t="shared" si="115"/>
        <v>Março</v>
      </c>
      <c r="C3662" s="8" t="s">
        <v>1194</v>
      </c>
      <c r="D3662" s="8" t="s">
        <v>1723</v>
      </c>
      <c r="E3662" s="8" t="s">
        <v>1744</v>
      </c>
      <c r="F3662" s="23">
        <v>46054</v>
      </c>
      <c r="G3662" s="8" t="s">
        <v>1144</v>
      </c>
      <c r="H3662" s="23">
        <v>46097</v>
      </c>
      <c r="I3662" s="23">
        <v>46054</v>
      </c>
      <c r="J3662" s="10">
        <v>213.97</v>
      </c>
      <c r="K3662" s="10">
        <v>0</v>
      </c>
      <c r="L3662" s="24">
        <v>0</v>
      </c>
      <c r="M3662" s="10">
        <v>213.97</v>
      </c>
    </row>
    <row r="3663" spans="1:13" x14ac:dyDescent="0.25">
      <c r="A3663" s="12" t="str">
        <f t="shared" si="114"/>
        <v>IVA1252026SECRETARIA DE ADMINISTRAÇÃO DO GOVERNO DO ESTADO DE PERNAMBUCOIPV46054</v>
      </c>
      <c r="B3663" s="12" t="str">
        <f t="shared" si="115"/>
        <v>Abril</v>
      </c>
      <c r="C3663" s="8" t="s">
        <v>1194</v>
      </c>
      <c r="D3663" s="8" t="s">
        <v>1723</v>
      </c>
      <c r="E3663" s="8" t="s">
        <v>1744</v>
      </c>
      <c r="F3663" s="23">
        <v>46054</v>
      </c>
      <c r="G3663" s="8" t="s">
        <v>1144</v>
      </c>
      <c r="H3663" s="23">
        <v>46127</v>
      </c>
      <c r="I3663" s="23">
        <v>46054</v>
      </c>
      <c r="J3663" s="10">
        <v>213.97</v>
      </c>
      <c r="K3663" s="10">
        <v>0</v>
      </c>
      <c r="L3663" s="24">
        <v>0</v>
      </c>
      <c r="M3663" s="10">
        <v>213.97</v>
      </c>
    </row>
    <row r="3664" spans="1:13" x14ac:dyDescent="0.25">
      <c r="A3664" s="12" t="str">
        <f t="shared" si="114"/>
        <v>IVA1252026SECRETARIA DE ADMINISTRAÇÃO DO GOVERNO DO ESTADO DE PERNAMBUCOIPV46054</v>
      </c>
      <c r="B3664" s="12" t="str">
        <f t="shared" si="115"/>
        <v>Maio</v>
      </c>
      <c r="C3664" s="8" t="s">
        <v>1194</v>
      </c>
      <c r="D3664" s="8" t="s">
        <v>1723</v>
      </c>
      <c r="E3664" s="8" t="s">
        <v>1744</v>
      </c>
      <c r="F3664" s="23">
        <v>46054</v>
      </c>
      <c r="G3664" s="8" t="s">
        <v>1144</v>
      </c>
      <c r="H3664" s="23">
        <v>46157</v>
      </c>
      <c r="I3664" s="23">
        <v>46054</v>
      </c>
      <c r="J3664" s="10">
        <v>213.97</v>
      </c>
      <c r="K3664" s="10">
        <v>0</v>
      </c>
      <c r="L3664" s="24">
        <v>0</v>
      </c>
      <c r="M3664" s="10">
        <v>213.97</v>
      </c>
    </row>
    <row r="3665" spans="1:13" x14ac:dyDescent="0.25">
      <c r="A3665" s="12" t="str">
        <f t="shared" si="114"/>
        <v>IVA1252026SECRETARIA DE ADMINISTRAÇÃO DO GOVERNO DO ESTADO DE PERNAMBUCOIPV46054</v>
      </c>
      <c r="B3665" s="12" t="str">
        <f t="shared" si="115"/>
        <v>Junho</v>
      </c>
      <c r="C3665" s="8" t="s">
        <v>1194</v>
      </c>
      <c r="D3665" s="8" t="s">
        <v>1723</v>
      </c>
      <c r="E3665" s="8" t="s">
        <v>1744</v>
      </c>
      <c r="F3665" s="23">
        <v>46054</v>
      </c>
      <c r="G3665" s="8" t="s">
        <v>1144</v>
      </c>
      <c r="H3665" s="23">
        <v>46188</v>
      </c>
      <c r="I3665" s="23">
        <v>46054</v>
      </c>
      <c r="J3665" s="10">
        <v>213.97</v>
      </c>
      <c r="K3665" s="10">
        <v>0</v>
      </c>
      <c r="L3665" s="24">
        <v>0</v>
      </c>
      <c r="M3665" s="10">
        <v>213.97</v>
      </c>
    </row>
    <row r="3666" spans="1:13" x14ac:dyDescent="0.25">
      <c r="A3666" s="12" t="str">
        <f t="shared" si="114"/>
        <v>IVA1252026SECRETARIA DE ADMINISTRAÇÃO DO GOVERNO DO ESTADO DE PERNAMBUCOIPV46054</v>
      </c>
      <c r="B3666" s="12" t="str">
        <f t="shared" si="115"/>
        <v>Julho</v>
      </c>
      <c r="C3666" s="8" t="s">
        <v>1194</v>
      </c>
      <c r="D3666" s="8" t="s">
        <v>1723</v>
      </c>
      <c r="E3666" s="8" t="s">
        <v>1744</v>
      </c>
      <c r="F3666" s="23">
        <v>46054</v>
      </c>
      <c r="G3666" s="8" t="s">
        <v>1144</v>
      </c>
      <c r="H3666" s="23">
        <v>46218</v>
      </c>
      <c r="I3666" s="23">
        <v>46054</v>
      </c>
      <c r="J3666" s="10">
        <v>213.97</v>
      </c>
      <c r="K3666" s="10">
        <v>0</v>
      </c>
      <c r="L3666" s="24">
        <v>0</v>
      </c>
      <c r="M3666" s="10">
        <v>213.97</v>
      </c>
    </row>
    <row r="3667" spans="1:13" x14ac:dyDescent="0.25">
      <c r="A3667" s="12" t="str">
        <f t="shared" si="114"/>
        <v>IVA1252026SECRETARIA DE ADMINISTRAÇÃO DO GOVERNO DO ESTADO DE PERNAMBUCOIPV46054</v>
      </c>
      <c r="B3667" s="12" t="str">
        <f t="shared" si="115"/>
        <v>Agosto</v>
      </c>
      <c r="C3667" s="8" t="s">
        <v>1194</v>
      </c>
      <c r="D3667" s="8" t="s">
        <v>1723</v>
      </c>
      <c r="E3667" s="8" t="s">
        <v>1744</v>
      </c>
      <c r="F3667" s="23">
        <v>46054</v>
      </c>
      <c r="G3667" s="8" t="s">
        <v>1144</v>
      </c>
      <c r="H3667" s="23">
        <v>46251</v>
      </c>
      <c r="I3667" s="23">
        <v>46054</v>
      </c>
      <c r="J3667" s="10">
        <v>213.97</v>
      </c>
      <c r="K3667" s="10">
        <v>0</v>
      </c>
      <c r="L3667" s="24">
        <v>0</v>
      </c>
      <c r="M3667" s="10">
        <v>213.97</v>
      </c>
    </row>
    <row r="3668" spans="1:13" x14ac:dyDescent="0.25">
      <c r="A3668" s="12" t="str">
        <f t="shared" si="114"/>
        <v>IVA1252026SECRETARIA DE ADMINISTRAÇÃO DO GOVERNO DO ESTADO DE PERNAMBUCOIPV46054</v>
      </c>
      <c r="B3668" s="12" t="str">
        <f t="shared" si="115"/>
        <v>Setembro</v>
      </c>
      <c r="C3668" s="8" t="s">
        <v>1194</v>
      </c>
      <c r="D3668" s="8" t="s">
        <v>1723</v>
      </c>
      <c r="E3668" s="8" t="s">
        <v>1744</v>
      </c>
      <c r="F3668" s="23">
        <v>46054</v>
      </c>
      <c r="G3668" s="8" t="s">
        <v>1144</v>
      </c>
      <c r="H3668" s="23">
        <v>46280</v>
      </c>
      <c r="I3668" s="23">
        <v>46054</v>
      </c>
      <c r="J3668" s="10">
        <v>213.97</v>
      </c>
      <c r="K3668" s="10">
        <v>0</v>
      </c>
      <c r="L3668" s="24">
        <v>0</v>
      </c>
      <c r="M3668" s="10">
        <v>213.97</v>
      </c>
    </row>
    <row r="3669" spans="1:13" x14ac:dyDescent="0.25">
      <c r="A3669" s="12" t="str">
        <f t="shared" si="114"/>
        <v>IVA1262026SECRETARIA DE ADMINISTRAÇÃO DO GOVERNO DO ESTADO DE PERNAMBUCOIPV46054</v>
      </c>
      <c r="B3669" s="12" t="str">
        <f t="shared" si="115"/>
        <v>Fevereiro</v>
      </c>
      <c r="C3669" s="8" t="s">
        <v>1143</v>
      </c>
      <c r="D3669" s="8" t="s">
        <v>1723</v>
      </c>
      <c r="E3669" s="8" t="s">
        <v>1744</v>
      </c>
      <c r="F3669" s="23">
        <v>46054</v>
      </c>
      <c r="G3669" s="8" t="s">
        <v>1144</v>
      </c>
      <c r="H3669" s="23">
        <v>46063</v>
      </c>
      <c r="I3669" s="23">
        <v>46054</v>
      </c>
      <c r="J3669" s="10">
        <v>213.97</v>
      </c>
      <c r="K3669" s="10">
        <v>0</v>
      </c>
      <c r="L3669" s="24">
        <v>0</v>
      </c>
      <c r="M3669" s="10">
        <v>213.97</v>
      </c>
    </row>
    <row r="3670" spans="1:13" x14ac:dyDescent="0.25">
      <c r="A3670" s="12" t="str">
        <f t="shared" si="114"/>
        <v>IVA1262026SECRETARIA DE ADMINISTRAÇÃO DO GOVERNO DO ESTADO DE PERNAMBUCOIPV46054</v>
      </c>
      <c r="B3670" s="12" t="str">
        <f t="shared" si="115"/>
        <v>Março</v>
      </c>
      <c r="C3670" s="8" t="s">
        <v>1143</v>
      </c>
      <c r="D3670" s="8" t="s">
        <v>1723</v>
      </c>
      <c r="E3670" s="8" t="s">
        <v>1744</v>
      </c>
      <c r="F3670" s="23">
        <v>46054</v>
      </c>
      <c r="G3670" s="8" t="s">
        <v>1144</v>
      </c>
      <c r="H3670" s="23">
        <v>46091</v>
      </c>
      <c r="I3670" s="23">
        <v>46054</v>
      </c>
      <c r="J3670" s="10">
        <v>213.97</v>
      </c>
      <c r="K3670" s="10">
        <v>0</v>
      </c>
      <c r="L3670" s="24">
        <v>0</v>
      </c>
      <c r="M3670" s="10">
        <v>213.97</v>
      </c>
    </row>
    <row r="3671" spans="1:13" x14ac:dyDescent="0.25">
      <c r="A3671" s="12" t="str">
        <f t="shared" si="114"/>
        <v>IVA1262026SECRETARIA DE ADMINISTRAÇÃO DO GOVERNO DO ESTADO DE PERNAMBUCOIPV46054</v>
      </c>
      <c r="B3671" s="12" t="str">
        <f t="shared" si="115"/>
        <v>Abril</v>
      </c>
      <c r="C3671" s="8" t="s">
        <v>1143</v>
      </c>
      <c r="D3671" s="8" t="s">
        <v>1723</v>
      </c>
      <c r="E3671" s="8" t="s">
        <v>1744</v>
      </c>
      <c r="F3671" s="23">
        <v>46054</v>
      </c>
      <c r="G3671" s="8" t="s">
        <v>1144</v>
      </c>
      <c r="H3671" s="23">
        <v>46122</v>
      </c>
      <c r="I3671" s="23">
        <v>46054</v>
      </c>
      <c r="J3671" s="10">
        <v>213.97</v>
      </c>
      <c r="K3671" s="10">
        <v>0</v>
      </c>
      <c r="L3671" s="24">
        <v>0</v>
      </c>
      <c r="M3671" s="10">
        <v>213.97</v>
      </c>
    </row>
    <row r="3672" spans="1:13" x14ac:dyDescent="0.25">
      <c r="A3672" s="12" t="str">
        <f t="shared" si="114"/>
        <v>IVA1262026SECRETARIA DE ADMINISTRAÇÃO DO GOVERNO DO ESTADO DE PERNAMBUCOIPV46054</v>
      </c>
      <c r="B3672" s="12" t="str">
        <f t="shared" si="115"/>
        <v>Maio</v>
      </c>
      <c r="C3672" s="8" t="s">
        <v>1143</v>
      </c>
      <c r="D3672" s="8" t="s">
        <v>1723</v>
      </c>
      <c r="E3672" s="8" t="s">
        <v>1744</v>
      </c>
      <c r="F3672" s="23">
        <v>46054</v>
      </c>
      <c r="G3672" s="8" t="s">
        <v>1144</v>
      </c>
      <c r="H3672" s="23">
        <v>46153</v>
      </c>
      <c r="I3672" s="23">
        <v>46054</v>
      </c>
      <c r="J3672" s="10">
        <v>213.97</v>
      </c>
      <c r="K3672" s="10">
        <v>0</v>
      </c>
      <c r="L3672" s="24">
        <v>0</v>
      </c>
      <c r="M3672" s="10">
        <v>213.97</v>
      </c>
    </row>
    <row r="3673" spans="1:13" x14ac:dyDescent="0.25">
      <c r="A3673" s="12" t="str">
        <f t="shared" si="114"/>
        <v>IVA1262026SECRETARIA DE ADMINISTRAÇÃO DO GOVERNO DO ESTADO DE PERNAMBUCOIPV46054</v>
      </c>
      <c r="B3673" s="12" t="str">
        <f t="shared" si="115"/>
        <v>Junho</v>
      </c>
      <c r="C3673" s="8" t="s">
        <v>1143</v>
      </c>
      <c r="D3673" s="8" t="s">
        <v>1723</v>
      </c>
      <c r="E3673" s="8" t="s">
        <v>1744</v>
      </c>
      <c r="F3673" s="23">
        <v>46054</v>
      </c>
      <c r="G3673" s="8" t="s">
        <v>1144</v>
      </c>
      <c r="H3673" s="23">
        <v>46183</v>
      </c>
      <c r="I3673" s="23">
        <v>46054</v>
      </c>
      <c r="J3673" s="10">
        <v>213.97</v>
      </c>
      <c r="K3673" s="10">
        <v>0</v>
      </c>
      <c r="L3673" s="24">
        <v>0</v>
      </c>
      <c r="M3673" s="10">
        <v>213.97</v>
      </c>
    </row>
    <row r="3674" spans="1:13" x14ac:dyDescent="0.25">
      <c r="A3674" s="12" t="str">
        <f t="shared" si="114"/>
        <v>IVA1262026SECRETARIA DE ADMINISTRAÇÃO DO GOVERNO DO ESTADO DE PERNAMBUCOIPV46054</v>
      </c>
      <c r="B3674" s="12" t="str">
        <f t="shared" si="115"/>
        <v>Julho</v>
      </c>
      <c r="C3674" s="8" t="s">
        <v>1143</v>
      </c>
      <c r="D3674" s="8" t="s">
        <v>1723</v>
      </c>
      <c r="E3674" s="8" t="s">
        <v>1744</v>
      </c>
      <c r="F3674" s="23">
        <v>46054</v>
      </c>
      <c r="G3674" s="8" t="s">
        <v>1144</v>
      </c>
      <c r="H3674" s="23">
        <v>46213</v>
      </c>
      <c r="I3674" s="23">
        <v>46054</v>
      </c>
      <c r="J3674" s="10">
        <v>213.97</v>
      </c>
      <c r="K3674" s="10">
        <v>0</v>
      </c>
      <c r="L3674" s="24">
        <v>0</v>
      </c>
      <c r="M3674" s="10">
        <v>213.97</v>
      </c>
    </row>
    <row r="3675" spans="1:13" x14ac:dyDescent="0.25">
      <c r="A3675" s="12" t="str">
        <f t="shared" ref="A3675:A3738" si="116">$C3675&amp;$E3675&amp;$G3675&amp;$F3675</f>
        <v>IVA1262026SECRETARIA DE ADMINISTRAÇÃO DO GOVERNO DO ESTADO DE PERNAMBUCOIPV46054</v>
      </c>
      <c r="B3675" s="12" t="str">
        <f t="shared" si="115"/>
        <v>Agosto</v>
      </c>
      <c r="C3675" s="8" t="s">
        <v>1143</v>
      </c>
      <c r="D3675" s="8" t="s">
        <v>1723</v>
      </c>
      <c r="E3675" s="8" t="s">
        <v>1744</v>
      </c>
      <c r="F3675" s="23">
        <v>46054</v>
      </c>
      <c r="G3675" s="8" t="s">
        <v>1144</v>
      </c>
      <c r="H3675" s="23">
        <v>46244</v>
      </c>
      <c r="I3675" s="23">
        <v>46054</v>
      </c>
      <c r="J3675" s="10">
        <v>213.97</v>
      </c>
      <c r="K3675" s="10">
        <v>0</v>
      </c>
      <c r="L3675" s="24">
        <v>0</v>
      </c>
      <c r="M3675" s="10">
        <v>213.97</v>
      </c>
    </row>
    <row r="3676" spans="1:13" x14ac:dyDescent="0.25">
      <c r="A3676" s="12" t="str">
        <f t="shared" si="116"/>
        <v>IVA1262026SECRETARIA DE ADMINISTRAÇÃO DO GOVERNO DO ESTADO DE PERNAMBUCOIPV46054</v>
      </c>
      <c r="B3676" s="12" t="str">
        <f t="shared" si="115"/>
        <v>Setembro</v>
      </c>
      <c r="C3676" s="8" t="s">
        <v>1143</v>
      </c>
      <c r="D3676" s="8" t="s">
        <v>1723</v>
      </c>
      <c r="E3676" s="8" t="s">
        <v>1744</v>
      </c>
      <c r="F3676" s="23">
        <v>46054</v>
      </c>
      <c r="G3676" s="8" t="s">
        <v>1144</v>
      </c>
      <c r="H3676" s="23">
        <v>46275</v>
      </c>
      <c r="I3676" s="23">
        <v>46054</v>
      </c>
      <c r="J3676" s="10">
        <v>213.97</v>
      </c>
      <c r="K3676" s="10">
        <v>0</v>
      </c>
      <c r="L3676" s="24">
        <v>0</v>
      </c>
      <c r="M3676" s="10">
        <v>213.97</v>
      </c>
    </row>
    <row r="3677" spans="1:13" x14ac:dyDescent="0.25">
      <c r="A3677" s="12" t="str">
        <f t="shared" si="116"/>
        <v>IVA1272026SECRETARIA DE ADMINISTRAÇÃO DO GOVERNO DO ESTADO DE PERNAMBUCOIPV46054</v>
      </c>
      <c r="B3677" s="12" t="str">
        <f t="shared" si="115"/>
        <v>Fevereiro</v>
      </c>
      <c r="C3677" s="8" t="s">
        <v>1145</v>
      </c>
      <c r="D3677" s="8" t="s">
        <v>1723</v>
      </c>
      <c r="E3677" s="8" t="s">
        <v>1744</v>
      </c>
      <c r="F3677" s="23">
        <v>46054</v>
      </c>
      <c r="G3677" s="8" t="s">
        <v>1144</v>
      </c>
      <c r="H3677" s="23">
        <v>46063</v>
      </c>
      <c r="I3677" s="23">
        <v>46054</v>
      </c>
      <c r="J3677" s="10">
        <v>213.97</v>
      </c>
      <c r="K3677" s="10">
        <v>0</v>
      </c>
      <c r="L3677" s="24">
        <v>0</v>
      </c>
      <c r="M3677" s="10">
        <v>213.97</v>
      </c>
    </row>
    <row r="3678" spans="1:13" x14ac:dyDescent="0.25">
      <c r="A3678" s="12" t="str">
        <f t="shared" si="116"/>
        <v>IVA1272026SECRETARIA DE ADMINISTRAÇÃO DO GOVERNO DO ESTADO DE PERNAMBUCOIPV46054</v>
      </c>
      <c r="B3678" s="12" t="str">
        <f t="shared" si="115"/>
        <v>Março</v>
      </c>
      <c r="C3678" s="8" t="s">
        <v>1145</v>
      </c>
      <c r="D3678" s="8" t="s">
        <v>1723</v>
      </c>
      <c r="E3678" s="8" t="s">
        <v>1744</v>
      </c>
      <c r="F3678" s="23">
        <v>46054</v>
      </c>
      <c r="G3678" s="8" t="s">
        <v>1144</v>
      </c>
      <c r="H3678" s="23">
        <v>46091</v>
      </c>
      <c r="I3678" s="23">
        <v>46054</v>
      </c>
      <c r="J3678" s="10">
        <v>213.97</v>
      </c>
      <c r="K3678" s="10">
        <v>0</v>
      </c>
      <c r="L3678" s="24">
        <v>0</v>
      </c>
      <c r="M3678" s="10">
        <v>213.97</v>
      </c>
    </row>
    <row r="3679" spans="1:13" x14ac:dyDescent="0.25">
      <c r="A3679" s="12" t="str">
        <f t="shared" si="116"/>
        <v>IVA1272026SECRETARIA DE ADMINISTRAÇÃO DO GOVERNO DO ESTADO DE PERNAMBUCOIPV46054</v>
      </c>
      <c r="B3679" s="12" t="str">
        <f t="shared" si="115"/>
        <v>Abril</v>
      </c>
      <c r="C3679" s="8" t="s">
        <v>1145</v>
      </c>
      <c r="D3679" s="8" t="s">
        <v>1723</v>
      </c>
      <c r="E3679" s="8" t="s">
        <v>1744</v>
      </c>
      <c r="F3679" s="23">
        <v>46054</v>
      </c>
      <c r="G3679" s="8" t="s">
        <v>1144</v>
      </c>
      <c r="H3679" s="23">
        <v>46122</v>
      </c>
      <c r="I3679" s="23">
        <v>46054</v>
      </c>
      <c r="J3679" s="10">
        <v>213.97</v>
      </c>
      <c r="K3679" s="10">
        <v>0</v>
      </c>
      <c r="L3679" s="24">
        <v>0</v>
      </c>
      <c r="M3679" s="10">
        <v>213.97</v>
      </c>
    </row>
    <row r="3680" spans="1:13" x14ac:dyDescent="0.25">
      <c r="A3680" s="12" t="str">
        <f t="shared" si="116"/>
        <v>IVA1272026SECRETARIA DE ADMINISTRAÇÃO DO GOVERNO DO ESTADO DE PERNAMBUCOIPV46054</v>
      </c>
      <c r="B3680" s="12" t="str">
        <f t="shared" si="115"/>
        <v>Maio</v>
      </c>
      <c r="C3680" s="8" t="s">
        <v>1145</v>
      </c>
      <c r="D3680" s="8" t="s">
        <v>1723</v>
      </c>
      <c r="E3680" s="8" t="s">
        <v>1744</v>
      </c>
      <c r="F3680" s="23">
        <v>46054</v>
      </c>
      <c r="G3680" s="8" t="s">
        <v>1144</v>
      </c>
      <c r="H3680" s="23">
        <v>46153</v>
      </c>
      <c r="I3680" s="23">
        <v>46054</v>
      </c>
      <c r="J3680" s="10">
        <v>213.97</v>
      </c>
      <c r="K3680" s="10">
        <v>0</v>
      </c>
      <c r="L3680" s="24">
        <v>0</v>
      </c>
      <c r="M3680" s="10">
        <v>213.97</v>
      </c>
    </row>
    <row r="3681" spans="1:13" x14ac:dyDescent="0.25">
      <c r="A3681" s="12" t="str">
        <f t="shared" si="116"/>
        <v>IVA1272026SECRETARIA DE ADMINISTRAÇÃO DO GOVERNO DO ESTADO DE PERNAMBUCOIPV46054</v>
      </c>
      <c r="B3681" s="12" t="str">
        <f t="shared" si="115"/>
        <v>Junho</v>
      </c>
      <c r="C3681" s="8" t="s">
        <v>1145</v>
      </c>
      <c r="D3681" s="8" t="s">
        <v>1723</v>
      </c>
      <c r="E3681" s="8" t="s">
        <v>1744</v>
      </c>
      <c r="F3681" s="23">
        <v>46054</v>
      </c>
      <c r="G3681" s="8" t="s">
        <v>1144</v>
      </c>
      <c r="H3681" s="23">
        <v>46183</v>
      </c>
      <c r="I3681" s="23">
        <v>46054</v>
      </c>
      <c r="J3681" s="10">
        <v>213.97</v>
      </c>
      <c r="K3681" s="10">
        <v>0</v>
      </c>
      <c r="L3681" s="24">
        <v>0</v>
      </c>
      <c r="M3681" s="10">
        <v>213.97</v>
      </c>
    </row>
    <row r="3682" spans="1:13" x14ac:dyDescent="0.25">
      <c r="A3682" s="12" t="str">
        <f t="shared" si="116"/>
        <v>IVA1272026SECRETARIA DE ADMINISTRAÇÃO DO GOVERNO DO ESTADO DE PERNAMBUCOIPV46054</v>
      </c>
      <c r="B3682" s="12" t="str">
        <f t="shared" si="115"/>
        <v>Julho</v>
      </c>
      <c r="C3682" s="8" t="s">
        <v>1145</v>
      </c>
      <c r="D3682" s="8" t="s">
        <v>1723</v>
      </c>
      <c r="E3682" s="8" t="s">
        <v>1744</v>
      </c>
      <c r="F3682" s="23">
        <v>46054</v>
      </c>
      <c r="G3682" s="8" t="s">
        <v>1144</v>
      </c>
      <c r="H3682" s="23">
        <v>46213</v>
      </c>
      <c r="I3682" s="23">
        <v>46054</v>
      </c>
      <c r="J3682" s="10">
        <v>213.97</v>
      </c>
      <c r="K3682" s="10">
        <v>0</v>
      </c>
      <c r="L3682" s="24">
        <v>0</v>
      </c>
      <c r="M3682" s="10">
        <v>213.97</v>
      </c>
    </row>
    <row r="3683" spans="1:13" x14ac:dyDescent="0.25">
      <c r="A3683" s="12" t="str">
        <f t="shared" si="116"/>
        <v>IVA1272026SECRETARIA DE ADMINISTRAÇÃO DO GOVERNO DO ESTADO DE PERNAMBUCOIPV46054</v>
      </c>
      <c r="B3683" s="12" t="str">
        <f t="shared" si="115"/>
        <v>Agosto</v>
      </c>
      <c r="C3683" s="8" t="s">
        <v>1145</v>
      </c>
      <c r="D3683" s="8" t="s">
        <v>1723</v>
      </c>
      <c r="E3683" s="8" t="s">
        <v>1744</v>
      </c>
      <c r="F3683" s="23">
        <v>46054</v>
      </c>
      <c r="G3683" s="8" t="s">
        <v>1144</v>
      </c>
      <c r="H3683" s="23">
        <v>46244</v>
      </c>
      <c r="I3683" s="23">
        <v>46054</v>
      </c>
      <c r="J3683" s="10">
        <v>213.97</v>
      </c>
      <c r="K3683" s="10">
        <v>0</v>
      </c>
      <c r="L3683" s="24">
        <v>0</v>
      </c>
      <c r="M3683" s="10">
        <v>213.97</v>
      </c>
    </row>
    <row r="3684" spans="1:13" x14ac:dyDescent="0.25">
      <c r="A3684" s="12" t="str">
        <f t="shared" si="116"/>
        <v>IVA1272026SECRETARIA DE ADMINISTRAÇÃO DO GOVERNO DO ESTADO DE PERNAMBUCOIPV46054</v>
      </c>
      <c r="B3684" s="12" t="str">
        <f t="shared" si="115"/>
        <v>Setembro</v>
      </c>
      <c r="C3684" s="8" t="s">
        <v>1145</v>
      </c>
      <c r="D3684" s="8" t="s">
        <v>1723</v>
      </c>
      <c r="E3684" s="8" t="s">
        <v>1744</v>
      </c>
      <c r="F3684" s="23">
        <v>46054</v>
      </c>
      <c r="G3684" s="8" t="s">
        <v>1144</v>
      </c>
      <c r="H3684" s="23">
        <v>46275</v>
      </c>
      <c r="I3684" s="23">
        <v>46054</v>
      </c>
      <c r="J3684" s="10">
        <v>213.97</v>
      </c>
      <c r="K3684" s="10">
        <v>0</v>
      </c>
      <c r="L3684" s="24">
        <v>0</v>
      </c>
      <c r="M3684" s="10">
        <v>213.97</v>
      </c>
    </row>
    <row r="3685" spans="1:13" x14ac:dyDescent="0.25">
      <c r="A3685" s="12" t="str">
        <f t="shared" si="116"/>
        <v>IVA1282026SECRETARIA DE ADMINISTRAÇÃO DO GOVERNO DO ESTADO DE PERNAMBUCOIPV46054</v>
      </c>
      <c r="B3685" s="12" t="str">
        <f t="shared" si="115"/>
        <v>Fevereiro</v>
      </c>
      <c r="C3685" s="8" t="s">
        <v>1195</v>
      </c>
      <c r="D3685" s="8" t="s">
        <v>1723</v>
      </c>
      <c r="E3685" s="8" t="s">
        <v>1744</v>
      </c>
      <c r="F3685" s="23">
        <v>46054</v>
      </c>
      <c r="G3685" s="8" t="s">
        <v>1144</v>
      </c>
      <c r="H3685" s="23">
        <v>46072</v>
      </c>
      <c r="I3685" s="23">
        <v>46054</v>
      </c>
      <c r="J3685" s="10">
        <v>213.97</v>
      </c>
      <c r="K3685" s="10">
        <v>0</v>
      </c>
      <c r="L3685" s="24">
        <v>0</v>
      </c>
      <c r="M3685" s="10">
        <v>213.97</v>
      </c>
    </row>
    <row r="3686" spans="1:13" x14ac:dyDescent="0.25">
      <c r="A3686" s="12" t="str">
        <f t="shared" si="116"/>
        <v>IVA1282026SECRETARIA DE ADMINISTRAÇÃO DO GOVERNO DO ESTADO DE PERNAMBUCOIPV46054</v>
      </c>
      <c r="B3686" s="12" t="str">
        <f t="shared" si="115"/>
        <v>Março</v>
      </c>
      <c r="C3686" s="8" t="s">
        <v>1195</v>
      </c>
      <c r="D3686" s="8" t="s">
        <v>1723</v>
      </c>
      <c r="E3686" s="8" t="s">
        <v>1744</v>
      </c>
      <c r="F3686" s="23">
        <v>46054</v>
      </c>
      <c r="G3686" s="8" t="s">
        <v>1144</v>
      </c>
      <c r="H3686" s="23">
        <v>46097</v>
      </c>
      <c r="I3686" s="23">
        <v>46054</v>
      </c>
      <c r="J3686" s="10">
        <v>213.97</v>
      </c>
      <c r="K3686" s="10">
        <v>0</v>
      </c>
      <c r="L3686" s="24">
        <v>0</v>
      </c>
      <c r="M3686" s="10">
        <v>213.97</v>
      </c>
    </row>
    <row r="3687" spans="1:13" x14ac:dyDescent="0.25">
      <c r="A3687" s="12" t="str">
        <f t="shared" si="116"/>
        <v>IVA1282026SECRETARIA DE ADMINISTRAÇÃO DO GOVERNO DO ESTADO DE PERNAMBUCOIPV46054</v>
      </c>
      <c r="B3687" s="12" t="str">
        <f t="shared" si="115"/>
        <v>Abril</v>
      </c>
      <c r="C3687" s="8" t="s">
        <v>1195</v>
      </c>
      <c r="D3687" s="8" t="s">
        <v>1723</v>
      </c>
      <c r="E3687" s="8" t="s">
        <v>1744</v>
      </c>
      <c r="F3687" s="23">
        <v>46054</v>
      </c>
      <c r="G3687" s="8" t="s">
        <v>1144</v>
      </c>
      <c r="H3687" s="23">
        <v>46127</v>
      </c>
      <c r="I3687" s="23">
        <v>46054</v>
      </c>
      <c r="J3687" s="10">
        <v>213.97</v>
      </c>
      <c r="K3687" s="10">
        <v>0</v>
      </c>
      <c r="L3687" s="24">
        <v>0</v>
      </c>
      <c r="M3687" s="10">
        <v>213.97</v>
      </c>
    </row>
    <row r="3688" spans="1:13" x14ac:dyDescent="0.25">
      <c r="A3688" s="12" t="str">
        <f t="shared" si="116"/>
        <v>IVA1282026SECRETARIA DE ADMINISTRAÇÃO DO GOVERNO DO ESTADO DE PERNAMBUCOIPV46054</v>
      </c>
      <c r="B3688" s="12" t="str">
        <f t="shared" si="115"/>
        <v>Maio</v>
      </c>
      <c r="C3688" s="8" t="s">
        <v>1195</v>
      </c>
      <c r="D3688" s="8" t="s">
        <v>1723</v>
      </c>
      <c r="E3688" s="8" t="s">
        <v>1744</v>
      </c>
      <c r="F3688" s="23">
        <v>46054</v>
      </c>
      <c r="G3688" s="8" t="s">
        <v>1144</v>
      </c>
      <c r="H3688" s="23">
        <v>46157</v>
      </c>
      <c r="I3688" s="23">
        <v>46054</v>
      </c>
      <c r="J3688" s="10">
        <v>213.97</v>
      </c>
      <c r="K3688" s="10">
        <v>0</v>
      </c>
      <c r="L3688" s="24">
        <v>0</v>
      </c>
      <c r="M3688" s="10">
        <v>213.97</v>
      </c>
    </row>
    <row r="3689" spans="1:13" x14ac:dyDescent="0.25">
      <c r="A3689" s="12" t="str">
        <f t="shared" si="116"/>
        <v>IVA1282026SECRETARIA DE ADMINISTRAÇÃO DO GOVERNO DO ESTADO DE PERNAMBUCOIPV46054</v>
      </c>
      <c r="B3689" s="12" t="str">
        <f t="shared" si="115"/>
        <v>Junho</v>
      </c>
      <c r="C3689" s="8" t="s">
        <v>1195</v>
      </c>
      <c r="D3689" s="8" t="s">
        <v>1723</v>
      </c>
      <c r="E3689" s="8" t="s">
        <v>1744</v>
      </c>
      <c r="F3689" s="23">
        <v>46054</v>
      </c>
      <c r="G3689" s="8" t="s">
        <v>1144</v>
      </c>
      <c r="H3689" s="23">
        <v>46188</v>
      </c>
      <c r="I3689" s="23">
        <v>46054</v>
      </c>
      <c r="J3689" s="10">
        <v>213.97</v>
      </c>
      <c r="K3689" s="10">
        <v>0</v>
      </c>
      <c r="L3689" s="24">
        <v>0</v>
      </c>
      <c r="M3689" s="10">
        <v>213.97</v>
      </c>
    </row>
    <row r="3690" spans="1:13" x14ac:dyDescent="0.25">
      <c r="A3690" s="12" t="str">
        <f t="shared" si="116"/>
        <v>IVA1282026SECRETARIA DE ADMINISTRAÇÃO DO GOVERNO DO ESTADO DE PERNAMBUCOIPV46054</v>
      </c>
      <c r="B3690" s="12" t="str">
        <f t="shared" si="115"/>
        <v>Julho</v>
      </c>
      <c r="C3690" s="8" t="s">
        <v>1195</v>
      </c>
      <c r="D3690" s="8" t="s">
        <v>1723</v>
      </c>
      <c r="E3690" s="8" t="s">
        <v>1744</v>
      </c>
      <c r="F3690" s="23">
        <v>46054</v>
      </c>
      <c r="G3690" s="8" t="s">
        <v>1144</v>
      </c>
      <c r="H3690" s="23">
        <v>46218</v>
      </c>
      <c r="I3690" s="23">
        <v>46054</v>
      </c>
      <c r="J3690" s="10">
        <v>213.97</v>
      </c>
      <c r="K3690" s="10">
        <v>0</v>
      </c>
      <c r="L3690" s="24">
        <v>0</v>
      </c>
      <c r="M3690" s="10">
        <v>213.97</v>
      </c>
    </row>
    <row r="3691" spans="1:13" x14ac:dyDescent="0.25">
      <c r="A3691" s="12" t="str">
        <f t="shared" si="116"/>
        <v>IVA1282026SECRETARIA DE ADMINISTRAÇÃO DO GOVERNO DO ESTADO DE PERNAMBUCOIPV46054</v>
      </c>
      <c r="B3691" s="12" t="str">
        <f t="shared" si="115"/>
        <v>Agosto</v>
      </c>
      <c r="C3691" s="8" t="s">
        <v>1195</v>
      </c>
      <c r="D3691" s="8" t="s">
        <v>1723</v>
      </c>
      <c r="E3691" s="8" t="s">
        <v>1744</v>
      </c>
      <c r="F3691" s="23">
        <v>46054</v>
      </c>
      <c r="G3691" s="8" t="s">
        <v>1144</v>
      </c>
      <c r="H3691" s="23">
        <v>46251</v>
      </c>
      <c r="I3691" s="23">
        <v>46054</v>
      </c>
      <c r="J3691" s="10">
        <v>213.97</v>
      </c>
      <c r="K3691" s="10">
        <v>0</v>
      </c>
      <c r="L3691" s="24">
        <v>0</v>
      </c>
      <c r="M3691" s="10">
        <v>213.97</v>
      </c>
    </row>
    <row r="3692" spans="1:13" x14ac:dyDescent="0.25">
      <c r="A3692" s="12" t="str">
        <f t="shared" si="116"/>
        <v>IVA1282026SECRETARIA DE ADMINISTRAÇÃO DO GOVERNO DO ESTADO DE PERNAMBUCOIPV46054</v>
      </c>
      <c r="B3692" s="12" t="str">
        <f t="shared" si="115"/>
        <v>Setembro</v>
      </c>
      <c r="C3692" s="8" t="s">
        <v>1195</v>
      </c>
      <c r="D3692" s="8" t="s">
        <v>1723</v>
      </c>
      <c r="E3692" s="8" t="s">
        <v>1744</v>
      </c>
      <c r="F3692" s="23">
        <v>46054</v>
      </c>
      <c r="G3692" s="8" t="s">
        <v>1144</v>
      </c>
      <c r="H3692" s="23">
        <v>46280</v>
      </c>
      <c r="I3692" s="23">
        <v>46054</v>
      </c>
      <c r="J3692" s="10">
        <v>213.97</v>
      </c>
      <c r="K3692" s="10">
        <v>0</v>
      </c>
      <c r="L3692" s="24">
        <v>0</v>
      </c>
      <c r="M3692" s="10">
        <v>213.97</v>
      </c>
    </row>
    <row r="3693" spans="1:13" x14ac:dyDescent="0.25">
      <c r="A3693" s="12" t="str">
        <f t="shared" si="116"/>
        <v>IVA1292026SECRETARIA DE ADMINISTRAÇÃO DO GOVERNO DO ESTADO DE PERNAMBUCOIPV46054</v>
      </c>
      <c r="B3693" s="12" t="str">
        <f t="shared" si="115"/>
        <v>Fevereiro</v>
      </c>
      <c r="C3693" s="8" t="s">
        <v>1196</v>
      </c>
      <c r="D3693" s="8" t="s">
        <v>1723</v>
      </c>
      <c r="E3693" s="8" t="s">
        <v>1744</v>
      </c>
      <c r="F3693" s="23">
        <v>46054</v>
      </c>
      <c r="G3693" s="8" t="s">
        <v>1144</v>
      </c>
      <c r="H3693" s="23">
        <v>46072</v>
      </c>
      <c r="I3693" s="23">
        <v>46054</v>
      </c>
      <c r="J3693" s="10">
        <v>213.97</v>
      </c>
      <c r="K3693" s="10">
        <v>0</v>
      </c>
      <c r="L3693" s="24">
        <v>0</v>
      </c>
      <c r="M3693" s="10">
        <v>213.97</v>
      </c>
    </row>
    <row r="3694" spans="1:13" x14ac:dyDescent="0.25">
      <c r="A3694" s="12" t="str">
        <f t="shared" si="116"/>
        <v>IVA1292026SECRETARIA DE ADMINISTRAÇÃO DO GOVERNO DO ESTADO DE PERNAMBUCOIPV46054</v>
      </c>
      <c r="B3694" s="12" t="str">
        <f t="shared" si="115"/>
        <v>Março</v>
      </c>
      <c r="C3694" s="8" t="s">
        <v>1196</v>
      </c>
      <c r="D3694" s="8" t="s">
        <v>1723</v>
      </c>
      <c r="E3694" s="8" t="s">
        <v>1744</v>
      </c>
      <c r="F3694" s="23">
        <v>46054</v>
      </c>
      <c r="G3694" s="8" t="s">
        <v>1144</v>
      </c>
      <c r="H3694" s="23">
        <v>46097</v>
      </c>
      <c r="I3694" s="23">
        <v>46054</v>
      </c>
      <c r="J3694" s="10">
        <v>213.97</v>
      </c>
      <c r="K3694" s="10">
        <v>0</v>
      </c>
      <c r="L3694" s="24">
        <v>0</v>
      </c>
      <c r="M3694" s="10">
        <v>213.97</v>
      </c>
    </row>
    <row r="3695" spans="1:13" x14ac:dyDescent="0.25">
      <c r="A3695" s="12" t="str">
        <f t="shared" si="116"/>
        <v>IVA1292026SECRETARIA DE ADMINISTRAÇÃO DO GOVERNO DO ESTADO DE PERNAMBUCOIPV46054</v>
      </c>
      <c r="B3695" s="12" t="str">
        <f t="shared" si="115"/>
        <v>Abril</v>
      </c>
      <c r="C3695" s="8" t="s">
        <v>1196</v>
      </c>
      <c r="D3695" s="8" t="s">
        <v>1723</v>
      </c>
      <c r="E3695" s="8" t="s">
        <v>1744</v>
      </c>
      <c r="F3695" s="23">
        <v>46054</v>
      </c>
      <c r="G3695" s="8" t="s">
        <v>1144</v>
      </c>
      <c r="H3695" s="23">
        <v>46127</v>
      </c>
      <c r="I3695" s="23">
        <v>46054</v>
      </c>
      <c r="J3695" s="10">
        <v>213.97</v>
      </c>
      <c r="K3695" s="10">
        <v>0</v>
      </c>
      <c r="L3695" s="24">
        <v>0</v>
      </c>
      <c r="M3695" s="10">
        <v>213.97</v>
      </c>
    </row>
    <row r="3696" spans="1:13" x14ac:dyDescent="0.25">
      <c r="A3696" s="12" t="str">
        <f t="shared" si="116"/>
        <v>IVA1292026SECRETARIA DE ADMINISTRAÇÃO DO GOVERNO DO ESTADO DE PERNAMBUCOIPV46054</v>
      </c>
      <c r="B3696" s="12" t="str">
        <f t="shared" si="115"/>
        <v>Maio</v>
      </c>
      <c r="C3696" s="8" t="s">
        <v>1196</v>
      </c>
      <c r="D3696" s="8" t="s">
        <v>1723</v>
      </c>
      <c r="E3696" s="8" t="s">
        <v>1744</v>
      </c>
      <c r="F3696" s="23">
        <v>46054</v>
      </c>
      <c r="G3696" s="8" t="s">
        <v>1144</v>
      </c>
      <c r="H3696" s="23">
        <v>46157</v>
      </c>
      <c r="I3696" s="23">
        <v>46054</v>
      </c>
      <c r="J3696" s="10">
        <v>213.97</v>
      </c>
      <c r="K3696" s="10">
        <v>0</v>
      </c>
      <c r="L3696" s="24">
        <v>0</v>
      </c>
      <c r="M3696" s="10">
        <v>213.97</v>
      </c>
    </row>
    <row r="3697" spans="1:13" x14ac:dyDescent="0.25">
      <c r="A3697" s="12" t="str">
        <f t="shared" si="116"/>
        <v>IVA1292026SECRETARIA DE ADMINISTRAÇÃO DO GOVERNO DO ESTADO DE PERNAMBUCOIPV46054</v>
      </c>
      <c r="B3697" s="12" t="str">
        <f t="shared" si="115"/>
        <v>Junho</v>
      </c>
      <c r="C3697" s="8" t="s">
        <v>1196</v>
      </c>
      <c r="D3697" s="8" t="s">
        <v>1723</v>
      </c>
      <c r="E3697" s="8" t="s">
        <v>1744</v>
      </c>
      <c r="F3697" s="23">
        <v>46054</v>
      </c>
      <c r="G3697" s="8" t="s">
        <v>1144</v>
      </c>
      <c r="H3697" s="23">
        <v>46188</v>
      </c>
      <c r="I3697" s="23">
        <v>46054</v>
      </c>
      <c r="J3697" s="10">
        <v>213.97</v>
      </c>
      <c r="K3697" s="10">
        <v>0</v>
      </c>
      <c r="L3697" s="24">
        <v>0</v>
      </c>
      <c r="M3697" s="10">
        <v>213.97</v>
      </c>
    </row>
    <row r="3698" spans="1:13" x14ac:dyDescent="0.25">
      <c r="A3698" s="12" t="str">
        <f t="shared" si="116"/>
        <v>IVA1292026SECRETARIA DE ADMINISTRAÇÃO DO GOVERNO DO ESTADO DE PERNAMBUCOIPV46054</v>
      </c>
      <c r="B3698" s="12" t="str">
        <f t="shared" si="115"/>
        <v>Julho</v>
      </c>
      <c r="C3698" s="8" t="s">
        <v>1196</v>
      </c>
      <c r="D3698" s="8" t="s">
        <v>1723</v>
      </c>
      <c r="E3698" s="8" t="s">
        <v>1744</v>
      </c>
      <c r="F3698" s="23">
        <v>46054</v>
      </c>
      <c r="G3698" s="8" t="s">
        <v>1144</v>
      </c>
      <c r="H3698" s="23">
        <v>46218</v>
      </c>
      <c r="I3698" s="23">
        <v>46054</v>
      </c>
      <c r="J3698" s="10">
        <v>213.97</v>
      </c>
      <c r="K3698" s="10">
        <v>0</v>
      </c>
      <c r="L3698" s="24">
        <v>0</v>
      </c>
      <c r="M3698" s="10">
        <v>213.97</v>
      </c>
    </row>
    <row r="3699" spans="1:13" x14ac:dyDescent="0.25">
      <c r="A3699" s="12" t="str">
        <f t="shared" si="116"/>
        <v>IVA1292026SECRETARIA DE ADMINISTRAÇÃO DO GOVERNO DO ESTADO DE PERNAMBUCOIPV46054</v>
      </c>
      <c r="B3699" s="12" t="str">
        <f t="shared" si="115"/>
        <v>Agosto</v>
      </c>
      <c r="C3699" s="8" t="s">
        <v>1196</v>
      </c>
      <c r="D3699" s="8" t="s">
        <v>1723</v>
      </c>
      <c r="E3699" s="8" t="s">
        <v>1744</v>
      </c>
      <c r="F3699" s="23">
        <v>46054</v>
      </c>
      <c r="G3699" s="8" t="s">
        <v>1144</v>
      </c>
      <c r="H3699" s="23">
        <v>46251</v>
      </c>
      <c r="I3699" s="23">
        <v>46054</v>
      </c>
      <c r="J3699" s="10">
        <v>213.97</v>
      </c>
      <c r="K3699" s="10">
        <v>0</v>
      </c>
      <c r="L3699" s="24">
        <v>0</v>
      </c>
      <c r="M3699" s="10">
        <v>213.97</v>
      </c>
    </row>
    <row r="3700" spans="1:13" x14ac:dyDescent="0.25">
      <c r="A3700" s="12" t="str">
        <f t="shared" si="116"/>
        <v>IVA1292026SECRETARIA DE ADMINISTRAÇÃO DO GOVERNO DO ESTADO DE PERNAMBUCOIPV46054</v>
      </c>
      <c r="B3700" s="12" t="str">
        <f t="shared" si="115"/>
        <v>Setembro</v>
      </c>
      <c r="C3700" s="8" t="s">
        <v>1196</v>
      </c>
      <c r="D3700" s="8" t="s">
        <v>1723</v>
      </c>
      <c r="E3700" s="8" t="s">
        <v>1744</v>
      </c>
      <c r="F3700" s="23">
        <v>46054</v>
      </c>
      <c r="G3700" s="8" t="s">
        <v>1144</v>
      </c>
      <c r="H3700" s="23">
        <v>46280</v>
      </c>
      <c r="I3700" s="23">
        <v>46054</v>
      </c>
      <c r="J3700" s="10">
        <v>213.97</v>
      </c>
      <c r="K3700" s="10">
        <v>0</v>
      </c>
      <c r="L3700" s="24">
        <v>0</v>
      </c>
      <c r="M3700" s="10">
        <v>213.97</v>
      </c>
    </row>
    <row r="3701" spans="1:13" x14ac:dyDescent="0.25">
      <c r="A3701" s="12" t="str">
        <f t="shared" si="116"/>
        <v>IVA1302026SECRETARIA DE ADMINISTRAÇÃO DO GOVERNO DO ESTADO DE PERNAMBUCOIPV46054</v>
      </c>
      <c r="B3701" s="12" t="str">
        <f t="shared" si="115"/>
        <v>Fevereiro</v>
      </c>
      <c r="C3701" s="8" t="s">
        <v>1146</v>
      </c>
      <c r="D3701" s="8" t="s">
        <v>1723</v>
      </c>
      <c r="E3701" s="8" t="s">
        <v>1744</v>
      </c>
      <c r="F3701" s="23">
        <v>46054</v>
      </c>
      <c r="G3701" s="8" t="s">
        <v>1144</v>
      </c>
      <c r="H3701" s="23">
        <v>46063</v>
      </c>
      <c r="I3701" s="23">
        <v>46054</v>
      </c>
      <c r="J3701" s="10">
        <v>213.97</v>
      </c>
      <c r="K3701" s="10">
        <v>0</v>
      </c>
      <c r="L3701" s="24">
        <v>0</v>
      </c>
      <c r="M3701" s="10">
        <v>213.97</v>
      </c>
    </row>
    <row r="3702" spans="1:13" x14ac:dyDescent="0.25">
      <c r="A3702" s="12" t="str">
        <f t="shared" si="116"/>
        <v>IVA1302026SECRETARIA DE ADMINISTRAÇÃO DO GOVERNO DO ESTADO DE PERNAMBUCOIPV46054</v>
      </c>
      <c r="B3702" s="12" t="str">
        <f t="shared" si="115"/>
        <v>Março</v>
      </c>
      <c r="C3702" s="8" t="s">
        <v>1146</v>
      </c>
      <c r="D3702" s="8" t="s">
        <v>1723</v>
      </c>
      <c r="E3702" s="8" t="s">
        <v>1744</v>
      </c>
      <c r="F3702" s="23">
        <v>46054</v>
      </c>
      <c r="G3702" s="8" t="s">
        <v>1144</v>
      </c>
      <c r="H3702" s="23">
        <v>46091</v>
      </c>
      <c r="I3702" s="23">
        <v>46054</v>
      </c>
      <c r="J3702" s="10">
        <v>213.97</v>
      </c>
      <c r="K3702" s="10">
        <v>0</v>
      </c>
      <c r="L3702" s="24">
        <v>0</v>
      </c>
      <c r="M3702" s="10">
        <v>213.97</v>
      </c>
    </row>
    <row r="3703" spans="1:13" x14ac:dyDescent="0.25">
      <c r="A3703" s="12" t="str">
        <f t="shared" si="116"/>
        <v>IVA1302026SECRETARIA DE ADMINISTRAÇÃO DO GOVERNO DO ESTADO DE PERNAMBUCOIPV46054</v>
      </c>
      <c r="B3703" s="12" t="str">
        <f t="shared" si="115"/>
        <v>Abril</v>
      </c>
      <c r="C3703" s="8" t="s">
        <v>1146</v>
      </c>
      <c r="D3703" s="8" t="s">
        <v>1723</v>
      </c>
      <c r="E3703" s="8" t="s">
        <v>1744</v>
      </c>
      <c r="F3703" s="23">
        <v>46054</v>
      </c>
      <c r="G3703" s="8" t="s">
        <v>1144</v>
      </c>
      <c r="H3703" s="23">
        <v>46122</v>
      </c>
      <c r="I3703" s="23">
        <v>46054</v>
      </c>
      <c r="J3703" s="10">
        <v>213.97</v>
      </c>
      <c r="K3703" s="10">
        <v>0</v>
      </c>
      <c r="L3703" s="24">
        <v>0</v>
      </c>
      <c r="M3703" s="10">
        <v>213.97</v>
      </c>
    </row>
    <row r="3704" spans="1:13" x14ac:dyDescent="0.25">
      <c r="A3704" s="12" t="str">
        <f t="shared" si="116"/>
        <v>IVA1302026SECRETARIA DE ADMINISTRAÇÃO DO GOVERNO DO ESTADO DE PERNAMBUCOIPV46054</v>
      </c>
      <c r="B3704" s="12" t="str">
        <f t="shared" si="115"/>
        <v>Maio</v>
      </c>
      <c r="C3704" s="8" t="s">
        <v>1146</v>
      </c>
      <c r="D3704" s="8" t="s">
        <v>1723</v>
      </c>
      <c r="E3704" s="8" t="s">
        <v>1744</v>
      </c>
      <c r="F3704" s="23">
        <v>46054</v>
      </c>
      <c r="G3704" s="8" t="s">
        <v>1144</v>
      </c>
      <c r="H3704" s="23">
        <v>46153</v>
      </c>
      <c r="I3704" s="23">
        <v>46054</v>
      </c>
      <c r="J3704" s="10">
        <v>213.97</v>
      </c>
      <c r="K3704" s="10">
        <v>0</v>
      </c>
      <c r="L3704" s="24">
        <v>0</v>
      </c>
      <c r="M3704" s="10">
        <v>213.97</v>
      </c>
    </row>
    <row r="3705" spans="1:13" x14ac:dyDescent="0.25">
      <c r="A3705" s="12" t="str">
        <f t="shared" si="116"/>
        <v>IVA1302026SECRETARIA DE ADMINISTRAÇÃO DO GOVERNO DO ESTADO DE PERNAMBUCOIPV46054</v>
      </c>
      <c r="B3705" s="12" t="str">
        <f t="shared" si="115"/>
        <v>Junho</v>
      </c>
      <c r="C3705" s="8" t="s">
        <v>1146</v>
      </c>
      <c r="D3705" s="8" t="s">
        <v>1723</v>
      </c>
      <c r="E3705" s="8" t="s">
        <v>1744</v>
      </c>
      <c r="F3705" s="23">
        <v>46054</v>
      </c>
      <c r="G3705" s="8" t="s">
        <v>1144</v>
      </c>
      <c r="H3705" s="23">
        <v>46183</v>
      </c>
      <c r="I3705" s="23">
        <v>46054</v>
      </c>
      <c r="J3705" s="10">
        <v>213.97</v>
      </c>
      <c r="K3705" s="10">
        <v>0</v>
      </c>
      <c r="L3705" s="24">
        <v>0</v>
      </c>
      <c r="M3705" s="10">
        <v>213.97</v>
      </c>
    </row>
    <row r="3706" spans="1:13" x14ac:dyDescent="0.25">
      <c r="A3706" s="12" t="str">
        <f t="shared" si="116"/>
        <v>IVA1302026SECRETARIA DE ADMINISTRAÇÃO DO GOVERNO DO ESTADO DE PERNAMBUCOIPV46054</v>
      </c>
      <c r="B3706" s="12" t="str">
        <f t="shared" si="115"/>
        <v>Julho</v>
      </c>
      <c r="C3706" s="8" t="s">
        <v>1146</v>
      </c>
      <c r="D3706" s="8" t="s">
        <v>1723</v>
      </c>
      <c r="E3706" s="8" t="s">
        <v>1744</v>
      </c>
      <c r="F3706" s="23">
        <v>46054</v>
      </c>
      <c r="G3706" s="8" t="s">
        <v>1144</v>
      </c>
      <c r="H3706" s="23">
        <v>46213</v>
      </c>
      <c r="I3706" s="23">
        <v>46054</v>
      </c>
      <c r="J3706" s="10">
        <v>213.97</v>
      </c>
      <c r="K3706" s="10">
        <v>0</v>
      </c>
      <c r="L3706" s="24">
        <v>0</v>
      </c>
      <c r="M3706" s="10">
        <v>213.97</v>
      </c>
    </row>
    <row r="3707" spans="1:13" x14ac:dyDescent="0.25">
      <c r="A3707" s="12" t="str">
        <f t="shared" si="116"/>
        <v>IVA1302026SECRETARIA DE ADMINISTRAÇÃO DO GOVERNO DO ESTADO DE PERNAMBUCOIPV46054</v>
      </c>
      <c r="B3707" s="12" t="str">
        <f t="shared" si="115"/>
        <v>Agosto</v>
      </c>
      <c r="C3707" s="8" t="s">
        <v>1146</v>
      </c>
      <c r="D3707" s="8" t="s">
        <v>1723</v>
      </c>
      <c r="E3707" s="8" t="s">
        <v>1744</v>
      </c>
      <c r="F3707" s="23">
        <v>46054</v>
      </c>
      <c r="G3707" s="8" t="s">
        <v>1144</v>
      </c>
      <c r="H3707" s="23">
        <v>46244</v>
      </c>
      <c r="I3707" s="23">
        <v>46054</v>
      </c>
      <c r="J3707" s="10">
        <v>213.97</v>
      </c>
      <c r="K3707" s="10">
        <v>0</v>
      </c>
      <c r="L3707" s="24">
        <v>0</v>
      </c>
      <c r="M3707" s="10">
        <v>213.97</v>
      </c>
    </row>
    <row r="3708" spans="1:13" x14ac:dyDescent="0.25">
      <c r="A3708" s="12" t="str">
        <f t="shared" si="116"/>
        <v>IVA1302026SECRETARIA DE ADMINISTRAÇÃO DO GOVERNO DO ESTADO DE PERNAMBUCOIPV46054</v>
      </c>
      <c r="B3708" s="12" t="str">
        <f t="shared" si="115"/>
        <v>Setembro</v>
      </c>
      <c r="C3708" s="8" t="s">
        <v>1146</v>
      </c>
      <c r="D3708" s="8" t="s">
        <v>1723</v>
      </c>
      <c r="E3708" s="8" t="s">
        <v>1744</v>
      </c>
      <c r="F3708" s="23">
        <v>46054</v>
      </c>
      <c r="G3708" s="8" t="s">
        <v>1144</v>
      </c>
      <c r="H3708" s="23">
        <v>46275</v>
      </c>
      <c r="I3708" s="23">
        <v>46054</v>
      </c>
      <c r="J3708" s="10">
        <v>213.97</v>
      </c>
      <c r="K3708" s="10">
        <v>0</v>
      </c>
      <c r="L3708" s="24">
        <v>0</v>
      </c>
      <c r="M3708" s="10">
        <v>213.97</v>
      </c>
    </row>
    <row r="3709" spans="1:13" x14ac:dyDescent="0.25">
      <c r="A3709" s="12" t="str">
        <f t="shared" si="116"/>
        <v>IVA1312026SECRETARIA DE ADMINISTRAÇÃO DO GOVERNO DO ESTADO DE PERNAMBUCOIPV46054</v>
      </c>
      <c r="B3709" s="12" t="str">
        <f t="shared" si="115"/>
        <v>Fevereiro</v>
      </c>
      <c r="C3709" s="8" t="s">
        <v>1147</v>
      </c>
      <c r="D3709" s="8" t="s">
        <v>1723</v>
      </c>
      <c r="E3709" s="8" t="s">
        <v>1744</v>
      </c>
      <c r="F3709" s="23">
        <v>46054</v>
      </c>
      <c r="G3709" s="8" t="s">
        <v>1144</v>
      </c>
      <c r="H3709" s="23">
        <v>46063</v>
      </c>
      <c r="I3709" s="23">
        <v>46054</v>
      </c>
      <c r="J3709" s="10">
        <v>213.97</v>
      </c>
      <c r="K3709" s="10">
        <v>0</v>
      </c>
      <c r="L3709" s="24">
        <v>0</v>
      </c>
      <c r="M3709" s="10">
        <v>213.97</v>
      </c>
    </row>
    <row r="3710" spans="1:13" x14ac:dyDescent="0.25">
      <c r="A3710" s="12" t="str">
        <f t="shared" si="116"/>
        <v>IVA1312026SECRETARIA DE ADMINISTRAÇÃO DO GOVERNO DO ESTADO DE PERNAMBUCOIPV46054</v>
      </c>
      <c r="B3710" s="12" t="str">
        <f t="shared" si="115"/>
        <v>Março</v>
      </c>
      <c r="C3710" s="8" t="s">
        <v>1147</v>
      </c>
      <c r="D3710" s="8" t="s">
        <v>1723</v>
      </c>
      <c r="E3710" s="8" t="s">
        <v>1744</v>
      </c>
      <c r="F3710" s="23">
        <v>46054</v>
      </c>
      <c r="G3710" s="8" t="s">
        <v>1144</v>
      </c>
      <c r="H3710" s="23">
        <v>46091</v>
      </c>
      <c r="I3710" s="23">
        <v>46054</v>
      </c>
      <c r="J3710" s="10">
        <v>213.97</v>
      </c>
      <c r="K3710" s="10">
        <v>0</v>
      </c>
      <c r="L3710" s="24">
        <v>0</v>
      </c>
      <c r="M3710" s="10">
        <v>213.97</v>
      </c>
    </row>
    <row r="3711" spans="1:13" x14ac:dyDescent="0.25">
      <c r="A3711" s="12" t="str">
        <f t="shared" si="116"/>
        <v>IVA1312026SECRETARIA DE ADMINISTRAÇÃO DO GOVERNO DO ESTADO DE PERNAMBUCOIPV46054</v>
      </c>
      <c r="B3711" s="12" t="str">
        <f t="shared" si="115"/>
        <v>Abril</v>
      </c>
      <c r="C3711" s="8" t="s">
        <v>1147</v>
      </c>
      <c r="D3711" s="8" t="s">
        <v>1723</v>
      </c>
      <c r="E3711" s="8" t="s">
        <v>1744</v>
      </c>
      <c r="F3711" s="23">
        <v>46054</v>
      </c>
      <c r="G3711" s="8" t="s">
        <v>1144</v>
      </c>
      <c r="H3711" s="23">
        <v>46122</v>
      </c>
      <c r="I3711" s="23">
        <v>46054</v>
      </c>
      <c r="J3711" s="10">
        <v>213.97</v>
      </c>
      <c r="K3711" s="10">
        <v>0</v>
      </c>
      <c r="L3711" s="24">
        <v>0</v>
      </c>
      <c r="M3711" s="10">
        <v>213.97</v>
      </c>
    </row>
    <row r="3712" spans="1:13" x14ac:dyDescent="0.25">
      <c r="A3712" s="12" t="str">
        <f t="shared" si="116"/>
        <v>IVA1312026SECRETARIA DE ADMINISTRAÇÃO DO GOVERNO DO ESTADO DE PERNAMBUCOIPV46054</v>
      </c>
      <c r="B3712" s="12" t="str">
        <f t="shared" si="115"/>
        <v>Maio</v>
      </c>
      <c r="C3712" s="8" t="s">
        <v>1147</v>
      </c>
      <c r="D3712" s="8" t="s">
        <v>1723</v>
      </c>
      <c r="E3712" s="8" t="s">
        <v>1744</v>
      </c>
      <c r="F3712" s="23">
        <v>46054</v>
      </c>
      <c r="G3712" s="8" t="s">
        <v>1144</v>
      </c>
      <c r="H3712" s="23">
        <v>46153</v>
      </c>
      <c r="I3712" s="23">
        <v>46054</v>
      </c>
      <c r="J3712" s="10">
        <v>213.97</v>
      </c>
      <c r="K3712" s="10">
        <v>0</v>
      </c>
      <c r="L3712" s="24">
        <v>0</v>
      </c>
      <c r="M3712" s="10">
        <v>213.97</v>
      </c>
    </row>
    <row r="3713" spans="1:13" x14ac:dyDescent="0.25">
      <c r="A3713" s="12" t="str">
        <f t="shared" si="116"/>
        <v>IVA1312026SECRETARIA DE ADMINISTRAÇÃO DO GOVERNO DO ESTADO DE PERNAMBUCOIPV46054</v>
      </c>
      <c r="B3713" s="12" t="str">
        <f t="shared" si="115"/>
        <v>Junho</v>
      </c>
      <c r="C3713" s="8" t="s">
        <v>1147</v>
      </c>
      <c r="D3713" s="8" t="s">
        <v>1723</v>
      </c>
      <c r="E3713" s="8" t="s">
        <v>1744</v>
      </c>
      <c r="F3713" s="23">
        <v>46054</v>
      </c>
      <c r="G3713" s="8" t="s">
        <v>1144</v>
      </c>
      <c r="H3713" s="23">
        <v>46183</v>
      </c>
      <c r="I3713" s="23">
        <v>46054</v>
      </c>
      <c r="J3713" s="10">
        <v>213.97</v>
      </c>
      <c r="K3713" s="10">
        <v>0</v>
      </c>
      <c r="L3713" s="24">
        <v>0</v>
      </c>
      <c r="M3713" s="10">
        <v>213.97</v>
      </c>
    </row>
    <row r="3714" spans="1:13" x14ac:dyDescent="0.25">
      <c r="A3714" s="12" t="str">
        <f t="shared" si="116"/>
        <v>IVA1312026SECRETARIA DE ADMINISTRAÇÃO DO GOVERNO DO ESTADO DE PERNAMBUCOIPV46054</v>
      </c>
      <c r="B3714" s="12" t="str">
        <f t="shared" si="115"/>
        <v>Julho</v>
      </c>
      <c r="C3714" s="8" t="s">
        <v>1147</v>
      </c>
      <c r="D3714" s="8" t="s">
        <v>1723</v>
      </c>
      <c r="E3714" s="8" t="s">
        <v>1744</v>
      </c>
      <c r="F3714" s="23">
        <v>46054</v>
      </c>
      <c r="G3714" s="8" t="s">
        <v>1144</v>
      </c>
      <c r="H3714" s="23">
        <v>46213</v>
      </c>
      <c r="I3714" s="23">
        <v>46054</v>
      </c>
      <c r="J3714" s="10">
        <v>213.97</v>
      </c>
      <c r="K3714" s="10">
        <v>0</v>
      </c>
      <c r="L3714" s="24">
        <v>0</v>
      </c>
      <c r="M3714" s="10">
        <v>213.97</v>
      </c>
    </row>
    <row r="3715" spans="1:13" x14ac:dyDescent="0.25">
      <c r="A3715" s="12" t="str">
        <f t="shared" si="116"/>
        <v>IVA1312026SECRETARIA DE ADMINISTRAÇÃO DO GOVERNO DO ESTADO DE PERNAMBUCOIPV46054</v>
      </c>
      <c r="B3715" s="12" t="str">
        <f t="shared" ref="B3715:B3778" si="117">PROPER(TEXT($H3715,"MMMM"))</f>
        <v>Agosto</v>
      </c>
      <c r="C3715" s="8" t="s">
        <v>1147</v>
      </c>
      <c r="D3715" s="8" t="s">
        <v>1723</v>
      </c>
      <c r="E3715" s="8" t="s">
        <v>1744</v>
      </c>
      <c r="F3715" s="23">
        <v>46054</v>
      </c>
      <c r="G3715" s="8" t="s">
        <v>1144</v>
      </c>
      <c r="H3715" s="23">
        <v>46244</v>
      </c>
      <c r="I3715" s="23">
        <v>46054</v>
      </c>
      <c r="J3715" s="10">
        <v>213.97</v>
      </c>
      <c r="K3715" s="10">
        <v>0</v>
      </c>
      <c r="L3715" s="24">
        <v>0</v>
      </c>
      <c r="M3715" s="10">
        <v>213.97</v>
      </c>
    </row>
    <row r="3716" spans="1:13" x14ac:dyDescent="0.25">
      <c r="A3716" s="12" t="str">
        <f t="shared" si="116"/>
        <v>IVA1312026SECRETARIA DE ADMINISTRAÇÃO DO GOVERNO DO ESTADO DE PERNAMBUCOIPV46054</v>
      </c>
      <c r="B3716" s="12" t="str">
        <f t="shared" si="117"/>
        <v>Setembro</v>
      </c>
      <c r="C3716" s="8" t="s">
        <v>1147</v>
      </c>
      <c r="D3716" s="8" t="s">
        <v>1723</v>
      </c>
      <c r="E3716" s="8" t="s">
        <v>1744</v>
      </c>
      <c r="F3716" s="23">
        <v>46054</v>
      </c>
      <c r="G3716" s="8" t="s">
        <v>1144</v>
      </c>
      <c r="H3716" s="23">
        <v>46275</v>
      </c>
      <c r="I3716" s="23">
        <v>46054</v>
      </c>
      <c r="J3716" s="10">
        <v>213.97</v>
      </c>
      <c r="K3716" s="10">
        <v>0</v>
      </c>
      <c r="L3716" s="24">
        <v>0</v>
      </c>
      <c r="M3716" s="10">
        <v>213.97</v>
      </c>
    </row>
    <row r="3717" spans="1:13" x14ac:dyDescent="0.25">
      <c r="A3717" s="12" t="str">
        <f t="shared" si="116"/>
        <v>IVA1322026SECRETARIA DE ADMINISTRAÇÃO DO GOVERNO DO ESTADO DE PERNAMBUCOIPV46057</v>
      </c>
      <c r="B3717" s="12" t="str">
        <f t="shared" si="117"/>
        <v>Fevereiro</v>
      </c>
      <c r="C3717" s="8" t="s">
        <v>1197</v>
      </c>
      <c r="D3717" s="8" t="s">
        <v>1723</v>
      </c>
      <c r="E3717" s="8" t="s">
        <v>1744</v>
      </c>
      <c r="F3717" s="23">
        <v>46057</v>
      </c>
      <c r="G3717" s="8" t="s">
        <v>1144</v>
      </c>
      <c r="H3717" s="23">
        <v>46072</v>
      </c>
      <c r="I3717" s="23">
        <v>46057</v>
      </c>
      <c r="J3717" s="10">
        <v>213.97</v>
      </c>
      <c r="K3717" s="10">
        <v>0</v>
      </c>
      <c r="L3717" s="24">
        <v>0</v>
      </c>
      <c r="M3717" s="10">
        <v>213.97</v>
      </c>
    </row>
    <row r="3718" spans="1:13" x14ac:dyDescent="0.25">
      <c r="A3718" s="12" t="str">
        <f t="shared" si="116"/>
        <v>IVA1322026SECRETARIA DE ADMINISTRAÇÃO DO GOVERNO DO ESTADO DE PERNAMBUCOIPV46057</v>
      </c>
      <c r="B3718" s="12" t="str">
        <f t="shared" si="117"/>
        <v>Março</v>
      </c>
      <c r="C3718" s="8" t="s">
        <v>1197</v>
      </c>
      <c r="D3718" s="8" t="s">
        <v>1723</v>
      </c>
      <c r="E3718" s="8" t="s">
        <v>1744</v>
      </c>
      <c r="F3718" s="23">
        <v>46057</v>
      </c>
      <c r="G3718" s="8" t="s">
        <v>1144</v>
      </c>
      <c r="H3718" s="23">
        <v>46097</v>
      </c>
      <c r="I3718" s="23">
        <v>46057</v>
      </c>
      <c r="J3718" s="10">
        <v>213.97</v>
      </c>
      <c r="K3718" s="10">
        <v>0</v>
      </c>
      <c r="L3718" s="24">
        <v>0</v>
      </c>
      <c r="M3718" s="10">
        <v>213.97</v>
      </c>
    </row>
    <row r="3719" spans="1:13" x14ac:dyDescent="0.25">
      <c r="A3719" s="12" t="str">
        <f t="shared" si="116"/>
        <v>IVA1322026SECRETARIA DE ADMINISTRAÇÃO DO GOVERNO DO ESTADO DE PERNAMBUCOIPV46057</v>
      </c>
      <c r="B3719" s="12" t="str">
        <f t="shared" si="117"/>
        <v>Abril</v>
      </c>
      <c r="C3719" s="8" t="s">
        <v>1197</v>
      </c>
      <c r="D3719" s="8" t="s">
        <v>1723</v>
      </c>
      <c r="E3719" s="8" t="s">
        <v>1744</v>
      </c>
      <c r="F3719" s="23">
        <v>46057</v>
      </c>
      <c r="G3719" s="8" t="s">
        <v>1144</v>
      </c>
      <c r="H3719" s="23">
        <v>46127</v>
      </c>
      <c r="I3719" s="23">
        <v>46057</v>
      </c>
      <c r="J3719" s="10">
        <v>213.97</v>
      </c>
      <c r="K3719" s="10">
        <v>0</v>
      </c>
      <c r="L3719" s="24">
        <v>0</v>
      </c>
      <c r="M3719" s="10">
        <v>213.97</v>
      </c>
    </row>
    <row r="3720" spans="1:13" x14ac:dyDescent="0.25">
      <c r="A3720" s="12" t="str">
        <f t="shared" si="116"/>
        <v>IVA1322026SECRETARIA DE ADMINISTRAÇÃO DO GOVERNO DO ESTADO DE PERNAMBUCOIPV46057</v>
      </c>
      <c r="B3720" s="12" t="str">
        <f t="shared" si="117"/>
        <v>Maio</v>
      </c>
      <c r="C3720" s="8" t="s">
        <v>1197</v>
      </c>
      <c r="D3720" s="8" t="s">
        <v>1723</v>
      </c>
      <c r="E3720" s="8" t="s">
        <v>1744</v>
      </c>
      <c r="F3720" s="23">
        <v>46057</v>
      </c>
      <c r="G3720" s="8" t="s">
        <v>1144</v>
      </c>
      <c r="H3720" s="23">
        <v>46157</v>
      </c>
      <c r="I3720" s="23">
        <v>46057</v>
      </c>
      <c r="J3720" s="10">
        <v>213.97</v>
      </c>
      <c r="K3720" s="10">
        <v>0</v>
      </c>
      <c r="L3720" s="24">
        <v>0</v>
      </c>
      <c r="M3720" s="10">
        <v>213.97</v>
      </c>
    </row>
    <row r="3721" spans="1:13" x14ac:dyDescent="0.25">
      <c r="A3721" s="12" t="str">
        <f t="shared" si="116"/>
        <v>IVA1322026SECRETARIA DE ADMINISTRAÇÃO DO GOVERNO DO ESTADO DE PERNAMBUCOIPV46057</v>
      </c>
      <c r="B3721" s="12" t="str">
        <f t="shared" si="117"/>
        <v>Junho</v>
      </c>
      <c r="C3721" s="8" t="s">
        <v>1197</v>
      </c>
      <c r="D3721" s="8" t="s">
        <v>1723</v>
      </c>
      <c r="E3721" s="8" t="s">
        <v>1744</v>
      </c>
      <c r="F3721" s="23">
        <v>46057</v>
      </c>
      <c r="G3721" s="8" t="s">
        <v>1144</v>
      </c>
      <c r="H3721" s="23">
        <v>46188</v>
      </c>
      <c r="I3721" s="23">
        <v>46057</v>
      </c>
      <c r="J3721" s="10">
        <v>213.97</v>
      </c>
      <c r="K3721" s="10">
        <v>0</v>
      </c>
      <c r="L3721" s="24">
        <v>0</v>
      </c>
      <c r="M3721" s="10">
        <v>213.97</v>
      </c>
    </row>
    <row r="3722" spans="1:13" x14ac:dyDescent="0.25">
      <c r="A3722" s="12" t="str">
        <f t="shared" si="116"/>
        <v>IVA1322026SECRETARIA DE ADMINISTRAÇÃO DO GOVERNO DO ESTADO DE PERNAMBUCOIPV46057</v>
      </c>
      <c r="B3722" s="12" t="str">
        <f t="shared" si="117"/>
        <v>Julho</v>
      </c>
      <c r="C3722" s="8" t="s">
        <v>1197</v>
      </c>
      <c r="D3722" s="8" t="s">
        <v>1723</v>
      </c>
      <c r="E3722" s="8" t="s">
        <v>1744</v>
      </c>
      <c r="F3722" s="23">
        <v>46057</v>
      </c>
      <c r="G3722" s="8" t="s">
        <v>1144</v>
      </c>
      <c r="H3722" s="23">
        <v>46218</v>
      </c>
      <c r="I3722" s="23">
        <v>46057</v>
      </c>
      <c r="J3722" s="10">
        <v>213.97</v>
      </c>
      <c r="K3722" s="10">
        <v>0</v>
      </c>
      <c r="L3722" s="24">
        <v>0</v>
      </c>
      <c r="M3722" s="10">
        <v>213.97</v>
      </c>
    </row>
    <row r="3723" spans="1:13" x14ac:dyDescent="0.25">
      <c r="A3723" s="12" t="str">
        <f t="shared" si="116"/>
        <v>IVA1322026SECRETARIA DE ADMINISTRAÇÃO DO GOVERNO DO ESTADO DE PERNAMBUCOIPV46057</v>
      </c>
      <c r="B3723" s="12" t="str">
        <f t="shared" si="117"/>
        <v>Agosto</v>
      </c>
      <c r="C3723" s="8" t="s">
        <v>1197</v>
      </c>
      <c r="D3723" s="8" t="s">
        <v>1723</v>
      </c>
      <c r="E3723" s="8" t="s">
        <v>1744</v>
      </c>
      <c r="F3723" s="23">
        <v>46057</v>
      </c>
      <c r="G3723" s="8" t="s">
        <v>1144</v>
      </c>
      <c r="H3723" s="23">
        <v>46251</v>
      </c>
      <c r="I3723" s="23">
        <v>46057</v>
      </c>
      <c r="J3723" s="10">
        <v>213.97</v>
      </c>
      <c r="K3723" s="10">
        <v>0</v>
      </c>
      <c r="L3723" s="24">
        <v>0</v>
      </c>
      <c r="M3723" s="10">
        <v>213.97</v>
      </c>
    </row>
    <row r="3724" spans="1:13" x14ac:dyDescent="0.25">
      <c r="A3724" s="12" t="str">
        <f t="shared" si="116"/>
        <v>IVA1322026SECRETARIA DE ADMINISTRAÇÃO DO GOVERNO DO ESTADO DE PERNAMBUCOIPV46057</v>
      </c>
      <c r="B3724" s="12" t="str">
        <f t="shared" si="117"/>
        <v>Setembro</v>
      </c>
      <c r="C3724" s="8" t="s">
        <v>1197</v>
      </c>
      <c r="D3724" s="8" t="s">
        <v>1723</v>
      </c>
      <c r="E3724" s="8" t="s">
        <v>1744</v>
      </c>
      <c r="F3724" s="23">
        <v>46057</v>
      </c>
      <c r="G3724" s="8" t="s">
        <v>1144</v>
      </c>
      <c r="H3724" s="23">
        <v>46280</v>
      </c>
      <c r="I3724" s="23">
        <v>46057</v>
      </c>
      <c r="J3724" s="10">
        <v>213.97</v>
      </c>
      <c r="K3724" s="10">
        <v>0</v>
      </c>
      <c r="L3724" s="24">
        <v>0</v>
      </c>
      <c r="M3724" s="10">
        <v>213.97</v>
      </c>
    </row>
    <row r="3725" spans="1:13" x14ac:dyDescent="0.25">
      <c r="A3725" s="12" t="str">
        <f t="shared" si="116"/>
        <v>IVA1332026SECRETARIA DE ADMINISTRAÇÃO DO GOVERNO DO ESTADO DE PERNAMBUCOIPV46054</v>
      </c>
      <c r="B3725" s="12" t="str">
        <f t="shared" si="117"/>
        <v>Fevereiro</v>
      </c>
      <c r="C3725" s="8" t="s">
        <v>1198</v>
      </c>
      <c r="D3725" s="8" t="s">
        <v>1723</v>
      </c>
      <c r="E3725" s="8" t="s">
        <v>1744</v>
      </c>
      <c r="F3725" s="23">
        <v>46054</v>
      </c>
      <c r="G3725" s="8" t="s">
        <v>1144</v>
      </c>
      <c r="H3725" s="23">
        <v>46072</v>
      </c>
      <c r="I3725" s="23">
        <v>46054</v>
      </c>
      <c r="J3725" s="10">
        <v>213.97</v>
      </c>
      <c r="K3725" s="10">
        <v>0</v>
      </c>
      <c r="L3725" s="24">
        <v>0</v>
      </c>
      <c r="M3725" s="10">
        <v>213.97</v>
      </c>
    </row>
    <row r="3726" spans="1:13" x14ac:dyDescent="0.25">
      <c r="A3726" s="12" t="str">
        <f t="shared" si="116"/>
        <v>IVA1332026SECRETARIA DE ADMINISTRAÇÃO DO GOVERNO DO ESTADO DE PERNAMBUCOIPV46054</v>
      </c>
      <c r="B3726" s="12" t="str">
        <f t="shared" si="117"/>
        <v>Março</v>
      </c>
      <c r="C3726" s="8" t="s">
        <v>1198</v>
      </c>
      <c r="D3726" s="8" t="s">
        <v>1723</v>
      </c>
      <c r="E3726" s="8" t="s">
        <v>1744</v>
      </c>
      <c r="F3726" s="23">
        <v>46054</v>
      </c>
      <c r="G3726" s="8" t="s">
        <v>1144</v>
      </c>
      <c r="H3726" s="23">
        <v>46097</v>
      </c>
      <c r="I3726" s="23">
        <v>46054</v>
      </c>
      <c r="J3726" s="10">
        <v>213.97</v>
      </c>
      <c r="K3726" s="10">
        <v>0</v>
      </c>
      <c r="L3726" s="24">
        <v>0</v>
      </c>
      <c r="M3726" s="10">
        <v>213.97</v>
      </c>
    </row>
    <row r="3727" spans="1:13" x14ac:dyDescent="0.25">
      <c r="A3727" s="12" t="str">
        <f t="shared" si="116"/>
        <v>IVA1332026SECRETARIA DE ADMINISTRAÇÃO DO GOVERNO DO ESTADO DE PERNAMBUCOIPV46054</v>
      </c>
      <c r="B3727" s="12" t="str">
        <f t="shared" si="117"/>
        <v>Abril</v>
      </c>
      <c r="C3727" s="8" t="s">
        <v>1198</v>
      </c>
      <c r="D3727" s="8" t="s">
        <v>1723</v>
      </c>
      <c r="E3727" s="8" t="s">
        <v>1744</v>
      </c>
      <c r="F3727" s="23">
        <v>46054</v>
      </c>
      <c r="G3727" s="8" t="s">
        <v>1144</v>
      </c>
      <c r="H3727" s="23">
        <v>46127</v>
      </c>
      <c r="I3727" s="23">
        <v>46054</v>
      </c>
      <c r="J3727" s="10">
        <v>213.97</v>
      </c>
      <c r="K3727" s="10">
        <v>0</v>
      </c>
      <c r="L3727" s="24">
        <v>0</v>
      </c>
      <c r="M3727" s="10">
        <v>213.97</v>
      </c>
    </row>
    <row r="3728" spans="1:13" x14ac:dyDescent="0.25">
      <c r="A3728" s="12" t="str">
        <f t="shared" si="116"/>
        <v>IVA1332026SECRETARIA DE ADMINISTRAÇÃO DO GOVERNO DO ESTADO DE PERNAMBUCOIPV46054</v>
      </c>
      <c r="B3728" s="12" t="str">
        <f t="shared" si="117"/>
        <v>Maio</v>
      </c>
      <c r="C3728" s="8" t="s">
        <v>1198</v>
      </c>
      <c r="D3728" s="8" t="s">
        <v>1723</v>
      </c>
      <c r="E3728" s="8" t="s">
        <v>1744</v>
      </c>
      <c r="F3728" s="23">
        <v>46054</v>
      </c>
      <c r="G3728" s="8" t="s">
        <v>1144</v>
      </c>
      <c r="H3728" s="23">
        <v>46157</v>
      </c>
      <c r="I3728" s="23">
        <v>46054</v>
      </c>
      <c r="J3728" s="10">
        <v>213.97</v>
      </c>
      <c r="K3728" s="10">
        <v>0</v>
      </c>
      <c r="L3728" s="24">
        <v>0</v>
      </c>
      <c r="M3728" s="10">
        <v>213.97</v>
      </c>
    </row>
    <row r="3729" spans="1:13" x14ac:dyDescent="0.25">
      <c r="A3729" s="12" t="str">
        <f t="shared" si="116"/>
        <v>IVA1332026SECRETARIA DE ADMINISTRAÇÃO DO GOVERNO DO ESTADO DE PERNAMBUCOIPV46054</v>
      </c>
      <c r="B3729" s="12" t="str">
        <f t="shared" si="117"/>
        <v>Junho</v>
      </c>
      <c r="C3729" s="8" t="s">
        <v>1198</v>
      </c>
      <c r="D3729" s="8" t="s">
        <v>1723</v>
      </c>
      <c r="E3729" s="8" t="s">
        <v>1744</v>
      </c>
      <c r="F3729" s="23">
        <v>46054</v>
      </c>
      <c r="G3729" s="8" t="s">
        <v>1144</v>
      </c>
      <c r="H3729" s="23">
        <v>46188</v>
      </c>
      <c r="I3729" s="23">
        <v>46054</v>
      </c>
      <c r="J3729" s="10">
        <v>213.97</v>
      </c>
      <c r="K3729" s="10">
        <v>0</v>
      </c>
      <c r="L3729" s="24">
        <v>0</v>
      </c>
      <c r="M3729" s="10">
        <v>213.97</v>
      </c>
    </row>
    <row r="3730" spans="1:13" x14ac:dyDescent="0.25">
      <c r="A3730" s="12" t="str">
        <f t="shared" si="116"/>
        <v>IVA1332026SECRETARIA DE ADMINISTRAÇÃO DO GOVERNO DO ESTADO DE PERNAMBUCOIPV46054</v>
      </c>
      <c r="B3730" s="12" t="str">
        <f t="shared" si="117"/>
        <v>Julho</v>
      </c>
      <c r="C3730" s="8" t="s">
        <v>1198</v>
      </c>
      <c r="D3730" s="8" t="s">
        <v>1723</v>
      </c>
      <c r="E3730" s="8" t="s">
        <v>1744</v>
      </c>
      <c r="F3730" s="23">
        <v>46054</v>
      </c>
      <c r="G3730" s="8" t="s">
        <v>1144</v>
      </c>
      <c r="H3730" s="23">
        <v>46218</v>
      </c>
      <c r="I3730" s="23">
        <v>46054</v>
      </c>
      <c r="J3730" s="10">
        <v>213.97</v>
      </c>
      <c r="K3730" s="10">
        <v>0</v>
      </c>
      <c r="L3730" s="24">
        <v>0</v>
      </c>
      <c r="M3730" s="10">
        <v>213.97</v>
      </c>
    </row>
    <row r="3731" spans="1:13" x14ac:dyDescent="0.25">
      <c r="A3731" s="12" t="str">
        <f t="shared" si="116"/>
        <v>IVA1332026SECRETARIA DE ADMINISTRAÇÃO DO GOVERNO DO ESTADO DE PERNAMBUCOIPV46054</v>
      </c>
      <c r="B3731" s="12" t="str">
        <f t="shared" si="117"/>
        <v>Agosto</v>
      </c>
      <c r="C3731" s="8" t="s">
        <v>1198</v>
      </c>
      <c r="D3731" s="8" t="s">
        <v>1723</v>
      </c>
      <c r="E3731" s="8" t="s">
        <v>1744</v>
      </c>
      <c r="F3731" s="23">
        <v>46054</v>
      </c>
      <c r="G3731" s="8" t="s">
        <v>1144</v>
      </c>
      <c r="H3731" s="23">
        <v>46251</v>
      </c>
      <c r="I3731" s="23">
        <v>46054</v>
      </c>
      <c r="J3731" s="10">
        <v>213.97</v>
      </c>
      <c r="K3731" s="10">
        <v>0</v>
      </c>
      <c r="L3731" s="24">
        <v>0</v>
      </c>
      <c r="M3731" s="10">
        <v>213.97</v>
      </c>
    </row>
    <row r="3732" spans="1:13" x14ac:dyDescent="0.25">
      <c r="A3732" s="12" t="str">
        <f t="shared" si="116"/>
        <v>IVA1332026SECRETARIA DE ADMINISTRAÇÃO DO GOVERNO DO ESTADO DE PERNAMBUCOIPV46054</v>
      </c>
      <c r="B3732" s="12" t="str">
        <f t="shared" si="117"/>
        <v>Setembro</v>
      </c>
      <c r="C3732" s="8" t="s">
        <v>1198</v>
      </c>
      <c r="D3732" s="8" t="s">
        <v>1723</v>
      </c>
      <c r="E3732" s="8" t="s">
        <v>1744</v>
      </c>
      <c r="F3732" s="23">
        <v>46054</v>
      </c>
      <c r="G3732" s="8" t="s">
        <v>1144</v>
      </c>
      <c r="H3732" s="23">
        <v>46280</v>
      </c>
      <c r="I3732" s="23">
        <v>46054</v>
      </c>
      <c r="J3732" s="10">
        <v>213.97</v>
      </c>
      <c r="K3732" s="10">
        <v>0</v>
      </c>
      <c r="L3732" s="24">
        <v>0</v>
      </c>
      <c r="M3732" s="10">
        <v>213.97</v>
      </c>
    </row>
    <row r="3733" spans="1:13" x14ac:dyDescent="0.25">
      <c r="A3733" s="12" t="str">
        <f t="shared" si="116"/>
        <v>IVA1342026SECRETARIA DE ADMINISTRAÇÃO DO GOVERNO DO ESTADO DE PERNAMBUCOIPV46054</v>
      </c>
      <c r="B3733" s="12" t="str">
        <f t="shared" si="117"/>
        <v>Fevereiro</v>
      </c>
      <c r="C3733" s="8" t="s">
        <v>1199</v>
      </c>
      <c r="D3733" s="8" t="s">
        <v>1723</v>
      </c>
      <c r="E3733" s="8" t="s">
        <v>1744</v>
      </c>
      <c r="F3733" s="23">
        <v>46054</v>
      </c>
      <c r="G3733" s="8" t="s">
        <v>1144</v>
      </c>
      <c r="H3733" s="23">
        <v>46072</v>
      </c>
      <c r="I3733" s="23">
        <v>46054</v>
      </c>
      <c r="J3733" s="10">
        <v>213.97</v>
      </c>
      <c r="K3733" s="10">
        <v>0</v>
      </c>
      <c r="L3733" s="24">
        <v>0</v>
      </c>
      <c r="M3733" s="10">
        <v>213.97</v>
      </c>
    </row>
    <row r="3734" spans="1:13" x14ac:dyDescent="0.25">
      <c r="A3734" s="12" t="str">
        <f t="shared" si="116"/>
        <v>IVA1342026SECRETARIA DE ADMINISTRAÇÃO DO GOVERNO DO ESTADO DE PERNAMBUCOIPV46054</v>
      </c>
      <c r="B3734" s="12" t="str">
        <f t="shared" si="117"/>
        <v>Março</v>
      </c>
      <c r="C3734" s="8" t="s">
        <v>1199</v>
      </c>
      <c r="D3734" s="8" t="s">
        <v>1723</v>
      </c>
      <c r="E3734" s="8" t="s">
        <v>1744</v>
      </c>
      <c r="F3734" s="23">
        <v>46054</v>
      </c>
      <c r="G3734" s="8" t="s">
        <v>1144</v>
      </c>
      <c r="H3734" s="23">
        <v>46097</v>
      </c>
      <c r="I3734" s="23">
        <v>46054</v>
      </c>
      <c r="J3734" s="10">
        <v>213.97</v>
      </c>
      <c r="K3734" s="10">
        <v>0</v>
      </c>
      <c r="L3734" s="24">
        <v>0</v>
      </c>
      <c r="M3734" s="10">
        <v>213.97</v>
      </c>
    </row>
    <row r="3735" spans="1:13" x14ac:dyDescent="0.25">
      <c r="A3735" s="12" t="str">
        <f t="shared" si="116"/>
        <v>IVA1342026SECRETARIA DE ADMINISTRAÇÃO DO GOVERNO DO ESTADO DE PERNAMBUCOIPV46054</v>
      </c>
      <c r="B3735" s="12" t="str">
        <f t="shared" si="117"/>
        <v>Abril</v>
      </c>
      <c r="C3735" s="8" t="s">
        <v>1199</v>
      </c>
      <c r="D3735" s="8" t="s">
        <v>1723</v>
      </c>
      <c r="E3735" s="8" t="s">
        <v>1744</v>
      </c>
      <c r="F3735" s="23">
        <v>46054</v>
      </c>
      <c r="G3735" s="8" t="s">
        <v>1144</v>
      </c>
      <c r="H3735" s="23">
        <v>46127</v>
      </c>
      <c r="I3735" s="23">
        <v>46054</v>
      </c>
      <c r="J3735" s="10">
        <v>213.97</v>
      </c>
      <c r="K3735" s="10">
        <v>0</v>
      </c>
      <c r="L3735" s="24">
        <v>0</v>
      </c>
      <c r="M3735" s="10">
        <v>213.97</v>
      </c>
    </row>
    <row r="3736" spans="1:13" x14ac:dyDescent="0.25">
      <c r="A3736" s="12" t="str">
        <f t="shared" si="116"/>
        <v>IVA1342026SECRETARIA DE ADMINISTRAÇÃO DO GOVERNO DO ESTADO DE PERNAMBUCOIPV46054</v>
      </c>
      <c r="B3736" s="12" t="str">
        <f t="shared" si="117"/>
        <v>Maio</v>
      </c>
      <c r="C3736" s="8" t="s">
        <v>1199</v>
      </c>
      <c r="D3736" s="8" t="s">
        <v>1723</v>
      </c>
      <c r="E3736" s="8" t="s">
        <v>1744</v>
      </c>
      <c r="F3736" s="23">
        <v>46054</v>
      </c>
      <c r="G3736" s="8" t="s">
        <v>1144</v>
      </c>
      <c r="H3736" s="23">
        <v>46157</v>
      </c>
      <c r="I3736" s="23">
        <v>46054</v>
      </c>
      <c r="J3736" s="10">
        <v>213.97</v>
      </c>
      <c r="K3736" s="10">
        <v>0</v>
      </c>
      <c r="L3736" s="24">
        <v>0</v>
      </c>
      <c r="M3736" s="10">
        <v>213.97</v>
      </c>
    </row>
    <row r="3737" spans="1:13" x14ac:dyDescent="0.25">
      <c r="A3737" s="12" t="str">
        <f t="shared" si="116"/>
        <v>IVA1342026SECRETARIA DE ADMINISTRAÇÃO DO GOVERNO DO ESTADO DE PERNAMBUCOIPV46054</v>
      </c>
      <c r="B3737" s="12" t="str">
        <f t="shared" si="117"/>
        <v>Junho</v>
      </c>
      <c r="C3737" s="8" t="s">
        <v>1199</v>
      </c>
      <c r="D3737" s="8" t="s">
        <v>1723</v>
      </c>
      <c r="E3737" s="8" t="s">
        <v>1744</v>
      </c>
      <c r="F3737" s="23">
        <v>46054</v>
      </c>
      <c r="G3737" s="8" t="s">
        <v>1144</v>
      </c>
      <c r="H3737" s="23">
        <v>46188</v>
      </c>
      <c r="I3737" s="23">
        <v>46054</v>
      </c>
      <c r="J3737" s="10">
        <v>213.97</v>
      </c>
      <c r="K3737" s="10">
        <v>0</v>
      </c>
      <c r="L3737" s="24">
        <v>0</v>
      </c>
      <c r="M3737" s="10">
        <v>213.97</v>
      </c>
    </row>
    <row r="3738" spans="1:13" x14ac:dyDescent="0.25">
      <c r="A3738" s="12" t="str">
        <f t="shared" si="116"/>
        <v>IVA1342026SECRETARIA DE ADMINISTRAÇÃO DO GOVERNO DO ESTADO DE PERNAMBUCOIPV46054</v>
      </c>
      <c r="B3738" s="12" t="str">
        <f t="shared" si="117"/>
        <v>Julho</v>
      </c>
      <c r="C3738" s="8" t="s">
        <v>1199</v>
      </c>
      <c r="D3738" s="8" t="s">
        <v>1723</v>
      </c>
      <c r="E3738" s="8" t="s">
        <v>1744</v>
      </c>
      <c r="F3738" s="23">
        <v>46054</v>
      </c>
      <c r="G3738" s="8" t="s">
        <v>1144</v>
      </c>
      <c r="H3738" s="23">
        <v>46218</v>
      </c>
      <c r="I3738" s="23">
        <v>46054</v>
      </c>
      <c r="J3738" s="10">
        <v>213.97</v>
      </c>
      <c r="K3738" s="10">
        <v>0</v>
      </c>
      <c r="L3738" s="24">
        <v>0</v>
      </c>
      <c r="M3738" s="10">
        <v>213.97</v>
      </c>
    </row>
    <row r="3739" spans="1:13" x14ac:dyDescent="0.25">
      <c r="A3739" s="12" t="str">
        <f t="shared" ref="A3739:A3802" si="118">$C3739&amp;$E3739&amp;$G3739&amp;$F3739</f>
        <v>IVA1342026SECRETARIA DE ADMINISTRAÇÃO DO GOVERNO DO ESTADO DE PERNAMBUCOIPV46054</v>
      </c>
      <c r="B3739" s="12" t="str">
        <f t="shared" si="117"/>
        <v>Agosto</v>
      </c>
      <c r="C3739" s="8" t="s">
        <v>1199</v>
      </c>
      <c r="D3739" s="8" t="s">
        <v>1723</v>
      </c>
      <c r="E3739" s="8" t="s">
        <v>1744</v>
      </c>
      <c r="F3739" s="23">
        <v>46054</v>
      </c>
      <c r="G3739" s="8" t="s">
        <v>1144</v>
      </c>
      <c r="H3739" s="23">
        <v>46251</v>
      </c>
      <c r="I3739" s="23">
        <v>46054</v>
      </c>
      <c r="J3739" s="10">
        <v>213.97</v>
      </c>
      <c r="K3739" s="10">
        <v>0</v>
      </c>
      <c r="L3739" s="24">
        <v>0</v>
      </c>
      <c r="M3739" s="10">
        <v>213.97</v>
      </c>
    </row>
    <row r="3740" spans="1:13" x14ac:dyDescent="0.25">
      <c r="A3740" s="12" t="str">
        <f t="shared" si="118"/>
        <v>IVA1342026SECRETARIA DE ADMINISTRAÇÃO DO GOVERNO DO ESTADO DE PERNAMBUCOIPV46054</v>
      </c>
      <c r="B3740" s="12" t="str">
        <f t="shared" si="117"/>
        <v>Setembro</v>
      </c>
      <c r="C3740" s="8" t="s">
        <v>1199</v>
      </c>
      <c r="D3740" s="8" t="s">
        <v>1723</v>
      </c>
      <c r="E3740" s="8" t="s">
        <v>1744</v>
      </c>
      <c r="F3740" s="23">
        <v>46054</v>
      </c>
      <c r="G3740" s="8" t="s">
        <v>1144</v>
      </c>
      <c r="H3740" s="23">
        <v>46280</v>
      </c>
      <c r="I3740" s="23">
        <v>46054</v>
      </c>
      <c r="J3740" s="10">
        <v>213.97</v>
      </c>
      <c r="K3740" s="10">
        <v>0</v>
      </c>
      <c r="L3740" s="24">
        <v>0</v>
      </c>
      <c r="M3740" s="10">
        <v>213.97</v>
      </c>
    </row>
    <row r="3741" spans="1:13" x14ac:dyDescent="0.25">
      <c r="A3741" s="12" t="str">
        <f t="shared" si="118"/>
        <v>IVA1352026SECRETARIA DE ADMINISTRAÇÃO DO GOVERNO DO ESTADO DE PERNAMBUCOIPV46054</v>
      </c>
      <c r="B3741" s="12" t="str">
        <f t="shared" si="117"/>
        <v>Fevereiro</v>
      </c>
      <c r="C3741" s="8" t="s">
        <v>1200</v>
      </c>
      <c r="D3741" s="8" t="s">
        <v>1723</v>
      </c>
      <c r="E3741" s="8" t="s">
        <v>1744</v>
      </c>
      <c r="F3741" s="23">
        <v>46054</v>
      </c>
      <c r="G3741" s="8" t="s">
        <v>1144</v>
      </c>
      <c r="H3741" s="23">
        <v>46072</v>
      </c>
      <c r="I3741" s="23">
        <v>46054</v>
      </c>
      <c r="J3741" s="10">
        <v>213.97</v>
      </c>
      <c r="K3741" s="10">
        <v>0</v>
      </c>
      <c r="L3741" s="24">
        <v>0</v>
      </c>
      <c r="M3741" s="10">
        <v>213.97</v>
      </c>
    </row>
    <row r="3742" spans="1:13" x14ac:dyDescent="0.25">
      <c r="A3742" s="12" t="str">
        <f t="shared" si="118"/>
        <v>IVA1352026SECRETARIA DE ADMINISTRAÇÃO DO GOVERNO DO ESTADO DE PERNAMBUCOIPV46054</v>
      </c>
      <c r="B3742" s="12" t="str">
        <f t="shared" si="117"/>
        <v>Março</v>
      </c>
      <c r="C3742" s="8" t="s">
        <v>1200</v>
      </c>
      <c r="D3742" s="8" t="s">
        <v>1723</v>
      </c>
      <c r="E3742" s="8" t="s">
        <v>1744</v>
      </c>
      <c r="F3742" s="23">
        <v>46054</v>
      </c>
      <c r="G3742" s="8" t="s">
        <v>1144</v>
      </c>
      <c r="H3742" s="23">
        <v>46097</v>
      </c>
      <c r="I3742" s="23">
        <v>46054</v>
      </c>
      <c r="J3742" s="10">
        <v>213.97</v>
      </c>
      <c r="K3742" s="10">
        <v>0</v>
      </c>
      <c r="L3742" s="24">
        <v>0</v>
      </c>
      <c r="M3742" s="10">
        <v>213.97</v>
      </c>
    </row>
    <row r="3743" spans="1:13" x14ac:dyDescent="0.25">
      <c r="A3743" s="12" t="str">
        <f t="shared" si="118"/>
        <v>IVA1352026SECRETARIA DE ADMINISTRAÇÃO DO GOVERNO DO ESTADO DE PERNAMBUCOIPV46054</v>
      </c>
      <c r="B3743" s="12" t="str">
        <f t="shared" si="117"/>
        <v>Abril</v>
      </c>
      <c r="C3743" s="8" t="s">
        <v>1200</v>
      </c>
      <c r="D3743" s="8" t="s">
        <v>1723</v>
      </c>
      <c r="E3743" s="8" t="s">
        <v>1744</v>
      </c>
      <c r="F3743" s="23">
        <v>46054</v>
      </c>
      <c r="G3743" s="8" t="s">
        <v>1144</v>
      </c>
      <c r="H3743" s="23">
        <v>46127</v>
      </c>
      <c r="I3743" s="23">
        <v>46054</v>
      </c>
      <c r="J3743" s="10">
        <v>213.97</v>
      </c>
      <c r="K3743" s="10">
        <v>0</v>
      </c>
      <c r="L3743" s="24">
        <v>0</v>
      </c>
      <c r="M3743" s="10">
        <v>213.97</v>
      </c>
    </row>
    <row r="3744" spans="1:13" x14ac:dyDescent="0.25">
      <c r="A3744" s="12" t="str">
        <f t="shared" si="118"/>
        <v>IVA1352026SECRETARIA DE ADMINISTRAÇÃO DO GOVERNO DO ESTADO DE PERNAMBUCOIPV46054</v>
      </c>
      <c r="B3744" s="12" t="str">
        <f t="shared" si="117"/>
        <v>Maio</v>
      </c>
      <c r="C3744" s="8" t="s">
        <v>1200</v>
      </c>
      <c r="D3744" s="8" t="s">
        <v>1723</v>
      </c>
      <c r="E3744" s="8" t="s">
        <v>1744</v>
      </c>
      <c r="F3744" s="23">
        <v>46054</v>
      </c>
      <c r="G3744" s="8" t="s">
        <v>1144</v>
      </c>
      <c r="H3744" s="23">
        <v>46157</v>
      </c>
      <c r="I3744" s="23">
        <v>46054</v>
      </c>
      <c r="J3744" s="10">
        <v>213.97</v>
      </c>
      <c r="K3744" s="10">
        <v>0</v>
      </c>
      <c r="L3744" s="24">
        <v>0</v>
      </c>
      <c r="M3744" s="10">
        <v>213.97</v>
      </c>
    </row>
    <row r="3745" spans="1:13" x14ac:dyDescent="0.25">
      <c r="A3745" s="12" t="str">
        <f t="shared" si="118"/>
        <v>IVA1352026SECRETARIA DE ADMINISTRAÇÃO DO GOVERNO DO ESTADO DE PERNAMBUCOIPV46054</v>
      </c>
      <c r="B3745" s="12" t="str">
        <f t="shared" si="117"/>
        <v>Junho</v>
      </c>
      <c r="C3745" s="8" t="s">
        <v>1200</v>
      </c>
      <c r="D3745" s="8" t="s">
        <v>1723</v>
      </c>
      <c r="E3745" s="8" t="s">
        <v>1744</v>
      </c>
      <c r="F3745" s="23">
        <v>46054</v>
      </c>
      <c r="G3745" s="8" t="s">
        <v>1144</v>
      </c>
      <c r="H3745" s="23">
        <v>46188</v>
      </c>
      <c r="I3745" s="23">
        <v>46054</v>
      </c>
      <c r="J3745" s="10">
        <v>213.97</v>
      </c>
      <c r="K3745" s="10">
        <v>0</v>
      </c>
      <c r="L3745" s="24">
        <v>0</v>
      </c>
      <c r="M3745" s="10">
        <v>213.97</v>
      </c>
    </row>
    <row r="3746" spans="1:13" x14ac:dyDescent="0.25">
      <c r="A3746" s="12" t="str">
        <f t="shared" si="118"/>
        <v>IVA1352026SECRETARIA DE ADMINISTRAÇÃO DO GOVERNO DO ESTADO DE PERNAMBUCOIPV46054</v>
      </c>
      <c r="B3746" s="12" t="str">
        <f t="shared" si="117"/>
        <v>Julho</v>
      </c>
      <c r="C3746" s="8" t="s">
        <v>1200</v>
      </c>
      <c r="D3746" s="8" t="s">
        <v>1723</v>
      </c>
      <c r="E3746" s="8" t="s">
        <v>1744</v>
      </c>
      <c r="F3746" s="23">
        <v>46054</v>
      </c>
      <c r="G3746" s="8" t="s">
        <v>1144</v>
      </c>
      <c r="H3746" s="23">
        <v>46218</v>
      </c>
      <c r="I3746" s="23">
        <v>46054</v>
      </c>
      <c r="J3746" s="10">
        <v>213.97</v>
      </c>
      <c r="K3746" s="10">
        <v>0</v>
      </c>
      <c r="L3746" s="24">
        <v>0</v>
      </c>
      <c r="M3746" s="10">
        <v>213.97</v>
      </c>
    </row>
    <row r="3747" spans="1:13" x14ac:dyDescent="0.25">
      <c r="A3747" s="12" t="str">
        <f t="shared" si="118"/>
        <v>IVA1352026SECRETARIA DE ADMINISTRAÇÃO DO GOVERNO DO ESTADO DE PERNAMBUCOIPV46054</v>
      </c>
      <c r="B3747" s="12" t="str">
        <f t="shared" si="117"/>
        <v>Agosto</v>
      </c>
      <c r="C3747" s="8" t="s">
        <v>1200</v>
      </c>
      <c r="D3747" s="8" t="s">
        <v>1723</v>
      </c>
      <c r="E3747" s="8" t="s">
        <v>1744</v>
      </c>
      <c r="F3747" s="23">
        <v>46054</v>
      </c>
      <c r="G3747" s="8" t="s">
        <v>1144</v>
      </c>
      <c r="H3747" s="23">
        <v>46251</v>
      </c>
      <c r="I3747" s="23">
        <v>46054</v>
      </c>
      <c r="J3747" s="10">
        <v>213.97</v>
      </c>
      <c r="K3747" s="10">
        <v>0</v>
      </c>
      <c r="L3747" s="24">
        <v>0</v>
      </c>
      <c r="M3747" s="10">
        <v>213.97</v>
      </c>
    </row>
    <row r="3748" spans="1:13" x14ac:dyDescent="0.25">
      <c r="A3748" s="12" t="str">
        <f t="shared" si="118"/>
        <v>IVA1352026SECRETARIA DE ADMINISTRAÇÃO DO GOVERNO DO ESTADO DE PERNAMBUCOIPV46054</v>
      </c>
      <c r="B3748" s="12" t="str">
        <f t="shared" si="117"/>
        <v>Setembro</v>
      </c>
      <c r="C3748" s="8" t="s">
        <v>1200</v>
      </c>
      <c r="D3748" s="8" t="s">
        <v>1723</v>
      </c>
      <c r="E3748" s="8" t="s">
        <v>1744</v>
      </c>
      <c r="F3748" s="23">
        <v>46054</v>
      </c>
      <c r="G3748" s="8" t="s">
        <v>1144</v>
      </c>
      <c r="H3748" s="23">
        <v>46280</v>
      </c>
      <c r="I3748" s="23">
        <v>46054</v>
      </c>
      <c r="J3748" s="10">
        <v>213.97</v>
      </c>
      <c r="K3748" s="10">
        <v>0</v>
      </c>
      <c r="L3748" s="24">
        <v>0</v>
      </c>
      <c r="M3748" s="10">
        <v>213.97</v>
      </c>
    </row>
    <row r="3749" spans="1:13" x14ac:dyDescent="0.25">
      <c r="A3749" s="12" t="str">
        <f t="shared" si="118"/>
        <v>IVA1362026SECRETARIA DE ADMINISTRAÇÃO DO GOVERNO DO ESTADO DE PERNAMBUCOIPV46054</v>
      </c>
      <c r="B3749" s="12" t="str">
        <f t="shared" si="117"/>
        <v>Fevereiro</v>
      </c>
      <c r="C3749" s="8" t="s">
        <v>1201</v>
      </c>
      <c r="D3749" s="8" t="s">
        <v>1723</v>
      </c>
      <c r="E3749" s="8" t="s">
        <v>1744</v>
      </c>
      <c r="F3749" s="23">
        <v>46054</v>
      </c>
      <c r="G3749" s="8" t="s">
        <v>1144</v>
      </c>
      <c r="H3749" s="23">
        <v>46072</v>
      </c>
      <c r="I3749" s="23">
        <v>46054</v>
      </c>
      <c r="J3749" s="10">
        <v>213.97</v>
      </c>
      <c r="K3749" s="10">
        <v>0</v>
      </c>
      <c r="L3749" s="24">
        <v>0</v>
      </c>
      <c r="M3749" s="10">
        <v>213.97</v>
      </c>
    </row>
    <row r="3750" spans="1:13" x14ac:dyDescent="0.25">
      <c r="A3750" s="12" t="str">
        <f t="shared" si="118"/>
        <v>IVA1362026SECRETARIA DE ADMINISTRAÇÃO DO GOVERNO DO ESTADO DE PERNAMBUCOIPV46054</v>
      </c>
      <c r="B3750" s="12" t="str">
        <f t="shared" si="117"/>
        <v>Março</v>
      </c>
      <c r="C3750" s="8" t="s">
        <v>1201</v>
      </c>
      <c r="D3750" s="8" t="s">
        <v>1723</v>
      </c>
      <c r="E3750" s="8" t="s">
        <v>1744</v>
      </c>
      <c r="F3750" s="23">
        <v>46054</v>
      </c>
      <c r="G3750" s="8" t="s">
        <v>1144</v>
      </c>
      <c r="H3750" s="23">
        <v>46097</v>
      </c>
      <c r="I3750" s="23">
        <v>46054</v>
      </c>
      <c r="J3750" s="10">
        <v>213.97</v>
      </c>
      <c r="K3750" s="10">
        <v>0</v>
      </c>
      <c r="L3750" s="24">
        <v>0</v>
      </c>
      <c r="M3750" s="10">
        <v>213.97</v>
      </c>
    </row>
    <row r="3751" spans="1:13" x14ac:dyDescent="0.25">
      <c r="A3751" s="12" t="str">
        <f t="shared" si="118"/>
        <v>IVA1362026SECRETARIA DE ADMINISTRAÇÃO DO GOVERNO DO ESTADO DE PERNAMBUCOIPV46054</v>
      </c>
      <c r="B3751" s="12" t="str">
        <f t="shared" si="117"/>
        <v>Abril</v>
      </c>
      <c r="C3751" s="8" t="s">
        <v>1201</v>
      </c>
      <c r="D3751" s="8" t="s">
        <v>1723</v>
      </c>
      <c r="E3751" s="8" t="s">
        <v>1744</v>
      </c>
      <c r="F3751" s="23">
        <v>46054</v>
      </c>
      <c r="G3751" s="8" t="s">
        <v>1144</v>
      </c>
      <c r="H3751" s="23">
        <v>46127</v>
      </c>
      <c r="I3751" s="23">
        <v>46054</v>
      </c>
      <c r="J3751" s="10">
        <v>213.97</v>
      </c>
      <c r="K3751" s="10">
        <v>0</v>
      </c>
      <c r="L3751" s="24">
        <v>0</v>
      </c>
      <c r="M3751" s="10">
        <v>213.97</v>
      </c>
    </row>
    <row r="3752" spans="1:13" x14ac:dyDescent="0.25">
      <c r="A3752" s="12" t="str">
        <f t="shared" si="118"/>
        <v>IVA1362026SECRETARIA DE ADMINISTRAÇÃO DO GOVERNO DO ESTADO DE PERNAMBUCOIPV46054</v>
      </c>
      <c r="B3752" s="12" t="str">
        <f t="shared" si="117"/>
        <v>Maio</v>
      </c>
      <c r="C3752" s="8" t="s">
        <v>1201</v>
      </c>
      <c r="D3752" s="8" t="s">
        <v>1723</v>
      </c>
      <c r="E3752" s="8" t="s">
        <v>1744</v>
      </c>
      <c r="F3752" s="23">
        <v>46054</v>
      </c>
      <c r="G3752" s="8" t="s">
        <v>1144</v>
      </c>
      <c r="H3752" s="23">
        <v>46157</v>
      </c>
      <c r="I3752" s="23">
        <v>46054</v>
      </c>
      <c r="J3752" s="10">
        <v>213.97</v>
      </c>
      <c r="K3752" s="10">
        <v>0</v>
      </c>
      <c r="L3752" s="24">
        <v>0</v>
      </c>
      <c r="M3752" s="10">
        <v>213.97</v>
      </c>
    </row>
    <row r="3753" spans="1:13" x14ac:dyDescent="0.25">
      <c r="A3753" s="12" t="str">
        <f t="shared" si="118"/>
        <v>IVA1362026SECRETARIA DE ADMINISTRAÇÃO DO GOVERNO DO ESTADO DE PERNAMBUCOIPV46054</v>
      </c>
      <c r="B3753" s="12" t="str">
        <f t="shared" si="117"/>
        <v>Junho</v>
      </c>
      <c r="C3753" s="8" t="s">
        <v>1201</v>
      </c>
      <c r="D3753" s="8" t="s">
        <v>1723</v>
      </c>
      <c r="E3753" s="8" t="s">
        <v>1744</v>
      </c>
      <c r="F3753" s="23">
        <v>46054</v>
      </c>
      <c r="G3753" s="8" t="s">
        <v>1144</v>
      </c>
      <c r="H3753" s="23">
        <v>46188</v>
      </c>
      <c r="I3753" s="23">
        <v>46054</v>
      </c>
      <c r="J3753" s="10">
        <v>213.97</v>
      </c>
      <c r="K3753" s="10">
        <v>0</v>
      </c>
      <c r="L3753" s="24">
        <v>0</v>
      </c>
      <c r="M3753" s="10">
        <v>213.97</v>
      </c>
    </row>
    <row r="3754" spans="1:13" x14ac:dyDescent="0.25">
      <c r="A3754" s="12" t="str">
        <f t="shared" si="118"/>
        <v>IVA1362026SECRETARIA DE ADMINISTRAÇÃO DO GOVERNO DO ESTADO DE PERNAMBUCOIPV46054</v>
      </c>
      <c r="B3754" s="12" t="str">
        <f t="shared" si="117"/>
        <v>Julho</v>
      </c>
      <c r="C3754" s="8" t="s">
        <v>1201</v>
      </c>
      <c r="D3754" s="8" t="s">
        <v>1723</v>
      </c>
      <c r="E3754" s="8" t="s">
        <v>1744</v>
      </c>
      <c r="F3754" s="23">
        <v>46054</v>
      </c>
      <c r="G3754" s="8" t="s">
        <v>1144</v>
      </c>
      <c r="H3754" s="23">
        <v>46218</v>
      </c>
      <c r="I3754" s="23">
        <v>46054</v>
      </c>
      <c r="J3754" s="10">
        <v>213.97</v>
      </c>
      <c r="K3754" s="10">
        <v>0</v>
      </c>
      <c r="L3754" s="24">
        <v>0</v>
      </c>
      <c r="M3754" s="10">
        <v>213.97</v>
      </c>
    </row>
    <row r="3755" spans="1:13" x14ac:dyDescent="0.25">
      <c r="A3755" s="12" t="str">
        <f t="shared" si="118"/>
        <v>IVA1362026SECRETARIA DE ADMINISTRAÇÃO DO GOVERNO DO ESTADO DE PERNAMBUCOIPV46054</v>
      </c>
      <c r="B3755" s="12" t="str">
        <f t="shared" si="117"/>
        <v>Agosto</v>
      </c>
      <c r="C3755" s="8" t="s">
        <v>1201</v>
      </c>
      <c r="D3755" s="8" t="s">
        <v>1723</v>
      </c>
      <c r="E3755" s="8" t="s">
        <v>1744</v>
      </c>
      <c r="F3755" s="23">
        <v>46054</v>
      </c>
      <c r="G3755" s="8" t="s">
        <v>1144</v>
      </c>
      <c r="H3755" s="23">
        <v>46251</v>
      </c>
      <c r="I3755" s="23">
        <v>46054</v>
      </c>
      <c r="J3755" s="10">
        <v>213.97</v>
      </c>
      <c r="K3755" s="10">
        <v>0</v>
      </c>
      <c r="L3755" s="24">
        <v>0</v>
      </c>
      <c r="M3755" s="10">
        <v>213.97</v>
      </c>
    </row>
    <row r="3756" spans="1:13" x14ac:dyDescent="0.25">
      <c r="A3756" s="12" t="str">
        <f t="shared" si="118"/>
        <v>IVA1362026SECRETARIA DE ADMINISTRAÇÃO DO GOVERNO DO ESTADO DE PERNAMBUCOIPV46054</v>
      </c>
      <c r="B3756" s="12" t="str">
        <f t="shared" si="117"/>
        <v>Setembro</v>
      </c>
      <c r="C3756" s="8" t="s">
        <v>1201</v>
      </c>
      <c r="D3756" s="8" t="s">
        <v>1723</v>
      </c>
      <c r="E3756" s="8" t="s">
        <v>1744</v>
      </c>
      <c r="F3756" s="23">
        <v>46054</v>
      </c>
      <c r="G3756" s="8" t="s">
        <v>1144</v>
      </c>
      <c r="H3756" s="23">
        <v>46280</v>
      </c>
      <c r="I3756" s="23">
        <v>46054</v>
      </c>
      <c r="J3756" s="10">
        <v>213.97</v>
      </c>
      <c r="K3756" s="10">
        <v>0</v>
      </c>
      <c r="L3756" s="24">
        <v>0</v>
      </c>
      <c r="M3756" s="10">
        <v>213.97</v>
      </c>
    </row>
    <row r="3757" spans="1:13" x14ac:dyDescent="0.25">
      <c r="A3757" s="12" t="str">
        <f t="shared" si="118"/>
        <v>IVA1372026SECRETARIA DE ADMINISTRAÇÃO DO GOVERNO DO ESTADO DE PERNAMBUCOIPV46054</v>
      </c>
      <c r="B3757" s="12" t="str">
        <f t="shared" si="117"/>
        <v>Fevereiro</v>
      </c>
      <c r="C3757" s="8" t="s">
        <v>1202</v>
      </c>
      <c r="D3757" s="8" t="s">
        <v>1723</v>
      </c>
      <c r="E3757" s="8" t="s">
        <v>1744</v>
      </c>
      <c r="F3757" s="23">
        <v>46054</v>
      </c>
      <c r="G3757" s="8" t="s">
        <v>1144</v>
      </c>
      <c r="H3757" s="23">
        <v>46072</v>
      </c>
      <c r="I3757" s="23">
        <v>46054</v>
      </c>
      <c r="J3757" s="10">
        <v>213.97</v>
      </c>
      <c r="K3757" s="10">
        <v>0</v>
      </c>
      <c r="L3757" s="24">
        <v>0</v>
      </c>
      <c r="M3757" s="10">
        <v>213.97</v>
      </c>
    </row>
    <row r="3758" spans="1:13" x14ac:dyDescent="0.25">
      <c r="A3758" s="12" t="str">
        <f t="shared" si="118"/>
        <v>IVA1372026SECRETARIA DE ADMINISTRAÇÃO DO GOVERNO DO ESTADO DE PERNAMBUCOIPV46054</v>
      </c>
      <c r="B3758" s="12" t="str">
        <f t="shared" si="117"/>
        <v>Março</v>
      </c>
      <c r="C3758" s="8" t="s">
        <v>1202</v>
      </c>
      <c r="D3758" s="8" t="s">
        <v>1723</v>
      </c>
      <c r="E3758" s="8" t="s">
        <v>1744</v>
      </c>
      <c r="F3758" s="23">
        <v>46054</v>
      </c>
      <c r="G3758" s="8" t="s">
        <v>1144</v>
      </c>
      <c r="H3758" s="23">
        <v>46097</v>
      </c>
      <c r="I3758" s="23">
        <v>46054</v>
      </c>
      <c r="J3758" s="10">
        <v>213.97</v>
      </c>
      <c r="K3758" s="10">
        <v>0</v>
      </c>
      <c r="L3758" s="24">
        <v>0</v>
      </c>
      <c r="M3758" s="10">
        <v>213.97</v>
      </c>
    </row>
    <row r="3759" spans="1:13" x14ac:dyDescent="0.25">
      <c r="A3759" s="12" t="str">
        <f t="shared" si="118"/>
        <v>IVA1372026SECRETARIA DE ADMINISTRAÇÃO DO GOVERNO DO ESTADO DE PERNAMBUCOIPV46054</v>
      </c>
      <c r="B3759" s="12" t="str">
        <f t="shared" si="117"/>
        <v>Abril</v>
      </c>
      <c r="C3759" s="8" t="s">
        <v>1202</v>
      </c>
      <c r="D3759" s="8" t="s">
        <v>1723</v>
      </c>
      <c r="E3759" s="8" t="s">
        <v>1744</v>
      </c>
      <c r="F3759" s="23">
        <v>46054</v>
      </c>
      <c r="G3759" s="8" t="s">
        <v>1144</v>
      </c>
      <c r="H3759" s="23">
        <v>46127</v>
      </c>
      <c r="I3759" s="23">
        <v>46054</v>
      </c>
      <c r="J3759" s="10">
        <v>213.97</v>
      </c>
      <c r="K3759" s="10">
        <v>0</v>
      </c>
      <c r="L3759" s="24">
        <v>0</v>
      </c>
      <c r="M3759" s="10">
        <v>213.97</v>
      </c>
    </row>
    <row r="3760" spans="1:13" x14ac:dyDescent="0.25">
      <c r="A3760" s="12" t="str">
        <f t="shared" si="118"/>
        <v>IVA1372026SECRETARIA DE ADMINISTRAÇÃO DO GOVERNO DO ESTADO DE PERNAMBUCOIPV46054</v>
      </c>
      <c r="B3760" s="12" t="str">
        <f t="shared" si="117"/>
        <v>Maio</v>
      </c>
      <c r="C3760" s="8" t="s">
        <v>1202</v>
      </c>
      <c r="D3760" s="8" t="s">
        <v>1723</v>
      </c>
      <c r="E3760" s="8" t="s">
        <v>1744</v>
      </c>
      <c r="F3760" s="23">
        <v>46054</v>
      </c>
      <c r="G3760" s="8" t="s">
        <v>1144</v>
      </c>
      <c r="H3760" s="23">
        <v>46157</v>
      </c>
      <c r="I3760" s="23">
        <v>46054</v>
      </c>
      <c r="J3760" s="10">
        <v>213.97</v>
      </c>
      <c r="K3760" s="10">
        <v>0</v>
      </c>
      <c r="L3760" s="24">
        <v>0</v>
      </c>
      <c r="M3760" s="10">
        <v>213.97</v>
      </c>
    </row>
    <row r="3761" spans="1:13" x14ac:dyDescent="0.25">
      <c r="A3761" s="12" t="str">
        <f t="shared" si="118"/>
        <v>IVA1372026SECRETARIA DE ADMINISTRAÇÃO DO GOVERNO DO ESTADO DE PERNAMBUCOIPV46054</v>
      </c>
      <c r="B3761" s="12" t="str">
        <f t="shared" si="117"/>
        <v>Junho</v>
      </c>
      <c r="C3761" s="8" t="s">
        <v>1202</v>
      </c>
      <c r="D3761" s="8" t="s">
        <v>1723</v>
      </c>
      <c r="E3761" s="8" t="s">
        <v>1744</v>
      </c>
      <c r="F3761" s="23">
        <v>46054</v>
      </c>
      <c r="G3761" s="8" t="s">
        <v>1144</v>
      </c>
      <c r="H3761" s="23">
        <v>46188</v>
      </c>
      <c r="I3761" s="23">
        <v>46054</v>
      </c>
      <c r="J3761" s="10">
        <v>213.97</v>
      </c>
      <c r="K3761" s="10">
        <v>0</v>
      </c>
      <c r="L3761" s="24">
        <v>0</v>
      </c>
      <c r="M3761" s="10">
        <v>213.97</v>
      </c>
    </row>
    <row r="3762" spans="1:13" x14ac:dyDescent="0.25">
      <c r="A3762" s="12" t="str">
        <f t="shared" si="118"/>
        <v>IVA1372026SECRETARIA DE ADMINISTRAÇÃO DO GOVERNO DO ESTADO DE PERNAMBUCOIPV46054</v>
      </c>
      <c r="B3762" s="12" t="str">
        <f t="shared" si="117"/>
        <v>Julho</v>
      </c>
      <c r="C3762" s="8" t="s">
        <v>1202</v>
      </c>
      <c r="D3762" s="8" t="s">
        <v>1723</v>
      </c>
      <c r="E3762" s="8" t="s">
        <v>1744</v>
      </c>
      <c r="F3762" s="23">
        <v>46054</v>
      </c>
      <c r="G3762" s="8" t="s">
        <v>1144</v>
      </c>
      <c r="H3762" s="23">
        <v>46218</v>
      </c>
      <c r="I3762" s="23">
        <v>46054</v>
      </c>
      <c r="J3762" s="10">
        <v>213.97</v>
      </c>
      <c r="K3762" s="10">
        <v>0</v>
      </c>
      <c r="L3762" s="24">
        <v>0</v>
      </c>
      <c r="M3762" s="10">
        <v>213.97</v>
      </c>
    </row>
    <row r="3763" spans="1:13" x14ac:dyDescent="0.25">
      <c r="A3763" s="12" t="str">
        <f t="shared" si="118"/>
        <v>IVA1372026SECRETARIA DE ADMINISTRAÇÃO DO GOVERNO DO ESTADO DE PERNAMBUCOIPV46054</v>
      </c>
      <c r="B3763" s="12" t="str">
        <f t="shared" si="117"/>
        <v>Agosto</v>
      </c>
      <c r="C3763" s="8" t="s">
        <v>1202</v>
      </c>
      <c r="D3763" s="8" t="s">
        <v>1723</v>
      </c>
      <c r="E3763" s="8" t="s">
        <v>1744</v>
      </c>
      <c r="F3763" s="23">
        <v>46054</v>
      </c>
      <c r="G3763" s="8" t="s">
        <v>1144</v>
      </c>
      <c r="H3763" s="23">
        <v>46251</v>
      </c>
      <c r="I3763" s="23">
        <v>46054</v>
      </c>
      <c r="J3763" s="10">
        <v>213.97</v>
      </c>
      <c r="K3763" s="10">
        <v>0</v>
      </c>
      <c r="L3763" s="24">
        <v>0</v>
      </c>
      <c r="M3763" s="10">
        <v>213.97</v>
      </c>
    </row>
    <row r="3764" spans="1:13" x14ac:dyDescent="0.25">
      <c r="A3764" s="12" t="str">
        <f t="shared" si="118"/>
        <v>IVA1372026SECRETARIA DE ADMINISTRAÇÃO DO GOVERNO DO ESTADO DE PERNAMBUCOIPV46054</v>
      </c>
      <c r="B3764" s="12" t="str">
        <f t="shared" si="117"/>
        <v>Setembro</v>
      </c>
      <c r="C3764" s="8" t="s">
        <v>1202</v>
      </c>
      <c r="D3764" s="8" t="s">
        <v>1723</v>
      </c>
      <c r="E3764" s="8" t="s">
        <v>1744</v>
      </c>
      <c r="F3764" s="23">
        <v>46054</v>
      </c>
      <c r="G3764" s="8" t="s">
        <v>1144</v>
      </c>
      <c r="H3764" s="23">
        <v>46280</v>
      </c>
      <c r="I3764" s="23">
        <v>46054</v>
      </c>
      <c r="J3764" s="10">
        <v>213.97</v>
      </c>
      <c r="K3764" s="10">
        <v>0</v>
      </c>
      <c r="L3764" s="24">
        <v>0</v>
      </c>
      <c r="M3764" s="10">
        <v>213.97</v>
      </c>
    </row>
    <row r="3765" spans="1:13" x14ac:dyDescent="0.25">
      <c r="A3765" s="12" t="str">
        <f t="shared" si="118"/>
        <v>IVA1382026SECRETARIA DE ADMINISTRAÇÃO DO GOVERNO DO ESTADO DE PERNAMBUCOIPV46054</v>
      </c>
      <c r="B3765" s="12" t="str">
        <f t="shared" si="117"/>
        <v>Fevereiro</v>
      </c>
      <c r="C3765" s="8" t="s">
        <v>1203</v>
      </c>
      <c r="D3765" s="8" t="s">
        <v>1723</v>
      </c>
      <c r="E3765" s="8" t="s">
        <v>1744</v>
      </c>
      <c r="F3765" s="23">
        <v>46054</v>
      </c>
      <c r="G3765" s="8" t="s">
        <v>1144</v>
      </c>
      <c r="H3765" s="23">
        <v>46072</v>
      </c>
      <c r="I3765" s="23">
        <v>46054</v>
      </c>
      <c r="J3765" s="10">
        <v>213.97</v>
      </c>
      <c r="K3765" s="10">
        <v>0</v>
      </c>
      <c r="L3765" s="24">
        <v>0</v>
      </c>
      <c r="M3765" s="10">
        <v>213.97</v>
      </c>
    </row>
    <row r="3766" spans="1:13" x14ac:dyDescent="0.25">
      <c r="A3766" s="12" t="str">
        <f t="shared" si="118"/>
        <v>IVA1382026SECRETARIA DE ADMINISTRAÇÃO DO GOVERNO DO ESTADO DE PERNAMBUCOIPV46054</v>
      </c>
      <c r="B3766" s="12" t="str">
        <f t="shared" si="117"/>
        <v>Março</v>
      </c>
      <c r="C3766" s="8" t="s">
        <v>1203</v>
      </c>
      <c r="D3766" s="8" t="s">
        <v>1723</v>
      </c>
      <c r="E3766" s="8" t="s">
        <v>1744</v>
      </c>
      <c r="F3766" s="23">
        <v>46054</v>
      </c>
      <c r="G3766" s="8" t="s">
        <v>1144</v>
      </c>
      <c r="H3766" s="23">
        <v>46097</v>
      </c>
      <c r="I3766" s="23">
        <v>46054</v>
      </c>
      <c r="J3766" s="10">
        <v>213.97</v>
      </c>
      <c r="K3766" s="10">
        <v>0</v>
      </c>
      <c r="L3766" s="24">
        <v>0</v>
      </c>
      <c r="M3766" s="10">
        <v>213.97</v>
      </c>
    </row>
    <row r="3767" spans="1:13" x14ac:dyDescent="0.25">
      <c r="A3767" s="12" t="str">
        <f t="shared" si="118"/>
        <v>IVA1382026SECRETARIA DE ADMINISTRAÇÃO DO GOVERNO DO ESTADO DE PERNAMBUCOIPV46054</v>
      </c>
      <c r="B3767" s="12" t="str">
        <f t="shared" si="117"/>
        <v>Abril</v>
      </c>
      <c r="C3767" s="8" t="s">
        <v>1203</v>
      </c>
      <c r="D3767" s="8" t="s">
        <v>1723</v>
      </c>
      <c r="E3767" s="8" t="s">
        <v>1744</v>
      </c>
      <c r="F3767" s="23">
        <v>46054</v>
      </c>
      <c r="G3767" s="8" t="s">
        <v>1144</v>
      </c>
      <c r="H3767" s="23">
        <v>46127</v>
      </c>
      <c r="I3767" s="23">
        <v>46054</v>
      </c>
      <c r="J3767" s="10">
        <v>213.97</v>
      </c>
      <c r="K3767" s="10">
        <v>0</v>
      </c>
      <c r="L3767" s="24">
        <v>0</v>
      </c>
      <c r="M3767" s="10">
        <v>213.97</v>
      </c>
    </row>
    <row r="3768" spans="1:13" x14ac:dyDescent="0.25">
      <c r="A3768" s="12" t="str">
        <f t="shared" si="118"/>
        <v>IVA1382026SECRETARIA DE ADMINISTRAÇÃO DO GOVERNO DO ESTADO DE PERNAMBUCOIPV46054</v>
      </c>
      <c r="B3768" s="12" t="str">
        <f t="shared" si="117"/>
        <v>Maio</v>
      </c>
      <c r="C3768" s="8" t="s">
        <v>1203</v>
      </c>
      <c r="D3768" s="8" t="s">
        <v>1723</v>
      </c>
      <c r="E3768" s="8" t="s">
        <v>1744</v>
      </c>
      <c r="F3768" s="23">
        <v>46054</v>
      </c>
      <c r="G3768" s="8" t="s">
        <v>1144</v>
      </c>
      <c r="H3768" s="23">
        <v>46157</v>
      </c>
      <c r="I3768" s="23">
        <v>46054</v>
      </c>
      <c r="J3768" s="10">
        <v>213.97</v>
      </c>
      <c r="K3768" s="10">
        <v>0</v>
      </c>
      <c r="L3768" s="24">
        <v>0</v>
      </c>
      <c r="M3768" s="10">
        <v>213.97</v>
      </c>
    </row>
    <row r="3769" spans="1:13" x14ac:dyDescent="0.25">
      <c r="A3769" s="12" t="str">
        <f t="shared" si="118"/>
        <v>IVA1382026SECRETARIA DE ADMINISTRAÇÃO DO GOVERNO DO ESTADO DE PERNAMBUCOIPV46054</v>
      </c>
      <c r="B3769" s="12" t="str">
        <f t="shared" si="117"/>
        <v>Junho</v>
      </c>
      <c r="C3769" s="8" t="s">
        <v>1203</v>
      </c>
      <c r="D3769" s="8" t="s">
        <v>1723</v>
      </c>
      <c r="E3769" s="8" t="s">
        <v>1744</v>
      </c>
      <c r="F3769" s="23">
        <v>46054</v>
      </c>
      <c r="G3769" s="8" t="s">
        <v>1144</v>
      </c>
      <c r="H3769" s="23">
        <v>46188</v>
      </c>
      <c r="I3769" s="23">
        <v>46054</v>
      </c>
      <c r="J3769" s="10">
        <v>213.97</v>
      </c>
      <c r="K3769" s="10">
        <v>0</v>
      </c>
      <c r="L3769" s="24">
        <v>0</v>
      </c>
      <c r="M3769" s="10">
        <v>213.97</v>
      </c>
    </row>
    <row r="3770" spans="1:13" x14ac:dyDescent="0.25">
      <c r="A3770" s="12" t="str">
        <f t="shared" si="118"/>
        <v>IVA1382026SECRETARIA DE ADMINISTRAÇÃO DO GOVERNO DO ESTADO DE PERNAMBUCOIPV46054</v>
      </c>
      <c r="B3770" s="12" t="str">
        <f t="shared" si="117"/>
        <v>Julho</v>
      </c>
      <c r="C3770" s="8" t="s">
        <v>1203</v>
      </c>
      <c r="D3770" s="8" t="s">
        <v>1723</v>
      </c>
      <c r="E3770" s="8" t="s">
        <v>1744</v>
      </c>
      <c r="F3770" s="23">
        <v>46054</v>
      </c>
      <c r="G3770" s="8" t="s">
        <v>1144</v>
      </c>
      <c r="H3770" s="23">
        <v>46218</v>
      </c>
      <c r="I3770" s="23">
        <v>46054</v>
      </c>
      <c r="J3770" s="10">
        <v>213.97</v>
      </c>
      <c r="K3770" s="10">
        <v>0</v>
      </c>
      <c r="L3770" s="24">
        <v>0</v>
      </c>
      <c r="M3770" s="10">
        <v>213.97</v>
      </c>
    </row>
    <row r="3771" spans="1:13" x14ac:dyDescent="0.25">
      <c r="A3771" s="12" t="str">
        <f t="shared" si="118"/>
        <v>IVA1382026SECRETARIA DE ADMINISTRAÇÃO DO GOVERNO DO ESTADO DE PERNAMBUCOIPV46054</v>
      </c>
      <c r="B3771" s="12" t="str">
        <f t="shared" si="117"/>
        <v>Agosto</v>
      </c>
      <c r="C3771" s="8" t="s">
        <v>1203</v>
      </c>
      <c r="D3771" s="8" t="s">
        <v>1723</v>
      </c>
      <c r="E3771" s="8" t="s">
        <v>1744</v>
      </c>
      <c r="F3771" s="23">
        <v>46054</v>
      </c>
      <c r="G3771" s="8" t="s">
        <v>1144</v>
      </c>
      <c r="H3771" s="23">
        <v>46251</v>
      </c>
      <c r="I3771" s="23">
        <v>46054</v>
      </c>
      <c r="J3771" s="10">
        <v>213.97</v>
      </c>
      <c r="K3771" s="10">
        <v>0</v>
      </c>
      <c r="L3771" s="24">
        <v>0</v>
      </c>
      <c r="M3771" s="10">
        <v>213.97</v>
      </c>
    </row>
    <row r="3772" spans="1:13" x14ac:dyDescent="0.25">
      <c r="A3772" s="12" t="str">
        <f t="shared" si="118"/>
        <v>IVA1382026SECRETARIA DE ADMINISTRAÇÃO DO GOVERNO DO ESTADO DE PERNAMBUCOIPV46054</v>
      </c>
      <c r="B3772" s="12" t="str">
        <f t="shared" si="117"/>
        <v>Setembro</v>
      </c>
      <c r="C3772" s="8" t="s">
        <v>1203</v>
      </c>
      <c r="D3772" s="8" t="s">
        <v>1723</v>
      </c>
      <c r="E3772" s="8" t="s">
        <v>1744</v>
      </c>
      <c r="F3772" s="23">
        <v>46054</v>
      </c>
      <c r="G3772" s="8" t="s">
        <v>1144</v>
      </c>
      <c r="H3772" s="23">
        <v>46280</v>
      </c>
      <c r="I3772" s="23">
        <v>46054</v>
      </c>
      <c r="J3772" s="10">
        <v>213.97</v>
      </c>
      <c r="K3772" s="10">
        <v>0</v>
      </c>
      <c r="L3772" s="24">
        <v>0</v>
      </c>
      <c r="M3772" s="10">
        <v>213.97</v>
      </c>
    </row>
    <row r="3773" spans="1:13" x14ac:dyDescent="0.25">
      <c r="A3773" s="12" t="str">
        <f t="shared" si="118"/>
        <v>IVA1392026SECRETARIA DE ADMINISTRAÇÃO DO GOVERNO DO ESTADO DE PERNAMBUCOIPV46054</v>
      </c>
      <c r="B3773" s="12" t="str">
        <f t="shared" si="117"/>
        <v>Fevereiro</v>
      </c>
      <c r="C3773" s="8" t="s">
        <v>1204</v>
      </c>
      <c r="D3773" s="8" t="s">
        <v>1723</v>
      </c>
      <c r="E3773" s="8" t="s">
        <v>1744</v>
      </c>
      <c r="F3773" s="23">
        <v>46054</v>
      </c>
      <c r="G3773" s="8" t="s">
        <v>1144</v>
      </c>
      <c r="H3773" s="23">
        <v>46072</v>
      </c>
      <c r="I3773" s="23">
        <v>46054</v>
      </c>
      <c r="J3773" s="10">
        <v>213.97</v>
      </c>
      <c r="K3773" s="10">
        <v>0</v>
      </c>
      <c r="L3773" s="24">
        <v>0</v>
      </c>
      <c r="M3773" s="10">
        <v>213.97</v>
      </c>
    </row>
    <row r="3774" spans="1:13" x14ac:dyDescent="0.25">
      <c r="A3774" s="12" t="str">
        <f t="shared" si="118"/>
        <v>IVA1392026SECRETARIA DE ADMINISTRAÇÃO DO GOVERNO DO ESTADO DE PERNAMBUCOIPV46054</v>
      </c>
      <c r="B3774" s="12" t="str">
        <f t="shared" si="117"/>
        <v>Março</v>
      </c>
      <c r="C3774" s="8" t="s">
        <v>1204</v>
      </c>
      <c r="D3774" s="8" t="s">
        <v>1723</v>
      </c>
      <c r="E3774" s="8" t="s">
        <v>1744</v>
      </c>
      <c r="F3774" s="23">
        <v>46054</v>
      </c>
      <c r="G3774" s="8" t="s">
        <v>1144</v>
      </c>
      <c r="H3774" s="23">
        <v>46097</v>
      </c>
      <c r="I3774" s="23">
        <v>46054</v>
      </c>
      <c r="J3774" s="10">
        <v>213.97</v>
      </c>
      <c r="K3774" s="10">
        <v>0</v>
      </c>
      <c r="L3774" s="24">
        <v>0</v>
      </c>
      <c r="M3774" s="10">
        <v>213.97</v>
      </c>
    </row>
    <row r="3775" spans="1:13" x14ac:dyDescent="0.25">
      <c r="A3775" s="12" t="str">
        <f t="shared" si="118"/>
        <v>IVA1392026SECRETARIA DE ADMINISTRAÇÃO DO GOVERNO DO ESTADO DE PERNAMBUCOIPV46054</v>
      </c>
      <c r="B3775" s="12" t="str">
        <f t="shared" si="117"/>
        <v>Abril</v>
      </c>
      <c r="C3775" s="8" t="s">
        <v>1204</v>
      </c>
      <c r="D3775" s="8" t="s">
        <v>1723</v>
      </c>
      <c r="E3775" s="8" t="s">
        <v>1744</v>
      </c>
      <c r="F3775" s="23">
        <v>46054</v>
      </c>
      <c r="G3775" s="8" t="s">
        <v>1144</v>
      </c>
      <c r="H3775" s="23">
        <v>46127</v>
      </c>
      <c r="I3775" s="23">
        <v>46054</v>
      </c>
      <c r="J3775" s="10">
        <v>213.97</v>
      </c>
      <c r="K3775" s="10">
        <v>0</v>
      </c>
      <c r="L3775" s="24">
        <v>0</v>
      </c>
      <c r="M3775" s="10">
        <v>213.97</v>
      </c>
    </row>
    <row r="3776" spans="1:13" x14ac:dyDescent="0.25">
      <c r="A3776" s="12" t="str">
        <f t="shared" si="118"/>
        <v>IVA1392026SECRETARIA DE ADMINISTRAÇÃO DO GOVERNO DO ESTADO DE PERNAMBUCOIPV46054</v>
      </c>
      <c r="B3776" s="12" t="str">
        <f t="shared" si="117"/>
        <v>Maio</v>
      </c>
      <c r="C3776" s="8" t="s">
        <v>1204</v>
      </c>
      <c r="D3776" s="8" t="s">
        <v>1723</v>
      </c>
      <c r="E3776" s="8" t="s">
        <v>1744</v>
      </c>
      <c r="F3776" s="23">
        <v>46054</v>
      </c>
      <c r="G3776" s="8" t="s">
        <v>1144</v>
      </c>
      <c r="H3776" s="23">
        <v>46157</v>
      </c>
      <c r="I3776" s="23">
        <v>46054</v>
      </c>
      <c r="J3776" s="10">
        <v>213.97</v>
      </c>
      <c r="K3776" s="10">
        <v>0</v>
      </c>
      <c r="L3776" s="24">
        <v>0</v>
      </c>
      <c r="M3776" s="10">
        <v>213.97</v>
      </c>
    </row>
    <row r="3777" spans="1:13" x14ac:dyDescent="0.25">
      <c r="A3777" s="12" t="str">
        <f t="shared" si="118"/>
        <v>IVA1392026SECRETARIA DE ADMINISTRAÇÃO DO GOVERNO DO ESTADO DE PERNAMBUCOIPV46054</v>
      </c>
      <c r="B3777" s="12" t="str">
        <f t="shared" si="117"/>
        <v>Junho</v>
      </c>
      <c r="C3777" s="8" t="s">
        <v>1204</v>
      </c>
      <c r="D3777" s="8" t="s">
        <v>1723</v>
      </c>
      <c r="E3777" s="8" t="s">
        <v>1744</v>
      </c>
      <c r="F3777" s="23">
        <v>46054</v>
      </c>
      <c r="G3777" s="8" t="s">
        <v>1144</v>
      </c>
      <c r="H3777" s="23">
        <v>46188</v>
      </c>
      <c r="I3777" s="23">
        <v>46054</v>
      </c>
      <c r="J3777" s="10">
        <v>213.97</v>
      </c>
      <c r="K3777" s="10">
        <v>0</v>
      </c>
      <c r="L3777" s="24">
        <v>0</v>
      </c>
      <c r="M3777" s="10">
        <v>213.97</v>
      </c>
    </row>
    <row r="3778" spans="1:13" x14ac:dyDescent="0.25">
      <c r="A3778" s="12" t="str">
        <f t="shared" si="118"/>
        <v>IVA1392026SECRETARIA DE ADMINISTRAÇÃO DO GOVERNO DO ESTADO DE PERNAMBUCOIPV46054</v>
      </c>
      <c r="B3778" s="12" t="str">
        <f t="shared" si="117"/>
        <v>Julho</v>
      </c>
      <c r="C3778" s="8" t="s">
        <v>1204</v>
      </c>
      <c r="D3778" s="8" t="s">
        <v>1723</v>
      </c>
      <c r="E3778" s="8" t="s">
        <v>1744</v>
      </c>
      <c r="F3778" s="23">
        <v>46054</v>
      </c>
      <c r="G3778" s="8" t="s">
        <v>1144</v>
      </c>
      <c r="H3778" s="23">
        <v>46218</v>
      </c>
      <c r="I3778" s="23">
        <v>46054</v>
      </c>
      <c r="J3778" s="10">
        <v>213.97</v>
      </c>
      <c r="K3778" s="10">
        <v>0</v>
      </c>
      <c r="L3778" s="24">
        <v>0</v>
      </c>
      <c r="M3778" s="10">
        <v>213.97</v>
      </c>
    </row>
    <row r="3779" spans="1:13" x14ac:dyDescent="0.25">
      <c r="A3779" s="12" t="str">
        <f t="shared" si="118"/>
        <v>IVA1392026SECRETARIA DE ADMINISTRAÇÃO DO GOVERNO DO ESTADO DE PERNAMBUCOIPV46054</v>
      </c>
      <c r="B3779" s="12" t="str">
        <f t="shared" ref="B3779:B3842" si="119">PROPER(TEXT($H3779,"MMMM"))</f>
        <v>Agosto</v>
      </c>
      <c r="C3779" s="8" t="s">
        <v>1204</v>
      </c>
      <c r="D3779" s="8" t="s">
        <v>1723</v>
      </c>
      <c r="E3779" s="8" t="s">
        <v>1744</v>
      </c>
      <c r="F3779" s="23">
        <v>46054</v>
      </c>
      <c r="G3779" s="8" t="s">
        <v>1144</v>
      </c>
      <c r="H3779" s="23">
        <v>46251</v>
      </c>
      <c r="I3779" s="23">
        <v>46054</v>
      </c>
      <c r="J3779" s="10">
        <v>213.97</v>
      </c>
      <c r="K3779" s="10">
        <v>0</v>
      </c>
      <c r="L3779" s="24">
        <v>0</v>
      </c>
      <c r="M3779" s="10">
        <v>213.97</v>
      </c>
    </row>
    <row r="3780" spans="1:13" x14ac:dyDescent="0.25">
      <c r="A3780" s="12" t="str">
        <f t="shared" si="118"/>
        <v>IVA1392026SECRETARIA DE ADMINISTRAÇÃO DO GOVERNO DO ESTADO DE PERNAMBUCOIPV46054</v>
      </c>
      <c r="B3780" s="12" t="str">
        <f t="shared" si="119"/>
        <v>Setembro</v>
      </c>
      <c r="C3780" s="8" t="s">
        <v>1204</v>
      </c>
      <c r="D3780" s="8" t="s">
        <v>1723</v>
      </c>
      <c r="E3780" s="8" t="s">
        <v>1744</v>
      </c>
      <c r="F3780" s="23">
        <v>46054</v>
      </c>
      <c r="G3780" s="8" t="s">
        <v>1144</v>
      </c>
      <c r="H3780" s="23">
        <v>46280</v>
      </c>
      <c r="I3780" s="23">
        <v>46054</v>
      </c>
      <c r="J3780" s="10">
        <v>213.97</v>
      </c>
      <c r="K3780" s="10">
        <v>0</v>
      </c>
      <c r="L3780" s="24">
        <v>0</v>
      </c>
      <c r="M3780" s="10">
        <v>213.97</v>
      </c>
    </row>
    <row r="3781" spans="1:13" x14ac:dyDescent="0.25">
      <c r="A3781" s="12" t="str">
        <f t="shared" si="118"/>
        <v>IVA1402026SECRETARIA DE ADMINISTRAÇÃO DO GOVERNO DO ESTADO DE PERNAMBUCOIPV46054</v>
      </c>
      <c r="B3781" s="12" t="str">
        <f t="shared" si="119"/>
        <v>Fevereiro</v>
      </c>
      <c r="C3781" s="8" t="s">
        <v>1205</v>
      </c>
      <c r="D3781" s="8" t="s">
        <v>1723</v>
      </c>
      <c r="E3781" s="8" t="s">
        <v>1744</v>
      </c>
      <c r="F3781" s="23">
        <v>46054</v>
      </c>
      <c r="G3781" s="8" t="s">
        <v>1144</v>
      </c>
      <c r="H3781" s="23">
        <v>46072</v>
      </c>
      <c r="I3781" s="23">
        <v>46054</v>
      </c>
      <c r="J3781" s="10">
        <v>213.97</v>
      </c>
      <c r="K3781" s="10">
        <v>0</v>
      </c>
      <c r="L3781" s="24">
        <v>0</v>
      </c>
      <c r="M3781" s="10">
        <v>213.97</v>
      </c>
    </row>
    <row r="3782" spans="1:13" x14ac:dyDescent="0.25">
      <c r="A3782" s="12" t="str">
        <f t="shared" si="118"/>
        <v>IVA1402026SECRETARIA DE ADMINISTRAÇÃO DO GOVERNO DO ESTADO DE PERNAMBUCOIPV46054</v>
      </c>
      <c r="B3782" s="12" t="str">
        <f t="shared" si="119"/>
        <v>Março</v>
      </c>
      <c r="C3782" s="8" t="s">
        <v>1205</v>
      </c>
      <c r="D3782" s="8" t="s">
        <v>1723</v>
      </c>
      <c r="E3782" s="8" t="s">
        <v>1744</v>
      </c>
      <c r="F3782" s="23">
        <v>46054</v>
      </c>
      <c r="G3782" s="8" t="s">
        <v>1144</v>
      </c>
      <c r="H3782" s="23">
        <v>46097</v>
      </c>
      <c r="I3782" s="23">
        <v>46054</v>
      </c>
      <c r="J3782" s="10">
        <v>213.97</v>
      </c>
      <c r="K3782" s="10">
        <v>0</v>
      </c>
      <c r="L3782" s="24">
        <v>0</v>
      </c>
      <c r="M3782" s="10">
        <v>213.97</v>
      </c>
    </row>
    <row r="3783" spans="1:13" x14ac:dyDescent="0.25">
      <c r="A3783" s="12" t="str">
        <f t="shared" si="118"/>
        <v>IVA1402026SECRETARIA DE ADMINISTRAÇÃO DO GOVERNO DO ESTADO DE PERNAMBUCOIPV46054</v>
      </c>
      <c r="B3783" s="12" t="str">
        <f t="shared" si="119"/>
        <v>Abril</v>
      </c>
      <c r="C3783" s="8" t="s">
        <v>1205</v>
      </c>
      <c r="D3783" s="8" t="s">
        <v>1723</v>
      </c>
      <c r="E3783" s="8" t="s">
        <v>1744</v>
      </c>
      <c r="F3783" s="23">
        <v>46054</v>
      </c>
      <c r="G3783" s="8" t="s">
        <v>1144</v>
      </c>
      <c r="H3783" s="23">
        <v>46127</v>
      </c>
      <c r="I3783" s="23">
        <v>46054</v>
      </c>
      <c r="J3783" s="10">
        <v>213.97</v>
      </c>
      <c r="K3783" s="10">
        <v>0</v>
      </c>
      <c r="L3783" s="24">
        <v>0</v>
      </c>
      <c r="M3783" s="10">
        <v>213.97</v>
      </c>
    </row>
    <row r="3784" spans="1:13" x14ac:dyDescent="0.25">
      <c r="A3784" s="12" t="str">
        <f t="shared" si="118"/>
        <v>IVA1402026SECRETARIA DE ADMINISTRAÇÃO DO GOVERNO DO ESTADO DE PERNAMBUCOIPV46054</v>
      </c>
      <c r="B3784" s="12" t="str">
        <f t="shared" si="119"/>
        <v>Maio</v>
      </c>
      <c r="C3784" s="8" t="s">
        <v>1205</v>
      </c>
      <c r="D3784" s="8" t="s">
        <v>1723</v>
      </c>
      <c r="E3784" s="8" t="s">
        <v>1744</v>
      </c>
      <c r="F3784" s="23">
        <v>46054</v>
      </c>
      <c r="G3784" s="8" t="s">
        <v>1144</v>
      </c>
      <c r="H3784" s="23">
        <v>46157</v>
      </c>
      <c r="I3784" s="23">
        <v>46054</v>
      </c>
      <c r="J3784" s="10">
        <v>213.97</v>
      </c>
      <c r="K3784" s="10">
        <v>0</v>
      </c>
      <c r="L3784" s="24">
        <v>0</v>
      </c>
      <c r="M3784" s="10">
        <v>213.97</v>
      </c>
    </row>
    <row r="3785" spans="1:13" x14ac:dyDescent="0.25">
      <c r="A3785" s="12" t="str">
        <f t="shared" si="118"/>
        <v>IVA1402026SECRETARIA DE ADMINISTRAÇÃO DO GOVERNO DO ESTADO DE PERNAMBUCOIPV46054</v>
      </c>
      <c r="B3785" s="12" t="str">
        <f t="shared" si="119"/>
        <v>Junho</v>
      </c>
      <c r="C3785" s="8" t="s">
        <v>1205</v>
      </c>
      <c r="D3785" s="8" t="s">
        <v>1723</v>
      </c>
      <c r="E3785" s="8" t="s">
        <v>1744</v>
      </c>
      <c r="F3785" s="23">
        <v>46054</v>
      </c>
      <c r="G3785" s="8" t="s">
        <v>1144</v>
      </c>
      <c r="H3785" s="23">
        <v>46188</v>
      </c>
      <c r="I3785" s="23">
        <v>46054</v>
      </c>
      <c r="J3785" s="10">
        <v>213.97</v>
      </c>
      <c r="K3785" s="10">
        <v>0</v>
      </c>
      <c r="L3785" s="24">
        <v>0</v>
      </c>
      <c r="M3785" s="10">
        <v>213.97</v>
      </c>
    </row>
    <row r="3786" spans="1:13" x14ac:dyDescent="0.25">
      <c r="A3786" s="12" t="str">
        <f t="shared" si="118"/>
        <v>IVA1402026SECRETARIA DE ADMINISTRAÇÃO DO GOVERNO DO ESTADO DE PERNAMBUCOIPV46054</v>
      </c>
      <c r="B3786" s="12" t="str">
        <f t="shared" si="119"/>
        <v>Julho</v>
      </c>
      <c r="C3786" s="8" t="s">
        <v>1205</v>
      </c>
      <c r="D3786" s="8" t="s">
        <v>1723</v>
      </c>
      <c r="E3786" s="8" t="s">
        <v>1744</v>
      </c>
      <c r="F3786" s="23">
        <v>46054</v>
      </c>
      <c r="G3786" s="8" t="s">
        <v>1144</v>
      </c>
      <c r="H3786" s="23">
        <v>46218</v>
      </c>
      <c r="I3786" s="23">
        <v>46054</v>
      </c>
      <c r="J3786" s="10">
        <v>213.97</v>
      </c>
      <c r="K3786" s="10">
        <v>0</v>
      </c>
      <c r="L3786" s="24">
        <v>0</v>
      </c>
      <c r="M3786" s="10">
        <v>213.97</v>
      </c>
    </row>
    <row r="3787" spans="1:13" x14ac:dyDescent="0.25">
      <c r="A3787" s="12" t="str">
        <f t="shared" si="118"/>
        <v>IVA1402026SECRETARIA DE ADMINISTRAÇÃO DO GOVERNO DO ESTADO DE PERNAMBUCOIPV46054</v>
      </c>
      <c r="B3787" s="12" t="str">
        <f t="shared" si="119"/>
        <v>Agosto</v>
      </c>
      <c r="C3787" s="8" t="s">
        <v>1205</v>
      </c>
      <c r="D3787" s="8" t="s">
        <v>1723</v>
      </c>
      <c r="E3787" s="8" t="s">
        <v>1744</v>
      </c>
      <c r="F3787" s="23">
        <v>46054</v>
      </c>
      <c r="G3787" s="8" t="s">
        <v>1144</v>
      </c>
      <c r="H3787" s="23">
        <v>46251</v>
      </c>
      <c r="I3787" s="23">
        <v>46054</v>
      </c>
      <c r="J3787" s="10">
        <v>213.97</v>
      </c>
      <c r="K3787" s="10">
        <v>0</v>
      </c>
      <c r="L3787" s="24">
        <v>0</v>
      </c>
      <c r="M3787" s="10">
        <v>213.97</v>
      </c>
    </row>
    <row r="3788" spans="1:13" x14ac:dyDescent="0.25">
      <c r="A3788" s="12" t="str">
        <f t="shared" si="118"/>
        <v>IVA1402026SECRETARIA DE ADMINISTRAÇÃO DO GOVERNO DO ESTADO DE PERNAMBUCOIPV46054</v>
      </c>
      <c r="B3788" s="12" t="str">
        <f t="shared" si="119"/>
        <v>Setembro</v>
      </c>
      <c r="C3788" s="8" t="s">
        <v>1205</v>
      </c>
      <c r="D3788" s="8" t="s">
        <v>1723</v>
      </c>
      <c r="E3788" s="8" t="s">
        <v>1744</v>
      </c>
      <c r="F3788" s="23">
        <v>46054</v>
      </c>
      <c r="G3788" s="8" t="s">
        <v>1144</v>
      </c>
      <c r="H3788" s="23">
        <v>46280</v>
      </c>
      <c r="I3788" s="23">
        <v>46054</v>
      </c>
      <c r="J3788" s="10">
        <v>213.97</v>
      </c>
      <c r="K3788" s="10">
        <v>0</v>
      </c>
      <c r="L3788" s="24">
        <v>0</v>
      </c>
      <c r="M3788" s="10">
        <v>213.97</v>
      </c>
    </row>
    <row r="3789" spans="1:13" x14ac:dyDescent="0.25">
      <c r="A3789" s="12" t="str">
        <f t="shared" si="118"/>
        <v>IVA1412026SECRETARIA DE ADMINISTRAÇÃO DO GOVERNO DO ESTADO DE PERNAMBUCOIPV46054</v>
      </c>
      <c r="B3789" s="12" t="str">
        <f t="shared" si="119"/>
        <v>Fevereiro</v>
      </c>
      <c r="C3789" s="8" t="s">
        <v>1206</v>
      </c>
      <c r="D3789" s="8" t="s">
        <v>1723</v>
      </c>
      <c r="E3789" s="8" t="s">
        <v>1744</v>
      </c>
      <c r="F3789" s="23">
        <v>46054</v>
      </c>
      <c r="G3789" s="8" t="s">
        <v>1144</v>
      </c>
      <c r="H3789" s="23">
        <v>46072</v>
      </c>
      <c r="I3789" s="23">
        <v>46054</v>
      </c>
      <c r="J3789" s="10">
        <v>213.97</v>
      </c>
      <c r="K3789" s="10">
        <v>0</v>
      </c>
      <c r="L3789" s="24">
        <v>0</v>
      </c>
      <c r="M3789" s="10">
        <v>213.97</v>
      </c>
    </row>
    <row r="3790" spans="1:13" x14ac:dyDescent="0.25">
      <c r="A3790" s="12" t="str">
        <f t="shared" si="118"/>
        <v>IVA1412026SECRETARIA DE ADMINISTRAÇÃO DO GOVERNO DO ESTADO DE PERNAMBUCOIPV46054</v>
      </c>
      <c r="B3790" s="12" t="str">
        <f t="shared" si="119"/>
        <v>Março</v>
      </c>
      <c r="C3790" s="8" t="s">
        <v>1206</v>
      </c>
      <c r="D3790" s="8" t="s">
        <v>1723</v>
      </c>
      <c r="E3790" s="8" t="s">
        <v>1744</v>
      </c>
      <c r="F3790" s="23">
        <v>46054</v>
      </c>
      <c r="G3790" s="8" t="s">
        <v>1144</v>
      </c>
      <c r="H3790" s="23">
        <v>46097</v>
      </c>
      <c r="I3790" s="23">
        <v>46054</v>
      </c>
      <c r="J3790" s="10">
        <v>213.97</v>
      </c>
      <c r="K3790" s="10">
        <v>0</v>
      </c>
      <c r="L3790" s="24">
        <v>0</v>
      </c>
      <c r="M3790" s="10">
        <v>213.97</v>
      </c>
    </row>
    <row r="3791" spans="1:13" x14ac:dyDescent="0.25">
      <c r="A3791" s="12" t="str">
        <f t="shared" si="118"/>
        <v>IVA1412026SECRETARIA DE ADMINISTRAÇÃO DO GOVERNO DO ESTADO DE PERNAMBUCOIPV46054</v>
      </c>
      <c r="B3791" s="12" t="str">
        <f t="shared" si="119"/>
        <v>Abril</v>
      </c>
      <c r="C3791" s="8" t="s">
        <v>1206</v>
      </c>
      <c r="D3791" s="8" t="s">
        <v>1723</v>
      </c>
      <c r="E3791" s="8" t="s">
        <v>1744</v>
      </c>
      <c r="F3791" s="23">
        <v>46054</v>
      </c>
      <c r="G3791" s="8" t="s">
        <v>1144</v>
      </c>
      <c r="H3791" s="23">
        <v>46127</v>
      </c>
      <c r="I3791" s="23">
        <v>46054</v>
      </c>
      <c r="J3791" s="10">
        <v>213.97</v>
      </c>
      <c r="K3791" s="10">
        <v>0</v>
      </c>
      <c r="L3791" s="24">
        <v>0</v>
      </c>
      <c r="M3791" s="10">
        <v>213.97</v>
      </c>
    </row>
    <row r="3792" spans="1:13" x14ac:dyDescent="0.25">
      <c r="A3792" s="12" t="str">
        <f t="shared" si="118"/>
        <v>IVA1412026SECRETARIA DE ADMINISTRAÇÃO DO GOVERNO DO ESTADO DE PERNAMBUCOIPV46054</v>
      </c>
      <c r="B3792" s="12" t="str">
        <f t="shared" si="119"/>
        <v>Maio</v>
      </c>
      <c r="C3792" s="8" t="s">
        <v>1206</v>
      </c>
      <c r="D3792" s="8" t="s">
        <v>1723</v>
      </c>
      <c r="E3792" s="8" t="s">
        <v>1744</v>
      </c>
      <c r="F3792" s="23">
        <v>46054</v>
      </c>
      <c r="G3792" s="8" t="s">
        <v>1144</v>
      </c>
      <c r="H3792" s="23">
        <v>46157</v>
      </c>
      <c r="I3792" s="23">
        <v>46054</v>
      </c>
      <c r="J3792" s="10">
        <v>213.97</v>
      </c>
      <c r="K3792" s="10">
        <v>0</v>
      </c>
      <c r="L3792" s="24">
        <v>0</v>
      </c>
      <c r="M3792" s="10">
        <v>213.97</v>
      </c>
    </row>
    <row r="3793" spans="1:13" x14ac:dyDescent="0.25">
      <c r="A3793" s="12" t="str">
        <f t="shared" si="118"/>
        <v>IVA1412026SECRETARIA DE ADMINISTRAÇÃO DO GOVERNO DO ESTADO DE PERNAMBUCOIPV46054</v>
      </c>
      <c r="B3793" s="12" t="str">
        <f t="shared" si="119"/>
        <v>Junho</v>
      </c>
      <c r="C3793" s="8" t="s">
        <v>1206</v>
      </c>
      <c r="D3793" s="8" t="s">
        <v>1723</v>
      </c>
      <c r="E3793" s="8" t="s">
        <v>1744</v>
      </c>
      <c r="F3793" s="23">
        <v>46054</v>
      </c>
      <c r="G3793" s="8" t="s">
        <v>1144</v>
      </c>
      <c r="H3793" s="23">
        <v>46188</v>
      </c>
      <c r="I3793" s="23">
        <v>46054</v>
      </c>
      <c r="J3793" s="10">
        <v>213.97</v>
      </c>
      <c r="K3793" s="10">
        <v>0</v>
      </c>
      <c r="L3793" s="24">
        <v>0</v>
      </c>
      <c r="M3793" s="10">
        <v>213.97</v>
      </c>
    </row>
    <row r="3794" spans="1:13" x14ac:dyDescent="0.25">
      <c r="A3794" s="12" t="str">
        <f t="shared" si="118"/>
        <v>IVA1412026SECRETARIA DE ADMINISTRAÇÃO DO GOVERNO DO ESTADO DE PERNAMBUCOIPV46054</v>
      </c>
      <c r="B3794" s="12" t="str">
        <f t="shared" si="119"/>
        <v>Julho</v>
      </c>
      <c r="C3794" s="8" t="s">
        <v>1206</v>
      </c>
      <c r="D3794" s="8" t="s">
        <v>1723</v>
      </c>
      <c r="E3794" s="8" t="s">
        <v>1744</v>
      </c>
      <c r="F3794" s="23">
        <v>46054</v>
      </c>
      <c r="G3794" s="8" t="s">
        <v>1144</v>
      </c>
      <c r="H3794" s="23">
        <v>46218</v>
      </c>
      <c r="I3794" s="23">
        <v>46054</v>
      </c>
      <c r="J3794" s="10">
        <v>213.97</v>
      </c>
      <c r="K3794" s="10">
        <v>0</v>
      </c>
      <c r="L3794" s="24">
        <v>0</v>
      </c>
      <c r="M3794" s="10">
        <v>213.97</v>
      </c>
    </row>
    <row r="3795" spans="1:13" x14ac:dyDescent="0.25">
      <c r="A3795" s="12" t="str">
        <f t="shared" si="118"/>
        <v>IVA1412026SECRETARIA DE ADMINISTRAÇÃO DO GOVERNO DO ESTADO DE PERNAMBUCOIPV46054</v>
      </c>
      <c r="B3795" s="12" t="str">
        <f t="shared" si="119"/>
        <v>Agosto</v>
      </c>
      <c r="C3795" s="8" t="s">
        <v>1206</v>
      </c>
      <c r="D3795" s="8" t="s">
        <v>1723</v>
      </c>
      <c r="E3795" s="8" t="s">
        <v>1744</v>
      </c>
      <c r="F3795" s="23">
        <v>46054</v>
      </c>
      <c r="G3795" s="8" t="s">
        <v>1144</v>
      </c>
      <c r="H3795" s="23">
        <v>46251</v>
      </c>
      <c r="I3795" s="23">
        <v>46054</v>
      </c>
      <c r="J3795" s="10">
        <v>213.97</v>
      </c>
      <c r="K3795" s="10">
        <v>0</v>
      </c>
      <c r="L3795" s="24">
        <v>0</v>
      </c>
      <c r="M3795" s="10">
        <v>213.97</v>
      </c>
    </row>
    <row r="3796" spans="1:13" x14ac:dyDescent="0.25">
      <c r="A3796" s="12" t="str">
        <f t="shared" si="118"/>
        <v>IVA1412026SECRETARIA DE ADMINISTRAÇÃO DO GOVERNO DO ESTADO DE PERNAMBUCOIPV46054</v>
      </c>
      <c r="B3796" s="12" t="str">
        <f t="shared" si="119"/>
        <v>Setembro</v>
      </c>
      <c r="C3796" s="8" t="s">
        <v>1206</v>
      </c>
      <c r="D3796" s="8" t="s">
        <v>1723</v>
      </c>
      <c r="E3796" s="8" t="s">
        <v>1744</v>
      </c>
      <c r="F3796" s="23">
        <v>46054</v>
      </c>
      <c r="G3796" s="8" t="s">
        <v>1144</v>
      </c>
      <c r="H3796" s="23">
        <v>46280</v>
      </c>
      <c r="I3796" s="23">
        <v>46054</v>
      </c>
      <c r="J3796" s="10">
        <v>213.97</v>
      </c>
      <c r="K3796" s="10">
        <v>0</v>
      </c>
      <c r="L3796" s="24">
        <v>0</v>
      </c>
      <c r="M3796" s="10">
        <v>213.97</v>
      </c>
    </row>
    <row r="3797" spans="1:13" x14ac:dyDescent="0.25">
      <c r="A3797" s="12" t="str">
        <f t="shared" si="118"/>
        <v>IVA1422026SECRETARIA DE ADMINISTRAÇÃO DO GOVERNO DO ESTADO DE PERNAMBUCOIPV46054</v>
      </c>
      <c r="B3797" s="12" t="str">
        <f t="shared" si="119"/>
        <v>Fevereiro</v>
      </c>
      <c r="C3797" s="8" t="s">
        <v>1207</v>
      </c>
      <c r="D3797" s="8" t="s">
        <v>1723</v>
      </c>
      <c r="E3797" s="8" t="s">
        <v>1744</v>
      </c>
      <c r="F3797" s="23">
        <v>46054</v>
      </c>
      <c r="G3797" s="8" t="s">
        <v>1144</v>
      </c>
      <c r="H3797" s="23">
        <v>46072</v>
      </c>
      <c r="I3797" s="23">
        <v>46054</v>
      </c>
      <c r="J3797" s="10">
        <v>213.97</v>
      </c>
      <c r="K3797" s="10">
        <v>0</v>
      </c>
      <c r="L3797" s="24">
        <v>0</v>
      </c>
      <c r="M3797" s="10">
        <v>213.97</v>
      </c>
    </row>
    <row r="3798" spans="1:13" x14ac:dyDescent="0.25">
      <c r="A3798" s="12" t="str">
        <f t="shared" si="118"/>
        <v>IVA1422026SECRETARIA DE ADMINISTRAÇÃO DO GOVERNO DO ESTADO DE PERNAMBUCOIPV46054</v>
      </c>
      <c r="B3798" s="12" t="str">
        <f t="shared" si="119"/>
        <v>Março</v>
      </c>
      <c r="C3798" s="8" t="s">
        <v>1207</v>
      </c>
      <c r="D3798" s="8" t="s">
        <v>1723</v>
      </c>
      <c r="E3798" s="8" t="s">
        <v>1744</v>
      </c>
      <c r="F3798" s="23">
        <v>46054</v>
      </c>
      <c r="G3798" s="8" t="s">
        <v>1144</v>
      </c>
      <c r="H3798" s="23">
        <v>46097</v>
      </c>
      <c r="I3798" s="23">
        <v>46054</v>
      </c>
      <c r="J3798" s="10">
        <v>213.97</v>
      </c>
      <c r="K3798" s="10">
        <v>0</v>
      </c>
      <c r="L3798" s="24">
        <v>0</v>
      </c>
      <c r="M3798" s="10">
        <v>213.97</v>
      </c>
    </row>
    <row r="3799" spans="1:13" x14ac:dyDescent="0.25">
      <c r="A3799" s="12" t="str">
        <f t="shared" si="118"/>
        <v>IVA1422026SECRETARIA DE ADMINISTRAÇÃO DO GOVERNO DO ESTADO DE PERNAMBUCOIPV46054</v>
      </c>
      <c r="B3799" s="12" t="str">
        <f t="shared" si="119"/>
        <v>Abril</v>
      </c>
      <c r="C3799" s="8" t="s">
        <v>1207</v>
      </c>
      <c r="D3799" s="8" t="s">
        <v>1723</v>
      </c>
      <c r="E3799" s="8" t="s">
        <v>1744</v>
      </c>
      <c r="F3799" s="23">
        <v>46054</v>
      </c>
      <c r="G3799" s="8" t="s">
        <v>1144</v>
      </c>
      <c r="H3799" s="23">
        <v>46127</v>
      </c>
      <c r="I3799" s="23">
        <v>46054</v>
      </c>
      <c r="J3799" s="10">
        <v>213.97</v>
      </c>
      <c r="K3799" s="10">
        <v>0</v>
      </c>
      <c r="L3799" s="24">
        <v>0</v>
      </c>
      <c r="M3799" s="10">
        <v>213.97</v>
      </c>
    </row>
    <row r="3800" spans="1:13" x14ac:dyDescent="0.25">
      <c r="A3800" s="12" t="str">
        <f t="shared" si="118"/>
        <v>IVA1422026SECRETARIA DE ADMINISTRAÇÃO DO GOVERNO DO ESTADO DE PERNAMBUCOIPV46054</v>
      </c>
      <c r="B3800" s="12" t="str">
        <f t="shared" si="119"/>
        <v>Maio</v>
      </c>
      <c r="C3800" s="8" t="s">
        <v>1207</v>
      </c>
      <c r="D3800" s="8" t="s">
        <v>1723</v>
      </c>
      <c r="E3800" s="8" t="s">
        <v>1744</v>
      </c>
      <c r="F3800" s="23">
        <v>46054</v>
      </c>
      <c r="G3800" s="8" t="s">
        <v>1144</v>
      </c>
      <c r="H3800" s="23">
        <v>46157</v>
      </c>
      <c r="I3800" s="23">
        <v>46054</v>
      </c>
      <c r="J3800" s="10">
        <v>213.97</v>
      </c>
      <c r="K3800" s="10">
        <v>0</v>
      </c>
      <c r="L3800" s="24">
        <v>0</v>
      </c>
      <c r="M3800" s="10">
        <v>213.97</v>
      </c>
    </row>
    <row r="3801" spans="1:13" x14ac:dyDescent="0.25">
      <c r="A3801" s="12" t="str">
        <f t="shared" si="118"/>
        <v>IVA1422026SECRETARIA DE ADMINISTRAÇÃO DO GOVERNO DO ESTADO DE PERNAMBUCOIPV46054</v>
      </c>
      <c r="B3801" s="12" t="str">
        <f t="shared" si="119"/>
        <v>Junho</v>
      </c>
      <c r="C3801" s="8" t="s">
        <v>1207</v>
      </c>
      <c r="D3801" s="8" t="s">
        <v>1723</v>
      </c>
      <c r="E3801" s="8" t="s">
        <v>1744</v>
      </c>
      <c r="F3801" s="23">
        <v>46054</v>
      </c>
      <c r="G3801" s="8" t="s">
        <v>1144</v>
      </c>
      <c r="H3801" s="23">
        <v>46188</v>
      </c>
      <c r="I3801" s="23">
        <v>46054</v>
      </c>
      <c r="J3801" s="10">
        <v>213.97</v>
      </c>
      <c r="K3801" s="10">
        <v>0</v>
      </c>
      <c r="L3801" s="24">
        <v>0</v>
      </c>
      <c r="M3801" s="10">
        <v>213.97</v>
      </c>
    </row>
    <row r="3802" spans="1:13" x14ac:dyDescent="0.25">
      <c r="A3802" s="12" t="str">
        <f t="shared" si="118"/>
        <v>IVA1422026SECRETARIA DE ADMINISTRAÇÃO DO GOVERNO DO ESTADO DE PERNAMBUCOIPV46054</v>
      </c>
      <c r="B3802" s="12" t="str">
        <f t="shared" si="119"/>
        <v>Julho</v>
      </c>
      <c r="C3802" s="8" t="s">
        <v>1207</v>
      </c>
      <c r="D3802" s="8" t="s">
        <v>1723</v>
      </c>
      <c r="E3802" s="8" t="s">
        <v>1744</v>
      </c>
      <c r="F3802" s="23">
        <v>46054</v>
      </c>
      <c r="G3802" s="8" t="s">
        <v>1144</v>
      </c>
      <c r="H3802" s="23">
        <v>46218</v>
      </c>
      <c r="I3802" s="23">
        <v>46054</v>
      </c>
      <c r="J3802" s="10">
        <v>213.97</v>
      </c>
      <c r="K3802" s="10">
        <v>0</v>
      </c>
      <c r="L3802" s="24">
        <v>0</v>
      </c>
      <c r="M3802" s="10">
        <v>213.97</v>
      </c>
    </row>
    <row r="3803" spans="1:13" x14ac:dyDescent="0.25">
      <c r="A3803" s="12" t="str">
        <f t="shared" ref="A3803:A3866" si="120">$C3803&amp;$E3803&amp;$G3803&amp;$F3803</f>
        <v>IVA1422026SECRETARIA DE ADMINISTRAÇÃO DO GOVERNO DO ESTADO DE PERNAMBUCOIPV46054</v>
      </c>
      <c r="B3803" s="12" t="str">
        <f t="shared" si="119"/>
        <v>Agosto</v>
      </c>
      <c r="C3803" s="8" t="s">
        <v>1207</v>
      </c>
      <c r="D3803" s="8" t="s">
        <v>1723</v>
      </c>
      <c r="E3803" s="8" t="s">
        <v>1744</v>
      </c>
      <c r="F3803" s="23">
        <v>46054</v>
      </c>
      <c r="G3803" s="8" t="s">
        <v>1144</v>
      </c>
      <c r="H3803" s="23">
        <v>46251</v>
      </c>
      <c r="I3803" s="23">
        <v>46054</v>
      </c>
      <c r="J3803" s="10">
        <v>213.97</v>
      </c>
      <c r="K3803" s="10">
        <v>0</v>
      </c>
      <c r="L3803" s="24">
        <v>0</v>
      </c>
      <c r="M3803" s="10">
        <v>213.97</v>
      </c>
    </row>
    <row r="3804" spans="1:13" x14ac:dyDescent="0.25">
      <c r="A3804" s="12" t="str">
        <f t="shared" si="120"/>
        <v>IVA1422026SECRETARIA DE ADMINISTRAÇÃO DO GOVERNO DO ESTADO DE PERNAMBUCOIPV46054</v>
      </c>
      <c r="B3804" s="12" t="str">
        <f t="shared" si="119"/>
        <v>Setembro</v>
      </c>
      <c r="C3804" s="8" t="s">
        <v>1207</v>
      </c>
      <c r="D3804" s="8" t="s">
        <v>1723</v>
      </c>
      <c r="E3804" s="8" t="s">
        <v>1744</v>
      </c>
      <c r="F3804" s="23">
        <v>46054</v>
      </c>
      <c r="G3804" s="8" t="s">
        <v>1144</v>
      </c>
      <c r="H3804" s="23">
        <v>46280</v>
      </c>
      <c r="I3804" s="23">
        <v>46054</v>
      </c>
      <c r="J3804" s="10">
        <v>213.97</v>
      </c>
      <c r="K3804" s="10">
        <v>0</v>
      </c>
      <c r="L3804" s="24">
        <v>0</v>
      </c>
      <c r="M3804" s="10">
        <v>213.97</v>
      </c>
    </row>
    <row r="3805" spans="1:13" x14ac:dyDescent="0.25">
      <c r="A3805" s="12" t="str">
        <f t="shared" si="120"/>
        <v>IVA1432026SECRETARIA DE ADMINISTRAÇÃO DO GOVERNO DO ESTADO DE PERNAMBUCOIPV46054</v>
      </c>
      <c r="B3805" s="12" t="str">
        <f t="shared" si="119"/>
        <v>Fevereiro</v>
      </c>
      <c r="C3805" s="8" t="s">
        <v>1208</v>
      </c>
      <c r="D3805" s="8" t="s">
        <v>1723</v>
      </c>
      <c r="E3805" s="8" t="s">
        <v>1744</v>
      </c>
      <c r="F3805" s="23">
        <v>46054</v>
      </c>
      <c r="G3805" s="8" t="s">
        <v>1144</v>
      </c>
      <c r="H3805" s="23">
        <v>46072</v>
      </c>
      <c r="I3805" s="23">
        <v>46054</v>
      </c>
      <c r="J3805" s="10">
        <v>213.97</v>
      </c>
      <c r="K3805" s="10">
        <v>0</v>
      </c>
      <c r="L3805" s="24">
        <v>0</v>
      </c>
      <c r="M3805" s="10">
        <v>213.97</v>
      </c>
    </row>
    <row r="3806" spans="1:13" x14ac:dyDescent="0.25">
      <c r="A3806" s="12" t="str">
        <f t="shared" si="120"/>
        <v>IVA1432026SECRETARIA DE ADMINISTRAÇÃO DO GOVERNO DO ESTADO DE PERNAMBUCOIPV46054</v>
      </c>
      <c r="B3806" s="12" t="str">
        <f t="shared" si="119"/>
        <v>Março</v>
      </c>
      <c r="C3806" s="8" t="s">
        <v>1208</v>
      </c>
      <c r="D3806" s="8" t="s">
        <v>1723</v>
      </c>
      <c r="E3806" s="8" t="s">
        <v>1744</v>
      </c>
      <c r="F3806" s="23">
        <v>46054</v>
      </c>
      <c r="G3806" s="8" t="s">
        <v>1144</v>
      </c>
      <c r="H3806" s="23">
        <v>46097</v>
      </c>
      <c r="I3806" s="23">
        <v>46054</v>
      </c>
      <c r="J3806" s="10">
        <v>213.97</v>
      </c>
      <c r="K3806" s="10">
        <v>0</v>
      </c>
      <c r="L3806" s="24">
        <v>0</v>
      </c>
      <c r="M3806" s="10">
        <v>213.97</v>
      </c>
    </row>
    <row r="3807" spans="1:13" x14ac:dyDescent="0.25">
      <c r="A3807" s="12" t="str">
        <f t="shared" si="120"/>
        <v>IVA1432026SECRETARIA DE ADMINISTRAÇÃO DO GOVERNO DO ESTADO DE PERNAMBUCOIPV46054</v>
      </c>
      <c r="B3807" s="12" t="str">
        <f t="shared" si="119"/>
        <v>Abril</v>
      </c>
      <c r="C3807" s="8" t="s">
        <v>1208</v>
      </c>
      <c r="D3807" s="8" t="s">
        <v>1723</v>
      </c>
      <c r="E3807" s="8" t="s">
        <v>1744</v>
      </c>
      <c r="F3807" s="23">
        <v>46054</v>
      </c>
      <c r="G3807" s="8" t="s">
        <v>1144</v>
      </c>
      <c r="H3807" s="23">
        <v>46127</v>
      </c>
      <c r="I3807" s="23">
        <v>46054</v>
      </c>
      <c r="J3807" s="10">
        <v>213.97</v>
      </c>
      <c r="K3807" s="10">
        <v>0</v>
      </c>
      <c r="L3807" s="24">
        <v>0</v>
      </c>
      <c r="M3807" s="10">
        <v>213.97</v>
      </c>
    </row>
    <row r="3808" spans="1:13" x14ac:dyDescent="0.25">
      <c r="A3808" s="12" t="str">
        <f t="shared" si="120"/>
        <v>IVA1432026SECRETARIA DE ADMINISTRAÇÃO DO GOVERNO DO ESTADO DE PERNAMBUCOIPV46054</v>
      </c>
      <c r="B3808" s="12" t="str">
        <f t="shared" si="119"/>
        <v>Maio</v>
      </c>
      <c r="C3808" s="8" t="s">
        <v>1208</v>
      </c>
      <c r="D3808" s="8" t="s">
        <v>1723</v>
      </c>
      <c r="E3808" s="8" t="s">
        <v>1744</v>
      </c>
      <c r="F3808" s="23">
        <v>46054</v>
      </c>
      <c r="G3808" s="8" t="s">
        <v>1144</v>
      </c>
      <c r="H3808" s="23">
        <v>46157</v>
      </c>
      <c r="I3808" s="23">
        <v>46054</v>
      </c>
      <c r="J3808" s="10">
        <v>213.97</v>
      </c>
      <c r="K3808" s="10">
        <v>0</v>
      </c>
      <c r="L3808" s="24">
        <v>0</v>
      </c>
      <c r="M3808" s="10">
        <v>213.97</v>
      </c>
    </row>
    <row r="3809" spans="1:13" x14ac:dyDescent="0.25">
      <c r="A3809" s="12" t="str">
        <f t="shared" si="120"/>
        <v>IVA1432026SECRETARIA DE ADMINISTRAÇÃO DO GOVERNO DO ESTADO DE PERNAMBUCOIPV46054</v>
      </c>
      <c r="B3809" s="12" t="str">
        <f t="shared" si="119"/>
        <v>Junho</v>
      </c>
      <c r="C3809" s="8" t="s">
        <v>1208</v>
      </c>
      <c r="D3809" s="8" t="s">
        <v>1723</v>
      </c>
      <c r="E3809" s="8" t="s">
        <v>1744</v>
      </c>
      <c r="F3809" s="23">
        <v>46054</v>
      </c>
      <c r="G3809" s="8" t="s">
        <v>1144</v>
      </c>
      <c r="H3809" s="23">
        <v>46188</v>
      </c>
      <c r="I3809" s="23">
        <v>46054</v>
      </c>
      <c r="J3809" s="10">
        <v>213.97</v>
      </c>
      <c r="K3809" s="10">
        <v>0</v>
      </c>
      <c r="L3809" s="24">
        <v>0</v>
      </c>
      <c r="M3809" s="10">
        <v>213.97</v>
      </c>
    </row>
    <row r="3810" spans="1:13" x14ac:dyDescent="0.25">
      <c r="A3810" s="12" t="str">
        <f t="shared" si="120"/>
        <v>IVA1432026SECRETARIA DE ADMINISTRAÇÃO DO GOVERNO DO ESTADO DE PERNAMBUCOIPV46054</v>
      </c>
      <c r="B3810" s="12" t="str">
        <f t="shared" si="119"/>
        <v>Julho</v>
      </c>
      <c r="C3810" s="8" t="s">
        <v>1208</v>
      </c>
      <c r="D3810" s="8" t="s">
        <v>1723</v>
      </c>
      <c r="E3810" s="8" t="s">
        <v>1744</v>
      </c>
      <c r="F3810" s="23">
        <v>46054</v>
      </c>
      <c r="G3810" s="8" t="s">
        <v>1144</v>
      </c>
      <c r="H3810" s="23">
        <v>46218</v>
      </c>
      <c r="I3810" s="23">
        <v>46054</v>
      </c>
      <c r="J3810" s="10">
        <v>213.97</v>
      </c>
      <c r="K3810" s="10">
        <v>0</v>
      </c>
      <c r="L3810" s="24">
        <v>0</v>
      </c>
      <c r="M3810" s="10">
        <v>213.97</v>
      </c>
    </row>
    <row r="3811" spans="1:13" x14ac:dyDescent="0.25">
      <c r="A3811" s="12" t="str">
        <f t="shared" si="120"/>
        <v>IVA1432026SECRETARIA DE ADMINISTRAÇÃO DO GOVERNO DO ESTADO DE PERNAMBUCOIPV46054</v>
      </c>
      <c r="B3811" s="12" t="str">
        <f t="shared" si="119"/>
        <v>Agosto</v>
      </c>
      <c r="C3811" s="8" t="s">
        <v>1208</v>
      </c>
      <c r="D3811" s="8" t="s">
        <v>1723</v>
      </c>
      <c r="E3811" s="8" t="s">
        <v>1744</v>
      </c>
      <c r="F3811" s="23">
        <v>46054</v>
      </c>
      <c r="G3811" s="8" t="s">
        <v>1144</v>
      </c>
      <c r="H3811" s="23">
        <v>46251</v>
      </c>
      <c r="I3811" s="23">
        <v>46054</v>
      </c>
      <c r="J3811" s="10">
        <v>213.97</v>
      </c>
      <c r="K3811" s="10">
        <v>0</v>
      </c>
      <c r="L3811" s="24">
        <v>0</v>
      </c>
      <c r="M3811" s="10">
        <v>213.97</v>
      </c>
    </row>
    <row r="3812" spans="1:13" x14ac:dyDescent="0.25">
      <c r="A3812" s="12" t="str">
        <f t="shared" si="120"/>
        <v>IVA1432026SECRETARIA DE ADMINISTRAÇÃO DO GOVERNO DO ESTADO DE PERNAMBUCOIPV46054</v>
      </c>
      <c r="B3812" s="12" t="str">
        <f t="shared" si="119"/>
        <v>Setembro</v>
      </c>
      <c r="C3812" s="8" t="s">
        <v>1208</v>
      </c>
      <c r="D3812" s="8" t="s">
        <v>1723</v>
      </c>
      <c r="E3812" s="8" t="s">
        <v>1744</v>
      </c>
      <c r="F3812" s="23">
        <v>46054</v>
      </c>
      <c r="G3812" s="8" t="s">
        <v>1144</v>
      </c>
      <c r="H3812" s="23">
        <v>46280</v>
      </c>
      <c r="I3812" s="23">
        <v>46054</v>
      </c>
      <c r="J3812" s="10">
        <v>213.97</v>
      </c>
      <c r="K3812" s="10">
        <v>0</v>
      </c>
      <c r="L3812" s="24">
        <v>0</v>
      </c>
      <c r="M3812" s="10">
        <v>213.97</v>
      </c>
    </row>
    <row r="3813" spans="1:13" x14ac:dyDescent="0.25">
      <c r="A3813" s="12" t="str">
        <f t="shared" si="120"/>
        <v>IVA1442026SECRETARIA DE ADMINISTRAÇÃO DO GOVERNO DO ESTADO DE PERNAMBUCOIPV46063</v>
      </c>
      <c r="B3813" s="12" t="str">
        <f t="shared" si="119"/>
        <v>Fevereiro</v>
      </c>
      <c r="C3813" s="8" t="s">
        <v>1257</v>
      </c>
      <c r="D3813" s="8" t="s">
        <v>1723</v>
      </c>
      <c r="E3813" s="8" t="s">
        <v>1744</v>
      </c>
      <c r="F3813" s="23">
        <v>46063</v>
      </c>
      <c r="G3813" s="8" t="s">
        <v>1144</v>
      </c>
      <c r="H3813" s="23">
        <v>46073</v>
      </c>
      <c r="I3813" s="23">
        <v>46063</v>
      </c>
      <c r="J3813" s="10">
        <v>213.97</v>
      </c>
      <c r="K3813" s="10">
        <v>0</v>
      </c>
      <c r="L3813" s="24">
        <v>0</v>
      </c>
      <c r="M3813" s="10">
        <v>213.97</v>
      </c>
    </row>
    <row r="3814" spans="1:13" x14ac:dyDescent="0.25">
      <c r="A3814" s="12" t="str">
        <f t="shared" si="120"/>
        <v>IVA1442026SECRETARIA DE ADMINISTRAÇÃO DO GOVERNO DO ESTADO DE PERNAMBUCOIPV46063</v>
      </c>
      <c r="B3814" s="12" t="str">
        <f t="shared" si="119"/>
        <v>Março</v>
      </c>
      <c r="C3814" s="8" t="s">
        <v>1257</v>
      </c>
      <c r="D3814" s="8" t="s">
        <v>1723</v>
      </c>
      <c r="E3814" s="8" t="s">
        <v>1744</v>
      </c>
      <c r="F3814" s="23">
        <v>46063</v>
      </c>
      <c r="G3814" s="8" t="s">
        <v>1144</v>
      </c>
      <c r="H3814" s="23">
        <v>46101</v>
      </c>
      <c r="I3814" s="23">
        <v>46063</v>
      </c>
      <c r="J3814" s="10">
        <v>213.97</v>
      </c>
      <c r="K3814" s="10">
        <v>0</v>
      </c>
      <c r="L3814" s="24">
        <v>0</v>
      </c>
      <c r="M3814" s="10">
        <v>213.97</v>
      </c>
    </row>
    <row r="3815" spans="1:13" x14ac:dyDescent="0.25">
      <c r="A3815" s="12" t="str">
        <f t="shared" si="120"/>
        <v>IVA1442026SECRETARIA DE ADMINISTRAÇÃO DO GOVERNO DO ESTADO DE PERNAMBUCOIPV46063</v>
      </c>
      <c r="B3815" s="12" t="str">
        <f t="shared" si="119"/>
        <v>Abril</v>
      </c>
      <c r="C3815" s="8" t="s">
        <v>1257</v>
      </c>
      <c r="D3815" s="8" t="s">
        <v>1723</v>
      </c>
      <c r="E3815" s="8" t="s">
        <v>1744</v>
      </c>
      <c r="F3815" s="23">
        <v>46063</v>
      </c>
      <c r="G3815" s="8" t="s">
        <v>1144</v>
      </c>
      <c r="H3815" s="23">
        <v>46132</v>
      </c>
      <c r="I3815" s="23">
        <v>46063</v>
      </c>
      <c r="J3815" s="10">
        <v>213.97</v>
      </c>
      <c r="K3815" s="10">
        <v>0</v>
      </c>
      <c r="L3815" s="24">
        <v>0</v>
      </c>
      <c r="M3815" s="10">
        <v>213.97</v>
      </c>
    </row>
    <row r="3816" spans="1:13" x14ac:dyDescent="0.25">
      <c r="A3816" s="12" t="str">
        <f t="shared" si="120"/>
        <v>IVA1442026SECRETARIA DE ADMINISTRAÇÃO DO GOVERNO DO ESTADO DE PERNAMBUCOIPV46063</v>
      </c>
      <c r="B3816" s="12" t="str">
        <f t="shared" si="119"/>
        <v>Maio</v>
      </c>
      <c r="C3816" s="8" t="s">
        <v>1257</v>
      </c>
      <c r="D3816" s="8" t="s">
        <v>1723</v>
      </c>
      <c r="E3816" s="8" t="s">
        <v>1744</v>
      </c>
      <c r="F3816" s="23">
        <v>46063</v>
      </c>
      <c r="G3816" s="8" t="s">
        <v>1144</v>
      </c>
      <c r="H3816" s="23">
        <v>46162</v>
      </c>
      <c r="I3816" s="23">
        <v>46063</v>
      </c>
      <c r="J3816" s="10">
        <v>213.97</v>
      </c>
      <c r="K3816" s="10">
        <v>0</v>
      </c>
      <c r="L3816" s="24">
        <v>0</v>
      </c>
      <c r="M3816" s="10">
        <v>213.97</v>
      </c>
    </row>
    <row r="3817" spans="1:13" x14ac:dyDescent="0.25">
      <c r="A3817" s="12" t="str">
        <f t="shared" si="120"/>
        <v>IVA1442026SECRETARIA DE ADMINISTRAÇÃO DO GOVERNO DO ESTADO DE PERNAMBUCOIPV46063</v>
      </c>
      <c r="B3817" s="12" t="str">
        <f t="shared" si="119"/>
        <v>Junho</v>
      </c>
      <c r="C3817" s="8" t="s">
        <v>1257</v>
      </c>
      <c r="D3817" s="8" t="s">
        <v>1723</v>
      </c>
      <c r="E3817" s="8" t="s">
        <v>1744</v>
      </c>
      <c r="F3817" s="23">
        <v>46063</v>
      </c>
      <c r="G3817" s="8" t="s">
        <v>1144</v>
      </c>
      <c r="H3817" s="23">
        <v>46195</v>
      </c>
      <c r="I3817" s="23">
        <v>46063</v>
      </c>
      <c r="J3817" s="10">
        <v>213.97</v>
      </c>
      <c r="K3817" s="10">
        <v>0</v>
      </c>
      <c r="L3817" s="24">
        <v>0</v>
      </c>
      <c r="M3817" s="10">
        <v>213.97</v>
      </c>
    </row>
    <row r="3818" spans="1:13" x14ac:dyDescent="0.25">
      <c r="A3818" s="12" t="str">
        <f t="shared" si="120"/>
        <v>IVA1442026SECRETARIA DE ADMINISTRAÇÃO DO GOVERNO DO ESTADO DE PERNAMBUCOIPV46063</v>
      </c>
      <c r="B3818" s="12" t="str">
        <f t="shared" si="119"/>
        <v>Julho</v>
      </c>
      <c r="C3818" s="8" t="s">
        <v>1257</v>
      </c>
      <c r="D3818" s="8" t="s">
        <v>1723</v>
      </c>
      <c r="E3818" s="8" t="s">
        <v>1744</v>
      </c>
      <c r="F3818" s="23">
        <v>46063</v>
      </c>
      <c r="G3818" s="8" t="s">
        <v>1144</v>
      </c>
      <c r="H3818" s="23">
        <v>46223</v>
      </c>
      <c r="I3818" s="23">
        <v>46063</v>
      </c>
      <c r="J3818" s="10">
        <v>213.97</v>
      </c>
      <c r="K3818" s="10">
        <v>0</v>
      </c>
      <c r="L3818" s="24">
        <v>0</v>
      </c>
      <c r="M3818" s="10">
        <v>213.97</v>
      </c>
    </row>
    <row r="3819" spans="1:13" x14ac:dyDescent="0.25">
      <c r="A3819" s="12" t="str">
        <f t="shared" si="120"/>
        <v>IVA1442026SECRETARIA DE ADMINISTRAÇÃO DO GOVERNO DO ESTADO DE PERNAMBUCOIPV46063</v>
      </c>
      <c r="B3819" s="12" t="str">
        <f t="shared" si="119"/>
        <v>Agosto</v>
      </c>
      <c r="C3819" s="8" t="s">
        <v>1257</v>
      </c>
      <c r="D3819" s="8" t="s">
        <v>1723</v>
      </c>
      <c r="E3819" s="8" t="s">
        <v>1744</v>
      </c>
      <c r="F3819" s="23">
        <v>46063</v>
      </c>
      <c r="G3819" s="8" t="s">
        <v>1144</v>
      </c>
      <c r="H3819" s="23">
        <v>46254</v>
      </c>
      <c r="I3819" s="23">
        <v>46063</v>
      </c>
      <c r="J3819" s="10">
        <v>213.97</v>
      </c>
      <c r="K3819" s="10">
        <v>0</v>
      </c>
      <c r="L3819" s="24">
        <v>0</v>
      </c>
      <c r="M3819" s="10">
        <v>213.97</v>
      </c>
    </row>
    <row r="3820" spans="1:13" x14ac:dyDescent="0.25">
      <c r="A3820" s="12" t="str">
        <f t="shared" si="120"/>
        <v>IVA1442026SECRETARIA DE ADMINISTRAÇÃO DO GOVERNO DO ESTADO DE PERNAMBUCOIPV46063</v>
      </c>
      <c r="B3820" s="12" t="str">
        <f t="shared" si="119"/>
        <v>Setembro</v>
      </c>
      <c r="C3820" s="8" t="s">
        <v>1257</v>
      </c>
      <c r="D3820" s="8" t="s">
        <v>1723</v>
      </c>
      <c r="E3820" s="8" t="s">
        <v>1744</v>
      </c>
      <c r="F3820" s="23">
        <v>46063</v>
      </c>
      <c r="G3820" s="8" t="s">
        <v>1144</v>
      </c>
      <c r="H3820" s="23">
        <v>46286</v>
      </c>
      <c r="I3820" s="23">
        <v>46063</v>
      </c>
      <c r="J3820" s="10">
        <v>213.97</v>
      </c>
      <c r="K3820" s="10">
        <v>0</v>
      </c>
      <c r="L3820" s="24">
        <v>0</v>
      </c>
      <c r="M3820" s="10">
        <v>213.97</v>
      </c>
    </row>
    <row r="3821" spans="1:13" x14ac:dyDescent="0.25">
      <c r="A3821" s="12" t="str">
        <f t="shared" si="120"/>
        <v>IVA1452026SECRETARIA DE ADMINISTRAÇÃO DO GOVERNO DO ESTADO DE PERNAMBUCOIPV46054</v>
      </c>
      <c r="B3821" s="12" t="str">
        <f t="shared" si="119"/>
        <v>Fevereiro</v>
      </c>
      <c r="C3821" s="8" t="s">
        <v>1209</v>
      </c>
      <c r="D3821" s="8" t="s">
        <v>1723</v>
      </c>
      <c r="E3821" s="8" t="s">
        <v>1744</v>
      </c>
      <c r="F3821" s="23">
        <v>46054</v>
      </c>
      <c r="G3821" s="8" t="s">
        <v>1144</v>
      </c>
      <c r="H3821" s="23">
        <v>46072</v>
      </c>
      <c r="I3821" s="23">
        <v>46054</v>
      </c>
      <c r="J3821" s="10">
        <v>213.97</v>
      </c>
      <c r="K3821" s="10">
        <v>0</v>
      </c>
      <c r="L3821" s="24">
        <v>0</v>
      </c>
      <c r="M3821" s="10">
        <v>213.97</v>
      </c>
    </row>
    <row r="3822" spans="1:13" x14ac:dyDescent="0.25">
      <c r="A3822" s="12" t="str">
        <f t="shared" si="120"/>
        <v>IVA1452026SECRETARIA DE ADMINISTRAÇÃO DO GOVERNO DO ESTADO DE PERNAMBUCOIPV46054</v>
      </c>
      <c r="B3822" s="12" t="str">
        <f t="shared" si="119"/>
        <v>Março</v>
      </c>
      <c r="C3822" s="8" t="s">
        <v>1209</v>
      </c>
      <c r="D3822" s="8" t="s">
        <v>1723</v>
      </c>
      <c r="E3822" s="8" t="s">
        <v>1744</v>
      </c>
      <c r="F3822" s="23">
        <v>46054</v>
      </c>
      <c r="G3822" s="8" t="s">
        <v>1144</v>
      </c>
      <c r="H3822" s="23">
        <v>46097</v>
      </c>
      <c r="I3822" s="23">
        <v>46054</v>
      </c>
      <c r="J3822" s="10">
        <v>213.97</v>
      </c>
      <c r="K3822" s="10">
        <v>0</v>
      </c>
      <c r="L3822" s="24">
        <v>0</v>
      </c>
      <c r="M3822" s="10">
        <v>213.97</v>
      </c>
    </row>
    <row r="3823" spans="1:13" x14ac:dyDescent="0.25">
      <c r="A3823" s="12" t="str">
        <f t="shared" si="120"/>
        <v>IVA1452026SECRETARIA DE ADMINISTRAÇÃO DO GOVERNO DO ESTADO DE PERNAMBUCOIPV46054</v>
      </c>
      <c r="B3823" s="12" t="str">
        <f t="shared" si="119"/>
        <v>Abril</v>
      </c>
      <c r="C3823" s="8" t="s">
        <v>1209</v>
      </c>
      <c r="D3823" s="8" t="s">
        <v>1723</v>
      </c>
      <c r="E3823" s="8" t="s">
        <v>1744</v>
      </c>
      <c r="F3823" s="23">
        <v>46054</v>
      </c>
      <c r="G3823" s="8" t="s">
        <v>1144</v>
      </c>
      <c r="H3823" s="23">
        <v>46127</v>
      </c>
      <c r="I3823" s="23">
        <v>46054</v>
      </c>
      <c r="J3823" s="10">
        <v>213.97</v>
      </c>
      <c r="K3823" s="10">
        <v>0</v>
      </c>
      <c r="L3823" s="24">
        <v>0</v>
      </c>
      <c r="M3823" s="10">
        <v>213.97</v>
      </c>
    </row>
    <row r="3824" spans="1:13" x14ac:dyDescent="0.25">
      <c r="A3824" s="12" t="str">
        <f t="shared" si="120"/>
        <v>IVA1452026SECRETARIA DE ADMINISTRAÇÃO DO GOVERNO DO ESTADO DE PERNAMBUCOIPV46054</v>
      </c>
      <c r="B3824" s="12" t="str">
        <f t="shared" si="119"/>
        <v>Maio</v>
      </c>
      <c r="C3824" s="8" t="s">
        <v>1209</v>
      </c>
      <c r="D3824" s="8" t="s">
        <v>1723</v>
      </c>
      <c r="E3824" s="8" t="s">
        <v>1744</v>
      </c>
      <c r="F3824" s="23">
        <v>46054</v>
      </c>
      <c r="G3824" s="8" t="s">
        <v>1144</v>
      </c>
      <c r="H3824" s="23">
        <v>46157</v>
      </c>
      <c r="I3824" s="23">
        <v>46054</v>
      </c>
      <c r="J3824" s="10">
        <v>213.97</v>
      </c>
      <c r="K3824" s="10">
        <v>0</v>
      </c>
      <c r="L3824" s="24">
        <v>0</v>
      </c>
      <c r="M3824" s="10">
        <v>213.97</v>
      </c>
    </row>
    <row r="3825" spans="1:13" x14ac:dyDescent="0.25">
      <c r="A3825" s="12" t="str">
        <f t="shared" si="120"/>
        <v>IVA1452026SECRETARIA DE ADMINISTRAÇÃO DO GOVERNO DO ESTADO DE PERNAMBUCOIPV46054</v>
      </c>
      <c r="B3825" s="12" t="str">
        <f t="shared" si="119"/>
        <v>Junho</v>
      </c>
      <c r="C3825" s="8" t="s">
        <v>1209</v>
      </c>
      <c r="D3825" s="8" t="s">
        <v>1723</v>
      </c>
      <c r="E3825" s="8" t="s">
        <v>1744</v>
      </c>
      <c r="F3825" s="23">
        <v>46054</v>
      </c>
      <c r="G3825" s="8" t="s">
        <v>1144</v>
      </c>
      <c r="H3825" s="23">
        <v>46188</v>
      </c>
      <c r="I3825" s="23">
        <v>46054</v>
      </c>
      <c r="J3825" s="10">
        <v>213.97</v>
      </c>
      <c r="K3825" s="10">
        <v>0</v>
      </c>
      <c r="L3825" s="24">
        <v>0</v>
      </c>
      <c r="M3825" s="10">
        <v>213.97</v>
      </c>
    </row>
    <row r="3826" spans="1:13" x14ac:dyDescent="0.25">
      <c r="A3826" s="12" t="str">
        <f t="shared" si="120"/>
        <v>IVA1452026SECRETARIA DE ADMINISTRAÇÃO DO GOVERNO DO ESTADO DE PERNAMBUCOIPV46054</v>
      </c>
      <c r="B3826" s="12" t="str">
        <f t="shared" si="119"/>
        <v>Julho</v>
      </c>
      <c r="C3826" s="8" t="s">
        <v>1209</v>
      </c>
      <c r="D3826" s="8" t="s">
        <v>1723</v>
      </c>
      <c r="E3826" s="8" t="s">
        <v>1744</v>
      </c>
      <c r="F3826" s="23">
        <v>46054</v>
      </c>
      <c r="G3826" s="8" t="s">
        <v>1144</v>
      </c>
      <c r="H3826" s="23">
        <v>46218</v>
      </c>
      <c r="I3826" s="23">
        <v>46054</v>
      </c>
      <c r="J3826" s="10">
        <v>213.97</v>
      </c>
      <c r="K3826" s="10">
        <v>0</v>
      </c>
      <c r="L3826" s="24">
        <v>0</v>
      </c>
      <c r="M3826" s="10">
        <v>213.97</v>
      </c>
    </row>
    <row r="3827" spans="1:13" x14ac:dyDescent="0.25">
      <c r="A3827" s="12" t="str">
        <f t="shared" si="120"/>
        <v>IVA1452026SECRETARIA DE ADMINISTRAÇÃO DO GOVERNO DO ESTADO DE PERNAMBUCOIPV46054</v>
      </c>
      <c r="B3827" s="12" t="str">
        <f t="shared" si="119"/>
        <v>Agosto</v>
      </c>
      <c r="C3827" s="8" t="s">
        <v>1209</v>
      </c>
      <c r="D3827" s="8" t="s">
        <v>1723</v>
      </c>
      <c r="E3827" s="8" t="s">
        <v>1744</v>
      </c>
      <c r="F3827" s="23">
        <v>46054</v>
      </c>
      <c r="G3827" s="8" t="s">
        <v>1144</v>
      </c>
      <c r="H3827" s="23">
        <v>46251</v>
      </c>
      <c r="I3827" s="23">
        <v>46054</v>
      </c>
      <c r="J3827" s="10">
        <v>213.97</v>
      </c>
      <c r="K3827" s="10">
        <v>0</v>
      </c>
      <c r="L3827" s="24">
        <v>0</v>
      </c>
      <c r="M3827" s="10">
        <v>213.97</v>
      </c>
    </row>
    <row r="3828" spans="1:13" x14ac:dyDescent="0.25">
      <c r="A3828" s="12" t="str">
        <f t="shared" si="120"/>
        <v>IVA1452026SECRETARIA DE ADMINISTRAÇÃO DO GOVERNO DO ESTADO DE PERNAMBUCOIPV46054</v>
      </c>
      <c r="B3828" s="12" t="str">
        <f t="shared" si="119"/>
        <v>Setembro</v>
      </c>
      <c r="C3828" s="8" t="s">
        <v>1209</v>
      </c>
      <c r="D3828" s="8" t="s">
        <v>1723</v>
      </c>
      <c r="E3828" s="8" t="s">
        <v>1744</v>
      </c>
      <c r="F3828" s="23">
        <v>46054</v>
      </c>
      <c r="G3828" s="8" t="s">
        <v>1144</v>
      </c>
      <c r="H3828" s="23">
        <v>46280</v>
      </c>
      <c r="I3828" s="23">
        <v>46054</v>
      </c>
      <c r="J3828" s="10">
        <v>213.97</v>
      </c>
      <c r="K3828" s="10">
        <v>0</v>
      </c>
      <c r="L3828" s="24">
        <v>0</v>
      </c>
      <c r="M3828" s="10">
        <v>213.97</v>
      </c>
    </row>
    <row r="3829" spans="1:13" x14ac:dyDescent="0.25">
      <c r="A3829" s="12" t="str">
        <f t="shared" si="120"/>
        <v>IVA1462026SECRETARIA DE ADMINISTRAÇÃO DO GOVERNO DO ESTADO DE PERNAMBUCOIPV46054</v>
      </c>
      <c r="B3829" s="12" t="str">
        <f t="shared" si="119"/>
        <v>Fevereiro</v>
      </c>
      <c r="C3829" s="8" t="s">
        <v>1210</v>
      </c>
      <c r="D3829" s="8" t="s">
        <v>1723</v>
      </c>
      <c r="E3829" s="8" t="s">
        <v>1744</v>
      </c>
      <c r="F3829" s="23">
        <v>46054</v>
      </c>
      <c r="G3829" s="8" t="s">
        <v>1144</v>
      </c>
      <c r="H3829" s="23">
        <v>46072</v>
      </c>
      <c r="I3829" s="23">
        <v>46054</v>
      </c>
      <c r="J3829" s="10">
        <v>213.97</v>
      </c>
      <c r="K3829" s="10">
        <v>0</v>
      </c>
      <c r="L3829" s="24">
        <v>0</v>
      </c>
      <c r="M3829" s="10">
        <v>213.97</v>
      </c>
    </row>
    <row r="3830" spans="1:13" x14ac:dyDescent="0.25">
      <c r="A3830" s="12" t="str">
        <f t="shared" si="120"/>
        <v>IVA1462026SECRETARIA DE ADMINISTRAÇÃO DO GOVERNO DO ESTADO DE PERNAMBUCOIPV46054</v>
      </c>
      <c r="B3830" s="12" t="str">
        <f t="shared" si="119"/>
        <v>Março</v>
      </c>
      <c r="C3830" s="8" t="s">
        <v>1210</v>
      </c>
      <c r="D3830" s="8" t="s">
        <v>1723</v>
      </c>
      <c r="E3830" s="8" t="s">
        <v>1744</v>
      </c>
      <c r="F3830" s="23">
        <v>46054</v>
      </c>
      <c r="G3830" s="8" t="s">
        <v>1144</v>
      </c>
      <c r="H3830" s="23">
        <v>46097</v>
      </c>
      <c r="I3830" s="23">
        <v>46054</v>
      </c>
      <c r="J3830" s="10">
        <v>213.97</v>
      </c>
      <c r="K3830" s="10">
        <v>0</v>
      </c>
      <c r="L3830" s="24">
        <v>0</v>
      </c>
      <c r="M3830" s="10">
        <v>213.97</v>
      </c>
    </row>
    <row r="3831" spans="1:13" x14ac:dyDescent="0.25">
      <c r="A3831" s="12" t="str">
        <f t="shared" si="120"/>
        <v>IVA1462026SECRETARIA DE ADMINISTRAÇÃO DO GOVERNO DO ESTADO DE PERNAMBUCOIPV46054</v>
      </c>
      <c r="B3831" s="12" t="str">
        <f t="shared" si="119"/>
        <v>Abril</v>
      </c>
      <c r="C3831" s="8" t="s">
        <v>1210</v>
      </c>
      <c r="D3831" s="8" t="s">
        <v>1723</v>
      </c>
      <c r="E3831" s="8" t="s">
        <v>1744</v>
      </c>
      <c r="F3831" s="23">
        <v>46054</v>
      </c>
      <c r="G3831" s="8" t="s">
        <v>1144</v>
      </c>
      <c r="H3831" s="23">
        <v>46127</v>
      </c>
      <c r="I3831" s="23">
        <v>46054</v>
      </c>
      <c r="J3831" s="10">
        <v>213.97</v>
      </c>
      <c r="K3831" s="10">
        <v>0</v>
      </c>
      <c r="L3831" s="24">
        <v>0</v>
      </c>
      <c r="M3831" s="10">
        <v>213.97</v>
      </c>
    </row>
    <row r="3832" spans="1:13" x14ac:dyDescent="0.25">
      <c r="A3832" s="12" t="str">
        <f t="shared" si="120"/>
        <v>IVA1462026SECRETARIA DE ADMINISTRAÇÃO DO GOVERNO DO ESTADO DE PERNAMBUCOIPV46054</v>
      </c>
      <c r="B3832" s="12" t="str">
        <f t="shared" si="119"/>
        <v>Maio</v>
      </c>
      <c r="C3832" s="8" t="s">
        <v>1210</v>
      </c>
      <c r="D3832" s="8" t="s">
        <v>1723</v>
      </c>
      <c r="E3832" s="8" t="s">
        <v>1744</v>
      </c>
      <c r="F3832" s="23">
        <v>46054</v>
      </c>
      <c r="G3832" s="8" t="s">
        <v>1144</v>
      </c>
      <c r="H3832" s="23">
        <v>46157</v>
      </c>
      <c r="I3832" s="23">
        <v>46054</v>
      </c>
      <c r="J3832" s="10">
        <v>213.97</v>
      </c>
      <c r="K3832" s="10">
        <v>0</v>
      </c>
      <c r="L3832" s="24">
        <v>0</v>
      </c>
      <c r="M3832" s="10">
        <v>213.97</v>
      </c>
    </row>
    <row r="3833" spans="1:13" x14ac:dyDescent="0.25">
      <c r="A3833" s="12" t="str">
        <f t="shared" si="120"/>
        <v>IVA1462026SECRETARIA DE ADMINISTRAÇÃO DO GOVERNO DO ESTADO DE PERNAMBUCOIPV46054</v>
      </c>
      <c r="B3833" s="12" t="str">
        <f t="shared" si="119"/>
        <v>Junho</v>
      </c>
      <c r="C3833" s="8" t="s">
        <v>1210</v>
      </c>
      <c r="D3833" s="8" t="s">
        <v>1723</v>
      </c>
      <c r="E3833" s="8" t="s">
        <v>1744</v>
      </c>
      <c r="F3833" s="23">
        <v>46054</v>
      </c>
      <c r="G3833" s="8" t="s">
        <v>1144</v>
      </c>
      <c r="H3833" s="23">
        <v>46188</v>
      </c>
      <c r="I3833" s="23">
        <v>46054</v>
      </c>
      <c r="J3833" s="10">
        <v>213.97</v>
      </c>
      <c r="K3833" s="10">
        <v>0</v>
      </c>
      <c r="L3833" s="24">
        <v>0</v>
      </c>
      <c r="M3833" s="10">
        <v>213.97</v>
      </c>
    </row>
    <row r="3834" spans="1:13" x14ac:dyDescent="0.25">
      <c r="A3834" s="12" t="str">
        <f t="shared" si="120"/>
        <v>IVA1462026SECRETARIA DE ADMINISTRAÇÃO DO GOVERNO DO ESTADO DE PERNAMBUCOIPV46054</v>
      </c>
      <c r="B3834" s="12" t="str">
        <f t="shared" si="119"/>
        <v>Julho</v>
      </c>
      <c r="C3834" s="8" t="s">
        <v>1210</v>
      </c>
      <c r="D3834" s="8" t="s">
        <v>1723</v>
      </c>
      <c r="E3834" s="8" t="s">
        <v>1744</v>
      </c>
      <c r="F3834" s="23">
        <v>46054</v>
      </c>
      <c r="G3834" s="8" t="s">
        <v>1144</v>
      </c>
      <c r="H3834" s="23">
        <v>46218</v>
      </c>
      <c r="I3834" s="23">
        <v>46054</v>
      </c>
      <c r="J3834" s="10">
        <v>213.97</v>
      </c>
      <c r="K3834" s="10">
        <v>0</v>
      </c>
      <c r="L3834" s="24">
        <v>0</v>
      </c>
      <c r="M3834" s="10">
        <v>213.97</v>
      </c>
    </row>
    <row r="3835" spans="1:13" x14ac:dyDescent="0.25">
      <c r="A3835" s="12" t="str">
        <f t="shared" si="120"/>
        <v>IVA1462026SECRETARIA DE ADMINISTRAÇÃO DO GOVERNO DO ESTADO DE PERNAMBUCOIPV46054</v>
      </c>
      <c r="B3835" s="12" t="str">
        <f t="shared" si="119"/>
        <v>Agosto</v>
      </c>
      <c r="C3835" s="8" t="s">
        <v>1210</v>
      </c>
      <c r="D3835" s="8" t="s">
        <v>1723</v>
      </c>
      <c r="E3835" s="8" t="s">
        <v>1744</v>
      </c>
      <c r="F3835" s="23">
        <v>46054</v>
      </c>
      <c r="G3835" s="8" t="s">
        <v>1144</v>
      </c>
      <c r="H3835" s="23">
        <v>46251</v>
      </c>
      <c r="I3835" s="23">
        <v>46054</v>
      </c>
      <c r="J3835" s="10">
        <v>213.97</v>
      </c>
      <c r="K3835" s="10">
        <v>0</v>
      </c>
      <c r="L3835" s="24">
        <v>0</v>
      </c>
      <c r="M3835" s="10">
        <v>213.97</v>
      </c>
    </row>
    <row r="3836" spans="1:13" x14ac:dyDescent="0.25">
      <c r="A3836" s="12" t="str">
        <f t="shared" si="120"/>
        <v>IVA1462026SECRETARIA DE ADMINISTRAÇÃO DO GOVERNO DO ESTADO DE PERNAMBUCOIPV46054</v>
      </c>
      <c r="B3836" s="12" t="str">
        <f t="shared" si="119"/>
        <v>Setembro</v>
      </c>
      <c r="C3836" s="8" t="s">
        <v>1210</v>
      </c>
      <c r="D3836" s="8" t="s">
        <v>1723</v>
      </c>
      <c r="E3836" s="8" t="s">
        <v>1744</v>
      </c>
      <c r="F3836" s="23">
        <v>46054</v>
      </c>
      <c r="G3836" s="8" t="s">
        <v>1144</v>
      </c>
      <c r="H3836" s="23">
        <v>46280</v>
      </c>
      <c r="I3836" s="23">
        <v>46054</v>
      </c>
      <c r="J3836" s="10">
        <v>213.97</v>
      </c>
      <c r="K3836" s="10">
        <v>0</v>
      </c>
      <c r="L3836" s="24">
        <v>0</v>
      </c>
      <c r="M3836" s="10">
        <v>213.97</v>
      </c>
    </row>
    <row r="3837" spans="1:13" x14ac:dyDescent="0.25">
      <c r="A3837" s="12" t="str">
        <f t="shared" si="120"/>
        <v>IVA1472026SECRETARIA DE ADMINISTRAÇÃO DO GOVERNO DO ESTADO DE PERNAMBUCOIPV46054</v>
      </c>
      <c r="B3837" s="12" t="str">
        <f t="shared" si="119"/>
        <v>Fevereiro</v>
      </c>
      <c r="C3837" s="8" t="s">
        <v>1211</v>
      </c>
      <c r="D3837" s="8" t="s">
        <v>1723</v>
      </c>
      <c r="E3837" s="8" t="s">
        <v>1744</v>
      </c>
      <c r="F3837" s="23">
        <v>46054</v>
      </c>
      <c r="G3837" s="8" t="s">
        <v>1144</v>
      </c>
      <c r="H3837" s="23">
        <v>46072</v>
      </c>
      <c r="I3837" s="23">
        <v>46054</v>
      </c>
      <c r="J3837" s="10">
        <v>213.97</v>
      </c>
      <c r="K3837" s="10">
        <v>0</v>
      </c>
      <c r="L3837" s="24">
        <v>0</v>
      </c>
      <c r="M3837" s="10">
        <v>213.97</v>
      </c>
    </row>
    <row r="3838" spans="1:13" x14ac:dyDescent="0.25">
      <c r="A3838" s="12" t="str">
        <f t="shared" si="120"/>
        <v>IVA1472026SECRETARIA DE ADMINISTRAÇÃO DO GOVERNO DO ESTADO DE PERNAMBUCOIPV46054</v>
      </c>
      <c r="B3838" s="12" t="str">
        <f t="shared" si="119"/>
        <v>Março</v>
      </c>
      <c r="C3838" s="8" t="s">
        <v>1211</v>
      </c>
      <c r="D3838" s="8" t="s">
        <v>1723</v>
      </c>
      <c r="E3838" s="8" t="s">
        <v>1744</v>
      </c>
      <c r="F3838" s="23">
        <v>46054</v>
      </c>
      <c r="G3838" s="8" t="s">
        <v>1144</v>
      </c>
      <c r="H3838" s="23">
        <v>46097</v>
      </c>
      <c r="I3838" s="23">
        <v>46054</v>
      </c>
      <c r="J3838" s="10">
        <v>213.97</v>
      </c>
      <c r="K3838" s="10">
        <v>0</v>
      </c>
      <c r="L3838" s="24">
        <v>0</v>
      </c>
      <c r="M3838" s="10">
        <v>213.97</v>
      </c>
    </row>
    <row r="3839" spans="1:13" x14ac:dyDescent="0.25">
      <c r="A3839" s="12" t="str">
        <f t="shared" si="120"/>
        <v>IVA1472026SECRETARIA DE ADMINISTRAÇÃO DO GOVERNO DO ESTADO DE PERNAMBUCOIPV46054</v>
      </c>
      <c r="B3839" s="12" t="str">
        <f t="shared" si="119"/>
        <v>Abril</v>
      </c>
      <c r="C3839" s="8" t="s">
        <v>1211</v>
      </c>
      <c r="D3839" s="8" t="s">
        <v>1723</v>
      </c>
      <c r="E3839" s="8" t="s">
        <v>1744</v>
      </c>
      <c r="F3839" s="23">
        <v>46054</v>
      </c>
      <c r="G3839" s="8" t="s">
        <v>1144</v>
      </c>
      <c r="H3839" s="23">
        <v>46127</v>
      </c>
      <c r="I3839" s="23">
        <v>46054</v>
      </c>
      <c r="J3839" s="10">
        <v>213.97</v>
      </c>
      <c r="K3839" s="10">
        <v>0</v>
      </c>
      <c r="L3839" s="24">
        <v>0</v>
      </c>
      <c r="M3839" s="10">
        <v>213.97</v>
      </c>
    </row>
    <row r="3840" spans="1:13" x14ac:dyDescent="0.25">
      <c r="A3840" s="12" t="str">
        <f t="shared" si="120"/>
        <v>IVA1472026SECRETARIA DE ADMINISTRAÇÃO DO GOVERNO DO ESTADO DE PERNAMBUCOIPV46054</v>
      </c>
      <c r="B3840" s="12" t="str">
        <f t="shared" si="119"/>
        <v>Maio</v>
      </c>
      <c r="C3840" s="8" t="s">
        <v>1211</v>
      </c>
      <c r="D3840" s="8" t="s">
        <v>1723</v>
      </c>
      <c r="E3840" s="8" t="s">
        <v>1744</v>
      </c>
      <c r="F3840" s="23">
        <v>46054</v>
      </c>
      <c r="G3840" s="8" t="s">
        <v>1144</v>
      </c>
      <c r="H3840" s="23">
        <v>46157</v>
      </c>
      <c r="I3840" s="23">
        <v>46054</v>
      </c>
      <c r="J3840" s="10">
        <v>213.97</v>
      </c>
      <c r="K3840" s="10">
        <v>0</v>
      </c>
      <c r="L3840" s="24">
        <v>0</v>
      </c>
      <c r="M3840" s="10">
        <v>213.97</v>
      </c>
    </row>
    <row r="3841" spans="1:13" x14ac:dyDescent="0.25">
      <c r="A3841" s="12" t="str">
        <f t="shared" si="120"/>
        <v>IVA1472026SECRETARIA DE ADMINISTRAÇÃO DO GOVERNO DO ESTADO DE PERNAMBUCOIPV46054</v>
      </c>
      <c r="B3841" s="12" t="str">
        <f t="shared" si="119"/>
        <v>Junho</v>
      </c>
      <c r="C3841" s="8" t="s">
        <v>1211</v>
      </c>
      <c r="D3841" s="8" t="s">
        <v>1723</v>
      </c>
      <c r="E3841" s="8" t="s">
        <v>1744</v>
      </c>
      <c r="F3841" s="23">
        <v>46054</v>
      </c>
      <c r="G3841" s="8" t="s">
        <v>1144</v>
      </c>
      <c r="H3841" s="23">
        <v>46188</v>
      </c>
      <c r="I3841" s="23">
        <v>46054</v>
      </c>
      <c r="J3841" s="10">
        <v>213.97</v>
      </c>
      <c r="K3841" s="10">
        <v>0</v>
      </c>
      <c r="L3841" s="24">
        <v>0</v>
      </c>
      <c r="M3841" s="10">
        <v>213.97</v>
      </c>
    </row>
    <row r="3842" spans="1:13" x14ac:dyDescent="0.25">
      <c r="A3842" s="12" t="str">
        <f t="shared" si="120"/>
        <v>IVA1472026SECRETARIA DE ADMINISTRAÇÃO DO GOVERNO DO ESTADO DE PERNAMBUCOIPV46054</v>
      </c>
      <c r="B3842" s="12" t="str">
        <f t="shared" si="119"/>
        <v>Julho</v>
      </c>
      <c r="C3842" s="8" t="s">
        <v>1211</v>
      </c>
      <c r="D3842" s="8" t="s">
        <v>1723</v>
      </c>
      <c r="E3842" s="8" t="s">
        <v>1744</v>
      </c>
      <c r="F3842" s="23">
        <v>46054</v>
      </c>
      <c r="G3842" s="8" t="s">
        <v>1144</v>
      </c>
      <c r="H3842" s="23">
        <v>46218</v>
      </c>
      <c r="I3842" s="23">
        <v>46054</v>
      </c>
      <c r="J3842" s="10">
        <v>213.97</v>
      </c>
      <c r="K3842" s="10">
        <v>0</v>
      </c>
      <c r="L3842" s="24">
        <v>0</v>
      </c>
      <c r="M3842" s="10">
        <v>213.97</v>
      </c>
    </row>
    <row r="3843" spans="1:13" x14ac:dyDescent="0.25">
      <c r="A3843" s="12" t="str">
        <f t="shared" si="120"/>
        <v>IVA1472026SECRETARIA DE ADMINISTRAÇÃO DO GOVERNO DO ESTADO DE PERNAMBUCOIPV46054</v>
      </c>
      <c r="B3843" s="12" t="str">
        <f t="shared" ref="B3843:B3906" si="121">PROPER(TEXT($H3843,"MMMM"))</f>
        <v>Agosto</v>
      </c>
      <c r="C3843" s="8" t="s">
        <v>1211</v>
      </c>
      <c r="D3843" s="8" t="s">
        <v>1723</v>
      </c>
      <c r="E3843" s="8" t="s">
        <v>1744</v>
      </c>
      <c r="F3843" s="23">
        <v>46054</v>
      </c>
      <c r="G3843" s="8" t="s">
        <v>1144</v>
      </c>
      <c r="H3843" s="23">
        <v>46251</v>
      </c>
      <c r="I3843" s="23">
        <v>46054</v>
      </c>
      <c r="J3843" s="10">
        <v>213.97</v>
      </c>
      <c r="K3843" s="10">
        <v>0</v>
      </c>
      <c r="L3843" s="24">
        <v>0</v>
      </c>
      <c r="M3843" s="10">
        <v>213.97</v>
      </c>
    </row>
    <row r="3844" spans="1:13" x14ac:dyDescent="0.25">
      <c r="A3844" s="12" t="str">
        <f t="shared" si="120"/>
        <v>IVA1472026SECRETARIA DE ADMINISTRAÇÃO DO GOVERNO DO ESTADO DE PERNAMBUCOIPV46054</v>
      </c>
      <c r="B3844" s="12" t="str">
        <f t="shared" si="121"/>
        <v>Setembro</v>
      </c>
      <c r="C3844" s="8" t="s">
        <v>1211</v>
      </c>
      <c r="D3844" s="8" t="s">
        <v>1723</v>
      </c>
      <c r="E3844" s="8" t="s">
        <v>1744</v>
      </c>
      <c r="F3844" s="23">
        <v>46054</v>
      </c>
      <c r="G3844" s="8" t="s">
        <v>1144</v>
      </c>
      <c r="H3844" s="23">
        <v>46280</v>
      </c>
      <c r="I3844" s="23">
        <v>46054</v>
      </c>
      <c r="J3844" s="10">
        <v>213.97</v>
      </c>
      <c r="K3844" s="10">
        <v>0</v>
      </c>
      <c r="L3844" s="24">
        <v>0</v>
      </c>
      <c r="M3844" s="10">
        <v>213.97</v>
      </c>
    </row>
    <row r="3845" spans="1:13" x14ac:dyDescent="0.25">
      <c r="A3845" s="12" t="str">
        <f t="shared" si="120"/>
        <v>IVA1482026SECRETARIA DE ADMINISTRAÇÃO DO GOVERNO DO ESTADO DE PERNAMBUCOIPV46054</v>
      </c>
      <c r="B3845" s="12" t="str">
        <f t="shared" si="121"/>
        <v>Fevereiro</v>
      </c>
      <c r="C3845" s="8" t="s">
        <v>1212</v>
      </c>
      <c r="D3845" s="8" t="s">
        <v>1723</v>
      </c>
      <c r="E3845" s="8" t="s">
        <v>1744</v>
      </c>
      <c r="F3845" s="23">
        <v>46054</v>
      </c>
      <c r="G3845" s="8" t="s">
        <v>1144</v>
      </c>
      <c r="H3845" s="23">
        <v>46072</v>
      </c>
      <c r="I3845" s="23">
        <v>46054</v>
      </c>
      <c r="J3845" s="10">
        <v>213.97</v>
      </c>
      <c r="K3845" s="10">
        <v>0</v>
      </c>
      <c r="L3845" s="24">
        <v>0</v>
      </c>
      <c r="M3845" s="10">
        <v>213.97</v>
      </c>
    </row>
    <row r="3846" spans="1:13" x14ac:dyDescent="0.25">
      <c r="A3846" s="12" t="str">
        <f t="shared" si="120"/>
        <v>IVA1482026SECRETARIA DE ADMINISTRAÇÃO DO GOVERNO DO ESTADO DE PERNAMBUCOIPV46054</v>
      </c>
      <c r="B3846" s="12" t="str">
        <f t="shared" si="121"/>
        <v>Março</v>
      </c>
      <c r="C3846" s="8" t="s">
        <v>1212</v>
      </c>
      <c r="D3846" s="8" t="s">
        <v>1723</v>
      </c>
      <c r="E3846" s="8" t="s">
        <v>1744</v>
      </c>
      <c r="F3846" s="23">
        <v>46054</v>
      </c>
      <c r="G3846" s="8" t="s">
        <v>1144</v>
      </c>
      <c r="H3846" s="23">
        <v>46097</v>
      </c>
      <c r="I3846" s="23">
        <v>46054</v>
      </c>
      <c r="J3846" s="10">
        <v>213.97</v>
      </c>
      <c r="K3846" s="10">
        <v>0</v>
      </c>
      <c r="L3846" s="24">
        <v>0</v>
      </c>
      <c r="M3846" s="10">
        <v>213.97</v>
      </c>
    </row>
    <row r="3847" spans="1:13" x14ac:dyDescent="0.25">
      <c r="A3847" s="12" t="str">
        <f t="shared" si="120"/>
        <v>IVA1482026SECRETARIA DE ADMINISTRAÇÃO DO GOVERNO DO ESTADO DE PERNAMBUCOIPV46054</v>
      </c>
      <c r="B3847" s="12" t="str">
        <f t="shared" si="121"/>
        <v>Abril</v>
      </c>
      <c r="C3847" s="8" t="s">
        <v>1212</v>
      </c>
      <c r="D3847" s="8" t="s">
        <v>1723</v>
      </c>
      <c r="E3847" s="8" t="s">
        <v>1744</v>
      </c>
      <c r="F3847" s="23">
        <v>46054</v>
      </c>
      <c r="G3847" s="8" t="s">
        <v>1144</v>
      </c>
      <c r="H3847" s="23">
        <v>46127</v>
      </c>
      <c r="I3847" s="23">
        <v>46054</v>
      </c>
      <c r="J3847" s="10">
        <v>213.97</v>
      </c>
      <c r="K3847" s="10">
        <v>0</v>
      </c>
      <c r="L3847" s="24">
        <v>0</v>
      </c>
      <c r="M3847" s="10">
        <v>213.97</v>
      </c>
    </row>
    <row r="3848" spans="1:13" x14ac:dyDescent="0.25">
      <c r="A3848" s="12" t="str">
        <f t="shared" si="120"/>
        <v>IVA1482026SECRETARIA DE ADMINISTRAÇÃO DO GOVERNO DO ESTADO DE PERNAMBUCOIPV46054</v>
      </c>
      <c r="B3848" s="12" t="str">
        <f t="shared" si="121"/>
        <v>Maio</v>
      </c>
      <c r="C3848" s="8" t="s">
        <v>1212</v>
      </c>
      <c r="D3848" s="8" t="s">
        <v>1723</v>
      </c>
      <c r="E3848" s="8" t="s">
        <v>1744</v>
      </c>
      <c r="F3848" s="23">
        <v>46054</v>
      </c>
      <c r="G3848" s="8" t="s">
        <v>1144</v>
      </c>
      <c r="H3848" s="23">
        <v>46157</v>
      </c>
      <c r="I3848" s="23">
        <v>46054</v>
      </c>
      <c r="J3848" s="10">
        <v>213.97</v>
      </c>
      <c r="K3848" s="10">
        <v>0</v>
      </c>
      <c r="L3848" s="24">
        <v>0</v>
      </c>
      <c r="M3848" s="10">
        <v>213.97</v>
      </c>
    </row>
    <row r="3849" spans="1:13" x14ac:dyDescent="0.25">
      <c r="A3849" s="12" t="str">
        <f t="shared" si="120"/>
        <v>IVA1482026SECRETARIA DE ADMINISTRAÇÃO DO GOVERNO DO ESTADO DE PERNAMBUCOIPV46054</v>
      </c>
      <c r="B3849" s="12" t="str">
        <f t="shared" si="121"/>
        <v>Junho</v>
      </c>
      <c r="C3849" s="8" t="s">
        <v>1212</v>
      </c>
      <c r="D3849" s="8" t="s">
        <v>1723</v>
      </c>
      <c r="E3849" s="8" t="s">
        <v>1744</v>
      </c>
      <c r="F3849" s="23">
        <v>46054</v>
      </c>
      <c r="G3849" s="8" t="s">
        <v>1144</v>
      </c>
      <c r="H3849" s="23">
        <v>46188</v>
      </c>
      <c r="I3849" s="23">
        <v>46054</v>
      </c>
      <c r="J3849" s="10">
        <v>213.97</v>
      </c>
      <c r="K3849" s="10">
        <v>0</v>
      </c>
      <c r="L3849" s="24">
        <v>0</v>
      </c>
      <c r="M3849" s="10">
        <v>213.97</v>
      </c>
    </row>
    <row r="3850" spans="1:13" x14ac:dyDescent="0.25">
      <c r="A3850" s="12" t="str">
        <f t="shared" si="120"/>
        <v>IVA1482026SECRETARIA DE ADMINISTRAÇÃO DO GOVERNO DO ESTADO DE PERNAMBUCOIPV46054</v>
      </c>
      <c r="B3850" s="12" t="str">
        <f t="shared" si="121"/>
        <v>Julho</v>
      </c>
      <c r="C3850" s="8" t="s">
        <v>1212</v>
      </c>
      <c r="D3850" s="8" t="s">
        <v>1723</v>
      </c>
      <c r="E3850" s="8" t="s">
        <v>1744</v>
      </c>
      <c r="F3850" s="23">
        <v>46054</v>
      </c>
      <c r="G3850" s="8" t="s">
        <v>1144</v>
      </c>
      <c r="H3850" s="23">
        <v>46218</v>
      </c>
      <c r="I3850" s="23">
        <v>46054</v>
      </c>
      <c r="J3850" s="10">
        <v>213.97</v>
      </c>
      <c r="K3850" s="10">
        <v>0</v>
      </c>
      <c r="L3850" s="24">
        <v>0</v>
      </c>
      <c r="M3850" s="10">
        <v>213.97</v>
      </c>
    </row>
    <row r="3851" spans="1:13" x14ac:dyDescent="0.25">
      <c r="A3851" s="12" t="str">
        <f t="shared" si="120"/>
        <v>IVA1482026SECRETARIA DE ADMINISTRAÇÃO DO GOVERNO DO ESTADO DE PERNAMBUCOIPV46054</v>
      </c>
      <c r="B3851" s="12" t="str">
        <f t="shared" si="121"/>
        <v>Agosto</v>
      </c>
      <c r="C3851" s="8" t="s">
        <v>1212</v>
      </c>
      <c r="D3851" s="8" t="s">
        <v>1723</v>
      </c>
      <c r="E3851" s="8" t="s">
        <v>1744</v>
      </c>
      <c r="F3851" s="23">
        <v>46054</v>
      </c>
      <c r="G3851" s="8" t="s">
        <v>1144</v>
      </c>
      <c r="H3851" s="23">
        <v>46251</v>
      </c>
      <c r="I3851" s="23">
        <v>46054</v>
      </c>
      <c r="J3851" s="10">
        <v>213.97</v>
      </c>
      <c r="K3851" s="10">
        <v>0</v>
      </c>
      <c r="L3851" s="24">
        <v>0</v>
      </c>
      <c r="M3851" s="10">
        <v>213.97</v>
      </c>
    </row>
    <row r="3852" spans="1:13" x14ac:dyDescent="0.25">
      <c r="A3852" s="12" t="str">
        <f t="shared" si="120"/>
        <v>IVA1482026SECRETARIA DE ADMINISTRAÇÃO DO GOVERNO DO ESTADO DE PERNAMBUCOIPV46054</v>
      </c>
      <c r="B3852" s="12" t="str">
        <f t="shared" si="121"/>
        <v>Setembro</v>
      </c>
      <c r="C3852" s="8" t="s">
        <v>1212</v>
      </c>
      <c r="D3852" s="8" t="s">
        <v>1723</v>
      </c>
      <c r="E3852" s="8" t="s">
        <v>1744</v>
      </c>
      <c r="F3852" s="23">
        <v>46054</v>
      </c>
      <c r="G3852" s="8" t="s">
        <v>1144</v>
      </c>
      <c r="H3852" s="23">
        <v>46280</v>
      </c>
      <c r="I3852" s="23">
        <v>46054</v>
      </c>
      <c r="J3852" s="10">
        <v>213.97</v>
      </c>
      <c r="K3852" s="10">
        <v>0</v>
      </c>
      <c r="L3852" s="24">
        <v>0</v>
      </c>
      <c r="M3852" s="10">
        <v>213.97</v>
      </c>
    </row>
    <row r="3853" spans="1:13" x14ac:dyDescent="0.25">
      <c r="A3853" s="12" t="str">
        <f t="shared" si="120"/>
        <v>IVA1492026SECRETARIA DE ADMINISTRAÇÃO DO GOVERNO DO ESTADO DE PERNAMBUCOIPV46054</v>
      </c>
      <c r="B3853" s="12" t="str">
        <f t="shared" si="121"/>
        <v>Fevereiro</v>
      </c>
      <c r="C3853" s="8" t="s">
        <v>1148</v>
      </c>
      <c r="D3853" s="8" t="s">
        <v>1723</v>
      </c>
      <c r="E3853" s="8" t="s">
        <v>1744</v>
      </c>
      <c r="F3853" s="23">
        <v>46054</v>
      </c>
      <c r="G3853" s="8" t="s">
        <v>1144</v>
      </c>
      <c r="H3853" s="23">
        <v>46063</v>
      </c>
      <c r="I3853" s="23">
        <v>46054</v>
      </c>
      <c r="J3853" s="10">
        <v>213.97</v>
      </c>
      <c r="K3853" s="10">
        <v>0</v>
      </c>
      <c r="L3853" s="24">
        <v>0</v>
      </c>
      <c r="M3853" s="10">
        <v>213.97</v>
      </c>
    </row>
    <row r="3854" spans="1:13" x14ac:dyDescent="0.25">
      <c r="A3854" s="12" t="str">
        <f t="shared" si="120"/>
        <v>IVA1492026SECRETARIA DE ADMINISTRAÇÃO DO GOVERNO DO ESTADO DE PERNAMBUCOIPV46054</v>
      </c>
      <c r="B3854" s="12" t="str">
        <f t="shared" si="121"/>
        <v>Março</v>
      </c>
      <c r="C3854" s="8" t="s">
        <v>1148</v>
      </c>
      <c r="D3854" s="8" t="s">
        <v>1723</v>
      </c>
      <c r="E3854" s="8" t="s">
        <v>1744</v>
      </c>
      <c r="F3854" s="23">
        <v>46054</v>
      </c>
      <c r="G3854" s="8" t="s">
        <v>1144</v>
      </c>
      <c r="H3854" s="23">
        <v>46091</v>
      </c>
      <c r="I3854" s="23">
        <v>46054</v>
      </c>
      <c r="J3854" s="10">
        <v>213.97</v>
      </c>
      <c r="K3854" s="10">
        <v>0</v>
      </c>
      <c r="L3854" s="24">
        <v>0</v>
      </c>
      <c r="M3854" s="10">
        <v>213.97</v>
      </c>
    </row>
    <row r="3855" spans="1:13" x14ac:dyDescent="0.25">
      <c r="A3855" s="12" t="str">
        <f t="shared" si="120"/>
        <v>IVA1492026SECRETARIA DE ADMINISTRAÇÃO DO GOVERNO DO ESTADO DE PERNAMBUCOIPV46054</v>
      </c>
      <c r="B3855" s="12" t="str">
        <f t="shared" si="121"/>
        <v>Abril</v>
      </c>
      <c r="C3855" s="8" t="s">
        <v>1148</v>
      </c>
      <c r="D3855" s="8" t="s">
        <v>1723</v>
      </c>
      <c r="E3855" s="8" t="s">
        <v>1744</v>
      </c>
      <c r="F3855" s="23">
        <v>46054</v>
      </c>
      <c r="G3855" s="8" t="s">
        <v>1144</v>
      </c>
      <c r="H3855" s="23">
        <v>46122</v>
      </c>
      <c r="I3855" s="23">
        <v>46054</v>
      </c>
      <c r="J3855" s="10">
        <v>213.97</v>
      </c>
      <c r="K3855" s="10">
        <v>0</v>
      </c>
      <c r="L3855" s="24">
        <v>0</v>
      </c>
      <c r="M3855" s="10">
        <v>213.97</v>
      </c>
    </row>
    <row r="3856" spans="1:13" x14ac:dyDescent="0.25">
      <c r="A3856" s="12" t="str">
        <f t="shared" si="120"/>
        <v>IVA1492026SECRETARIA DE ADMINISTRAÇÃO DO GOVERNO DO ESTADO DE PERNAMBUCOIPV46054</v>
      </c>
      <c r="B3856" s="12" t="str">
        <f t="shared" si="121"/>
        <v>Maio</v>
      </c>
      <c r="C3856" s="8" t="s">
        <v>1148</v>
      </c>
      <c r="D3856" s="8" t="s">
        <v>1723</v>
      </c>
      <c r="E3856" s="8" t="s">
        <v>1744</v>
      </c>
      <c r="F3856" s="23">
        <v>46054</v>
      </c>
      <c r="G3856" s="8" t="s">
        <v>1144</v>
      </c>
      <c r="H3856" s="23">
        <v>46153</v>
      </c>
      <c r="I3856" s="23">
        <v>46054</v>
      </c>
      <c r="J3856" s="10">
        <v>213.97</v>
      </c>
      <c r="K3856" s="10">
        <v>0</v>
      </c>
      <c r="L3856" s="24">
        <v>0</v>
      </c>
      <c r="M3856" s="10">
        <v>213.97</v>
      </c>
    </row>
    <row r="3857" spans="1:13" x14ac:dyDescent="0.25">
      <c r="A3857" s="12" t="str">
        <f t="shared" si="120"/>
        <v>IVA1492026SECRETARIA DE ADMINISTRAÇÃO DO GOVERNO DO ESTADO DE PERNAMBUCOIPV46054</v>
      </c>
      <c r="B3857" s="12" t="str">
        <f t="shared" si="121"/>
        <v>Junho</v>
      </c>
      <c r="C3857" s="8" t="s">
        <v>1148</v>
      </c>
      <c r="D3857" s="8" t="s">
        <v>1723</v>
      </c>
      <c r="E3857" s="8" t="s">
        <v>1744</v>
      </c>
      <c r="F3857" s="23">
        <v>46054</v>
      </c>
      <c r="G3857" s="8" t="s">
        <v>1144</v>
      </c>
      <c r="H3857" s="23">
        <v>46183</v>
      </c>
      <c r="I3857" s="23">
        <v>46054</v>
      </c>
      <c r="J3857" s="10">
        <v>213.97</v>
      </c>
      <c r="K3857" s="10">
        <v>0</v>
      </c>
      <c r="L3857" s="24">
        <v>0</v>
      </c>
      <c r="M3857" s="10">
        <v>213.97</v>
      </c>
    </row>
    <row r="3858" spans="1:13" x14ac:dyDescent="0.25">
      <c r="A3858" s="12" t="str">
        <f t="shared" si="120"/>
        <v>IVA1492026SECRETARIA DE ADMINISTRAÇÃO DO GOVERNO DO ESTADO DE PERNAMBUCOIPV46054</v>
      </c>
      <c r="B3858" s="12" t="str">
        <f t="shared" si="121"/>
        <v>Julho</v>
      </c>
      <c r="C3858" s="8" t="s">
        <v>1148</v>
      </c>
      <c r="D3858" s="8" t="s">
        <v>1723</v>
      </c>
      <c r="E3858" s="8" t="s">
        <v>1744</v>
      </c>
      <c r="F3858" s="23">
        <v>46054</v>
      </c>
      <c r="G3858" s="8" t="s">
        <v>1144</v>
      </c>
      <c r="H3858" s="23">
        <v>46213</v>
      </c>
      <c r="I3858" s="23">
        <v>46054</v>
      </c>
      <c r="J3858" s="10">
        <v>213.97</v>
      </c>
      <c r="K3858" s="10">
        <v>0</v>
      </c>
      <c r="L3858" s="24">
        <v>0</v>
      </c>
      <c r="M3858" s="10">
        <v>213.97</v>
      </c>
    </row>
    <row r="3859" spans="1:13" x14ac:dyDescent="0.25">
      <c r="A3859" s="12" t="str">
        <f t="shared" si="120"/>
        <v>IVA1492026SECRETARIA DE ADMINISTRAÇÃO DO GOVERNO DO ESTADO DE PERNAMBUCOIPV46054</v>
      </c>
      <c r="B3859" s="12" t="str">
        <f t="shared" si="121"/>
        <v>Agosto</v>
      </c>
      <c r="C3859" s="8" t="s">
        <v>1148</v>
      </c>
      <c r="D3859" s="8" t="s">
        <v>1723</v>
      </c>
      <c r="E3859" s="8" t="s">
        <v>1744</v>
      </c>
      <c r="F3859" s="23">
        <v>46054</v>
      </c>
      <c r="G3859" s="8" t="s">
        <v>1144</v>
      </c>
      <c r="H3859" s="23">
        <v>46244</v>
      </c>
      <c r="I3859" s="23">
        <v>46054</v>
      </c>
      <c r="J3859" s="10">
        <v>213.97</v>
      </c>
      <c r="K3859" s="10">
        <v>0</v>
      </c>
      <c r="L3859" s="24">
        <v>0</v>
      </c>
      <c r="M3859" s="10">
        <v>213.97</v>
      </c>
    </row>
    <row r="3860" spans="1:13" x14ac:dyDescent="0.25">
      <c r="A3860" s="12" t="str">
        <f t="shared" si="120"/>
        <v>IVA1492026SECRETARIA DE ADMINISTRAÇÃO DO GOVERNO DO ESTADO DE PERNAMBUCOIPV46054</v>
      </c>
      <c r="B3860" s="12" t="str">
        <f t="shared" si="121"/>
        <v>Setembro</v>
      </c>
      <c r="C3860" s="8" t="s">
        <v>1148</v>
      </c>
      <c r="D3860" s="8" t="s">
        <v>1723</v>
      </c>
      <c r="E3860" s="8" t="s">
        <v>1744</v>
      </c>
      <c r="F3860" s="23">
        <v>46054</v>
      </c>
      <c r="G3860" s="8" t="s">
        <v>1144</v>
      </c>
      <c r="H3860" s="23">
        <v>46275</v>
      </c>
      <c r="I3860" s="23">
        <v>46054</v>
      </c>
      <c r="J3860" s="10">
        <v>213.97</v>
      </c>
      <c r="K3860" s="10">
        <v>0</v>
      </c>
      <c r="L3860" s="24">
        <v>0</v>
      </c>
      <c r="M3860" s="10">
        <v>213.97</v>
      </c>
    </row>
    <row r="3861" spans="1:13" x14ac:dyDescent="0.25">
      <c r="A3861" s="12" t="str">
        <f t="shared" si="120"/>
        <v>IVA1502026SECRETARIA DE ADMINISTRAÇÃO DO GOVERNO DO ESTADO DE PERNAMBUCOIPV46054</v>
      </c>
      <c r="B3861" s="12" t="str">
        <f t="shared" si="121"/>
        <v>Fevereiro</v>
      </c>
      <c r="C3861" s="8" t="s">
        <v>1213</v>
      </c>
      <c r="D3861" s="8" t="s">
        <v>1723</v>
      </c>
      <c r="E3861" s="8" t="s">
        <v>1744</v>
      </c>
      <c r="F3861" s="23">
        <v>46054</v>
      </c>
      <c r="G3861" s="8" t="s">
        <v>1144</v>
      </c>
      <c r="H3861" s="23">
        <v>46072</v>
      </c>
      <c r="I3861" s="23">
        <v>46054</v>
      </c>
      <c r="J3861" s="10">
        <v>213.97</v>
      </c>
      <c r="K3861" s="10">
        <v>0</v>
      </c>
      <c r="L3861" s="24">
        <v>0</v>
      </c>
      <c r="M3861" s="10">
        <v>213.97</v>
      </c>
    </row>
    <row r="3862" spans="1:13" x14ac:dyDescent="0.25">
      <c r="A3862" s="12" t="str">
        <f t="shared" si="120"/>
        <v>IVA1502026SECRETARIA DE ADMINISTRAÇÃO DO GOVERNO DO ESTADO DE PERNAMBUCOIPV46054</v>
      </c>
      <c r="B3862" s="12" t="str">
        <f t="shared" si="121"/>
        <v>Março</v>
      </c>
      <c r="C3862" s="8" t="s">
        <v>1213</v>
      </c>
      <c r="D3862" s="8" t="s">
        <v>1723</v>
      </c>
      <c r="E3862" s="8" t="s">
        <v>1744</v>
      </c>
      <c r="F3862" s="23">
        <v>46054</v>
      </c>
      <c r="G3862" s="8" t="s">
        <v>1144</v>
      </c>
      <c r="H3862" s="23">
        <v>46097</v>
      </c>
      <c r="I3862" s="23">
        <v>46054</v>
      </c>
      <c r="J3862" s="10">
        <v>213.97</v>
      </c>
      <c r="K3862" s="10">
        <v>0</v>
      </c>
      <c r="L3862" s="24">
        <v>0</v>
      </c>
      <c r="M3862" s="10">
        <v>213.97</v>
      </c>
    </row>
    <row r="3863" spans="1:13" x14ac:dyDescent="0.25">
      <c r="A3863" s="12" t="str">
        <f t="shared" si="120"/>
        <v>IVA1502026SECRETARIA DE ADMINISTRAÇÃO DO GOVERNO DO ESTADO DE PERNAMBUCOIPV46054</v>
      </c>
      <c r="B3863" s="12" t="str">
        <f t="shared" si="121"/>
        <v>Abril</v>
      </c>
      <c r="C3863" s="8" t="s">
        <v>1213</v>
      </c>
      <c r="D3863" s="8" t="s">
        <v>1723</v>
      </c>
      <c r="E3863" s="8" t="s">
        <v>1744</v>
      </c>
      <c r="F3863" s="23">
        <v>46054</v>
      </c>
      <c r="G3863" s="8" t="s">
        <v>1144</v>
      </c>
      <c r="H3863" s="23">
        <v>46127</v>
      </c>
      <c r="I3863" s="23">
        <v>46054</v>
      </c>
      <c r="J3863" s="10">
        <v>213.97</v>
      </c>
      <c r="K3863" s="10">
        <v>0</v>
      </c>
      <c r="L3863" s="24">
        <v>0</v>
      </c>
      <c r="M3863" s="10">
        <v>213.97</v>
      </c>
    </row>
    <row r="3864" spans="1:13" x14ac:dyDescent="0.25">
      <c r="A3864" s="12" t="str">
        <f t="shared" si="120"/>
        <v>IVA1502026SECRETARIA DE ADMINISTRAÇÃO DO GOVERNO DO ESTADO DE PERNAMBUCOIPV46054</v>
      </c>
      <c r="B3864" s="12" t="str">
        <f t="shared" si="121"/>
        <v>Maio</v>
      </c>
      <c r="C3864" s="8" t="s">
        <v>1213</v>
      </c>
      <c r="D3864" s="8" t="s">
        <v>1723</v>
      </c>
      <c r="E3864" s="8" t="s">
        <v>1744</v>
      </c>
      <c r="F3864" s="23">
        <v>46054</v>
      </c>
      <c r="G3864" s="8" t="s">
        <v>1144</v>
      </c>
      <c r="H3864" s="23">
        <v>46157</v>
      </c>
      <c r="I3864" s="23">
        <v>46054</v>
      </c>
      <c r="J3864" s="10">
        <v>213.97</v>
      </c>
      <c r="K3864" s="10">
        <v>0</v>
      </c>
      <c r="L3864" s="24">
        <v>0</v>
      </c>
      <c r="M3864" s="10">
        <v>213.97</v>
      </c>
    </row>
    <row r="3865" spans="1:13" x14ac:dyDescent="0.25">
      <c r="A3865" s="12" t="str">
        <f t="shared" si="120"/>
        <v>IVA1502026SECRETARIA DE ADMINISTRAÇÃO DO GOVERNO DO ESTADO DE PERNAMBUCOIPV46054</v>
      </c>
      <c r="B3865" s="12" t="str">
        <f t="shared" si="121"/>
        <v>Junho</v>
      </c>
      <c r="C3865" s="8" t="s">
        <v>1213</v>
      </c>
      <c r="D3865" s="8" t="s">
        <v>1723</v>
      </c>
      <c r="E3865" s="8" t="s">
        <v>1744</v>
      </c>
      <c r="F3865" s="23">
        <v>46054</v>
      </c>
      <c r="G3865" s="8" t="s">
        <v>1144</v>
      </c>
      <c r="H3865" s="23">
        <v>46188</v>
      </c>
      <c r="I3865" s="23">
        <v>46054</v>
      </c>
      <c r="J3865" s="10">
        <v>213.97</v>
      </c>
      <c r="K3865" s="10">
        <v>0</v>
      </c>
      <c r="L3865" s="24">
        <v>0</v>
      </c>
      <c r="M3865" s="10">
        <v>213.97</v>
      </c>
    </row>
    <row r="3866" spans="1:13" x14ac:dyDescent="0.25">
      <c r="A3866" s="12" t="str">
        <f t="shared" si="120"/>
        <v>IVA1502026SECRETARIA DE ADMINISTRAÇÃO DO GOVERNO DO ESTADO DE PERNAMBUCOIPV46054</v>
      </c>
      <c r="B3866" s="12" t="str">
        <f t="shared" si="121"/>
        <v>Julho</v>
      </c>
      <c r="C3866" s="8" t="s">
        <v>1213</v>
      </c>
      <c r="D3866" s="8" t="s">
        <v>1723</v>
      </c>
      <c r="E3866" s="8" t="s">
        <v>1744</v>
      </c>
      <c r="F3866" s="23">
        <v>46054</v>
      </c>
      <c r="G3866" s="8" t="s">
        <v>1144</v>
      </c>
      <c r="H3866" s="23">
        <v>46218</v>
      </c>
      <c r="I3866" s="23">
        <v>46054</v>
      </c>
      <c r="J3866" s="10">
        <v>213.97</v>
      </c>
      <c r="K3866" s="10">
        <v>0</v>
      </c>
      <c r="L3866" s="24">
        <v>0</v>
      </c>
      <c r="M3866" s="10">
        <v>213.97</v>
      </c>
    </row>
    <row r="3867" spans="1:13" x14ac:dyDescent="0.25">
      <c r="A3867" s="12" t="str">
        <f t="shared" ref="A3867:A3930" si="122">$C3867&amp;$E3867&amp;$G3867&amp;$F3867</f>
        <v>IVA1502026SECRETARIA DE ADMINISTRAÇÃO DO GOVERNO DO ESTADO DE PERNAMBUCOIPV46054</v>
      </c>
      <c r="B3867" s="12" t="str">
        <f t="shared" si="121"/>
        <v>Agosto</v>
      </c>
      <c r="C3867" s="8" t="s">
        <v>1213</v>
      </c>
      <c r="D3867" s="8" t="s">
        <v>1723</v>
      </c>
      <c r="E3867" s="8" t="s">
        <v>1744</v>
      </c>
      <c r="F3867" s="23">
        <v>46054</v>
      </c>
      <c r="G3867" s="8" t="s">
        <v>1144</v>
      </c>
      <c r="H3867" s="23">
        <v>46251</v>
      </c>
      <c r="I3867" s="23">
        <v>46054</v>
      </c>
      <c r="J3867" s="10">
        <v>213.97</v>
      </c>
      <c r="K3867" s="10">
        <v>0</v>
      </c>
      <c r="L3867" s="24">
        <v>0</v>
      </c>
      <c r="M3867" s="10">
        <v>213.97</v>
      </c>
    </row>
    <row r="3868" spans="1:13" x14ac:dyDescent="0.25">
      <c r="A3868" s="12" t="str">
        <f t="shared" si="122"/>
        <v>IVA1502026SECRETARIA DE ADMINISTRAÇÃO DO GOVERNO DO ESTADO DE PERNAMBUCOIPV46054</v>
      </c>
      <c r="B3868" s="12" t="str">
        <f t="shared" si="121"/>
        <v>Setembro</v>
      </c>
      <c r="C3868" s="8" t="s">
        <v>1213</v>
      </c>
      <c r="D3868" s="8" t="s">
        <v>1723</v>
      </c>
      <c r="E3868" s="8" t="s">
        <v>1744</v>
      </c>
      <c r="F3868" s="23">
        <v>46054</v>
      </c>
      <c r="G3868" s="8" t="s">
        <v>1144</v>
      </c>
      <c r="H3868" s="23">
        <v>46280</v>
      </c>
      <c r="I3868" s="23">
        <v>46054</v>
      </c>
      <c r="J3868" s="10">
        <v>213.97</v>
      </c>
      <c r="K3868" s="10">
        <v>0</v>
      </c>
      <c r="L3868" s="24">
        <v>0</v>
      </c>
      <c r="M3868" s="10">
        <v>213.97</v>
      </c>
    </row>
    <row r="3869" spans="1:13" x14ac:dyDescent="0.25">
      <c r="A3869" s="12" t="str">
        <f t="shared" si="122"/>
        <v>IVA1512026SECRETARIA DE ADMINISTRAÇÃO DO GOVERNO DO ESTADO DE PERNAMBUCOIPV46054</v>
      </c>
      <c r="B3869" s="12" t="str">
        <f t="shared" si="121"/>
        <v>Fevereiro</v>
      </c>
      <c r="C3869" s="8" t="s">
        <v>1149</v>
      </c>
      <c r="D3869" s="8" t="s">
        <v>1723</v>
      </c>
      <c r="E3869" s="8" t="s">
        <v>1744</v>
      </c>
      <c r="F3869" s="23">
        <v>46054</v>
      </c>
      <c r="G3869" s="8" t="s">
        <v>1144</v>
      </c>
      <c r="H3869" s="23">
        <v>46063</v>
      </c>
      <c r="I3869" s="23">
        <v>46054</v>
      </c>
      <c r="J3869" s="10">
        <v>213.97</v>
      </c>
      <c r="K3869" s="10">
        <v>0</v>
      </c>
      <c r="L3869" s="24">
        <v>0</v>
      </c>
      <c r="M3869" s="10">
        <v>213.97</v>
      </c>
    </row>
    <row r="3870" spans="1:13" x14ac:dyDescent="0.25">
      <c r="A3870" s="12" t="str">
        <f t="shared" si="122"/>
        <v>IVA1512026SECRETARIA DE ADMINISTRAÇÃO DO GOVERNO DO ESTADO DE PERNAMBUCOIPV46054</v>
      </c>
      <c r="B3870" s="12" t="str">
        <f t="shared" si="121"/>
        <v>Março</v>
      </c>
      <c r="C3870" s="8" t="s">
        <v>1149</v>
      </c>
      <c r="D3870" s="8" t="s">
        <v>1723</v>
      </c>
      <c r="E3870" s="8" t="s">
        <v>1744</v>
      </c>
      <c r="F3870" s="23">
        <v>46054</v>
      </c>
      <c r="G3870" s="8" t="s">
        <v>1144</v>
      </c>
      <c r="H3870" s="23">
        <v>46091</v>
      </c>
      <c r="I3870" s="23">
        <v>46054</v>
      </c>
      <c r="J3870" s="10">
        <v>213.97</v>
      </c>
      <c r="K3870" s="10">
        <v>0</v>
      </c>
      <c r="L3870" s="24">
        <v>0</v>
      </c>
      <c r="M3870" s="10">
        <v>213.97</v>
      </c>
    </row>
    <row r="3871" spans="1:13" x14ac:dyDescent="0.25">
      <c r="A3871" s="12" t="str">
        <f t="shared" si="122"/>
        <v>IVA1512026SECRETARIA DE ADMINISTRAÇÃO DO GOVERNO DO ESTADO DE PERNAMBUCOIPV46054</v>
      </c>
      <c r="B3871" s="12" t="str">
        <f t="shared" si="121"/>
        <v>Abril</v>
      </c>
      <c r="C3871" s="8" t="s">
        <v>1149</v>
      </c>
      <c r="D3871" s="8" t="s">
        <v>1723</v>
      </c>
      <c r="E3871" s="8" t="s">
        <v>1744</v>
      </c>
      <c r="F3871" s="23">
        <v>46054</v>
      </c>
      <c r="G3871" s="8" t="s">
        <v>1144</v>
      </c>
      <c r="H3871" s="23">
        <v>46122</v>
      </c>
      <c r="I3871" s="23">
        <v>46054</v>
      </c>
      <c r="J3871" s="10">
        <v>213.97</v>
      </c>
      <c r="K3871" s="10">
        <v>0</v>
      </c>
      <c r="L3871" s="24">
        <v>0</v>
      </c>
      <c r="M3871" s="10">
        <v>213.97</v>
      </c>
    </row>
    <row r="3872" spans="1:13" x14ac:dyDescent="0.25">
      <c r="A3872" s="12" t="str">
        <f t="shared" si="122"/>
        <v>IVA1512026SECRETARIA DE ADMINISTRAÇÃO DO GOVERNO DO ESTADO DE PERNAMBUCOIPV46054</v>
      </c>
      <c r="B3872" s="12" t="str">
        <f t="shared" si="121"/>
        <v>Maio</v>
      </c>
      <c r="C3872" s="8" t="s">
        <v>1149</v>
      </c>
      <c r="D3872" s="8" t="s">
        <v>1723</v>
      </c>
      <c r="E3872" s="8" t="s">
        <v>1744</v>
      </c>
      <c r="F3872" s="23">
        <v>46054</v>
      </c>
      <c r="G3872" s="8" t="s">
        <v>1144</v>
      </c>
      <c r="H3872" s="23">
        <v>46153</v>
      </c>
      <c r="I3872" s="23">
        <v>46054</v>
      </c>
      <c r="J3872" s="10">
        <v>213.97</v>
      </c>
      <c r="K3872" s="10">
        <v>0</v>
      </c>
      <c r="L3872" s="24">
        <v>0</v>
      </c>
      <c r="M3872" s="10">
        <v>213.97</v>
      </c>
    </row>
    <row r="3873" spans="1:13" x14ac:dyDescent="0.25">
      <c r="A3873" s="12" t="str">
        <f t="shared" si="122"/>
        <v>IVA1512026SECRETARIA DE ADMINISTRAÇÃO DO GOVERNO DO ESTADO DE PERNAMBUCOIPV46054</v>
      </c>
      <c r="B3873" s="12" t="str">
        <f t="shared" si="121"/>
        <v>Junho</v>
      </c>
      <c r="C3873" s="8" t="s">
        <v>1149</v>
      </c>
      <c r="D3873" s="8" t="s">
        <v>1723</v>
      </c>
      <c r="E3873" s="8" t="s">
        <v>1744</v>
      </c>
      <c r="F3873" s="23">
        <v>46054</v>
      </c>
      <c r="G3873" s="8" t="s">
        <v>1144</v>
      </c>
      <c r="H3873" s="23">
        <v>46183</v>
      </c>
      <c r="I3873" s="23">
        <v>46054</v>
      </c>
      <c r="J3873" s="10">
        <v>213.97</v>
      </c>
      <c r="K3873" s="10">
        <v>0</v>
      </c>
      <c r="L3873" s="24">
        <v>0</v>
      </c>
      <c r="M3873" s="10">
        <v>213.97</v>
      </c>
    </row>
    <row r="3874" spans="1:13" x14ac:dyDescent="0.25">
      <c r="A3874" s="12" t="str">
        <f t="shared" si="122"/>
        <v>IVA1512026SECRETARIA DE ADMINISTRAÇÃO DO GOVERNO DO ESTADO DE PERNAMBUCOIPV46054</v>
      </c>
      <c r="B3874" s="12" t="str">
        <f t="shared" si="121"/>
        <v>Julho</v>
      </c>
      <c r="C3874" s="8" t="s">
        <v>1149</v>
      </c>
      <c r="D3874" s="8" t="s">
        <v>1723</v>
      </c>
      <c r="E3874" s="8" t="s">
        <v>1744</v>
      </c>
      <c r="F3874" s="23">
        <v>46054</v>
      </c>
      <c r="G3874" s="8" t="s">
        <v>1144</v>
      </c>
      <c r="H3874" s="23">
        <v>46213</v>
      </c>
      <c r="I3874" s="23">
        <v>46054</v>
      </c>
      <c r="J3874" s="10">
        <v>213.97</v>
      </c>
      <c r="K3874" s="10">
        <v>0</v>
      </c>
      <c r="L3874" s="24">
        <v>0</v>
      </c>
      <c r="M3874" s="10">
        <v>213.97</v>
      </c>
    </row>
    <row r="3875" spans="1:13" x14ac:dyDescent="0.25">
      <c r="A3875" s="12" t="str">
        <f t="shared" si="122"/>
        <v>IVA1512026SECRETARIA DE ADMINISTRAÇÃO DO GOVERNO DO ESTADO DE PERNAMBUCOIPV46054</v>
      </c>
      <c r="B3875" s="12" t="str">
        <f t="shared" si="121"/>
        <v>Agosto</v>
      </c>
      <c r="C3875" s="8" t="s">
        <v>1149</v>
      </c>
      <c r="D3875" s="8" t="s">
        <v>1723</v>
      </c>
      <c r="E3875" s="8" t="s">
        <v>1744</v>
      </c>
      <c r="F3875" s="23">
        <v>46054</v>
      </c>
      <c r="G3875" s="8" t="s">
        <v>1144</v>
      </c>
      <c r="H3875" s="23">
        <v>46244</v>
      </c>
      <c r="I3875" s="23">
        <v>46054</v>
      </c>
      <c r="J3875" s="10">
        <v>213.97</v>
      </c>
      <c r="K3875" s="10">
        <v>0</v>
      </c>
      <c r="L3875" s="24">
        <v>0</v>
      </c>
      <c r="M3875" s="10">
        <v>213.97</v>
      </c>
    </row>
    <row r="3876" spans="1:13" x14ac:dyDescent="0.25">
      <c r="A3876" s="12" t="str">
        <f t="shared" si="122"/>
        <v>IVA1512026SECRETARIA DE ADMINISTRAÇÃO DO GOVERNO DO ESTADO DE PERNAMBUCOIPV46054</v>
      </c>
      <c r="B3876" s="12" t="str">
        <f t="shared" si="121"/>
        <v>Setembro</v>
      </c>
      <c r="C3876" s="8" t="s">
        <v>1149</v>
      </c>
      <c r="D3876" s="8" t="s">
        <v>1723</v>
      </c>
      <c r="E3876" s="8" t="s">
        <v>1744</v>
      </c>
      <c r="F3876" s="23">
        <v>46054</v>
      </c>
      <c r="G3876" s="8" t="s">
        <v>1144</v>
      </c>
      <c r="H3876" s="23">
        <v>46275</v>
      </c>
      <c r="I3876" s="23">
        <v>46054</v>
      </c>
      <c r="J3876" s="10">
        <v>213.97</v>
      </c>
      <c r="K3876" s="10">
        <v>0</v>
      </c>
      <c r="L3876" s="24">
        <v>0</v>
      </c>
      <c r="M3876" s="10">
        <v>213.97</v>
      </c>
    </row>
    <row r="3877" spans="1:13" x14ac:dyDescent="0.25">
      <c r="A3877" s="12" t="str">
        <f t="shared" si="122"/>
        <v>IVA1522026SECRETARIA DE ADMINISTRAÇÃO DO GOVERNO DO ESTADO DE PERNAMBUCOIPV46054</v>
      </c>
      <c r="B3877" s="12" t="str">
        <f t="shared" si="121"/>
        <v>Fevereiro</v>
      </c>
      <c r="C3877" s="8" t="s">
        <v>1214</v>
      </c>
      <c r="D3877" s="8" t="s">
        <v>1723</v>
      </c>
      <c r="E3877" s="8" t="s">
        <v>1744</v>
      </c>
      <c r="F3877" s="23">
        <v>46054</v>
      </c>
      <c r="G3877" s="8" t="s">
        <v>1144</v>
      </c>
      <c r="H3877" s="23">
        <v>46072</v>
      </c>
      <c r="I3877" s="23">
        <v>46054</v>
      </c>
      <c r="J3877" s="10">
        <v>213.97</v>
      </c>
      <c r="K3877" s="10">
        <v>0</v>
      </c>
      <c r="L3877" s="24">
        <v>0</v>
      </c>
      <c r="M3877" s="10">
        <v>213.97</v>
      </c>
    </row>
    <row r="3878" spans="1:13" x14ac:dyDescent="0.25">
      <c r="A3878" s="12" t="str">
        <f t="shared" si="122"/>
        <v>IVA1522026SECRETARIA DE ADMINISTRAÇÃO DO GOVERNO DO ESTADO DE PERNAMBUCOIPV46054</v>
      </c>
      <c r="B3878" s="12" t="str">
        <f t="shared" si="121"/>
        <v>Março</v>
      </c>
      <c r="C3878" s="8" t="s">
        <v>1214</v>
      </c>
      <c r="D3878" s="8" t="s">
        <v>1723</v>
      </c>
      <c r="E3878" s="8" t="s">
        <v>1744</v>
      </c>
      <c r="F3878" s="23">
        <v>46054</v>
      </c>
      <c r="G3878" s="8" t="s">
        <v>1144</v>
      </c>
      <c r="H3878" s="23">
        <v>46097</v>
      </c>
      <c r="I3878" s="23">
        <v>46054</v>
      </c>
      <c r="J3878" s="10">
        <v>213.97</v>
      </c>
      <c r="K3878" s="10">
        <v>0</v>
      </c>
      <c r="L3878" s="24">
        <v>0</v>
      </c>
      <c r="M3878" s="10">
        <v>213.97</v>
      </c>
    </row>
    <row r="3879" spans="1:13" x14ac:dyDescent="0.25">
      <c r="A3879" s="12" t="str">
        <f t="shared" si="122"/>
        <v>IVA1522026SECRETARIA DE ADMINISTRAÇÃO DO GOVERNO DO ESTADO DE PERNAMBUCOIPV46054</v>
      </c>
      <c r="B3879" s="12" t="str">
        <f t="shared" si="121"/>
        <v>Abril</v>
      </c>
      <c r="C3879" s="8" t="s">
        <v>1214</v>
      </c>
      <c r="D3879" s="8" t="s">
        <v>1723</v>
      </c>
      <c r="E3879" s="8" t="s">
        <v>1744</v>
      </c>
      <c r="F3879" s="23">
        <v>46054</v>
      </c>
      <c r="G3879" s="8" t="s">
        <v>1144</v>
      </c>
      <c r="H3879" s="23">
        <v>46127</v>
      </c>
      <c r="I3879" s="23">
        <v>46054</v>
      </c>
      <c r="J3879" s="10">
        <v>213.97</v>
      </c>
      <c r="K3879" s="10">
        <v>0</v>
      </c>
      <c r="L3879" s="24">
        <v>0</v>
      </c>
      <c r="M3879" s="10">
        <v>213.97</v>
      </c>
    </row>
    <row r="3880" spans="1:13" x14ac:dyDescent="0.25">
      <c r="A3880" s="12" t="str">
        <f t="shared" si="122"/>
        <v>IVA1522026SECRETARIA DE ADMINISTRAÇÃO DO GOVERNO DO ESTADO DE PERNAMBUCOIPV46054</v>
      </c>
      <c r="B3880" s="12" t="str">
        <f t="shared" si="121"/>
        <v>Maio</v>
      </c>
      <c r="C3880" s="8" t="s">
        <v>1214</v>
      </c>
      <c r="D3880" s="8" t="s">
        <v>1723</v>
      </c>
      <c r="E3880" s="8" t="s">
        <v>1744</v>
      </c>
      <c r="F3880" s="23">
        <v>46054</v>
      </c>
      <c r="G3880" s="8" t="s">
        <v>1144</v>
      </c>
      <c r="H3880" s="23">
        <v>46157</v>
      </c>
      <c r="I3880" s="23">
        <v>46054</v>
      </c>
      <c r="J3880" s="10">
        <v>213.97</v>
      </c>
      <c r="K3880" s="10">
        <v>0</v>
      </c>
      <c r="L3880" s="24">
        <v>0</v>
      </c>
      <c r="M3880" s="10">
        <v>213.97</v>
      </c>
    </row>
    <row r="3881" spans="1:13" x14ac:dyDescent="0.25">
      <c r="A3881" s="12" t="str">
        <f t="shared" si="122"/>
        <v>IVA1522026SECRETARIA DE ADMINISTRAÇÃO DO GOVERNO DO ESTADO DE PERNAMBUCOIPV46054</v>
      </c>
      <c r="B3881" s="12" t="str">
        <f t="shared" si="121"/>
        <v>Junho</v>
      </c>
      <c r="C3881" s="8" t="s">
        <v>1214</v>
      </c>
      <c r="D3881" s="8" t="s">
        <v>1723</v>
      </c>
      <c r="E3881" s="8" t="s">
        <v>1744</v>
      </c>
      <c r="F3881" s="23">
        <v>46054</v>
      </c>
      <c r="G3881" s="8" t="s">
        <v>1144</v>
      </c>
      <c r="H3881" s="23">
        <v>46188</v>
      </c>
      <c r="I3881" s="23">
        <v>46054</v>
      </c>
      <c r="J3881" s="10">
        <v>213.97</v>
      </c>
      <c r="K3881" s="10">
        <v>0</v>
      </c>
      <c r="L3881" s="24">
        <v>0</v>
      </c>
      <c r="M3881" s="10">
        <v>213.97</v>
      </c>
    </row>
    <row r="3882" spans="1:13" x14ac:dyDescent="0.25">
      <c r="A3882" s="12" t="str">
        <f t="shared" si="122"/>
        <v>IVA1522026SECRETARIA DE ADMINISTRAÇÃO DO GOVERNO DO ESTADO DE PERNAMBUCOIPV46054</v>
      </c>
      <c r="B3882" s="12" t="str">
        <f t="shared" si="121"/>
        <v>Julho</v>
      </c>
      <c r="C3882" s="8" t="s">
        <v>1214</v>
      </c>
      <c r="D3882" s="8" t="s">
        <v>1723</v>
      </c>
      <c r="E3882" s="8" t="s">
        <v>1744</v>
      </c>
      <c r="F3882" s="23">
        <v>46054</v>
      </c>
      <c r="G3882" s="8" t="s">
        <v>1144</v>
      </c>
      <c r="H3882" s="23">
        <v>46218</v>
      </c>
      <c r="I3882" s="23">
        <v>46054</v>
      </c>
      <c r="J3882" s="10">
        <v>213.97</v>
      </c>
      <c r="K3882" s="10">
        <v>0</v>
      </c>
      <c r="L3882" s="24">
        <v>0</v>
      </c>
      <c r="M3882" s="10">
        <v>213.97</v>
      </c>
    </row>
    <row r="3883" spans="1:13" x14ac:dyDescent="0.25">
      <c r="A3883" s="12" t="str">
        <f t="shared" si="122"/>
        <v>IVA1522026SECRETARIA DE ADMINISTRAÇÃO DO GOVERNO DO ESTADO DE PERNAMBUCOIPV46054</v>
      </c>
      <c r="B3883" s="12" t="str">
        <f t="shared" si="121"/>
        <v>Agosto</v>
      </c>
      <c r="C3883" s="8" t="s">
        <v>1214</v>
      </c>
      <c r="D3883" s="8" t="s">
        <v>1723</v>
      </c>
      <c r="E3883" s="8" t="s">
        <v>1744</v>
      </c>
      <c r="F3883" s="23">
        <v>46054</v>
      </c>
      <c r="G3883" s="8" t="s">
        <v>1144</v>
      </c>
      <c r="H3883" s="23">
        <v>46251</v>
      </c>
      <c r="I3883" s="23">
        <v>46054</v>
      </c>
      <c r="J3883" s="10">
        <v>213.97</v>
      </c>
      <c r="K3883" s="10">
        <v>0</v>
      </c>
      <c r="L3883" s="24">
        <v>0</v>
      </c>
      <c r="M3883" s="10">
        <v>213.97</v>
      </c>
    </row>
    <row r="3884" spans="1:13" x14ac:dyDescent="0.25">
      <c r="A3884" s="12" t="str">
        <f t="shared" si="122"/>
        <v>IVA1522026SECRETARIA DE ADMINISTRAÇÃO DO GOVERNO DO ESTADO DE PERNAMBUCOIPV46054</v>
      </c>
      <c r="B3884" s="12" t="str">
        <f t="shared" si="121"/>
        <v>Setembro</v>
      </c>
      <c r="C3884" s="8" t="s">
        <v>1214</v>
      </c>
      <c r="D3884" s="8" t="s">
        <v>1723</v>
      </c>
      <c r="E3884" s="8" t="s">
        <v>1744</v>
      </c>
      <c r="F3884" s="23">
        <v>46054</v>
      </c>
      <c r="G3884" s="8" t="s">
        <v>1144</v>
      </c>
      <c r="H3884" s="23">
        <v>46280</v>
      </c>
      <c r="I3884" s="23">
        <v>46054</v>
      </c>
      <c r="J3884" s="10">
        <v>213.97</v>
      </c>
      <c r="K3884" s="10">
        <v>0</v>
      </c>
      <c r="L3884" s="24">
        <v>0</v>
      </c>
      <c r="M3884" s="10">
        <v>213.97</v>
      </c>
    </row>
    <row r="3885" spans="1:13" x14ac:dyDescent="0.25">
      <c r="A3885" s="12" t="str">
        <f t="shared" si="122"/>
        <v>IVA1532026SECRETARIA DE ADMINISTRAÇÃO DO GOVERNO DO ESTADO DE PERNAMBUCOIPV46054</v>
      </c>
      <c r="B3885" s="12" t="str">
        <f t="shared" si="121"/>
        <v>Fevereiro</v>
      </c>
      <c r="C3885" s="8" t="s">
        <v>1215</v>
      </c>
      <c r="D3885" s="8" t="s">
        <v>1723</v>
      </c>
      <c r="E3885" s="8" t="s">
        <v>1744</v>
      </c>
      <c r="F3885" s="23">
        <v>46054</v>
      </c>
      <c r="G3885" s="8" t="s">
        <v>1144</v>
      </c>
      <c r="H3885" s="23">
        <v>46072</v>
      </c>
      <c r="I3885" s="23">
        <v>46054</v>
      </c>
      <c r="J3885" s="10">
        <v>213.97</v>
      </c>
      <c r="K3885" s="10">
        <v>0</v>
      </c>
      <c r="L3885" s="24">
        <v>0</v>
      </c>
      <c r="M3885" s="10">
        <v>213.97</v>
      </c>
    </row>
    <row r="3886" spans="1:13" x14ac:dyDescent="0.25">
      <c r="A3886" s="12" t="str">
        <f t="shared" si="122"/>
        <v>IVA1532026SECRETARIA DE ADMINISTRAÇÃO DO GOVERNO DO ESTADO DE PERNAMBUCOIPV46054</v>
      </c>
      <c r="B3886" s="12" t="str">
        <f t="shared" si="121"/>
        <v>Março</v>
      </c>
      <c r="C3886" s="8" t="s">
        <v>1215</v>
      </c>
      <c r="D3886" s="8" t="s">
        <v>1723</v>
      </c>
      <c r="E3886" s="8" t="s">
        <v>1744</v>
      </c>
      <c r="F3886" s="23">
        <v>46054</v>
      </c>
      <c r="G3886" s="8" t="s">
        <v>1144</v>
      </c>
      <c r="H3886" s="23">
        <v>46097</v>
      </c>
      <c r="I3886" s="23">
        <v>46054</v>
      </c>
      <c r="J3886" s="10">
        <v>213.97</v>
      </c>
      <c r="K3886" s="10">
        <v>0</v>
      </c>
      <c r="L3886" s="24">
        <v>0</v>
      </c>
      <c r="M3886" s="10">
        <v>213.97</v>
      </c>
    </row>
    <row r="3887" spans="1:13" x14ac:dyDescent="0.25">
      <c r="A3887" s="12" t="str">
        <f t="shared" si="122"/>
        <v>IVA1532026SECRETARIA DE ADMINISTRAÇÃO DO GOVERNO DO ESTADO DE PERNAMBUCOIPV46054</v>
      </c>
      <c r="B3887" s="12" t="str">
        <f t="shared" si="121"/>
        <v>Abril</v>
      </c>
      <c r="C3887" s="8" t="s">
        <v>1215</v>
      </c>
      <c r="D3887" s="8" t="s">
        <v>1723</v>
      </c>
      <c r="E3887" s="8" t="s">
        <v>1744</v>
      </c>
      <c r="F3887" s="23">
        <v>46054</v>
      </c>
      <c r="G3887" s="8" t="s">
        <v>1144</v>
      </c>
      <c r="H3887" s="23">
        <v>46127</v>
      </c>
      <c r="I3887" s="23">
        <v>46054</v>
      </c>
      <c r="J3887" s="10">
        <v>213.97</v>
      </c>
      <c r="K3887" s="10">
        <v>0</v>
      </c>
      <c r="L3887" s="24">
        <v>0</v>
      </c>
      <c r="M3887" s="10">
        <v>213.97</v>
      </c>
    </row>
    <row r="3888" spans="1:13" x14ac:dyDescent="0.25">
      <c r="A3888" s="12" t="str">
        <f t="shared" si="122"/>
        <v>IVA1532026SECRETARIA DE ADMINISTRAÇÃO DO GOVERNO DO ESTADO DE PERNAMBUCOIPV46054</v>
      </c>
      <c r="B3888" s="12" t="str">
        <f t="shared" si="121"/>
        <v>Maio</v>
      </c>
      <c r="C3888" s="8" t="s">
        <v>1215</v>
      </c>
      <c r="D3888" s="8" t="s">
        <v>1723</v>
      </c>
      <c r="E3888" s="8" t="s">
        <v>1744</v>
      </c>
      <c r="F3888" s="23">
        <v>46054</v>
      </c>
      <c r="G3888" s="8" t="s">
        <v>1144</v>
      </c>
      <c r="H3888" s="23">
        <v>46157</v>
      </c>
      <c r="I3888" s="23">
        <v>46054</v>
      </c>
      <c r="J3888" s="10">
        <v>213.97</v>
      </c>
      <c r="K3888" s="10">
        <v>0</v>
      </c>
      <c r="L3888" s="24">
        <v>0</v>
      </c>
      <c r="M3888" s="10">
        <v>213.97</v>
      </c>
    </row>
    <row r="3889" spans="1:13" x14ac:dyDescent="0.25">
      <c r="A3889" s="12" t="str">
        <f t="shared" si="122"/>
        <v>IVA1532026SECRETARIA DE ADMINISTRAÇÃO DO GOVERNO DO ESTADO DE PERNAMBUCOIPV46054</v>
      </c>
      <c r="B3889" s="12" t="str">
        <f t="shared" si="121"/>
        <v>Junho</v>
      </c>
      <c r="C3889" s="8" t="s">
        <v>1215</v>
      </c>
      <c r="D3889" s="8" t="s">
        <v>1723</v>
      </c>
      <c r="E3889" s="8" t="s">
        <v>1744</v>
      </c>
      <c r="F3889" s="23">
        <v>46054</v>
      </c>
      <c r="G3889" s="8" t="s">
        <v>1144</v>
      </c>
      <c r="H3889" s="23">
        <v>46188</v>
      </c>
      <c r="I3889" s="23">
        <v>46054</v>
      </c>
      <c r="J3889" s="10">
        <v>213.97</v>
      </c>
      <c r="K3889" s="10">
        <v>0</v>
      </c>
      <c r="L3889" s="24">
        <v>0</v>
      </c>
      <c r="M3889" s="10">
        <v>213.97</v>
      </c>
    </row>
    <row r="3890" spans="1:13" x14ac:dyDescent="0.25">
      <c r="A3890" s="12" t="str">
        <f t="shared" si="122"/>
        <v>IVA1532026SECRETARIA DE ADMINISTRAÇÃO DO GOVERNO DO ESTADO DE PERNAMBUCOIPV46054</v>
      </c>
      <c r="B3890" s="12" t="str">
        <f t="shared" si="121"/>
        <v>Julho</v>
      </c>
      <c r="C3890" s="8" t="s">
        <v>1215</v>
      </c>
      <c r="D3890" s="8" t="s">
        <v>1723</v>
      </c>
      <c r="E3890" s="8" t="s">
        <v>1744</v>
      </c>
      <c r="F3890" s="23">
        <v>46054</v>
      </c>
      <c r="G3890" s="8" t="s">
        <v>1144</v>
      </c>
      <c r="H3890" s="23">
        <v>46218</v>
      </c>
      <c r="I3890" s="23">
        <v>46054</v>
      </c>
      <c r="J3890" s="10">
        <v>213.97</v>
      </c>
      <c r="K3890" s="10">
        <v>0</v>
      </c>
      <c r="L3890" s="24">
        <v>0</v>
      </c>
      <c r="M3890" s="10">
        <v>213.97</v>
      </c>
    </row>
    <row r="3891" spans="1:13" x14ac:dyDescent="0.25">
      <c r="A3891" s="12" t="str">
        <f t="shared" si="122"/>
        <v>IVA1532026SECRETARIA DE ADMINISTRAÇÃO DO GOVERNO DO ESTADO DE PERNAMBUCOIPV46054</v>
      </c>
      <c r="B3891" s="12" t="str">
        <f t="shared" si="121"/>
        <v>Agosto</v>
      </c>
      <c r="C3891" s="8" t="s">
        <v>1215</v>
      </c>
      <c r="D3891" s="8" t="s">
        <v>1723</v>
      </c>
      <c r="E3891" s="8" t="s">
        <v>1744</v>
      </c>
      <c r="F3891" s="23">
        <v>46054</v>
      </c>
      <c r="G3891" s="8" t="s">
        <v>1144</v>
      </c>
      <c r="H3891" s="23">
        <v>46251</v>
      </c>
      <c r="I3891" s="23">
        <v>46054</v>
      </c>
      <c r="J3891" s="10">
        <v>213.97</v>
      </c>
      <c r="K3891" s="10">
        <v>0</v>
      </c>
      <c r="L3891" s="24">
        <v>0</v>
      </c>
      <c r="M3891" s="10">
        <v>213.97</v>
      </c>
    </row>
    <row r="3892" spans="1:13" x14ac:dyDescent="0.25">
      <c r="A3892" s="12" t="str">
        <f t="shared" si="122"/>
        <v>IVA1532026SECRETARIA DE ADMINISTRAÇÃO DO GOVERNO DO ESTADO DE PERNAMBUCOIPV46054</v>
      </c>
      <c r="B3892" s="12" t="str">
        <f t="shared" si="121"/>
        <v>Setembro</v>
      </c>
      <c r="C3892" s="8" t="s">
        <v>1215</v>
      </c>
      <c r="D3892" s="8" t="s">
        <v>1723</v>
      </c>
      <c r="E3892" s="8" t="s">
        <v>1744</v>
      </c>
      <c r="F3892" s="23">
        <v>46054</v>
      </c>
      <c r="G3892" s="8" t="s">
        <v>1144</v>
      </c>
      <c r="H3892" s="23">
        <v>46280</v>
      </c>
      <c r="I3892" s="23">
        <v>46054</v>
      </c>
      <c r="J3892" s="10">
        <v>213.97</v>
      </c>
      <c r="K3892" s="10">
        <v>0</v>
      </c>
      <c r="L3892" s="24">
        <v>0</v>
      </c>
      <c r="M3892" s="10">
        <v>213.97</v>
      </c>
    </row>
    <row r="3893" spans="1:13" x14ac:dyDescent="0.25">
      <c r="A3893" s="12" t="str">
        <f t="shared" si="122"/>
        <v>IVA1542026SECRETARIA DE ADMINISTRAÇÃO DO GOVERNO DO ESTADO DE PERNAMBUCOIPV46054</v>
      </c>
      <c r="B3893" s="12" t="str">
        <f t="shared" si="121"/>
        <v>Fevereiro</v>
      </c>
      <c r="C3893" s="8" t="s">
        <v>1150</v>
      </c>
      <c r="D3893" s="8" t="s">
        <v>1723</v>
      </c>
      <c r="E3893" s="8" t="s">
        <v>1744</v>
      </c>
      <c r="F3893" s="23">
        <v>46054</v>
      </c>
      <c r="G3893" s="8" t="s">
        <v>1144</v>
      </c>
      <c r="H3893" s="23">
        <v>46063</v>
      </c>
      <c r="I3893" s="23">
        <v>46054</v>
      </c>
      <c r="J3893" s="10">
        <v>213.97</v>
      </c>
      <c r="K3893" s="10">
        <v>0</v>
      </c>
      <c r="L3893" s="24">
        <v>0</v>
      </c>
      <c r="M3893" s="10">
        <v>213.97</v>
      </c>
    </row>
    <row r="3894" spans="1:13" x14ac:dyDescent="0.25">
      <c r="A3894" s="12" t="str">
        <f t="shared" si="122"/>
        <v>IVA1542026SECRETARIA DE ADMINISTRAÇÃO DO GOVERNO DO ESTADO DE PERNAMBUCOIPV46054</v>
      </c>
      <c r="B3894" s="12" t="str">
        <f t="shared" si="121"/>
        <v>Março</v>
      </c>
      <c r="C3894" s="8" t="s">
        <v>1150</v>
      </c>
      <c r="D3894" s="8" t="s">
        <v>1723</v>
      </c>
      <c r="E3894" s="8" t="s">
        <v>1744</v>
      </c>
      <c r="F3894" s="23">
        <v>46054</v>
      </c>
      <c r="G3894" s="8" t="s">
        <v>1144</v>
      </c>
      <c r="H3894" s="23">
        <v>46091</v>
      </c>
      <c r="I3894" s="23">
        <v>46054</v>
      </c>
      <c r="J3894" s="10">
        <v>213.97</v>
      </c>
      <c r="K3894" s="10">
        <v>0</v>
      </c>
      <c r="L3894" s="24">
        <v>0</v>
      </c>
      <c r="M3894" s="10">
        <v>213.97</v>
      </c>
    </row>
    <row r="3895" spans="1:13" x14ac:dyDescent="0.25">
      <c r="A3895" s="12" t="str">
        <f t="shared" si="122"/>
        <v>IVA1542026SECRETARIA DE ADMINISTRAÇÃO DO GOVERNO DO ESTADO DE PERNAMBUCOIPV46054</v>
      </c>
      <c r="B3895" s="12" t="str">
        <f t="shared" si="121"/>
        <v>Abril</v>
      </c>
      <c r="C3895" s="8" t="s">
        <v>1150</v>
      </c>
      <c r="D3895" s="8" t="s">
        <v>1723</v>
      </c>
      <c r="E3895" s="8" t="s">
        <v>1744</v>
      </c>
      <c r="F3895" s="23">
        <v>46054</v>
      </c>
      <c r="G3895" s="8" t="s">
        <v>1144</v>
      </c>
      <c r="H3895" s="23">
        <v>46122</v>
      </c>
      <c r="I3895" s="23">
        <v>46054</v>
      </c>
      <c r="J3895" s="10">
        <v>213.97</v>
      </c>
      <c r="K3895" s="10">
        <v>0</v>
      </c>
      <c r="L3895" s="24">
        <v>0</v>
      </c>
      <c r="M3895" s="10">
        <v>213.97</v>
      </c>
    </row>
    <row r="3896" spans="1:13" x14ac:dyDescent="0.25">
      <c r="A3896" s="12" t="str">
        <f t="shared" si="122"/>
        <v>IVA1542026SECRETARIA DE ADMINISTRAÇÃO DO GOVERNO DO ESTADO DE PERNAMBUCOIPV46054</v>
      </c>
      <c r="B3896" s="12" t="str">
        <f t="shared" si="121"/>
        <v>Maio</v>
      </c>
      <c r="C3896" s="8" t="s">
        <v>1150</v>
      </c>
      <c r="D3896" s="8" t="s">
        <v>1723</v>
      </c>
      <c r="E3896" s="8" t="s">
        <v>1744</v>
      </c>
      <c r="F3896" s="23">
        <v>46054</v>
      </c>
      <c r="G3896" s="8" t="s">
        <v>1144</v>
      </c>
      <c r="H3896" s="23">
        <v>46153</v>
      </c>
      <c r="I3896" s="23">
        <v>46054</v>
      </c>
      <c r="J3896" s="10">
        <v>213.97</v>
      </c>
      <c r="K3896" s="10">
        <v>0</v>
      </c>
      <c r="L3896" s="24">
        <v>0</v>
      </c>
      <c r="M3896" s="10">
        <v>213.97</v>
      </c>
    </row>
    <row r="3897" spans="1:13" x14ac:dyDescent="0.25">
      <c r="A3897" s="12" t="str">
        <f t="shared" si="122"/>
        <v>IVA1542026SECRETARIA DE ADMINISTRAÇÃO DO GOVERNO DO ESTADO DE PERNAMBUCOIPV46054</v>
      </c>
      <c r="B3897" s="12" t="str">
        <f t="shared" si="121"/>
        <v>Junho</v>
      </c>
      <c r="C3897" s="8" t="s">
        <v>1150</v>
      </c>
      <c r="D3897" s="8" t="s">
        <v>1723</v>
      </c>
      <c r="E3897" s="8" t="s">
        <v>1744</v>
      </c>
      <c r="F3897" s="23">
        <v>46054</v>
      </c>
      <c r="G3897" s="8" t="s">
        <v>1144</v>
      </c>
      <c r="H3897" s="23">
        <v>46183</v>
      </c>
      <c r="I3897" s="23">
        <v>46054</v>
      </c>
      <c r="J3897" s="10">
        <v>213.97</v>
      </c>
      <c r="K3897" s="10">
        <v>0</v>
      </c>
      <c r="L3897" s="24">
        <v>0</v>
      </c>
      <c r="M3897" s="10">
        <v>213.97</v>
      </c>
    </row>
    <row r="3898" spans="1:13" x14ac:dyDescent="0.25">
      <c r="A3898" s="12" t="str">
        <f t="shared" si="122"/>
        <v>IVA1542026SECRETARIA DE ADMINISTRAÇÃO DO GOVERNO DO ESTADO DE PERNAMBUCOIPV46054</v>
      </c>
      <c r="B3898" s="12" t="str">
        <f t="shared" si="121"/>
        <v>Julho</v>
      </c>
      <c r="C3898" s="8" t="s">
        <v>1150</v>
      </c>
      <c r="D3898" s="8" t="s">
        <v>1723</v>
      </c>
      <c r="E3898" s="8" t="s">
        <v>1744</v>
      </c>
      <c r="F3898" s="23">
        <v>46054</v>
      </c>
      <c r="G3898" s="8" t="s">
        <v>1144</v>
      </c>
      <c r="H3898" s="23">
        <v>46213</v>
      </c>
      <c r="I3898" s="23">
        <v>46054</v>
      </c>
      <c r="J3898" s="10">
        <v>213.97</v>
      </c>
      <c r="K3898" s="10">
        <v>0</v>
      </c>
      <c r="L3898" s="24">
        <v>0</v>
      </c>
      <c r="M3898" s="10">
        <v>213.97</v>
      </c>
    </row>
    <row r="3899" spans="1:13" x14ac:dyDescent="0.25">
      <c r="A3899" s="12" t="str">
        <f t="shared" si="122"/>
        <v>IVA1542026SECRETARIA DE ADMINISTRAÇÃO DO GOVERNO DO ESTADO DE PERNAMBUCOIPV46054</v>
      </c>
      <c r="B3899" s="12" t="str">
        <f t="shared" si="121"/>
        <v>Agosto</v>
      </c>
      <c r="C3899" s="8" t="s">
        <v>1150</v>
      </c>
      <c r="D3899" s="8" t="s">
        <v>1723</v>
      </c>
      <c r="E3899" s="8" t="s">
        <v>1744</v>
      </c>
      <c r="F3899" s="23">
        <v>46054</v>
      </c>
      <c r="G3899" s="8" t="s">
        <v>1144</v>
      </c>
      <c r="H3899" s="23">
        <v>46244</v>
      </c>
      <c r="I3899" s="23">
        <v>46054</v>
      </c>
      <c r="J3899" s="10">
        <v>213.97</v>
      </c>
      <c r="K3899" s="10">
        <v>0</v>
      </c>
      <c r="L3899" s="24">
        <v>0</v>
      </c>
      <c r="M3899" s="10">
        <v>213.97</v>
      </c>
    </row>
    <row r="3900" spans="1:13" x14ac:dyDescent="0.25">
      <c r="A3900" s="12" t="str">
        <f t="shared" si="122"/>
        <v>IVA1542026SECRETARIA DE ADMINISTRAÇÃO DO GOVERNO DO ESTADO DE PERNAMBUCOIPV46054</v>
      </c>
      <c r="B3900" s="12" t="str">
        <f t="shared" si="121"/>
        <v>Setembro</v>
      </c>
      <c r="C3900" s="8" t="s">
        <v>1150</v>
      </c>
      <c r="D3900" s="8" t="s">
        <v>1723</v>
      </c>
      <c r="E3900" s="8" t="s">
        <v>1744</v>
      </c>
      <c r="F3900" s="23">
        <v>46054</v>
      </c>
      <c r="G3900" s="8" t="s">
        <v>1144</v>
      </c>
      <c r="H3900" s="23">
        <v>46275</v>
      </c>
      <c r="I3900" s="23">
        <v>46054</v>
      </c>
      <c r="J3900" s="10">
        <v>213.97</v>
      </c>
      <c r="K3900" s="10">
        <v>0</v>
      </c>
      <c r="L3900" s="24">
        <v>0</v>
      </c>
      <c r="M3900" s="10">
        <v>213.97</v>
      </c>
    </row>
    <row r="3901" spans="1:13" x14ac:dyDescent="0.25">
      <c r="A3901" s="12" t="str">
        <f t="shared" si="122"/>
        <v>IVA1552026SECRETARIA DE ADMINISTRAÇÃO DO GOVERNO DO ESTADO DE PERNAMBUCOIPV46054</v>
      </c>
      <c r="B3901" s="12" t="str">
        <f t="shared" si="121"/>
        <v>Fevereiro</v>
      </c>
      <c r="C3901" s="8" t="s">
        <v>1216</v>
      </c>
      <c r="D3901" s="8" t="s">
        <v>1723</v>
      </c>
      <c r="E3901" s="8" t="s">
        <v>1744</v>
      </c>
      <c r="F3901" s="23">
        <v>46054</v>
      </c>
      <c r="G3901" s="8" t="s">
        <v>1144</v>
      </c>
      <c r="H3901" s="23">
        <v>46072</v>
      </c>
      <c r="I3901" s="23">
        <v>46054</v>
      </c>
      <c r="J3901" s="10">
        <v>213.97</v>
      </c>
      <c r="K3901" s="10">
        <v>0</v>
      </c>
      <c r="L3901" s="24">
        <v>0</v>
      </c>
      <c r="M3901" s="10">
        <v>213.97</v>
      </c>
    </row>
    <row r="3902" spans="1:13" x14ac:dyDescent="0.25">
      <c r="A3902" s="12" t="str">
        <f t="shared" si="122"/>
        <v>IVA1552026SECRETARIA DE ADMINISTRAÇÃO DO GOVERNO DO ESTADO DE PERNAMBUCOIPV46054</v>
      </c>
      <c r="B3902" s="12" t="str">
        <f t="shared" si="121"/>
        <v>Março</v>
      </c>
      <c r="C3902" s="8" t="s">
        <v>1216</v>
      </c>
      <c r="D3902" s="8" t="s">
        <v>1723</v>
      </c>
      <c r="E3902" s="8" t="s">
        <v>1744</v>
      </c>
      <c r="F3902" s="23">
        <v>46054</v>
      </c>
      <c r="G3902" s="8" t="s">
        <v>1144</v>
      </c>
      <c r="H3902" s="23">
        <v>46097</v>
      </c>
      <c r="I3902" s="23">
        <v>46054</v>
      </c>
      <c r="J3902" s="10">
        <v>213.97</v>
      </c>
      <c r="K3902" s="10">
        <v>0</v>
      </c>
      <c r="L3902" s="24">
        <v>0</v>
      </c>
      <c r="M3902" s="10">
        <v>213.97</v>
      </c>
    </row>
    <row r="3903" spans="1:13" x14ac:dyDescent="0.25">
      <c r="A3903" s="12" t="str">
        <f t="shared" si="122"/>
        <v>IVA1552026SECRETARIA DE ADMINISTRAÇÃO DO GOVERNO DO ESTADO DE PERNAMBUCOIPV46054</v>
      </c>
      <c r="B3903" s="12" t="str">
        <f t="shared" si="121"/>
        <v>Abril</v>
      </c>
      <c r="C3903" s="8" t="s">
        <v>1216</v>
      </c>
      <c r="D3903" s="8" t="s">
        <v>1723</v>
      </c>
      <c r="E3903" s="8" t="s">
        <v>1744</v>
      </c>
      <c r="F3903" s="23">
        <v>46054</v>
      </c>
      <c r="G3903" s="8" t="s">
        <v>1144</v>
      </c>
      <c r="H3903" s="23">
        <v>46127</v>
      </c>
      <c r="I3903" s="23">
        <v>46054</v>
      </c>
      <c r="J3903" s="10">
        <v>213.97</v>
      </c>
      <c r="K3903" s="10">
        <v>0</v>
      </c>
      <c r="L3903" s="24">
        <v>0</v>
      </c>
      <c r="M3903" s="10">
        <v>213.97</v>
      </c>
    </row>
    <row r="3904" spans="1:13" x14ac:dyDescent="0.25">
      <c r="A3904" s="12" t="str">
        <f t="shared" si="122"/>
        <v>IVA1552026SECRETARIA DE ADMINISTRAÇÃO DO GOVERNO DO ESTADO DE PERNAMBUCOIPV46054</v>
      </c>
      <c r="B3904" s="12" t="str">
        <f t="shared" si="121"/>
        <v>Maio</v>
      </c>
      <c r="C3904" s="8" t="s">
        <v>1216</v>
      </c>
      <c r="D3904" s="8" t="s">
        <v>1723</v>
      </c>
      <c r="E3904" s="8" t="s">
        <v>1744</v>
      </c>
      <c r="F3904" s="23">
        <v>46054</v>
      </c>
      <c r="G3904" s="8" t="s">
        <v>1144</v>
      </c>
      <c r="H3904" s="23">
        <v>46157</v>
      </c>
      <c r="I3904" s="23">
        <v>46054</v>
      </c>
      <c r="J3904" s="10">
        <v>213.97</v>
      </c>
      <c r="K3904" s="10">
        <v>0</v>
      </c>
      <c r="L3904" s="24">
        <v>0</v>
      </c>
      <c r="M3904" s="10">
        <v>213.97</v>
      </c>
    </row>
    <row r="3905" spans="1:13" x14ac:dyDescent="0.25">
      <c r="A3905" s="12" t="str">
        <f t="shared" si="122"/>
        <v>IVA1552026SECRETARIA DE ADMINISTRAÇÃO DO GOVERNO DO ESTADO DE PERNAMBUCOIPV46054</v>
      </c>
      <c r="B3905" s="12" t="str">
        <f t="shared" si="121"/>
        <v>Junho</v>
      </c>
      <c r="C3905" s="8" t="s">
        <v>1216</v>
      </c>
      <c r="D3905" s="8" t="s">
        <v>1723</v>
      </c>
      <c r="E3905" s="8" t="s">
        <v>1744</v>
      </c>
      <c r="F3905" s="23">
        <v>46054</v>
      </c>
      <c r="G3905" s="8" t="s">
        <v>1144</v>
      </c>
      <c r="H3905" s="23">
        <v>46188</v>
      </c>
      <c r="I3905" s="23">
        <v>46054</v>
      </c>
      <c r="J3905" s="10">
        <v>213.97</v>
      </c>
      <c r="K3905" s="10">
        <v>0</v>
      </c>
      <c r="L3905" s="24">
        <v>0</v>
      </c>
      <c r="M3905" s="10">
        <v>213.97</v>
      </c>
    </row>
    <row r="3906" spans="1:13" x14ac:dyDescent="0.25">
      <c r="A3906" s="12" t="str">
        <f t="shared" si="122"/>
        <v>IVA1552026SECRETARIA DE ADMINISTRAÇÃO DO GOVERNO DO ESTADO DE PERNAMBUCOIPV46054</v>
      </c>
      <c r="B3906" s="12" t="str">
        <f t="shared" si="121"/>
        <v>Julho</v>
      </c>
      <c r="C3906" s="8" t="s">
        <v>1216</v>
      </c>
      <c r="D3906" s="8" t="s">
        <v>1723</v>
      </c>
      <c r="E3906" s="8" t="s">
        <v>1744</v>
      </c>
      <c r="F3906" s="23">
        <v>46054</v>
      </c>
      <c r="G3906" s="8" t="s">
        <v>1144</v>
      </c>
      <c r="H3906" s="23">
        <v>46218</v>
      </c>
      <c r="I3906" s="23">
        <v>46054</v>
      </c>
      <c r="J3906" s="10">
        <v>213.97</v>
      </c>
      <c r="K3906" s="10">
        <v>0</v>
      </c>
      <c r="L3906" s="24">
        <v>0</v>
      </c>
      <c r="M3906" s="10">
        <v>213.97</v>
      </c>
    </row>
    <row r="3907" spans="1:13" x14ac:dyDescent="0.25">
      <c r="A3907" s="12" t="str">
        <f t="shared" si="122"/>
        <v>IVA1552026SECRETARIA DE ADMINISTRAÇÃO DO GOVERNO DO ESTADO DE PERNAMBUCOIPV46054</v>
      </c>
      <c r="B3907" s="12" t="str">
        <f t="shared" ref="B3907:B3970" si="123">PROPER(TEXT($H3907,"MMMM"))</f>
        <v>Agosto</v>
      </c>
      <c r="C3907" s="8" t="s">
        <v>1216</v>
      </c>
      <c r="D3907" s="8" t="s">
        <v>1723</v>
      </c>
      <c r="E3907" s="8" t="s">
        <v>1744</v>
      </c>
      <c r="F3907" s="23">
        <v>46054</v>
      </c>
      <c r="G3907" s="8" t="s">
        <v>1144</v>
      </c>
      <c r="H3907" s="23">
        <v>46251</v>
      </c>
      <c r="I3907" s="23">
        <v>46054</v>
      </c>
      <c r="J3907" s="10">
        <v>213.97</v>
      </c>
      <c r="K3907" s="10">
        <v>0</v>
      </c>
      <c r="L3907" s="24">
        <v>0</v>
      </c>
      <c r="M3907" s="10">
        <v>213.97</v>
      </c>
    </row>
    <row r="3908" spans="1:13" x14ac:dyDescent="0.25">
      <c r="A3908" s="12" t="str">
        <f t="shared" si="122"/>
        <v>IVA1552026SECRETARIA DE ADMINISTRAÇÃO DO GOVERNO DO ESTADO DE PERNAMBUCOIPV46054</v>
      </c>
      <c r="B3908" s="12" t="str">
        <f t="shared" si="123"/>
        <v>Setembro</v>
      </c>
      <c r="C3908" s="8" t="s">
        <v>1216</v>
      </c>
      <c r="D3908" s="8" t="s">
        <v>1723</v>
      </c>
      <c r="E3908" s="8" t="s">
        <v>1744</v>
      </c>
      <c r="F3908" s="23">
        <v>46054</v>
      </c>
      <c r="G3908" s="8" t="s">
        <v>1144</v>
      </c>
      <c r="H3908" s="23">
        <v>46280</v>
      </c>
      <c r="I3908" s="23">
        <v>46054</v>
      </c>
      <c r="J3908" s="10">
        <v>213.97</v>
      </c>
      <c r="K3908" s="10">
        <v>0</v>
      </c>
      <c r="L3908" s="24">
        <v>0</v>
      </c>
      <c r="M3908" s="10">
        <v>213.97</v>
      </c>
    </row>
    <row r="3909" spans="1:13" x14ac:dyDescent="0.25">
      <c r="A3909" s="12" t="str">
        <f t="shared" si="122"/>
        <v>IVA1562026SECRETARIA DE ADMINISTRAÇÃO DO GOVERNO DO ESTADO DE PERNAMBUCOIPV46054</v>
      </c>
      <c r="B3909" s="12" t="str">
        <f t="shared" si="123"/>
        <v>Fevereiro</v>
      </c>
      <c r="C3909" s="8" t="s">
        <v>1151</v>
      </c>
      <c r="D3909" s="8" t="s">
        <v>1723</v>
      </c>
      <c r="E3909" s="8" t="s">
        <v>1744</v>
      </c>
      <c r="F3909" s="23">
        <v>46054</v>
      </c>
      <c r="G3909" s="8" t="s">
        <v>1144</v>
      </c>
      <c r="H3909" s="23">
        <v>46063</v>
      </c>
      <c r="I3909" s="23">
        <v>46054</v>
      </c>
      <c r="J3909" s="10">
        <v>213.97</v>
      </c>
      <c r="K3909" s="10">
        <v>0</v>
      </c>
      <c r="L3909" s="24">
        <v>0</v>
      </c>
      <c r="M3909" s="10">
        <v>213.97</v>
      </c>
    </row>
    <row r="3910" spans="1:13" x14ac:dyDescent="0.25">
      <c r="A3910" s="12" t="str">
        <f t="shared" si="122"/>
        <v>IVA1562026SECRETARIA DE ADMINISTRAÇÃO DO GOVERNO DO ESTADO DE PERNAMBUCOIPV46054</v>
      </c>
      <c r="B3910" s="12" t="str">
        <f t="shared" si="123"/>
        <v>Março</v>
      </c>
      <c r="C3910" s="8" t="s">
        <v>1151</v>
      </c>
      <c r="D3910" s="8" t="s">
        <v>1723</v>
      </c>
      <c r="E3910" s="8" t="s">
        <v>1744</v>
      </c>
      <c r="F3910" s="23">
        <v>46054</v>
      </c>
      <c r="G3910" s="8" t="s">
        <v>1144</v>
      </c>
      <c r="H3910" s="23">
        <v>46091</v>
      </c>
      <c r="I3910" s="23">
        <v>46054</v>
      </c>
      <c r="J3910" s="10">
        <v>213.97</v>
      </c>
      <c r="K3910" s="10">
        <v>0</v>
      </c>
      <c r="L3910" s="24">
        <v>0</v>
      </c>
      <c r="M3910" s="10">
        <v>213.97</v>
      </c>
    </row>
    <row r="3911" spans="1:13" x14ac:dyDescent="0.25">
      <c r="A3911" s="12" t="str">
        <f t="shared" si="122"/>
        <v>IVA1562026SECRETARIA DE ADMINISTRAÇÃO DO GOVERNO DO ESTADO DE PERNAMBUCOIPV46054</v>
      </c>
      <c r="B3911" s="12" t="str">
        <f t="shared" si="123"/>
        <v>Abril</v>
      </c>
      <c r="C3911" s="8" t="s">
        <v>1151</v>
      </c>
      <c r="D3911" s="8" t="s">
        <v>1723</v>
      </c>
      <c r="E3911" s="8" t="s">
        <v>1744</v>
      </c>
      <c r="F3911" s="23">
        <v>46054</v>
      </c>
      <c r="G3911" s="8" t="s">
        <v>1144</v>
      </c>
      <c r="H3911" s="23">
        <v>46122</v>
      </c>
      <c r="I3911" s="23">
        <v>46054</v>
      </c>
      <c r="J3911" s="10">
        <v>213.97</v>
      </c>
      <c r="K3911" s="10">
        <v>0</v>
      </c>
      <c r="L3911" s="24">
        <v>0</v>
      </c>
      <c r="M3911" s="10">
        <v>213.97</v>
      </c>
    </row>
    <row r="3912" spans="1:13" x14ac:dyDescent="0.25">
      <c r="A3912" s="12" t="str">
        <f t="shared" si="122"/>
        <v>IVA1562026SECRETARIA DE ADMINISTRAÇÃO DO GOVERNO DO ESTADO DE PERNAMBUCOIPV46054</v>
      </c>
      <c r="B3912" s="12" t="str">
        <f t="shared" si="123"/>
        <v>Maio</v>
      </c>
      <c r="C3912" s="8" t="s">
        <v>1151</v>
      </c>
      <c r="D3912" s="8" t="s">
        <v>1723</v>
      </c>
      <c r="E3912" s="8" t="s">
        <v>1744</v>
      </c>
      <c r="F3912" s="23">
        <v>46054</v>
      </c>
      <c r="G3912" s="8" t="s">
        <v>1144</v>
      </c>
      <c r="H3912" s="23">
        <v>46153</v>
      </c>
      <c r="I3912" s="23">
        <v>46054</v>
      </c>
      <c r="J3912" s="10">
        <v>213.97</v>
      </c>
      <c r="K3912" s="10">
        <v>0</v>
      </c>
      <c r="L3912" s="24">
        <v>0</v>
      </c>
      <c r="M3912" s="10">
        <v>213.97</v>
      </c>
    </row>
    <row r="3913" spans="1:13" x14ac:dyDescent="0.25">
      <c r="A3913" s="12" t="str">
        <f t="shared" si="122"/>
        <v>IVA1562026SECRETARIA DE ADMINISTRAÇÃO DO GOVERNO DO ESTADO DE PERNAMBUCOIPV46054</v>
      </c>
      <c r="B3913" s="12" t="str">
        <f t="shared" si="123"/>
        <v>Junho</v>
      </c>
      <c r="C3913" s="8" t="s">
        <v>1151</v>
      </c>
      <c r="D3913" s="8" t="s">
        <v>1723</v>
      </c>
      <c r="E3913" s="8" t="s">
        <v>1744</v>
      </c>
      <c r="F3913" s="23">
        <v>46054</v>
      </c>
      <c r="G3913" s="8" t="s">
        <v>1144</v>
      </c>
      <c r="H3913" s="23">
        <v>46183</v>
      </c>
      <c r="I3913" s="23">
        <v>46054</v>
      </c>
      <c r="J3913" s="10">
        <v>213.97</v>
      </c>
      <c r="K3913" s="10">
        <v>0</v>
      </c>
      <c r="L3913" s="24">
        <v>0</v>
      </c>
      <c r="M3913" s="10">
        <v>213.97</v>
      </c>
    </row>
    <row r="3914" spans="1:13" x14ac:dyDescent="0.25">
      <c r="A3914" s="12" t="str">
        <f t="shared" si="122"/>
        <v>IVA1562026SECRETARIA DE ADMINISTRAÇÃO DO GOVERNO DO ESTADO DE PERNAMBUCOIPV46054</v>
      </c>
      <c r="B3914" s="12" t="str">
        <f t="shared" si="123"/>
        <v>Julho</v>
      </c>
      <c r="C3914" s="8" t="s">
        <v>1151</v>
      </c>
      <c r="D3914" s="8" t="s">
        <v>1723</v>
      </c>
      <c r="E3914" s="8" t="s">
        <v>1744</v>
      </c>
      <c r="F3914" s="23">
        <v>46054</v>
      </c>
      <c r="G3914" s="8" t="s">
        <v>1144</v>
      </c>
      <c r="H3914" s="23">
        <v>46213</v>
      </c>
      <c r="I3914" s="23">
        <v>46054</v>
      </c>
      <c r="J3914" s="10">
        <v>213.97</v>
      </c>
      <c r="K3914" s="10">
        <v>0</v>
      </c>
      <c r="L3914" s="24">
        <v>0</v>
      </c>
      <c r="M3914" s="10">
        <v>213.97</v>
      </c>
    </row>
    <row r="3915" spans="1:13" x14ac:dyDescent="0.25">
      <c r="A3915" s="12" t="str">
        <f t="shared" si="122"/>
        <v>IVA1562026SECRETARIA DE ADMINISTRAÇÃO DO GOVERNO DO ESTADO DE PERNAMBUCOIPV46054</v>
      </c>
      <c r="B3915" s="12" t="str">
        <f t="shared" si="123"/>
        <v>Agosto</v>
      </c>
      <c r="C3915" s="8" t="s">
        <v>1151</v>
      </c>
      <c r="D3915" s="8" t="s">
        <v>1723</v>
      </c>
      <c r="E3915" s="8" t="s">
        <v>1744</v>
      </c>
      <c r="F3915" s="23">
        <v>46054</v>
      </c>
      <c r="G3915" s="8" t="s">
        <v>1144</v>
      </c>
      <c r="H3915" s="23">
        <v>46244</v>
      </c>
      <c r="I3915" s="23">
        <v>46054</v>
      </c>
      <c r="J3915" s="10">
        <v>213.97</v>
      </c>
      <c r="K3915" s="10">
        <v>0</v>
      </c>
      <c r="L3915" s="24">
        <v>0</v>
      </c>
      <c r="M3915" s="10">
        <v>213.97</v>
      </c>
    </row>
    <row r="3916" spans="1:13" x14ac:dyDescent="0.25">
      <c r="A3916" s="12" t="str">
        <f t="shared" si="122"/>
        <v>IVA1562026SECRETARIA DE ADMINISTRAÇÃO DO GOVERNO DO ESTADO DE PERNAMBUCOIPV46054</v>
      </c>
      <c r="B3916" s="12" t="str">
        <f t="shared" si="123"/>
        <v>Setembro</v>
      </c>
      <c r="C3916" s="8" t="s">
        <v>1151</v>
      </c>
      <c r="D3916" s="8" t="s">
        <v>1723</v>
      </c>
      <c r="E3916" s="8" t="s">
        <v>1744</v>
      </c>
      <c r="F3916" s="23">
        <v>46054</v>
      </c>
      <c r="G3916" s="8" t="s">
        <v>1144</v>
      </c>
      <c r="H3916" s="23">
        <v>46275</v>
      </c>
      <c r="I3916" s="23">
        <v>46054</v>
      </c>
      <c r="J3916" s="10">
        <v>213.97</v>
      </c>
      <c r="K3916" s="10">
        <v>0</v>
      </c>
      <c r="L3916" s="24">
        <v>0</v>
      </c>
      <c r="M3916" s="10">
        <v>213.97</v>
      </c>
    </row>
    <row r="3917" spans="1:13" x14ac:dyDescent="0.25">
      <c r="A3917" s="12" t="str">
        <f t="shared" si="122"/>
        <v>IVA1572026SECRETARIA DE ADMINISTRAÇÃO DO GOVERNO DO ESTADO DE PERNAMBUCOIPV46054</v>
      </c>
      <c r="B3917" s="12" t="str">
        <f t="shared" si="123"/>
        <v>Fevereiro</v>
      </c>
      <c r="C3917" s="8" t="s">
        <v>1152</v>
      </c>
      <c r="D3917" s="8" t="s">
        <v>1723</v>
      </c>
      <c r="E3917" s="8" t="s">
        <v>1744</v>
      </c>
      <c r="F3917" s="23">
        <v>46054</v>
      </c>
      <c r="G3917" s="8" t="s">
        <v>1144</v>
      </c>
      <c r="H3917" s="23">
        <v>46063</v>
      </c>
      <c r="I3917" s="23">
        <v>46054</v>
      </c>
      <c r="J3917" s="10">
        <v>213.97</v>
      </c>
      <c r="K3917" s="10">
        <v>0</v>
      </c>
      <c r="L3917" s="24">
        <v>0</v>
      </c>
      <c r="M3917" s="10">
        <v>213.97</v>
      </c>
    </row>
    <row r="3918" spans="1:13" x14ac:dyDescent="0.25">
      <c r="A3918" s="12" t="str">
        <f t="shared" si="122"/>
        <v>IVA1572026SECRETARIA DE ADMINISTRAÇÃO DO GOVERNO DO ESTADO DE PERNAMBUCOIPV46054</v>
      </c>
      <c r="B3918" s="12" t="str">
        <f t="shared" si="123"/>
        <v>Março</v>
      </c>
      <c r="C3918" s="8" t="s">
        <v>1152</v>
      </c>
      <c r="D3918" s="8" t="s">
        <v>1723</v>
      </c>
      <c r="E3918" s="8" t="s">
        <v>1744</v>
      </c>
      <c r="F3918" s="23">
        <v>46054</v>
      </c>
      <c r="G3918" s="8" t="s">
        <v>1144</v>
      </c>
      <c r="H3918" s="23">
        <v>46091</v>
      </c>
      <c r="I3918" s="23">
        <v>46054</v>
      </c>
      <c r="J3918" s="10">
        <v>213.97</v>
      </c>
      <c r="K3918" s="10">
        <v>0</v>
      </c>
      <c r="L3918" s="24">
        <v>0</v>
      </c>
      <c r="M3918" s="10">
        <v>213.97</v>
      </c>
    </row>
    <row r="3919" spans="1:13" x14ac:dyDescent="0.25">
      <c r="A3919" s="12" t="str">
        <f t="shared" si="122"/>
        <v>IVA1572026SECRETARIA DE ADMINISTRAÇÃO DO GOVERNO DO ESTADO DE PERNAMBUCOIPV46054</v>
      </c>
      <c r="B3919" s="12" t="str">
        <f t="shared" si="123"/>
        <v>Abril</v>
      </c>
      <c r="C3919" s="8" t="s">
        <v>1152</v>
      </c>
      <c r="D3919" s="8" t="s">
        <v>1723</v>
      </c>
      <c r="E3919" s="8" t="s">
        <v>1744</v>
      </c>
      <c r="F3919" s="23">
        <v>46054</v>
      </c>
      <c r="G3919" s="8" t="s">
        <v>1144</v>
      </c>
      <c r="H3919" s="23">
        <v>46122</v>
      </c>
      <c r="I3919" s="23">
        <v>46054</v>
      </c>
      <c r="J3919" s="10">
        <v>213.97</v>
      </c>
      <c r="K3919" s="10">
        <v>0</v>
      </c>
      <c r="L3919" s="24">
        <v>0</v>
      </c>
      <c r="M3919" s="10">
        <v>213.97</v>
      </c>
    </row>
    <row r="3920" spans="1:13" x14ac:dyDescent="0.25">
      <c r="A3920" s="12" t="str">
        <f t="shared" si="122"/>
        <v>IVA1572026SECRETARIA DE ADMINISTRAÇÃO DO GOVERNO DO ESTADO DE PERNAMBUCOIPV46054</v>
      </c>
      <c r="B3920" s="12" t="str">
        <f t="shared" si="123"/>
        <v>Maio</v>
      </c>
      <c r="C3920" s="8" t="s">
        <v>1152</v>
      </c>
      <c r="D3920" s="8" t="s">
        <v>1723</v>
      </c>
      <c r="E3920" s="8" t="s">
        <v>1744</v>
      </c>
      <c r="F3920" s="23">
        <v>46054</v>
      </c>
      <c r="G3920" s="8" t="s">
        <v>1144</v>
      </c>
      <c r="H3920" s="23">
        <v>46153</v>
      </c>
      <c r="I3920" s="23">
        <v>46054</v>
      </c>
      <c r="J3920" s="10">
        <v>213.97</v>
      </c>
      <c r="K3920" s="10">
        <v>0</v>
      </c>
      <c r="L3920" s="24">
        <v>0</v>
      </c>
      <c r="M3920" s="10">
        <v>213.97</v>
      </c>
    </row>
    <row r="3921" spans="1:13" x14ac:dyDescent="0.25">
      <c r="A3921" s="12" t="str">
        <f t="shared" si="122"/>
        <v>IVA1572026SECRETARIA DE ADMINISTRAÇÃO DO GOVERNO DO ESTADO DE PERNAMBUCOIPV46054</v>
      </c>
      <c r="B3921" s="12" t="str">
        <f t="shared" si="123"/>
        <v>Junho</v>
      </c>
      <c r="C3921" s="8" t="s">
        <v>1152</v>
      </c>
      <c r="D3921" s="8" t="s">
        <v>1723</v>
      </c>
      <c r="E3921" s="8" t="s">
        <v>1744</v>
      </c>
      <c r="F3921" s="23">
        <v>46054</v>
      </c>
      <c r="G3921" s="8" t="s">
        <v>1144</v>
      </c>
      <c r="H3921" s="23">
        <v>46183</v>
      </c>
      <c r="I3921" s="23">
        <v>46054</v>
      </c>
      <c r="J3921" s="10">
        <v>213.97</v>
      </c>
      <c r="K3921" s="10">
        <v>0</v>
      </c>
      <c r="L3921" s="24">
        <v>0</v>
      </c>
      <c r="M3921" s="10">
        <v>213.97</v>
      </c>
    </row>
    <row r="3922" spans="1:13" x14ac:dyDescent="0.25">
      <c r="A3922" s="12" t="str">
        <f t="shared" si="122"/>
        <v>IVA1572026SECRETARIA DE ADMINISTRAÇÃO DO GOVERNO DO ESTADO DE PERNAMBUCOIPV46054</v>
      </c>
      <c r="B3922" s="12" t="str">
        <f t="shared" si="123"/>
        <v>Julho</v>
      </c>
      <c r="C3922" s="8" t="s">
        <v>1152</v>
      </c>
      <c r="D3922" s="8" t="s">
        <v>1723</v>
      </c>
      <c r="E3922" s="8" t="s">
        <v>1744</v>
      </c>
      <c r="F3922" s="23">
        <v>46054</v>
      </c>
      <c r="G3922" s="8" t="s">
        <v>1144</v>
      </c>
      <c r="H3922" s="23">
        <v>46213</v>
      </c>
      <c r="I3922" s="23">
        <v>46054</v>
      </c>
      <c r="J3922" s="10">
        <v>213.97</v>
      </c>
      <c r="K3922" s="10">
        <v>0</v>
      </c>
      <c r="L3922" s="24">
        <v>0</v>
      </c>
      <c r="M3922" s="10">
        <v>213.97</v>
      </c>
    </row>
    <row r="3923" spans="1:13" x14ac:dyDescent="0.25">
      <c r="A3923" s="12" t="str">
        <f t="shared" si="122"/>
        <v>IVA1572026SECRETARIA DE ADMINISTRAÇÃO DO GOVERNO DO ESTADO DE PERNAMBUCOIPV46054</v>
      </c>
      <c r="B3923" s="12" t="str">
        <f t="shared" si="123"/>
        <v>Agosto</v>
      </c>
      <c r="C3923" s="8" t="s">
        <v>1152</v>
      </c>
      <c r="D3923" s="8" t="s">
        <v>1723</v>
      </c>
      <c r="E3923" s="8" t="s">
        <v>1744</v>
      </c>
      <c r="F3923" s="23">
        <v>46054</v>
      </c>
      <c r="G3923" s="8" t="s">
        <v>1144</v>
      </c>
      <c r="H3923" s="23">
        <v>46244</v>
      </c>
      <c r="I3923" s="23">
        <v>46054</v>
      </c>
      <c r="J3923" s="10">
        <v>213.97</v>
      </c>
      <c r="K3923" s="10">
        <v>0</v>
      </c>
      <c r="L3923" s="24">
        <v>0</v>
      </c>
      <c r="M3923" s="10">
        <v>213.97</v>
      </c>
    </row>
    <row r="3924" spans="1:13" x14ac:dyDescent="0.25">
      <c r="A3924" s="12" t="str">
        <f t="shared" si="122"/>
        <v>IVA1572026SECRETARIA DE ADMINISTRAÇÃO DO GOVERNO DO ESTADO DE PERNAMBUCOIPV46054</v>
      </c>
      <c r="B3924" s="12" t="str">
        <f t="shared" si="123"/>
        <v>Setembro</v>
      </c>
      <c r="C3924" s="8" t="s">
        <v>1152</v>
      </c>
      <c r="D3924" s="8" t="s">
        <v>1723</v>
      </c>
      <c r="E3924" s="8" t="s">
        <v>1744</v>
      </c>
      <c r="F3924" s="23">
        <v>46054</v>
      </c>
      <c r="G3924" s="8" t="s">
        <v>1144</v>
      </c>
      <c r="H3924" s="23">
        <v>46275</v>
      </c>
      <c r="I3924" s="23">
        <v>46054</v>
      </c>
      <c r="J3924" s="10">
        <v>213.97</v>
      </c>
      <c r="K3924" s="10">
        <v>0</v>
      </c>
      <c r="L3924" s="24">
        <v>0</v>
      </c>
      <c r="M3924" s="10">
        <v>213.97</v>
      </c>
    </row>
    <row r="3925" spans="1:13" x14ac:dyDescent="0.25">
      <c r="A3925" s="12" t="str">
        <f t="shared" si="122"/>
        <v>IVA1582026SECRETARIA DE ADMINISTRAÇÃO DO GOVERNO DO ESTADO DE PERNAMBUCOIPV46054</v>
      </c>
      <c r="B3925" s="12" t="str">
        <f t="shared" si="123"/>
        <v>Fevereiro</v>
      </c>
      <c r="C3925" s="8" t="s">
        <v>1153</v>
      </c>
      <c r="D3925" s="8" t="s">
        <v>1723</v>
      </c>
      <c r="E3925" s="8" t="s">
        <v>1744</v>
      </c>
      <c r="F3925" s="23">
        <v>46054</v>
      </c>
      <c r="G3925" s="8" t="s">
        <v>1144</v>
      </c>
      <c r="H3925" s="23">
        <v>46063</v>
      </c>
      <c r="I3925" s="23">
        <v>46054</v>
      </c>
      <c r="J3925" s="10">
        <v>213.97</v>
      </c>
      <c r="K3925" s="10">
        <v>0</v>
      </c>
      <c r="L3925" s="24">
        <v>0</v>
      </c>
      <c r="M3925" s="10">
        <v>213.97</v>
      </c>
    </row>
    <row r="3926" spans="1:13" x14ac:dyDescent="0.25">
      <c r="A3926" s="12" t="str">
        <f t="shared" si="122"/>
        <v>IVA1582026SECRETARIA DE ADMINISTRAÇÃO DO GOVERNO DO ESTADO DE PERNAMBUCOIPV46054</v>
      </c>
      <c r="B3926" s="12" t="str">
        <f t="shared" si="123"/>
        <v>Março</v>
      </c>
      <c r="C3926" s="8" t="s">
        <v>1153</v>
      </c>
      <c r="D3926" s="8" t="s">
        <v>1723</v>
      </c>
      <c r="E3926" s="8" t="s">
        <v>1744</v>
      </c>
      <c r="F3926" s="23">
        <v>46054</v>
      </c>
      <c r="G3926" s="8" t="s">
        <v>1144</v>
      </c>
      <c r="H3926" s="23">
        <v>46091</v>
      </c>
      <c r="I3926" s="23">
        <v>46054</v>
      </c>
      <c r="J3926" s="10">
        <v>213.97</v>
      </c>
      <c r="K3926" s="10">
        <v>0</v>
      </c>
      <c r="L3926" s="24">
        <v>0</v>
      </c>
      <c r="M3926" s="10">
        <v>213.97</v>
      </c>
    </row>
    <row r="3927" spans="1:13" x14ac:dyDescent="0.25">
      <c r="A3927" s="12" t="str">
        <f t="shared" si="122"/>
        <v>IVA1582026SECRETARIA DE ADMINISTRAÇÃO DO GOVERNO DO ESTADO DE PERNAMBUCOIPV46054</v>
      </c>
      <c r="B3927" s="12" t="str">
        <f t="shared" si="123"/>
        <v>Abril</v>
      </c>
      <c r="C3927" s="8" t="s">
        <v>1153</v>
      </c>
      <c r="D3927" s="8" t="s">
        <v>1723</v>
      </c>
      <c r="E3927" s="8" t="s">
        <v>1744</v>
      </c>
      <c r="F3927" s="23">
        <v>46054</v>
      </c>
      <c r="G3927" s="8" t="s">
        <v>1144</v>
      </c>
      <c r="H3927" s="23">
        <v>46122</v>
      </c>
      <c r="I3927" s="23">
        <v>46054</v>
      </c>
      <c r="J3927" s="10">
        <v>213.97</v>
      </c>
      <c r="K3927" s="10">
        <v>0</v>
      </c>
      <c r="L3927" s="24">
        <v>0</v>
      </c>
      <c r="M3927" s="10">
        <v>213.97</v>
      </c>
    </row>
    <row r="3928" spans="1:13" x14ac:dyDescent="0.25">
      <c r="A3928" s="12" t="str">
        <f t="shared" si="122"/>
        <v>IVA1582026SECRETARIA DE ADMINISTRAÇÃO DO GOVERNO DO ESTADO DE PERNAMBUCOIPV46054</v>
      </c>
      <c r="B3928" s="12" t="str">
        <f t="shared" si="123"/>
        <v>Maio</v>
      </c>
      <c r="C3928" s="8" t="s">
        <v>1153</v>
      </c>
      <c r="D3928" s="8" t="s">
        <v>1723</v>
      </c>
      <c r="E3928" s="8" t="s">
        <v>1744</v>
      </c>
      <c r="F3928" s="23">
        <v>46054</v>
      </c>
      <c r="G3928" s="8" t="s">
        <v>1144</v>
      </c>
      <c r="H3928" s="23">
        <v>46153</v>
      </c>
      <c r="I3928" s="23">
        <v>46054</v>
      </c>
      <c r="J3928" s="10">
        <v>213.97</v>
      </c>
      <c r="K3928" s="10">
        <v>0</v>
      </c>
      <c r="L3928" s="24">
        <v>0</v>
      </c>
      <c r="M3928" s="10">
        <v>213.97</v>
      </c>
    </row>
    <row r="3929" spans="1:13" x14ac:dyDescent="0.25">
      <c r="A3929" s="12" t="str">
        <f t="shared" si="122"/>
        <v>IVA1582026SECRETARIA DE ADMINISTRAÇÃO DO GOVERNO DO ESTADO DE PERNAMBUCOIPV46054</v>
      </c>
      <c r="B3929" s="12" t="str">
        <f t="shared" si="123"/>
        <v>Junho</v>
      </c>
      <c r="C3929" s="8" t="s">
        <v>1153</v>
      </c>
      <c r="D3929" s="8" t="s">
        <v>1723</v>
      </c>
      <c r="E3929" s="8" t="s">
        <v>1744</v>
      </c>
      <c r="F3929" s="23">
        <v>46054</v>
      </c>
      <c r="G3929" s="8" t="s">
        <v>1144</v>
      </c>
      <c r="H3929" s="23">
        <v>46183</v>
      </c>
      <c r="I3929" s="23">
        <v>46054</v>
      </c>
      <c r="J3929" s="10">
        <v>213.97</v>
      </c>
      <c r="K3929" s="10">
        <v>0</v>
      </c>
      <c r="L3929" s="24">
        <v>0</v>
      </c>
      <c r="M3929" s="10">
        <v>213.97</v>
      </c>
    </row>
    <row r="3930" spans="1:13" x14ac:dyDescent="0.25">
      <c r="A3930" s="12" t="str">
        <f t="shared" si="122"/>
        <v>IVA1582026SECRETARIA DE ADMINISTRAÇÃO DO GOVERNO DO ESTADO DE PERNAMBUCOIPV46054</v>
      </c>
      <c r="B3930" s="12" t="str">
        <f t="shared" si="123"/>
        <v>Julho</v>
      </c>
      <c r="C3930" s="8" t="s">
        <v>1153</v>
      </c>
      <c r="D3930" s="8" t="s">
        <v>1723</v>
      </c>
      <c r="E3930" s="8" t="s">
        <v>1744</v>
      </c>
      <c r="F3930" s="23">
        <v>46054</v>
      </c>
      <c r="G3930" s="8" t="s">
        <v>1144</v>
      </c>
      <c r="H3930" s="23">
        <v>46213</v>
      </c>
      <c r="I3930" s="23">
        <v>46054</v>
      </c>
      <c r="J3930" s="10">
        <v>213.97</v>
      </c>
      <c r="K3930" s="10">
        <v>0</v>
      </c>
      <c r="L3930" s="24">
        <v>0</v>
      </c>
      <c r="M3930" s="10">
        <v>213.97</v>
      </c>
    </row>
    <row r="3931" spans="1:13" x14ac:dyDescent="0.25">
      <c r="A3931" s="12" t="str">
        <f t="shared" ref="A3931:A3994" si="124">$C3931&amp;$E3931&amp;$G3931&amp;$F3931</f>
        <v>IVA1582026SECRETARIA DE ADMINISTRAÇÃO DO GOVERNO DO ESTADO DE PERNAMBUCOIPV46054</v>
      </c>
      <c r="B3931" s="12" t="str">
        <f t="shared" si="123"/>
        <v>Agosto</v>
      </c>
      <c r="C3931" s="8" t="s">
        <v>1153</v>
      </c>
      <c r="D3931" s="8" t="s">
        <v>1723</v>
      </c>
      <c r="E3931" s="8" t="s">
        <v>1744</v>
      </c>
      <c r="F3931" s="23">
        <v>46054</v>
      </c>
      <c r="G3931" s="8" t="s">
        <v>1144</v>
      </c>
      <c r="H3931" s="23">
        <v>46244</v>
      </c>
      <c r="I3931" s="23">
        <v>46054</v>
      </c>
      <c r="J3931" s="10">
        <v>213.97</v>
      </c>
      <c r="K3931" s="10">
        <v>0</v>
      </c>
      <c r="L3931" s="24">
        <v>0</v>
      </c>
      <c r="M3931" s="10">
        <v>213.97</v>
      </c>
    </row>
    <row r="3932" spans="1:13" x14ac:dyDescent="0.25">
      <c r="A3932" s="12" t="str">
        <f t="shared" si="124"/>
        <v>IVA1582026SECRETARIA DE ADMINISTRAÇÃO DO GOVERNO DO ESTADO DE PERNAMBUCOIPV46054</v>
      </c>
      <c r="B3932" s="12" t="str">
        <f t="shared" si="123"/>
        <v>Setembro</v>
      </c>
      <c r="C3932" s="8" t="s">
        <v>1153</v>
      </c>
      <c r="D3932" s="8" t="s">
        <v>1723</v>
      </c>
      <c r="E3932" s="8" t="s">
        <v>1744</v>
      </c>
      <c r="F3932" s="23">
        <v>46054</v>
      </c>
      <c r="G3932" s="8" t="s">
        <v>1144</v>
      </c>
      <c r="H3932" s="23">
        <v>46275</v>
      </c>
      <c r="I3932" s="23">
        <v>46054</v>
      </c>
      <c r="J3932" s="10">
        <v>213.97</v>
      </c>
      <c r="K3932" s="10">
        <v>0</v>
      </c>
      <c r="L3932" s="24">
        <v>0</v>
      </c>
      <c r="M3932" s="10">
        <v>213.97</v>
      </c>
    </row>
    <row r="3933" spans="1:13" x14ac:dyDescent="0.25">
      <c r="A3933" s="12" t="str">
        <f t="shared" si="124"/>
        <v>IVA1592026SECRETARIA DE ADMINISTRAÇÃO DO GOVERNO DO ESTADO DE PERNAMBUCOIPV46054</v>
      </c>
      <c r="B3933" s="12" t="str">
        <f t="shared" si="123"/>
        <v>Fevereiro</v>
      </c>
      <c r="C3933" s="8" t="s">
        <v>1154</v>
      </c>
      <c r="D3933" s="8" t="s">
        <v>1723</v>
      </c>
      <c r="E3933" s="8" t="s">
        <v>1744</v>
      </c>
      <c r="F3933" s="23">
        <v>46054</v>
      </c>
      <c r="G3933" s="8" t="s">
        <v>1144</v>
      </c>
      <c r="H3933" s="23">
        <v>46063</v>
      </c>
      <c r="I3933" s="23">
        <v>46054</v>
      </c>
      <c r="J3933" s="10">
        <v>213.97</v>
      </c>
      <c r="K3933" s="10">
        <v>0</v>
      </c>
      <c r="L3933" s="24">
        <v>0</v>
      </c>
      <c r="M3933" s="10">
        <v>213.97</v>
      </c>
    </row>
    <row r="3934" spans="1:13" x14ac:dyDescent="0.25">
      <c r="A3934" s="12" t="str">
        <f t="shared" si="124"/>
        <v>IVA1592026SECRETARIA DE ADMINISTRAÇÃO DO GOVERNO DO ESTADO DE PERNAMBUCOIPV46054</v>
      </c>
      <c r="B3934" s="12" t="str">
        <f t="shared" si="123"/>
        <v>Março</v>
      </c>
      <c r="C3934" s="8" t="s">
        <v>1154</v>
      </c>
      <c r="D3934" s="8" t="s">
        <v>1723</v>
      </c>
      <c r="E3934" s="8" t="s">
        <v>1744</v>
      </c>
      <c r="F3934" s="23">
        <v>46054</v>
      </c>
      <c r="G3934" s="8" t="s">
        <v>1144</v>
      </c>
      <c r="H3934" s="23">
        <v>46091</v>
      </c>
      <c r="I3934" s="23">
        <v>46054</v>
      </c>
      <c r="J3934" s="10">
        <v>213.97</v>
      </c>
      <c r="K3934" s="10">
        <v>0</v>
      </c>
      <c r="L3934" s="24">
        <v>0</v>
      </c>
      <c r="M3934" s="10">
        <v>213.97</v>
      </c>
    </row>
    <row r="3935" spans="1:13" x14ac:dyDescent="0.25">
      <c r="A3935" s="12" t="str">
        <f t="shared" si="124"/>
        <v>IVA1592026SECRETARIA DE ADMINISTRAÇÃO DO GOVERNO DO ESTADO DE PERNAMBUCOIPV46054</v>
      </c>
      <c r="B3935" s="12" t="str">
        <f t="shared" si="123"/>
        <v>Abril</v>
      </c>
      <c r="C3935" s="8" t="s">
        <v>1154</v>
      </c>
      <c r="D3935" s="8" t="s">
        <v>1723</v>
      </c>
      <c r="E3935" s="8" t="s">
        <v>1744</v>
      </c>
      <c r="F3935" s="23">
        <v>46054</v>
      </c>
      <c r="G3935" s="8" t="s">
        <v>1144</v>
      </c>
      <c r="H3935" s="23">
        <v>46122</v>
      </c>
      <c r="I3935" s="23">
        <v>46054</v>
      </c>
      <c r="J3935" s="10">
        <v>213.97</v>
      </c>
      <c r="K3935" s="10">
        <v>0</v>
      </c>
      <c r="L3935" s="24">
        <v>0</v>
      </c>
      <c r="M3935" s="10">
        <v>213.97</v>
      </c>
    </row>
    <row r="3936" spans="1:13" x14ac:dyDescent="0.25">
      <c r="A3936" s="12" t="str">
        <f t="shared" si="124"/>
        <v>IVA1592026SECRETARIA DE ADMINISTRAÇÃO DO GOVERNO DO ESTADO DE PERNAMBUCOIPV46054</v>
      </c>
      <c r="B3936" s="12" t="str">
        <f t="shared" si="123"/>
        <v>Maio</v>
      </c>
      <c r="C3936" s="8" t="s">
        <v>1154</v>
      </c>
      <c r="D3936" s="8" t="s">
        <v>1723</v>
      </c>
      <c r="E3936" s="8" t="s">
        <v>1744</v>
      </c>
      <c r="F3936" s="23">
        <v>46054</v>
      </c>
      <c r="G3936" s="8" t="s">
        <v>1144</v>
      </c>
      <c r="H3936" s="23">
        <v>46153</v>
      </c>
      <c r="I3936" s="23">
        <v>46054</v>
      </c>
      <c r="J3936" s="10">
        <v>213.97</v>
      </c>
      <c r="K3936" s="10">
        <v>0</v>
      </c>
      <c r="L3936" s="24">
        <v>0</v>
      </c>
      <c r="M3936" s="10">
        <v>213.97</v>
      </c>
    </row>
    <row r="3937" spans="1:13" x14ac:dyDescent="0.25">
      <c r="A3937" s="12" t="str">
        <f t="shared" si="124"/>
        <v>IVA1592026SECRETARIA DE ADMINISTRAÇÃO DO GOVERNO DO ESTADO DE PERNAMBUCOIPV46054</v>
      </c>
      <c r="B3937" s="12" t="str">
        <f t="shared" si="123"/>
        <v>Junho</v>
      </c>
      <c r="C3937" s="8" t="s">
        <v>1154</v>
      </c>
      <c r="D3937" s="8" t="s">
        <v>1723</v>
      </c>
      <c r="E3937" s="8" t="s">
        <v>1744</v>
      </c>
      <c r="F3937" s="23">
        <v>46054</v>
      </c>
      <c r="G3937" s="8" t="s">
        <v>1144</v>
      </c>
      <c r="H3937" s="23">
        <v>46183</v>
      </c>
      <c r="I3937" s="23">
        <v>46054</v>
      </c>
      <c r="J3937" s="10">
        <v>213.97</v>
      </c>
      <c r="K3937" s="10">
        <v>0</v>
      </c>
      <c r="L3937" s="24">
        <v>0</v>
      </c>
      <c r="M3937" s="10">
        <v>213.97</v>
      </c>
    </row>
    <row r="3938" spans="1:13" x14ac:dyDescent="0.25">
      <c r="A3938" s="12" t="str">
        <f t="shared" si="124"/>
        <v>IVA1592026SECRETARIA DE ADMINISTRAÇÃO DO GOVERNO DO ESTADO DE PERNAMBUCOIPV46054</v>
      </c>
      <c r="B3938" s="12" t="str">
        <f t="shared" si="123"/>
        <v>Julho</v>
      </c>
      <c r="C3938" s="8" t="s">
        <v>1154</v>
      </c>
      <c r="D3938" s="8" t="s">
        <v>1723</v>
      </c>
      <c r="E3938" s="8" t="s">
        <v>1744</v>
      </c>
      <c r="F3938" s="23">
        <v>46054</v>
      </c>
      <c r="G3938" s="8" t="s">
        <v>1144</v>
      </c>
      <c r="H3938" s="23">
        <v>46213</v>
      </c>
      <c r="I3938" s="23">
        <v>46054</v>
      </c>
      <c r="J3938" s="10">
        <v>213.97</v>
      </c>
      <c r="K3938" s="10">
        <v>0</v>
      </c>
      <c r="L3938" s="24">
        <v>0</v>
      </c>
      <c r="M3938" s="10">
        <v>213.97</v>
      </c>
    </row>
    <row r="3939" spans="1:13" x14ac:dyDescent="0.25">
      <c r="A3939" s="12" t="str">
        <f t="shared" si="124"/>
        <v>IVA1592026SECRETARIA DE ADMINISTRAÇÃO DO GOVERNO DO ESTADO DE PERNAMBUCOIPV46054</v>
      </c>
      <c r="B3939" s="12" t="str">
        <f t="shared" si="123"/>
        <v>Agosto</v>
      </c>
      <c r="C3939" s="8" t="s">
        <v>1154</v>
      </c>
      <c r="D3939" s="8" t="s">
        <v>1723</v>
      </c>
      <c r="E3939" s="8" t="s">
        <v>1744</v>
      </c>
      <c r="F3939" s="23">
        <v>46054</v>
      </c>
      <c r="G3939" s="8" t="s">
        <v>1144</v>
      </c>
      <c r="H3939" s="23">
        <v>46244</v>
      </c>
      <c r="I3939" s="23">
        <v>46054</v>
      </c>
      <c r="J3939" s="10">
        <v>213.97</v>
      </c>
      <c r="K3939" s="10">
        <v>0</v>
      </c>
      <c r="L3939" s="24">
        <v>0</v>
      </c>
      <c r="M3939" s="10">
        <v>213.97</v>
      </c>
    </row>
    <row r="3940" spans="1:13" x14ac:dyDescent="0.25">
      <c r="A3940" s="12" t="str">
        <f t="shared" si="124"/>
        <v>IVA1592026SECRETARIA DE ADMINISTRAÇÃO DO GOVERNO DO ESTADO DE PERNAMBUCOIPV46054</v>
      </c>
      <c r="B3940" s="12" t="str">
        <f t="shared" si="123"/>
        <v>Setembro</v>
      </c>
      <c r="C3940" s="8" t="s">
        <v>1154</v>
      </c>
      <c r="D3940" s="8" t="s">
        <v>1723</v>
      </c>
      <c r="E3940" s="8" t="s">
        <v>1744</v>
      </c>
      <c r="F3940" s="23">
        <v>46054</v>
      </c>
      <c r="G3940" s="8" t="s">
        <v>1144</v>
      </c>
      <c r="H3940" s="23">
        <v>46275</v>
      </c>
      <c r="I3940" s="23">
        <v>46054</v>
      </c>
      <c r="J3940" s="10">
        <v>213.97</v>
      </c>
      <c r="K3940" s="10">
        <v>0</v>
      </c>
      <c r="L3940" s="24">
        <v>0</v>
      </c>
      <c r="M3940" s="10">
        <v>213.97</v>
      </c>
    </row>
    <row r="3941" spans="1:13" x14ac:dyDescent="0.25">
      <c r="A3941" s="12" t="str">
        <f t="shared" si="124"/>
        <v>IVA1602026SECRETARIA DE ADMINISTRAÇÃO DO GOVERNO DO ESTADO DE PERNAMBUCOIPV46054</v>
      </c>
      <c r="B3941" s="12" t="str">
        <f t="shared" si="123"/>
        <v>Fevereiro</v>
      </c>
      <c r="C3941" s="8" t="s">
        <v>1155</v>
      </c>
      <c r="D3941" s="8" t="s">
        <v>1723</v>
      </c>
      <c r="E3941" s="8" t="s">
        <v>1744</v>
      </c>
      <c r="F3941" s="23">
        <v>46054</v>
      </c>
      <c r="G3941" s="8" t="s">
        <v>1144</v>
      </c>
      <c r="H3941" s="23">
        <v>46063</v>
      </c>
      <c r="I3941" s="23">
        <v>46054</v>
      </c>
      <c r="J3941" s="10">
        <v>213.97</v>
      </c>
      <c r="K3941" s="10">
        <v>0</v>
      </c>
      <c r="L3941" s="24">
        <v>0</v>
      </c>
      <c r="M3941" s="10">
        <v>213.97</v>
      </c>
    </row>
    <row r="3942" spans="1:13" x14ac:dyDescent="0.25">
      <c r="A3942" s="12" t="str">
        <f t="shared" si="124"/>
        <v>IVA1602026SECRETARIA DE ADMINISTRAÇÃO DO GOVERNO DO ESTADO DE PERNAMBUCOIPV46054</v>
      </c>
      <c r="B3942" s="12" t="str">
        <f t="shared" si="123"/>
        <v>Março</v>
      </c>
      <c r="C3942" s="8" t="s">
        <v>1155</v>
      </c>
      <c r="D3942" s="8" t="s">
        <v>1723</v>
      </c>
      <c r="E3942" s="8" t="s">
        <v>1744</v>
      </c>
      <c r="F3942" s="23">
        <v>46054</v>
      </c>
      <c r="G3942" s="8" t="s">
        <v>1144</v>
      </c>
      <c r="H3942" s="23">
        <v>46091</v>
      </c>
      <c r="I3942" s="23">
        <v>46054</v>
      </c>
      <c r="J3942" s="10">
        <v>213.97</v>
      </c>
      <c r="K3942" s="10">
        <v>0</v>
      </c>
      <c r="L3942" s="24">
        <v>0</v>
      </c>
      <c r="M3942" s="10">
        <v>213.97</v>
      </c>
    </row>
    <row r="3943" spans="1:13" x14ac:dyDescent="0.25">
      <c r="A3943" s="12" t="str">
        <f t="shared" si="124"/>
        <v>IVA1602026SECRETARIA DE ADMINISTRAÇÃO DO GOVERNO DO ESTADO DE PERNAMBUCOIPV46054</v>
      </c>
      <c r="B3943" s="12" t="str">
        <f t="shared" si="123"/>
        <v>Abril</v>
      </c>
      <c r="C3943" s="8" t="s">
        <v>1155</v>
      </c>
      <c r="D3943" s="8" t="s">
        <v>1723</v>
      </c>
      <c r="E3943" s="8" t="s">
        <v>1744</v>
      </c>
      <c r="F3943" s="23">
        <v>46054</v>
      </c>
      <c r="G3943" s="8" t="s">
        <v>1144</v>
      </c>
      <c r="H3943" s="23">
        <v>46122</v>
      </c>
      <c r="I3943" s="23">
        <v>46054</v>
      </c>
      <c r="J3943" s="10">
        <v>213.97</v>
      </c>
      <c r="K3943" s="10">
        <v>0</v>
      </c>
      <c r="L3943" s="24">
        <v>0</v>
      </c>
      <c r="M3943" s="10">
        <v>213.97</v>
      </c>
    </row>
    <row r="3944" spans="1:13" x14ac:dyDescent="0.25">
      <c r="A3944" s="12" t="str">
        <f t="shared" si="124"/>
        <v>IVA1602026SECRETARIA DE ADMINISTRAÇÃO DO GOVERNO DO ESTADO DE PERNAMBUCOIPV46054</v>
      </c>
      <c r="B3944" s="12" t="str">
        <f t="shared" si="123"/>
        <v>Maio</v>
      </c>
      <c r="C3944" s="8" t="s">
        <v>1155</v>
      </c>
      <c r="D3944" s="8" t="s">
        <v>1723</v>
      </c>
      <c r="E3944" s="8" t="s">
        <v>1744</v>
      </c>
      <c r="F3944" s="23">
        <v>46054</v>
      </c>
      <c r="G3944" s="8" t="s">
        <v>1144</v>
      </c>
      <c r="H3944" s="23">
        <v>46153</v>
      </c>
      <c r="I3944" s="23">
        <v>46054</v>
      </c>
      <c r="J3944" s="10">
        <v>213.97</v>
      </c>
      <c r="K3944" s="10">
        <v>0</v>
      </c>
      <c r="L3944" s="24">
        <v>0</v>
      </c>
      <c r="M3944" s="10">
        <v>213.97</v>
      </c>
    </row>
    <row r="3945" spans="1:13" x14ac:dyDescent="0.25">
      <c r="A3945" s="12" t="str">
        <f t="shared" si="124"/>
        <v>IVA1602026SECRETARIA DE ADMINISTRAÇÃO DO GOVERNO DO ESTADO DE PERNAMBUCOIPV46054</v>
      </c>
      <c r="B3945" s="12" t="str">
        <f t="shared" si="123"/>
        <v>Junho</v>
      </c>
      <c r="C3945" s="8" t="s">
        <v>1155</v>
      </c>
      <c r="D3945" s="8" t="s">
        <v>1723</v>
      </c>
      <c r="E3945" s="8" t="s">
        <v>1744</v>
      </c>
      <c r="F3945" s="23">
        <v>46054</v>
      </c>
      <c r="G3945" s="8" t="s">
        <v>1144</v>
      </c>
      <c r="H3945" s="23">
        <v>46183</v>
      </c>
      <c r="I3945" s="23">
        <v>46054</v>
      </c>
      <c r="J3945" s="10">
        <v>213.97</v>
      </c>
      <c r="K3945" s="10">
        <v>0</v>
      </c>
      <c r="L3945" s="24">
        <v>0</v>
      </c>
      <c r="M3945" s="10">
        <v>213.97</v>
      </c>
    </row>
    <row r="3946" spans="1:13" x14ac:dyDescent="0.25">
      <c r="A3946" s="12" t="str">
        <f t="shared" si="124"/>
        <v>IVA1602026SECRETARIA DE ADMINISTRAÇÃO DO GOVERNO DO ESTADO DE PERNAMBUCOIPV46054</v>
      </c>
      <c r="B3946" s="12" t="str">
        <f t="shared" si="123"/>
        <v>Julho</v>
      </c>
      <c r="C3946" s="8" t="s">
        <v>1155</v>
      </c>
      <c r="D3946" s="8" t="s">
        <v>1723</v>
      </c>
      <c r="E3946" s="8" t="s">
        <v>1744</v>
      </c>
      <c r="F3946" s="23">
        <v>46054</v>
      </c>
      <c r="G3946" s="8" t="s">
        <v>1144</v>
      </c>
      <c r="H3946" s="23">
        <v>46213</v>
      </c>
      <c r="I3946" s="23">
        <v>46054</v>
      </c>
      <c r="J3946" s="10">
        <v>213.97</v>
      </c>
      <c r="K3946" s="10">
        <v>0</v>
      </c>
      <c r="L3946" s="24">
        <v>0</v>
      </c>
      <c r="M3946" s="10">
        <v>213.97</v>
      </c>
    </row>
    <row r="3947" spans="1:13" x14ac:dyDescent="0.25">
      <c r="A3947" s="12" t="str">
        <f t="shared" si="124"/>
        <v>IVA1602026SECRETARIA DE ADMINISTRAÇÃO DO GOVERNO DO ESTADO DE PERNAMBUCOIPV46054</v>
      </c>
      <c r="B3947" s="12" t="str">
        <f t="shared" si="123"/>
        <v>Agosto</v>
      </c>
      <c r="C3947" s="8" t="s">
        <v>1155</v>
      </c>
      <c r="D3947" s="8" t="s">
        <v>1723</v>
      </c>
      <c r="E3947" s="8" t="s">
        <v>1744</v>
      </c>
      <c r="F3947" s="23">
        <v>46054</v>
      </c>
      <c r="G3947" s="8" t="s">
        <v>1144</v>
      </c>
      <c r="H3947" s="23">
        <v>46244</v>
      </c>
      <c r="I3947" s="23">
        <v>46054</v>
      </c>
      <c r="J3947" s="10">
        <v>213.97</v>
      </c>
      <c r="K3947" s="10">
        <v>0</v>
      </c>
      <c r="L3947" s="24">
        <v>0</v>
      </c>
      <c r="M3947" s="10">
        <v>213.97</v>
      </c>
    </row>
    <row r="3948" spans="1:13" x14ac:dyDescent="0.25">
      <c r="A3948" s="12" t="str">
        <f t="shared" si="124"/>
        <v>IVA1602026SECRETARIA DE ADMINISTRAÇÃO DO GOVERNO DO ESTADO DE PERNAMBUCOIPV46054</v>
      </c>
      <c r="B3948" s="12" t="str">
        <f t="shared" si="123"/>
        <v>Setembro</v>
      </c>
      <c r="C3948" s="8" t="s">
        <v>1155</v>
      </c>
      <c r="D3948" s="8" t="s">
        <v>1723</v>
      </c>
      <c r="E3948" s="8" t="s">
        <v>1744</v>
      </c>
      <c r="F3948" s="23">
        <v>46054</v>
      </c>
      <c r="G3948" s="8" t="s">
        <v>1144</v>
      </c>
      <c r="H3948" s="23">
        <v>46275</v>
      </c>
      <c r="I3948" s="23">
        <v>46054</v>
      </c>
      <c r="J3948" s="10">
        <v>213.97</v>
      </c>
      <c r="K3948" s="10">
        <v>0</v>
      </c>
      <c r="L3948" s="24">
        <v>0</v>
      </c>
      <c r="M3948" s="10">
        <v>213.97</v>
      </c>
    </row>
    <row r="3949" spans="1:13" x14ac:dyDescent="0.25">
      <c r="A3949" s="12" t="str">
        <f t="shared" si="124"/>
        <v>IVA1612026SECRETARIA DE ADMINISTRAÇÃO DO GOVERNO DO ESTADO DE PERNAMBUCOIPV46054</v>
      </c>
      <c r="B3949" s="12" t="str">
        <f t="shared" si="123"/>
        <v>Fevereiro</v>
      </c>
      <c r="C3949" s="8" t="s">
        <v>1156</v>
      </c>
      <c r="D3949" s="8" t="s">
        <v>1723</v>
      </c>
      <c r="E3949" s="8" t="s">
        <v>1744</v>
      </c>
      <c r="F3949" s="23">
        <v>46054</v>
      </c>
      <c r="G3949" s="8" t="s">
        <v>1144</v>
      </c>
      <c r="H3949" s="23">
        <v>46063</v>
      </c>
      <c r="I3949" s="23">
        <v>46054</v>
      </c>
      <c r="J3949" s="10">
        <v>213.97</v>
      </c>
      <c r="K3949" s="10">
        <v>0</v>
      </c>
      <c r="L3949" s="24">
        <v>0</v>
      </c>
      <c r="M3949" s="10">
        <v>213.97</v>
      </c>
    </row>
    <row r="3950" spans="1:13" x14ac:dyDescent="0.25">
      <c r="A3950" s="12" t="str">
        <f t="shared" si="124"/>
        <v>IVA1612026SECRETARIA DE ADMINISTRAÇÃO DO GOVERNO DO ESTADO DE PERNAMBUCOIPV46054</v>
      </c>
      <c r="B3950" s="12" t="str">
        <f t="shared" si="123"/>
        <v>Março</v>
      </c>
      <c r="C3950" s="8" t="s">
        <v>1156</v>
      </c>
      <c r="D3950" s="8" t="s">
        <v>1723</v>
      </c>
      <c r="E3950" s="8" t="s">
        <v>1744</v>
      </c>
      <c r="F3950" s="23">
        <v>46054</v>
      </c>
      <c r="G3950" s="8" t="s">
        <v>1144</v>
      </c>
      <c r="H3950" s="23">
        <v>46091</v>
      </c>
      <c r="I3950" s="23">
        <v>46054</v>
      </c>
      <c r="J3950" s="10">
        <v>213.97</v>
      </c>
      <c r="K3950" s="10">
        <v>0</v>
      </c>
      <c r="L3950" s="24">
        <v>0</v>
      </c>
      <c r="M3950" s="10">
        <v>213.97</v>
      </c>
    </row>
    <row r="3951" spans="1:13" x14ac:dyDescent="0.25">
      <c r="A3951" s="12" t="str">
        <f t="shared" si="124"/>
        <v>IVA1612026SECRETARIA DE ADMINISTRAÇÃO DO GOVERNO DO ESTADO DE PERNAMBUCOIPV46054</v>
      </c>
      <c r="B3951" s="12" t="str">
        <f t="shared" si="123"/>
        <v>Abril</v>
      </c>
      <c r="C3951" s="8" t="s">
        <v>1156</v>
      </c>
      <c r="D3951" s="8" t="s">
        <v>1723</v>
      </c>
      <c r="E3951" s="8" t="s">
        <v>1744</v>
      </c>
      <c r="F3951" s="23">
        <v>46054</v>
      </c>
      <c r="G3951" s="8" t="s">
        <v>1144</v>
      </c>
      <c r="H3951" s="23">
        <v>46122</v>
      </c>
      <c r="I3951" s="23">
        <v>46054</v>
      </c>
      <c r="J3951" s="10">
        <v>213.97</v>
      </c>
      <c r="K3951" s="10">
        <v>0</v>
      </c>
      <c r="L3951" s="24">
        <v>0</v>
      </c>
      <c r="M3951" s="10">
        <v>213.97</v>
      </c>
    </row>
    <row r="3952" spans="1:13" x14ac:dyDescent="0.25">
      <c r="A3952" s="12" t="str">
        <f t="shared" si="124"/>
        <v>IVA1612026SECRETARIA DE ADMINISTRAÇÃO DO GOVERNO DO ESTADO DE PERNAMBUCOIPV46054</v>
      </c>
      <c r="B3952" s="12" t="str">
        <f t="shared" si="123"/>
        <v>Maio</v>
      </c>
      <c r="C3952" s="8" t="s">
        <v>1156</v>
      </c>
      <c r="D3952" s="8" t="s">
        <v>1723</v>
      </c>
      <c r="E3952" s="8" t="s">
        <v>1744</v>
      </c>
      <c r="F3952" s="23">
        <v>46054</v>
      </c>
      <c r="G3952" s="8" t="s">
        <v>1144</v>
      </c>
      <c r="H3952" s="23">
        <v>46153</v>
      </c>
      <c r="I3952" s="23">
        <v>46054</v>
      </c>
      <c r="J3952" s="10">
        <v>213.97</v>
      </c>
      <c r="K3952" s="10">
        <v>0</v>
      </c>
      <c r="L3952" s="24">
        <v>0</v>
      </c>
      <c r="M3952" s="10">
        <v>213.97</v>
      </c>
    </row>
    <row r="3953" spans="1:13" x14ac:dyDescent="0.25">
      <c r="A3953" s="12" t="str">
        <f t="shared" si="124"/>
        <v>IVA1612026SECRETARIA DE ADMINISTRAÇÃO DO GOVERNO DO ESTADO DE PERNAMBUCOIPV46054</v>
      </c>
      <c r="B3953" s="12" t="str">
        <f t="shared" si="123"/>
        <v>Junho</v>
      </c>
      <c r="C3953" s="8" t="s">
        <v>1156</v>
      </c>
      <c r="D3953" s="8" t="s">
        <v>1723</v>
      </c>
      <c r="E3953" s="8" t="s">
        <v>1744</v>
      </c>
      <c r="F3953" s="23">
        <v>46054</v>
      </c>
      <c r="G3953" s="8" t="s">
        <v>1144</v>
      </c>
      <c r="H3953" s="23">
        <v>46183</v>
      </c>
      <c r="I3953" s="23">
        <v>46054</v>
      </c>
      <c r="J3953" s="10">
        <v>213.97</v>
      </c>
      <c r="K3953" s="10">
        <v>0</v>
      </c>
      <c r="L3953" s="24">
        <v>0</v>
      </c>
      <c r="M3953" s="10">
        <v>213.97</v>
      </c>
    </row>
    <row r="3954" spans="1:13" x14ac:dyDescent="0.25">
      <c r="A3954" s="12" t="str">
        <f t="shared" si="124"/>
        <v>IVA1612026SECRETARIA DE ADMINISTRAÇÃO DO GOVERNO DO ESTADO DE PERNAMBUCOIPV46054</v>
      </c>
      <c r="B3954" s="12" t="str">
        <f t="shared" si="123"/>
        <v>Julho</v>
      </c>
      <c r="C3954" s="8" t="s">
        <v>1156</v>
      </c>
      <c r="D3954" s="8" t="s">
        <v>1723</v>
      </c>
      <c r="E3954" s="8" t="s">
        <v>1744</v>
      </c>
      <c r="F3954" s="23">
        <v>46054</v>
      </c>
      <c r="G3954" s="8" t="s">
        <v>1144</v>
      </c>
      <c r="H3954" s="23">
        <v>46213</v>
      </c>
      <c r="I3954" s="23">
        <v>46054</v>
      </c>
      <c r="J3954" s="10">
        <v>213.97</v>
      </c>
      <c r="K3954" s="10">
        <v>0</v>
      </c>
      <c r="L3954" s="24">
        <v>0</v>
      </c>
      <c r="M3954" s="10">
        <v>213.97</v>
      </c>
    </row>
    <row r="3955" spans="1:13" x14ac:dyDescent="0.25">
      <c r="A3955" s="12" t="str">
        <f t="shared" si="124"/>
        <v>IVA1612026SECRETARIA DE ADMINISTRAÇÃO DO GOVERNO DO ESTADO DE PERNAMBUCOIPV46054</v>
      </c>
      <c r="B3955" s="12" t="str">
        <f t="shared" si="123"/>
        <v>Agosto</v>
      </c>
      <c r="C3955" s="8" t="s">
        <v>1156</v>
      </c>
      <c r="D3955" s="8" t="s">
        <v>1723</v>
      </c>
      <c r="E3955" s="8" t="s">
        <v>1744</v>
      </c>
      <c r="F3955" s="23">
        <v>46054</v>
      </c>
      <c r="G3955" s="8" t="s">
        <v>1144</v>
      </c>
      <c r="H3955" s="23">
        <v>46244</v>
      </c>
      <c r="I3955" s="23">
        <v>46054</v>
      </c>
      <c r="J3955" s="10">
        <v>213.97</v>
      </c>
      <c r="K3955" s="10">
        <v>0</v>
      </c>
      <c r="L3955" s="24">
        <v>0</v>
      </c>
      <c r="M3955" s="10">
        <v>213.97</v>
      </c>
    </row>
    <row r="3956" spans="1:13" x14ac:dyDescent="0.25">
      <c r="A3956" s="12" t="str">
        <f t="shared" si="124"/>
        <v>IVA1612026SECRETARIA DE ADMINISTRAÇÃO DO GOVERNO DO ESTADO DE PERNAMBUCOIPV46054</v>
      </c>
      <c r="B3956" s="12" t="str">
        <f t="shared" si="123"/>
        <v>Setembro</v>
      </c>
      <c r="C3956" s="8" t="s">
        <v>1156</v>
      </c>
      <c r="D3956" s="8" t="s">
        <v>1723</v>
      </c>
      <c r="E3956" s="8" t="s">
        <v>1744</v>
      </c>
      <c r="F3956" s="23">
        <v>46054</v>
      </c>
      <c r="G3956" s="8" t="s">
        <v>1144</v>
      </c>
      <c r="H3956" s="23">
        <v>46275</v>
      </c>
      <c r="I3956" s="23">
        <v>46054</v>
      </c>
      <c r="J3956" s="10">
        <v>213.97</v>
      </c>
      <c r="K3956" s="10">
        <v>0</v>
      </c>
      <c r="L3956" s="24">
        <v>0</v>
      </c>
      <c r="M3956" s="10">
        <v>213.97</v>
      </c>
    </row>
    <row r="3957" spans="1:13" x14ac:dyDescent="0.25">
      <c r="A3957" s="12" t="str">
        <f t="shared" si="124"/>
        <v>IVA1622026SECRETARIA DE ADMINISTRAÇÃO DO GOVERNO DO ESTADO DE PERNAMBUCOIPV46054</v>
      </c>
      <c r="B3957" s="12" t="str">
        <f t="shared" si="123"/>
        <v>Fevereiro</v>
      </c>
      <c r="C3957" s="8" t="s">
        <v>1157</v>
      </c>
      <c r="D3957" s="8" t="s">
        <v>1723</v>
      </c>
      <c r="E3957" s="8" t="s">
        <v>1744</v>
      </c>
      <c r="F3957" s="23">
        <v>46054</v>
      </c>
      <c r="G3957" s="8" t="s">
        <v>1144</v>
      </c>
      <c r="H3957" s="23">
        <v>46063</v>
      </c>
      <c r="I3957" s="23">
        <v>46054</v>
      </c>
      <c r="J3957" s="10">
        <v>213.97</v>
      </c>
      <c r="K3957" s="10">
        <v>0</v>
      </c>
      <c r="L3957" s="24">
        <v>0</v>
      </c>
      <c r="M3957" s="10">
        <v>213.97</v>
      </c>
    </row>
    <row r="3958" spans="1:13" x14ac:dyDescent="0.25">
      <c r="A3958" s="12" t="str">
        <f t="shared" si="124"/>
        <v>IVA1622026SECRETARIA DE ADMINISTRAÇÃO DO GOVERNO DO ESTADO DE PERNAMBUCOIPV46054</v>
      </c>
      <c r="B3958" s="12" t="str">
        <f t="shared" si="123"/>
        <v>Março</v>
      </c>
      <c r="C3958" s="8" t="s">
        <v>1157</v>
      </c>
      <c r="D3958" s="8" t="s">
        <v>1723</v>
      </c>
      <c r="E3958" s="8" t="s">
        <v>1744</v>
      </c>
      <c r="F3958" s="23">
        <v>46054</v>
      </c>
      <c r="G3958" s="8" t="s">
        <v>1144</v>
      </c>
      <c r="H3958" s="23">
        <v>46091</v>
      </c>
      <c r="I3958" s="23">
        <v>46054</v>
      </c>
      <c r="J3958" s="10">
        <v>213.97</v>
      </c>
      <c r="K3958" s="10">
        <v>0</v>
      </c>
      <c r="L3958" s="24">
        <v>0</v>
      </c>
      <c r="M3958" s="10">
        <v>213.97</v>
      </c>
    </row>
    <row r="3959" spans="1:13" x14ac:dyDescent="0.25">
      <c r="A3959" s="12" t="str">
        <f t="shared" si="124"/>
        <v>IVA1622026SECRETARIA DE ADMINISTRAÇÃO DO GOVERNO DO ESTADO DE PERNAMBUCOIPV46054</v>
      </c>
      <c r="B3959" s="12" t="str">
        <f t="shared" si="123"/>
        <v>Abril</v>
      </c>
      <c r="C3959" s="8" t="s">
        <v>1157</v>
      </c>
      <c r="D3959" s="8" t="s">
        <v>1723</v>
      </c>
      <c r="E3959" s="8" t="s">
        <v>1744</v>
      </c>
      <c r="F3959" s="23">
        <v>46054</v>
      </c>
      <c r="G3959" s="8" t="s">
        <v>1144</v>
      </c>
      <c r="H3959" s="23">
        <v>46122</v>
      </c>
      <c r="I3959" s="23">
        <v>46054</v>
      </c>
      <c r="J3959" s="10">
        <v>213.97</v>
      </c>
      <c r="K3959" s="10">
        <v>0</v>
      </c>
      <c r="L3959" s="24">
        <v>0</v>
      </c>
      <c r="M3959" s="10">
        <v>213.97</v>
      </c>
    </row>
    <row r="3960" spans="1:13" x14ac:dyDescent="0.25">
      <c r="A3960" s="12" t="str">
        <f t="shared" si="124"/>
        <v>IVA1622026SECRETARIA DE ADMINISTRAÇÃO DO GOVERNO DO ESTADO DE PERNAMBUCOIPV46054</v>
      </c>
      <c r="B3960" s="12" t="str">
        <f t="shared" si="123"/>
        <v>Maio</v>
      </c>
      <c r="C3960" s="8" t="s">
        <v>1157</v>
      </c>
      <c r="D3960" s="8" t="s">
        <v>1723</v>
      </c>
      <c r="E3960" s="8" t="s">
        <v>1744</v>
      </c>
      <c r="F3960" s="23">
        <v>46054</v>
      </c>
      <c r="G3960" s="8" t="s">
        <v>1144</v>
      </c>
      <c r="H3960" s="23">
        <v>46153</v>
      </c>
      <c r="I3960" s="23">
        <v>46054</v>
      </c>
      <c r="J3960" s="10">
        <v>213.97</v>
      </c>
      <c r="K3960" s="10">
        <v>0</v>
      </c>
      <c r="L3960" s="24">
        <v>0</v>
      </c>
      <c r="M3960" s="10">
        <v>213.97</v>
      </c>
    </row>
    <row r="3961" spans="1:13" x14ac:dyDescent="0.25">
      <c r="A3961" s="12" t="str">
        <f t="shared" si="124"/>
        <v>IVA1622026SECRETARIA DE ADMINISTRAÇÃO DO GOVERNO DO ESTADO DE PERNAMBUCOIPV46054</v>
      </c>
      <c r="B3961" s="12" t="str">
        <f t="shared" si="123"/>
        <v>Junho</v>
      </c>
      <c r="C3961" s="8" t="s">
        <v>1157</v>
      </c>
      <c r="D3961" s="8" t="s">
        <v>1723</v>
      </c>
      <c r="E3961" s="8" t="s">
        <v>1744</v>
      </c>
      <c r="F3961" s="23">
        <v>46054</v>
      </c>
      <c r="G3961" s="8" t="s">
        <v>1144</v>
      </c>
      <c r="H3961" s="23">
        <v>46183</v>
      </c>
      <c r="I3961" s="23">
        <v>46054</v>
      </c>
      <c r="J3961" s="10">
        <v>213.97</v>
      </c>
      <c r="K3961" s="10">
        <v>0</v>
      </c>
      <c r="L3961" s="24">
        <v>0</v>
      </c>
      <c r="M3961" s="10">
        <v>213.97</v>
      </c>
    </row>
    <row r="3962" spans="1:13" x14ac:dyDescent="0.25">
      <c r="A3962" s="12" t="str">
        <f t="shared" si="124"/>
        <v>IVA1622026SECRETARIA DE ADMINISTRAÇÃO DO GOVERNO DO ESTADO DE PERNAMBUCOIPV46054</v>
      </c>
      <c r="B3962" s="12" t="str">
        <f t="shared" si="123"/>
        <v>Julho</v>
      </c>
      <c r="C3962" s="8" t="s">
        <v>1157</v>
      </c>
      <c r="D3962" s="8" t="s">
        <v>1723</v>
      </c>
      <c r="E3962" s="8" t="s">
        <v>1744</v>
      </c>
      <c r="F3962" s="23">
        <v>46054</v>
      </c>
      <c r="G3962" s="8" t="s">
        <v>1144</v>
      </c>
      <c r="H3962" s="23">
        <v>46213</v>
      </c>
      <c r="I3962" s="23">
        <v>46054</v>
      </c>
      <c r="J3962" s="10">
        <v>213.97</v>
      </c>
      <c r="K3962" s="10">
        <v>0</v>
      </c>
      <c r="L3962" s="24">
        <v>0</v>
      </c>
      <c r="M3962" s="10">
        <v>213.97</v>
      </c>
    </row>
    <row r="3963" spans="1:13" x14ac:dyDescent="0.25">
      <c r="A3963" s="12" t="str">
        <f t="shared" si="124"/>
        <v>IVA1622026SECRETARIA DE ADMINISTRAÇÃO DO GOVERNO DO ESTADO DE PERNAMBUCOIPV46054</v>
      </c>
      <c r="B3963" s="12" t="str">
        <f t="shared" si="123"/>
        <v>Agosto</v>
      </c>
      <c r="C3963" s="8" t="s">
        <v>1157</v>
      </c>
      <c r="D3963" s="8" t="s">
        <v>1723</v>
      </c>
      <c r="E3963" s="8" t="s">
        <v>1744</v>
      </c>
      <c r="F3963" s="23">
        <v>46054</v>
      </c>
      <c r="G3963" s="8" t="s">
        <v>1144</v>
      </c>
      <c r="H3963" s="23">
        <v>46244</v>
      </c>
      <c r="I3963" s="23">
        <v>46054</v>
      </c>
      <c r="J3963" s="10">
        <v>213.97</v>
      </c>
      <c r="K3963" s="10">
        <v>0</v>
      </c>
      <c r="L3963" s="24">
        <v>0</v>
      </c>
      <c r="M3963" s="10">
        <v>213.97</v>
      </c>
    </row>
    <row r="3964" spans="1:13" x14ac:dyDescent="0.25">
      <c r="A3964" s="12" t="str">
        <f t="shared" si="124"/>
        <v>IVA1622026SECRETARIA DE ADMINISTRAÇÃO DO GOVERNO DO ESTADO DE PERNAMBUCOIPV46054</v>
      </c>
      <c r="B3964" s="12" t="str">
        <f t="shared" si="123"/>
        <v>Setembro</v>
      </c>
      <c r="C3964" s="8" t="s">
        <v>1157</v>
      </c>
      <c r="D3964" s="8" t="s">
        <v>1723</v>
      </c>
      <c r="E3964" s="8" t="s">
        <v>1744</v>
      </c>
      <c r="F3964" s="23">
        <v>46054</v>
      </c>
      <c r="G3964" s="8" t="s">
        <v>1144</v>
      </c>
      <c r="H3964" s="23">
        <v>46275</v>
      </c>
      <c r="I3964" s="23">
        <v>46054</v>
      </c>
      <c r="J3964" s="10">
        <v>213.97</v>
      </c>
      <c r="K3964" s="10">
        <v>0</v>
      </c>
      <c r="L3964" s="24">
        <v>0</v>
      </c>
      <c r="M3964" s="10">
        <v>213.97</v>
      </c>
    </row>
    <row r="3965" spans="1:13" x14ac:dyDescent="0.25">
      <c r="A3965" s="12" t="str">
        <f t="shared" si="124"/>
        <v>IVA1642026SECRETARIA DE ADMINISTRAÇÃO DO GOVERNO DO ESTADO DE PERNAMBUCOIPV46054</v>
      </c>
      <c r="B3965" s="12" t="str">
        <f t="shared" si="123"/>
        <v>Fevereiro</v>
      </c>
      <c r="C3965" s="8" t="s">
        <v>1217</v>
      </c>
      <c r="D3965" s="8" t="s">
        <v>1723</v>
      </c>
      <c r="E3965" s="8" t="s">
        <v>1744</v>
      </c>
      <c r="F3965" s="23">
        <v>46054</v>
      </c>
      <c r="G3965" s="8" t="s">
        <v>1144</v>
      </c>
      <c r="H3965" s="23">
        <v>46072</v>
      </c>
      <c r="I3965" s="23">
        <v>46054</v>
      </c>
      <c r="J3965" s="10">
        <v>213.97</v>
      </c>
      <c r="K3965" s="10">
        <v>0</v>
      </c>
      <c r="L3965" s="24">
        <v>0</v>
      </c>
      <c r="M3965" s="10">
        <v>213.97</v>
      </c>
    </row>
    <row r="3966" spans="1:13" x14ac:dyDescent="0.25">
      <c r="A3966" s="12" t="str">
        <f t="shared" si="124"/>
        <v>IVA1642026SECRETARIA DE ADMINISTRAÇÃO DO GOVERNO DO ESTADO DE PERNAMBUCOIPV46054</v>
      </c>
      <c r="B3966" s="12" t="str">
        <f t="shared" si="123"/>
        <v>Março</v>
      </c>
      <c r="C3966" s="8" t="s">
        <v>1217</v>
      </c>
      <c r="D3966" s="8" t="s">
        <v>1723</v>
      </c>
      <c r="E3966" s="8" t="s">
        <v>1744</v>
      </c>
      <c r="F3966" s="23">
        <v>46054</v>
      </c>
      <c r="G3966" s="8" t="s">
        <v>1144</v>
      </c>
      <c r="H3966" s="23">
        <v>46097</v>
      </c>
      <c r="I3966" s="23">
        <v>46054</v>
      </c>
      <c r="J3966" s="10">
        <v>213.97</v>
      </c>
      <c r="K3966" s="10">
        <v>0</v>
      </c>
      <c r="L3966" s="24">
        <v>0</v>
      </c>
      <c r="M3966" s="10">
        <v>213.97</v>
      </c>
    </row>
    <row r="3967" spans="1:13" x14ac:dyDescent="0.25">
      <c r="A3967" s="12" t="str">
        <f t="shared" si="124"/>
        <v>IVA1642026SECRETARIA DE ADMINISTRAÇÃO DO GOVERNO DO ESTADO DE PERNAMBUCOIPV46054</v>
      </c>
      <c r="B3967" s="12" t="str">
        <f t="shared" si="123"/>
        <v>Abril</v>
      </c>
      <c r="C3967" s="8" t="s">
        <v>1217</v>
      </c>
      <c r="D3967" s="8" t="s">
        <v>1723</v>
      </c>
      <c r="E3967" s="8" t="s">
        <v>1744</v>
      </c>
      <c r="F3967" s="23">
        <v>46054</v>
      </c>
      <c r="G3967" s="8" t="s">
        <v>1144</v>
      </c>
      <c r="H3967" s="23">
        <v>46127</v>
      </c>
      <c r="I3967" s="23">
        <v>46054</v>
      </c>
      <c r="J3967" s="10">
        <v>213.97</v>
      </c>
      <c r="K3967" s="10">
        <v>0</v>
      </c>
      <c r="L3967" s="24">
        <v>0</v>
      </c>
      <c r="M3967" s="10">
        <v>213.97</v>
      </c>
    </row>
    <row r="3968" spans="1:13" x14ac:dyDescent="0.25">
      <c r="A3968" s="12" t="str">
        <f t="shared" si="124"/>
        <v>IVA1642026SECRETARIA DE ADMINISTRAÇÃO DO GOVERNO DO ESTADO DE PERNAMBUCOIPV46054</v>
      </c>
      <c r="B3968" s="12" t="str">
        <f t="shared" si="123"/>
        <v>Maio</v>
      </c>
      <c r="C3968" s="8" t="s">
        <v>1217</v>
      </c>
      <c r="D3968" s="8" t="s">
        <v>1723</v>
      </c>
      <c r="E3968" s="8" t="s">
        <v>1744</v>
      </c>
      <c r="F3968" s="23">
        <v>46054</v>
      </c>
      <c r="G3968" s="8" t="s">
        <v>1144</v>
      </c>
      <c r="H3968" s="23">
        <v>46157</v>
      </c>
      <c r="I3968" s="23">
        <v>46054</v>
      </c>
      <c r="J3968" s="10">
        <v>213.97</v>
      </c>
      <c r="K3968" s="10">
        <v>0</v>
      </c>
      <c r="L3968" s="24">
        <v>0</v>
      </c>
      <c r="M3968" s="10">
        <v>213.97</v>
      </c>
    </row>
    <row r="3969" spans="1:13" x14ac:dyDescent="0.25">
      <c r="A3969" s="12" t="str">
        <f t="shared" si="124"/>
        <v>IVA1642026SECRETARIA DE ADMINISTRAÇÃO DO GOVERNO DO ESTADO DE PERNAMBUCOIPV46054</v>
      </c>
      <c r="B3969" s="12" t="str">
        <f t="shared" si="123"/>
        <v>Junho</v>
      </c>
      <c r="C3969" s="8" t="s">
        <v>1217</v>
      </c>
      <c r="D3969" s="8" t="s">
        <v>1723</v>
      </c>
      <c r="E3969" s="8" t="s">
        <v>1744</v>
      </c>
      <c r="F3969" s="23">
        <v>46054</v>
      </c>
      <c r="G3969" s="8" t="s">
        <v>1144</v>
      </c>
      <c r="H3969" s="23">
        <v>46188</v>
      </c>
      <c r="I3969" s="23">
        <v>46054</v>
      </c>
      <c r="J3969" s="10">
        <v>213.97</v>
      </c>
      <c r="K3969" s="10">
        <v>0</v>
      </c>
      <c r="L3969" s="24">
        <v>0</v>
      </c>
      <c r="M3969" s="10">
        <v>213.97</v>
      </c>
    </row>
    <row r="3970" spans="1:13" x14ac:dyDescent="0.25">
      <c r="A3970" s="12" t="str">
        <f t="shared" si="124"/>
        <v>IVA1642026SECRETARIA DE ADMINISTRAÇÃO DO GOVERNO DO ESTADO DE PERNAMBUCOIPV46054</v>
      </c>
      <c r="B3970" s="12" t="str">
        <f t="shared" si="123"/>
        <v>Julho</v>
      </c>
      <c r="C3970" s="8" t="s">
        <v>1217</v>
      </c>
      <c r="D3970" s="8" t="s">
        <v>1723</v>
      </c>
      <c r="E3970" s="8" t="s">
        <v>1744</v>
      </c>
      <c r="F3970" s="23">
        <v>46054</v>
      </c>
      <c r="G3970" s="8" t="s">
        <v>1144</v>
      </c>
      <c r="H3970" s="23">
        <v>46218</v>
      </c>
      <c r="I3970" s="23">
        <v>46054</v>
      </c>
      <c r="J3970" s="10">
        <v>213.97</v>
      </c>
      <c r="K3970" s="10">
        <v>0</v>
      </c>
      <c r="L3970" s="24">
        <v>0</v>
      </c>
      <c r="M3970" s="10">
        <v>213.97</v>
      </c>
    </row>
    <row r="3971" spans="1:13" x14ac:dyDescent="0.25">
      <c r="A3971" s="12" t="str">
        <f t="shared" si="124"/>
        <v>IVA1642026SECRETARIA DE ADMINISTRAÇÃO DO GOVERNO DO ESTADO DE PERNAMBUCOIPV46054</v>
      </c>
      <c r="B3971" s="12" t="str">
        <f t="shared" ref="B3971:B4034" si="125">PROPER(TEXT($H3971,"MMMM"))</f>
        <v>Agosto</v>
      </c>
      <c r="C3971" s="8" t="s">
        <v>1217</v>
      </c>
      <c r="D3971" s="8" t="s">
        <v>1723</v>
      </c>
      <c r="E3971" s="8" t="s">
        <v>1744</v>
      </c>
      <c r="F3971" s="23">
        <v>46054</v>
      </c>
      <c r="G3971" s="8" t="s">
        <v>1144</v>
      </c>
      <c r="H3971" s="23">
        <v>46251</v>
      </c>
      <c r="I3971" s="23">
        <v>46054</v>
      </c>
      <c r="J3971" s="10">
        <v>213.97</v>
      </c>
      <c r="K3971" s="10">
        <v>0</v>
      </c>
      <c r="L3971" s="24">
        <v>0</v>
      </c>
      <c r="M3971" s="10">
        <v>213.97</v>
      </c>
    </row>
    <row r="3972" spans="1:13" x14ac:dyDescent="0.25">
      <c r="A3972" s="12" t="str">
        <f t="shared" si="124"/>
        <v>IVA1642026SECRETARIA DE ADMINISTRAÇÃO DO GOVERNO DO ESTADO DE PERNAMBUCOIPV46054</v>
      </c>
      <c r="B3972" s="12" t="str">
        <f t="shared" si="125"/>
        <v>Setembro</v>
      </c>
      <c r="C3972" s="8" t="s">
        <v>1217</v>
      </c>
      <c r="D3972" s="8" t="s">
        <v>1723</v>
      </c>
      <c r="E3972" s="8" t="s">
        <v>1744</v>
      </c>
      <c r="F3972" s="23">
        <v>46054</v>
      </c>
      <c r="G3972" s="8" t="s">
        <v>1144</v>
      </c>
      <c r="H3972" s="23">
        <v>46280</v>
      </c>
      <c r="I3972" s="23">
        <v>46054</v>
      </c>
      <c r="J3972" s="10">
        <v>213.97</v>
      </c>
      <c r="K3972" s="10">
        <v>0</v>
      </c>
      <c r="L3972" s="24">
        <v>0</v>
      </c>
      <c r="M3972" s="10">
        <v>213.97</v>
      </c>
    </row>
    <row r="3973" spans="1:13" x14ac:dyDescent="0.25">
      <c r="A3973" s="12" t="str">
        <f t="shared" si="124"/>
        <v>IVA1652026SECRETARIA DE ADMINISTRAÇÃO DO GOVERNO DO ESTADO DE PERNAMBUCOIPV46054</v>
      </c>
      <c r="B3973" s="12" t="str">
        <f t="shared" si="125"/>
        <v>Fevereiro</v>
      </c>
      <c r="C3973" s="8" t="s">
        <v>1158</v>
      </c>
      <c r="D3973" s="8" t="s">
        <v>1723</v>
      </c>
      <c r="E3973" s="8" t="s">
        <v>1744</v>
      </c>
      <c r="F3973" s="23">
        <v>46054</v>
      </c>
      <c r="G3973" s="8" t="s">
        <v>1144</v>
      </c>
      <c r="H3973" s="23">
        <v>46063</v>
      </c>
      <c r="I3973" s="23">
        <v>46054</v>
      </c>
      <c r="J3973" s="10">
        <v>213.97</v>
      </c>
      <c r="K3973" s="10">
        <v>0</v>
      </c>
      <c r="L3973" s="24">
        <v>0</v>
      </c>
      <c r="M3973" s="10">
        <v>213.97</v>
      </c>
    </row>
    <row r="3974" spans="1:13" x14ac:dyDescent="0.25">
      <c r="A3974" s="12" t="str">
        <f t="shared" si="124"/>
        <v>IVA1652026SECRETARIA DE ADMINISTRAÇÃO DO GOVERNO DO ESTADO DE PERNAMBUCOIPV46054</v>
      </c>
      <c r="B3974" s="12" t="str">
        <f t="shared" si="125"/>
        <v>Março</v>
      </c>
      <c r="C3974" s="8" t="s">
        <v>1158</v>
      </c>
      <c r="D3974" s="8" t="s">
        <v>1723</v>
      </c>
      <c r="E3974" s="8" t="s">
        <v>1744</v>
      </c>
      <c r="F3974" s="23">
        <v>46054</v>
      </c>
      <c r="G3974" s="8" t="s">
        <v>1144</v>
      </c>
      <c r="H3974" s="23">
        <v>46091</v>
      </c>
      <c r="I3974" s="23">
        <v>46054</v>
      </c>
      <c r="J3974" s="10">
        <v>213.97</v>
      </c>
      <c r="K3974" s="10">
        <v>0</v>
      </c>
      <c r="L3974" s="24">
        <v>0</v>
      </c>
      <c r="M3974" s="10">
        <v>213.97</v>
      </c>
    </row>
    <row r="3975" spans="1:13" x14ac:dyDescent="0.25">
      <c r="A3975" s="12" t="str">
        <f t="shared" si="124"/>
        <v>IVA1652026SECRETARIA DE ADMINISTRAÇÃO DO GOVERNO DO ESTADO DE PERNAMBUCOIPV46054</v>
      </c>
      <c r="B3975" s="12" t="str">
        <f t="shared" si="125"/>
        <v>Abril</v>
      </c>
      <c r="C3975" s="8" t="s">
        <v>1158</v>
      </c>
      <c r="D3975" s="8" t="s">
        <v>1723</v>
      </c>
      <c r="E3975" s="8" t="s">
        <v>1744</v>
      </c>
      <c r="F3975" s="23">
        <v>46054</v>
      </c>
      <c r="G3975" s="8" t="s">
        <v>1144</v>
      </c>
      <c r="H3975" s="23">
        <v>46122</v>
      </c>
      <c r="I3975" s="23">
        <v>46054</v>
      </c>
      <c r="J3975" s="10">
        <v>213.97</v>
      </c>
      <c r="K3975" s="10">
        <v>0</v>
      </c>
      <c r="L3975" s="24">
        <v>0</v>
      </c>
      <c r="M3975" s="10">
        <v>213.97</v>
      </c>
    </row>
    <row r="3976" spans="1:13" x14ac:dyDescent="0.25">
      <c r="A3976" s="12" t="str">
        <f t="shared" si="124"/>
        <v>IVA1652026SECRETARIA DE ADMINISTRAÇÃO DO GOVERNO DO ESTADO DE PERNAMBUCOIPV46054</v>
      </c>
      <c r="B3976" s="12" t="str">
        <f t="shared" si="125"/>
        <v>Maio</v>
      </c>
      <c r="C3976" s="8" t="s">
        <v>1158</v>
      </c>
      <c r="D3976" s="8" t="s">
        <v>1723</v>
      </c>
      <c r="E3976" s="8" t="s">
        <v>1744</v>
      </c>
      <c r="F3976" s="23">
        <v>46054</v>
      </c>
      <c r="G3976" s="8" t="s">
        <v>1144</v>
      </c>
      <c r="H3976" s="23">
        <v>46153</v>
      </c>
      <c r="I3976" s="23">
        <v>46054</v>
      </c>
      <c r="J3976" s="10">
        <v>213.97</v>
      </c>
      <c r="K3976" s="10">
        <v>0</v>
      </c>
      <c r="L3976" s="24">
        <v>0</v>
      </c>
      <c r="M3976" s="10">
        <v>213.97</v>
      </c>
    </row>
    <row r="3977" spans="1:13" x14ac:dyDescent="0.25">
      <c r="A3977" s="12" t="str">
        <f t="shared" si="124"/>
        <v>IVA1652026SECRETARIA DE ADMINISTRAÇÃO DO GOVERNO DO ESTADO DE PERNAMBUCOIPV46054</v>
      </c>
      <c r="B3977" s="12" t="str">
        <f t="shared" si="125"/>
        <v>Junho</v>
      </c>
      <c r="C3977" s="8" t="s">
        <v>1158</v>
      </c>
      <c r="D3977" s="8" t="s">
        <v>1723</v>
      </c>
      <c r="E3977" s="8" t="s">
        <v>1744</v>
      </c>
      <c r="F3977" s="23">
        <v>46054</v>
      </c>
      <c r="G3977" s="8" t="s">
        <v>1144</v>
      </c>
      <c r="H3977" s="23">
        <v>46183</v>
      </c>
      <c r="I3977" s="23">
        <v>46054</v>
      </c>
      <c r="J3977" s="10">
        <v>213.97</v>
      </c>
      <c r="K3977" s="10">
        <v>0</v>
      </c>
      <c r="L3977" s="24">
        <v>0</v>
      </c>
      <c r="M3977" s="10">
        <v>213.97</v>
      </c>
    </row>
    <row r="3978" spans="1:13" x14ac:dyDescent="0.25">
      <c r="A3978" s="12" t="str">
        <f t="shared" si="124"/>
        <v>IVA1652026SECRETARIA DE ADMINISTRAÇÃO DO GOVERNO DO ESTADO DE PERNAMBUCOIPV46054</v>
      </c>
      <c r="B3978" s="12" t="str">
        <f t="shared" si="125"/>
        <v>Julho</v>
      </c>
      <c r="C3978" s="8" t="s">
        <v>1158</v>
      </c>
      <c r="D3978" s="8" t="s">
        <v>1723</v>
      </c>
      <c r="E3978" s="8" t="s">
        <v>1744</v>
      </c>
      <c r="F3978" s="23">
        <v>46054</v>
      </c>
      <c r="G3978" s="8" t="s">
        <v>1144</v>
      </c>
      <c r="H3978" s="23">
        <v>46213</v>
      </c>
      <c r="I3978" s="23">
        <v>46054</v>
      </c>
      <c r="J3978" s="10">
        <v>213.97</v>
      </c>
      <c r="K3978" s="10">
        <v>0</v>
      </c>
      <c r="L3978" s="24">
        <v>0</v>
      </c>
      <c r="M3978" s="10">
        <v>213.97</v>
      </c>
    </row>
    <row r="3979" spans="1:13" x14ac:dyDescent="0.25">
      <c r="A3979" s="12" t="str">
        <f t="shared" si="124"/>
        <v>IVA1652026SECRETARIA DE ADMINISTRAÇÃO DO GOVERNO DO ESTADO DE PERNAMBUCOIPV46054</v>
      </c>
      <c r="B3979" s="12" t="str">
        <f t="shared" si="125"/>
        <v>Agosto</v>
      </c>
      <c r="C3979" s="8" t="s">
        <v>1158</v>
      </c>
      <c r="D3979" s="8" t="s">
        <v>1723</v>
      </c>
      <c r="E3979" s="8" t="s">
        <v>1744</v>
      </c>
      <c r="F3979" s="23">
        <v>46054</v>
      </c>
      <c r="G3979" s="8" t="s">
        <v>1144</v>
      </c>
      <c r="H3979" s="23">
        <v>46244</v>
      </c>
      <c r="I3979" s="23">
        <v>46054</v>
      </c>
      <c r="J3979" s="10">
        <v>213.97</v>
      </c>
      <c r="K3979" s="10">
        <v>0</v>
      </c>
      <c r="L3979" s="24">
        <v>0</v>
      </c>
      <c r="M3979" s="10">
        <v>213.97</v>
      </c>
    </row>
    <row r="3980" spans="1:13" x14ac:dyDescent="0.25">
      <c r="A3980" s="12" t="str">
        <f t="shared" si="124"/>
        <v>IVA1652026SECRETARIA DE ADMINISTRAÇÃO DO GOVERNO DO ESTADO DE PERNAMBUCOIPV46054</v>
      </c>
      <c r="B3980" s="12" t="str">
        <f t="shared" si="125"/>
        <v>Setembro</v>
      </c>
      <c r="C3980" s="8" t="s">
        <v>1158</v>
      </c>
      <c r="D3980" s="8" t="s">
        <v>1723</v>
      </c>
      <c r="E3980" s="8" t="s">
        <v>1744</v>
      </c>
      <c r="F3980" s="23">
        <v>46054</v>
      </c>
      <c r="G3980" s="8" t="s">
        <v>1144</v>
      </c>
      <c r="H3980" s="23">
        <v>46275</v>
      </c>
      <c r="I3980" s="23">
        <v>46054</v>
      </c>
      <c r="J3980" s="10">
        <v>213.97</v>
      </c>
      <c r="K3980" s="10">
        <v>0</v>
      </c>
      <c r="L3980" s="24">
        <v>0</v>
      </c>
      <c r="M3980" s="10">
        <v>213.97</v>
      </c>
    </row>
    <row r="3981" spans="1:13" x14ac:dyDescent="0.25">
      <c r="A3981" s="12" t="str">
        <f t="shared" si="124"/>
        <v>IVA1662026SECRETARIA DE ADMINISTRAÇÃO DO GOVERNO DO ESTADO DE PERNAMBUCOIPV46055</v>
      </c>
      <c r="B3981" s="12" t="str">
        <f t="shared" si="125"/>
        <v>Fevereiro</v>
      </c>
      <c r="C3981" s="8" t="s">
        <v>1159</v>
      </c>
      <c r="D3981" s="8" t="s">
        <v>1723</v>
      </c>
      <c r="E3981" s="8" t="s">
        <v>1744</v>
      </c>
      <c r="F3981" s="23">
        <v>46055</v>
      </c>
      <c r="G3981" s="8" t="s">
        <v>1144</v>
      </c>
      <c r="H3981" s="23">
        <v>46063</v>
      </c>
      <c r="I3981" s="23">
        <v>46055</v>
      </c>
      <c r="J3981" s="10">
        <v>213.97</v>
      </c>
      <c r="K3981" s="10">
        <v>0</v>
      </c>
      <c r="L3981" s="24">
        <v>0</v>
      </c>
      <c r="M3981" s="10">
        <v>213.97</v>
      </c>
    </row>
    <row r="3982" spans="1:13" x14ac:dyDescent="0.25">
      <c r="A3982" s="12" t="str">
        <f t="shared" si="124"/>
        <v>IVA1662026SECRETARIA DE ADMINISTRAÇÃO DO GOVERNO DO ESTADO DE PERNAMBUCOIPV46055</v>
      </c>
      <c r="B3982" s="12" t="str">
        <f t="shared" si="125"/>
        <v>Março</v>
      </c>
      <c r="C3982" s="8" t="s">
        <v>1159</v>
      </c>
      <c r="D3982" s="8" t="s">
        <v>1723</v>
      </c>
      <c r="E3982" s="8" t="s">
        <v>1744</v>
      </c>
      <c r="F3982" s="23">
        <v>46055</v>
      </c>
      <c r="G3982" s="8" t="s">
        <v>1144</v>
      </c>
      <c r="H3982" s="23">
        <v>46091</v>
      </c>
      <c r="I3982" s="23">
        <v>46055</v>
      </c>
      <c r="J3982" s="10">
        <v>213.97</v>
      </c>
      <c r="K3982" s="10">
        <v>0</v>
      </c>
      <c r="L3982" s="24">
        <v>0</v>
      </c>
      <c r="M3982" s="10">
        <v>213.97</v>
      </c>
    </row>
    <row r="3983" spans="1:13" x14ac:dyDescent="0.25">
      <c r="A3983" s="12" t="str">
        <f t="shared" si="124"/>
        <v>IVA1662026SECRETARIA DE ADMINISTRAÇÃO DO GOVERNO DO ESTADO DE PERNAMBUCOIPV46055</v>
      </c>
      <c r="B3983" s="12" t="str">
        <f t="shared" si="125"/>
        <v>Abril</v>
      </c>
      <c r="C3983" s="8" t="s">
        <v>1159</v>
      </c>
      <c r="D3983" s="8" t="s">
        <v>1723</v>
      </c>
      <c r="E3983" s="8" t="s">
        <v>1744</v>
      </c>
      <c r="F3983" s="23">
        <v>46055</v>
      </c>
      <c r="G3983" s="8" t="s">
        <v>1144</v>
      </c>
      <c r="H3983" s="23">
        <v>46122</v>
      </c>
      <c r="I3983" s="23">
        <v>46055</v>
      </c>
      <c r="J3983" s="10">
        <v>213.97</v>
      </c>
      <c r="K3983" s="10">
        <v>0</v>
      </c>
      <c r="L3983" s="24">
        <v>0</v>
      </c>
      <c r="M3983" s="10">
        <v>213.97</v>
      </c>
    </row>
    <row r="3984" spans="1:13" x14ac:dyDescent="0.25">
      <c r="A3984" s="12" t="str">
        <f t="shared" si="124"/>
        <v>IVA1662026SECRETARIA DE ADMINISTRAÇÃO DO GOVERNO DO ESTADO DE PERNAMBUCOIPV46055</v>
      </c>
      <c r="B3984" s="12" t="str">
        <f t="shared" si="125"/>
        <v>Maio</v>
      </c>
      <c r="C3984" s="8" t="s">
        <v>1159</v>
      </c>
      <c r="D3984" s="8" t="s">
        <v>1723</v>
      </c>
      <c r="E3984" s="8" t="s">
        <v>1744</v>
      </c>
      <c r="F3984" s="23">
        <v>46055</v>
      </c>
      <c r="G3984" s="8" t="s">
        <v>1144</v>
      </c>
      <c r="H3984" s="23">
        <v>46153</v>
      </c>
      <c r="I3984" s="23">
        <v>46055</v>
      </c>
      <c r="J3984" s="10">
        <v>213.97</v>
      </c>
      <c r="K3984" s="10">
        <v>0</v>
      </c>
      <c r="L3984" s="24">
        <v>0</v>
      </c>
      <c r="M3984" s="10">
        <v>213.97</v>
      </c>
    </row>
    <row r="3985" spans="1:13" x14ac:dyDescent="0.25">
      <c r="A3985" s="12" t="str">
        <f t="shared" si="124"/>
        <v>IVA1662026SECRETARIA DE ADMINISTRAÇÃO DO GOVERNO DO ESTADO DE PERNAMBUCOIPV46055</v>
      </c>
      <c r="B3985" s="12" t="str">
        <f t="shared" si="125"/>
        <v>Junho</v>
      </c>
      <c r="C3985" s="8" t="s">
        <v>1159</v>
      </c>
      <c r="D3985" s="8" t="s">
        <v>1723</v>
      </c>
      <c r="E3985" s="8" t="s">
        <v>1744</v>
      </c>
      <c r="F3985" s="23">
        <v>46055</v>
      </c>
      <c r="G3985" s="8" t="s">
        <v>1144</v>
      </c>
      <c r="H3985" s="23">
        <v>46183</v>
      </c>
      <c r="I3985" s="23">
        <v>46055</v>
      </c>
      <c r="J3985" s="10">
        <v>213.97</v>
      </c>
      <c r="K3985" s="10">
        <v>0</v>
      </c>
      <c r="L3985" s="24">
        <v>0</v>
      </c>
      <c r="M3985" s="10">
        <v>213.97</v>
      </c>
    </row>
    <row r="3986" spans="1:13" x14ac:dyDescent="0.25">
      <c r="A3986" s="12" t="str">
        <f t="shared" si="124"/>
        <v>IVA1662026SECRETARIA DE ADMINISTRAÇÃO DO GOVERNO DO ESTADO DE PERNAMBUCOIPV46055</v>
      </c>
      <c r="B3986" s="12" t="str">
        <f t="shared" si="125"/>
        <v>Julho</v>
      </c>
      <c r="C3986" s="8" t="s">
        <v>1159</v>
      </c>
      <c r="D3986" s="8" t="s">
        <v>1723</v>
      </c>
      <c r="E3986" s="8" t="s">
        <v>1744</v>
      </c>
      <c r="F3986" s="23">
        <v>46055</v>
      </c>
      <c r="G3986" s="8" t="s">
        <v>1144</v>
      </c>
      <c r="H3986" s="23">
        <v>46213</v>
      </c>
      <c r="I3986" s="23">
        <v>46055</v>
      </c>
      <c r="J3986" s="10">
        <v>213.97</v>
      </c>
      <c r="K3986" s="10">
        <v>0</v>
      </c>
      <c r="L3986" s="24">
        <v>0</v>
      </c>
      <c r="M3986" s="10">
        <v>213.97</v>
      </c>
    </row>
    <row r="3987" spans="1:13" x14ac:dyDescent="0.25">
      <c r="A3987" s="12" t="str">
        <f t="shared" si="124"/>
        <v>IVA1662026SECRETARIA DE ADMINISTRAÇÃO DO GOVERNO DO ESTADO DE PERNAMBUCOIPV46055</v>
      </c>
      <c r="B3987" s="12" t="str">
        <f t="shared" si="125"/>
        <v>Agosto</v>
      </c>
      <c r="C3987" s="8" t="s">
        <v>1159</v>
      </c>
      <c r="D3987" s="8" t="s">
        <v>1723</v>
      </c>
      <c r="E3987" s="8" t="s">
        <v>1744</v>
      </c>
      <c r="F3987" s="23">
        <v>46055</v>
      </c>
      <c r="G3987" s="8" t="s">
        <v>1144</v>
      </c>
      <c r="H3987" s="23">
        <v>46244</v>
      </c>
      <c r="I3987" s="23">
        <v>46055</v>
      </c>
      <c r="J3987" s="10">
        <v>213.97</v>
      </c>
      <c r="K3987" s="10">
        <v>0</v>
      </c>
      <c r="L3987" s="24">
        <v>0</v>
      </c>
      <c r="M3987" s="10">
        <v>213.97</v>
      </c>
    </row>
    <row r="3988" spans="1:13" x14ac:dyDescent="0.25">
      <c r="A3988" s="12" t="str">
        <f t="shared" si="124"/>
        <v>IVA1662026SECRETARIA DE ADMINISTRAÇÃO DO GOVERNO DO ESTADO DE PERNAMBUCOIPV46055</v>
      </c>
      <c r="B3988" s="12" t="str">
        <f t="shared" si="125"/>
        <v>Setembro</v>
      </c>
      <c r="C3988" s="8" t="s">
        <v>1159</v>
      </c>
      <c r="D3988" s="8" t="s">
        <v>1723</v>
      </c>
      <c r="E3988" s="8" t="s">
        <v>1744</v>
      </c>
      <c r="F3988" s="23">
        <v>46055</v>
      </c>
      <c r="G3988" s="8" t="s">
        <v>1144</v>
      </c>
      <c r="H3988" s="23">
        <v>46275</v>
      </c>
      <c r="I3988" s="23">
        <v>46055</v>
      </c>
      <c r="J3988" s="10">
        <v>213.97</v>
      </c>
      <c r="K3988" s="10">
        <v>0</v>
      </c>
      <c r="L3988" s="24">
        <v>0</v>
      </c>
      <c r="M3988" s="10">
        <v>213.97</v>
      </c>
    </row>
    <row r="3989" spans="1:13" x14ac:dyDescent="0.25">
      <c r="A3989" s="12" t="str">
        <f t="shared" si="124"/>
        <v>IVA1672026SECRETARIA DE ADMINISTRAÇÃO DO GOVERNO DO ESTADO DE PERNAMBUCOIPV46054</v>
      </c>
      <c r="B3989" s="12" t="str">
        <f t="shared" si="125"/>
        <v>Fevereiro</v>
      </c>
      <c r="C3989" s="8" t="s">
        <v>1218</v>
      </c>
      <c r="D3989" s="8" t="s">
        <v>1723</v>
      </c>
      <c r="E3989" s="8" t="s">
        <v>1744</v>
      </c>
      <c r="F3989" s="23">
        <v>46054</v>
      </c>
      <c r="G3989" s="8" t="s">
        <v>1144</v>
      </c>
      <c r="H3989" s="23">
        <v>46072</v>
      </c>
      <c r="I3989" s="23">
        <v>46054</v>
      </c>
      <c r="J3989" s="10">
        <v>213.97</v>
      </c>
      <c r="K3989" s="10">
        <v>0</v>
      </c>
      <c r="L3989" s="24">
        <v>0</v>
      </c>
      <c r="M3989" s="10">
        <v>213.97</v>
      </c>
    </row>
    <row r="3990" spans="1:13" x14ac:dyDescent="0.25">
      <c r="A3990" s="12" t="str">
        <f t="shared" si="124"/>
        <v>IVA1672026SECRETARIA DE ADMINISTRAÇÃO DO GOVERNO DO ESTADO DE PERNAMBUCOIPV46054</v>
      </c>
      <c r="B3990" s="12" t="str">
        <f t="shared" si="125"/>
        <v>Março</v>
      </c>
      <c r="C3990" s="8" t="s">
        <v>1218</v>
      </c>
      <c r="D3990" s="8" t="s">
        <v>1723</v>
      </c>
      <c r="E3990" s="8" t="s">
        <v>1744</v>
      </c>
      <c r="F3990" s="23">
        <v>46054</v>
      </c>
      <c r="G3990" s="8" t="s">
        <v>1144</v>
      </c>
      <c r="H3990" s="23">
        <v>46097</v>
      </c>
      <c r="I3990" s="23">
        <v>46054</v>
      </c>
      <c r="J3990" s="10">
        <v>213.97</v>
      </c>
      <c r="K3990" s="10">
        <v>0</v>
      </c>
      <c r="L3990" s="24">
        <v>0</v>
      </c>
      <c r="M3990" s="10">
        <v>213.97</v>
      </c>
    </row>
    <row r="3991" spans="1:13" x14ac:dyDescent="0.25">
      <c r="A3991" s="12" t="str">
        <f t="shared" si="124"/>
        <v>IVA1672026SECRETARIA DE ADMINISTRAÇÃO DO GOVERNO DO ESTADO DE PERNAMBUCOIPV46054</v>
      </c>
      <c r="B3991" s="12" t="str">
        <f t="shared" si="125"/>
        <v>Abril</v>
      </c>
      <c r="C3991" s="8" t="s">
        <v>1218</v>
      </c>
      <c r="D3991" s="8" t="s">
        <v>1723</v>
      </c>
      <c r="E3991" s="8" t="s">
        <v>1744</v>
      </c>
      <c r="F3991" s="23">
        <v>46054</v>
      </c>
      <c r="G3991" s="8" t="s">
        <v>1144</v>
      </c>
      <c r="H3991" s="23">
        <v>46127</v>
      </c>
      <c r="I3991" s="23">
        <v>46054</v>
      </c>
      <c r="J3991" s="10">
        <v>213.97</v>
      </c>
      <c r="K3991" s="10">
        <v>0</v>
      </c>
      <c r="L3991" s="24">
        <v>0</v>
      </c>
      <c r="M3991" s="10">
        <v>213.97</v>
      </c>
    </row>
    <row r="3992" spans="1:13" x14ac:dyDescent="0.25">
      <c r="A3992" s="12" t="str">
        <f t="shared" si="124"/>
        <v>IVA1672026SECRETARIA DE ADMINISTRAÇÃO DO GOVERNO DO ESTADO DE PERNAMBUCOIPV46054</v>
      </c>
      <c r="B3992" s="12" t="str">
        <f t="shared" si="125"/>
        <v>Maio</v>
      </c>
      <c r="C3992" s="8" t="s">
        <v>1218</v>
      </c>
      <c r="D3992" s="8" t="s">
        <v>1723</v>
      </c>
      <c r="E3992" s="8" t="s">
        <v>1744</v>
      </c>
      <c r="F3992" s="23">
        <v>46054</v>
      </c>
      <c r="G3992" s="8" t="s">
        <v>1144</v>
      </c>
      <c r="H3992" s="23">
        <v>46157</v>
      </c>
      <c r="I3992" s="23">
        <v>46054</v>
      </c>
      <c r="J3992" s="10">
        <v>213.97</v>
      </c>
      <c r="K3992" s="10">
        <v>0</v>
      </c>
      <c r="L3992" s="24">
        <v>0</v>
      </c>
      <c r="M3992" s="10">
        <v>213.97</v>
      </c>
    </row>
    <row r="3993" spans="1:13" x14ac:dyDescent="0.25">
      <c r="A3993" s="12" t="str">
        <f t="shared" si="124"/>
        <v>IVA1672026SECRETARIA DE ADMINISTRAÇÃO DO GOVERNO DO ESTADO DE PERNAMBUCOIPV46054</v>
      </c>
      <c r="B3993" s="12" t="str">
        <f t="shared" si="125"/>
        <v>Junho</v>
      </c>
      <c r="C3993" s="8" t="s">
        <v>1218</v>
      </c>
      <c r="D3993" s="8" t="s">
        <v>1723</v>
      </c>
      <c r="E3993" s="8" t="s">
        <v>1744</v>
      </c>
      <c r="F3993" s="23">
        <v>46054</v>
      </c>
      <c r="G3993" s="8" t="s">
        <v>1144</v>
      </c>
      <c r="H3993" s="23">
        <v>46188</v>
      </c>
      <c r="I3993" s="23">
        <v>46054</v>
      </c>
      <c r="J3993" s="10">
        <v>213.97</v>
      </c>
      <c r="K3993" s="10">
        <v>0</v>
      </c>
      <c r="L3993" s="24">
        <v>0</v>
      </c>
      <c r="M3993" s="10">
        <v>213.97</v>
      </c>
    </row>
    <row r="3994" spans="1:13" x14ac:dyDescent="0.25">
      <c r="A3994" s="12" t="str">
        <f t="shared" si="124"/>
        <v>IVA1672026SECRETARIA DE ADMINISTRAÇÃO DO GOVERNO DO ESTADO DE PERNAMBUCOIPV46054</v>
      </c>
      <c r="B3994" s="12" t="str">
        <f t="shared" si="125"/>
        <v>Julho</v>
      </c>
      <c r="C3994" s="8" t="s">
        <v>1218</v>
      </c>
      <c r="D3994" s="8" t="s">
        <v>1723</v>
      </c>
      <c r="E3994" s="8" t="s">
        <v>1744</v>
      </c>
      <c r="F3994" s="23">
        <v>46054</v>
      </c>
      <c r="G3994" s="8" t="s">
        <v>1144</v>
      </c>
      <c r="H3994" s="23">
        <v>46218</v>
      </c>
      <c r="I3994" s="23">
        <v>46054</v>
      </c>
      <c r="J3994" s="10">
        <v>213.97</v>
      </c>
      <c r="K3994" s="10">
        <v>0</v>
      </c>
      <c r="L3994" s="24">
        <v>0</v>
      </c>
      <c r="M3994" s="10">
        <v>213.97</v>
      </c>
    </row>
    <row r="3995" spans="1:13" x14ac:dyDescent="0.25">
      <c r="A3995" s="12" t="str">
        <f t="shared" ref="A3995:A4058" si="126">$C3995&amp;$E3995&amp;$G3995&amp;$F3995</f>
        <v>IVA1672026SECRETARIA DE ADMINISTRAÇÃO DO GOVERNO DO ESTADO DE PERNAMBUCOIPV46054</v>
      </c>
      <c r="B3995" s="12" t="str">
        <f t="shared" si="125"/>
        <v>Agosto</v>
      </c>
      <c r="C3995" s="8" t="s">
        <v>1218</v>
      </c>
      <c r="D3995" s="8" t="s">
        <v>1723</v>
      </c>
      <c r="E3995" s="8" t="s">
        <v>1744</v>
      </c>
      <c r="F3995" s="23">
        <v>46054</v>
      </c>
      <c r="G3995" s="8" t="s">
        <v>1144</v>
      </c>
      <c r="H3995" s="23">
        <v>46251</v>
      </c>
      <c r="I3995" s="23">
        <v>46054</v>
      </c>
      <c r="J3995" s="10">
        <v>213.97</v>
      </c>
      <c r="K3995" s="10">
        <v>0</v>
      </c>
      <c r="L3995" s="24">
        <v>0</v>
      </c>
      <c r="M3995" s="10">
        <v>213.97</v>
      </c>
    </row>
    <row r="3996" spans="1:13" x14ac:dyDescent="0.25">
      <c r="A3996" s="12" t="str">
        <f t="shared" si="126"/>
        <v>IVA1672026SECRETARIA DE ADMINISTRAÇÃO DO GOVERNO DO ESTADO DE PERNAMBUCOIPV46054</v>
      </c>
      <c r="B3996" s="12" t="str">
        <f t="shared" si="125"/>
        <v>Setembro</v>
      </c>
      <c r="C3996" s="8" t="s">
        <v>1218</v>
      </c>
      <c r="D3996" s="8" t="s">
        <v>1723</v>
      </c>
      <c r="E3996" s="8" t="s">
        <v>1744</v>
      </c>
      <c r="F3996" s="23">
        <v>46054</v>
      </c>
      <c r="G3996" s="8" t="s">
        <v>1144</v>
      </c>
      <c r="H3996" s="23">
        <v>46280</v>
      </c>
      <c r="I3996" s="23">
        <v>46054</v>
      </c>
      <c r="J3996" s="10">
        <v>213.97</v>
      </c>
      <c r="K3996" s="10">
        <v>0</v>
      </c>
      <c r="L3996" s="24">
        <v>0</v>
      </c>
      <c r="M3996" s="10">
        <v>213.97</v>
      </c>
    </row>
    <row r="3997" spans="1:13" x14ac:dyDescent="0.25">
      <c r="A3997" s="12" t="str">
        <f t="shared" si="126"/>
        <v>IVA1682026SECRETARIA DE ADMINISTRAÇÃO DO GOVERNO DO ESTADO DE PERNAMBUCOIPV46054</v>
      </c>
      <c r="B3997" s="12" t="str">
        <f t="shared" si="125"/>
        <v>Fevereiro</v>
      </c>
      <c r="C3997" s="8" t="s">
        <v>1160</v>
      </c>
      <c r="D3997" s="8" t="s">
        <v>1723</v>
      </c>
      <c r="E3997" s="8" t="s">
        <v>1744</v>
      </c>
      <c r="F3997" s="23">
        <v>46054</v>
      </c>
      <c r="G3997" s="8" t="s">
        <v>1144</v>
      </c>
      <c r="H3997" s="23">
        <v>46063</v>
      </c>
      <c r="I3997" s="23">
        <v>46054</v>
      </c>
      <c r="J3997" s="10">
        <v>213.97</v>
      </c>
      <c r="K3997" s="10">
        <v>0</v>
      </c>
      <c r="L3997" s="24">
        <v>0</v>
      </c>
      <c r="M3997" s="10">
        <v>213.97</v>
      </c>
    </row>
    <row r="3998" spans="1:13" x14ac:dyDescent="0.25">
      <c r="A3998" s="12" t="str">
        <f t="shared" si="126"/>
        <v>IVA1682026SECRETARIA DE ADMINISTRAÇÃO DO GOVERNO DO ESTADO DE PERNAMBUCOIPV46054</v>
      </c>
      <c r="B3998" s="12" t="str">
        <f t="shared" si="125"/>
        <v>Março</v>
      </c>
      <c r="C3998" s="8" t="s">
        <v>1160</v>
      </c>
      <c r="D3998" s="8" t="s">
        <v>1723</v>
      </c>
      <c r="E3998" s="8" t="s">
        <v>1744</v>
      </c>
      <c r="F3998" s="23">
        <v>46054</v>
      </c>
      <c r="G3998" s="8" t="s">
        <v>1144</v>
      </c>
      <c r="H3998" s="23">
        <v>46091</v>
      </c>
      <c r="I3998" s="23">
        <v>46054</v>
      </c>
      <c r="J3998" s="10">
        <v>213.97</v>
      </c>
      <c r="K3998" s="10">
        <v>0</v>
      </c>
      <c r="L3998" s="24">
        <v>0</v>
      </c>
      <c r="M3998" s="10">
        <v>213.97</v>
      </c>
    </row>
    <row r="3999" spans="1:13" x14ac:dyDescent="0.25">
      <c r="A3999" s="12" t="str">
        <f t="shared" si="126"/>
        <v>IVA1682026SECRETARIA DE ADMINISTRAÇÃO DO GOVERNO DO ESTADO DE PERNAMBUCOIPV46054</v>
      </c>
      <c r="B3999" s="12" t="str">
        <f t="shared" si="125"/>
        <v>Abril</v>
      </c>
      <c r="C3999" s="8" t="s">
        <v>1160</v>
      </c>
      <c r="D3999" s="8" t="s">
        <v>1723</v>
      </c>
      <c r="E3999" s="8" t="s">
        <v>1744</v>
      </c>
      <c r="F3999" s="23">
        <v>46054</v>
      </c>
      <c r="G3999" s="8" t="s">
        <v>1144</v>
      </c>
      <c r="H3999" s="23">
        <v>46122</v>
      </c>
      <c r="I3999" s="23">
        <v>46054</v>
      </c>
      <c r="J3999" s="10">
        <v>213.97</v>
      </c>
      <c r="K3999" s="10">
        <v>0</v>
      </c>
      <c r="L3999" s="24">
        <v>0</v>
      </c>
      <c r="M3999" s="10">
        <v>213.97</v>
      </c>
    </row>
    <row r="4000" spans="1:13" x14ac:dyDescent="0.25">
      <c r="A4000" s="12" t="str">
        <f t="shared" si="126"/>
        <v>IVA1682026SECRETARIA DE ADMINISTRAÇÃO DO GOVERNO DO ESTADO DE PERNAMBUCOIPV46054</v>
      </c>
      <c r="B4000" s="12" t="str">
        <f t="shared" si="125"/>
        <v>Maio</v>
      </c>
      <c r="C4000" s="8" t="s">
        <v>1160</v>
      </c>
      <c r="D4000" s="8" t="s">
        <v>1723</v>
      </c>
      <c r="E4000" s="8" t="s">
        <v>1744</v>
      </c>
      <c r="F4000" s="23">
        <v>46054</v>
      </c>
      <c r="G4000" s="8" t="s">
        <v>1144</v>
      </c>
      <c r="H4000" s="23">
        <v>46153</v>
      </c>
      <c r="I4000" s="23">
        <v>46054</v>
      </c>
      <c r="J4000" s="10">
        <v>213.97</v>
      </c>
      <c r="K4000" s="10">
        <v>0</v>
      </c>
      <c r="L4000" s="24">
        <v>0</v>
      </c>
      <c r="M4000" s="10">
        <v>213.97</v>
      </c>
    </row>
    <row r="4001" spans="1:13" x14ac:dyDescent="0.25">
      <c r="A4001" s="12" t="str">
        <f t="shared" si="126"/>
        <v>IVA1682026SECRETARIA DE ADMINISTRAÇÃO DO GOVERNO DO ESTADO DE PERNAMBUCOIPV46054</v>
      </c>
      <c r="B4001" s="12" t="str">
        <f t="shared" si="125"/>
        <v>Junho</v>
      </c>
      <c r="C4001" s="8" t="s">
        <v>1160</v>
      </c>
      <c r="D4001" s="8" t="s">
        <v>1723</v>
      </c>
      <c r="E4001" s="8" t="s">
        <v>1744</v>
      </c>
      <c r="F4001" s="23">
        <v>46054</v>
      </c>
      <c r="G4001" s="8" t="s">
        <v>1144</v>
      </c>
      <c r="H4001" s="23">
        <v>46183</v>
      </c>
      <c r="I4001" s="23">
        <v>46054</v>
      </c>
      <c r="J4001" s="10">
        <v>213.97</v>
      </c>
      <c r="K4001" s="10">
        <v>0</v>
      </c>
      <c r="L4001" s="24">
        <v>0</v>
      </c>
      <c r="M4001" s="10">
        <v>213.97</v>
      </c>
    </row>
    <row r="4002" spans="1:13" x14ac:dyDescent="0.25">
      <c r="A4002" s="12" t="str">
        <f t="shared" si="126"/>
        <v>IVA1682026SECRETARIA DE ADMINISTRAÇÃO DO GOVERNO DO ESTADO DE PERNAMBUCOIPV46054</v>
      </c>
      <c r="B4002" s="12" t="str">
        <f t="shared" si="125"/>
        <v>Julho</v>
      </c>
      <c r="C4002" s="8" t="s">
        <v>1160</v>
      </c>
      <c r="D4002" s="8" t="s">
        <v>1723</v>
      </c>
      <c r="E4002" s="8" t="s">
        <v>1744</v>
      </c>
      <c r="F4002" s="23">
        <v>46054</v>
      </c>
      <c r="G4002" s="8" t="s">
        <v>1144</v>
      </c>
      <c r="H4002" s="23">
        <v>46213</v>
      </c>
      <c r="I4002" s="23">
        <v>46054</v>
      </c>
      <c r="J4002" s="10">
        <v>213.97</v>
      </c>
      <c r="K4002" s="10">
        <v>0</v>
      </c>
      <c r="L4002" s="24">
        <v>0</v>
      </c>
      <c r="M4002" s="10">
        <v>213.97</v>
      </c>
    </row>
    <row r="4003" spans="1:13" x14ac:dyDescent="0.25">
      <c r="A4003" s="12" t="str">
        <f t="shared" si="126"/>
        <v>IVA1682026SECRETARIA DE ADMINISTRAÇÃO DO GOVERNO DO ESTADO DE PERNAMBUCOIPV46054</v>
      </c>
      <c r="B4003" s="12" t="str">
        <f t="shared" si="125"/>
        <v>Agosto</v>
      </c>
      <c r="C4003" s="8" t="s">
        <v>1160</v>
      </c>
      <c r="D4003" s="8" t="s">
        <v>1723</v>
      </c>
      <c r="E4003" s="8" t="s">
        <v>1744</v>
      </c>
      <c r="F4003" s="23">
        <v>46054</v>
      </c>
      <c r="G4003" s="8" t="s">
        <v>1144</v>
      </c>
      <c r="H4003" s="23">
        <v>46244</v>
      </c>
      <c r="I4003" s="23">
        <v>46054</v>
      </c>
      <c r="J4003" s="10">
        <v>213.97</v>
      </c>
      <c r="K4003" s="10">
        <v>0</v>
      </c>
      <c r="L4003" s="24">
        <v>0</v>
      </c>
      <c r="M4003" s="10">
        <v>213.97</v>
      </c>
    </row>
    <row r="4004" spans="1:13" x14ac:dyDescent="0.25">
      <c r="A4004" s="12" t="str">
        <f t="shared" si="126"/>
        <v>IVA1682026SECRETARIA DE ADMINISTRAÇÃO DO GOVERNO DO ESTADO DE PERNAMBUCOIPV46054</v>
      </c>
      <c r="B4004" s="12" t="str">
        <f t="shared" si="125"/>
        <v>Setembro</v>
      </c>
      <c r="C4004" s="8" t="s">
        <v>1160</v>
      </c>
      <c r="D4004" s="8" t="s">
        <v>1723</v>
      </c>
      <c r="E4004" s="8" t="s">
        <v>1744</v>
      </c>
      <c r="F4004" s="23">
        <v>46054</v>
      </c>
      <c r="G4004" s="8" t="s">
        <v>1144</v>
      </c>
      <c r="H4004" s="23">
        <v>46275</v>
      </c>
      <c r="I4004" s="23">
        <v>46054</v>
      </c>
      <c r="J4004" s="10">
        <v>213.97</v>
      </c>
      <c r="K4004" s="10">
        <v>0</v>
      </c>
      <c r="L4004" s="24">
        <v>0</v>
      </c>
      <c r="M4004" s="10">
        <v>213.97</v>
      </c>
    </row>
    <row r="4005" spans="1:13" x14ac:dyDescent="0.25">
      <c r="A4005" s="12" t="str">
        <f t="shared" si="126"/>
        <v>IVA1692026SECRETARIA DE ADMINISTRAÇÃO DO GOVERNO DO ESTADO DE PERNAMBUCOIPV46054</v>
      </c>
      <c r="B4005" s="12" t="str">
        <f t="shared" si="125"/>
        <v>Fevereiro</v>
      </c>
      <c r="C4005" s="8" t="s">
        <v>1219</v>
      </c>
      <c r="D4005" s="8" t="s">
        <v>1723</v>
      </c>
      <c r="E4005" s="8" t="s">
        <v>1744</v>
      </c>
      <c r="F4005" s="23">
        <v>46054</v>
      </c>
      <c r="G4005" s="8" t="s">
        <v>1144</v>
      </c>
      <c r="H4005" s="23">
        <v>46072</v>
      </c>
      <c r="I4005" s="23">
        <v>46054</v>
      </c>
      <c r="J4005" s="10">
        <v>213.97</v>
      </c>
      <c r="K4005" s="10">
        <v>0</v>
      </c>
      <c r="L4005" s="24">
        <v>0</v>
      </c>
      <c r="M4005" s="10">
        <v>213.97</v>
      </c>
    </row>
    <row r="4006" spans="1:13" x14ac:dyDescent="0.25">
      <c r="A4006" s="12" t="str">
        <f t="shared" si="126"/>
        <v>IVA1692026SECRETARIA DE ADMINISTRAÇÃO DO GOVERNO DO ESTADO DE PERNAMBUCOIPV46054</v>
      </c>
      <c r="B4006" s="12" t="str">
        <f t="shared" si="125"/>
        <v>Março</v>
      </c>
      <c r="C4006" s="8" t="s">
        <v>1219</v>
      </c>
      <c r="D4006" s="8" t="s">
        <v>1723</v>
      </c>
      <c r="E4006" s="8" t="s">
        <v>1744</v>
      </c>
      <c r="F4006" s="23">
        <v>46054</v>
      </c>
      <c r="G4006" s="8" t="s">
        <v>1144</v>
      </c>
      <c r="H4006" s="23">
        <v>46097</v>
      </c>
      <c r="I4006" s="23">
        <v>46054</v>
      </c>
      <c r="J4006" s="10">
        <v>213.97</v>
      </c>
      <c r="K4006" s="10">
        <v>0</v>
      </c>
      <c r="L4006" s="24">
        <v>0</v>
      </c>
      <c r="M4006" s="10">
        <v>213.97</v>
      </c>
    </row>
    <row r="4007" spans="1:13" x14ac:dyDescent="0.25">
      <c r="A4007" s="12" t="str">
        <f t="shared" si="126"/>
        <v>IVA1692026SECRETARIA DE ADMINISTRAÇÃO DO GOVERNO DO ESTADO DE PERNAMBUCOIPV46054</v>
      </c>
      <c r="B4007" s="12" t="str">
        <f t="shared" si="125"/>
        <v>Abril</v>
      </c>
      <c r="C4007" s="8" t="s">
        <v>1219</v>
      </c>
      <c r="D4007" s="8" t="s">
        <v>1723</v>
      </c>
      <c r="E4007" s="8" t="s">
        <v>1744</v>
      </c>
      <c r="F4007" s="23">
        <v>46054</v>
      </c>
      <c r="G4007" s="8" t="s">
        <v>1144</v>
      </c>
      <c r="H4007" s="23">
        <v>46127</v>
      </c>
      <c r="I4007" s="23">
        <v>46054</v>
      </c>
      <c r="J4007" s="10">
        <v>213.97</v>
      </c>
      <c r="K4007" s="10">
        <v>0</v>
      </c>
      <c r="L4007" s="24">
        <v>0</v>
      </c>
      <c r="M4007" s="10">
        <v>213.97</v>
      </c>
    </row>
    <row r="4008" spans="1:13" x14ac:dyDescent="0.25">
      <c r="A4008" s="12" t="str">
        <f t="shared" si="126"/>
        <v>IVA1692026SECRETARIA DE ADMINISTRAÇÃO DO GOVERNO DO ESTADO DE PERNAMBUCOIPV46054</v>
      </c>
      <c r="B4008" s="12" t="str">
        <f t="shared" si="125"/>
        <v>Maio</v>
      </c>
      <c r="C4008" s="8" t="s">
        <v>1219</v>
      </c>
      <c r="D4008" s="8" t="s">
        <v>1723</v>
      </c>
      <c r="E4008" s="8" t="s">
        <v>1744</v>
      </c>
      <c r="F4008" s="23">
        <v>46054</v>
      </c>
      <c r="G4008" s="8" t="s">
        <v>1144</v>
      </c>
      <c r="H4008" s="23">
        <v>46157</v>
      </c>
      <c r="I4008" s="23">
        <v>46054</v>
      </c>
      <c r="J4008" s="10">
        <v>213.97</v>
      </c>
      <c r="K4008" s="10">
        <v>0</v>
      </c>
      <c r="L4008" s="24">
        <v>0</v>
      </c>
      <c r="M4008" s="10">
        <v>213.97</v>
      </c>
    </row>
    <row r="4009" spans="1:13" x14ac:dyDescent="0.25">
      <c r="A4009" s="12" t="str">
        <f t="shared" si="126"/>
        <v>IVA1692026SECRETARIA DE ADMINISTRAÇÃO DO GOVERNO DO ESTADO DE PERNAMBUCOIPV46054</v>
      </c>
      <c r="B4009" s="12" t="str">
        <f t="shared" si="125"/>
        <v>Junho</v>
      </c>
      <c r="C4009" s="8" t="s">
        <v>1219</v>
      </c>
      <c r="D4009" s="8" t="s">
        <v>1723</v>
      </c>
      <c r="E4009" s="8" t="s">
        <v>1744</v>
      </c>
      <c r="F4009" s="23">
        <v>46054</v>
      </c>
      <c r="G4009" s="8" t="s">
        <v>1144</v>
      </c>
      <c r="H4009" s="23">
        <v>46188</v>
      </c>
      <c r="I4009" s="23">
        <v>46054</v>
      </c>
      <c r="J4009" s="10">
        <v>213.97</v>
      </c>
      <c r="K4009" s="10">
        <v>0</v>
      </c>
      <c r="L4009" s="24">
        <v>0</v>
      </c>
      <c r="M4009" s="10">
        <v>213.97</v>
      </c>
    </row>
    <row r="4010" spans="1:13" x14ac:dyDescent="0.25">
      <c r="A4010" s="12" t="str">
        <f t="shared" si="126"/>
        <v>IVA1692026SECRETARIA DE ADMINISTRAÇÃO DO GOVERNO DO ESTADO DE PERNAMBUCOIPV46054</v>
      </c>
      <c r="B4010" s="12" t="str">
        <f t="shared" si="125"/>
        <v>Julho</v>
      </c>
      <c r="C4010" s="8" t="s">
        <v>1219</v>
      </c>
      <c r="D4010" s="8" t="s">
        <v>1723</v>
      </c>
      <c r="E4010" s="8" t="s">
        <v>1744</v>
      </c>
      <c r="F4010" s="23">
        <v>46054</v>
      </c>
      <c r="G4010" s="8" t="s">
        <v>1144</v>
      </c>
      <c r="H4010" s="23">
        <v>46218</v>
      </c>
      <c r="I4010" s="23">
        <v>46054</v>
      </c>
      <c r="J4010" s="10">
        <v>213.97</v>
      </c>
      <c r="K4010" s="10">
        <v>0</v>
      </c>
      <c r="L4010" s="24">
        <v>0</v>
      </c>
      <c r="M4010" s="10">
        <v>213.97</v>
      </c>
    </row>
    <row r="4011" spans="1:13" x14ac:dyDescent="0.25">
      <c r="A4011" s="12" t="str">
        <f t="shared" si="126"/>
        <v>IVA1692026SECRETARIA DE ADMINISTRAÇÃO DO GOVERNO DO ESTADO DE PERNAMBUCOIPV46054</v>
      </c>
      <c r="B4011" s="12" t="str">
        <f t="shared" si="125"/>
        <v>Agosto</v>
      </c>
      <c r="C4011" s="8" t="s">
        <v>1219</v>
      </c>
      <c r="D4011" s="8" t="s">
        <v>1723</v>
      </c>
      <c r="E4011" s="8" t="s">
        <v>1744</v>
      </c>
      <c r="F4011" s="23">
        <v>46054</v>
      </c>
      <c r="G4011" s="8" t="s">
        <v>1144</v>
      </c>
      <c r="H4011" s="23">
        <v>46251</v>
      </c>
      <c r="I4011" s="23">
        <v>46054</v>
      </c>
      <c r="J4011" s="10">
        <v>213.97</v>
      </c>
      <c r="K4011" s="10">
        <v>0</v>
      </c>
      <c r="L4011" s="24">
        <v>0</v>
      </c>
      <c r="M4011" s="10">
        <v>213.97</v>
      </c>
    </row>
    <row r="4012" spans="1:13" x14ac:dyDescent="0.25">
      <c r="A4012" s="12" t="str">
        <f t="shared" si="126"/>
        <v>IVA1692026SECRETARIA DE ADMINISTRAÇÃO DO GOVERNO DO ESTADO DE PERNAMBUCOIPV46054</v>
      </c>
      <c r="B4012" s="12" t="str">
        <f t="shared" si="125"/>
        <v>Setembro</v>
      </c>
      <c r="C4012" s="8" t="s">
        <v>1219</v>
      </c>
      <c r="D4012" s="8" t="s">
        <v>1723</v>
      </c>
      <c r="E4012" s="8" t="s">
        <v>1744</v>
      </c>
      <c r="F4012" s="23">
        <v>46054</v>
      </c>
      <c r="G4012" s="8" t="s">
        <v>1144</v>
      </c>
      <c r="H4012" s="23">
        <v>46280</v>
      </c>
      <c r="I4012" s="23">
        <v>46054</v>
      </c>
      <c r="J4012" s="10">
        <v>213.97</v>
      </c>
      <c r="K4012" s="10">
        <v>0</v>
      </c>
      <c r="L4012" s="24">
        <v>0</v>
      </c>
      <c r="M4012" s="10">
        <v>213.97</v>
      </c>
    </row>
    <row r="4013" spans="1:13" x14ac:dyDescent="0.25">
      <c r="A4013" s="12" t="str">
        <f t="shared" si="126"/>
        <v>IVA1712026SECRETARIA DE ADMINISTRAÇÃO DO GOVERNO DO ESTADO DE PERNAMBUCOIPV46054</v>
      </c>
      <c r="B4013" s="12" t="str">
        <f t="shared" si="125"/>
        <v>Fevereiro</v>
      </c>
      <c r="C4013" s="8" t="s">
        <v>1161</v>
      </c>
      <c r="D4013" s="8" t="s">
        <v>1723</v>
      </c>
      <c r="E4013" s="8" t="s">
        <v>1744</v>
      </c>
      <c r="F4013" s="23">
        <v>46054</v>
      </c>
      <c r="G4013" s="8" t="s">
        <v>1144</v>
      </c>
      <c r="H4013" s="23">
        <v>46063</v>
      </c>
      <c r="I4013" s="23">
        <v>46054</v>
      </c>
      <c r="J4013" s="10">
        <v>213.97</v>
      </c>
      <c r="K4013" s="10">
        <v>0</v>
      </c>
      <c r="L4013" s="24">
        <v>0</v>
      </c>
      <c r="M4013" s="10">
        <v>213.97</v>
      </c>
    </row>
    <row r="4014" spans="1:13" x14ac:dyDescent="0.25">
      <c r="A4014" s="12" t="str">
        <f t="shared" si="126"/>
        <v>IVA1712026SECRETARIA DE ADMINISTRAÇÃO DO GOVERNO DO ESTADO DE PERNAMBUCOIPV46054</v>
      </c>
      <c r="B4014" s="12" t="str">
        <f t="shared" si="125"/>
        <v>Março</v>
      </c>
      <c r="C4014" s="8" t="s">
        <v>1161</v>
      </c>
      <c r="D4014" s="8" t="s">
        <v>1723</v>
      </c>
      <c r="E4014" s="8" t="s">
        <v>1744</v>
      </c>
      <c r="F4014" s="23">
        <v>46054</v>
      </c>
      <c r="G4014" s="8" t="s">
        <v>1144</v>
      </c>
      <c r="H4014" s="23">
        <v>46091</v>
      </c>
      <c r="I4014" s="23">
        <v>46054</v>
      </c>
      <c r="J4014" s="10">
        <v>213.97</v>
      </c>
      <c r="K4014" s="10">
        <v>0</v>
      </c>
      <c r="L4014" s="24">
        <v>0</v>
      </c>
      <c r="M4014" s="10">
        <v>213.97</v>
      </c>
    </row>
    <row r="4015" spans="1:13" x14ac:dyDescent="0.25">
      <c r="A4015" s="12" t="str">
        <f t="shared" si="126"/>
        <v>IVA1712026SECRETARIA DE ADMINISTRAÇÃO DO GOVERNO DO ESTADO DE PERNAMBUCOIPV46054</v>
      </c>
      <c r="B4015" s="12" t="str">
        <f t="shared" si="125"/>
        <v>Abril</v>
      </c>
      <c r="C4015" s="8" t="s">
        <v>1161</v>
      </c>
      <c r="D4015" s="8" t="s">
        <v>1723</v>
      </c>
      <c r="E4015" s="8" t="s">
        <v>1744</v>
      </c>
      <c r="F4015" s="23">
        <v>46054</v>
      </c>
      <c r="G4015" s="8" t="s">
        <v>1144</v>
      </c>
      <c r="H4015" s="23">
        <v>46122</v>
      </c>
      <c r="I4015" s="23">
        <v>46054</v>
      </c>
      <c r="J4015" s="10">
        <v>213.97</v>
      </c>
      <c r="K4015" s="10">
        <v>0</v>
      </c>
      <c r="L4015" s="24">
        <v>0</v>
      </c>
      <c r="M4015" s="10">
        <v>213.97</v>
      </c>
    </row>
    <row r="4016" spans="1:13" x14ac:dyDescent="0.25">
      <c r="A4016" s="12" t="str">
        <f t="shared" si="126"/>
        <v>IVA1712026SECRETARIA DE ADMINISTRAÇÃO DO GOVERNO DO ESTADO DE PERNAMBUCOIPV46054</v>
      </c>
      <c r="B4016" s="12" t="str">
        <f t="shared" si="125"/>
        <v>Maio</v>
      </c>
      <c r="C4016" s="8" t="s">
        <v>1161</v>
      </c>
      <c r="D4016" s="8" t="s">
        <v>1723</v>
      </c>
      <c r="E4016" s="8" t="s">
        <v>1744</v>
      </c>
      <c r="F4016" s="23">
        <v>46054</v>
      </c>
      <c r="G4016" s="8" t="s">
        <v>1144</v>
      </c>
      <c r="H4016" s="23">
        <v>46153</v>
      </c>
      <c r="I4016" s="23">
        <v>46054</v>
      </c>
      <c r="J4016" s="10">
        <v>213.97</v>
      </c>
      <c r="K4016" s="10">
        <v>0</v>
      </c>
      <c r="L4016" s="24">
        <v>0</v>
      </c>
      <c r="M4016" s="10">
        <v>213.97</v>
      </c>
    </row>
    <row r="4017" spans="1:13" x14ac:dyDescent="0.25">
      <c r="A4017" s="12" t="str">
        <f t="shared" si="126"/>
        <v>IVA1712026SECRETARIA DE ADMINISTRAÇÃO DO GOVERNO DO ESTADO DE PERNAMBUCOIPV46054</v>
      </c>
      <c r="B4017" s="12" t="str">
        <f t="shared" si="125"/>
        <v>Junho</v>
      </c>
      <c r="C4017" s="8" t="s">
        <v>1161</v>
      </c>
      <c r="D4017" s="8" t="s">
        <v>1723</v>
      </c>
      <c r="E4017" s="8" t="s">
        <v>1744</v>
      </c>
      <c r="F4017" s="23">
        <v>46054</v>
      </c>
      <c r="G4017" s="8" t="s">
        <v>1144</v>
      </c>
      <c r="H4017" s="23">
        <v>46183</v>
      </c>
      <c r="I4017" s="23">
        <v>46054</v>
      </c>
      <c r="J4017" s="10">
        <v>213.97</v>
      </c>
      <c r="K4017" s="10">
        <v>0</v>
      </c>
      <c r="L4017" s="24">
        <v>0</v>
      </c>
      <c r="M4017" s="10">
        <v>213.97</v>
      </c>
    </row>
    <row r="4018" spans="1:13" x14ac:dyDescent="0.25">
      <c r="A4018" s="12" t="str">
        <f t="shared" si="126"/>
        <v>IVA1712026SECRETARIA DE ADMINISTRAÇÃO DO GOVERNO DO ESTADO DE PERNAMBUCOIPV46054</v>
      </c>
      <c r="B4018" s="12" t="str">
        <f t="shared" si="125"/>
        <v>Julho</v>
      </c>
      <c r="C4018" s="8" t="s">
        <v>1161</v>
      </c>
      <c r="D4018" s="8" t="s">
        <v>1723</v>
      </c>
      <c r="E4018" s="8" t="s">
        <v>1744</v>
      </c>
      <c r="F4018" s="23">
        <v>46054</v>
      </c>
      <c r="G4018" s="8" t="s">
        <v>1144</v>
      </c>
      <c r="H4018" s="23">
        <v>46213</v>
      </c>
      <c r="I4018" s="23">
        <v>46054</v>
      </c>
      <c r="J4018" s="10">
        <v>213.97</v>
      </c>
      <c r="K4018" s="10">
        <v>0</v>
      </c>
      <c r="L4018" s="24">
        <v>0</v>
      </c>
      <c r="M4018" s="10">
        <v>213.97</v>
      </c>
    </row>
    <row r="4019" spans="1:13" x14ac:dyDescent="0.25">
      <c r="A4019" s="12" t="str">
        <f t="shared" si="126"/>
        <v>IVA1712026SECRETARIA DE ADMINISTRAÇÃO DO GOVERNO DO ESTADO DE PERNAMBUCOIPV46054</v>
      </c>
      <c r="B4019" s="12" t="str">
        <f t="shared" si="125"/>
        <v>Agosto</v>
      </c>
      <c r="C4019" s="8" t="s">
        <v>1161</v>
      </c>
      <c r="D4019" s="8" t="s">
        <v>1723</v>
      </c>
      <c r="E4019" s="8" t="s">
        <v>1744</v>
      </c>
      <c r="F4019" s="23">
        <v>46054</v>
      </c>
      <c r="G4019" s="8" t="s">
        <v>1144</v>
      </c>
      <c r="H4019" s="23">
        <v>46244</v>
      </c>
      <c r="I4019" s="23">
        <v>46054</v>
      </c>
      <c r="J4019" s="10">
        <v>213.97</v>
      </c>
      <c r="K4019" s="10">
        <v>0</v>
      </c>
      <c r="L4019" s="24">
        <v>0</v>
      </c>
      <c r="M4019" s="10">
        <v>213.97</v>
      </c>
    </row>
    <row r="4020" spans="1:13" x14ac:dyDescent="0.25">
      <c r="A4020" s="12" t="str">
        <f t="shared" si="126"/>
        <v>IVA1712026SECRETARIA DE ADMINISTRAÇÃO DO GOVERNO DO ESTADO DE PERNAMBUCOIPV46054</v>
      </c>
      <c r="B4020" s="12" t="str">
        <f t="shared" si="125"/>
        <v>Setembro</v>
      </c>
      <c r="C4020" s="8" t="s">
        <v>1161</v>
      </c>
      <c r="D4020" s="8" t="s">
        <v>1723</v>
      </c>
      <c r="E4020" s="8" t="s">
        <v>1744</v>
      </c>
      <c r="F4020" s="23">
        <v>46054</v>
      </c>
      <c r="G4020" s="8" t="s">
        <v>1144</v>
      </c>
      <c r="H4020" s="23">
        <v>46275</v>
      </c>
      <c r="I4020" s="23">
        <v>46054</v>
      </c>
      <c r="J4020" s="10">
        <v>213.97</v>
      </c>
      <c r="K4020" s="10">
        <v>0</v>
      </c>
      <c r="L4020" s="24">
        <v>0</v>
      </c>
      <c r="M4020" s="10">
        <v>213.97</v>
      </c>
    </row>
    <row r="4021" spans="1:13" x14ac:dyDescent="0.25">
      <c r="A4021" s="12" t="str">
        <f t="shared" si="126"/>
        <v>IVA1722026SECRETARIA DE ADMINISTRAÇÃO DO GOVERNO DO ESTADO DE PERNAMBUCOIPV46054</v>
      </c>
      <c r="B4021" s="12" t="str">
        <f t="shared" si="125"/>
        <v>Fevereiro</v>
      </c>
      <c r="C4021" s="8" t="s">
        <v>1162</v>
      </c>
      <c r="D4021" s="8" t="s">
        <v>1723</v>
      </c>
      <c r="E4021" s="8" t="s">
        <v>1744</v>
      </c>
      <c r="F4021" s="23">
        <v>46054</v>
      </c>
      <c r="G4021" s="8" t="s">
        <v>1144</v>
      </c>
      <c r="H4021" s="23">
        <v>46063</v>
      </c>
      <c r="I4021" s="23">
        <v>46054</v>
      </c>
      <c r="J4021" s="10">
        <v>213.97</v>
      </c>
      <c r="K4021" s="10">
        <v>0</v>
      </c>
      <c r="L4021" s="24">
        <v>0</v>
      </c>
      <c r="M4021" s="10">
        <v>213.97</v>
      </c>
    </row>
    <row r="4022" spans="1:13" x14ac:dyDescent="0.25">
      <c r="A4022" s="12" t="str">
        <f t="shared" si="126"/>
        <v>IVA1722026SECRETARIA DE ADMINISTRAÇÃO DO GOVERNO DO ESTADO DE PERNAMBUCOIPV46054</v>
      </c>
      <c r="B4022" s="12" t="str">
        <f t="shared" si="125"/>
        <v>Março</v>
      </c>
      <c r="C4022" s="8" t="s">
        <v>1162</v>
      </c>
      <c r="D4022" s="8" t="s">
        <v>1723</v>
      </c>
      <c r="E4022" s="8" t="s">
        <v>1744</v>
      </c>
      <c r="F4022" s="23">
        <v>46054</v>
      </c>
      <c r="G4022" s="8" t="s">
        <v>1144</v>
      </c>
      <c r="H4022" s="23">
        <v>46091</v>
      </c>
      <c r="I4022" s="23">
        <v>46054</v>
      </c>
      <c r="J4022" s="10">
        <v>213.97</v>
      </c>
      <c r="K4022" s="10">
        <v>0</v>
      </c>
      <c r="L4022" s="24">
        <v>0</v>
      </c>
      <c r="M4022" s="10">
        <v>213.97</v>
      </c>
    </row>
    <row r="4023" spans="1:13" x14ac:dyDescent="0.25">
      <c r="A4023" s="12" t="str">
        <f t="shared" si="126"/>
        <v>IVA1722026SECRETARIA DE ADMINISTRAÇÃO DO GOVERNO DO ESTADO DE PERNAMBUCOIPV46054</v>
      </c>
      <c r="B4023" s="12" t="str">
        <f t="shared" si="125"/>
        <v>Abril</v>
      </c>
      <c r="C4023" s="8" t="s">
        <v>1162</v>
      </c>
      <c r="D4023" s="8" t="s">
        <v>1723</v>
      </c>
      <c r="E4023" s="8" t="s">
        <v>1744</v>
      </c>
      <c r="F4023" s="23">
        <v>46054</v>
      </c>
      <c r="G4023" s="8" t="s">
        <v>1144</v>
      </c>
      <c r="H4023" s="23">
        <v>46122</v>
      </c>
      <c r="I4023" s="23">
        <v>46054</v>
      </c>
      <c r="J4023" s="10">
        <v>213.97</v>
      </c>
      <c r="K4023" s="10">
        <v>0</v>
      </c>
      <c r="L4023" s="24">
        <v>0</v>
      </c>
      <c r="M4023" s="10">
        <v>213.97</v>
      </c>
    </row>
    <row r="4024" spans="1:13" x14ac:dyDescent="0.25">
      <c r="A4024" s="12" t="str">
        <f t="shared" si="126"/>
        <v>IVA1722026SECRETARIA DE ADMINISTRAÇÃO DO GOVERNO DO ESTADO DE PERNAMBUCOIPV46054</v>
      </c>
      <c r="B4024" s="12" t="str">
        <f t="shared" si="125"/>
        <v>Maio</v>
      </c>
      <c r="C4024" s="8" t="s">
        <v>1162</v>
      </c>
      <c r="D4024" s="8" t="s">
        <v>1723</v>
      </c>
      <c r="E4024" s="8" t="s">
        <v>1744</v>
      </c>
      <c r="F4024" s="23">
        <v>46054</v>
      </c>
      <c r="G4024" s="8" t="s">
        <v>1144</v>
      </c>
      <c r="H4024" s="23">
        <v>46153</v>
      </c>
      <c r="I4024" s="23">
        <v>46054</v>
      </c>
      <c r="J4024" s="10">
        <v>213.97</v>
      </c>
      <c r="K4024" s="10">
        <v>0</v>
      </c>
      <c r="L4024" s="24">
        <v>0</v>
      </c>
      <c r="M4024" s="10">
        <v>213.97</v>
      </c>
    </row>
    <row r="4025" spans="1:13" x14ac:dyDescent="0.25">
      <c r="A4025" s="12" t="str">
        <f t="shared" si="126"/>
        <v>IVA1722026SECRETARIA DE ADMINISTRAÇÃO DO GOVERNO DO ESTADO DE PERNAMBUCOIPV46054</v>
      </c>
      <c r="B4025" s="12" t="str">
        <f t="shared" si="125"/>
        <v>Junho</v>
      </c>
      <c r="C4025" s="8" t="s">
        <v>1162</v>
      </c>
      <c r="D4025" s="8" t="s">
        <v>1723</v>
      </c>
      <c r="E4025" s="8" t="s">
        <v>1744</v>
      </c>
      <c r="F4025" s="23">
        <v>46054</v>
      </c>
      <c r="G4025" s="8" t="s">
        <v>1144</v>
      </c>
      <c r="H4025" s="23">
        <v>46183</v>
      </c>
      <c r="I4025" s="23">
        <v>46054</v>
      </c>
      <c r="J4025" s="10">
        <v>213.97</v>
      </c>
      <c r="K4025" s="10">
        <v>0</v>
      </c>
      <c r="L4025" s="24">
        <v>0</v>
      </c>
      <c r="M4025" s="10">
        <v>213.97</v>
      </c>
    </row>
    <row r="4026" spans="1:13" x14ac:dyDescent="0.25">
      <c r="A4026" s="12" t="str">
        <f t="shared" si="126"/>
        <v>IVA1722026SECRETARIA DE ADMINISTRAÇÃO DO GOVERNO DO ESTADO DE PERNAMBUCOIPV46054</v>
      </c>
      <c r="B4026" s="12" t="str">
        <f t="shared" si="125"/>
        <v>Julho</v>
      </c>
      <c r="C4026" s="8" t="s">
        <v>1162</v>
      </c>
      <c r="D4026" s="8" t="s">
        <v>1723</v>
      </c>
      <c r="E4026" s="8" t="s">
        <v>1744</v>
      </c>
      <c r="F4026" s="23">
        <v>46054</v>
      </c>
      <c r="G4026" s="8" t="s">
        <v>1144</v>
      </c>
      <c r="H4026" s="23">
        <v>46213</v>
      </c>
      <c r="I4026" s="23">
        <v>46054</v>
      </c>
      <c r="J4026" s="10">
        <v>213.97</v>
      </c>
      <c r="K4026" s="10">
        <v>0</v>
      </c>
      <c r="L4026" s="24">
        <v>0</v>
      </c>
      <c r="M4026" s="10">
        <v>213.97</v>
      </c>
    </row>
    <row r="4027" spans="1:13" x14ac:dyDescent="0.25">
      <c r="A4027" s="12" t="str">
        <f t="shared" si="126"/>
        <v>IVA1722026SECRETARIA DE ADMINISTRAÇÃO DO GOVERNO DO ESTADO DE PERNAMBUCOIPV46054</v>
      </c>
      <c r="B4027" s="12" t="str">
        <f t="shared" si="125"/>
        <v>Agosto</v>
      </c>
      <c r="C4027" s="8" t="s">
        <v>1162</v>
      </c>
      <c r="D4027" s="8" t="s">
        <v>1723</v>
      </c>
      <c r="E4027" s="8" t="s">
        <v>1744</v>
      </c>
      <c r="F4027" s="23">
        <v>46054</v>
      </c>
      <c r="G4027" s="8" t="s">
        <v>1144</v>
      </c>
      <c r="H4027" s="23">
        <v>46244</v>
      </c>
      <c r="I4027" s="23">
        <v>46054</v>
      </c>
      <c r="J4027" s="10">
        <v>213.97</v>
      </c>
      <c r="K4027" s="10">
        <v>0</v>
      </c>
      <c r="L4027" s="24">
        <v>0</v>
      </c>
      <c r="M4027" s="10">
        <v>213.97</v>
      </c>
    </row>
    <row r="4028" spans="1:13" x14ac:dyDescent="0.25">
      <c r="A4028" s="12" t="str">
        <f t="shared" si="126"/>
        <v>IVA1722026SECRETARIA DE ADMINISTRAÇÃO DO GOVERNO DO ESTADO DE PERNAMBUCOIPV46054</v>
      </c>
      <c r="B4028" s="12" t="str">
        <f t="shared" si="125"/>
        <v>Setembro</v>
      </c>
      <c r="C4028" s="8" t="s">
        <v>1162</v>
      </c>
      <c r="D4028" s="8" t="s">
        <v>1723</v>
      </c>
      <c r="E4028" s="8" t="s">
        <v>1744</v>
      </c>
      <c r="F4028" s="23">
        <v>46054</v>
      </c>
      <c r="G4028" s="8" t="s">
        <v>1144</v>
      </c>
      <c r="H4028" s="23">
        <v>46275</v>
      </c>
      <c r="I4028" s="23">
        <v>46054</v>
      </c>
      <c r="J4028" s="10">
        <v>213.97</v>
      </c>
      <c r="K4028" s="10">
        <v>0</v>
      </c>
      <c r="L4028" s="24">
        <v>0</v>
      </c>
      <c r="M4028" s="10">
        <v>213.97</v>
      </c>
    </row>
    <row r="4029" spans="1:13" x14ac:dyDescent="0.25">
      <c r="A4029" s="12" t="str">
        <f t="shared" si="126"/>
        <v>IVA1732026SECRETARIA DE ADMINISTRAÇÃO DO GOVERNO DO ESTADO DE PERNAMBUCOIPV46054</v>
      </c>
      <c r="B4029" s="12" t="str">
        <f t="shared" si="125"/>
        <v>Fevereiro</v>
      </c>
      <c r="C4029" s="8" t="s">
        <v>1220</v>
      </c>
      <c r="D4029" s="8" t="s">
        <v>1723</v>
      </c>
      <c r="E4029" s="8" t="s">
        <v>1744</v>
      </c>
      <c r="F4029" s="23">
        <v>46054</v>
      </c>
      <c r="G4029" s="8" t="s">
        <v>1144</v>
      </c>
      <c r="H4029" s="23">
        <v>46072</v>
      </c>
      <c r="I4029" s="23">
        <v>46054</v>
      </c>
      <c r="J4029" s="10">
        <v>213.97</v>
      </c>
      <c r="K4029" s="10">
        <v>0</v>
      </c>
      <c r="L4029" s="24">
        <v>0</v>
      </c>
      <c r="M4029" s="10">
        <v>213.97</v>
      </c>
    </row>
    <row r="4030" spans="1:13" x14ac:dyDescent="0.25">
      <c r="A4030" s="12" t="str">
        <f t="shared" si="126"/>
        <v>IVA1732026SECRETARIA DE ADMINISTRAÇÃO DO GOVERNO DO ESTADO DE PERNAMBUCOIPV46054</v>
      </c>
      <c r="B4030" s="12" t="str">
        <f t="shared" si="125"/>
        <v>Março</v>
      </c>
      <c r="C4030" s="8" t="s">
        <v>1220</v>
      </c>
      <c r="D4030" s="8" t="s">
        <v>1723</v>
      </c>
      <c r="E4030" s="8" t="s">
        <v>1744</v>
      </c>
      <c r="F4030" s="23">
        <v>46054</v>
      </c>
      <c r="G4030" s="8" t="s">
        <v>1144</v>
      </c>
      <c r="H4030" s="23">
        <v>46097</v>
      </c>
      <c r="I4030" s="23">
        <v>46054</v>
      </c>
      <c r="J4030" s="10">
        <v>213.97</v>
      </c>
      <c r="K4030" s="10">
        <v>0</v>
      </c>
      <c r="L4030" s="24">
        <v>0</v>
      </c>
      <c r="M4030" s="10">
        <v>213.97</v>
      </c>
    </row>
    <row r="4031" spans="1:13" x14ac:dyDescent="0.25">
      <c r="A4031" s="12" t="str">
        <f t="shared" si="126"/>
        <v>IVA1732026SECRETARIA DE ADMINISTRAÇÃO DO GOVERNO DO ESTADO DE PERNAMBUCOIPV46054</v>
      </c>
      <c r="B4031" s="12" t="str">
        <f t="shared" si="125"/>
        <v>Abril</v>
      </c>
      <c r="C4031" s="8" t="s">
        <v>1220</v>
      </c>
      <c r="D4031" s="8" t="s">
        <v>1723</v>
      </c>
      <c r="E4031" s="8" t="s">
        <v>1744</v>
      </c>
      <c r="F4031" s="23">
        <v>46054</v>
      </c>
      <c r="G4031" s="8" t="s">
        <v>1144</v>
      </c>
      <c r="H4031" s="23">
        <v>46127</v>
      </c>
      <c r="I4031" s="23">
        <v>46054</v>
      </c>
      <c r="J4031" s="10">
        <v>213.97</v>
      </c>
      <c r="K4031" s="10">
        <v>0</v>
      </c>
      <c r="L4031" s="24">
        <v>0</v>
      </c>
      <c r="M4031" s="10">
        <v>213.97</v>
      </c>
    </row>
    <row r="4032" spans="1:13" x14ac:dyDescent="0.25">
      <c r="A4032" s="12" t="str">
        <f t="shared" si="126"/>
        <v>IVA1732026SECRETARIA DE ADMINISTRAÇÃO DO GOVERNO DO ESTADO DE PERNAMBUCOIPV46054</v>
      </c>
      <c r="B4032" s="12" t="str">
        <f t="shared" si="125"/>
        <v>Maio</v>
      </c>
      <c r="C4032" s="8" t="s">
        <v>1220</v>
      </c>
      <c r="D4032" s="8" t="s">
        <v>1723</v>
      </c>
      <c r="E4032" s="8" t="s">
        <v>1744</v>
      </c>
      <c r="F4032" s="23">
        <v>46054</v>
      </c>
      <c r="G4032" s="8" t="s">
        <v>1144</v>
      </c>
      <c r="H4032" s="23">
        <v>46157</v>
      </c>
      <c r="I4032" s="23">
        <v>46054</v>
      </c>
      <c r="J4032" s="10">
        <v>213.97</v>
      </c>
      <c r="K4032" s="10">
        <v>0</v>
      </c>
      <c r="L4032" s="24">
        <v>0</v>
      </c>
      <c r="M4032" s="10">
        <v>213.97</v>
      </c>
    </row>
    <row r="4033" spans="1:13" x14ac:dyDescent="0.25">
      <c r="A4033" s="12" t="str">
        <f t="shared" si="126"/>
        <v>IVA1732026SECRETARIA DE ADMINISTRAÇÃO DO GOVERNO DO ESTADO DE PERNAMBUCOIPV46054</v>
      </c>
      <c r="B4033" s="12" t="str">
        <f t="shared" si="125"/>
        <v>Junho</v>
      </c>
      <c r="C4033" s="8" t="s">
        <v>1220</v>
      </c>
      <c r="D4033" s="8" t="s">
        <v>1723</v>
      </c>
      <c r="E4033" s="8" t="s">
        <v>1744</v>
      </c>
      <c r="F4033" s="23">
        <v>46054</v>
      </c>
      <c r="G4033" s="8" t="s">
        <v>1144</v>
      </c>
      <c r="H4033" s="23">
        <v>46188</v>
      </c>
      <c r="I4033" s="23">
        <v>46054</v>
      </c>
      <c r="J4033" s="10">
        <v>213.97</v>
      </c>
      <c r="K4033" s="10">
        <v>0</v>
      </c>
      <c r="L4033" s="24">
        <v>0</v>
      </c>
      <c r="M4033" s="10">
        <v>213.97</v>
      </c>
    </row>
    <row r="4034" spans="1:13" x14ac:dyDescent="0.25">
      <c r="A4034" s="12" t="str">
        <f t="shared" si="126"/>
        <v>IVA1732026SECRETARIA DE ADMINISTRAÇÃO DO GOVERNO DO ESTADO DE PERNAMBUCOIPV46054</v>
      </c>
      <c r="B4034" s="12" t="str">
        <f t="shared" si="125"/>
        <v>Julho</v>
      </c>
      <c r="C4034" s="8" t="s">
        <v>1220</v>
      </c>
      <c r="D4034" s="8" t="s">
        <v>1723</v>
      </c>
      <c r="E4034" s="8" t="s">
        <v>1744</v>
      </c>
      <c r="F4034" s="23">
        <v>46054</v>
      </c>
      <c r="G4034" s="8" t="s">
        <v>1144</v>
      </c>
      <c r="H4034" s="23">
        <v>46218</v>
      </c>
      <c r="I4034" s="23">
        <v>46054</v>
      </c>
      <c r="J4034" s="10">
        <v>213.97</v>
      </c>
      <c r="K4034" s="10">
        <v>0</v>
      </c>
      <c r="L4034" s="24">
        <v>0</v>
      </c>
      <c r="M4034" s="10">
        <v>213.97</v>
      </c>
    </row>
    <row r="4035" spans="1:13" x14ac:dyDescent="0.25">
      <c r="A4035" s="12" t="str">
        <f t="shared" si="126"/>
        <v>IVA1732026SECRETARIA DE ADMINISTRAÇÃO DO GOVERNO DO ESTADO DE PERNAMBUCOIPV46054</v>
      </c>
      <c r="B4035" s="12" t="str">
        <f t="shared" ref="B4035:B4098" si="127">PROPER(TEXT($H4035,"MMMM"))</f>
        <v>Agosto</v>
      </c>
      <c r="C4035" s="8" t="s">
        <v>1220</v>
      </c>
      <c r="D4035" s="8" t="s">
        <v>1723</v>
      </c>
      <c r="E4035" s="8" t="s">
        <v>1744</v>
      </c>
      <c r="F4035" s="23">
        <v>46054</v>
      </c>
      <c r="G4035" s="8" t="s">
        <v>1144</v>
      </c>
      <c r="H4035" s="23">
        <v>46251</v>
      </c>
      <c r="I4035" s="23">
        <v>46054</v>
      </c>
      <c r="J4035" s="10">
        <v>213.97</v>
      </c>
      <c r="K4035" s="10">
        <v>0</v>
      </c>
      <c r="L4035" s="24">
        <v>0</v>
      </c>
      <c r="M4035" s="10">
        <v>213.97</v>
      </c>
    </row>
    <row r="4036" spans="1:13" x14ac:dyDescent="0.25">
      <c r="A4036" s="12" t="str">
        <f t="shared" si="126"/>
        <v>IVA1732026SECRETARIA DE ADMINISTRAÇÃO DO GOVERNO DO ESTADO DE PERNAMBUCOIPV46054</v>
      </c>
      <c r="B4036" s="12" t="str">
        <f t="shared" si="127"/>
        <v>Setembro</v>
      </c>
      <c r="C4036" s="8" t="s">
        <v>1220</v>
      </c>
      <c r="D4036" s="8" t="s">
        <v>1723</v>
      </c>
      <c r="E4036" s="8" t="s">
        <v>1744</v>
      </c>
      <c r="F4036" s="23">
        <v>46054</v>
      </c>
      <c r="G4036" s="8" t="s">
        <v>1144</v>
      </c>
      <c r="H4036" s="23">
        <v>46280</v>
      </c>
      <c r="I4036" s="23">
        <v>46054</v>
      </c>
      <c r="J4036" s="10">
        <v>213.97</v>
      </c>
      <c r="K4036" s="10">
        <v>0</v>
      </c>
      <c r="L4036" s="24">
        <v>0</v>
      </c>
      <c r="M4036" s="10">
        <v>213.97</v>
      </c>
    </row>
    <row r="4037" spans="1:13" x14ac:dyDescent="0.25">
      <c r="A4037" s="12" t="str">
        <f t="shared" si="126"/>
        <v>IVA1742026SECRETARIA DE ADMINISTRAÇÃO DO GOVERNO DO ESTADO DE PERNAMBUCOIPV46065</v>
      </c>
      <c r="B4037" s="12" t="str">
        <f t="shared" si="127"/>
        <v>Fevereiro</v>
      </c>
      <c r="C4037" s="8" t="s">
        <v>1287</v>
      </c>
      <c r="D4037" s="8" t="s">
        <v>1723</v>
      </c>
      <c r="E4037" s="8" t="s">
        <v>1744</v>
      </c>
      <c r="F4037" s="23">
        <v>46065</v>
      </c>
      <c r="G4037" s="8" t="s">
        <v>1144</v>
      </c>
      <c r="H4037" s="23">
        <v>46078</v>
      </c>
      <c r="I4037" s="23">
        <v>46065</v>
      </c>
      <c r="J4037" s="10">
        <v>256.89</v>
      </c>
      <c r="K4037" s="10">
        <v>0</v>
      </c>
      <c r="L4037" s="24">
        <v>0</v>
      </c>
      <c r="M4037" s="10">
        <v>256.89</v>
      </c>
    </row>
    <row r="4038" spans="1:13" x14ac:dyDescent="0.25">
      <c r="A4038" s="12" t="str">
        <f t="shared" si="126"/>
        <v>IVA1742026SECRETARIA DE ADMINISTRAÇÃO DO GOVERNO DO ESTADO DE PERNAMBUCOIPV46065</v>
      </c>
      <c r="B4038" s="12" t="str">
        <f t="shared" si="127"/>
        <v>Março</v>
      </c>
      <c r="C4038" s="8" t="s">
        <v>1287</v>
      </c>
      <c r="D4038" s="8" t="s">
        <v>1723</v>
      </c>
      <c r="E4038" s="8" t="s">
        <v>1744</v>
      </c>
      <c r="F4038" s="23">
        <v>46065</v>
      </c>
      <c r="G4038" s="8" t="s">
        <v>1144</v>
      </c>
      <c r="H4038" s="23">
        <v>46106</v>
      </c>
      <c r="I4038" s="23">
        <v>46065</v>
      </c>
      <c r="J4038" s="10">
        <v>256.89</v>
      </c>
      <c r="K4038" s="10">
        <v>0</v>
      </c>
      <c r="L4038" s="24">
        <v>0</v>
      </c>
      <c r="M4038" s="10">
        <v>256.89</v>
      </c>
    </row>
    <row r="4039" spans="1:13" x14ac:dyDescent="0.25">
      <c r="A4039" s="12" t="str">
        <f t="shared" si="126"/>
        <v>IVA1742026SECRETARIA DE ADMINISTRAÇÃO DO GOVERNO DO ESTADO DE PERNAMBUCOIPV46065</v>
      </c>
      <c r="B4039" s="12" t="str">
        <f t="shared" si="127"/>
        <v>Abril</v>
      </c>
      <c r="C4039" s="8" t="s">
        <v>1287</v>
      </c>
      <c r="D4039" s="8" t="s">
        <v>1723</v>
      </c>
      <c r="E4039" s="8" t="s">
        <v>1744</v>
      </c>
      <c r="F4039" s="23">
        <v>46065</v>
      </c>
      <c r="G4039" s="8" t="s">
        <v>1144</v>
      </c>
      <c r="H4039" s="23">
        <v>46139</v>
      </c>
      <c r="I4039" s="23">
        <v>46065</v>
      </c>
      <c r="J4039" s="10">
        <v>256.89</v>
      </c>
      <c r="K4039" s="10">
        <v>0</v>
      </c>
      <c r="L4039" s="24">
        <v>0</v>
      </c>
      <c r="M4039" s="10">
        <v>256.89</v>
      </c>
    </row>
    <row r="4040" spans="1:13" x14ac:dyDescent="0.25">
      <c r="A4040" s="12" t="str">
        <f t="shared" si="126"/>
        <v>IVA1742026SECRETARIA DE ADMINISTRAÇÃO DO GOVERNO DO ESTADO DE PERNAMBUCOIPV46065</v>
      </c>
      <c r="B4040" s="12" t="str">
        <f t="shared" si="127"/>
        <v>Maio</v>
      </c>
      <c r="C4040" s="8" t="s">
        <v>1287</v>
      </c>
      <c r="D4040" s="8" t="s">
        <v>1723</v>
      </c>
      <c r="E4040" s="8" t="s">
        <v>1744</v>
      </c>
      <c r="F4040" s="23">
        <v>46065</v>
      </c>
      <c r="G4040" s="8" t="s">
        <v>1144</v>
      </c>
      <c r="H4040" s="23">
        <v>46167</v>
      </c>
      <c r="I4040" s="23">
        <v>46065</v>
      </c>
      <c r="J4040" s="10">
        <v>256.89</v>
      </c>
      <c r="K4040" s="10">
        <v>0</v>
      </c>
      <c r="L4040" s="24">
        <v>0</v>
      </c>
      <c r="M4040" s="10">
        <v>256.89</v>
      </c>
    </row>
    <row r="4041" spans="1:13" x14ac:dyDescent="0.25">
      <c r="A4041" s="12" t="str">
        <f t="shared" si="126"/>
        <v>IVA1742026SECRETARIA DE ADMINISTRAÇÃO DO GOVERNO DO ESTADO DE PERNAMBUCOIPV46065</v>
      </c>
      <c r="B4041" s="12" t="str">
        <f t="shared" si="127"/>
        <v>Junho</v>
      </c>
      <c r="C4041" s="8" t="s">
        <v>1287</v>
      </c>
      <c r="D4041" s="8" t="s">
        <v>1723</v>
      </c>
      <c r="E4041" s="8" t="s">
        <v>1744</v>
      </c>
      <c r="F4041" s="23">
        <v>46065</v>
      </c>
      <c r="G4041" s="8" t="s">
        <v>1144</v>
      </c>
      <c r="H4041" s="23">
        <v>46198</v>
      </c>
      <c r="I4041" s="23">
        <v>46065</v>
      </c>
      <c r="J4041" s="10">
        <v>256.89</v>
      </c>
      <c r="K4041" s="10">
        <v>0</v>
      </c>
      <c r="L4041" s="24">
        <v>0</v>
      </c>
      <c r="M4041" s="10">
        <v>256.89</v>
      </c>
    </row>
    <row r="4042" spans="1:13" x14ac:dyDescent="0.25">
      <c r="A4042" s="12" t="str">
        <f t="shared" si="126"/>
        <v>IVA1742026SECRETARIA DE ADMINISTRAÇÃO DO GOVERNO DO ESTADO DE PERNAMBUCOIPV46065</v>
      </c>
      <c r="B4042" s="12" t="str">
        <f t="shared" si="127"/>
        <v>Julho</v>
      </c>
      <c r="C4042" s="8" t="s">
        <v>1287</v>
      </c>
      <c r="D4042" s="8" t="s">
        <v>1723</v>
      </c>
      <c r="E4042" s="8" t="s">
        <v>1744</v>
      </c>
      <c r="F4042" s="23">
        <v>46065</v>
      </c>
      <c r="G4042" s="8" t="s">
        <v>1144</v>
      </c>
      <c r="H4042" s="23">
        <v>46230</v>
      </c>
      <c r="I4042" s="23">
        <v>46065</v>
      </c>
      <c r="J4042" s="10">
        <v>256.89</v>
      </c>
      <c r="K4042" s="10">
        <v>0</v>
      </c>
      <c r="L4042" s="24">
        <v>0</v>
      </c>
      <c r="M4042" s="10">
        <v>256.89</v>
      </c>
    </row>
    <row r="4043" spans="1:13" x14ac:dyDescent="0.25">
      <c r="A4043" s="12" t="str">
        <f t="shared" si="126"/>
        <v>IVA1742026SECRETARIA DE ADMINISTRAÇÃO DO GOVERNO DO ESTADO DE PERNAMBUCOIPV46065</v>
      </c>
      <c r="B4043" s="12" t="str">
        <f t="shared" si="127"/>
        <v>Agosto</v>
      </c>
      <c r="C4043" s="8" t="s">
        <v>1287</v>
      </c>
      <c r="D4043" s="8" t="s">
        <v>1723</v>
      </c>
      <c r="E4043" s="8" t="s">
        <v>1744</v>
      </c>
      <c r="F4043" s="23">
        <v>46065</v>
      </c>
      <c r="G4043" s="8" t="s">
        <v>1144</v>
      </c>
      <c r="H4043" s="23">
        <v>46259</v>
      </c>
      <c r="I4043" s="23">
        <v>46065</v>
      </c>
      <c r="J4043" s="10">
        <v>256.89</v>
      </c>
      <c r="K4043" s="10">
        <v>0</v>
      </c>
      <c r="L4043" s="24">
        <v>0</v>
      </c>
      <c r="M4043" s="10">
        <v>256.89</v>
      </c>
    </row>
    <row r="4044" spans="1:13" x14ac:dyDescent="0.25">
      <c r="A4044" s="12" t="str">
        <f t="shared" si="126"/>
        <v>IVA1742026SECRETARIA DE ADMINISTRAÇÃO DO GOVERNO DO ESTADO DE PERNAMBUCOIPV46065</v>
      </c>
      <c r="B4044" s="12" t="str">
        <f t="shared" si="127"/>
        <v>Setembro</v>
      </c>
      <c r="C4044" s="8" t="s">
        <v>1287</v>
      </c>
      <c r="D4044" s="8" t="s">
        <v>1723</v>
      </c>
      <c r="E4044" s="8" t="s">
        <v>1744</v>
      </c>
      <c r="F4044" s="23">
        <v>46065</v>
      </c>
      <c r="G4044" s="8" t="s">
        <v>1144</v>
      </c>
      <c r="H4044" s="23">
        <v>46290</v>
      </c>
      <c r="I4044" s="23">
        <v>46065</v>
      </c>
      <c r="J4044" s="10">
        <v>256.89</v>
      </c>
      <c r="K4044" s="10">
        <v>0</v>
      </c>
      <c r="L4044" s="24">
        <v>0</v>
      </c>
      <c r="M4044" s="10">
        <v>256.89</v>
      </c>
    </row>
    <row r="4045" spans="1:13" x14ac:dyDescent="0.25">
      <c r="A4045" s="12" t="str">
        <f t="shared" si="126"/>
        <v>J100107937MUNICIPIO DE JUIZ DE FORAMUL46118</v>
      </c>
      <c r="B4045" s="12" t="str">
        <f t="shared" si="127"/>
        <v>Abril</v>
      </c>
      <c r="C4045" s="8" t="s">
        <v>2230</v>
      </c>
      <c r="D4045" s="8" t="s">
        <v>1491</v>
      </c>
      <c r="E4045" s="8" t="s">
        <v>2229</v>
      </c>
      <c r="F4045" s="23">
        <v>46118</v>
      </c>
      <c r="G4045" s="8" t="s">
        <v>1491</v>
      </c>
      <c r="H4045" s="23">
        <v>46134</v>
      </c>
      <c r="I4045" s="23">
        <v>46118</v>
      </c>
      <c r="J4045" s="10">
        <v>130.16</v>
      </c>
      <c r="K4045" s="10">
        <v>52.06</v>
      </c>
      <c r="L4045" s="24">
        <v>0</v>
      </c>
      <c r="M4045" s="10">
        <v>78.099999999999994</v>
      </c>
    </row>
    <row r="4046" spans="1:13" x14ac:dyDescent="0.25">
      <c r="A4046" s="12" t="str">
        <f t="shared" si="126"/>
        <v>J100187494MUNICIPIO DE JUIZ DE FORAMUL46288</v>
      </c>
      <c r="B4046" s="12" t="str">
        <f t="shared" si="127"/>
        <v>Outubro</v>
      </c>
      <c r="C4046" s="8" t="s">
        <v>3184</v>
      </c>
      <c r="D4046" s="8" t="s">
        <v>1491</v>
      </c>
      <c r="E4046" s="8" t="s">
        <v>2229</v>
      </c>
      <c r="F4046" s="23">
        <v>46288</v>
      </c>
      <c r="G4046" s="8" t="s">
        <v>1491</v>
      </c>
      <c r="H4046" s="23">
        <v>46302</v>
      </c>
      <c r="I4046" s="23">
        <v>46288</v>
      </c>
      <c r="J4046" s="10">
        <v>293.47000000000003</v>
      </c>
      <c r="K4046" s="10">
        <v>58.69</v>
      </c>
      <c r="L4046" s="24">
        <v>0</v>
      </c>
      <c r="M4046" s="10">
        <v>234.78</v>
      </c>
    </row>
    <row r="4047" spans="1:13" x14ac:dyDescent="0.25">
      <c r="A4047" s="12" t="str">
        <f t="shared" si="126"/>
        <v>JM00016853MUNICIPIO DE JOAO MONLEVADEmul46164</v>
      </c>
      <c r="B4047" s="12" t="str">
        <f t="shared" si="127"/>
        <v>Junho</v>
      </c>
      <c r="C4047" s="8" t="s">
        <v>2525</v>
      </c>
      <c r="D4047" s="8" t="s">
        <v>1491</v>
      </c>
      <c r="E4047" s="8" t="s">
        <v>1823</v>
      </c>
      <c r="F4047" s="23">
        <v>46164</v>
      </c>
      <c r="G4047" s="8" t="s">
        <v>1493</v>
      </c>
      <c r="H4047" s="23">
        <v>46188</v>
      </c>
      <c r="I4047" s="23">
        <v>46164</v>
      </c>
      <c r="J4047" s="10">
        <v>293.47000000000003</v>
      </c>
      <c r="K4047" s="10">
        <v>58.69</v>
      </c>
      <c r="L4047" s="24">
        <v>0</v>
      </c>
      <c r="M4047" s="10">
        <v>234.78</v>
      </c>
    </row>
    <row r="4048" spans="1:13" x14ac:dyDescent="0.25">
      <c r="A4048" s="12" t="str">
        <f t="shared" si="126"/>
        <v>JUIZDEFORA03/26HORIZONTE EXPRESS TRANSPORTES LTDADEP46091,6215277778</v>
      </c>
      <c r="B4048" s="12" t="str">
        <f t="shared" si="127"/>
        <v>Março</v>
      </c>
      <c r="C4048" s="8" t="s">
        <v>2014</v>
      </c>
      <c r="D4048" s="8" t="s">
        <v>664</v>
      </c>
      <c r="E4048" s="8" t="s">
        <v>1350</v>
      </c>
      <c r="F4048" s="23">
        <v>46091.621527777781</v>
      </c>
      <c r="G4048" s="8" t="s">
        <v>1043</v>
      </c>
      <c r="H4048" s="23">
        <v>46092</v>
      </c>
      <c r="I4048" s="23">
        <v>46091.621527777781</v>
      </c>
      <c r="J4048" s="10">
        <v>3200</v>
      </c>
      <c r="K4048" s="10">
        <v>0</v>
      </c>
      <c r="L4048" s="24">
        <v>0</v>
      </c>
      <c r="M4048" s="10">
        <v>3200</v>
      </c>
    </row>
    <row r="4049" spans="1:13" x14ac:dyDescent="0.25">
      <c r="A4049" s="12" t="str">
        <f t="shared" si="126"/>
        <v>L38972026DEPARTAMENTO ESTADUAL DE TRANSITO DE PERNAMBUCOBOM46058</v>
      </c>
      <c r="B4049" s="12" t="str">
        <f t="shared" si="127"/>
        <v>Fevereiro</v>
      </c>
      <c r="C4049" s="8" t="s">
        <v>1827</v>
      </c>
      <c r="D4049" s="8" t="s">
        <v>1723</v>
      </c>
      <c r="E4049" s="8" t="s">
        <v>1724</v>
      </c>
      <c r="F4049" s="23">
        <v>46058</v>
      </c>
      <c r="G4049" s="8" t="s">
        <v>1725</v>
      </c>
      <c r="H4049" s="23">
        <v>46072</v>
      </c>
      <c r="I4049" s="23">
        <v>46058</v>
      </c>
      <c r="J4049" s="10">
        <v>296.69</v>
      </c>
      <c r="K4049" s="10">
        <v>0</v>
      </c>
      <c r="L4049" s="24">
        <v>0</v>
      </c>
      <c r="M4049" s="10">
        <v>296.69</v>
      </c>
    </row>
    <row r="4050" spans="1:13" x14ac:dyDescent="0.25">
      <c r="A4050" s="12" t="str">
        <f t="shared" si="126"/>
        <v>L38982026DEPARTAMENTO ESTADUAL DE TRANSITO DE PERNAMBUCOBOM46054</v>
      </c>
      <c r="B4050" s="12" t="str">
        <f t="shared" si="127"/>
        <v>Fevereiro</v>
      </c>
      <c r="C4050" s="8" t="s">
        <v>1828</v>
      </c>
      <c r="D4050" s="8" t="s">
        <v>1723</v>
      </c>
      <c r="E4050" s="8" t="s">
        <v>1724</v>
      </c>
      <c r="F4050" s="23">
        <v>46054</v>
      </c>
      <c r="G4050" s="8" t="s">
        <v>1725</v>
      </c>
      <c r="H4050" s="23">
        <v>46072</v>
      </c>
      <c r="I4050" s="23">
        <v>46054</v>
      </c>
      <c r="J4050" s="10">
        <v>296.69</v>
      </c>
      <c r="K4050" s="10">
        <v>0</v>
      </c>
      <c r="L4050" s="24">
        <v>0</v>
      </c>
      <c r="M4050" s="10">
        <v>296.69</v>
      </c>
    </row>
    <row r="4051" spans="1:13" x14ac:dyDescent="0.25">
      <c r="A4051" s="12" t="str">
        <f t="shared" si="126"/>
        <v>L38992026DEPARTAMENTO ESTADUAL DE TRANSITO DE PERNAMBUCOBOM46054</v>
      </c>
      <c r="B4051" s="12" t="str">
        <f t="shared" si="127"/>
        <v>Fevereiro</v>
      </c>
      <c r="C4051" s="8" t="s">
        <v>1829</v>
      </c>
      <c r="D4051" s="8" t="s">
        <v>1723</v>
      </c>
      <c r="E4051" s="8" t="s">
        <v>1724</v>
      </c>
      <c r="F4051" s="23">
        <v>46054</v>
      </c>
      <c r="G4051" s="8" t="s">
        <v>1725</v>
      </c>
      <c r="H4051" s="23">
        <v>46072</v>
      </c>
      <c r="I4051" s="23">
        <v>46054</v>
      </c>
      <c r="J4051" s="10">
        <v>296.69</v>
      </c>
      <c r="K4051" s="10">
        <v>0</v>
      </c>
      <c r="L4051" s="24">
        <v>0</v>
      </c>
      <c r="M4051" s="10">
        <v>296.69</v>
      </c>
    </row>
    <row r="4052" spans="1:13" x14ac:dyDescent="0.25">
      <c r="A4052" s="12" t="str">
        <f t="shared" si="126"/>
        <v>L39002026DEPARTAMENTO ESTADUAL DE TRANSITO DE PERNAMBUCOBOM46054</v>
      </c>
      <c r="B4052" s="12" t="str">
        <f t="shared" si="127"/>
        <v>Fevereiro</v>
      </c>
      <c r="C4052" s="8" t="s">
        <v>1830</v>
      </c>
      <c r="D4052" s="8" t="s">
        <v>1723</v>
      </c>
      <c r="E4052" s="8" t="s">
        <v>1724</v>
      </c>
      <c r="F4052" s="23">
        <v>46054</v>
      </c>
      <c r="G4052" s="8" t="s">
        <v>1725</v>
      </c>
      <c r="H4052" s="23">
        <v>46072</v>
      </c>
      <c r="I4052" s="23">
        <v>46054</v>
      </c>
      <c r="J4052" s="10">
        <v>296.69</v>
      </c>
      <c r="K4052" s="10">
        <v>0</v>
      </c>
      <c r="L4052" s="24">
        <v>0</v>
      </c>
      <c r="M4052" s="10">
        <v>296.69</v>
      </c>
    </row>
    <row r="4053" spans="1:13" x14ac:dyDescent="0.25">
      <c r="A4053" s="12" t="str">
        <f t="shared" si="126"/>
        <v>L39012026DEPARTAMENTO ESTADUAL DE TRANSITO DE PERNAMBUCOBOM46054</v>
      </c>
      <c r="B4053" s="12" t="str">
        <f t="shared" si="127"/>
        <v>Fevereiro</v>
      </c>
      <c r="C4053" s="8" t="s">
        <v>1831</v>
      </c>
      <c r="D4053" s="8" t="s">
        <v>1723</v>
      </c>
      <c r="E4053" s="8" t="s">
        <v>1724</v>
      </c>
      <c r="F4053" s="23">
        <v>46054</v>
      </c>
      <c r="G4053" s="8" t="s">
        <v>1725</v>
      </c>
      <c r="H4053" s="23">
        <v>46072</v>
      </c>
      <c r="I4053" s="23">
        <v>46054</v>
      </c>
      <c r="J4053" s="10">
        <v>296.69</v>
      </c>
      <c r="K4053" s="10">
        <v>0</v>
      </c>
      <c r="L4053" s="24">
        <v>0</v>
      </c>
      <c r="M4053" s="10">
        <v>296.69</v>
      </c>
    </row>
    <row r="4054" spans="1:13" x14ac:dyDescent="0.25">
      <c r="A4054" s="12" t="str">
        <f t="shared" si="126"/>
        <v>L39022026DEPARTAMENTO ESTADUAL DE TRANSITO DE PERNAMBUCOBOM46054</v>
      </c>
      <c r="B4054" s="12" t="str">
        <f t="shared" si="127"/>
        <v>Fevereiro</v>
      </c>
      <c r="C4054" s="8" t="s">
        <v>1832</v>
      </c>
      <c r="D4054" s="8" t="s">
        <v>1723</v>
      </c>
      <c r="E4054" s="8" t="s">
        <v>1724</v>
      </c>
      <c r="F4054" s="23">
        <v>46054</v>
      </c>
      <c r="G4054" s="8" t="s">
        <v>1725</v>
      </c>
      <c r="H4054" s="23">
        <v>46072</v>
      </c>
      <c r="I4054" s="23">
        <v>46054</v>
      </c>
      <c r="J4054" s="10">
        <v>296.69</v>
      </c>
      <c r="K4054" s="10">
        <v>0</v>
      </c>
      <c r="L4054" s="24">
        <v>0</v>
      </c>
      <c r="M4054" s="10">
        <v>296.69</v>
      </c>
    </row>
    <row r="4055" spans="1:13" x14ac:dyDescent="0.25">
      <c r="A4055" s="12" t="str">
        <f t="shared" si="126"/>
        <v>L39032026DEPARTAMENTO ESTADUAL DE TRANSITO DE PERNAMBUCOBOM46054</v>
      </c>
      <c r="B4055" s="12" t="str">
        <f t="shared" si="127"/>
        <v>Fevereiro</v>
      </c>
      <c r="C4055" s="8" t="s">
        <v>1833</v>
      </c>
      <c r="D4055" s="8" t="s">
        <v>1723</v>
      </c>
      <c r="E4055" s="8" t="s">
        <v>1724</v>
      </c>
      <c r="F4055" s="23">
        <v>46054</v>
      </c>
      <c r="G4055" s="8" t="s">
        <v>1725</v>
      </c>
      <c r="H4055" s="23">
        <v>46072</v>
      </c>
      <c r="I4055" s="23">
        <v>46054</v>
      </c>
      <c r="J4055" s="10">
        <v>296.69</v>
      </c>
      <c r="K4055" s="10">
        <v>0</v>
      </c>
      <c r="L4055" s="24">
        <v>0</v>
      </c>
      <c r="M4055" s="10">
        <v>296.69</v>
      </c>
    </row>
    <row r="4056" spans="1:13" x14ac:dyDescent="0.25">
      <c r="A4056" s="12" t="str">
        <f t="shared" si="126"/>
        <v>LFL1152026DEPARTAMENTO ESTADUAL DE TRANSITO DE PERNAMBUCOBOM46063</v>
      </c>
      <c r="B4056" s="12" t="str">
        <f t="shared" si="127"/>
        <v>Fevereiro</v>
      </c>
      <c r="C4056" s="8" t="s">
        <v>1891</v>
      </c>
      <c r="D4056" s="8" t="s">
        <v>1723</v>
      </c>
      <c r="E4056" s="8" t="s">
        <v>1724</v>
      </c>
      <c r="F4056" s="23">
        <v>46063</v>
      </c>
      <c r="G4056" s="8" t="s">
        <v>1725</v>
      </c>
      <c r="H4056" s="23">
        <v>46073</v>
      </c>
      <c r="I4056" s="23">
        <v>46063</v>
      </c>
      <c r="J4056" s="10">
        <v>210.7</v>
      </c>
      <c r="K4056" s="10">
        <v>0</v>
      </c>
      <c r="L4056" s="24">
        <v>0</v>
      </c>
      <c r="M4056" s="10">
        <v>210.7</v>
      </c>
    </row>
    <row r="4057" spans="1:13" x14ac:dyDescent="0.25">
      <c r="A4057" s="12" t="str">
        <f t="shared" si="126"/>
        <v>LFL1162026DEPARTAMENTO ESTADUAL DE TRANSITO DE PERNAMBUCOBOM46063</v>
      </c>
      <c r="B4057" s="12" t="str">
        <f t="shared" si="127"/>
        <v>Fevereiro</v>
      </c>
      <c r="C4057" s="8" t="s">
        <v>1892</v>
      </c>
      <c r="D4057" s="8" t="s">
        <v>1723</v>
      </c>
      <c r="E4057" s="8" t="s">
        <v>1724</v>
      </c>
      <c r="F4057" s="23">
        <v>46063</v>
      </c>
      <c r="G4057" s="8" t="s">
        <v>1725</v>
      </c>
      <c r="H4057" s="23">
        <v>46073</v>
      </c>
      <c r="I4057" s="23">
        <v>46063</v>
      </c>
      <c r="J4057" s="10">
        <v>210.7</v>
      </c>
      <c r="K4057" s="10">
        <v>0</v>
      </c>
      <c r="L4057" s="24">
        <v>0</v>
      </c>
      <c r="M4057" s="10">
        <v>210.7</v>
      </c>
    </row>
    <row r="4058" spans="1:13" x14ac:dyDescent="0.25">
      <c r="A4058" s="12" t="str">
        <f t="shared" si="126"/>
        <v>LFL1172026DEPARTAMENTO ESTADUAL DE TRANSITO DE PERNAMBUCOBOM46063</v>
      </c>
      <c r="B4058" s="12" t="str">
        <f t="shared" si="127"/>
        <v>Fevereiro</v>
      </c>
      <c r="C4058" s="8" t="s">
        <v>1893</v>
      </c>
      <c r="D4058" s="8" t="s">
        <v>1723</v>
      </c>
      <c r="E4058" s="8" t="s">
        <v>1724</v>
      </c>
      <c r="F4058" s="23">
        <v>46063</v>
      </c>
      <c r="G4058" s="8" t="s">
        <v>1725</v>
      </c>
      <c r="H4058" s="23">
        <v>46073</v>
      </c>
      <c r="I4058" s="23">
        <v>46063</v>
      </c>
      <c r="J4058" s="10">
        <v>210.7</v>
      </c>
      <c r="K4058" s="10">
        <v>0</v>
      </c>
      <c r="L4058" s="24">
        <v>0</v>
      </c>
      <c r="M4058" s="10">
        <v>210.7</v>
      </c>
    </row>
    <row r="4059" spans="1:13" x14ac:dyDescent="0.25">
      <c r="A4059" s="12" t="str">
        <f t="shared" ref="A4059:A4122" si="128">$C4059&amp;$E4059&amp;$G4059&amp;$F4059</f>
        <v>LFL1182026DEPARTAMENTO ESTADUAL DE TRANSITO DE PERNAMBUCOBOM46063</v>
      </c>
      <c r="B4059" s="12" t="str">
        <f t="shared" si="127"/>
        <v>Fevereiro</v>
      </c>
      <c r="C4059" s="8" t="s">
        <v>1894</v>
      </c>
      <c r="D4059" s="8" t="s">
        <v>1723</v>
      </c>
      <c r="E4059" s="8" t="s">
        <v>1724</v>
      </c>
      <c r="F4059" s="23">
        <v>46063</v>
      </c>
      <c r="G4059" s="8" t="s">
        <v>1725</v>
      </c>
      <c r="H4059" s="23">
        <v>46073</v>
      </c>
      <c r="I4059" s="23">
        <v>46063</v>
      </c>
      <c r="J4059" s="10">
        <v>210.7</v>
      </c>
      <c r="K4059" s="10">
        <v>0</v>
      </c>
      <c r="L4059" s="24">
        <v>0</v>
      </c>
      <c r="M4059" s="10">
        <v>210.7</v>
      </c>
    </row>
    <row r="4060" spans="1:13" x14ac:dyDescent="0.25">
      <c r="A4060" s="12" t="str">
        <f t="shared" si="128"/>
        <v>LFL1432026DEPARTAMENTO ESTADUAL DE TRANSITO DE PERNAMBUCOBOM46054</v>
      </c>
      <c r="B4060" s="12" t="str">
        <f t="shared" si="127"/>
        <v>Fevereiro</v>
      </c>
      <c r="C4060" s="8" t="s">
        <v>1834</v>
      </c>
      <c r="D4060" s="8" t="s">
        <v>1723</v>
      </c>
      <c r="E4060" s="8" t="s">
        <v>1724</v>
      </c>
      <c r="F4060" s="23">
        <v>46054</v>
      </c>
      <c r="G4060" s="8" t="s">
        <v>1725</v>
      </c>
      <c r="H4060" s="23">
        <v>46072</v>
      </c>
      <c r="I4060" s="23">
        <v>46054</v>
      </c>
      <c r="J4060" s="10">
        <v>210.7</v>
      </c>
      <c r="K4060" s="10">
        <v>0</v>
      </c>
      <c r="L4060" s="24">
        <v>0</v>
      </c>
      <c r="M4060" s="10">
        <v>210.7</v>
      </c>
    </row>
    <row r="4061" spans="1:13" x14ac:dyDescent="0.25">
      <c r="A4061" s="12" t="str">
        <f t="shared" si="128"/>
        <v>LFL1442026DEPARTAMENTO ESTADUAL DE TRANSITO DE PERNAMBUCOBOM46054</v>
      </c>
      <c r="B4061" s="12" t="str">
        <f t="shared" si="127"/>
        <v>Fevereiro</v>
      </c>
      <c r="C4061" s="8" t="s">
        <v>1835</v>
      </c>
      <c r="D4061" s="8" t="s">
        <v>1723</v>
      </c>
      <c r="E4061" s="8" t="s">
        <v>1724</v>
      </c>
      <c r="F4061" s="23">
        <v>46054</v>
      </c>
      <c r="G4061" s="8" t="s">
        <v>1725</v>
      </c>
      <c r="H4061" s="23">
        <v>46072</v>
      </c>
      <c r="I4061" s="23">
        <v>46054</v>
      </c>
      <c r="J4061" s="10">
        <v>210.7</v>
      </c>
      <c r="K4061" s="10">
        <v>0</v>
      </c>
      <c r="L4061" s="24">
        <v>0</v>
      </c>
      <c r="M4061" s="10">
        <v>210.7</v>
      </c>
    </row>
    <row r="4062" spans="1:13" x14ac:dyDescent="0.25">
      <c r="A4062" s="12" t="str">
        <f t="shared" si="128"/>
        <v>LFL1452026DEPARTAMENTO ESTADUAL DE TRANSITO DE PERNAMBUCOBOM46054</v>
      </c>
      <c r="B4062" s="12" t="str">
        <f t="shared" si="127"/>
        <v>Fevereiro</v>
      </c>
      <c r="C4062" s="8" t="s">
        <v>1836</v>
      </c>
      <c r="D4062" s="8" t="s">
        <v>1723</v>
      </c>
      <c r="E4062" s="8" t="s">
        <v>1724</v>
      </c>
      <c r="F4062" s="23">
        <v>46054</v>
      </c>
      <c r="G4062" s="8" t="s">
        <v>1725</v>
      </c>
      <c r="H4062" s="23">
        <v>46072</v>
      </c>
      <c r="I4062" s="23">
        <v>46054</v>
      </c>
      <c r="J4062" s="10">
        <v>210.7</v>
      </c>
      <c r="K4062" s="10">
        <v>0</v>
      </c>
      <c r="L4062" s="24">
        <v>0</v>
      </c>
      <c r="M4062" s="10">
        <v>210.7</v>
      </c>
    </row>
    <row r="4063" spans="1:13" x14ac:dyDescent="0.25">
      <c r="A4063" s="12" t="str">
        <f t="shared" si="128"/>
        <v>LFL322026DEPARTAMENTO ESTADUAL DE TRANSITO DE PERNAMBUCOBOM46054</v>
      </c>
      <c r="B4063" s="12" t="str">
        <f t="shared" si="127"/>
        <v>Fevereiro</v>
      </c>
      <c r="C4063" s="8" t="s">
        <v>1837</v>
      </c>
      <c r="D4063" s="8" t="s">
        <v>1723</v>
      </c>
      <c r="E4063" s="8" t="s">
        <v>1724</v>
      </c>
      <c r="F4063" s="23">
        <v>46054</v>
      </c>
      <c r="G4063" s="8" t="s">
        <v>1725</v>
      </c>
      <c r="H4063" s="23">
        <v>46072</v>
      </c>
      <c r="I4063" s="23">
        <v>46054</v>
      </c>
      <c r="J4063" s="10">
        <v>210.7</v>
      </c>
      <c r="K4063" s="10">
        <v>0</v>
      </c>
      <c r="L4063" s="24">
        <v>0</v>
      </c>
      <c r="M4063" s="10">
        <v>210.7</v>
      </c>
    </row>
    <row r="4064" spans="1:13" x14ac:dyDescent="0.25">
      <c r="A4064" s="12" t="str">
        <f t="shared" si="128"/>
        <v>LFL332026DEPARTAMENTO ESTADUAL DE TRANSITO DE PERNAMBUCOBOM46054</v>
      </c>
      <c r="B4064" s="12" t="str">
        <f t="shared" si="127"/>
        <v>Fevereiro</v>
      </c>
      <c r="C4064" s="8" t="s">
        <v>1838</v>
      </c>
      <c r="D4064" s="8" t="s">
        <v>1723</v>
      </c>
      <c r="E4064" s="8" t="s">
        <v>1724</v>
      </c>
      <c r="F4064" s="23">
        <v>46054</v>
      </c>
      <c r="G4064" s="8" t="s">
        <v>1725</v>
      </c>
      <c r="H4064" s="23">
        <v>46072</v>
      </c>
      <c r="I4064" s="23">
        <v>46054</v>
      </c>
      <c r="J4064" s="10">
        <v>210.7</v>
      </c>
      <c r="K4064" s="10">
        <v>0</v>
      </c>
      <c r="L4064" s="24">
        <v>0</v>
      </c>
      <c r="M4064" s="10">
        <v>210.7</v>
      </c>
    </row>
    <row r="4065" spans="1:13" x14ac:dyDescent="0.25">
      <c r="A4065" s="12" t="str">
        <f t="shared" si="128"/>
        <v>LFL342026DEPARTAMENTO ESTADUAL DE TRANSITO DE PERNAMBUCOBOM46054</v>
      </c>
      <c r="B4065" s="12" t="str">
        <f t="shared" si="127"/>
        <v>Fevereiro</v>
      </c>
      <c r="C4065" s="8" t="s">
        <v>1839</v>
      </c>
      <c r="D4065" s="8" t="s">
        <v>1723</v>
      </c>
      <c r="E4065" s="8" t="s">
        <v>1724</v>
      </c>
      <c r="F4065" s="23">
        <v>46054</v>
      </c>
      <c r="G4065" s="8" t="s">
        <v>1725</v>
      </c>
      <c r="H4065" s="23">
        <v>46072</v>
      </c>
      <c r="I4065" s="23">
        <v>46054</v>
      </c>
      <c r="J4065" s="10">
        <v>210.7</v>
      </c>
      <c r="K4065" s="10">
        <v>0</v>
      </c>
      <c r="L4065" s="24">
        <v>0</v>
      </c>
      <c r="M4065" s="10">
        <v>210.7</v>
      </c>
    </row>
    <row r="4066" spans="1:13" x14ac:dyDescent="0.25">
      <c r="A4066" s="12" t="str">
        <f t="shared" si="128"/>
        <v>LFL352026DEPARTAMENTO ESTADUAL DE TRANSITO DE PERNAMBUCOBOM46054</v>
      </c>
      <c r="B4066" s="12" t="str">
        <f t="shared" si="127"/>
        <v>Fevereiro</v>
      </c>
      <c r="C4066" s="8" t="s">
        <v>1840</v>
      </c>
      <c r="D4066" s="8" t="s">
        <v>1723</v>
      </c>
      <c r="E4066" s="8" t="s">
        <v>1724</v>
      </c>
      <c r="F4066" s="23">
        <v>46054</v>
      </c>
      <c r="G4066" s="8" t="s">
        <v>1725</v>
      </c>
      <c r="H4066" s="23">
        <v>46072</v>
      </c>
      <c r="I4066" s="23">
        <v>46054</v>
      </c>
      <c r="J4066" s="10">
        <v>210.7</v>
      </c>
      <c r="K4066" s="10">
        <v>0</v>
      </c>
      <c r="L4066" s="24">
        <v>0</v>
      </c>
      <c r="M4066" s="10">
        <v>210.7</v>
      </c>
    </row>
    <row r="4067" spans="1:13" x14ac:dyDescent="0.25">
      <c r="A4067" s="12" t="str">
        <f t="shared" si="128"/>
        <v>LFL362026DEPARTAMENTO ESTADUAL DE TRANSITO DE PERNAMBUCOBOM46054</v>
      </c>
      <c r="B4067" s="12" t="str">
        <f t="shared" si="127"/>
        <v>Fevereiro</v>
      </c>
      <c r="C4067" s="8" t="s">
        <v>1841</v>
      </c>
      <c r="D4067" s="8" t="s">
        <v>1723</v>
      </c>
      <c r="E4067" s="8" t="s">
        <v>1724</v>
      </c>
      <c r="F4067" s="23">
        <v>46054</v>
      </c>
      <c r="G4067" s="8" t="s">
        <v>1725</v>
      </c>
      <c r="H4067" s="23">
        <v>46072</v>
      </c>
      <c r="I4067" s="23">
        <v>46054</v>
      </c>
      <c r="J4067" s="10">
        <v>210.7</v>
      </c>
      <c r="K4067" s="10">
        <v>0</v>
      </c>
      <c r="L4067" s="24">
        <v>0</v>
      </c>
      <c r="M4067" s="10">
        <v>210.7</v>
      </c>
    </row>
    <row r="4068" spans="1:13" x14ac:dyDescent="0.25">
      <c r="A4068" s="12" t="str">
        <f t="shared" si="128"/>
        <v>LPDG92962026DEPARTAMENTO ESTADUAL DE TRANSITO DE PERNAMBUCOBOM46057</v>
      </c>
      <c r="B4068" s="12" t="str">
        <f t="shared" si="127"/>
        <v>Fevereiro</v>
      </c>
      <c r="C4068" s="8" t="s">
        <v>1842</v>
      </c>
      <c r="D4068" s="8" t="s">
        <v>1723</v>
      </c>
      <c r="E4068" s="8" t="s">
        <v>1724</v>
      </c>
      <c r="F4068" s="23">
        <v>46057</v>
      </c>
      <c r="G4068" s="8" t="s">
        <v>1725</v>
      </c>
      <c r="H4068" s="23">
        <v>46072</v>
      </c>
      <c r="I4068" s="23">
        <v>46057</v>
      </c>
      <c r="J4068" s="10">
        <v>210.7</v>
      </c>
      <c r="K4068" s="10">
        <v>0</v>
      </c>
      <c r="L4068" s="24">
        <v>0</v>
      </c>
      <c r="M4068" s="10">
        <v>210.7</v>
      </c>
    </row>
    <row r="4069" spans="1:13" x14ac:dyDescent="0.25">
      <c r="A4069" s="12" t="str">
        <f t="shared" si="128"/>
        <v>LVA1132026DEPARTAMENTO ESTADUAL DE TRANSITO DE PERNAMBUCOBOM46054</v>
      </c>
      <c r="B4069" s="12" t="str">
        <f t="shared" si="127"/>
        <v>Fevereiro</v>
      </c>
      <c r="C4069" s="8" t="s">
        <v>1843</v>
      </c>
      <c r="D4069" s="8" t="s">
        <v>1723</v>
      </c>
      <c r="E4069" s="8" t="s">
        <v>1724</v>
      </c>
      <c r="F4069" s="23">
        <v>46054</v>
      </c>
      <c r="G4069" s="8" t="s">
        <v>1725</v>
      </c>
      <c r="H4069" s="23">
        <v>46072</v>
      </c>
      <c r="I4069" s="23">
        <v>46054</v>
      </c>
      <c r="J4069" s="10">
        <v>296.69</v>
      </c>
      <c r="K4069" s="10">
        <v>0</v>
      </c>
      <c r="L4069" s="24">
        <v>0</v>
      </c>
      <c r="M4069" s="10">
        <v>296.69</v>
      </c>
    </row>
    <row r="4070" spans="1:13" x14ac:dyDescent="0.25">
      <c r="A4070" s="12" t="str">
        <f t="shared" si="128"/>
        <v>LVA1142026DEPARTAMENTO ESTADUAL DE TRANSITO DE PERNAMBUCOBOM46054</v>
      </c>
      <c r="B4070" s="12" t="str">
        <f t="shared" si="127"/>
        <v>Fevereiro</v>
      </c>
      <c r="C4070" s="8" t="s">
        <v>1844</v>
      </c>
      <c r="D4070" s="8" t="s">
        <v>1723</v>
      </c>
      <c r="E4070" s="8" t="s">
        <v>1724</v>
      </c>
      <c r="F4070" s="23">
        <v>46054</v>
      </c>
      <c r="G4070" s="8" t="s">
        <v>1725</v>
      </c>
      <c r="H4070" s="23">
        <v>46072</v>
      </c>
      <c r="I4070" s="23">
        <v>46054</v>
      </c>
      <c r="J4070" s="10">
        <v>296.69</v>
      </c>
      <c r="K4070" s="10">
        <v>0</v>
      </c>
      <c r="L4070" s="24">
        <v>0</v>
      </c>
      <c r="M4070" s="10">
        <v>296.69</v>
      </c>
    </row>
    <row r="4071" spans="1:13" x14ac:dyDescent="0.25">
      <c r="A4071" s="12" t="str">
        <f t="shared" si="128"/>
        <v>LVA1162026DEPARTAMENTO ESTADUAL DE TRANSITO DE PERNAMBUCOBOM46054</v>
      </c>
      <c r="B4071" s="12" t="str">
        <f t="shared" si="127"/>
        <v>Fevereiro</v>
      </c>
      <c r="C4071" s="8" t="s">
        <v>1845</v>
      </c>
      <c r="D4071" s="8" t="s">
        <v>1723</v>
      </c>
      <c r="E4071" s="8" t="s">
        <v>1724</v>
      </c>
      <c r="F4071" s="23">
        <v>46054</v>
      </c>
      <c r="G4071" s="8" t="s">
        <v>1725</v>
      </c>
      <c r="H4071" s="23">
        <v>46072</v>
      </c>
      <c r="I4071" s="23">
        <v>46054</v>
      </c>
      <c r="J4071" s="10">
        <v>296.69</v>
      </c>
      <c r="K4071" s="10">
        <v>0</v>
      </c>
      <c r="L4071" s="24">
        <v>0</v>
      </c>
      <c r="M4071" s="10">
        <v>296.69</v>
      </c>
    </row>
    <row r="4072" spans="1:13" x14ac:dyDescent="0.25">
      <c r="A4072" s="12" t="str">
        <f t="shared" si="128"/>
        <v>LVA1172026DEPARTAMENTO ESTADUAL DE TRANSITO DE PERNAMBUCOBOM46054</v>
      </c>
      <c r="B4072" s="12" t="str">
        <f t="shared" si="127"/>
        <v>Fevereiro</v>
      </c>
      <c r="C4072" s="8" t="s">
        <v>1846</v>
      </c>
      <c r="D4072" s="8" t="s">
        <v>1723</v>
      </c>
      <c r="E4072" s="8" t="s">
        <v>1724</v>
      </c>
      <c r="F4072" s="23">
        <v>46054</v>
      </c>
      <c r="G4072" s="8" t="s">
        <v>1725</v>
      </c>
      <c r="H4072" s="23">
        <v>46072</v>
      </c>
      <c r="I4072" s="23">
        <v>46054</v>
      </c>
      <c r="J4072" s="10">
        <v>296.69</v>
      </c>
      <c r="K4072" s="10">
        <v>0</v>
      </c>
      <c r="L4072" s="24">
        <v>0</v>
      </c>
      <c r="M4072" s="10">
        <v>296.69</v>
      </c>
    </row>
    <row r="4073" spans="1:13" x14ac:dyDescent="0.25">
      <c r="A4073" s="12" t="str">
        <f t="shared" si="128"/>
        <v>LVA1182026DEPARTAMENTO ESTADUAL DE TRANSITO DE PERNAMBUCOBOM46054</v>
      </c>
      <c r="B4073" s="12" t="str">
        <f t="shared" si="127"/>
        <v>Fevereiro</v>
      </c>
      <c r="C4073" s="8" t="s">
        <v>1847</v>
      </c>
      <c r="D4073" s="8" t="s">
        <v>1723</v>
      </c>
      <c r="E4073" s="8" t="s">
        <v>1724</v>
      </c>
      <c r="F4073" s="23">
        <v>46054</v>
      </c>
      <c r="G4073" s="8" t="s">
        <v>1725</v>
      </c>
      <c r="H4073" s="23">
        <v>46072</v>
      </c>
      <c r="I4073" s="23">
        <v>46054</v>
      </c>
      <c r="J4073" s="10">
        <v>296.69</v>
      </c>
      <c r="K4073" s="10">
        <v>0</v>
      </c>
      <c r="L4073" s="24">
        <v>0</v>
      </c>
      <c r="M4073" s="10">
        <v>296.69</v>
      </c>
    </row>
    <row r="4074" spans="1:13" x14ac:dyDescent="0.25">
      <c r="A4074" s="12" t="str">
        <f t="shared" si="128"/>
        <v>LVA1192026DEPARTAMENTO ESTADUAL DE TRANSITO DE PERNAMBUCOBOM46054</v>
      </c>
      <c r="B4074" s="12" t="str">
        <f t="shared" si="127"/>
        <v>Fevereiro</v>
      </c>
      <c r="C4074" s="8" t="s">
        <v>1848</v>
      </c>
      <c r="D4074" s="8" t="s">
        <v>1723</v>
      </c>
      <c r="E4074" s="8" t="s">
        <v>1724</v>
      </c>
      <c r="F4074" s="23">
        <v>46054</v>
      </c>
      <c r="G4074" s="8" t="s">
        <v>1725</v>
      </c>
      <c r="H4074" s="23">
        <v>46072</v>
      </c>
      <c r="I4074" s="23">
        <v>46054</v>
      </c>
      <c r="J4074" s="10">
        <v>296.69</v>
      </c>
      <c r="K4074" s="10">
        <v>0</v>
      </c>
      <c r="L4074" s="24">
        <v>0</v>
      </c>
      <c r="M4074" s="10">
        <v>296.69</v>
      </c>
    </row>
    <row r="4075" spans="1:13" x14ac:dyDescent="0.25">
      <c r="A4075" s="12" t="str">
        <f t="shared" si="128"/>
        <v>LVA1202026DEPARTAMENTO ESTADUAL DE TRANSITO DE PERNAMBUCOBOM46054</v>
      </c>
      <c r="B4075" s="12" t="str">
        <f t="shared" si="127"/>
        <v>Fevereiro</v>
      </c>
      <c r="C4075" s="8" t="s">
        <v>1849</v>
      </c>
      <c r="D4075" s="8" t="s">
        <v>1723</v>
      </c>
      <c r="E4075" s="8" t="s">
        <v>1724</v>
      </c>
      <c r="F4075" s="23">
        <v>46054</v>
      </c>
      <c r="G4075" s="8" t="s">
        <v>1725</v>
      </c>
      <c r="H4075" s="23">
        <v>46072</v>
      </c>
      <c r="I4075" s="23">
        <v>46054</v>
      </c>
      <c r="J4075" s="10">
        <v>296.69</v>
      </c>
      <c r="K4075" s="10">
        <v>0</v>
      </c>
      <c r="L4075" s="24">
        <v>0</v>
      </c>
      <c r="M4075" s="10">
        <v>296.69</v>
      </c>
    </row>
    <row r="4076" spans="1:13" x14ac:dyDescent="0.25">
      <c r="A4076" s="12" t="str">
        <f t="shared" si="128"/>
        <v>LVA1212026DEPARTAMENTO ESTADUAL DE TRANSITO DE PERNAMBUCOBOM46054</v>
      </c>
      <c r="B4076" s="12" t="str">
        <f t="shared" si="127"/>
        <v>Fevereiro</v>
      </c>
      <c r="C4076" s="8" t="s">
        <v>1850</v>
      </c>
      <c r="D4076" s="8" t="s">
        <v>1723</v>
      </c>
      <c r="E4076" s="8" t="s">
        <v>1724</v>
      </c>
      <c r="F4076" s="23">
        <v>46054</v>
      </c>
      <c r="G4076" s="8" t="s">
        <v>1725</v>
      </c>
      <c r="H4076" s="23">
        <v>46072</v>
      </c>
      <c r="I4076" s="23">
        <v>46054</v>
      </c>
      <c r="J4076" s="10">
        <v>296.69</v>
      </c>
      <c r="K4076" s="10">
        <v>0</v>
      </c>
      <c r="L4076" s="24">
        <v>0</v>
      </c>
      <c r="M4076" s="10">
        <v>296.69</v>
      </c>
    </row>
    <row r="4077" spans="1:13" x14ac:dyDescent="0.25">
      <c r="A4077" s="12" t="str">
        <f t="shared" si="128"/>
        <v>LVA1222026DEPARTAMENTO ESTADUAL DE TRANSITO DE PERNAMBUCOBOM46054</v>
      </c>
      <c r="B4077" s="12" t="str">
        <f t="shared" si="127"/>
        <v>Fevereiro</v>
      </c>
      <c r="C4077" s="8" t="s">
        <v>1851</v>
      </c>
      <c r="D4077" s="8" t="s">
        <v>1723</v>
      </c>
      <c r="E4077" s="8" t="s">
        <v>1724</v>
      </c>
      <c r="F4077" s="23">
        <v>46054</v>
      </c>
      <c r="G4077" s="8" t="s">
        <v>1725</v>
      </c>
      <c r="H4077" s="23">
        <v>46072</v>
      </c>
      <c r="I4077" s="23">
        <v>46054</v>
      </c>
      <c r="J4077" s="10">
        <v>296.69</v>
      </c>
      <c r="K4077" s="10">
        <v>0</v>
      </c>
      <c r="L4077" s="24">
        <v>0</v>
      </c>
      <c r="M4077" s="10">
        <v>296.69</v>
      </c>
    </row>
    <row r="4078" spans="1:13" x14ac:dyDescent="0.25">
      <c r="A4078" s="12" t="str">
        <f t="shared" si="128"/>
        <v>LVA1232026DEPARTAMENTO ESTADUAL DE TRANSITO DE PERNAMBUCOBOM46054</v>
      </c>
      <c r="B4078" s="12" t="str">
        <f t="shared" si="127"/>
        <v>Fevereiro</v>
      </c>
      <c r="C4078" s="8" t="s">
        <v>1852</v>
      </c>
      <c r="D4078" s="8" t="s">
        <v>1723</v>
      </c>
      <c r="E4078" s="8" t="s">
        <v>1724</v>
      </c>
      <c r="F4078" s="23">
        <v>46054</v>
      </c>
      <c r="G4078" s="8" t="s">
        <v>1725</v>
      </c>
      <c r="H4078" s="23">
        <v>46072</v>
      </c>
      <c r="I4078" s="23">
        <v>46054</v>
      </c>
      <c r="J4078" s="10">
        <v>296.69</v>
      </c>
      <c r="K4078" s="10">
        <v>0</v>
      </c>
      <c r="L4078" s="24">
        <v>0</v>
      </c>
      <c r="M4078" s="10">
        <v>296.69</v>
      </c>
    </row>
    <row r="4079" spans="1:13" x14ac:dyDescent="0.25">
      <c r="A4079" s="12" t="str">
        <f t="shared" si="128"/>
        <v>LVA1242026DEPARTAMENTO ESTADUAL DE TRANSITO DE PERNAMBUCOBOM46054</v>
      </c>
      <c r="B4079" s="12" t="str">
        <f t="shared" si="127"/>
        <v>Fevereiro</v>
      </c>
      <c r="C4079" s="8" t="s">
        <v>1853</v>
      </c>
      <c r="D4079" s="8" t="s">
        <v>1723</v>
      </c>
      <c r="E4079" s="8" t="s">
        <v>1724</v>
      </c>
      <c r="F4079" s="23">
        <v>46054</v>
      </c>
      <c r="G4079" s="8" t="s">
        <v>1725</v>
      </c>
      <c r="H4079" s="23">
        <v>46072</v>
      </c>
      <c r="I4079" s="23">
        <v>46054</v>
      </c>
      <c r="J4079" s="10">
        <v>296.69</v>
      </c>
      <c r="K4079" s="10">
        <v>0</v>
      </c>
      <c r="L4079" s="24">
        <v>0</v>
      </c>
      <c r="M4079" s="10">
        <v>296.69</v>
      </c>
    </row>
    <row r="4080" spans="1:13" x14ac:dyDescent="0.25">
      <c r="A4080" s="12" t="str">
        <f t="shared" si="128"/>
        <v>LVA1252026DEPARTAMENTO ESTADUAL DE TRANSITO DE PERNAMBUCOBOM46054</v>
      </c>
      <c r="B4080" s="12" t="str">
        <f t="shared" si="127"/>
        <v>Fevereiro</v>
      </c>
      <c r="C4080" s="8" t="s">
        <v>1854</v>
      </c>
      <c r="D4080" s="8" t="s">
        <v>1723</v>
      </c>
      <c r="E4080" s="8" t="s">
        <v>1724</v>
      </c>
      <c r="F4080" s="23">
        <v>46054</v>
      </c>
      <c r="G4080" s="8" t="s">
        <v>1725</v>
      </c>
      <c r="H4080" s="23">
        <v>46072</v>
      </c>
      <c r="I4080" s="23">
        <v>46054</v>
      </c>
      <c r="J4080" s="10">
        <v>296.69</v>
      </c>
      <c r="K4080" s="10">
        <v>0</v>
      </c>
      <c r="L4080" s="24">
        <v>0</v>
      </c>
      <c r="M4080" s="10">
        <v>296.69</v>
      </c>
    </row>
    <row r="4081" spans="1:13" x14ac:dyDescent="0.25">
      <c r="A4081" s="12" t="str">
        <f t="shared" si="128"/>
        <v>LVA1262026DEPARTAMENTO ESTADUAL DE TRANSITO DE PERNAMBUCOBOM46054</v>
      </c>
      <c r="B4081" s="12" t="str">
        <f t="shared" si="127"/>
        <v>Fevereiro</v>
      </c>
      <c r="C4081" s="8" t="s">
        <v>1722</v>
      </c>
      <c r="D4081" s="8" t="s">
        <v>1723</v>
      </c>
      <c r="E4081" s="8" t="s">
        <v>1724</v>
      </c>
      <c r="F4081" s="23">
        <v>46054</v>
      </c>
      <c r="G4081" s="8" t="s">
        <v>1725</v>
      </c>
      <c r="H4081" s="23">
        <v>46063</v>
      </c>
      <c r="I4081" s="23">
        <v>46054</v>
      </c>
      <c r="J4081" s="10">
        <v>296.69</v>
      </c>
      <c r="K4081" s="10">
        <v>0</v>
      </c>
      <c r="L4081" s="24">
        <v>0</v>
      </c>
      <c r="M4081" s="10">
        <v>296.69</v>
      </c>
    </row>
    <row r="4082" spans="1:13" x14ac:dyDescent="0.25">
      <c r="A4082" s="12" t="str">
        <f t="shared" si="128"/>
        <v>LVA1272026DEPARTAMENTO ESTADUAL DE TRANSITO DE PERNAMBUCOBOM46054</v>
      </c>
      <c r="B4082" s="12" t="str">
        <f t="shared" si="127"/>
        <v>Fevereiro</v>
      </c>
      <c r="C4082" s="8" t="s">
        <v>1726</v>
      </c>
      <c r="D4082" s="8" t="s">
        <v>1723</v>
      </c>
      <c r="E4082" s="8" t="s">
        <v>1724</v>
      </c>
      <c r="F4082" s="23">
        <v>46054</v>
      </c>
      <c r="G4082" s="8" t="s">
        <v>1725</v>
      </c>
      <c r="H4082" s="23">
        <v>46063</v>
      </c>
      <c r="I4082" s="23">
        <v>46054</v>
      </c>
      <c r="J4082" s="10">
        <v>296.69</v>
      </c>
      <c r="K4082" s="10">
        <v>0</v>
      </c>
      <c r="L4082" s="24">
        <v>0</v>
      </c>
      <c r="M4082" s="10">
        <v>296.69</v>
      </c>
    </row>
    <row r="4083" spans="1:13" x14ac:dyDescent="0.25">
      <c r="A4083" s="12" t="str">
        <f t="shared" si="128"/>
        <v>LVA1282026DEPARTAMENTO ESTADUAL DE TRANSITO DE PERNAMBUCOBOM46054</v>
      </c>
      <c r="B4083" s="12" t="str">
        <f t="shared" si="127"/>
        <v>Fevereiro</v>
      </c>
      <c r="C4083" s="8" t="s">
        <v>1855</v>
      </c>
      <c r="D4083" s="8" t="s">
        <v>1723</v>
      </c>
      <c r="E4083" s="8" t="s">
        <v>1724</v>
      </c>
      <c r="F4083" s="23">
        <v>46054</v>
      </c>
      <c r="G4083" s="8" t="s">
        <v>1725</v>
      </c>
      <c r="H4083" s="23">
        <v>46072</v>
      </c>
      <c r="I4083" s="23">
        <v>46054</v>
      </c>
      <c r="J4083" s="10">
        <v>296.69</v>
      </c>
      <c r="K4083" s="10">
        <v>0</v>
      </c>
      <c r="L4083" s="24">
        <v>0</v>
      </c>
      <c r="M4083" s="10">
        <v>296.69</v>
      </c>
    </row>
    <row r="4084" spans="1:13" x14ac:dyDescent="0.25">
      <c r="A4084" s="12" t="str">
        <f t="shared" si="128"/>
        <v>LVA1292026DEPARTAMENTO ESTADUAL DE TRANSITO DE PERNAMBUCOBOM46054</v>
      </c>
      <c r="B4084" s="12" t="str">
        <f t="shared" si="127"/>
        <v>Fevereiro</v>
      </c>
      <c r="C4084" s="8" t="s">
        <v>1856</v>
      </c>
      <c r="D4084" s="8" t="s">
        <v>1723</v>
      </c>
      <c r="E4084" s="8" t="s">
        <v>1724</v>
      </c>
      <c r="F4084" s="23">
        <v>46054</v>
      </c>
      <c r="G4084" s="8" t="s">
        <v>1725</v>
      </c>
      <c r="H4084" s="23">
        <v>46072</v>
      </c>
      <c r="I4084" s="23">
        <v>46054</v>
      </c>
      <c r="J4084" s="10">
        <v>296.69</v>
      </c>
      <c r="K4084" s="10">
        <v>0</v>
      </c>
      <c r="L4084" s="24">
        <v>0</v>
      </c>
      <c r="M4084" s="10">
        <v>296.69</v>
      </c>
    </row>
    <row r="4085" spans="1:13" x14ac:dyDescent="0.25">
      <c r="A4085" s="12" t="str">
        <f t="shared" si="128"/>
        <v>LVA1302026DEPARTAMENTO ESTADUAL DE TRANSITO DE PERNAMBUCOBOM46054</v>
      </c>
      <c r="B4085" s="12" t="str">
        <f t="shared" si="127"/>
        <v>Fevereiro</v>
      </c>
      <c r="C4085" s="8" t="s">
        <v>1727</v>
      </c>
      <c r="D4085" s="8" t="s">
        <v>1723</v>
      </c>
      <c r="E4085" s="8" t="s">
        <v>1724</v>
      </c>
      <c r="F4085" s="23">
        <v>46054</v>
      </c>
      <c r="G4085" s="8" t="s">
        <v>1725</v>
      </c>
      <c r="H4085" s="23">
        <v>46063</v>
      </c>
      <c r="I4085" s="23">
        <v>46054</v>
      </c>
      <c r="J4085" s="10">
        <v>296.69</v>
      </c>
      <c r="K4085" s="10">
        <v>0</v>
      </c>
      <c r="L4085" s="24">
        <v>0</v>
      </c>
      <c r="M4085" s="10">
        <v>296.69</v>
      </c>
    </row>
    <row r="4086" spans="1:13" x14ac:dyDescent="0.25">
      <c r="A4086" s="12" t="str">
        <f t="shared" si="128"/>
        <v>LVA1312026DEPARTAMENTO ESTADUAL DE TRANSITO DE PERNAMBUCOBOM46054</v>
      </c>
      <c r="B4086" s="12" t="str">
        <f t="shared" si="127"/>
        <v>Fevereiro</v>
      </c>
      <c r="C4086" s="8" t="s">
        <v>1728</v>
      </c>
      <c r="D4086" s="8" t="s">
        <v>1723</v>
      </c>
      <c r="E4086" s="8" t="s">
        <v>1724</v>
      </c>
      <c r="F4086" s="23">
        <v>46054</v>
      </c>
      <c r="G4086" s="8" t="s">
        <v>1725</v>
      </c>
      <c r="H4086" s="23">
        <v>46063</v>
      </c>
      <c r="I4086" s="23">
        <v>46054</v>
      </c>
      <c r="J4086" s="10">
        <v>296.69</v>
      </c>
      <c r="K4086" s="10">
        <v>0</v>
      </c>
      <c r="L4086" s="24">
        <v>0</v>
      </c>
      <c r="M4086" s="10">
        <v>296.69</v>
      </c>
    </row>
    <row r="4087" spans="1:13" x14ac:dyDescent="0.25">
      <c r="A4087" s="12" t="str">
        <f t="shared" si="128"/>
        <v>LVA1322026DEPARTAMENTO ESTADUAL DE TRANSITO DE PERNAMBUCOBOM46057</v>
      </c>
      <c r="B4087" s="12" t="str">
        <f t="shared" si="127"/>
        <v>Fevereiro</v>
      </c>
      <c r="C4087" s="8" t="s">
        <v>1857</v>
      </c>
      <c r="D4087" s="8" t="s">
        <v>1723</v>
      </c>
      <c r="E4087" s="8" t="s">
        <v>1724</v>
      </c>
      <c r="F4087" s="23">
        <v>46057</v>
      </c>
      <c r="G4087" s="8" t="s">
        <v>1725</v>
      </c>
      <c r="H4087" s="23">
        <v>46072</v>
      </c>
      <c r="I4087" s="23">
        <v>46057</v>
      </c>
      <c r="J4087" s="10">
        <v>296.69</v>
      </c>
      <c r="K4087" s="10">
        <v>0</v>
      </c>
      <c r="L4087" s="24">
        <v>0</v>
      </c>
      <c r="M4087" s="10">
        <v>296.69</v>
      </c>
    </row>
    <row r="4088" spans="1:13" x14ac:dyDescent="0.25">
      <c r="A4088" s="12" t="str">
        <f t="shared" si="128"/>
        <v>LVA1332026DEPARTAMENTO ESTADUAL DE TRANSITO DE PERNAMBUCOBOM46054</v>
      </c>
      <c r="B4088" s="12" t="str">
        <f t="shared" si="127"/>
        <v>Fevereiro</v>
      </c>
      <c r="C4088" s="8" t="s">
        <v>1858</v>
      </c>
      <c r="D4088" s="8" t="s">
        <v>1723</v>
      </c>
      <c r="E4088" s="8" t="s">
        <v>1724</v>
      </c>
      <c r="F4088" s="23">
        <v>46054</v>
      </c>
      <c r="G4088" s="8" t="s">
        <v>1725</v>
      </c>
      <c r="H4088" s="23">
        <v>46072</v>
      </c>
      <c r="I4088" s="23">
        <v>46054</v>
      </c>
      <c r="J4088" s="10">
        <v>296.69</v>
      </c>
      <c r="K4088" s="10">
        <v>0</v>
      </c>
      <c r="L4088" s="24">
        <v>0</v>
      </c>
      <c r="M4088" s="10">
        <v>296.69</v>
      </c>
    </row>
    <row r="4089" spans="1:13" x14ac:dyDescent="0.25">
      <c r="A4089" s="12" t="str">
        <f t="shared" si="128"/>
        <v>LVA1342026DEPARTAMENTO ESTADUAL DE TRANSITO DE PERNAMBUCOBOM46054</v>
      </c>
      <c r="B4089" s="12" t="str">
        <f t="shared" si="127"/>
        <v>Fevereiro</v>
      </c>
      <c r="C4089" s="8" t="s">
        <v>1859</v>
      </c>
      <c r="D4089" s="8" t="s">
        <v>1723</v>
      </c>
      <c r="E4089" s="8" t="s">
        <v>1724</v>
      </c>
      <c r="F4089" s="23">
        <v>46054</v>
      </c>
      <c r="G4089" s="8" t="s">
        <v>1725</v>
      </c>
      <c r="H4089" s="23">
        <v>46072</v>
      </c>
      <c r="I4089" s="23">
        <v>46054</v>
      </c>
      <c r="J4089" s="10">
        <v>296.69</v>
      </c>
      <c r="K4089" s="10">
        <v>0</v>
      </c>
      <c r="L4089" s="24">
        <v>0</v>
      </c>
      <c r="M4089" s="10">
        <v>296.69</v>
      </c>
    </row>
    <row r="4090" spans="1:13" x14ac:dyDescent="0.25">
      <c r="A4090" s="12" t="str">
        <f t="shared" si="128"/>
        <v>LVA1352026DEPARTAMENTO ESTADUAL DE TRANSITO DE PERNAMBUCOBOM46054</v>
      </c>
      <c r="B4090" s="12" t="str">
        <f t="shared" si="127"/>
        <v>Fevereiro</v>
      </c>
      <c r="C4090" s="8" t="s">
        <v>1860</v>
      </c>
      <c r="D4090" s="8" t="s">
        <v>1723</v>
      </c>
      <c r="E4090" s="8" t="s">
        <v>1724</v>
      </c>
      <c r="F4090" s="23">
        <v>46054</v>
      </c>
      <c r="G4090" s="8" t="s">
        <v>1725</v>
      </c>
      <c r="H4090" s="23">
        <v>46072</v>
      </c>
      <c r="I4090" s="23">
        <v>46054</v>
      </c>
      <c r="J4090" s="10">
        <v>296.69</v>
      </c>
      <c r="K4090" s="10">
        <v>0</v>
      </c>
      <c r="L4090" s="24">
        <v>0</v>
      </c>
      <c r="M4090" s="10">
        <v>296.69</v>
      </c>
    </row>
    <row r="4091" spans="1:13" x14ac:dyDescent="0.25">
      <c r="A4091" s="12" t="str">
        <f t="shared" si="128"/>
        <v>LVA1362026DEPARTAMENTO ESTADUAL DE TRANSITO DE PERNAMBUCOBOM46054</v>
      </c>
      <c r="B4091" s="12" t="str">
        <f t="shared" si="127"/>
        <v>Fevereiro</v>
      </c>
      <c r="C4091" s="8" t="s">
        <v>1861</v>
      </c>
      <c r="D4091" s="8" t="s">
        <v>1723</v>
      </c>
      <c r="E4091" s="8" t="s">
        <v>1724</v>
      </c>
      <c r="F4091" s="23">
        <v>46054</v>
      </c>
      <c r="G4091" s="8" t="s">
        <v>1725</v>
      </c>
      <c r="H4091" s="23">
        <v>46072</v>
      </c>
      <c r="I4091" s="23">
        <v>46054</v>
      </c>
      <c r="J4091" s="10">
        <v>296.69</v>
      </c>
      <c r="K4091" s="10">
        <v>0</v>
      </c>
      <c r="L4091" s="24">
        <v>0</v>
      </c>
      <c r="M4091" s="10">
        <v>296.69</v>
      </c>
    </row>
    <row r="4092" spans="1:13" x14ac:dyDescent="0.25">
      <c r="A4092" s="12" t="str">
        <f t="shared" si="128"/>
        <v>LVA1372026DEPARTAMENTO ESTADUAL DE TRANSITO DE PERNAMBUCOBOM46054</v>
      </c>
      <c r="B4092" s="12" t="str">
        <f t="shared" si="127"/>
        <v>Fevereiro</v>
      </c>
      <c r="C4092" s="8" t="s">
        <v>1862</v>
      </c>
      <c r="D4092" s="8" t="s">
        <v>1723</v>
      </c>
      <c r="E4092" s="8" t="s">
        <v>1724</v>
      </c>
      <c r="F4092" s="23">
        <v>46054</v>
      </c>
      <c r="G4092" s="8" t="s">
        <v>1725</v>
      </c>
      <c r="H4092" s="23">
        <v>46072</v>
      </c>
      <c r="I4092" s="23">
        <v>46054</v>
      </c>
      <c r="J4092" s="10">
        <v>296.69</v>
      </c>
      <c r="K4092" s="10">
        <v>0</v>
      </c>
      <c r="L4092" s="24">
        <v>0</v>
      </c>
      <c r="M4092" s="10">
        <v>296.69</v>
      </c>
    </row>
    <row r="4093" spans="1:13" x14ac:dyDescent="0.25">
      <c r="A4093" s="12" t="str">
        <f t="shared" si="128"/>
        <v>LVA1382026DEPARTAMENTO ESTADUAL DE TRANSITO DE PERNAMBUCOBOM46054</v>
      </c>
      <c r="B4093" s="12" t="str">
        <f t="shared" si="127"/>
        <v>Fevereiro</v>
      </c>
      <c r="C4093" s="8" t="s">
        <v>1863</v>
      </c>
      <c r="D4093" s="8" t="s">
        <v>1723</v>
      </c>
      <c r="E4093" s="8" t="s">
        <v>1724</v>
      </c>
      <c r="F4093" s="23">
        <v>46054</v>
      </c>
      <c r="G4093" s="8" t="s">
        <v>1725</v>
      </c>
      <c r="H4093" s="23">
        <v>46072</v>
      </c>
      <c r="I4093" s="23">
        <v>46054</v>
      </c>
      <c r="J4093" s="10">
        <v>296.69</v>
      </c>
      <c r="K4093" s="10">
        <v>0</v>
      </c>
      <c r="L4093" s="24">
        <v>0</v>
      </c>
      <c r="M4093" s="10">
        <v>296.69</v>
      </c>
    </row>
    <row r="4094" spans="1:13" x14ac:dyDescent="0.25">
      <c r="A4094" s="12" t="str">
        <f t="shared" si="128"/>
        <v>LVA1392026DEPARTAMENTO ESTADUAL DE TRANSITO DE PERNAMBUCOBOM46054</v>
      </c>
      <c r="B4094" s="12" t="str">
        <f t="shared" si="127"/>
        <v>Fevereiro</v>
      </c>
      <c r="C4094" s="8" t="s">
        <v>1864</v>
      </c>
      <c r="D4094" s="8" t="s">
        <v>1723</v>
      </c>
      <c r="E4094" s="8" t="s">
        <v>1724</v>
      </c>
      <c r="F4094" s="23">
        <v>46054</v>
      </c>
      <c r="G4094" s="8" t="s">
        <v>1725</v>
      </c>
      <c r="H4094" s="23">
        <v>46072</v>
      </c>
      <c r="I4094" s="23">
        <v>46054</v>
      </c>
      <c r="J4094" s="10">
        <v>296.69</v>
      </c>
      <c r="K4094" s="10">
        <v>0</v>
      </c>
      <c r="L4094" s="24">
        <v>0</v>
      </c>
      <c r="M4094" s="10">
        <v>296.69</v>
      </c>
    </row>
    <row r="4095" spans="1:13" x14ac:dyDescent="0.25">
      <c r="A4095" s="12" t="str">
        <f t="shared" si="128"/>
        <v>LVA1402026DEPARTAMENTO ESTADUAL DE TRANSITO DE PERNAMBUCOBOM46054</v>
      </c>
      <c r="B4095" s="12" t="str">
        <f t="shared" si="127"/>
        <v>Fevereiro</v>
      </c>
      <c r="C4095" s="8" t="s">
        <v>1865</v>
      </c>
      <c r="D4095" s="8" t="s">
        <v>1723</v>
      </c>
      <c r="E4095" s="8" t="s">
        <v>1724</v>
      </c>
      <c r="F4095" s="23">
        <v>46054</v>
      </c>
      <c r="G4095" s="8" t="s">
        <v>1725</v>
      </c>
      <c r="H4095" s="23">
        <v>46072</v>
      </c>
      <c r="I4095" s="23">
        <v>46054</v>
      </c>
      <c r="J4095" s="10">
        <v>296.69</v>
      </c>
      <c r="K4095" s="10">
        <v>0</v>
      </c>
      <c r="L4095" s="24">
        <v>0</v>
      </c>
      <c r="M4095" s="10">
        <v>296.69</v>
      </c>
    </row>
    <row r="4096" spans="1:13" x14ac:dyDescent="0.25">
      <c r="A4096" s="12" t="str">
        <f t="shared" si="128"/>
        <v>LVA1412026DEPARTAMENTO ESTADUAL DE TRANSITO DE PERNAMBUCOBOM46054</v>
      </c>
      <c r="B4096" s="12" t="str">
        <f t="shared" si="127"/>
        <v>Fevereiro</v>
      </c>
      <c r="C4096" s="8" t="s">
        <v>1866</v>
      </c>
      <c r="D4096" s="8" t="s">
        <v>1723</v>
      </c>
      <c r="E4096" s="8" t="s">
        <v>1724</v>
      </c>
      <c r="F4096" s="23">
        <v>46054</v>
      </c>
      <c r="G4096" s="8" t="s">
        <v>1725</v>
      </c>
      <c r="H4096" s="23">
        <v>46072</v>
      </c>
      <c r="I4096" s="23">
        <v>46054</v>
      </c>
      <c r="J4096" s="10">
        <v>296.69</v>
      </c>
      <c r="K4096" s="10">
        <v>0</v>
      </c>
      <c r="L4096" s="24">
        <v>0</v>
      </c>
      <c r="M4096" s="10">
        <v>296.69</v>
      </c>
    </row>
    <row r="4097" spans="1:13" x14ac:dyDescent="0.25">
      <c r="A4097" s="12" t="str">
        <f t="shared" si="128"/>
        <v>LVA1422026DEPARTAMENTO ESTADUAL DE TRANSITO DE PERNAMBUCOBOM46054</v>
      </c>
      <c r="B4097" s="12" t="str">
        <f t="shared" si="127"/>
        <v>Fevereiro</v>
      </c>
      <c r="C4097" s="8" t="s">
        <v>1867</v>
      </c>
      <c r="D4097" s="8" t="s">
        <v>1723</v>
      </c>
      <c r="E4097" s="8" t="s">
        <v>1724</v>
      </c>
      <c r="F4097" s="23">
        <v>46054</v>
      </c>
      <c r="G4097" s="8" t="s">
        <v>1725</v>
      </c>
      <c r="H4097" s="23">
        <v>46072</v>
      </c>
      <c r="I4097" s="23">
        <v>46054</v>
      </c>
      <c r="J4097" s="10">
        <v>296.69</v>
      </c>
      <c r="K4097" s="10">
        <v>0</v>
      </c>
      <c r="L4097" s="24">
        <v>0</v>
      </c>
      <c r="M4097" s="10">
        <v>296.69</v>
      </c>
    </row>
    <row r="4098" spans="1:13" x14ac:dyDescent="0.25">
      <c r="A4098" s="12" t="str">
        <f t="shared" si="128"/>
        <v>LVA1432026DEPARTAMENTO ESTADUAL DE TRANSITO DE PERNAMBUCOBOM46054</v>
      </c>
      <c r="B4098" s="12" t="str">
        <f t="shared" si="127"/>
        <v>Fevereiro</v>
      </c>
      <c r="C4098" s="8" t="s">
        <v>1868</v>
      </c>
      <c r="D4098" s="8" t="s">
        <v>1723</v>
      </c>
      <c r="E4098" s="8" t="s">
        <v>1724</v>
      </c>
      <c r="F4098" s="23">
        <v>46054</v>
      </c>
      <c r="G4098" s="8" t="s">
        <v>1725</v>
      </c>
      <c r="H4098" s="23">
        <v>46072</v>
      </c>
      <c r="I4098" s="23">
        <v>46054</v>
      </c>
      <c r="J4098" s="10">
        <v>296.69</v>
      </c>
      <c r="K4098" s="10">
        <v>0</v>
      </c>
      <c r="L4098" s="24">
        <v>0</v>
      </c>
      <c r="M4098" s="10">
        <v>296.69</v>
      </c>
    </row>
    <row r="4099" spans="1:13" x14ac:dyDescent="0.25">
      <c r="A4099" s="12" t="str">
        <f t="shared" si="128"/>
        <v>LVA1442026DEPARTAMENTO ESTADUAL DE TRANSITO DE PERNAMBUCOBOM46063</v>
      </c>
      <c r="B4099" s="12" t="str">
        <f t="shared" ref="B4099:B4162" si="129">PROPER(TEXT($H4099,"MMMM"))</f>
        <v>Fevereiro</v>
      </c>
      <c r="C4099" s="8" t="s">
        <v>1895</v>
      </c>
      <c r="D4099" s="8" t="s">
        <v>1723</v>
      </c>
      <c r="E4099" s="8" t="s">
        <v>1724</v>
      </c>
      <c r="F4099" s="23">
        <v>46063</v>
      </c>
      <c r="G4099" s="8" t="s">
        <v>1725</v>
      </c>
      <c r="H4099" s="23">
        <v>46073</v>
      </c>
      <c r="I4099" s="23">
        <v>46063</v>
      </c>
      <c r="J4099" s="10">
        <v>296.69</v>
      </c>
      <c r="K4099" s="10">
        <v>0</v>
      </c>
      <c r="L4099" s="24">
        <v>0</v>
      </c>
      <c r="M4099" s="10">
        <v>296.69</v>
      </c>
    </row>
    <row r="4100" spans="1:13" x14ac:dyDescent="0.25">
      <c r="A4100" s="12" t="str">
        <f t="shared" si="128"/>
        <v>LVA1452026DEPARTAMENTO ESTADUAL DE TRANSITO DE PERNAMBUCOBOM46054</v>
      </c>
      <c r="B4100" s="12" t="str">
        <f t="shared" si="129"/>
        <v>Fevereiro</v>
      </c>
      <c r="C4100" s="8" t="s">
        <v>1869</v>
      </c>
      <c r="D4100" s="8" t="s">
        <v>1723</v>
      </c>
      <c r="E4100" s="8" t="s">
        <v>1724</v>
      </c>
      <c r="F4100" s="23">
        <v>46054</v>
      </c>
      <c r="G4100" s="8" t="s">
        <v>1725</v>
      </c>
      <c r="H4100" s="23">
        <v>46072</v>
      </c>
      <c r="I4100" s="23">
        <v>46054</v>
      </c>
      <c r="J4100" s="10">
        <v>296.69</v>
      </c>
      <c r="K4100" s="10">
        <v>0</v>
      </c>
      <c r="L4100" s="24">
        <v>0</v>
      </c>
      <c r="M4100" s="10">
        <v>296.69</v>
      </c>
    </row>
    <row r="4101" spans="1:13" x14ac:dyDescent="0.25">
      <c r="A4101" s="12" t="str">
        <f t="shared" si="128"/>
        <v>LVA1462026DEPARTAMENTO ESTADUAL DE TRANSITO DE PERNAMBUCOBOM46054</v>
      </c>
      <c r="B4101" s="12" t="str">
        <f t="shared" si="129"/>
        <v>Fevereiro</v>
      </c>
      <c r="C4101" s="8" t="s">
        <v>1870</v>
      </c>
      <c r="D4101" s="8" t="s">
        <v>1723</v>
      </c>
      <c r="E4101" s="8" t="s">
        <v>1724</v>
      </c>
      <c r="F4101" s="23">
        <v>46054</v>
      </c>
      <c r="G4101" s="8" t="s">
        <v>1725</v>
      </c>
      <c r="H4101" s="23">
        <v>46072</v>
      </c>
      <c r="I4101" s="23">
        <v>46054</v>
      </c>
      <c r="J4101" s="10">
        <v>296.69</v>
      </c>
      <c r="K4101" s="10">
        <v>0</v>
      </c>
      <c r="L4101" s="24">
        <v>0</v>
      </c>
      <c r="M4101" s="10">
        <v>296.69</v>
      </c>
    </row>
    <row r="4102" spans="1:13" x14ac:dyDescent="0.25">
      <c r="A4102" s="12" t="str">
        <f t="shared" si="128"/>
        <v>LVA1472026DEPARTAMENTO ESTADUAL DE TRANSITO DE PERNAMBUCOBOM46054</v>
      </c>
      <c r="B4102" s="12" t="str">
        <f t="shared" si="129"/>
        <v>Fevereiro</v>
      </c>
      <c r="C4102" s="8" t="s">
        <v>1871</v>
      </c>
      <c r="D4102" s="8" t="s">
        <v>1723</v>
      </c>
      <c r="E4102" s="8" t="s">
        <v>1724</v>
      </c>
      <c r="F4102" s="23">
        <v>46054</v>
      </c>
      <c r="G4102" s="8" t="s">
        <v>1725</v>
      </c>
      <c r="H4102" s="23">
        <v>46072</v>
      </c>
      <c r="I4102" s="23">
        <v>46054</v>
      </c>
      <c r="J4102" s="10">
        <v>296.69</v>
      </c>
      <c r="K4102" s="10">
        <v>0</v>
      </c>
      <c r="L4102" s="24">
        <v>0</v>
      </c>
      <c r="M4102" s="10">
        <v>296.69</v>
      </c>
    </row>
    <row r="4103" spans="1:13" x14ac:dyDescent="0.25">
      <c r="A4103" s="12" t="str">
        <f t="shared" si="128"/>
        <v>LVA1482026DEPARTAMENTO ESTADUAL DE TRANSITO DE PERNAMBUCOBOM46054</v>
      </c>
      <c r="B4103" s="12" t="str">
        <f t="shared" si="129"/>
        <v>Fevereiro</v>
      </c>
      <c r="C4103" s="8" t="s">
        <v>1872</v>
      </c>
      <c r="D4103" s="8" t="s">
        <v>1723</v>
      </c>
      <c r="E4103" s="8" t="s">
        <v>1724</v>
      </c>
      <c r="F4103" s="23">
        <v>46054</v>
      </c>
      <c r="G4103" s="8" t="s">
        <v>1725</v>
      </c>
      <c r="H4103" s="23">
        <v>46072</v>
      </c>
      <c r="I4103" s="23">
        <v>46054</v>
      </c>
      <c r="J4103" s="10">
        <v>296.69</v>
      </c>
      <c r="K4103" s="10">
        <v>0</v>
      </c>
      <c r="L4103" s="24">
        <v>0</v>
      </c>
      <c r="M4103" s="10">
        <v>296.69</v>
      </c>
    </row>
    <row r="4104" spans="1:13" x14ac:dyDescent="0.25">
      <c r="A4104" s="12" t="str">
        <f t="shared" si="128"/>
        <v>LVA1492026DEPARTAMENTO ESTADUAL DE TRANSITO DE PERNAMBUCOBOM46054</v>
      </c>
      <c r="B4104" s="12" t="str">
        <f t="shared" si="129"/>
        <v>Fevereiro</v>
      </c>
      <c r="C4104" s="8" t="s">
        <v>1729</v>
      </c>
      <c r="D4104" s="8" t="s">
        <v>1723</v>
      </c>
      <c r="E4104" s="8" t="s">
        <v>1724</v>
      </c>
      <c r="F4104" s="23">
        <v>46054</v>
      </c>
      <c r="G4104" s="8" t="s">
        <v>1725</v>
      </c>
      <c r="H4104" s="23">
        <v>46063</v>
      </c>
      <c r="I4104" s="23">
        <v>46054</v>
      </c>
      <c r="J4104" s="10">
        <v>296.69</v>
      </c>
      <c r="K4104" s="10">
        <v>0</v>
      </c>
      <c r="L4104" s="24">
        <v>0</v>
      </c>
      <c r="M4104" s="10">
        <v>296.69</v>
      </c>
    </row>
    <row r="4105" spans="1:13" x14ac:dyDescent="0.25">
      <c r="A4105" s="12" t="str">
        <f t="shared" si="128"/>
        <v>LVA1502026DEPARTAMENTO ESTADUAL DE TRANSITO DE PERNAMBUCOBOM46054</v>
      </c>
      <c r="B4105" s="12" t="str">
        <f t="shared" si="129"/>
        <v>Fevereiro</v>
      </c>
      <c r="C4105" s="8" t="s">
        <v>1873</v>
      </c>
      <c r="D4105" s="8" t="s">
        <v>1723</v>
      </c>
      <c r="E4105" s="8" t="s">
        <v>1724</v>
      </c>
      <c r="F4105" s="23">
        <v>46054</v>
      </c>
      <c r="G4105" s="8" t="s">
        <v>1725</v>
      </c>
      <c r="H4105" s="23">
        <v>46072</v>
      </c>
      <c r="I4105" s="23">
        <v>46054</v>
      </c>
      <c r="J4105" s="10">
        <v>296.69</v>
      </c>
      <c r="K4105" s="10">
        <v>0</v>
      </c>
      <c r="L4105" s="24">
        <v>0</v>
      </c>
      <c r="M4105" s="10">
        <v>296.69</v>
      </c>
    </row>
    <row r="4106" spans="1:13" x14ac:dyDescent="0.25">
      <c r="A4106" s="12" t="str">
        <f t="shared" si="128"/>
        <v>LVA1512026DEPARTAMENTO ESTADUAL DE TRANSITO DE PERNAMBUCOBOM46054</v>
      </c>
      <c r="B4106" s="12" t="str">
        <f t="shared" si="129"/>
        <v>Fevereiro</v>
      </c>
      <c r="C4106" s="8" t="s">
        <v>1730</v>
      </c>
      <c r="D4106" s="8" t="s">
        <v>1723</v>
      </c>
      <c r="E4106" s="8" t="s">
        <v>1724</v>
      </c>
      <c r="F4106" s="23">
        <v>46054</v>
      </c>
      <c r="G4106" s="8" t="s">
        <v>1725</v>
      </c>
      <c r="H4106" s="23">
        <v>46063</v>
      </c>
      <c r="I4106" s="23">
        <v>46054</v>
      </c>
      <c r="J4106" s="10">
        <v>296.69</v>
      </c>
      <c r="K4106" s="10">
        <v>0</v>
      </c>
      <c r="L4106" s="24">
        <v>0</v>
      </c>
      <c r="M4106" s="10">
        <v>296.69</v>
      </c>
    </row>
    <row r="4107" spans="1:13" x14ac:dyDescent="0.25">
      <c r="A4107" s="12" t="str">
        <f t="shared" si="128"/>
        <v>LVA1522026DEPARTAMENTO ESTADUAL DE TRANSITO DE PERNAMBUCOBOM46054</v>
      </c>
      <c r="B4107" s="12" t="str">
        <f t="shared" si="129"/>
        <v>Fevereiro</v>
      </c>
      <c r="C4107" s="8" t="s">
        <v>1874</v>
      </c>
      <c r="D4107" s="8" t="s">
        <v>1723</v>
      </c>
      <c r="E4107" s="8" t="s">
        <v>1724</v>
      </c>
      <c r="F4107" s="23">
        <v>46054</v>
      </c>
      <c r="G4107" s="8" t="s">
        <v>1725</v>
      </c>
      <c r="H4107" s="23">
        <v>46072</v>
      </c>
      <c r="I4107" s="23">
        <v>46054</v>
      </c>
      <c r="J4107" s="10">
        <v>296.69</v>
      </c>
      <c r="K4107" s="10">
        <v>0</v>
      </c>
      <c r="L4107" s="24">
        <v>0</v>
      </c>
      <c r="M4107" s="10">
        <v>296.69</v>
      </c>
    </row>
    <row r="4108" spans="1:13" x14ac:dyDescent="0.25">
      <c r="A4108" s="12" t="str">
        <f t="shared" si="128"/>
        <v>LVA1532026DEPARTAMENTO ESTADUAL DE TRANSITO DE PERNAMBUCOBOM46054</v>
      </c>
      <c r="B4108" s="12" t="str">
        <f t="shared" si="129"/>
        <v>Fevereiro</v>
      </c>
      <c r="C4108" s="8" t="s">
        <v>1875</v>
      </c>
      <c r="D4108" s="8" t="s">
        <v>1723</v>
      </c>
      <c r="E4108" s="8" t="s">
        <v>1724</v>
      </c>
      <c r="F4108" s="23">
        <v>46054</v>
      </c>
      <c r="G4108" s="8" t="s">
        <v>1725</v>
      </c>
      <c r="H4108" s="23">
        <v>46072</v>
      </c>
      <c r="I4108" s="23">
        <v>46054</v>
      </c>
      <c r="J4108" s="10">
        <v>296.69</v>
      </c>
      <c r="K4108" s="10">
        <v>0</v>
      </c>
      <c r="L4108" s="24">
        <v>0</v>
      </c>
      <c r="M4108" s="10">
        <v>296.69</v>
      </c>
    </row>
    <row r="4109" spans="1:13" x14ac:dyDescent="0.25">
      <c r="A4109" s="12" t="str">
        <f t="shared" si="128"/>
        <v>LVA1542026DEPARTAMENTO ESTADUAL DE TRANSITO DE PERNAMBUCOBOM46054</v>
      </c>
      <c r="B4109" s="12" t="str">
        <f t="shared" si="129"/>
        <v>Fevereiro</v>
      </c>
      <c r="C4109" s="8" t="s">
        <v>1731</v>
      </c>
      <c r="D4109" s="8" t="s">
        <v>1723</v>
      </c>
      <c r="E4109" s="8" t="s">
        <v>1724</v>
      </c>
      <c r="F4109" s="23">
        <v>46054</v>
      </c>
      <c r="G4109" s="8" t="s">
        <v>1725</v>
      </c>
      <c r="H4109" s="23">
        <v>46063</v>
      </c>
      <c r="I4109" s="23">
        <v>46054</v>
      </c>
      <c r="J4109" s="10">
        <v>296.69</v>
      </c>
      <c r="K4109" s="10">
        <v>0</v>
      </c>
      <c r="L4109" s="24">
        <v>0</v>
      </c>
      <c r="M4109" s="10">
        <v>296.69</v>
      </c>
    </row>
    <row r="4110" spans="1:13" x14ac:dyDescent="0.25">
      <c r="A4110" s="12" t="str">
        <f t="shared" si="128"/>
        <v>LVA1552026DEPARTAMENTO ESTADUAL DE TRANSITO DE PERNAMBUCOBOM46054</v>
      </c>
      <c r="B4110" s="12" t="str">
        <f t="shared" si="129"/>
        <v>Fevereiro</v>
      </c>
      <c r="C4110" s="8" t="s">
        <v>1876</v>
      </c>
      <c r="D4110" s="8" t="s">
        <v>1723</v>
      </c>
      <c r="E4110" s="8" t="s">
        <v>1724</v>
      </c>
      <c r="F4110" s="23">
        <v>46054</v>
      </c>
      <c r="G4110" s="8" t="s">
        <v>1725</v>
      </c>
      <c r="H4110" s="23">
        <v>46072</v>
      </c>
      <c r="I4110" s="23">
        <v>46054</v>
      </c>
      <c r="J4110" s="10">
        <v>296.69</v>
      </c>
      <c r="K4110" s="10">
        <v>0</v>
      </c>
      <c r="L4110" s="24">
        <v>0</v>
      </c>
      <c r="M4110" s="10">
        <v>296.69</v>
      </c>
    </row>
    <row r="4111" spans="1:13" x14ac:dyDescent="0.25">
      <c r="A4111" s="12" t="str">
        <f t="shared" si="128"/>
        <v>LVA1562026DEPARTAMENTO ESTADUAL DE TRANSITO DE PERNAMBUCOBOM46054</v>
      </c>
      <c r="B4111" s="12" t="str">
        <f t="shared" si="129"/>
        <v>Fevereiro</v>
      </c>
      <c r="C4111" s="8" t="s">
        <v>1732</v>
      </c>
      <c r="D4111" s="8" t="s">
        <v>1723</v>
      </c>
      <c r="E4111" s="8" t="s">
        <v>1724</v>
      </c>
      <c r="F4111" s="23">
        <v>46054</v>
      </c>
      <c r="G4111" s="8" t="s">
        <v>1725</v>
      </c>
      <c r="H4111" s="23">
        <v>46063</v>
      </c>
      <c r="I4111" s="23">
        <v>46054</v>
      </c>
      <c r="J4111" s="10">
        <v>296.69</v>
      </c>
      <c r="K4111" s="10">
        <v>0</v>
      </c>
      <c r="L4111" s="24">
        <v>0</v>
      </c>
      <c r="M4111" s="10">
        <v>296.69</v>
      </c>
    </row>
    <row r="4112" spans="1:13" x14ac:dyDescent="0.25">
      <c r="A4112" s="12" t="str">
        <f t="shared" si="128"/>
        <v>LVA1572026DEPARTAMENTO ESTADUAL DE TRANSITO DE PERNAMBUCOBOM46054</v>
      </c>
      <c r="B4112" s="12" t="str">
        <f t="shared" si="129"/>
        <v>Fevereiro</v>
      </c>
      <c r="C4112" s="8" t="s">
        <v>1733</v>
      </c>
      <c r="D4112" s="8" t="s">
        <v>1723</v>
      </c>
      <c r="E4112" s="8" t="s">
        <v>1724</v>
      </c>
      <c r="F4112" s="23">
        <v>46054</v>
      </c>
      <c r="G4112" s="8" t="s">
        <v>1725</v>
      </c>
      <c r="H4112" s="23">
        <v>46063</v>
      </c>
      <c r="I4112" s="23">
        <v>46054</v>
      </c>
      <c r="J4112" s="10">
        <v>296.69</v>
      </c>
      <c r="K4112" s="10">
        <v>0</v>
      </c>
      <c r="L4112" s="24">
        <v>0</v>
      </c>
      <c r="M4112" s="10">
        <v>296.69</v>
      </c>
    </row>
    <row r="4113" spans="1:13" x14ac:dyDescent="0.25">
      <c r="A4113" s="12" t="str">
        <f t="shared" si="128"/>
        <v>LVA1582026DEPARTAMENTO ESTADUAL DE TRANSITO DE PERNAMBUCOBOM46054</v>
      </c>
      <c r="B4113" s="12" t="str">
        <f t="shared" si="129"/>
        <v>Fevereiro</v>
      </c>
      <c r="C4113" s="8" t="s">
        <v>1734</v>
      </c>
      <c r="D4113" s="8" t="s">
        <v>1723</v>
      </c>
      <c r="E4113" s="8" t="s">
        <v>1724</v>
      </c>
      <c r="F4113" s="23">
        <v>46054</v>
      </c>
      <c r="G4113" s="8" t="s">
        <v>1725</v>
      </c>
      <c r="H4113" s="23">
        <v>46063</v>
      </c>
      <c r="I4113" s="23">
        <v>46054</v>
      </c>
      <c r="J4113" s="10">
        <v>296.69</v>
      </c>
      <c r="K4113" s="10">
        <v>0</v>
      </c>
      <c r="L4113" s="24">
        <v>0</v>
      </c>
      <c r="M4113" s="10">
        <v>296.69</v>
      </c>
    </row>
    <row r="4114" spans="1:13" x14ac:dyDescent="0.25">
      <c r="A4114" s="12" t="str">
        <f t="shared" si="128"/>
        <v>LVA1592026DEPARTAMENTO ESTADUAL DE TRANSITO DE PERNAMBUCOBOM46054</v>
      </c>
      <c r="B4114" s="12" t="str">
        <f t="shared" si="129"/>
        <v>Fevereiro</v>
      </c>
      <c r="C4114" s="8" t="s">
        <v>1735</v>
      </c>
      <c r="D4114" s="8" t="s">
        <v>1723</v>
      </c>
      <c r="E4114" s="8" t="s">
        <v>1724</v>
      </c>
      <c r="F4114" s="23">
        <v>46054</v>
      </c>
      <c r="G4114" s="8" t="s">
        <v>1725</v>
      </c>
      <c r="H4114" s="23">
        <v>46063</v>
      </c>
      <c r="I4114" s="23">
        <v>46054</v>
      </c>
      <c r="J4114" s="10">
        <v>296.69</v>
      </c>
      <c r="K4114" s="10">
        <v>0</v>
      </c>
      <c r="L4114" s="24">
        <v>0</v>
      </c>
      <c r="M4114" s="10">
        <v>296.69</v>
      </c>
    </row>
    <row r="4115" spans="1:13" x14ac:dyDescent="0.25">
      <c r="A4115" s="12" t="str">
        <f t="shared" si="128"/>
        <v>LVA1602026DEPARTAMENTO ESTADUAL DE TRANSITO DE PERNAMBUCOBOM46054</v>
      </c>
      <c r="B4115" s="12" t="str">
        <f t="shared" si="129"/>
        <v>Fevereiro</v>
      </c>
      <c r="C4115" s="8" t="s">
        <v>1736</v>
      </c>
      <c r="D4115" s="8" t="s">
        <v>1723</v>
      </c>
      <c r="E4115" s="8" t="s">
        <v>1724</v>
      </c>
      <c r="F4115" s="23">
        <v>46054</v>
      </c>
      <c r="G4115" s="8" t="s">
        <v>1725</v>
      </c>
      <c r="H4115" s="23">
        <v>46063</v>
      </c>
      <c r="I4115" s="23">
        <v>46054</v>
      </c>
      <c r="J4115" s="10">
        <v>296.69</v>
      </c>
      <c r="K4115" s="10">
        <v>0</v>
      </c>
      <c r="L4115" s="24">
        <v>0</v>
      </c>
      <c r="M4115" s="10">
        <v>296.69</v>
      </c>
    </row>
    <row r="4116" spans="1:13" x14ac:dyDescent="0.25">
      <c r="A4116" s="12" t="str">
        <f t="shared" si="128"/>
        <v>LVA1612026DEPARTAMENTO ESTADUAL DE TRANSITO DE PERNAMBUCOBOM46054</v>
      </c>
      <c r="B4116" s="12" t="str">
        <f t="shared" si="129"/>
        <v>Fevereiro</v>
      </c>
      <c r="C4116" s="8" t="s">
        <v>1737</v>
      </c>
      <c r="D4116" s="8" t="s">
        <v>1723</v>
      </c>
      <c r="E4116" s="8" t="s">
        <v>1724</v>
      </c>
      <c r="F4116" s="23">
        <v>46054</v>
      </c>
      <c r="G4116" s="8" t="s">
        <v>1725</v>
      </c>
      <c r="H4116" s="23">
        <v>46063</v>
      </c>
      <c r="I4116" s="23">
        <v>46054</v>
      </c>
      <c r="J4116" s="10">
        <v>296.69</v>
      </c>
      <c r="K4116" s="10">
        <v>0</v>
      </c>
      <c r="L4116" s="24">
        <v>0</v>
      </c>
      <c r="M4116" s="10">
        <v>296.69</v>
      </c>
    </row>
    <row r="4117" spans="1:13" x14ac:dyDescent="0.25">
      <c r="A4117" s="12" t="str">
        <f t="shared" si="128"/>
        <v>LVA1622026DEPARTAMENTO ESTADUAL DE TRANSITO DE PERNAMBUCOBOM46055</v>
      </c>
      <c r="B4117" s="12" t="str">
        <f t="shared" si="129"/>
        <v>Fevereiro</v>
      </c>
      <c r="C4117" s="8" t="s">
        <v>1738</v>
      </c>
      <c r="D4117" s="8" t="s">
        <v>1723</v>
      </c>
      <c r="E4117" s="8" t="s">
        <v>1724</v>
      </c>
      <c r="F4117" s="23">
        <v>46055</v>
      </c>
      <c r="G4117" s="8" t="s">
        <v>1725</v>
      </c>
      <c r="H4117" s="23">
        <v>46063</v>
      </c>
      <c r="I4117" s="23">
        <v>46055</v>
      </c>
      <c r="J4117" s="10">
        <v>296.69</v>
      </c>
      <c r="K4117" s="10">
        <v>0</v>
      </c>
      <c r="L4117" s="24">
        <v>0</v>
      </c>
      <c r="M4117" s="10">
        <v>296.69</v>
      </c>
    </row>
    <row r="4118" spans="1:13" x14ac:dyDescent="0.25">
      <c r="A4118" s="12" t="str">
        <f t="shared" si="128"/>
        <v>LVA1642026DEPARTAMENTO ESTADUAL DE TRANSITO DE PERNAMBUCOBOM46054</v>
      </c>
      <c r="B4118" s="12" t="str">
        <f t="shared" si="129"/>
        <v>Fevereiro</v>
      </c>
      <c r="C4118" s="8" t="s">
        <v>1877</v>
      </c>
      <c r="D4118" s="8" t="s">
        <v>1723</v>
      </c>
      <c r="E4118" s="8" t="s">
        <v>1724</v>
      </c>
      <c r="F4118" s="23">
        <v>46054</v>
      </c>
      <c r="G4118" s="8" t="s">
        <v>1725</v>
      </c>
      <c r="H4118" s="23">
        <v>46072</v>
      </c>
      <c r="I4118" s="23">
        <v>46054</v>
      </c>
      <c r="J4118" s="10">
        <v>296.69</v>
      </c>
      <c r="K4118" s="10">
        <v>0</v>
      </c>
      <c r="L4118" s="24">
        <v>0</v>
      </c>
      <c r="M4118" s="10">
        <v>296.69</v>
      </c>
    </row>
    <row r="4119" spans="1:13" x14ac:dyDescent="0.25">
      <c r="A4119" s="12" t="str">
        <f t="shared" si="128"/>
        <v>LVA1652026DEPARTAMENTO ESTADUAL DE TRANSITO DE PERNAMBUCOBOM46054</v>
      </c>
      <c r="B4119" s="12" t="str">
        <f t="shared" si="129"/>
        <v>Fevereiro</v>
      </c>
      <c r="C4119" s="8" t="s">
        <v>1739</v>
      </c>
      <c r="D4119" s="8" t="s">
        <v>1723</v>
      </c>
      <c r="E4119" s="8" t="s">
        <v>1724</v>
      </c>
      <c r="F4119" s="23">
        <v>46054</v>
      </c>
      <c r="G4119" s="8" t="s">
        <v>1725</v>
      </c>
      <c r="H4119" s="23">
        <v>46063</v>
      </c>
      <c r="I4119" s="23">
        <v>46054</v>
      </c>
      <c r="J4119" s="10">
        <v>296.69</v>
      </c>
      <c r="K4119" s="10">
        <v>0</v>
      </c>
      <c r="L4119" s="24">
        <v>0</v>
      </c>
      <c r="M4119" s="10">
        <v>296.69</v>
      </c>
    </row>
    <row r="4120" spans="1:13" x14ac:dyDescent="0.25">
      <c r="A4120" s="12" t="str">
        <f t="shared" si="128"/>
        <v>LVA1662026DEPARTAMENTO ESTADUAL DE TRANSITO DE PERNAMBUCOBOM46055</v>
      </c>
      <c r="B4120" s="12" t="str">
        <f t="shared" si="129"/>
        <v>Fevereiro</v>
      </c>
      <c r="C4120" s="8" t="s">
        <v>1740</v>
      </c>
      <c r="D4120" s="8" t="s">
        <v>1723</v>
      </c>
      <c r="E4120" s="8" t="s">
        <v>1724</v>
      </c>
      <c r="F4120" s="23">
        <v>46055</v>
      </c>
      <c r="G4120" s="8" t="s">
        <v>1725</v>
      </c>
      <c r="H4120" s="23">
        <v>46063</v>
      </c>
      <c r="I4120" s="23">
        <v>46055</v>
      </c>
      <c r="J4120" s="10">
        <v>296.69</v>
      </c>
      <c r="K4120" s="10">
        <v>0</v>
      </c>
      <c r="L4120" s="24">
        <v>0</v>
      </c>
      <c r="M4120" s="10">
        <v>296.69</v>
      </c>
    </row>
    <row r="4121" spans="1:13" x14ac:dyDescent="0.25">
      <c r="A4121" s="12" t="str">
        <f t="shared" si="128"/>
        <v>LVA1672026DEPARTAMENTO ESTADUAL DE TRANSITO DE PERNAMBUCOBOM46054</v>
      </c>
      <c r="B4121" s="12" t="str">
        <f t="shared" si="129"/>
        <v>Fevereiro</v>
      </c>
      <c r="C4121" s="8" t="s">
        <v>1878</v>
      </c>
      <c r="D4121" s="8" t="s">
        <v>1723</v>
      </c>
      <c r="E4121" s="8" t="s">
        <v>1724</v>
      </c>
      <c r="F4121" s="23">
        <v>46054</v>
      </c>
      <c r="G4121" s="8" t="s">
        <v>1725</v>
      </c>
      <c r="H4121" s="23">
        <v>46072</v>
      </c>
      <c r="I4121" s="23">
        <v>46054</v>
      </c>
      <c r="J4121" s="10">
        <v>296.69</v>
      </c>
      <c r="K4121" s="10">
        <v>0</v>
      </c>
      <c r="L4121" s="24">
        <v>0</v>
      </c>
      <c r="M4121" s="10">
        <v>296.69</v>
      </c>
    </row>
    <row r="4122" spans="1:13" x14ac:dyDescent="0.25">
      <c r="A4122" s="12" t="str">
        <f t="shared" si="128"/>
        <v>LVA1682026DEPARTAMENTO ESTADUAL DE TRANSITO DE PERNAMBUCOBOM46054</v>
      </c>
      <c r="B4122" s="12" t="str">
        <f t="shared" si="129"/>
        <v>Fevereiro</v>
      </c>
      <c r="C4122" s="8" t="s">
        <v>1741</v>
      </c>
      <c r="D4122" s="8" t="s">
        <v>1723</v>
      </c>
      <c r="E4122" s="8" t="s">
        <v>1724</v>
      </c>
      <c r="F4122" s="23">
        <v>46054</v>
      </c>
      <c r="G4122" s="8" t="s">
        <v>1725</v>
      </c>
      <c r="H4122" s="23">
        <v>46063</v>
      </c>
      <c r="I4122" s="23">
        <v>46054</v>
      </c>
      <c r="J4122" s="10">
        <v>296.69</v>
      </c>
      <c r="K4122" s="10">
        <v>0</v>
      </c>
      <c r="L4122" s="24">
        <v>0</v>
      </c>
      <c r="M4122" s="10">
        <v>296.69</v>
      </c>
    </row>
    <row r="4123" spans="1:13" x14ac:dyDescent="0.25">
      <c r="A4123" s="12" t="str">
        <f t="shared" ref="A4123:A4186" si="130">$C4123&amp;$E4123&amp;$G4123&amp;$F4123</f>
        <v>LVA1692026DEPARTAMENTO ESTADUAL DE TRANSITO DE PERNAMBUCOBOM46054</v>
      </c>
      <c r="B4123" s="12" t="str">
        <f t="shared" si="129"/>
        <v>Fevereiro</v>
      </c>
      <c r="C4123" s="8" t="s">
        <v>1879</v>
      </c>
      <c r="D4123" s="8" t="s">
        <v>1723</v>
      </c>
      <c r="E4123" s="8" t="s">
        <v>1724</v>
      </c>
      <c r="F4123" s="23">
        <v>46054</v>
      </c>
      <c r="G4123" s="8" t="s">
        <v>1725</v>
      </c>
      <c r="H4123" s="23">
        <v>46072</v>
      </c>
      <c r="I4123" s="23">
        <v>46054</v>
      </c>
      <c r="J4123" s="10">
        <v>296.69</v>
      </c>
      <c r="K4123" s="10">
        <v>0</v>
      </c>
      <c r="L4123" s="24">
        <v>0</v>
      </c>
      <c r="M4123" s="10">
        <v>296.69</v>
      </c>
    </row>
    <row r="4124" spans="1:13" x14ac:dyDescent="0.25">
      <c r="A4124" s="12" t="str">
        <f t="shared" si="130"/>
        <v>LVA1712026DEPARTAMENTO ESTADUAL DE TRANSITO DE PERNAMBUCOBOM46054</v>
      </c>
      <c r="B4124" s="12" t="str">
        <f t="shared" si="129"/>
        <v>Fevereiro</v>
      </c>
      <c r="C4124" s="8" t="s">
        <v>1742</v>
      </c>
      <c r="D4124" s="8" t="s">
        <v>1723</v>
      </c>
      <c r="E4124" s="8" t="s">
        <v>1724</v>
      </c>
      <c r="F4124" s="23">
        <v>46054</v>
      </c>
      <c r="G4124" s="8" t="s">
        <v>1725</v>
      </c>
      <c r="H4124" s="23">
        <v>46063</v>
      </c>
      <c r="I4124" s="23">
        <v>46054</v>
      </c>
      <c r="J4124" s="10">
        <v>296.69</v>
      </c>
      <c r="K4124" s="10">
        <v>0</v>
      </c>
      <c r="L4124" s="24">
        <v>0</v>
      </c>
      <c r="M4124" s="10">
        <v>296.69</v>
      </c>
    </row>
    <row r="4125" spans="1:13" x14ac:dyDescent="0.25">
      <c r="A4125" s="12" t="str">
        <f t="shared" si="130"/>
        <v>LVA1722026DEPARTAMENTO ESTADUAL DE TRANSITO DE PERNAMBUCOBOM46054</v>
      </c>
      <c r="B4125" s="12" t="str">
        <f t="shared" si="129"/>
        <v>Fevereiro</v>
      </c>
      <c r="C4125" s="8" t="s">
        <v>1743</v>
      </c>
      <c r="D4125" s="8" t="s">
        <v>1723</v>
      </c>
      <c r="E4125" s="8" t="s">
        <v>1724</v>
      </c>
      <c r="F4125" s="23">
        <v>46054</v>
      </c>
      <c r="G4125" s="8" t="s">
        <v>1725</v>
      </c>
      <c r="H4125" s="23">
        <v>46063</v>
      </c>
      <c r="I4125" s="23">
        <v>46054</v>
      </c>
      <c r="J4125" s="10">
        <v>296.69</v>
      </c>
      <c r="K4125" s="10">
        <v>0</v>
      </c>
      <c r="L4125" s="24">
        <v>0</v>
      </c>
      <c r="M4125" s="10">
        <v>296.69</v>
      </c>
    </row>
    <row r="4126" spans="1:13" x14ac:dyDescent="0.25">
      <c r="A4126" s="12" t="str">
        <f t="shared" si="130"/>
        <v>LVA1732026DEPARTAMENTO ESTADUAL DE TRANSITO DE PERNAMBUCOBOM46054</v>
      </c>
      <c r="B4126" s="12" t="str">
        <f t="shared" si="129"/>
        <v>Fevereiro</v>
      </c>
      <c r="C4126" s="8" t="s">
        <v>1880</v>
      </c>
      <c r="D4126" s="8" t="s">
        <v>1723</v>
      </c>
      <c r="E4126" s="8" t="s">
        <v>1724</v>
      </c>
      <c r="F4126" s="23">
        <v>46054</v>
      </c>
      <c r="G4126" s="8" t="s">
        <v>1725</v>
      </c>
      <c r="H4126" s="23">
        <v>46072</v>
      </c>
      <c r="I4126" s="23">
        <v>46054</v>
      </c>
      <c r="J4126" s="10">
        <v>296.69</v>
      </c>
      <c r="K4126" s="10">
        <v>0</v>
      </c>
      <c r="L4126" s="24">
        <v>0</v>
      </c>
      <c r="M4126" s="10">
        <v>296.69</v>
      </c>
    </row>
    <row r="4127" spans="1:13" x14ac:dyDescent="0.25">
      <c r="A4127" s="12" t="str">
        <f t="shared" si="130"/>
        <v>LVA1742026DEPARTAMENTO ESTADUAL DE TRANSITO DE PERNAMBUCOBOM46065</v>
      </c>
      <c r="B4127" s="12" t="str">
        <f t="shared" si="129"/>
        <v>Fevereiro</v>
      </c>
      <c r="C4127" s="8" t="s">
        <v>1918</v>
      </c>
      <c r="D4127" s="8" t="s">
        <v>1723</v>
      </c>
      <c r="E4127" s="8" t="s">
        <v>1724</v>
      </c>
      <c r="F4127" s="23">
        <v>46065</v>
      </c>
      <c r="G4127" s="8" t="s">
        <v>1725</v>
      </c>
      <c r="H4127" s="23">
        <v>46078</v>
      </c>
      <c r="I4127" s="23">
        <v>46065</v>
      </c>
      <c r="J4127" s="10">
        <v>296.69</v>
      </c>
      <c r="K4127" s="10">
        <v>0</v>
      </c>
      <c r="L4127" s="24">
        <v>0</v>
      </c>
      <c r="M4127" s="10">
        <v>296.69</v>
      </c>
    </row>
    <row r="4128" spans="1:13" x14ac:dyDescent="0.25">
      <c r="A4128" s="12" t="str">
        <f t="shared" si="130"/>
        <v>N000046022SECRETARIA DE ESTADO DA FAZENDAMUL46196</v>
      </c>
      <c r="B4128" s="12" t="str">
        <f t="shared" si="129"/>
        <v>Julho</v>
      </c>
      <c r="C4128" s="8" t="s">
        <v>2691</v>
      </c>
      <c r="D4128" s="8" t="s">
        <v>1491</v>
      </c>
      <c r="E4128" s="8" t="s">
        <v>1776</v>
      </c>
      <c r="F4128" s="23">
        <v>46196</v>
      </c>
      <c r="G4128" s="8" t="s">
        <v>1491</v>
      </c>
      <c r="H4128" s="23">
        <v>46205</v>
      </c>
      <c r="I4128" s="23">
        <v>46196</v>
      </c>
      <c r="J4128" s="10">
        <v>1760.82</v>
      </c>
      <c r="K4128" s="10">
        <v>704.33</v>
      </c>
      <c r="L4128" s="24">
        <v>0</v>
      </c>
      <c r="M4128" s="10">
        <v>1056.49</v>
      </c>
    </row>
    <row r="4129" spans="1:13" x14ac:dyDescent="0.25">
      <c r="A4129" s="12" t="str">
        <f t="shared" si="130"/>
        <v>N002951843DEPTO NACIONAL INFRAESTRUTURA DE TRANSP.MUL46274</v>
      </c>
      <c r="B4129" s="12" t="str">
        <f t="shared" si="129"/>
        <v>Setembro</v>
      </c>
      <c r="C4129" s="8" t="s">
        <v>3088</v>
      </c>
      <c r="D4129" s="8" t="s">
        <v>1491</v>
      </c>
      <c r="E4129" s="8" t="s">
        <v>1492</v>
      </c>
      <c r="F4129" s="23">
        <v>46274</v>
      </c>
      <c r="G4129" s="8" t="s">
        <v>1491</v>
      </c>
      <c r="H4129" s="23">
        <v>46294</v>
      </c>
      <c r="I4129" s="23">
        <v>46274</v>
      </c>
      <c r="J4129" s="10">
        <v>260.32</v>
      </c>
      <c r="K4129" s="10">
        <v>104.13</v>
      </c>
      <c r="L4129" s="24">
        <v>0</v>
      </c>
      <c r="M4129" s="10">
        <v>156.19</v>
      </c>
    </row>
    <row r="4130" spans="1:13" x14ac:dyDescent="0.25">
      <c r="A4130" s="12" t="str">
        <f t="shared" si="130"/>
        <v>N003642663DEPARTAMENTO DE POLICIA RODOVIARIA FEDERALmul46163</v>
      </c>
      <c r="B4130" s="12" t="str">
        <f t="shared" si="129"/>
        <v>Junho</v>
      </c>
      <c r="C4130" s="8" t="s">
        <v>2515</v>
      </c>
      <c r="D4130" s="8" t="s">
        <v>1491</v>
      </c>
      <c r="E4130" s="8" t="s">
        <v>2516</v>
      </c>
      <c r="F4130" s="23">
        <v>46163</v>
      </c>
      <c r="G4130" s="8" t="s">
        <v>1493</v>
      </c>
      <c r="H4130" s="23">
        <v>46178</v>
      </c>
      <c r="I4130" s="23">
        <v>46163</v>
      </c>
      <c r="J4130" s="10">
        <v>293.47000000000003</v>
      </c>
      <c r="K4130" s="10">
        <v>117.39</v>
      </c>
      <c r="L4130" s="24">
        <v>0</v>
      </c>
      <c r="M4130" s="10">
        <v>176.08</v>
      </c>
    </row>
    <row r="4131" spans="1:13" x14ac:dyDescent="0.25">
      <c r="A4131" s="12" t="str">
        <f t="shared" si="130"/>
        <v>N004049779DEPARTAMENTO DE POLICIA RODOVIARIA FEDERALmul46178</v>
      </c>
      <c r="B4131" s="12" t="str">
        <f t="shared" si="129"/>
        <v>Setembro</v>
      </c>
      <c r="C4131" s="8" t="s">
        <v>2596</v>
      </c>
      <c r="D4131" s="8" t="s">
        <v>1491</v>
      </c>
      <c r="E4131" s="8" t="s">
        <v>2516</v>
      </c>
      <c r="F4131" s="23">
        <v>46178</v>
      </c>
      <c r="G4131" s="8" t="s">
        <v>1493</v>
      </c>
      <c r="H4131" s="23">
        <v>46287</v>
      </c>
      <c r="I4131" s="23">
        <v>46178</v>
      </c>
      <c r="J4131" s="10">
        <v>586.94000000000005</v>
      </c>
      <c r="K4131" s="10">
        <v>117.39</v>
      </c>
      <c r="L4131" s="24">
        <v>0</v>
      </c>
      <c r="M4131" s="10">
        <v>469.55</v>
      </c>
    </row>
    <row r="4132" spans="1:13" x14ac:dyDescent="0.25">
      <c r="A4132" s="12" t="str">
        <f t="shared" si="130"/>
        <v>N200025542MUNICIPIO DE RIBEIRAO DAS NEVESMUL46255</v>
      </c>
      <c r="B4132" s="12" t="str">
        <f t="shared" si="129"/>
        <v>Setembro</v>
      </c>
      <c r="C4132" s="8" t="s">
        <v>3043</v>
      </c>
      <c r="D4132" s="8" t="s">
        <v>1491</v>
      </c>
      <c r="E4132" s="8" t="s">
        <v>1651</v>
      </c>
      <c r="F4132" s="23">
        <v>46255</v>
      </c>
      <c r="G4132" s="8" t="s">
        <v>1491</v>
      </c>
      <c r="H4132" s="23">
        <v>46283</v>
      </c>
      <c r="I4132" s="23">
        <v>46255</v>
      </c>
      <c r="J4132" s="10">
        <v>1760.82</v>
      </c>
      <c r="K4132" s="10">
        <v>704.32</v>
      </c>
      <c r="L4132" s="24">
        <v>0</v>
      </c>
      <c r="M4132" s="10">
        <v>1056.5</v>
      </c>
    </row>
    <row r="4133" spans="1:13" x14ac:dyDescent="0.25">
      <c r="A4133" s="12" t="str">
        <f t="shared" si="130"/>
        <v>N300036540MUNICIPIO DE JUIZ DE FORAMUL46149</v>
      </c>
      <c r="B4133" s="12" t="str">
        <f t="shared" si="129"/>
        <v>Junho</v>
      </c>
      <c r="C4133" s="8" t="s">
        <v>2418</v>
      </c>
      <c r="D4133" s="8" t="s">
        <v>1491</v>
      </c>
      <c r="E4133" s="8" t="s">
        <v>2229</v>
      </c>
      <c r="F4133" s="23">
        <v>46149</v>
      </c>
      <c r="G4133" s="8" t="s">
        <v>1491</v>
      </c>
      <c r="H4133" s="23">
        <v>46181</v>
      </c>
      <c r="I4133" s="23">
        <v>46149</v>
      </c>
      <c r="J4133" s="10">
        <v>390.46</v>
      </c>
      <c r="K4133" s="10">
        <v>156.18</v>
      </c>
      <c r="L4133" s="24">
        <v>0</v>
      </c>
      <c r="M4133" s="10">
        <v>234.28</v>
      </c>
    </row>
    <row r="4134" spans="1:13" x14ac:dyDescent="0.25">
      <c r="A4134" s="12" t="str">
        <f t="shared" si="130"/>
        <v>N300044753MUNICIPIO DE JUIZ DE FORAmul46211</v>
      </c>
      <c r="B4134" s="12" t="str">
        <f t="shared" si="129"/>
        <v>Julho</v>
      </c>
      <c r="C4134" s="8" t="s">
        <v>2790</v>
      </c>
      <c r="D4134" s="8" t="s">
        <v>1491</v>
      </c>
      <c r="E4134" s="8" t="s">
        <v>2229</v>
      </c>
      <c r="F4134" s="23">
        <v>46211</v>
      </c>
      <c r="G4134" s="8" t="s">
        <v>1493</v>
      </c>
      <c r="H4134" s="23">
        <v>46234</v>
      </c>
      <c r="I4134" s="23">
        <v>46211</v>
      </c>
      <c r="J4134" s="10">
        <v>390.46</v>
      </c>
      <c r="K4134" s="10">
        <v>156.18</v>
      </c>
      <c r="L4134" s="24">
        <v>0</v>
      </c>
      <c r="M4134" s="10">
        <v>234.28</v>
      </c>
    </row>
    <row r="4135" spans="1:13" x14ac:dyDescent="0.25">
      <c r="A4135" s="12" t="str">
        <f t="shared" si="130"/>
        <v>N300044972MUNICIPIO DE JUIZ DE FORAmul46211</v>
      </c>
      <c r="B4135" s="12" t="str">
        <f t="shared" si="129"/>
        <v>Julho</v>
      </c>
      <c r="C4135" s="8" t="s">
        <v>2791</v>
      </c>
      <c r="D4135" s="8" t="s">
        <v>1491</v>
      </c>
      <c r="E4135" s="8" t="s">
        <v>2229</v>
      </c>
      <c r="F4135" s="23">
        <v>46211</v>
      </c>
      <c r="G4135" s="8" t="s">
        <v>1493</v>
      </c>
      <c r="H4135" s="23">
        <v>46234</v>
      </c>
      <c r="I4135" s="23">
        <v>46211</v>
      </c>
      <c r="J4135" s="10">
        <v>390.46</v>
      </c>
      <c r="K4135" s="10">
        <v>156.18</v>
      </c>
      <c r="L4135" s="24">
        <v>0</v>
      </c>
      <c r="M4135" s="10">
        <v>234.28</v>
      </c>
    </row>
    <row r="4136" spans="1:13" x14ac:dyDescent="0.25">
      <c r="A4136" s="12" t="str">
        <f t="shared" si="130"/>
        <v>N300045666MUNICIPIO DE JUIZ DE FORAmul46211</v>
      </c>
      <c r="B4136" s="12" t="str">
        <f t="shared" si="129"/>
        <v>Julho</v>
      </c>
      <c r="C4136" s="8" t="s">
        <v>2792</v>
      </c>
      <c r="D4136" s="8" t="s">
        <v>1491</v>
      </c>
      <c r="E4136" s="8" t="s">
        <v>2229</v>
      </c>
      <c r="F4136" s="23">
        <v>46211</v>
      </c>
      <c r="G4136" s="8" t="s">
        <v>1493</v>
      </c>
      <c r="H4136" s="23">
        <v>46234</v>
      </c>
      <c r="I4136" s="23">
        <v>46211</v>
      </c>
      <c r="J4136" s="10">
        <v>260.32</v>
      </c>
      <c r="K4136" s="10">
        <v>104.12</v>
      </c>
      <c r="L4136" s="24">
        <v>0</v>
      </c>
      <c r="M4136" s="10">
        <v>156.19999999999999</v>
      </c>
    </row>
    <row r="4137" spans="1:13" x14ac:dyDescent="0.25">
      <c r="A4137" s="12" t="str">
        <f t="shared" si="130"/>
        <v>N300051713MUNICIPIO DE JUIZ DE FORAMUL46244</v>
      </c>
      <c r="B4137" s="12" t="str">
        <f t="shared" si="129"/>
        <v>Agosto</v>
      </c>
      <c r="C4137" s="8" t="s">
        <v>2973</v>
      </c>
      <c r="D4137" s="8" t="s">
        <v>1491</v>
      </c>
      <c r="E4137" s="8" t="s">
        <v>2229</v>
      </c>
      <c r="F4137" s="23">
        <v>46244</v>
      </c>
      <c r="G4137" s="8" t="s">
        <v>1491</v>
      </c>
      <c r="H4137" s="23">
        <v>46262</v>
      </c>
      <c r="I4137" s="23">
        <v>46244</v>
      </c>
      <c r="J4137" s="10">
        <v>260.32</v>
      </c>
      <c r="K4137" s="10">
        <v>104.12</v>
      </c>
      <c r="L4137" s="24">
        <v>0</v>
      </c>
      <c r="M4137" s="10">
        <v>156.19999999999999</v>
      </c>
    </row>
    <row r="4138" spans="1:13" x14ac:dyDescent="0.25">
      <c r="A4138" s="12" t="str">
        <f t="shared" si="130"/>
        <v>N300051775MUNICIPIO DE JUIZ DE FORAMUL46244</v>
      </c>
      <c r="B4138" s="12" t="str">
        <f t="shared" si="129"/>
        <v>Agosto</v>
      </c>
      <c r="C4138" s="8" t="s">
        <v>2974</v>
      </c>
      <c r="D4138" s="8" t="s">
        <v>1491</v>
      </c>
      <c r="E4138" s="8" t="s">
        <v>2229</v>
      </c>
      <c r="F4138" s="23">
        <v>46244</v>
      </c>
      <c r="G4138" s="8" t="s">
        <v>1491</v>
      </c>
      <c r="H4138" s="23">
        <v>46262</v>
      </c>
      <c r="I4138" s="23">
        <v>46244</v>
      </c>
      <c r="J4138" s="10">
        <v>390.46</v>
      </c>
      <c r="K4138" s="10">
        <v>156.18</v>
      </c>
      <c r="L4138" s="24">
        <v>0</v>
      </c>
      <c r="M4138" s="10">
        <v>234.28</v>
      </c>
    </row>
    <row r="4139" spans="1:13" x14ac:dyDescent="0.25">
      <c r="A4139" s="12" t="str">
        <f t="shared" si="130"/>
        <v>N300053354MUNICIPIO DE JUIZ DE FORAMUL46254</v>
      </c>
      <c r="B4139" s="12" t="str">
        <f t="shared" si="129"/>
        <v>Setembro</v>
      </c>
      <c r="C4139" s="8" t="s">
        <v>3045</v>
      </c>
      <c r="D4139" s="8" t="s">
        <v>1491</v>
      </c>
      <c r="E4139" s="8" t="s">
        <v>2229</v>
      </c>
      <c r="F4139" s="23">
        <v>46254</v>
      </c>
      <c r="G4139" s="8" t="s">
        <v>1491</v>
      </c>
      <c r="H4139" s="23">
        <v>46295</v>
      </c>
      <c r="I4139" s="23">
        <v>46254</v>
      </c>
      <c r="J4139" s="10">
        <v>260.32</v>
      </c>
      <c r="K4139" s="10">
        <v>104.12</v>
      </c>
      <c r="L4139" s="24">
        <v>0</v>
      </c>
      <c r="M4139" s="10">
        <v>156.19999999999999</v>
      </c>
    </row>
    <row r="4140" spans="1:13" x14ac:dyDescent="0.25">
      <c r="A4140" s="12" t="str">
        <f t="shared" si="130"/>
        <v>N800013011MUNICIPIO DE POUSO ALEGREMUL46063</v>
      </c>
      <c r="B4140" s="12" t="str">
        <f t="shared" si="129"/>
        <v>Março</v>
      </c>
      <c r="C4140" s="8" t="s">
        <v>1816</v>
      </c>
      <c r="D4140" s="8" t="s">
        <v>1491</v>
      </c>
      <c r="E4140" s="8" t="s">
        <v>1815</v>
      </c>
      <c r="F4140" s="23">
        <v>46063</v>
      </c>
      <c r="G4140" s="8" t="s">
        <v>1491</v>
      </c>
      <c r="H4140" s="23">
        <v>46092</v>
      </c>
      <c r="I4140" s="23">
        <v>46063</v>
      </c>
      <c r="J4140" s="10">
        <v>390.46</v>
      </c>
      <c r="K4140" s="10">
        <v>156.18</v>
      </c>
      <c r="L4140" s="24">
        <v>0</v>
      </c>
      <c r="M4140" s="10">
        <v>234.28</v>
      </c>
    </row>
    <row r="4141" spans="1:13" x14ac:dyDescent="0.25">
      <c r="A4141" s="12" t="str">
        <f t="shared" si="130"/>
        <v>N800016852MUNICIPIO DE POUSO ALEGREMUL46255</v>
      </c>
      <c r="B4141" s="12" t="str">
        <f t="shared" si="129"/>
        <v>Setembro</v>
      </c>
      <c r="C4141" s="8" t="s">
        <v>3044</v>
      </c>
      <c r="D4141" s="8" t="s">
        <v>1491</v>
      </c>
      <c r="E4141" s="8" t="s">
        <v>1815</v>
      </c>
      <c r="F4141" s="23">
        <v>46255</v>
      </c>
      <c r="G4141" s="8" t="s">
        <v>1491</v>
      </c>
      <c r="H4141" s="23">
        <v>46273</v>
      </c>
      <c r="I4141" s="23">
        <v>46255</v>
      </c>
      <c r="J4141" s="10">
        <v>260.32</v>
      </c>
      <c r="K4141" s="10">
        <v>104.12</v>
      </c>
      <c r="L4141" s="24">
        <v>0</v>
      </c>
      <c r="M4141" s="10">
        <v>156.19999999999999</v>
      </c>
    </row>
    <row r="4142" spans="1:13" x14ac:dyDescent="0.25">
      <c r="A4142" s="12" t="str">
        <f t="shared" si="130"/>
        <v>ND ROCHAROCHA POMBO ANDRADE E CAPETTI ADVOGADOS (FERNANDO CARNEIRO)DEP46188,6819444444</v>
      </c>
      <c r="B4142" s="12" t="str">
        <f t="shared" si="129"/>
        <v>Junho</v>
      </c>
      <c r="C4142" s="8" t="s">
        <v>2671</v>
      </c>
      <c r="D4142" s="8" t="s">
        <v>664</v>
      </c>
      <c r="E4142" s="8" t="s">
        <v>169</v>
      </c>
      <c r="F4142" s="23">
        <v>46188.681944444441</v>
      </c>
      <c r="G4142" s="8" t="s">
        <v>1043</v>
      </c>
      <c r="H4142" s="23">
        <v>46193</v>
      </c>
      <c r="I4142" s="23">
        <v>46188.681944444441</v>
      </c>
      <c r="J4142" s="10">
        <v>810</v>
      </c>
      <c r="K4142" s="10">
        <v>0</v>
      </c>
      <c r="L4142" s="24">
        <v>0</v>
      </c>
      <c r="M4142" s="10">
        <v>810</v>
      </c>
    </row>
    <row r="4143" spans="1:13" x14ac:dyDescent="0.25">
      <c r="A4143" s="12" t="str">
        <f t="shared" si="130"/>
        <v>ND29575ROCHA POMBO ANDRADE E CAPETTI ADVOGADOS (FERNANDO CARNEIRO)BL46001,2916666667</v>
      </c>
      <c r="B4143" s="12" t="str">
        <f t="shared" si="129"/>
        <v>Janeiro</v>
      </c>
      <c r="C4143" s="8" t="s">
        <v>1637</v>
      </c>
      <c r="D4143" s="8" t="s">
        <v>664</v>
      </c>
      <c r="E4143" s="8" t="s">
        <v>169</v>
      </c>
      <c r="F4143" s="23">
        <v>46001.291666666664</v>
      </c>
      <c r="G4143" s="8" t="s">
        <v>1463</v>
      </c>
      <c r="H4143" s="23">
        <v>46050</v>
      </c>
      <c r="I4143" s="23">
        <v>46001.291666666664</v>
      </c>
      <c r="J4143" s="10">
        <v>130</v>
      </c>
      <c r="K4143" s="10">
        <v>0</v>
      </c>
      <c r="L4143" s="24">
        <v>0</v>
      </c>
      <c r="M4143" s="10">
        <v>130</v>
      </c>
    </row>
    <row r="4144" spans="1:13" x14ac:dyDescent="0.25">
      <c r="A4144" s="12" t="str">
        <f t="shared" si="130"/>
        <v>NIC0000451MUNICIPIO DE GOVERNADOR VALADARESmul46029</v>
      </c>
      <c r="B4144" s="12" t="str">
        <f t="shared" si="129"/>
        <v>Fevereiro</v>
      </c>
      <c r="C4144" s="8" t="s">
        <v>1496</v>
      </c>
      <c r="D4144" s="8" t="s">
        <v>1491</v>
      </c>
      <c r="E4144" s="8" t="s">
        <v>1497</v>
      </c>
      <c r="F4144" s="23">
        <v>46029</v>
      </c>
      <c r="G4144" s="8" t="s">
        <v>1493</v>
      </c>
      <c r="H4144" s="23">
        <v>46055</v>
      </c>
      <c r="I4144" s="23">
        <v>46029</v>
      </c>
      <c r="J4144" s="10">
        <v>390.46</v>
      </c>
      <c r="K4144" s="10">
        <v>156.18</v>
      </c>
      <c r="L4144" s="24">
        <v>0</v>
      </c>
      <c r="M4144" s="10">
        <v>234.28</v>
      </c>
    </row>
    <row r="4145" spans="1:13" x14ac:dyDescent="0.25">
      <c r="A4145" s="12" t="str">
        <f t="shared" si="130"/>
        <v>NIC0000591MUNICIPIO DE PONTE NOVAmul46178</v>
      </c>
      <c r="B4145" s="12" t="str">
        <f t="shared" si="129"/>
        <v>Julho</v>
      </c>
      <c r="C4145" s="8" t="s">
        <v>2611</v>
      </c>
      <c r="D4145" s="8" t="s">
        <v>1491</v>
      </c>
      <c r="E4145" s="8" t="s">
        <v>2330</v>
      </c>
      <c r="F4145" s="23">
        <v>46178</v>
      </c>
      <c r="G4145" s="8" t="s">
        <v>1493</v>
      </c>
      <c r="H4145" s="23">
        <v>46220</v>
      </c>
      <c r="I4145" s="23">
        <v>46178</v>
      </c>
      <c r="J4145" s="10">
        <v>390.46</v>
      </c>
      <c r="K4145" s="10">
        <v>156.18</v>
      </c>
      <c r="L4145" s="24">
        <v>0</v>
      </c>
      <c r="M4145" s="10">
        <v>234.28</v>
      </c>
    </row>
    <row r="4146" spans="1:13" x14ac:dyDescent="0.25">
      <c r="A4146" s="12" t="str">
        <f t="shared" si="130"/>
        <v>NIC0000924MUNICIPIO DE JOAO MONLEVADEMUL46063</v>
      </c>
      <c r="B4146" s="12" t="str">
        <f t="shared" si="129"/>
        <v>Março</v>
      </c>
      <c r="C4146" s="8" t="s">
        <v>1822</v>
      </c>
      <c r="D4146" s="8" t="s">
        <v>1491</v>
      </c>
      <c r="E4146" s="8" t="s">
        <v>1823</v>
      </c>
      <c r="F4146" s="23">
        <v>46063</v>
      </c>
      <c r="G4146" s="8" t="s">
        <v>1491</v>
      </c>
      <c r="H4146" s="23">
        <v>46090</v>
      </c>
      <c r="I4146" s="23">
        <v>46063</v>
      </c>
      <c r="J4146" s="10">
        <v>586.94000000000005</v>
      </c>
      <c r="K4146" s="10">
        <v>234.78</v>
      </c>
      <c r="L4146" s="24">
        <v>0</v>
      </c>
      <c r="M4146" s="10">
        <v>352.16</v>
      </c>
    </row>
    <row r="4147" spans="1:13" x14ac:dyDescent="0.25">
      <c r="A4147" s="12" t="str">
        <f t="shared" si="130"/>
        <v>NIC0007978MUNICIPIO DE PONTE NOVAMUL46227</v>
      </c>
      <c r="B4147" s="12" t="str">
        <f t="shared" si="129"/>
        <v>Agosto</v>
      </c>
      <c r="C4147" s="8" t="s">
        <v>2879</v>
      </c>
      <c r="D4147" s="8" t="s">
        <v>1491</v>
      </c>
      <c r="E4147" s="8" t="s">
        <v>2330</v>
      </c>
      <c r="F4147" s="23">
        <v>46227</v>
      </c>
      <c r="G4147" s="8" t="s">
        <v>1491</v>
      </c>
      <c r="H4147" s="23">
        <v>46241</v>
      </c>
      <c r="I4147" s="23">
        <v>46227</v>
      </c>
      <c r="J4147" s="10">
        <v>390.46</v>
      </c>
      <c r="K4147" s="10">
        <v>156.18</v>
      </c>
      <c r="L4147" s="24">
        <v>0</v>
      </c>
      <c r="M4147" s="10">
        <v>234.28</v>
      </c>
    </row>
    <row r="4148" spans="1:13" x14ac:dyDescent="0.25">
      <c r="A4148" s="12" t="str">
        <f t="shared" si="130"/>
        <v>NIC0010315MUNICIPIO DE ITABIRAMUL46241</v>
      </c>
      <c r="B4148" s="12" t="str">
        <f t="shared" si="129"/>
        <v>Agosto</v>
      </c>
      <c r="C4148" s="8" t="s">
        <v>2966</v>
      </c>
      <c r="D4148" s="8" t="s">
        <v>1491</v>
      </c>
      <c r="E4148" s="8" t="s">
        <v>2524</v>
      </c>
      <c r="F4148" s="23">
        <v>46241</v>
      </c>
      <c r="G4148" s="8" t="s">
        <v>1491</v>
      </c>
      <c r="H4148" s="23">
        <v>46262</v>
      </c>
      <c r="I4148" s="23">
        <v>46241</v>
      </c>
      <c r="J4148" s="10">
        <v>586.94000000000005</v>
      </c>
      <c r="K4148" s="10">
        <v>234.78</v>
      </c>
      <c r="L4148" s="24">
        <v>0</v>
      </c>
      <c r="M4148" s="10">
        <v>352.16</v>
      </c>
    </row>
    <row r="4149" spans="1:13" x14ac:dyDescent="0.25">
      <c r="A4149" s="12" t="str">
        <f t="shared" si="130"/>
        <v>P300089437MUNICIPIO DE POUSO ALEGREMUL46063</v>
      </c>
      <c r="B4149" s="12" t="str">
        <f t="shared" si="129"/>
        <v>Março</v>
      </c>
      <c r="C4149" s="8" t="s">
        <v>1817</v>
      </c>
      <c r="D4149" s="8" t="s">
        <v>1491</v>
      </c>
      <c r="E4149" s="8" t="s">
        <v>1815</v>
      </c>
      <c r="F4149" s="23">
        <v>46063</v>
      </c>
      <c r="G4149" s="8" t="s">
        <v>1491</v>
      </c>
      <c r="H4149" s="23">
        <v>46087</v>
      </c>
      <c r="I4149" s="23">
        <v>46063</v>
      </c>
      <c r="J4149" s="10">
        <v>130.16</v>
      </c>
      <c r="K4149" s="10">
        <v>26.03</v>
      </c>
      <c r="L4149" s="24">
        <v>0</v>
      </c>
      <c r="M4149" s="10">
        <v>104.13</v>
      </c>
    </row>
    <row r="4150" spans="1:13" x14ac:dyDescent="0.25">
      <c r="A4150" s="12" t="str">
        <f t="shared" si="130"/>
        <v>P300109784MUNICIPIO DE POUSO ALEGREMUL46244</v>
      </c>
      <c r="B4150" s="12" t="str">
        <f t="shared" si="129"/>
        <v>Agosto</v>
      </c>
      <c r="C4150" s="8" t="s">
        <v>2972</v>
      </c>
      <c r="D4150" s="8" t="s">
        <v>1491</v>
      </c>
      <c r="E4150" s="8" t="s">
        <v>1815</v>
      </c>
      <c r="F4150" s="23">
        <v>46244</v>
      </c>
      <c r="G4150" s="8" t="s">
        <v>1491</v>
      </c>
      <c r="H4150" s="23">
        <v>46261</v>
      </c>
      <c r="I4150" s="23">
        <v>46244</v>
      </c>
      <c r="J4150" s="10">
        <v>130.16</v>
      </c>
      <c r="K4150" s="10">
        <v>26.03</v>
      </c>
      <c r="L4150" s="24">
        <v>0</v>
      </c>
      <c r="M4150" s="10">
        <v>104.13</v>
      </c>
    </row>
    <row r="4151" spans="1:13" x14ac:dyDescent="0.25">
      <c r="A4151" s="12" t="str">
        <f t="shared" si="130"/>
        <v>P300113238MUNICIPIO DE POUSO ALEGREMUL46289</v>
      </c>
      <c r="B4151" s="12" t="str">
        <f t="shared" si="129"/>
        <v>Outubro</v>
      </c>
      <c r="C4151" s="8" t="s">
        <v>3183</v>
      </c>
      <c r="D4151" s="8" t="s">
        <v>1491</v>
      </c>
      <c r="E4151" s="8" t="s">
        <v>1815</v>
      </c>
      <c r="F4151" s="23">
        <v>46289</v>
      </c>
      <c r="G4151" s="8" t="s">
        <v>1491</v>
      </c>
      <c r="H4151" s="23">
        <v>46301</v>
      </c>
      <c r="I4151" s="23">
        <v>46289</v>
      </c>
      <c r="J4151" s="10">
        <v>130.16</v>
      </c>
      <c r="K4151" s="10">
        <v>26.03</v>
      </c>
      <c r="L4151" s="24">
        <v>0</v>
      </c>
      <c r="M4151" s="10">
        <v>104.13</v>
      </c>
    </row>
    <row r="4152" spans="1:13" x14ac:dyDescent="0.25">
      <c r="A4152" s="12" t="str">
        <f t="shared" si="130"/>
        <v>PEN3275THAYNARA MARTINS DA COSTA DE MENEZESFOL46022</v>
      </c>
      <c r="B4152" s="12" t="str">
        <f t="shared" si="129"/>
        <v>Janeiro</v>
      </c>
      <c r="C4152" s="8" t="s">
        <v>1375</v>
      </c>
      <c r="D4152" s="8" t="s">
        <v>1369</v>
      </c>
      <c r="E4152" s="8" t="s">
        <v>1376</v>
      </c>
      <c r="F4152" s="23">
        <v>46022</v>
      </c>
      <c r="G4152" s="8" t="s">
        <v>1037</v>
      </c>
      <c r="H4152" s="23">
        <v>46027</v>
      </c>
      <c r="I4152" s="23">
        <v>46022</v>
      </c>
      <c r="J4152" s="10">
        <v>719.75</v>
      </c>
      <c r="K4152" s="10">
        <v>0</v>
      </c>
      <c r="L4152" s="24">
        <v>0</v>
      </c>
      <c r="M4152" s="10">
        <v>719.75</v>
      </c>
    </row>
    <row r="4153" spans="1:13" x14ac:dyDescent="0.25">
      <c r="A4153" s="12" t="str">
        <f t="shared" si="130"/>
        <v>PEN3276BRUNO LOPES SOARESFOL46022</v>
      </c>
      <c r="B4153" s="12" t="str">
        <f t="shared" si="129"/>
        <v>Janeiro</v>
      </c>
      <c r="C4153" s="8" t="s">
        <v>1373</v>
      </c>
      <c r="D4153" s="8" t="s">
        <v>1369</v>
      </c>
      <c r="E4153" s="8" t="s">
        <v>30</v>
      </c>
      <c r="F4153" s="23">
        <v>46022</v>
      </c>
      <c r="G4153" s="8" t="s">
        <v>1037</v>
      </c>
      <c r="H4153" s="23">
        <v>46027</v>
      </c>
      <c r="I4153" s="23">
        <v>46022</v>
      </c>
      <c r="J4153" s="10">
        <v>595.87</v>
      </c>
      <c r="K4153" s="10">
        <v>0</v>
      </c>
      <c r="L4153" s="24">
        <v>0</v>
      </c>
      <c r="M4153" s="10">
        <v>595.87</v>
      </c>
    </row>
    <row r="4154" spans="1:13" x14ac:dyDescent="0.25">
      <c r="A4154" s="12" t="str">
        <f t="shared" si="130"/>
        <v>PEN3277AILTON ALVES DE OLIVEIRAFOL46022</v>
      </c>
      <c r="B4154" s="12" t="str">
        <f t="shared" si="129"/>
        <v>Janeiro</v>
      </c>
      <c r="C4154" s="8" t="s">
        <v>1371</v>
      </c>
      <c r="D4154" s="8" t="s">
        <v>1369</v>
      </c>
      <c r="E4154" s="8" t="s">
        <v>1372</v>
      </c>
      <c r="F4154" s="23">
        <v>46022</v>
      </c>
      <c r="G4154" s="8" t="s">
        <v>1037</v>
      </c>
      <c r="H4154" s="23">
        <v>46027</v>
      </c>
      <c r="I4154" s="23">
        <v>46022</v>
      </c>
      <c r="J4154" s="10">
        <v>794.19</v>
      </c>
      <c r="K4154" s="10">
        <v>0</v>
      </c>
      <c r="L4154" s="24">
        <v>0</v>
      </c>
      <c r="M4154" s="10">
        <v>794.19</v>
      </c>
    </row>
    <row r="4155" spans="1:13" x14ac:dyDescent="0.25">
      <c r="A4155" s="12" t="str">
        <f t="shared" si="130"/>
        <v>PEN3317THAYNARA MARTINS DA COSTA DE MENEZESFOL46053</v>
      </c>
      <c r="B4155" s="12" t="str">
        <f t="shared" si="129"/>
        <v>Fevereiro</v>
      </c>
      <c r="C4155" s="8" t="s">
        <v>1676</v>
      </c>
      <c r="D4155" s="8" t="s">
        <v>1369</v>
      </c>
      <c r="E4155" s="8" t="s">
        <v>1376</v>
      </c>
      <c r="F4155" s="23">
        <v>46053</v>
      </c>
      <c r="G4155" s="8" t="s">
        <v>1037</v>
      </c>
      <c r="H4155" s="23">
        <v>46058</v>
      </c>
      <c r="I4155" s="23">
        <v>46053</v>
      </c>
      <c r="J4155" s="10">
        <v>575.46</v>
      </c>
      <c r="K4155" s="10">
        <v>0</v>
      </c>
      <c r="L4155" s="24">
        <v>0</v>
      </c>
      <c r="M4155" s="10">
        <v>575.46</v>
      </c>
    </row>
    <row r="4156" spans="1:13" x14ac:dyDescent="0.25">
      <c r="A4156" s="12" t="str">
        <f t="shared" si="130"/>
        <v>PEN3318BRUNO LOPES SOARESFOL46053</v>
      </c>
      <c r="B4156" s="12" t="str">
        <f t="shared" si="129"/>
        <v>Fevereiro</v>
      </c>
      <c r="C4156" s="8" t="s">
        <v>1675</v>
      </c>
      <c r="D4156" s="8" t="s">
        <v>1369</v>
      </c>
      <c r="E4156" s="8" t="s">
        <v>30</v>
      </c>
      <c r="F4156" s="23">
        <v>46053</v>
      </c>
      <c r="G4156" s="8" t="s">
        <v>1037</v>
      </c>
      <c r="H4156" s="23">
        <v>46058</v>
      </c>
      <c r="I4156" s="23">
        <v>46053</v>
      </c>
      <c r="J4156" s="10">
        <v>514.96</v>
      </c>
      <c r="K4156" s="10">
        <v>0</v>
      </c>
      <c r="L4156" s="24">
        <v>0</v>
      </c>
      <c r="M4156" s="10">
        <v>514.96</v>
      </c>
    </row>
    <row r="4157" spans="1:13" x14ac:dyDescent="0.25">
      <c r="A4157" s="12" t="str">
        <f t="shared" si="130"/>
        <v>PEN3319AILTON ALVES DE OLIVEIRAFOL46053</v>
      </c>
      <c r="B4157" s="12" t="str">
        <f t="shared" si="129"/>
        <v>Fevereiro</v>
      </c>
      <c r="C4157" s="8" t="s">
        <v>1674</v>
      </c>
      <c r="D4157" s="8" t="s">
        <v>1369</v>
      </c>
      <c r="E4157" s="8" t="s">
        <v>1372</v>
      </c>
      <c r="F4157" s="23">
        <v>46053</v>
      </c>
      <c r="G4157" s="8" t="s">
        <v>1037</v>
      </c>
      <c r="H4157" s="23">
        <v>46058</v>
      </c>
      <c r="I4157" s="23">
        <v>46053</v>
      </c>
      <c r="J4157" s="10">
        <v>587.38</v>
      </c>
      <c r="K4157" s="10">
        <v>0</v>
      </c>
      <c r="L4157" s="24">
        <v>0</v>
      </c>
      <c r="M4157" s="10">
        <v>587.38</v>
      </c>
    </row>
    <row r="4158" spans="1:13" x14ac:dyDescent="0.25">
      <c r="A4158" s="12" t="str">
        <f t="shared" si="130"/>
        <v>PEN3374THAYNARA MARTINS DA COSTA DE MENEZESFOL46081</v>
      </c>
      <c r="B4158" s="12" t="str">
        <f t="shared" si="129"/>
        <v>Março</v>
      </c>
      <c r="C4158" s="8" t="s">
        <v>1970</v>
      </c>
      <c r="D4158" s="8" t="s">
        <v>1369</v>
      </c>
      <c r="E4158" s="8" t="s">
        <v>1376</v>
      </c>
      <c r="F4158" s="23">
        <v>46081</v>
      </c>
      <c r="G4158" s="8" t="s">
        <v>1037</v>
      </c>
      <c r="H4158" s="23">
        <v>46086</v>
      </c>
      <c r="I4158" s="23">
        <v>46081</v>
      </c>
      <c r="J4158" s="10">
        <v>563.19000000000005</v>
      </c>
      <c r="K4158" s="10">
        <v>0</v>
      </c>
      <c r="L4158" s="24">
        <v>0</v>
      </c>
      <c r="M4158" s="10">
        <v>563.19000000000005</v>
      </c>
    </row>
    <row r="4159" spans="1:13" x14ac:dyDescent="0.25">
      <c r="A4159" s="12" t="str">
        <f t="shared" si="130"/>
        <v>PEN3375BRUNO LOPES SOARESFOL46081</v>
      </c>
      <c r="B4159" s="12" t="str">
        <f t="shared" si="129"/>
        <v>Março</v>
      </c>
      <c r="C4159" s="8" t="s">
        <v>1965</v>
      </c>
      <c r="D4159" s="8" t="s">
        <v>1369</v>
      </c>
      <c r="E4159" s="8" t="s">
        <v>30</v>
      </c>
      <c r="F4159" s="23">
        <v>46081</v>
      </c>
      <c r="G4159" s="8" t="s">
        <v>1037</v>
      </c>
      <c r="H4159" s="23">
        <v>46086</v>
      </c>
      <c r="I4159" s="23">
        <v>46081</v>
      </c>
      <c r="J4159" s="10">
        <v>229.24</v>
      </c>
      <c r="K4159" s="10">
        <v>0</v>
      </c>
      <c r="L4159" s="24">
        <v>0</v>
      </c>
      <c r="M4159" s="10">
        <v>229.24</v>
      </c>
    </row>
    <row r="4160" spans="1:13" x14ac:dyDescent="0.25">
      <c r="A4160" s="12" t="str">
        <f t="shared" si="130"/>
        <v>PEN3376AILTON ALVES DE OLIVEIRAFOL46081</v>
      </c>
      <c r="B4160" s="12" t="str">
        <f t="shared" si="129"/>
        <v>Março</v>
      </c>
      <c r="C4160" s="8" t="s">
        <v>1964</v>
      </c>
      <c r="D4160" s="8" t="s">
        <v>1369</v>
      </c>
      <c r="E4160" s="8" t="s">
        <v>1372</v>
      </c>
      <c r="F4160" s="23">
        <v>46081</v>
      </c>
      <c r="G4160" s="8" t="s">
        <v>1037</v>
      </c>
      <c r="H4160" s="23">
        <v>46086</v>
      </c>
      <c r="I4160" s="23">
        <v>46081</v>
      </c>
      <c r="J4160" s="10">
        <v>639.99</v>
      </c>
      <c r="K4160" s="10">
        <v>0</v>
      </c>
      <c r="L4160" s="24">
        <v>0</v>
      </c>
      <c r="M4160" s="10">
        <v>639.99</v>
      </c>
    </row>
    <row r="4161" spans="1:13" x14ac:dyDescent="0.25">
      <c r="A4161" s="12" t="str">
        <f t="shared" si="130"/>
        <v>PEN3410THAYNARA MARTINS DA COSTA DE MENEZESFOL46112</v>
      </c>
      <c r="B4161" s="12" t="str">
        <f t="shared" si="129"/>
        <v>Abril</v>
      </c>
      <c r="C4161" s="8" t="s">
        <v>2184</v>
      </c>
      <c r="D4161" s="8" t="s">
        <v>1369</v>
      </c>
      <c r="E4161" s="8" t="s">
        <v>1376</v>
      </c>
      <c r="F4161" s="23">
        <v>46112</v>
      </c>
      <c r="G4161" s="8" t="s">
        <v>1037</v>
      </c>
      <c r="H4161" s="23">
        <v>46118</v>
      </c>
      <c r="I4161" s="23">
        <v>46112</v>
      </c>
      <c r="J4161" s="10">
        <v>551.71</v>
      </c>
      <c r="K4161" s="10">
        <v>0</v>
      </c>
      <c r="L4161" s="24">
        <v>0</v>
      </c>
      <c r="M4161" s="10">
        <v>551.71</v>
      </c>
    </row>
    <row r="4162" spans="1:13" x14ac:dyDescent="0.25">
      <c r="A4162" s="12" t="str">
        <f t="shared" si="130"/>
        <v>PEN3411BRUNO LOPES SOARESFOL46112</v>
      </c>
      <c r="B4162" s="12" t="str">
        <f t="shared" si="129"/>
        <v>Abril</v>
      </c>
      <c r="C4162" s="8" t="s">
        <v>2159</v>
      </c>
      <c r="D4162" s="8" t="s">
        <v>1369</v>
      </c>
      <c r="E4162" s="8" t="s">
        <v>30</v>
      </c>
      <c r="F4162" s="23">
        <v>46112</v>
      </c>
      <c r="G4162" s="8" t="s">
        <v>1037</v>
      </c>
      <c r="H4162" s="23">
        <v>46118</v>
      </c>
      <c r="I4162" s="23">
        <v>46112</v>
      </c>
      <c r="J4162" s="10">
        <v>375.42</v>
      </c>
      <c r="K4162" s="10">
        <v>0</v>
      </c>
      <c r="L4162" s="24">
        <v>0</v>
      </c>
      <c r="M4162" s="10">
        <v>375.42</v>
      </c>
    </row>
    <row r="4163" spans="1:13" x14ac:dyDescent="0.25">
      <c r="A4163" s="12" t="str">
        <f t="shared" si="130"/>
        <v>PEN3412AILTON ALVES DE OLIVEIRAFOL46112</v>
      </c>
      <c r="B4163" s="12" t="str">
        <f t="shared" ref="B4163:B4226" si="131">PROPER(TEXT($H4163,"MMMM"))</f>
        <v>Abril</v>
      </c>
      <c r="C4163" s="8" t="s">
        <v>2157</v>
      </c>
      <c r="D4163" s="8" t="s">
        <v>1369</v>
      </c>
      <c r="E4163" s="8" t="s">
        <v>1372</v>
      </c>
      <c r="F4163" s="23">
        <v>46112</v>
      </c>
      <c r="G4163" s="8" t="s">
        <v>1037</v>
      </c>
      <c r="H4163" s="23">
        <v>46118</v>
      </c>
      <c r="I4163" s="23">
        <v>46112</v>
      </c>
      <c r="J4163" s="10">
        <v>595.55999999999995</v>
      </c>
      <c r="K4163" s="10">
        <v>0</v>
      </c>
      <c r="L4163" s="24">
        <v>0</v>
      </c>
      <c r="M4163" s="10">
        <v>595.55999999999995</v>
      </c>
    </row>
    <row r="4164" spans="1:13" x14ac:dyDescent="0.25">
      <c r="A4164" s="12" t="str">
        <f t="shared" si="130"/>
        <v>PEN3468THAYNARA MARTINS DA COSTA DE MENEZESFOL46142</v>
      </c>
      <c r="B4164" s="12" t="str">
        <f t="shared" si="131"/>
        <v>Maio</v>
      </c>
      <c r="C4164" s="8" t="s">
        <v>2355</v>
      </c>
      <c r="D4164" s="8" t="s">
        <v>1369</v>
      </c>
      <c r="E4164" s="8" t="s">
        <v>1376</v>
      </c>
      <c r="F4164" s="23">
        <v>46142</v>
      </c>
      <c r="G4164" s="8" t="s">
        <v>1037</v>
      </c>
      <c r="H4164" s="23">
        <v>46147</v>
      </c>
      <c r="I4164" s="23">
        <v>46142</v>
      </c>
      <c r="J4164" s="10">
        <v>557.05999999999995</v>
      </c>
      <c r="K4164" s="10">
        <v>0</v>
      </c>
      <c r="L4164" s="24">
        <v>0</v>
      </c>
      <c r="M4164" s="10">
        <v>557.05999999999995</v>
      </c>
    </row>
    <row r="4165" spans="1:13" x14ac:dyDescent="0.25">
      <c r="A4165" s="12" t="str">
        <f t="shared" si="130"/>
        <v>PEN3469BRUNO LOPES SOARESFOL46142</v>
      </c>
      <c r="B4165" s="12" t="str">
        <f t="shared" si="131"/>
        <v>Maio</v>
      </c>
      <c r="C4165" s="8" t="s">
        <v>2354</v>
      </c>
      <c r="D4165" s="8" t="s">
        <v>1369</v>
      </c>
      <c r="E4165" s="8" t="s">
        <v>30</v>
      </c>
      <c r="F4165" s="23">
        <v>46142</v>
      </c>
      <c r="G4165" s="8" t="s">
        <v>1037</v>
      </c>
      <c r="H4165" s="23">
        <v>46147</v>
      </c>
      <c r="I4165" s="23">
        <v>46142</v>
      </c>
      <c r="J4165" s="10">
        <v>516.17999999999995</v>
      </c>
      <c r="K4165" s="10">
        <v>0</v>
      </c>
      <c r="L4165" s="24">
        <v>0</v>
      </c>
      <c r="M4165" s="10">
        <v>516.17999999999995</v>
      </c>
    </row>
    <row r="4166" spans="1:13" x14ac:dyDescent="0.25">
      <c r="A4166" s="12" t="str">
        <f t="shared" si="130"/>
        <v>PEN3470AILTON ALVES DE OLIVEIRAFOL46142</v>
      </c>
      <c r="B4166" s="12" t="str">
        <f t="shared" si="131"/>
        <v>Maio</v>
      </c>
      <c r="C4166" s="8" t="s">
        <v>2353</v>
      </c>
      <c r="D4166" s="8" t="s">
        <v>1369</v>
      </c>
      <c r="E4166" s="8" t="s">
        <v>1372</v>
      </c>
      <c r="F4166" s="23">
        <v>46142</v>
      </c>
      <c r="G4166" s="8" t="s">
        <v>1037</v>
      </c>
      <c r="H4166" s="23">
        <v>46147</v>
      </c>
      <c r="I4166" s="23">
        <v>46142</v>
      </c>
      <c r="J4166" s="10">
        <v>742.77</v>
      </c>
      <c r="K4166" s="10">
        <v>0</v>
      </c>
      <c r="L4166" s="24">
        <v>0</v>
      </c>
      <c r="M4166" s="10">
        <v>742.77</v>
      </c>
    </row>
    <row r="4167" spans="1:13" x14ac:dyDescent="0.25">
      <c r="A4167" s="12" t="str">
        <f t="shared" si="130"/>
        <v>PEN3560THAYNARA MARTINS DA COSTA DE MENEZESFOL46173</v>
      </c>
      <c r="B4167" s="12" t="str">
        <f t="shared" si="131"/>
        <v>Junho</v>
      </c>
      <c r="C4167" s="8" t="s">
        <v>2540</v>
      </c>
      <c r="D4167" s="8" t="s">
        <v>1369</v>
      </c>
      <c r="E4167" s="8" t="s">
        <v>1376</v>
      </c>
      <c r="F4167" s="23">
        <v>46173</v>
      </c>
      <c r="G4167" s="8" t="s">
        <v>1037</v>
      </c>
      <c r="H4167" s="23">
        <v>46178</v>
      </c>
      <c r="I4167" s="23">
        <v>46173</v>
      </c>
      <c r="J4167" s="10">
        <v>510.71</v>
      </c>
      <c r="K4167" s="10">
        <v>0</v>
      </c>
      <c r="L4167" s="24">
        <v>0</v>
      </c>
      <c r="M4167" s="10">
        <v>510.71</v>
      </c>
    </row>
    <row r="4168" spans="1:13" x14ac:dyDescent="0.25">
      <c r="A4168" s="12" t="str">
        <f t="shared" si="130"/>
        <v>PEN3561BRUNO LOPES SOARESFOL46173</v>
      </c>
      <c r="B4168" s="12" t="str">
        <f t="shared" si="131"/>
        <v>Junho</v>
      </c>
      <c r="C4168" s="8" t="s">
        <v>2539</v>
      </c>
      <c r="D4168" s="8" t="s">
        <v>1369</v>
      </c>
      <c r="E4168" s="8" t="s">
        <v>30</v>
      </c>
      <c r="F4168" s="23">
        <v>46173</v>
      </c>
      <c r="G4168" s="8" t="s">
        <v>1037</v>
      </c>
      <c r="H4168" s="23">
        <v>46178</v>
      </c>
      <c r="I4168" s="23">
        <v>46173</v>
      </c>
      <c r="J4168" s="10">
        <v>541.12</v>
      </c>
      <c r="K4168" s="10">
        <v>0</v>
      </c>
      <c r="L4168" s="24">
        <v>0</v>
      </c>
      <c r="M4168" s="10">
        <v>541.12</v>
      </c>
    </row>
    <row r="4169" spans="1:13" x14ac:dyDescent="0.25">
      <c r="A4169" s="12" t="str">
        <f t="shared" si="130"/>
        <v>PEN3562AILTON ALVES DE OLIVEIRAFOL46173</v>
      </c>
      <c r="B4169" s="12" t="str">
        <f t="shared" si="131"/>
        <v>Junho</v>
      </c>
      <c r="C4169" s="8" t="s">
        <v>2538</v>
      </c>
      <c r="D4169" s="8" t="s">
        <v>1369</v>
      </c>
      <c r="E4169" s="8" t="s">
        <v>1372</v>
      </c>
      <c r="F4169" s="23">
        <v>46173</v>
      </c>
      <c r="G4169" s="8" t="s">
        <v>1037</v>
      </c>
      <c r="H4169" s="23">
        <v>46178</v>
      </c>
      <c r="I4169" s="23">
        <v>46173</v>
      </c>
      <c r="J4169" s="10">
        <v>614.1</v>
      </c>
      <c r="K4169" s="10">
        <v>0</v>
      </c>
      <c r="L4169" s="24">
        <v>0</v>
      </c>
      <c r="M4169" s="10">
        <v>614.1</v>
      </c>
    </row>
    <row r="4170" spans="1:13" x14ac:dyDescent="0.25">
      <c r="A4170" s="12" t="str">
        <f t="shared" si="130"/>
        <v>PEN3582BRUNO LOPES SOARESFOL46203</v>
      </c>
      <c r="B4170" s="12" t="str">
        <f t="shared" si="131"/>
        <v>Julho</v>
      </c>
      <c r="C4170" s="8" t="s">
        <v>2716</v>
      </c>
      <c r="D4170" s="8" t="s">
        <v>1369</v>
      </c>
      <c r="E4170" s="8" t="s">
        <v>30</v>
      </c>
      <c r="F4170" s="23">
        <v>46203</v>
      </c>
      <c r="G4170" s="8" t="s">
        <v>1037</v>
      </c>
      <c r="H4170" s="23">
        <v>46209</v>
      </c>
      <c r="I4170" s="23">
        <v>46203</v>
      </c>
      <c r="J4170" s="10">
        <v>530.98</v>
      </c>
      <c r="K4170" s="10">
        <v>0</v>
      </c>
      <c r="L4170" s="24">
        <v>0</v>
      </c>
      <c r="M4170" s="10">
        <v>530.98</v>
      </c>
    </row>
    <row r="4171" spans="1:13" x14ac:dyDescent="0.25">
      <c r="A4171" s="12" t="str">
        <f t="shared" si="130"/>
        <v>PEN3583BRUNO LOPES SOARESFOL46203</v>
      </c>
      <c r="B4171" s="12" t="str">
        <f t="shared" si="131"/>
        <v>Julho</v>
      </c>
      <c r="C4171" s="8" t="s">
        <v>2717</v>
      </c>
      <c r="D4171" s="8" t="s">
        <v>1369</v>
      </c>
      <c r="E4171" s="8" t="s">
        <v>30</v>
      </c>
      <c r="F4171" s="23">
        <v>46203</v>
      </c>
      <c r="G4171" s="8" t="s">
        <v>1037</v>
      </c>
      <c r="H4171" s="23">
        <v>46209</v>
      </c>
      <c r="I4171" s="23">
        <v>46203</v>
      </c>
      <c r="J4171" s="10">
        <v>21.03</v>
      </c>
      <c r="K4171" s="10">
        <v>0</v>
      </c>
      <c r="L4171" s="24">
        <v>0</v>
      </c>
      <c r="M4171" s="10">
        <v>21.03</v>
      </c>
    </row>
    <row r="4172" spans="1:13" x14ac:dyDescent="0.25">
      <c r="A4172" s="12" t="str">
        <f t="shared" si="130"/>
        <v>PEN3584AILTON ALVES DE OLIVEIRAFOL46203</v>
      </c>
      <c r="B4172" s="12" t="str">
        <f t="shared" si="131"/>
        <v>Julho</v>
      </c>
      <c r="C4172" s="8" t="s">
        <v>2714</v>
      </c>
      <c r="D4172" s="8" t="s">
        <v>1369</v>
      </c>
      <c r="E4172" s="8" t="s">
        <v>1372</v>
      </c>
      <c r="F4172" s="23">
        <v>46203</v>
      </c>
      <c r="G4172" s="8" t="s">
        <v>1037</v>
      </c>
      <c r="H4172" s="23">
        <v>46209</v>
      </c>
      <c r="I4172" s="23">
        <v>46203</v>
      </c>
      <c r="J4172" s="10">
        <v>686.27</v>
      </c>
      <c r="K4172" s="10">
        <v>0</v>
      </c>
      <c r="L4172" s="24">
        <v>0</v>
      </c>
      <c r="M4172" s="10">
        <v>686.27</v>
      </c>
    </row>
    <row r="4173" spans="1:13" x14ac:dyDescent="0.25">
      <c r="A4173" s="12" t="str">
        <f t="shared" si="130"/>
        <v>PEN3585AILTON ALVES DE OLIVEIRAFOL46203</v>
      </c>
      <c r="B4173" s="12" t="str">
        <f t="shared" si="131"/>
        <v>Julho</v>
      </c>
      <c r="C4173" s="8" t="s">
        <v>2715</v>
      </c>
      <c r="D4173" s="8" t="s">
        <v>1369</v>
      </c>
      <c r="E4173" s="8" t="s">
        <v>1372</v>
      </c>
      <c r="F4173" s="23">
        <v>46203</v>
      </c>
      <c r="G4173" s="8" t="s">
        <v>1037</v>
      </c>
      <c r="H4173" s="23">
        <v>46209</v>
      </c>
      <c r="I4173" s="23">
        <v>46203</v>
      </c>
      <c r="J4173" s="10">
        <v>26.34</v>
      </c>
      <c r="K4173" s="10">
        <v>0</v>
      </c>
      <c r="L4173" s="24">
        <v>0</v>
      </c>
      <c r="M4173" s="10">
        <v>26.34</v>
      </c>
    </row>
    <row r="4174" spans="1:13" x14ac:dyDescent="0.25">
      <c r="A4174" s="12" t="str">
        <f t="shared" si="130"/>
        <v>PEN3628BRUNO LOPES SOARESFOL46234</v>
      </c>
      <c r="B4174" s="12" t="str">
        <f t="shared" si="131"/>
        <v>Agosto</v>
      </c>
      <c r="C4174" s="8" t="s">
        <v>2898</v>
      </c>
      <c r="D4174" s="8" t="s">
        <v>1369</v>
      </c>
      <c r="E4174" s="8" t="s">
        <v>30</v>
      </c>
      <c r="F4174" s="23">
        <v>46234</v>
      </c>
      <c r="G4174" s="8" t="s">
        <v>1037</v>
      </c>
      <c r="H4174" s="23">
        <v>46240</v>
      </c>
      <c r="I4174" s="23">
        <v>46234</v>
      </c>
      <c r="J4174" s="10">
        <v>503.15</v>
      </c>
      <c r="K4174" s="10">
        <v>0</v>
      </c>
      <c r="L4174" s="24">
        <v>0</v>
      </c>
      <c r="M4174" s="10">
        <v>503.15</v>
      </c>
    </row>
    <row r="4175" spans="1:13" x14ac:dyDescent="0.25">
      <c r="A4175" s="12" t="str">
        <f t="shared" si="130"/>
        <v>PEN3629AILTON ALVES DE OLIVEIRAFOL46234</v>
      </c>
      <c r="B4175" s="12" t="str">
        <f t="shared" si="131"/>
        <v>Agosto</v>
      </c>
      <c r="C4175" s="8" t="s">
        <v>2896</v>
      </c>
      <c r="D4175" s="8" t="s">
        <v>1369</v>
      </c>
      <c r="E4175" s="8" t="s">
        <v>1372</v>
      </c>
      <c r="F4175" s="23">
        <v>46234</v>
      </c>
      <c r="G4175" s="8" t="s">
        <v>1037</v>
      </c>
      <c r="H4175" s="23">
        <v>46240</v>
      </c>
      <c r="I4175" s="23">
        <v>46234</v>
      </c>
      <c r="J4175" s="10">
        <v>682.81</v>
      </c>
      <c r="K4175" s="10">
        <v>0</v>
      </c>
      <c r="L4175" s="24">
        <v>0</v>
      </c>
      <c r="M4175" s="10">
        <v>682.81</v>
      </c>
    </row>
    <row r="4176" spans="1:13" x14ac:dyDescent="0.25">
      <c r="A4176" s="12" t="str">
        <f t="shared" si="130"/>
        <v>PEN3709BRUNO LOPES SOARESFOL46265</v>
      </c>
      <c r="B4176" s="12" t="str">
        <f t="shared" si="131"/>
        <v>Setembro</v>
      </c>
      <c r="C4176" s="8" t="s">
        <v>3057</v>
      </c>
      <c r="D4176" s="8" t="s">
        <v>1369</v>
      </c>
      <c r="E4176" s="8" t="s">
        <v>30</v>
      </c>
      <c r="F4176" s="23">
        <v>46265</v>
      </c>
      <c r="G4176" s="8" t="s">
        <v>1037</v>
      </c>
      <c r="H4176" s="23">
        <v>46269</v>
      </c>
      <c r="I4176" s="23">
        <v>46265</v>
      </c>
      <c r="J4176" s="10">
        <v>562.14</v>
      </c>
      <c r="K4176" s="10">
        <v>0</v>
      </c>
      <c r="L4176" s="24">
        <v>0</v>
      </c>
      <c r="M4176" s="10">
        <v>562.14</v>
      </c>
    </row>
    <row r="4177" spans="1:13" x14ac:dyDescent="0.25">
      <c r="A4177" s="12" t="str">
        <f t="shared" si="130"/>
        <v>PEN3710AILTON ALVES DE OLIVEIRAFOL46265</v>
      </c>
      <c r="B4177" s="12" t="str">
        <f t="shared" si="131"/>
        <v>Setembro</v>
      </c>
      <c r="C4177" s="8" t="s">
        <v>3056</v>
      </c>
      <c r="D4177" s="8" t="s">
        <v>1369</v>
      </c>
      <c r="E4177" s="8" t="s">
        <v>1372</v>
      </c>
      <c r="F4177" s="23">
        <v>46265</v>
      </c>
      <c r="G4177" s="8" t="s">
        <v>1037</v>
      </c>
      <c r="H4177" s="23">
        <v>46269</v>
      </c>
      <c r="I4177" s="23">
        <v>46265</v>
      </c>
      <c r="J4177" s="10">
        <v>645.89</v>
      </c>
      <c r="K4177" s="10">
        <v>0</v>
      </c>
      <c r="L4177" s="24">
        <v>0</v>
      </c>
      <c r="M4177" s="10">
        <v>645.89</v>
      </c>
    </row>
    <row r="4178" spans="1:13" x14ac:dyDescent="0.25">
      <c r="A4178" s="12" t="str">
        <f t="shared" si="130"/>
        <v>PENFER7040BRUNO LOPES SOARESFOL46056,7541666667</v>
      </c>
      <c r="B4178" s="12" t="str">
        <f t="shared" si="131"/>
        <v>Fevereiro</v>
      </c>
      <c r="C4178" s="8" t="s">
        <v>1687</v>
      </c>
      <c r="D4178" s="8" t="s">
        <v>1369</v>
      </c>
      <c r="E4178" s="8" t="s">
        <v>30</v>
      </c>
      <c r="F4178" s="23">
        <v>46056.754166666666</v>
      </c>
      <c r="G4178" s="8" t="s">
        <v>1037</v>
      </c>
      <c r="H4178" s="23">
        <v>46059</v>
      </c>
      <c r="I4178" s="23">
        <v>46056.754166666666</v>
      </c>
      <c r="J4178" s="10">
        <v>754.95</v>
      </c>
      <c r="K4178" s="10">
        <v>0</v>
      </c>
      <c r="L4178" s="24">
        <v>0</v>
      </c>
      <c r="M4178" s="10">
        <v>754.95</v>
      </c>
    </row>
    <row r="4179" spans="1:13" x14ac:dyDescent="0.25">
      <c r="A4179" s="12" t="str">
        <f t="shared" si="130"/>
        <v>PENRES140178AILTON ALVES DE OLIVEIRAFOL46289,4215277778</v>
      </c>
      <c r="B4179" s="12" t="str">
        <f t="shared" si="131"/>
        <v>Setembro</v>
      </c>
      <c r="C4179" s="8" t="s">
        <v>3180</v>
      </c>
      <c r="D4179" s="8" t="s">
        <v>664</v>
      </c>
      <c r="E4179" s="8" t="s">
        <v>1372</v>
      </c>
      <c r="F4179" s="23">
        <v>46289.421527777777</v>
      </c>
      <c r="G4179" s="8" t="s">
        <v>1037</v>
      </c>
      <c r="H4179" s="23">
        <v>46294</v>
      </c>
      <c r="I4179" s="23">
        <v>46289.421527777777</v>
      </c>
      <c r="J4179" s="10">
        <v>2239.31</v>
      </c>
      <c r="K4179" s="10">
        <v>0</v>
      </c>
      <c r="L4179" s="24">
        <v>0</v>
      </c>
      <c r="M4179" s="10">
        <v>2239.31</v>
      </c>
    </row>
    <row r="4180" spans="1:13" x14ac:dyDescent="0.25">
      <c r="A4180" s="12" t="str">
        <f t="shared" si="130"/>
        <v>PENRES140265BRUNO LOPES SOARESFOL46273,4409722222</v>
      </c>
      <c r="B4180" s="12" t="str">
        <f t="shared" si="131"/>
        <v>Setembro</v>
      </c>
      <c r="C4180" s="8" t="s">
        <v>3081</v>
      </c>
      <c r="D4180" s="8" t="s">
        <v>664</v>
      </c>
      <c r="E4180" s="8" t="s">
        <v>30</v>
      </c>
      <c r="F4180" s="23">
        <v>46273.440972222219</v>
      </c>
      <c r="G4180" s="8" t="s">
        <v>1037</v>
      </c>
      <c r="H4180" s="23">
        <v>46275</v>
      </c>
      <c r="I4180" s="23">
        <v>46273.440972222219</v>
      </c>
      <c r="J4180" s="10">
        <v>974.44</v>
      </c>
      <c r="K4180" s="10">
        <v>0</v>
      </c>
      <c r="L4180" s="24">
        <v>0</v>
      </c>
      <c r="M4180" s="10">
        <v>974.44</v>
      </c>
    </row>
    <row r="4181" spans="1:13" x14ac:dyDescent="0.25">
      <c r="A4181" s="12" t="str">
        <f t="shared" si="130"/>
        <v>PENRES140608THAYNARA MARTINS DA COSTA DE MENEZESFOL46184,6680555556</v>
      </c>
      <c r="B4181" s="12" t="str">
        <f t="shared" si="131"/>
        <v>Junho</v>
      </c>
      <c r="C4181" s="8" t="s">
        <v>2644</v>
      </c>
      <c r="D4181" s="8" t="s">
        <v>664</v>
      </c>
      <c r="E4181" s="8" t="s">
        <v>1376</v>
      </c>
      <c r="F4181" s="23">
        <v>46184.668055555558</v>
      </c>
      <c r="G4181" s="8" t="s">
        <v>1037</v>
      </c>
      <c r="H4181" s="23">
        <v>46189</v>
      </c>
      <c r="I4181" s="23">
        <v>46184.668055555558</v>
      </c>
      <c r="J4181" s="10">
        <v>843.4</v>
      </c>
      <c r="K4181" s="10">
        <v>0</v>
      </c>
      <c r="L4181" s="24">
        <v>0</v>
      </c>
      <c r="M4181" s="10">
        <v>843.4</v>
      </c>
    </row>
    <row r="4182" spans="1:13" x14ac:dyDescent="0.25">
      <c r="A4182" s="12" t="str">
        <f t="shared" si="130"/>
        <v>PN00003345MUNICIPIO DE PONTE NOVAMUL46149</v>
      </c>
      <c r="B4182" s="12" t="str">
        <f t="shared" si="131"/>
        <v>Junho</v>
      </c>
      <c r="C4182" s="8" t="s">
        <v>2419</v>
      </c>
      <c r="D4182" s="8" t="s">
        <v>1491</v>
      </c>
      <c r="E4182" s="8" t="s">
        <v>2330</v>
      </c>
      <c r="F4182" s="23">
        <v>46149</v>
      </c>
      <c r="G4182" s="8" t="s">
        <v>1491</v>
      </c>
      <c r="H4182" s="23">
        <v>46178</v>
      </c>
      <c r="I4182" s="23">
        <v>46149</v>
      </c>
      <c r="J4182" s="10">
        <v>195.23</v>
      </c>
      <c r="K4182" s="10">
        <v>78.09</v>
      </c>
      <c r="L4182" s="24">
        <v>0</v>
      </c>
      <c r="M4182" s="10">
        <v>117.14</v>
      </c>
    </row>
    <row r="4183" spans="1:13" x14ac:dyDescent="0.25">
      <c r="A4183" s="12" t="str">
        <f t="shared" si="130"/>
        <v>PN00005485MUNICIPIO DE PONTE NOVAmul46227</v>
      </c>
      <c r="B4183" s="12" t="str">
        <f t="shared" si="131"/>
        <v>Agosto</v>
      </c>
      <c r="C4183" s="8" t="s">
        <v>2880</v>
      </c>
      <c r="D4183" s="8" t="s">
        <v>1491</v>
      </c>
      <c r="E4183" s="8" t="s">
        <v>2330</v>
      </c>
      <c r="F4183" s="23">
        <v>46227</v>
      </c>
      <c r="G4183" s="8" t="s">
        <v>1493</v>
      </c>
      <c r="H4183" s="23">
        <v>46244</v>
      </c>
      <c r="I4183" s="23">
        <v>46227</v>
      </c>
      <c r="J4183" s="10">
        <v>130.16</v>
      </c>
      <c r="K4183" s="10">
        <v>26.03</v>
      </c>
      <c r="L4183" s="24">
        <v>0</v>
      </c>
      <c r="M4183" s="10">
        <v>104.13</v>
      </c>
    </row>
    <row r="4184" spans="1:13" x14ac:dyDescent="0.25">
      <c r="A4184" s="12" t="str">
        <f t="shared" si="130"/>
        <v>R100244519MUNICIPIO DE RIBEIRAO DAS NEVESmul46119</v>
      </c>
      <c r="B4184" s="12" t="str">
        <f t="shared" si="131"/>
        <v>Abril</v>
      </c>
      <c r="C4184" s="8" t="s">
        <v>2227</v>
      </c>
      <c r="D4184" s="8" t="s">
        <v>1491</v>
      </c>
      <c r="E4184" s="8" t="s">
        <v>1651</v>
      </c>
      <c r="F4184" s="23">
        <v>46119</v>
      </c>
      <c r="G4184" s="8" t="s">
        <v>1493</v>
      </c>
      <c r="H4184" s="23">
        <v>46139</v>
      </c>
      <c r="I4184" s="23">
        <v>46119</v>
      </c>
      <c r="J4184" s="10">
        <v>880.41</v>
      </c>
      <c r="K4184" s="10">
        <v>352.16</v>
      </c>
      <c r="L4184" s="24">
        <v>0</v>
      </c>
      <c r="M4184" s="10">
        <v>528.25</v>
      </c>
    </row>
    <row r="4185" spans="1:13" x14ac:dyDescent="0.25">
      <c r="A4185" s="12" t="str">
        <f t="shared" si="130"/>
        <v>R100265522MUNICIPIO DE RIBEIRAO DAS NEVESmul46178</v>
      </c>
      <c r="B4185" s="12" t="str">
        <f t="shared" si="131"/>
        <v>Julho</v>
      </c>
      <c r="C4185" s="8" t="s">
        <v>2609</v>
      </c>
      <c r="D4185" s="8" t="s">
        <v>1491</v>
      </c>
      <c r="E4185" s="8" t="s">
        <v>1651</v>
      </c>
      <c r="F4185" s="23">
        <v>46178</v>
      </c>
      <c r="G4185" s="8" t="s">
        <v>1493</v>
      </c>
      <c r="H4185" s="23">
        <v>46230</v>
      </c>
      <c r="I4185" s="23">
        <v>46178</v>
      </c>
      <c r="J4185" s="10">
        <v>130.16</v>
      </c>
      <c r="K4185" s="10">
        <v>52.06</v>
      </c>
      <c r="L4185" s="24">
        <v>0</v>
      </c>
      <c r="M4185" s="10">
        <v>78.099999999999994</v>
      </c>
    </row>
    <row r="4186" spans="1:13" x14ac:dyDescent="0.25">
      <c r="A4186" s="12" t="str">
        <f t="shared" si="130"/>
        <v>RA00005294MUNICIPIO DE PATOS DE MINASmul46178</v>
      </c>
      <c r="B4186" s="12" t="str">
        <f t="shared" si="131"/>
        <v>Julho</v>
      </c>
      <c r="C4186" s="8" t="s">
        <v>2606</v>
      </c>
      <c r="D4186" s="8" t="s">
        <v>1491</v>
      </c>
      <c r="E4186" s="8" t="s">
        <v>2607</v>
      </c>
      <c r="F4186" s="23">
        <v>46178</v>
      </c>
      <c r="G4186" s="8" t="s">
        <v>1493</v>
      </c>
      <c r="H4186" s="23">
        <v>46220</v>
      </c>
      <c r="I4186" s="23">
        <v>46178</v>
      </c>
      <c r="J4186" s="10">
        <v>130.16</v>
      </c>
      <c r="K4186" s="10">
        <v>26.03</v>
      </c>
      <c r="L4186" s="24">
        <v>0</v>
      </c>
      <c r="M4186" s="10">
        <v>104.13</v>
      </c>
    </row>
    <row r="4187" spans="1:13" x14ac:dyDescent="0.25">
      <c r="A4187" s="12" t="str">
        <f t="shared" ref="A4187:A4250" si="132">$C4187&amp;$E4187&amp;$G4187&amp;$F4187</f>
        <v>RDV 350,00VITOR SOUZA SILVADEP46113,3361111111</v>
      </c>
      <c r="B4187" s="12" t="str">
        <f t="shared" si="131"/>
        <v>Abril</v>
      </c>
      <c r="C4187" s="8" t="s">
        <v>2178</v>
      </c>
      <c r="D4187" s="8" t="s">
        <v>664</v>
      </c>
      <c r="E4187" s="8" t="s">
        <v>199</v>
      </c>
      <c r="F4187" s="23">
        <v>46113.336111111108</v>
      </c>
      <c r="G4187" s="8" t="s">
        <v>1043</v>
      </c>
      <c r="H4187" s="23">
        <v>46118</v>
      </c>
      <c r="I4187" s="23">
        <v>46113.336111111108</v>
      </c>
      <c r="J4187" s="10">
        <v>350</v>
      </c>
      <c r="K4187" s="10">
        <v>0</v>
      </c>
      <c r="L4187" s="24">
        <v>0</v>
      </c>
      <c r="M4187" s="10">
        <v>350</v>
      </c>
    </row>
    <row r="4188" spans="1:13" x14ac:dyDescent="0.25">
      <c r="A4188" s="12" t="str">
        <f t="shared" si="132"/>
        <v>RDV105WALACE ROCHA DE SOUZADEP46092,50625</v>
      </c>
      <c r="B4188" s="12" t="str">
        <f t="shared" si="131"/>
        <v>Março</v>
      </c>
      <c r="C4188" s="8" t="s">
        <v>2029</v>
      </c>
      <c r="D4188" s="8" t="s">
        <v>664</v>
      </c>
      <c r="E4188" s="8" t="s">
        <v>200</v>
      </c>
      <c r="F4188" s="23">
        <v>46092.506249999999</v>
      </c>
      <c r="G4188" s="8" t="s">
        <v>1043</v>
      </c>
      <c r="H4188" s="23">
        <v>46094</v>
      </c>
      <c r="I4188" s="23">
        <v>46092.506249999999</v>
      </c>
      <c r="J4188" s="10">
        <v>105</v>
      </c>
      <c r="K4188" s="10">
        <v>0</v>
      </c>
      <c r="L4188" s="24">
        <v>0</v>
      </c>
      <c r="M4188" s="10">
        <v>105</v>
      </c>
    </row>
    <row r="4189" spans="1:13" x14ac:dyDescent="0.25">
      <c r="A4189" s="12" t="str">
        <f t="shared" si="132"/>
        <v>RDV105RODRIGO CORREADEP46141,3743055556</v>
      </c>
      <c r="B4189" s="12" t="str">
        <f t="shared" si="131"/>
        <v>Maio</v>
      </c>
      <c r="C4189" s="8" t="s">
        <v>2029</v>
      </c>
      <c r="D4189" s="8" t="s">
        <v>664</v>
      </c>
      <c r="E4189" s="8" t="s">
        <v>172</v>
      </c>
      <c r="F4189" s="23">
        <v>46141.374305555553</v>
      </c>
      <c r="G4189" s="8" t="s">
        <v>1043</v>
      </c>
      <c r="H4189" s="23">
        <v>46146</v>
      </c>
      <c r="I4189" s="23">
        <v>46141.374305555553</v>
      </c>
      <c r="J4189" s="10">
        <v>105</v>
      </c>
      <c r="K4189" s="10">
        <v>0</v>
      </c>
      <c r="L4189" s="24">
        <v>0</v>
      </c>
      <c r="M4189" s="10">
        <v>105</v>
      </c>
    </row>
    <row r="4190" spans="1:13" x14ac:dyDescent="0.25">
      <c r="A4190" s="12" t="str">
        <f t="shared" si="132"/>
        <v>RDV105,00LEANDRO CARVALHO SILVADEP46050,7506944444</v>
      </c>
      <c r="B4190" s="12" t="str">
        <f t="shared" si="131"/>
        <v>Janeiro</v>
      </c>
      <c r="C4190" s="8" t="s">
        <v>1649</v>
      </c>
      <c r="D4190" s="8" t="s">
        <v>664</v>
      </c>
      <c r="E4190" s="8" t="s">
        <v>107</v>
      </c>
      <c r="F4190" s="23">
        <v>46050.750694444447</v>
      </c>
      <c r="G4190" s="8" t="s">
        <v>1043</v>
      </c>
      <c r="H4190" s="23">
        <v>46052</v>
      </c>
      <c r="I4190" s="23">
        <v>46050.750694444447</v>
      </c>
      <c r="J4190" s="10">
        <v>105</v>
      </c>
      <c r="K4190" s="10">
        <v>0</v>
      </c>
      <c r="L4190" s="24">
        <v>0</v>
      </c>
      <c r="M4190" s="10">
        <v>105</v>
      </c>
    </row>
    <row r="4191" spans="1:13" x14ac:dyDescent="0.25">
      <c r="A4191" s="12" t="str">
        <f t="shared" si="132"/>
        <v>RDV140RODRIGO CORREADEP46050,7486111111</v>
      </c>
      <c r="B4191" s="12" t="str">
        <f t="shared" si="131"/>
        <v>Janeiro</v>
      </c>
      <c r="C4191" s="8" t="s">
        <v>1645</v>
      </c>
      <c r="D4191" s="8" t="s">
        <v>664</v>
      </c>
      <c r="E4191" s="8" t="s">
        <v>172</v>
      </c>
      <c r="F4191" s="23">
        <v>46050.748611111114</v>
      </c>
      <c r="G4191" s="8" t="s">
        <v>1043</v>
      </c>
      <c r="H4191" s="23">
        <v>46052</v>
      </c>
      <c r="I4191" s="23">
        <v>46050.748611111114</v>
      </c>
      <c r="J4191" s="10">
        <v>140</v>
      </c>
      <c r="K4191" s="10">
        <v>0</v>
      </c>
      <c r="L4191" s="24">
        <v>0</v>
      </c>
      <c r="M4191" s="10">
        <v>140</v>
      </c>
    </row>
    <row r="4192" spans="1:13" x14ac:dyDescent="0.25">
      <c r="A4192" s="12" t="str">
        <f t="shared" si="132"/>
        <v>RDV140KATHLEEN KRISLEY AMBROSIO LARADEP46225,5013888889</v>
      </c>
      <c r="B4192" s="12" t="str">
        <f t="shared" si="131"/>
        <v>Julho</v>
      </c>
      <c r="C4192" s="8" t="s">
        <v>1645</v>
      </c>
      <c r="D4192" s="8" t="s">
        <v>664</v>
      </c>
      <c r="E4192" s="8" t="s">
        <v>104</v>
      </c>
      <c r="F4192" s="23">
        <v>46225.501388888886</v>
      </c>
      <c r="G4192" s="8" t="s">
        <v>1043</v>
      </c>
      <c r="H4192" s="23">
        <v>46227</v>
      </c>
      <c r="I4192" s="23">
        <v>46225.501388888886</v>
      </c>
      <c r="J4192" s="10">
        <v>140</v>
      </c>
      <c r="K4192" s="10">
        <v>0</v>
      </c>
      <c r="L4192" s="24">
        <v>0</v>
      </c>
      <c r="M4192" s="10">
        <v>140</v>
      </c>
    </row>
    <row r="4193" spans="1:13" x14ac:dyDescent="0.25">
      <c r="A4193" s="12" t="str">
        <f t="shared" si="132"/>
        <v>RDV140KETLENY DAIANE RODRIGUES PEREIRADEP46225,5055555556</v>
      </c>
      <c r="B4193" s="12" t="str">
        <f t="shared" si="131"/>
        <v>Julho</v>
      </c>
      <c r="C4193" s="8" t="s">
        <v>1645</v>
      </c>
      <c r="D4193" s="8" t="s">
        <v>664</v>
      </c>
      <c r="E4193" s="8" t="s">
        <v>219</v>
      </c>
      <c r="F4193" s="23">
        <v>46225.505555555559</v>
      </c>
      <c r="G4193" s="8" t="s">
        <v>1043</v>
      </c>
      <c r="H4193" s="23">
        <v>46227</v>
      </c>
      <c r="I4193" s="23">
        <v>46225.505555555559</v>
      </c>
      <c r="J4193" s="10">
        <v>140</v>
      </c>
      <c r="K4193" s="10">
        <v>0</v>
      </c>
      <c r="L4193" s="24">
        <v>0</v>
      </c>
      <c r="M4193" s="10">
        <v>140</v>
      </c>
    </row>
    <row r="4194" spans="1:13" x14ac:dyDescent="0.25">
      <c r="A4194" s="12" t="str">
        <f t="shared" si="132"/>
        <v>RDV172RODRIGO CORREADEP46260,6027777778</v>
      </c>
      <c r="B4194" s="12" t="str">
        <f t="shared" si="131"/>
        <v>Agosto</v>
      </c>
      <c r="C4194" s="8" t="s">
        <v>3030</v>
      </c>
      <c r="D4194" s="8" t="s">
        <v>664</v>
      </c>
      <c r="E4194" s="8" t="s">
        <v>172</v>
      </c>
      <c r="F4194" s="23">
        <v>46260.602777777778</v>
      </c>
      <c r="G4194" s="8" t="s">
        <v>1043</v>
      </c>
      <c r="H4194" s="23">
        <v>46262</v>
      </c>
      <c r="I4194" s="23">
        <v>46260.602777777778</v>
      </c>
      <c r="J4194" s="10">
        <v>172</v>
      </c>
      <c r="K4194" s="10">
        <v>0</v>
      </c>
      <c r="L4194" s="24">
        <v>0</v>
      </c>
      <c r="M4194" s="10">
        <v>172</v>
      </c>
    </row>
    <row r="4195" spans="1:13" x14ac:dyDescent="0.25">
      <c r="A4195" s="12" t="str">
        <f t="shared" si="132"/>
        <v>RDV172KATHLEEN KRISLEY AMBROSIO LARADEP46288,3847222222</v>
      </c>
      <c r="B4195" s="12" t="str">
        <f t="shared" si="131"/>
        <v>Setembro</v>
      </c>
      <c r="C4195" s="8" t="s">
        <v>3030</v>
      </c>
      <c r="D4195" s="8" t="s">
        <v>664</v>
      </c>
      <c r="E4195" s="8" t="s">
        <v>104</v>
      </c>
      <c r="F4195" s="23">
        <v>46288.384722222225</v>
      </c>
      <c r="G4195" s="8" t="s">
        <v>1043</v>
      </c>
      <c r="H4195" s="23">
        <v>46290</v>
      </c>
      <c r="I4195" s="23">
        <v>46288.384722222225</v>
      </c>
      <c r="J4195" s="10">
        <v>172</v>
      </c>
      <c r="K4195" s="10">
        <v>0</v>
      </c>
      <c r="L4195" s="24">
        <v>0</v>
      </c>
      <c r="M4195" s="10">
        <v>172</v>
      </c>
    </row>
    <row r="4196" spans="1:13" x14ac:dyDescent="0.25">
      <c r="A4196" s="12" t="str">
        <f t="shared" si="132"/>
        <v>RDV172KETLENY DAIANE RODRIGUES PEREIRADEP46288,3868055556</v>
      </c>
      <c r="B4196" s="12" t="str">
        <f t="shared" si="131"/>
        <v>Setembro</v>
      </c>
      <c r="C4196" s="8" t="s">
        <v>3030</v>
      </c>
      <c r="D4196" s="8" t="s">
        <v>664</v>
      </c>
      <c r="E4196" s="8" t="s">
        <v>219</v>
      </c>
      <c r="F4196" s="23">
        <v>46288.386805555558</v>
      </c>
      <c r="G4196" s="8" t="s">
        <v>1043</v>
      </c>
      <c r="H4196" s="23">
        <v>46290</v>
      </c>
      <c r="I4196" s="23">
        <v>46288.386805555558</v>
      </c>
      <c r="J4196" s="10">
        <v>172</v>
      </c>
      <c r="K4196" s="10">
        <v>0</v>
      </c>
      <c r="L4196" s="24">
        <v>0</v>
      </c>
      <c r="M4196" s="10">
        <v>172</v>
      </c>
    </row>
    <row r="4197" spans="1:13" x14ac:dyDescent="0.25">
      <c r="A4197" s="12" t="str">
        <f t="shared" si="132"/>
        <v>RDV175ANA PAULA DE ALMEIDA ARAUJODEP46183,3895833333</v>
      </c>
      <c r="B4197" s="12" t="str">
        <f t="shared" si="131"/>
        <v>Junho</v>
      </c>
      <c r="C4197" s="8" t="s">
        <v>2578</v>
      </c>
      <c r="D4197" s="8" t="s">
        <v>664</v>
      </c>
      <c r="E4197" s="8" t="s">
        <v>12</v>
      </c>
      <c r="F4197" s="23">
        <v>46183.38958333333</v>
      </c>
      <c r="G4197" s="8" t="s">
        <v>1043</v>
      </c>
      <c r="H4197" s="23">
        <v>46185</v>
      </c>
      <c r="I4197" s="23">
        <v>46183.38958333333</v>
      </c>
      <c r="J4197" s="10">
        <v>175</v>
      </c>
      <c r="K4197" s="10">
        <v>0</v>
      </c>
      <c r="L4197" s="24">
        <v>0</v>
      </c>
      <c r="M4197" s="10">
        <v>175</v>
      </c>
    </row>
    <row r="4198" spans="1:13" x14ac:dyDescent="0.25">
      <c r="A4198" s="12" t="str">
        <f t="shared" si="132"/>
        <v>RDV175JAMILLY LOPES SANTOSDEP46183,3923611111</v>
      </c>
      <c r="B4198" s="12" t="str">
        <f t="shared" si="131"/>
        <v>Junho</v>
      </c>
      <c r="C4198" s="8" t="s">
        <v>2578</v>
      </c>
      <c r="D4198" s="8" t="s">
        <v>664</v>
      </c>
      <c r="E4198" s="8" t="s">
        <v>2579</v>
      </c>
      <c r="F4198" s="23">
        <v>46183.392361111109</v>
      </c>
      <c r="G4198" s="8" t="s">
        <v>1043</v>
      </c>
      <c r="H4198" s="23">
        <v>46185</v>
      </c>
      <c r="I4198" s="23">
        <v>46183.392361111109</v>
      </c>
      <c r="J4198" s="10">
        <v>175</v>
      </c>
      <c r="K4198" s="10">
        <v>0</v>
      </c>
      <c r="L4198" s="24">
        <v>0</v>
      </c>
      <c r="M4198" s="10">
        <v>175</v>
      </c>
    </row>
    <row r="4199" spans="1:13" x14ac:dyDescent="0.25">
      <c r="A4199" s="12" t="str">
        <f t="shared" si="132"/>
        <v>RDV200SIMONE DIAS LEANDRODEP46092,5048611111</v>
      </c>
      <c r="B4199" s="12" t="str">
        <f t="shared" si="131"/>
        <v>Março</v>
      </c>
      <c r="C4199" s="8" t="s">
        <v>2028</v>
      </c>
      <c r="D4199" s="8" t="s">
        <v>664</v>
      </c>
      <c r="E4199" s="8" t="s">
        <v>181</v>
      </c>
      <c r="F4199" s="23">
        <v>46092.504861111112</v>
      </c>
      <c r="G4199" s="8" t="s">
        <v>1043</v>
      </c>
      <c r="H4199" s="23">
        <v>46094</v>
      </c>
      <c r="I4199" s="23">
        <v>46092.504861111112</v>
      </c>
      <c r="J4199" s="10">
        <v>200</v>
      </c>
      <c r="K4199" s="10">
        <v>0</v>
      </c>
      <c r="L4199" s="24">
        <v>0</v>
      </c>
      <c r="M4199" s="10">
        <v>200</v>
      </c>
    </row>
    <row r="4200" spans="1:13" x14ac:dyDescent="0.25">
      <c r="A4200" s="12" t="str">
        <f t="shared" si="132"/>
        <v>RDV204RODRIGO CORREADEP46246,4520833333</v>
      </c>
      <c r="B4200" s="12" t="str">
        <f t="shared" si="131"/>
        <v>Agosto</v>
      </c>
      <c r="C4200" s="8" t="s">
        <v>2949</v>
      </c>
      <c r="D4200" s="8" t="s">
        <v>664</v>
      </c>
      <c r="E4200" s="8" t="s">
        <v>172</v>
      </c>
      <c r="F4200" s="23">
        <v>46246.45208333333</v>
      </c>
      <c r="G4200" s="8" t="s">
        <v>1043</v>
      </c>
      <c r="H4200" s="23">
        <v>46248</v>
      </c>
      <c r="I4200" s="23">
        <v>46246.45208333333</v>
      </c>
      <c r="J4200" s="10">
        <v>204</v>
      </c>
      <c r="K4200" s="10">
        <v>0</v>
      </c>
      <c r="L4200" s="24">
        <v>0</v>
      </c>
      <c r="M4200" s="10">
        <v>204</v>
      </c>
    </row>
    <row r="4201" spans="1:13" x14ac:dyDescent="0.25">
      <c r="A4201" s="12" t="str">
        <f t="shared" si="132"/>
        <v>RDV204LUIS FELIPE ALVES DE CASTRO LOPESDEP46274,6506944444</v>
      </c>
      <c r="B4201" s="12" t="str">
        <f t="shared" si="131"/>
        <v>Setembro</v>
      </c>
      <c r="C4201" s="8" t="s">
        <v>2949</v>
      </c>
      <c r="D4201" s="8" t="s">
        <v>664</v>
      </c>
      <c r="E4201" s="8" t="s">
        <v>113</v>
      </c>
      <c r="F4201" s="23">
        <v>46274.650694444441</v>
      </c>
      <c r="G4201" s="8" t="s">
        <v>1043</v>
      </c>
      <c r="H4201" s="23">
        <v>46276</v>
      </c>
      <c r="I4201" s="23">
        <v>46274.650694444441</v>
      </c>
      <c r="J4201" s="10">
        <v>204</v>
      </c>
      <c r="K4201" s="10">
        <v>0</v>
      </c>
      <c r="L4201" s="24">
        <v>0</v>
      </c>
      <c r="M4201" s="10">
        <v>204</v>
      </c>
    </row>
    <row r="4202" spans="1:13" x14ac:dyDescent="0.25">
      <c r="A4202" s="12" t="str">
        <f t="shared" si="132"/>
        <v>RDV210LEANDRO DOS SANTOS MAIADEP46092,5131944444</v>
      </c>
      <c r="B4202" s="12" t="str">
        <f t="shared" si="131"/>
        <v>Março</v>
      </c>
      <c r="C4202" s="8" t="s">
        <v>2031</v>
      </c>
      <c r="D4202" s="8" t="s">
        <v>664</v>
      </c>
      <c r="E4202" s="8" t="s">
        <v>2032</v>
      </c>
      <c r="F4202" s="23">
        <v>46092.513194444444</v>
      </c>
      <c r="G4202" s="8" t="s">
        <v>1043</v>
      </c>
      <c r="H4202" s="23">
        <v>46094</v>
      </c>
      <c r="I4202" s="23">
        <v>46092.513194444444</v>
      </c>
      <c r="J4202" s="10">
        <v>210</v>
      </c>
      <c r="K4202" s="10">
        <v>0</v>
      </c>
      <c r="L4202" s="24">
        <v>0</v>
      </c>
      <c r="M4202" s="10">
        <v>210</v>
      </c>
    </row>
    <row r="4203" spans="1:13" x14ac:dyDescent="0.25">
      <c r="A4203" s="12" t="str">
        <f t="shared" si="132"/>
        <v>RDV210,00LEANDRO DOS SANTOS MAIADEP46113,3381944444</v>
      </c>
      <c r="B4203" s="12" t="str">
        <f t="shared" si="131"/>
        <v>Abril</v>
      </c>
      <c r="C4203" s="8" t="s">
        <v>2182</v>
      </c>
      <c r="D4203" s="8" t="s">
        <v>664</v>
      </c>
      <c r="E4203" s="8" t="s">
        <v>2032</v>
      </c>
      <c r="F4203" s="23">
        <v>46113.338194444441</v>
      </c>
      <c r="G4203" s="8" t="s">
        <v>1043</v>
      </c>
      <c r="H4203" s="23">
        <v>46118</v>
      </c>
      <c r="I4203" s="23">
        <v>46113.338194444441</v>
      </c>
      <c r="J4203" s="10">
        <v>210</v>
      </c>
      <c r="K4203" s="10">
        <v>0</v>
      </c>
      <c r="L4203" s="24">
        <v>0</v>
      </c>
      <c r="M4203" s="10">
        <v>210</v>
      </c>
    </row>
    <row r="4204" spans="1:13" x14ac:dyDescent="0.25">
      <c r="A4204" s="12" t="str">
        <f t="shared" si="132"/>
        <v>RDV245LEANDRO DOS SANTOS MAIADEP46183,3958333333</v>
      </c>
      <c r="B4204" s="12" t="str">
        <f t="shared" si="131"/>
        <v>Junho</v>
      </c>
      <c r="C4204" s="8" t="s">
        <v>2580</v>
      </c>
      <c r="D4204" s="8" t="s">
        <v>664</v>
      </c>
      <c r="E4204" s="8" t="s">
        <v>2032</v>
      </c>
      <c r="F4204" s="23">
        <v>46183.395833333336</v>
      </c>
      <c r="G4204" s="8" t="s">
        <v>1043</v>
      </c>
      <c r="H4204" s="23">
        <v>46185</v>
      </c>
      <c r="I4204" s="23">
        <v>46183.395833333336</v>
      </c>
      <c r="J4204" s="10">
        <v>245</v>
      </c>
      <c r="K4204" s="10">
        <v>0</v>
      </c>
      <c r="L4204" s="24">
        <v>0</v>
      </c>
      <c r="M4204" s="10">
        <v>245</v>
      </c>
    </row>
    <row r="4205" spans="1:13" x14ac:dyDescent="0.25">
      <c r="A4205" s="12" t="str">
        <f t="shared" si="132"/>
        <v>RDV300RODRIGO CORREADEP46198,3402777778</v>
      </c>
      <c r="B4205" s="12" t="str">
        <f t="shared" si="131"/>
        <v>Junho</v>
      </c>
      <c r="C4205" s="8" t="s">
        <v>2685</v>
      </c>
      <c r="D4205" s="8" t="s">
        <v>664</v>
      </c>
      <c r="E4205" s="8" t="s">
        <v>172</v>
      </c>
      <c r="F4205" s="23">
        <v>46198.340277777781</v>
      </c>
      <c r="G4205" s="8" t="s">
        <v>1043</v>
      </c>
      <c r="H4205" s="23">
        <v>46202</v>
      </c>
      <c r="I4205" s="23">
        <v>46198.340277777781</v>
      </c>
      <c r="J4205" s="10">
        <v>300</v>
      </c>
      <c r="K4205" s="10">
        <v>0</v>
      </c>
      <c r="L4205" s="24">
        <v>0</v>
      </c>
      <c r="M4205" s="10">
        <v>300</v>
      </c>
    </row>
    <row r="4206" spans="1:13" x14ac:dyDescent="0.25">
      <c r="A4206" s="12" t="str">
        <f t="shared" si="132"/>
        <v>RDV300VITOR SOUZA SILVADEP46198,3423611111</v>
      </c>
      <c r="B4206" s="12" t="str">
        <f t="shared" si="131"/>
        <v>Junho</v>
      </c>
      <c r="C4206" s="8" t="s">
        <v>2685</v>
      </c>
      <c r="D4206" s="8" t="s">
        <v>664</v>
      </c>
      <c r="E4206" s="8" t="s">
        <v>199</v>
      </c>
      <c r="F4206" s="23">
        <v>46198.342361111114</v>
      </c>
      <c r="G4206" s="8" t="s">
        <v>1043</v>
      </c>
      <c r="H4206" s="23">
        <v>46202</v>
      </c>
      <c r="I4206" s="23">
        <v>46198.342361111114</v>
      </c>
      <c r="J4206" s="10">
        <v>300</v>
      </c>
      <c r="K4206" s="10">
        <v>0</v>
      </c>
      <c r="L4206" s="24">
        <v>0</v>
      </c>
      <c r="M4206" s="10">
        <v>300</v>
      </c>
    </row>
    <row r="4207" spans="1:13" x14ac:dyDescent="0.25">
      <c r="A4207" s="12" t="str">
        <f t="shared" si="132"/>
        <v>RDV300LUIS FELIPE ALVES DE CASTRO LOPESDEP46232,3506944444</v>
      </c>
      <c r="B4207" s="12" t="str">
        <f t="shared" si="131"/>
        <v>Julho</v>
      </c>
      <c r="C4207" s="8" t="s">
        <v>2685</v>
      </c>
      <c r="D4207" s="8" t="s">
        <v>664</v>
      </c>
      <c r="E4207" s="8" t="s">
        <v>113</v>
      </c>
      <c r="F4207" s="23">
        <v>46232.350694444445</v>
      </c>
      <c r="G4207" s="8" t="s">
        <v>1043</v>
      </c>
      <c r="H4207" s="23">
        <v>46234</v>
      </c>
      <c r="I4207" s="23">
        <v>46232.350694444445</v>
      </c>
      <c r="J4207" s="10">
        <v>300</v>
      </c>
      <c r="K4207" s="10">
        <v>0</v>
      </c>
      <c r="L4207" s="24">
        <v>0</v>
      </c>
      <c r="M4207" s="10">
        <v>300</v>
      </c>
    </row>
    <row r="4208" spans="1:13" x14ac:dyDescent="0.25">
      <c r="A4208" s="12" t="str">
        <f t="shared" si="132"/>
        <v>RDV35,00WILSON VERGILIO DA SILVADEP46092,5145833333</v>
      </c>
      <c r="B4208" s="12" t="str">
        <f t="shared" si="131"/>
        <v>Março</v>
      </c>
      <c r="C4208" s="8" t="s">
        <v>2033</v>
      </c>
      <c r="D4208" s="8" t="s">
        <v>664</v>
      </c>
      <c r="E4208" s="8" t="s">
        <v>203</v>
      </c>
      <c r="F4208" s="23">
        <v>46092.51458333333</v>
      </c>
      <c r="G4208" s="8" t="s">
        <v>1043</v>
      </c>
      <c r="H4208" s="23">
        <v>46094</v>
      </c>
      <c r="I4208" s="23">
        <v>46092.51458333333</v>
      </c>
      <c r="J4208" s="10">
        <v>35</v>
      </c>
      <c r="K4208" s="10">
        <v>0</v>
      </c>
      <c r="L4208" s="24">
        <v>0</v>
      </c>
      <c r="M4208" s="10">
        <v>35</v>
      </c>
    </row>
    <row r="4209" spans="1:13" x14ac:dyDescent="0.25">
      <c r="A4209" s="12" t="str">
        <f t="shared" si="132"/>
        <v>RDV350LEANDRO DOS SANTOS MAIADEP46218,5555555556</v>
      </c>
      <c r="B4209" s="12" t="str">
        <f t="shared" si="131"/>
        <v>Julho</v>
      </c>
      <c r="C4209" s="8" t="s">
        <v>2818</v>
      </c>
      <c r="D4209" s="8" t="s">
        <v>664</v>
      </c>
      <c r="E4209" s="8" t="s">
        <v>2032</v>
      </c>
      <c r="F4209" s="23">
        <v>46218.555555555555</v>
      </c>
      <c r="G4209" s="8" t="s">
        <v>1043</v>
      </c>
      <c r="H4209" s="23">
        <v>46220</v>
      </c>
      <c r="I4209" s="23">
        <v>46218.555555555555</v>
      </c>
      <c r="J4209" s="10">
        <v>350</v>
      </c>
      <c r="K4209" s="10">
        <v>0</v>
      </c>
      <c r="L4209" s="24">
        <v>0</v>
      </c>
      <c r="M4209" s="10">
        <v>350</v>
      </c>
    </row>
    <row r="4210" spans="1:13" x14ac:dyDescent="0.25">
      <c r="A4210" s="12" t="str">
        <f t="shared" si="132"/>
        <v>RDV350,00VITOR SOUZA SILVADEP46092,5118055556</v>
      </c>
      <c r="B4210" s="12" t="str">
        <f t="shared" si="131"/>
        <v>Março</v>
      </c>
      <c r="C4210" s="8" t="s">
        <v>2030</v>
      </c>
      <c r="D4210" s="8" t="s">
        <v>664</v>
      </c>
      <c r="E4210" s="8" t="s">
        <v>199</v>
      </c>
      <c r="F4210" s="23">
        <v>46092.511805555558</v>
      </c>
      <c r="G4210" s="8" t="s">
        <v>1043</v>
      </c>
      <c r="H4210" s="23">
        <v>46094</v>
      </c>
      <c r="I4210" s="23">
        <v>46092.511805555558</v>
      </c>
      <c r="J4210" s="10">
        <v>350</v>
      </c>
      <c r="K4210" s="10">
        <v>0</v>
      </c>
      <c r="L4210" s="24">
        <v>0</v>
      </c>
      <c r="M4210" s="10">
        <v>350</v>
      </c>
    </row>
    <row r="4211" spans="1:13" x14ac:dyDescent="0.25">
      <c r="A4211" s="12" t="str">
        <f t="shared" si="132"/>
        <v>RDV480RODRIGO CORREADEP46232,3479166667</v>
      </c>
      <c r="B4211" s="12" t="str">
        <f t="shared" si="131"/>
        <v>Julho</v>
      </c>
      <c r="C4211" s="8" t="s">
        <v>2883</v>
      </c>
      <c r="D4211" s="8" t="s">
        <v>664</v>
      </c>
      <c r="E4211" s="8" t="s">
        <v>172</v>
      </c>
      <c r="F4211" s="23">
        <v>46232.347916666666</v>
      </c>
      <c r="G4211" s="8" t="s">
        <v>1043</v>
      </c>
      <c r="H4211" s="23">
        <v>46234</v>
      </c>
      <c r="I4211" s="23">
        <v>46232.347916666666</v>
      </c>
      <c r="J4211" s="10">
        <v>480</v>
      </c>
      <c r="K4211" s="10">
        <v>0</v>
      </c>
      <c r="L4211" s="24">
        <v>0</v>
      </c>
      <c r="M4211" s="10">
        <v>480</v>
      </c>
    </row>
    <row r="4212" spans="1:13" x14ac:dyDescent="0.25">
      <c r="A4212" s="12" t="str">
        <f t="shared" si="132"/>
        <v>RDV70KATHLEEN KRISLEY AMBROSIO LARADEP46141,3722222222</v>
      </c>
      <c r="B4212" s="12" t="str">
        <f t="shared" si="131"/>
        <v>Maio</v>
      </c>
      <c r="C4212" s="8" t="s">
        <v>2338</v>
      </c>
      <c r="D4212" s="8" t="s">
        <v>664</v>
      </c>
      <c r="E4212" s="8" t="s">
        <v>104</v>
      </c>
      <c r="F4212" s="23">
        <v>46141.37222222222</v>
      </c>
      <c r="G4212" s="8" t="s">
        <v>1043</v>
      </c>
      <c r="H4212" s="23">
        <v>46146</v>
      </c>
      <c r="I4212" s="23">
        <v>46141.37222222222</v>
      </c>
      <c r="J4212" s="10">
        <v>70</v>
      </c>
      <c r="K4212" s="10">
        <v>0</v>
      </c>
      <c r="L4212" s="24">
        <v>0</v>
      </c>
      <c r="M4212" s="10">
        <v>70</v>
      </c>
    </row>
    <row r="4213" spans="1:13" x14ac:dyDescent="0.25">
      <c r="A4213" s="12" t="str">
        <f t="shared" si="132"/>
        <v>RDV70VITOR SOUZA SILVADEP46141,3763888889</v>
      </c>
      <c r="B4213" s="12" t="str">
        <f t="shared" si="131"/>
        <v>Maio</v>
      </c>
      <c r="C4213" s="8" t="s">
        <v>2338</v>
      </c>
      <c r="D4213" s="8" t="s">
        <v>664</v>
      </c>
      <c r="E4213" s="8" t="s">
        <v>199</v>
      </c>
      <c r="F4213" s="23">
        <v>46141.376388888886</v>
      </c>
      <c r="G4213" s="8" t="s">
        <v>1043</v>
      </c>
      <c r="H4213" s="23">
        <v>46146</v>
      </c>
      <c r="I4213" s="23">
        <v>46141.376388888886</v>
      </c>
      <c r="J4213" s="10">
        <v>70</v>
      </c>
      <c r="K4213" s="10">
        <v>0</v>
      </c>
      <c r="L4213" s="24">
        <v>0</v>
      </c>
      <c r="M4213" s="10">
        <v>70</v>
      </c>
    </row>
    <row r="4214" spans="1:13" x14ac:dyDescent="0.25">
      <c r="A4214" s="12" t="str">
        <f t="shared" si="132"/>
        <v>RDV70FERNANDA SANTOS SOARESDEP46183,3944444444</v>
      </c>
      <c r="B4214" s="12" t="str">
        <f t="shared" si="131"/>
        <v>Junho</v>
      </c>
      <c r="C4214" s="8" t="s">
        <v>2338</v>
      </c>
      <c r="D4214" s="8" t="s">
        <v>664</v>
      </c>
      <c r="E4214" s="8" t="s">
        <v>68</v>
      </c>
      <c r="F4214" s="23">
        <v>46183.394444444442</v>
      </c>
      <c r="G4214" s="8" t="s">
        <v>1043</v>
      </c>
      <c r="H4214" s="23">
        <v>46185</v>
      </c>
      <c r="I4214" s="23">
        <v>46183.394444444442</v>
      </c>
      <c r="J4214" s="10">
        <v>70</v>
      </c>
      <c r="K4214" s="10">
        <v>0</v>
      </c>
      <c r="L4214" s="24">
        <v>0</v>
      </c>
      <c r="M4214" s="10">
        <v>70</v>
      </c>
    </row>
    <row r="4215" spans="1:13" x14ac:dyDescent="0.25">
      <c r="A4215" s="12" t="str">
        <f t="shared" si="132"/>
        <v>REAJVTMGHORIZONTE EXPRESS TRANSPORTES LTDABNF46044,3423611111</v>
      </c>
      <c r="B4215" s="12" t="str">
        <f t="shared" si="131"/>
        <v>Janeiro</v>
      </c>
      <c r="C4215" s="8" t="s">
        <v>1621</v>
      </c>
      <c r="D4215" s="8" t="s">
        <v>664</v>
      </c>
      <c r="E4215" s="8" t="s">
        <v>1350</v>
      </c>
      <c r="F4215" s="23">
        <v>46044.342361111114</v>
      </c>
      <c r="G4215" s="8" t="s">
        <v>1041</v>
      </c>
      <c r="H4215" s="23">
        <v>46048</v>
      </c>
      <c r="I4215" s="23">
        <v>46044.342361111114</v>
      </c>
      <c r="J4215" s="10">
        <v>769.99</v>
      </c>
      <c r="K4215" s="10">
        <v>0</v>
      </c>
      <c r="L4215" s="24">
        <v>0</v>
      </c>
      <c r="M4215" s="10">
        <v>769.99</v>
      </c>
    </row>
    <row r="4216" spans="1:13" x14ac:dyDescent="0.25">
      <c r="A4216" s="12" t="str">
        <f t="shared" si="132"/>
        <v>RES10622HORIZONTE EXPRESS TRANSPORTES LTDAFOL46031</v>
      </c>
      <c r="B4216" s="12" t="str">
        <f t="shared" si="131"/>
        <v>Janeiro</v>
      </c>
      <c r="C4216" s="8" t="s">
        <v>1465</v>
      </c>
      <c r="D4216" s="8" t="s">
        <v>1369</v>
      </c>
      <c r="E4216" s="8" t="s">
        <v>1350</v>
      </c>
      <c r="F4216" s="23">
        <v>46031</v>
      </c>
      <c r="G4216" s="8" t="s">
        <v>1037</v>
      </c>
      <c r="H4216" s="23">
        <v>46031</v>
      </c>
      <c r="I4216" s="23">
        <v>46031</v>
      </c>
      <c r="J4216" s="10">
        <v>10</v>
      </c>
      <c r="K4216" s="10">
        <v>0</v>
      </c>
      <c r="L4216" s="24">
        <v>0</v>
      </c>
      <c r="M4216" s="10">
        <v>10</v>
      </c>
    </row>
    <row r="4217" spans="1:13" x14ac:dyDescent="0.25">
      <c r="A4217" s="12" t="str">
        <f t="shared" si="132"/>
        <v>RES10630HORIZONTE EXPRESS TRANSPORTES LTDAFOL46036</v>
      </c>
      <c r="B4217" s="12" t="str">
        <f t="shared" si="131"/>
        <v>Janeiro</v>
      </c>
      <c r="C4217" s="8" t="s">
        <v>1487</v>
      </c>
      <c r="D4217" s="8" t="s">
        <v>1369</v>
      </c>
      <c r="E4217" s="8" t="s">
        <v>1350</v>
      </c>
      <c r="F4217" s="23">
        <v>46036</v>
      </c>
      <c r="G4217" s="8" t="s">
        <v>1037</v>
      </c>
      <c r="H4217" s="23">
        <v>46036</v>
      </c>
      <c r="I4217" s="23">
        <v>46036</v>
      </c>
      <c r="J4217" s="10">
        <v>3450.27</v>
      </c>
      <c r="K4217" s="10">
        <v>0</v>
      </c>
      <c r="L4217" s="24">
        <v>0</v>
      </c>
      <c r="M4217" s="10">
        <v>3450.27</v>
      </c>
    </row>
    <row r="4218" spans="1:13" x14ac:dyDescent="0.25">
      <c r="A4218" s="12" t="str">
        <f t="shared" si="132"/>
        <v>RES10696HORIZONTE EXPRESS TRANSPORTES LTDAFOL46043</v>
      </c>
      <c r="B4218" s="12" t="str">
        <f t="shared" si="131"/>
        <v>Janeiro</v>
      </c>
      <c r="C4218" s="8" t="s">
        <v>1613</v>
      </c>
      <c r="D4218" s="8" t="s">
        <v>1369</v>
      </c>
      <c r="E4218" s="8" t="s">
        <v>1350</v>
      </c>
      <c r="F4218" s="23">
        <v>46043</v>
      </c>
      <c r="G4218" s="8" t="s">
        <v>1037</v>
      </c>
      <c r="H4218" s="23">
        <v>46043</v>
      </c>
      <c r="I4218" s="23">
        <v>46043</v>
      </c>
      <c r="J4218" s="10">
        <v>10</v>
      </c>
      <c r="K4218" s="10">
        <v>0</v>
      </c>
      <c r="L4218" s="24">
        <v>0</v>
      </c>
      <c r="M4218" s="10">
        <v>10</v>
      </c>
    </row>
    <row r="4219" spans="1:13" x14ac:dyDescent="0.25">
      <c r="A4219" s="12" t="str">
        <f t="shared" si="132"/>
        <v>RES10701HORIZONTE EXPRESS TRANSPORTES LTDAFOL46048</v>
      </c>
      <c r="B4219" s="12" t="str">
        <f t="shared" si="131"/>
        <v>Janeiro</v>
      </c>
      <c r="C4219" s="8" t="s">
        <v>1622</v>
      </c>
      <c r="D4219" s="8" t="s">
        <v>1369</v>
      </c>
      <c r="E4219" s="8" t="s">
        <v>1350</v>
      </c>
      <c r="F4219" s="23">
        <v>46048</v>
      </c>
      <c r="G4219" s="8" t="s">
        <v>1037</v>
      </c>
      <c r="H4219" s="23">
        <v>46048</v>
      </c>
      <c r="I4219" s="23">
        <v>46048</v>
      </c>
      <c r="J4219" s="10">
        <v>10</v>
      </c>
      <c r="K4219" s="10">
        <v>0</v>
      </c>
      <c r="L4219" s="24">
        <v>0</v>
      </c>
      <c r="M4219" s="10">
        <v>10</v>
      </c>
    </row>
    <row r="4220" spans="1:13" x14ac:dyDescent="0.25">
      <c r="A4220" s="12" t="str">
        <f t="shared" si="132"/>
        <v>RES10706HORIZONTE EXPRESS TRANSPORTES LTDAFOL46050</v>
      </c>
      <c r="B4220" s="12" t="str">
        <f t="shared" si="131"/>
        <v>Janeiro</v>
      </c>
      <c r="C4220" s="8" t="s">
        <v>1640</v>
      </c>
      <c r="D4220" s="8" t="s">
        <v>1369</v>
      </c>
      <c r="E4220" s="8" t="s">
        <v>1350</v>
      </c>
      <c r="F4220" s="23">
        <v>46050</v>
      </c>
      <c r="G4220" s="8" t="s">
        <v>1037</v>
      </c>
      <c r="H4220" s="23">
        <v>46051</v>
      </c>
      <c r="I4220" s="23">
        <v>46050</v>
      </c>
      <c r="J4220" s="10">
        <v>3833.77</v>
      </c>
      <c r="K4220" s="10">
        <v>0</v>
      </c>
      <c r="L4220" s="24">
        <v>0</v>
      </c>
      <c r="M4220" s="10">
        <v>3833.77</v>
      </c>
    </row>
    <row r="4221" spans="1:13" x14ac:dyDescent="0.25">
      <c r="A4221" s="12" t="str">
        <f t="shared" si="132"/>
        <v>RES10735HORIZONTE EXPRESS TRANSPORTES LTDAFOL46062</v>
      </c>
      <c r="B4221" s="12" t="str">
        <f t="shared" si="131"/>
        <v>Fevereiro</v>
      </c>
      <c r="C4221" s="8" t="s">
        <v>1745</v>
      </c>
      <c r="D4221" s="8" t="s">
        <v>1369</v>
      </c>
      <c r="E4221" s="8" t="s">
        <v>1350</v>
      </c>
      <c r="F4221" s="23">
        <v>46062</v>
      </c>
      <c r="G4221" s="8" t="s">
        <v>1037</v>
      </c>
      <c r="H4221" s="23">
        <v>46063</v>
      </c>
      <c r="I4221" s="23">
        <v>46062</v>
      </c>
      <c r="J4221" s="10">
        <v>13487.24</v>
      </c>
      <c r="K4221" s="10">
        <v>0</v>
      </c>
      <c r="L4221" s="24">
        <v>0</v>
      </c>
      <c r="M4221" s="10">
        <v>13487.24</v>
      </c>
    </row>
    <row r="4222" spans="1:13" x14ac:dyDescent="0.25">
      <c r="A4222" s="12" t="str">
        <f t="shared" si="132"/>
        <v>RES10740HORIZONTE EXPRESS TRANSPORTES LTDAFOL46064</v>
      </c>
      <c r="B4222" s="12" t="str">
        <f t="shared" si="131"/>
        <v>Fevereiro</v>
      </c>
      <c r="C4222" s="8" t="s">
        <v>1751</v>
      </c>
      <c r="D4222" s="8" t="s">
        <v>1369</v>
      </c>
      <c r="E4222" s="8" t="s">
        <v>1350</v>
      </c>
      <c r="F4222" s="23">
        <v>46064</v>
      </c>
      <c r="G4222" s="8" t="s">
        <v>1037</v>
      </c>
      <c r="H4222" s="23">
        <v>46064</v>
      </c>
      <c r="I4222" s="23">
        <v>46064</v>
      </c>
      <c r="J4222" s="10">
        <v>10</v>
      </c>
      <c r="K4222" s="10">
        <v>0</v>
      </c>
      <c r="L4222" s="24">
        <v>0</v>
      </c>
      <c r="M4222" s="10">
        <v>10</v>
      </c>
    </row>
    <row r="4223" spans="1:13" x14ac:dyDescent="0.25">
      <c r="A4223" s="12" t="str">
        <f t="shared" si="132"/>
        <v>RES10746HORIZONTE EXPRESS TRANSPORTES LTDAFOL46065</v>
      </c>
      <c r="B4223" s="12" t="str">
        <f t="shared" si="131"/>
        <v>Fevereiro</v>
      </c>
      <c r="C4223" s="8" t="s">
        <v>1759</v>
      </c>
      <c r="D4223" s="8" t="s">
        <v>1369</v>
      </c>
      <c r="E4223" s="8" t="s">
        <v>1350</v>
      </c>
      <c r="F4223" s="23">
        <v>46065</v>
      </c>
      <c r="G4223" s="8" t="s">
        <v>1037</v>
      </c>
      <c r="H4223" s="23">
        <v>46065</v>
      </c>
      <c r="I4223" s="23">
        <v>46065</v>
      </c>
      <c r="J4223" s="10">
        <v>10</v>
      </c>
      <c r="K4223" s="10">
        <v>0</v>
      </c>
      <c r="L4223" s="24">
        <v>0</v>
      </c>
      <c r="M4223" s="10">
        <v>10</v>
      </c>
    </row>
    <row r="4224" spans="1:13" x14ac:dyDescent="0.25">
      <c r="A4224" s="12" t="str">
        <f t="shared" si="132"/>
        <v>RES10747HORIZONTE EXPRESS TRANSPORTES LTDAFOL46065</v>
      </c>
      <c r="B4224" s="12" t="str">
        <f t="shared" si="131"/>
        <v>Fevereiro</v>
      </c>
      <c r="C4224" s="8" t="s">
        <v>1760</v>
      </c>
      <c r="D4224" s="8" t="s">
        <v>1369</v>
      </c>
      <c r="E4224" s="8" t="s">
        <v>1350</v>
      </c>
      <c r="F4224" s="23">
        <v>46065</v>
      </c>
      <c r="G4224" s="8" t="s">
        <v>1037</v>
      </c>
      <c r="H4224" s="23">
        <v>46065</v>
      </c>
      <c r="I4224" s="23">
        <v>46065</v>
      </c>
      <c r="J4224" s="10">
        <v>7860.45</v>
      </c>
      <c r="K4224" s="10">
        <v>0</v>
      </c>
      <c r="L4224" s="24">
        <v>0</v>
      </c>
      <c r="M4224" s="10">
        <v>7860.45</v>
      </c>
    </row>
    <row r="4225" spans="1:13" x14ac:dyDescent="0.25">
      <c r="A4225" s="12" t="str">
        <f t="shared" si="132"/>
        <v>RES10759HORIZONTE EXPRESS TRANSPORTES LTDAFOL46064</v>
      </c>
      <c r="B4225" s="12" t="str">
        <f t="shared" si="131"/>
        <v>Fevereiro</v>
      </c>
      <c r="C4225" s="8" t="s">
        <v>1752</v>
      </c>
      <c r="D4225" s="8" t="s">
        <v>1369</v>
      </c>
      <c r="E4225" s="8" t="s">
        <v>1350</v>
      </c>
      <c r="F4225" s="23">
        <v>46064</v>
      </c>
      <c r="G4225" s="8" t="s">
        <v>1037</v>
      </c>
      <c r="H4225" s="23">
        <v>46064</v>
      </c>
      <c r="I4225" s="23">
        <v>46064</v>
      </c>
      <c r="J4225" s="10">
        <v>4750.08</v>
      </c>
      <c r="K4225" s="10">
        <v>0</v>
      </c>
      <c r="L4225" s="24">
        <v>0</v>
      </c>
      <c r="M4225" s="10">
        <v>4750.08</v>
      </c>
    </row>
    <row r="4226" spans="1:13" x14ac:dyDescent="0.25">
      <c r="A4226" s="12" t="str">
        <f t="shared" si="132"/>
        <v>RES10763HORIZONTE EXPRESS TRANSPORTES LTDAFOL46072</v>
      </c>
      <c r="B4226" s="12" t="str">
        <f t="shared" si="131"/>
        <v>Fevereiro</v>
      </c>
      <c r="C4226" s="8" t="s">
        <v>1885</v>
      </c>
      <c r="D4226" s="8" t="s">
        <v>1369</v>
      </c>
      <c r="E4226" s="8" t="s">
        <v>1350</v>
      </c>
      <c r="F4226" s="23">
        <v>46072</v>
      </c>
      <c r="G4226" s="8" t="s">
        <v>1037</v>
      </c>
      <c r="H4226" s="23">
        <v>46072</v>
      </c>
      <c r="I4226" s="23">
        <v>46072</v>
      </c>
      <c r="J4226" s="10">
        <v>3733.75</v>
      </c>
      <c r="K4226" s="10">
        <v>0</v>
      </c>
      <c r="L4226" s="24">
        <v>0</v>
      </c>
      <c r="M4226" s="10">
        <v>3733.75</v>
      </c>
    </row>
    <row r="4227" spans="1:13" x14ac:dyDescent="0.25">
      <c r="A4227" s="12" t="str">
        <f t="shared" si="132"/>
        <v>RES10764HORIZONTE EXPRESS TRANSPORTES LTDAFOL46072</v>
      </c>
      <c r="B4227" s="12" t="str">
        <f t="shared" ref="B4227:B4290" si="133">PROPER(TEXT($H4227,"MMMM"))</f>
        <v>Fevereiro</v>
      </c>
      <c r="C4227" s="8" t="s">
        <v>1886</v>
      </c>
      <c r="D4227" s="8" t="s">
        <v>1369</v>
      </c>
      <c r="E4227" s="8" t="s">
        <v>1350</v>
      </c>
      <c r="F4227" s="23">
        <v>46072</v>
      </c>
      <c r="G4227" s="8" t="s">
        <v>1037</v>
      </c>
      <c r="H4227" s="23">
        <v>46072</v>
      </c>
      <c r="I4227" s="23">
        <v>46072</v>
      </c>
      <c r="J4227" s="10">
        <v>6538.1</v>
      </c>
      <c r="K4227" s="10">
        <v>0</v>
      </c>
      <c r="L4227" s="24">
        <v>0</v>
      </c>
      <c r="M4227" s="10">
        <v>6538.1</v>
      </c>
    </row>
    <row r="4228" spans="1:13" x14ac:dyDescent="0.25">
      <c r="A4228" s="12" t="str">
        <f t="shared" si="132"/>
        <v>RES10768HORIZONTE EXPRESS TRANSPORTES LTDAFOL46073</v>
      </c>
      <c r="B4228" s="12" t="str">
        <f t="shared" si="133"/>
        <v>Fevereiro</v>
      </c>
      <c r="C4228" s="8" t="s">
        <v>1899</v>
      </c>
      <c r="D4228" s="8" t="s">
        <v>1369</v>
      </c>
      <c r="E4228" s="8" t="s">
        <v>1350</v>
      </c>
      <c r="F4228" s="23">
        <v>46073</v>
      </c>
      <c r="G4228" s="8" t="s">
        <v>1037</v>
      </c>
      <c r="H4228" s="23">
        <v>46073</v>
      </c>
      <c r="I4228" s="23">
        <v>46073</v>
      </c>
      <c r="J4228" s="10">
        <v>2351.7199999999998</v>
      </c>
      <c r="K4228" s="10">
        <v>0</v>
      </c>
      <c r="L4228" s="24">
        <v>0</v>
      </c>
      <c r="M4228" s="10">
        <v>2351.7199999999998</v>
      </c>
    </row>
    <row r="4229" spans="1:13" x14ac:dyDescent="0.25">
      <c r="A4229" s="12" t="str">
        <f t="shared" si="132"/>
        <v>RES10774HORIZONTE EXPRESS TRANSPORTES LTDAFOL46076</v>
      </c>
      <c r="B4229" s="12" t="str">
        <f t="shared" si="133"/>
        <v>Fevereiro</v>
      </c>
      <c r="C4229" s="8" t="s">
        <v>1906</v>
      </c>
      <c r="D4229" s="8" t="s">
        <v>1369</v>
      </c>
      <c r="E4229" s="8" t="s">
        <v>1350</v>
      </c>
      <c r="F4229" s="23">
        <v>46076</v>
      </c>
      <c r="G4229" s="8" t="s">
        <v>1037</v>
      </c>
      <c r="H4229" s="23">
        <v>46076</v>
      </c>
      <c r="I4229" s="23">
        <v>46076</v>
      </c>
      <c r="J4229" s="10">
        <v>875.27</v>
      </c>
      <c r="K4229" s="10">
        <v>0</v>
      </c>
      <c r="L4229" s="24">
        <v>0</v>
      </c>
      <c r="M4229" s="10">
        <v>875.27</v>
      </c>
    </row>
    <row r="4230" spans="1:13" x14ac:dyDescent="0.25">
      <c r="A4230" s="12" t="str">
        <f t="shared" si="132"/>
        <v>RES10775HORIZONTE EXPRESS TRANSPORTES LTDAFOL46076</v>
      </c>
      <c r="B4230" s="12" t="str">
        <f t="shared" si="133"/>
        <v>Fevereiro</v>
      </c>
      <c r="C4230" s="8" t="s">
        <v>1907</v>
      </c>
      <c r="D4230" s="8" t="s">
        <v>1369</v>
      </c>
      <c r="E4230" s="8" t="s">
        <v>1350</v>
      </c>
      <c r="F4230" s="23">
        <v>46076</v>
      </c>
      <c r="G4230" s="8" t="s">
        <v>1037</v>
      </c>
      <c r="H4230" s="23">
        <v>46076</v>
      </c>
      <c r="I4230" s="23">
        <v>46076</v>
      </c>
      <c r="J4230" s="10">
        <v>778.01</v>
      </c>
      <c r="K4230" s="10">
        <v>0</v>
      </c>
      <c r="L4230" s="24">
        <v>0</v>
      </c>
      <c r="M4230" s="10">
        <v>778.01</v>
      </c>
    </row>
    <row r="4231" spans="1:13" x14ac:dyDescent="0.25">
      <c r="A4231" s="12" t="str">
        <f t="shared" si="132"/>
        <v>RES10795HORIZONTE EXPRESS TRANSPORTES LTDAFOL46079</v>
      </c>
      <c r="B4231" s="12" t="str">
        <f t="shared" si="133"/>
        <v>Fevereiro</v>
      </c>
      <c r="C4231" s="8" t="s">
        <v>1923</v>
      </c>
      <c r="D4231" s="8" t="s">
        <v>1369</v>
      </c>
      <c r="E4231" s="8" t="s">
        <v>1350</v>
      </c>
      <c r="F4231" s="23">
        <v>46079</v>
      </c>
      <c r="G4231" s="8" t="s">
        <v>1037</v>
      </c>
      <c r="H4231" s="23">
        <v>46079</v>
      </c>
      <c r="I4231" s="23">
        <v>46079</v>
      </c>
      <c r="J4231" s="10">
        <v>10</v>
      </c>
      <c r="K4231" s="10">
        <v>0</v>
      </c>
      <c r="L4231" s="24">
        <v>0</v>
      </c>
      <c r="M4231" s="10">
        <v>10</v>
      </c>
    </row>
    <row r="4232" spans="1:13" x14ac:dyDescent="0.25">
      <c r="A4232" s="12" t="str">
        <f t="shared" si="132"/>
        <v>RES10796HORIZONTE EXPRESS TRANSPORTES LTDAFOL46079</v>
      </c>
      <c r="B4232" s="12" t="str">
        <f t="shared" si="133"/>
        <v>Fevereiro</v>
      </c>
      <c r="C4232" s="8" t="s">
        <v>1924</v>
      </c>
      <c r="D4232" s="8" t="s">
        <v>1369</v>
      </c>
      <c r="E4232" s="8" t="s">
        <v>1350</v>
      </c>
      <c r="F4232" s="23">
        <v>46079</v>
      </c>
      <c r="G4232" s="8" t="s">
        <v>1037</v>
      </c>
      <c r="H4232" s="23">
        <v>46079</v>
      </c>
      <c r="I4232" s="23">
        <v>46079</v>
      </c>
      <c r="J4232" s="10">
        <v>10</v>
      </c>
      <c r="K4232" s="10">
        <v>0</v>
      </c>
      <c r="L4232" s="24">
        <v>0</v>
      </c>
      <c r="M4232" s="10">
        <v>10</v>
      </c>
    </row>
    <row r="4233" spans="1:13" x14ac:dyDescent="0.25">
      <c r="A4233" s="12" t="str">
        <f t="shared" si="132"/>
        <v>RES10832HORIZONTE EXPRESS TRANSPORTES LTDAFOL46092</v>
      </c>
      <c r="B4233" s="12" t="str">
        <f t="shared" si="133"/>
        <v>Março</v>
      </c>
      <c r="C4233" s="8" t="s">
        <v>2015</v>
      </c>
      <c r="D4233" s="8" t="s">
        <v>1369</v>
      </c>
      <c r="E4233" s="8" t="s">
        <v>1350</v>
      </c>
      <c r="F4233" s="23">
        <v>46092</v>
      </c>
      <c r="G4233" s="8" t="s">
        <v>1037</v>
      </c>
      <c r="H4233" s="23">
        <v>46092</v>
      </c>
      <c r="I4233" s="23">
        <v>46092</v>
      </c>
      <c r="J4233" s="10">
        <v>1280</v>
      </c>
      <c r="K4233" s="10">
        <v>0</v>
      </c>
      <c r="L4233" s="24">
        <v>0</v>
      </c>
      <c r="M4233" s="10">
        <v>1280</v>
      </c>
    </row>
    <row r="4234" spans="1:13" x14ac:dyDescent="0.25">
      <c r="A4234" s="12" t="str">
        <f t="shared" si="132"/>
        <v>RES10844HORIZONTE EXPRESS TRANSPORTES LTDAFOL46093</v>
      </c>
      <c r="B4234" s="12" t="str">
        <f t="shared" si="133"/>
        <v>Março</v>
      </c>
      <c r="C4234" s="8" t="s">
        <v>2021</v>
      </c>
      <c r="D4234" s="8" t="s">
        <v>1369</v>
      </c>
      <c r="E4234" s="8" t="s">
        <v>1350</v>
      </c>
      <c r="F4234" s="23">
        <v>46093</v>
      </c>
      <c r="G4234" s="8" t="s">
        <v>1037</v>
      </c>
      <c r="H4234" s="23">
        <v>46093</v>
      </c>
      <c r="I4234" s="23">
        <v>46093</v>
      </c>
      <c r="J4234" s="10">
        <v>10</v>
      </c>
      <c r="K4234" s="10">
        <v>0</v>
      </c>
      <c r="L4234" s="24">
        <v>0</v>
      </c>
      <c r="M4234" s="10">
        <v>10</v>
      </c>
    </row>
    <row r="4235" spans="1:13" x14ac:dyDescent="0.25">
      <c r="A4235" s="12" t="str">
        <f t="shared" si="132"/>
        <v>RES10845HORIZONTE EXPRESS TRANSPORTES LTDAFOL46093</v>
      </c>
      <c r="B4235" s="12" t="str">
        <f t="shared" si="133"/>
        <v>Março</v>
      </c>
      <c r="C4235" s="8" t="s">
        <v>2022</v>
      </c>
      <c r="D4235" s="8" t="s">
        <v>1369</v>
      </c>
      <c r="E4235" s="8" t="s">
        <v>1350</v>
      </c>
      <c r="F4235" s="23">
        <v>46093</v>
      </c>
      <c r="G4235" s="8" t="s">
        <v>1037</v>
      </c>
      <c r="H4235" s="23">
        <v>46093</v>
      </c>
      <c r="I4235" s="23">
        <v>46093</v>
      </c>
      <c r="J4235" s="10">
        <v>1519.63</v>
      </c>
      <c r="K4235" s="10">
        <v>0</v>
      </c>
      <c r="L4235" s="24">
        <v>0</v>
      </c>
      <c r="M4235" s="10">
        <v>1519.63</v>
      </c>
    </row>
    <row r="4236" spans="1:13" x14ac:dyDescent="0.25">
      <c r="A4236" s="12" t="str">
        <f t="shared" si="132"/>
        <v>RES10846HORIZONTE EXPRESS TRANSPORTES LTDAFOL46093</v>
      </c>
      <c r="B4236" s="12" t="str">
        <f t="shared" si="133"/>
        <v>Março</v>
      </c>
      <c r="C4236" s="8" t="s">
        <v>2023</v>
      </c>
      <c r="D4236" s="8" t="s">
        <v>1369</v>
      </c>
      <c r="E4236" s="8" t="s">
        <v>1350</v>
      </c>
      <c r="F4236" s="23">
        <v>46093</v>
      </c>
      <c r="G4236" s="8" t="s">
        <v>1037</v>
      </c>
      <c r="H4236" s="23">
        <v>46093</v>
      </c>
      <c r="I4236" s="23">
        <v>46093</v>
      </c>
      <c r="J4236" s="10">
        <v>2344.44</v>
      </c>
      <c r="K4236" s="10">
        <v>0</v>
      </c>
      <c r="L4236" s="24">
        <v>0</v>
      </c>
      <c r="M4236" s="10">
        <v>2344.44</v>
      </c>
    </row>
    <row r="4237" spans="1:13" x14ac:dyDescent="0.25">
      <c r="A4237" s="12" t="str">
        <f t="shared" si="132"/>
        <v>RES10862HORIZONTE EXPRESS TRANSPORTES LTDAFOL46100</v>
      </c>
      <c r="B4237" s="12" t="str">
        <f t="shared" si="133"/>
        <v>Março</v>
      </c>
      <c r="C4237" s="8" t="s">
        <v>2088</v>
      </c>
      <c r="D4237" s="8" t="s">
        <v>1369</v>
      </c>
      <c r="E4237" s="8" t="s">
        <v>1350</v>
      </c>
      <c r="F4237" s="23">
        <v>46100</v>
      </c>
      <c r="G4237" s="8" t="s">
        <v>1037</v>
      </c>
      <c r="H4237" s="23">
        <v>46100</v>
      </c>
      <c r="I4237" s="23">
        <v>46100</v>
      </c>
      <c r="J4237" s="10">
        <v>10</v>
      </c>
      <c r="K4237" s="10">
        <v>0</v>
      </c>
      <c r="L4237" s="24">
        <v>0</v>
      </c>
      <c r="M4237" s="10">
        <v>10</v>
      </c>
    </row>
    <row r="4238" spans="1:13" x14ac:dyDescent="0.25">
      <c r="A4238" s="12" t="str">
        <f t="shared" si="132"/>
        <v>RES10863HORIZONTE EXPRESS TRANSPORTES LTDAFOL46100</v>
      </c>
      <c r="B4238" s="12" t="str">
        <f t="shared" si="133"/>
        <v>Março</v>
      </c>
      <c r="C4238" s="8" t="s">
        <v>2089</v>
      </c>
      <c r="D4238" s="8" t="s">
        <v>1369</v>
      </c>
      <c r="E4238" s="8" t="s">
        <v>1350</v>
      </c>
      <c r="F4238" s="23">
        <v>46100</v>
      </c>
      <c r="G4238" s="8" t="s">
        <v>1037</v>
      </c>
      <c r="H4238" s="23">
        <v>46100</v>
      </c>
      <c r="I4238" s="23">
        <v>46100</v>
      </c>
      <c r="J4238" s="10">
        <v>4372.21</v>
      </c>
      <c r="K4238" s="10">
        <v>0</v>
      </c>
      <c r="L4238" s="24">
        <v>0</v>
      </c>
      <c r="M4238" s="10">
        <v>4372.21</v>
      </c>
    </row>
    <row r="4239" spans="1:13" x14ac:dyDescent="0.25">
      <c r="A4239" s="12" t="str">
        <f t="shared" si="132"/>
        <v>RES10902HORIZONTE EXPRESS TRANSPORTES LTDAFOL46108</v>
      </c>
      <c r="B4239" s="12" t="str">
        <f t="shared" si="133"/>
        <v>Março</v>
      </c>
      <c r="C4239" s="8" t="s">
        <v>2118</v>
      </c>
      <c r="D4239" s="8" t="s">
        <v>1369</v>
      </c>
      <c r="E4239" s="8" t="s">
        <v>1350</v>
      </c>
      <c r="F4239" s="23">
        <v>46108</v>
      </c>
      <c r="G4239" s="8" t="s">
        <v>1037</v>
      </c>
      <c r="H4239" s="23">
        <v>46108</v>
      </c>
      <c r="I4239" s="23">
        <v>46108</v>
      </c>
      <c r="J4239" s="10">
        <v>10</v>
      </c>
      <c r="K4239" s="10">
        <v>0</v>
      </c>
      <c r="L4239" s="24">
        <v>0</v>
      </c>
      <c r="M4239" s="10">
        <v>10</v>
      </c>
    </row>
    <row r="4240" spans="1:13" x14ac:dyDescent="0.25">
      <c r="A4240" s="12" t="str">
        <f t="shared" si="132"/>
        <v>RES10906HORIZONTE EXPRESS TRANSPORTES LTDAFOL46111</v>
      </c>
      <c r="B4240" s="12" t="str">
        <f t="shared" si="133"/>
        <v>Março</v>
      </c>
      <c r="C4240" s="8" t="s">
        <v>2123</v>
      </c>
      <c r="D4240" s="8" t="s">
        <v>1369</v>
      </c>
      <c r="E4240" s="8" t="s">
        <v>1350</v>
      </c>
      <c r="F4240" s="23">
        <v>46111</v>
      </c>
      <c r="G4240" s="8" t="s">
        <v>1037</v>
      </c>
      <c r="H4240" s="23">
        <v>46111</v>
      </c>
      <c r="I4240" s="23">
        <v>46111</v>
      </c>
      <c r="J4240" s="10">
        <v>10</v>
      </c>
      <c r="K4240" s="10">
        <v>0</v>
      </c>
      <c r="L4240" s="24">
        <v>0</v>
      </c>
      <c r="M4240" s="10">
        <v>10</v>
      </c>
    </row>
    <row r="4241" spans="1:13" x14ac:dyDescent="0.25">
      <c r="A4241" s="12" t="str">
        <f t="shared" si="132"/>
        <v>RES10914HORIZONTE EXPRESS TRANSPORTES LTDAFOL46113</v>
      </c>
      <c r="B4241" s="12" t="str">
        <f t="shared" si="133"/>
        <v>Abril</v>
      </c>
      <c r="C4241" s="8" t="s">
        <v>2145</v>
      </c>
      <c r="D4241" s="8" t="s">
        <v>1369</v>
      </c>
      <c r="E4241" s="8" t="s">
        <v>1350</v>
      </c>
      <c r="F4241" s="23">
        <v>46113</v>
      </c>
      <c r="G4241" s="8" t="s">
        <v>1037</v>
      </c>
      <c r="H4241" s="23">
        <v>46113</v>
      </c>
      <c r="I4241" s="23">
        <v>46113</v>
      </c>
      <c r="J4241" s="10">
        <v>16116.22</v>
      </c>
      <c r="K4241" s="10">
        <v>0</v>
      </c>
      <c r="L4241" s="24">
        <v>0</v>
      </c>
      <c r="M4241" s="10">
        <v>16116.22</v>
      </c>
    </row>
    <row r="4242" spans="1:13" x14ac:dyDescent="0.25">
      <c r="A4242" s="12" t="str">
        <f t="shared" si="132"/>
        <v>RES10918HORIZONTE EXPRESS TRANSPORTES LTDAFOL46121</v>
      </c>
      <c r="B4242" s="12" t="str">
        <f t="shared" si="133"/>
        <v>Abril</v>
      </c>
      <c r="C4242" s="8" t="s">
        <v>2200</v>
      </c>
      <c r="D4242" s="8" t="s">
        <v>1369</v>
      </c>
      <c r="E4242" s="8" t="s">
        <v>1350</v>
      </c>
      <c r="F4242" s="23">
        <v>46121</v>
      </c>
      <c r="G4242" s="8" t="s">
        <v>1037</v>
      </c>
      <c r="H4242" s="23">
        <v>46121</v>
      </c>
      <c r="I4242" s="23">
        <v>46121</v>
      </c>
      <c r="J4242" s="10">
        <v>304.69</v>
      </c>
      <c r="K4242" s="10">
        <v>0</v>
      </c>
      <c r="L4242" s="24">
        <v>0</v>
      </c>
      <c r="M4242" s="10">
        <v>304.69</v>
      </c>
    </row>
    <row r="4243" spans="1:13" x14ac:dyDescent="0.25">
      <c r="A4243" s="12" t="str">
        <f t="shared" si="132"/>
        <v>RES10919HORIZONTE EXPRESS TRANSPORTES LTDAFOL46121</v>
      </c>
      <c r="B4243" s="12" t="str">
        <f t="shared" si="133"/>
        <v>Abril</v>
      </c>
      <c r="C4243" s="8" t="s">
        <v>2201</v>
      </c>
      <c r="D4243" s="8" t="s">
        <v>1369</v>
      </c>
      <c r="E4243" s="8" t="s">
        <v>1350</v>
      </c>
      <c r="F4243" s="23">
        <v>46121</v>
      </c>
      <c r="G4243" s="8" t="s">
        <v>1037</v>
      </c>
      <c r="H4243" s="23">
        <v>46121</v>
      </c>
      <c r="I4243" s="23">
        <v>46121</v>
      </c>
      <c r="J4243" s="10">
        <v>1638.63</v>
      </c>
      <c r="K4243" s="10">
        <v>0</v>
      </c>
      <c r="L4243" s="24">
        <v>0</v>
      </c>
      <c r="M4243" s="10">
        <v>1638.63</v>
      </c>
    </row>
    <row r="4244" spans="1:13" x14ac:dyDescent="0.25">
      <c r="A4244" s="12" t="str">
        <f t="shared" si="132"/>
        <v>RES10920HORIZONTE EXPRESS TRANSPORTES LTDAFOL46121</v>
      </c>
      <c r="B4244" s="12" t="str">
        <f t="shared" si="133"/>
        <v>Abril</v>
      </c>
      <c r="C4244" s="8" t="s">
        <v>2202</v>
      </c>
      <c r="D4244" s="8" t="s">
        <v>1369</v>
      </c>
      <c r="E4244" s="8" t="s">
        <v>1350</v>
      </c>
      <c r="F4244" s="23">
        <v>46121</v>
      </c>
      <c r="G4244" s="8" t="s">
        <v>1037</v>
      </c>
      <c r="H4244" s="23">
        <v>46121</v>
      </c>
      <c r="I4244" s="23">
        <v>46121</v>
      </c>
      <c r="J4244" s="10">
        <v>5504.83</v>
      </c>
      <c r="K4244" s="10">
        <v>0</v>
      </c>
      <c r="L4244" s="24">
        <v>0</v>
      </c>
      <c r="M4244" s="10">
        <v>5504.83</v>
      </c>
    </row>
    <row r="4245" spans="1:13" x14ac:dyDescent="0.25">
      <c r="A4245" s="12" t="str">
        <f t="shared" si="132"/>
        <v>RES10921HORIZONTE EXPRESS TRANSPORTES LTDAFOL46121</v>
      </c>
      <c r="B4245" s="12" t="str">
        <f t="shared" si="133"/>
        <v>Abril</v>
      </c>
      <c r="C4245" s="8" t="s">
        <v>2203</v>
      </c>
      <c r="D4245" s="8" t="s">
        <v>1369</v>
      </c>
      <c r="E4245" s="8" t="s">
        <v>1350</v>
      </c>
      <c r="F4245" s="23">
        <v>46121</v>
      </c>
      <c r="G4245" s="8" t="s">
        <v>1037</v>
      </c>
      <c r="H4245" s="23">
        <v>46121</v>
      </c>
      <c r="I4245" s="23">
        <v>46121</v>
      </c>
      <c r="J4245" s="10">
        <v>4825.12</v>
      </c>
      <c r="K4245" s="10">
        <v>0</v>
      </c>
      <c r="L4245" s="24">
        <v>0</v>
      </c>
      <c r="M4245" s="10">
        <v>4825.12</v>
      </c>
    </row>
    <row r="4246" spans="1:13" x14ac:dyDescent="0.25">
      <c r="A4246" s="12" t="str">
        <f t="shared" si="132"/>
        <v>RES10922HORIZONTE EXPRESS TRANSPORTES LTDAFOL46121</v>
      </c>
      <c r="B4246" s="12" t="str">
        <f t="shared" si="133"/>
        <v>Abril</v>
      </c>
      <c r="C4246" s="8" t="s">
        <v>2204</v>
      </c>
      <c r="D4246" s="8" t="s">
        <v>1369</v>
      </c>
      <c r="E4246" s="8" t="s">
        <v>1350</v>
      </c>
      <c r="F4246" s="23">
        <v>46121</v>
      </c>
      <c r="G4246" s="8" t="s">
        <v>1037</v>
      </c>
      <c r="H4246" s="23">
        <v>46121</v>
      </c>
      <c r="I4246" s="23">
        <v>46121</v>
      </c>
      <c r="J4246" s="10">
        <v>12222.39</v>
      </c>
      <c r="K4246" s="10">
        <v>0</v>
      </c>
      <c r="L4246" s="24">
        <v>0</v>
      </c>
      <c r="M4246" s="10">
        <v>12222.39</v>
      </c>
    </row>
    <row r="4247" spans="1:13" x14ac:dyDescent="0.25">
      <c r="A4247" s="12" t="str">
        <f t="shared" si="132"/>
        <v>RES10957HORIZONTE EXPRESS TRANSPORTES LTDAFOL46127</v>
      </c>
      <c r="B4247" s="12" t="str">
        <f t="shared" si="133"/>
        <v>Abril</v>
      </c>
      <c r="C4247" s="8" t="s">
        <v>2222</v>
      </c>
      <c r="D4247" s="8" t="s">
        <v>1369</v>
      </c>
      <c r="E4247" s="8" t="s">
        <v>1350</v>
      </c>
      <c r="F4247" s="23">
        <v>46127</v>
      </c>
      <c r="G4247" s="8" t="s">
        <v>1037</v>
      </c>
      <c r="H4247" s="23">
        <v>46127</v>
      </c>
      <c r="I4247" s="23">
        <v>46127</v>
      </c>
      <c r="J4247" s="10">
        <v>10</v>
      </c>
      <c r="K4247" s="10">
        <v>0</v>
      </c>
      <c r="L4247" s="24">
        <v>0</v>
      </c>
      <c r="M4247" s="10">
        <v>10</v>
      </c>
    </row>
    <row r="4248" spans="1:13" x14ac:dyDescent="0.25">
      <c r="A4248" s="12" t="str">
        <f t="shared" si="132"/>
        <v>RES10985HORIZONTE EXPRESS TRANSPORTES LTDAFOL46129</v>
      </c>
      <c r="B4248" s="12" t="str">
        <f t="shared" si="133"/>
        <v>Abril</v>
      </c>
      <c r="C4248" s="8" t="s">
        <v>2281</v>
      </c>
      <c r="D4248" s="8" t="s">
        <v>1369</v>
      </c>
      <c r="E4248" s="8" t="s">
        <v>1350</v>
      </c>
      <c r="F4248" s="23">
        <v>46129</v>
      </c>
      <c r="G4248" s="8" t="s">
        <v>1037</v>
      </c>
      <c r="H4248" s="23">
        <v>46129</v>
      </c>
      <c r="I4248" s="23">
        <v>46129</v>
      </c>
      <c r="J4248" s="10">
        <v>1291.56</v>
      </c>
      <c r="K4248" s="10">
        <v>0</v>
      </c>
      <c r="L4248" s="24">
        <v>0</v>
      </c>
      <c r="M4248" s="10">
        <v>1291.56</v>
      </c>
    </row>
    <row r="4249" spans="1:13" x14ac:dyDescent="0.25">
      <c r="A4249" s="12" t="str">
        <f t="shared" si="132"/>
        <v>RES10999HORIZONTE EXPRESS TRANSPORTES LTDAFOL46134</v>
      </c>
      <c r="B4249" s="12" t="str">
        <f t="shared" si="133"/>
        <v>Abril</v>
      </c>
      <c r="C4249" s="8" t="s">
        <v>2290</v>
      </c>
      <c r="D4249" s="8" t="s">
        <v>1369</v>
      </c>
      <c r="E4249" s="8" t="s">
        <v>1350</v>
      </c>
      <c r="F4249" s="23">
        <v>46134</v>
      </c>
      <c r="G4249" s="8" t="s">
        <v>1037</v>
      </c>
      <c r="H4249" s="23">
        <v>46134</v>
      </c>
      <c r="I4249" s="23">
        <v>46134</v>
      </c>
      <c r="J4249" s="10">
        <v>741.35</v>
      </c>
      <c r="K4249" s="10">
        <v>0</v>
      </c>
      <c r="L4249" s="24">
        <v>0</v>
      </c>
      <c r="M4249" s="10">
        <v>741.35</v>
      </c>
    </row>
    <row r="4250" spans="1:13" x14ac:dyDescent="0.25">
      <c r="A4250" s="12" t="str">
        <f t="shared" si="132"/>
        <v>RES11050HORIZONTE EXPRESS TRANSPORTES LTDAFOL46142</v>
      </c>
      <c r="B4250" s="12" t="str">
        <f t="shared" si="133"/>
        <v>Abril</v>
      </c>
      <c r="C4250" s="8" t="s">
        <v>2319</v>
      </c>
      <c r="D4250" s="8" t="s">
        <v>1369</v>
      </c>
      <c r="E4250" s="8" t="s">
        <v>1350</v>
      </c>
      <c r="F4250" s="23">
        <v>46142</v>
      </c>
      <c r="G4250" s="8" t="s">
        <v>1037</v>
      </c>
      <c r="H4250" s="23">
        <v>46142</v>
      </c>
      <c r="I4250" s="23">
        <v>46142</v>
      </c>
      <c r="J4250" s="10">
        <v>10</v>
      </c>
      <c r="K4250" s="10">
        <v>0</v>
      </c>
      <c r="L4250" s="24">
        <v>0</v>
      </c>
      <c r="M4250" s="10">
        <v>10</v>
      </c>
    </row>
    <row r="4251" spans="1:13" x14ac:dyDescent="0.25">
      <c r="A4251" s="12" t="str">
        <f t="shared" ref="A4251:A4314" si="134">$C4251&amp;$E4251&amp;$G4251&amp;$F4251</f>
        <v>RES11055HORIZONTE EXPRESS TRANSPORTES LTDAFOL46146</v>
      </c>
      <c r="B4251" s="12" t="str">
        <f t="shared" si="133"/>
        <v>Maio</v>
      </c>
      <c r="C4251" s="8" t="s">
        <v>2337</v>
      </c>
      <c r="D4251" s="8" t="s">
        <v>1369</v>
      </c>
      <c r="E4251" s="8" t="s">
        <v>1350</v>
      </c>
      <c r="F4251" s="23">
        <v>46146</v>
      </c>
      <c r="G4251" s="8" t="s">
        <v>1037</v>
      </c>
      <c r="H4251" s="23">
        <v>46146</v>
      </c>
      <c r="I4251" s="23">
        <v>46146</v>
      </c>
      <c r="J4251" s="10">
        <v>1784.09</v>
      </c>
      <c r="K4251" s="10">
        <v>0</v>
      </c>
      <c r="L4251" s="24">
        <v>0</v>
      </c>
      <c r="M4251" s="10">
        <v>1784.09</v>
      </c>
    </row>
    <row r="4252" spans="1:13" x14ac:dyDescent="0.25">
      <c r="A4252" s="12" t="str">
        <f t="shared" si="134"/>
        <v>RES11056HORIZONTE EXPRESS TRANSPORTES LTDAFOL46147</v>
      </c>
      <c r="B4252" s="12" t="str">
        <f t="shared" si="133"/>
        <v>Maio</v>
      </c>
      <c r="C4252" s="8" t="s">
        <v>2352</v>
      </c>
      <c r="D4252" s="8" t="s">
        <v>1369</v>
      </c>
      <c r="E4252" s="8" t="s">
        <v>1350</v>
      </c>
      <c r="F4252" s="23">
        <v>46147</v>
      </c>
      <c r="G4252" s="8" t="s">
        <v>1037</v>
      </c>
      <c r="H4252" s="23">
        <v>46147</v>
      </c>
      <c r="I4252" s="23">
        <v>46147</v>
      </c>
      <c r="J4252" s="10">
        <v>2108.61</v>
      </c>
      <c r="K4252" s="10">
        <v>0</v>
      </c>
      <c r="L4252" s="24">
        <v>0</v>
      </c>
      <c r="M4252" s="10">
        <v>2108.61</v>
      </c>
    </row>
    <row r="4253" spans="1:13" x14ac:dyDescent="0.25">
      <c r="A4253" s="12" t="str">
        <f t="shared" si="134"/>
        <v>RES11061HORIZONTE EXPRESS TRANSPORTES LTDAFOL46148</v>
      </c>
      <c r="B4253" s="12" t="str">
        <f t="shared" si="133"/>
        <v>Maio</v>
      </c>
      <c r="C4253" s="8" t="s">
        <v>2357</v>
      </c>
      <c r="D4253" s="8" t="s">
        <v>1369</v>
      </c>
      <c r="E4253" s="8" t="s">
        <v>1350</v>
      </c>
      <c r="F4253" s="23">
        <v>46148</v>
      </c>
      <c r="G4253" s="8" t="s">
        <v>1037</v>
      </c>
      <c r="H4253" s="23">
        <v>46148</v>
      </c>
      <c r="I4253" s="23">
        <v>46148</v>
      </c>
      <c r="J4253" s="10">
        <v>160</v>
      </c>
      <c r="K4253" s="10">
        <v>0</v>
      </c>
      <c r="L4253" s="24">
        <v>0</v>
      </c>
      <c r="M4253" s="10">
        <v>160</v>
      </c>
    </row>
    <row r="4254" spans="1:13" x14ac:dyDescent="0.25">
      <c r="A4254" s="12" t="str">
        <f t="shared" si="134"/>
        <v>RES11075HORIZONTE EXPRESS TRANSPORTES LTDAFOL46154</v>
      </c>
      <c r="B4254" s="12" t="str">
        <f t="shared" si="133"/>
        <v>Maio</v>
      </c>
      <c r="C4254" s="8" t="s">
        <v>2398</v>
      </c>
      <c r="D4254" s="8" t="s">
        <v>1369</v>
      </c>
      <c r="E4254" s="8" t="s">
        <v>1350</v>
      </c>
      <c r="F4254" s="23">
        <v>46154</v>
      </c>
      <c r="G4254" s="8" t="s">
        <v>1037</v>
      </c>
      <c r="H4254" s="23">
        <v>46154</v>
      </c>
      <c r="I4254" s="23">
        <v>46154</v>
      </c>
      <c r="J4254" s="10">
        <v>10</v>
      </c>
      <c r="K4254" s="10">
        <v>0</v>
      </c>
      <c r="L4254" s="24">
        <v>0</v>
      </c>
      <c r="M4254" s="10">
        <v>10</v>
      </c>
    </row>
    <row r="4255" spans="1:13" x14ac:dyDescent="0.25">
      <c r="A4255" s="12" t="str">
        <f t="shared" si="134"/>
        <v>RES11076HORIZONTE EXPRESS TRANSPORTES LTDAFOL46154</v>
      </c>
      <c r="B4255" s="12" t="str">
        <f t="shared" si="133"/>
        <v>Maio</v>
      </c>
      <c r="C4255" s="8" t="s">
        <v>2399</v>
      </c>
      <c r="D4255" s="8" t="s">
        <v>1369</v>
      </c>
      <c r="E4255" s="8" t="s">
        <v>1350</v>
      </c>
      <c r="F4255" s="23">
        <v>46154</v>
      </c>
      <c r="G4255" s="8" t="s">
        <v>1037</v>
      </c>
      <c r="H4255" s="23">
        <v>46154</v>
      </c>
      <c r="I4255" s="23">
        <v>46154</v>
      </c>
      <c r="J4255" s="10">
        <v>10</v>
      </c>
      <c r="K4255" s="10">
        <v>0</v>
      </c>
      <c r="L4255" s="24">
        <v>0</v>
      </c>
      <c r="M4255" s="10">
        <v>10</v>
      </c>
    </row>
    <row r="4256" spans="1:13" x14ac:dyDescent="0.25">
      <c r="A4256" s="12" t="str">
        <f t="shared" si="134"/>
        <v>RES11089HORIZONTE EXPRESS TRANSPORTES LTDAFOL46156</v>
      </c>
      <c r="B4256" s="12" t="str">
        <f t="shared" si="133"/>
        <v>Maio</v>
      </c>
      <c r="C4256" s="8" t="s">
        <v>2404</v>
      </c>
      <c r="D4256" s="8" t="s">
        <v>1369</v>
      </c>
      <c r="E4256" s="8" t="s">
        <v>1350</v>
      </c>
      <c r="F4256" s="23">
        <v>46156</v>
      </c>
      <c r="G4256" s="8" t="s">
        <v>1037</v>
      </c>
      <c r="H4256" s="23">
        <v>46156</v>
      </c>
      <c r="I4256" s="23">
        <v>46156</v>
      </c>
      <c r="J4256" s="10">
        <v>758.12</v>
      </c>
      <c r="K4256" s="10">
        <v>0</v>
      </c>
      <c r="L4256" s="24">
        <v>0</v>
      </c>
      <c r="M4256" s="10">
        <v>758.12</v>
      </c>
    </row>
    <row r="4257" spans="1:13" x14ac:dyDescent="0.25">
      <c r="A4257" s="12" t="str">
        <f t="shared" si="134"/>
        <v>RES11090HORIZONTE EXPRESS TRANSPORTES LTDAFOL46156</v>
      </c>
      <c r="B4257" s="12" t="str">
        <f t="shared" si="133"/>
        <v>Maio</v>
      </c>
      <c r="C4257" s="8" t="s">
        <v>2405</v>
      </c>
      <c r="D4257" s="8" t="s">
        <v>1369</v>
      </c>
      <c r="E4257" s="8" t="s">
        <v>1350</v>
      </c>
      <c r="F4257" s="23">
        <v>46156</v>
      </c>
      <c r="G4257" s="8" t="s">
        <v>1037</v>
      </c>
      <c r="H4257" s="23">
        <v>46156</v>
      </c>
      <c r="I4257" s="23">
        <v>46156</v>
      </c>
      <c r="J4257" s="10">
        <v>10</v>
      </c>
      <c r="K4257" s="10">
        <v>0</v>
      </c>
      <c r="L4257" s="24">
        <v>0</v>
      </c>
      <c r="M4257" s="10">
        <v>10</v>
      </c>
    </row>
    <row r="4258" spans="1:13" x14ac:dyDescent="0.25">
      <c r="A4258" s="12" t="str">
        <f t="shared" si="134"/>
        <v>RES11121HORIZONTE EXPRESS TRANSPORTES LTDAFOL46160</v>
      </c>
      <c r="B4258" s="12" t="str">
        <f t="shared" si="133"/>
        <v>Maio</v>
      </c>
      <c r="C4258" s="8" t="s">
        <v>2441</v>
      </c>
      <c r="D4258" s="8" t="s">
        <v>1369</v>
      </c>
      <c r="E4258" s="8" t="s">
        <v>1350</v>
      </c>
      <c r="F4258" s="23">
        <v>46160</v>
      </c>
      <c r="G4258" s="8" t="s">
        <v>1037</v>
      </c>
      <c r="H4258" s="23">
        <v>46160</v>
      </c>
      <c r="I4258" s="23">
        <v>46160</v>
      </c>
      <c r="J4258" s="10">
        <v>6425.07</v>
      </c>
      <c r="K4258" s="10">
        <v>0</v>
      </c>
      <c r="L4258" s="24">
        <v>0</v>
      </c>
      <c r="M4258" s="10">
        <v>6425.07</v>
      </c>
    </row>
    <row r="4259" spans="1:13" x14ac:dyDescent="0.25">
      <c r="A4259" s="12" t="str">
        <f t="shared" si="134"/>
        <v>RES11144HORIZONTE EXPRESS TRANSPORTES LTDAFOL46169</v>
      </c>
      <c r="B4259" s="12" t="str">
        <f t="shared" si="133"/>
        <v>Maio</v>
      </c>
      <c r="C4259" s="8" t="s">
        <v>2498</v>
      </c>
      <c r="D4259" s="8" t="s">
        <v>1369</v>
      </c>
      <c r="E4259" s="8" t="s">
        <v>1350</v>
      </c>
      <c r="F4259" s="23">
        <v>46169</v>
      </c>
      <c r="G4259" s="8" t="s">
        <v>1037</v>
      </c>
      <c r="H4259" s="23">
        <v>46169</v>
      </c>
      <c r="I4259" s="23">
        <v>46169</v>
      </c>
      <c r="J4259" s="10">
        <v>8304.1200000000008</v>
      </c>
      <c r="K4259" s="10">
        <v>0</v>
      </c>
      <c r="L4259" s="24">
        <v>0</v>
      </c>
      <c r="M4259" s="10">
        <v>8304.1200000000008</v>
      </c>
    </row>
    <row r="4260" spans="1:13" x14ac:dyDescent="0.25">
      <c r="A4260" s="12" t="str">
        <f t="shared" si="134"/>
        <v>RES11145HORIZONTE EXPRESS TRANSPORTES LTDAFOL46169</v>
      </c>
      <c r="B4260" s="12" t="str">
        <f t="shared" si="133"/>
        <v>Maio</v>
      </c>
      <c r="C4260" s="8" t="s">
        <v>2499</v>
      </c>
      <c r="D4260" s="8" t="s">
        <v>1369</v>
      </c>
      <c r="E4260" s="8" t="s">
        <v>1350</v>
      </c>
      <c r="F4260" s="23">
        <v>46169</v>
      </c>
      <c r="G4260" s="8" t="s">
        <v>1037</v>
      </c>
      <c r="H4260" s="23">
        <v>46169</v>
      </c>
      <c r="I4260" s="23">
        <v>46169</v>
      </c>
      <c r="J4260" s="10">
        <v>10</v>
      </c>
      <c r="K4260" s="10">
        <v>0</v>
      </c>
      <c r="L4260" s="24">
        <v>0</v>
      </c>
      <c r="M4260" s="10">
        <v>10</v>
      </c>
    </row>
    <row r="4261" spans="1:13" x14ac:dyDescent="0.25">
      <c r="A4261" s="12" t="str">
        <f t="shared" si="134"/>
        <v>RES11162HORIZONTE EXPRESS TRANSPORTES LTDAFOL46174</v>
      </c>
      <c r="B4261" s="12" t="str">
        <f t="shared" si="133"/>
        <v>Junho</v>
      </c>
      <c r="C4261" s="8" t="s">
        <v>2518</v>
      </c>
      <c r="D4261" s="8" t="s">
        <v>1369</v>
      </c>
      <c r="E4261" s="8" t="s">
        <v>1350</v>
      </c>
      <c r="F4261" s="23">
        <v>46174</v>
      </c>
      <c r="G4261" s="8" t="s">
        <v>1037</v>
      </c>
      <c r="H4261" s="23">
        <v>46174</v>
      </c>
      <c r="I4261" s="23">
        <v>46174</v>
      </c>
      <c r="J4261" s="10">
        <v>10</v>
      </c>
      <c r="K4261" s="10">
        <v>0</v>
      </c>
      <c r="L4261" s="24">
        <v>0</v>
      </c>
      <c r="M4261" s="10">
        <v>10</v>
      </c>
    </row>
    <row r="4262" spans="1:13" x14ac:dyDescent="0.25">
      <c r="A4262" s="12" t="str">
        <f t="shared" si="134"/>
        <v>RES11174HORIZONTE EXPRESS TRANSPORTES LTDAFOL46178</v>
      </c>
      <c r="B4262" s="12" t="str">
        <f t="shared" si="133"/>
        <v>Junho</v>
      </c>
      <c r="C4262" s="8" t="s">
        <v>2548</v>
      </c>
      <c r="D4262" s="8" t="s">
        <v>1369</v>
      </c>
      <c r="E4262" s="8" t="s">
        <v>1350</v>
      </c>
      <c r="F4262" s="23">
        <v>46178</v>
      </c>
      <c r="G4262" s="8" t="s">
        <v>1037</v>
      </c>
      <c r="H4262" s="23">
        <v>46181</v>
      </c>
      <c r="I4262" s="23">
        <v>46178</v>
      </c>
      <c r="J4262" s="10">
        <v>2186.08</v>
      </c>
      <c r="K4262" s="10">
        <v>0</v>
      </c>
      <c r="L4262" s="24">
        <v>0</v>
      </c>
      <c r="M4262" s="10">
        <v>2186.08</v>
      </c>
    </row>
    <row r="4263" spans="1:13" x14ac:dyDescent="0.25">
      <c r="A4263" s="12" t="str">
        <f t="shared" si="134"/>
        <v>RES11175HORIZONTE EXPRESS TRANSPORTES LTDAFOL46178</v>
      </c>
      <c r="B4263" s="12" t="str">
        <f t="shared" si="133"/>
        <v>Junho</v>
      </c>
      <c r="C4263" s="8" t="s">
        <v>2549</v>
      </c>
      <c r="D4263" s="8" t="s">
        <v>1369</v>
      </c>
      <c r="E4263" s="8" t="s">
        <v>1350</v>
      </c>
      <c r="F4263" s="23">
        <v>46178</v>
      </c>
      <c r="G4263" s="8" t="s">
        <v>1037</v>
      </c>
      <c r="H4263" s="23">
        <v>46181</v>
      </c>
      <c r="I4263" s="23">
        <v>46178</v>
      </c>
      <c r="J4263" s="10">
        <v>3131.11</v>
      </c>
      <c r="K4263" s="10">
        <v>0</v>
      </c>
      <c r="L4263" s="24">
        <v>0</v>
      </c>
      <c r="M4263" s="10">
        <v>3131.11</v>
      </c>
    </row>
    <row r="4264" spans="1:13" x14ac:dyDescent="0.25">
      <c r="A4264" s="12" t="str">
        <f t="shared" si="134"/>
        <v>RES11196HORIZONTE EXPRESS TRANSPORTES LTDAFOL46185</v>
      </c>
      <c r="B4264" s="12" t="str">
        <f t="shared" si="133"/>
        <v>Junho</v>
      </c>
      <c r="C4264" s="8" t="s">
        <v>2577</v>
      </c>
      <c r="D4264" s="8" t="s">
        <v>1369</v>
      </c>
      <c r="E4264" s="8" t="s">
        <v>1350</v>
      </c>
      <c r="F4264" s="23">
        <v>46185</v>
      </c>
      <c r="G4264" s="8" t="s">
        <v>1037</v>
      </c>
      <c r="H4264" s="23">
        <v>46185</v>
      </c>
      <c r="I4264" s="23">
        <v>46185</v>
      </c>
      <c r="J4264" s="10">
        <v>4904.96</v>
      </c>
      <c r="K4264" s="10">
        <v>0</v>
      </c>
      <c r="L4264" s="24">
        <v>0</v>
      </c>
      <c r="M4264" s="10">
        <v>4904.96</v>
      </c>
    </row>
    <row r="4265" spans="1:13" x14ac:dyDescent="0.25">
      <c r="A4265" s="12" t="str">
        <f t="shared" si="134"/>
        <v>RES11206HORIZONTE EXPRESS TRANSPORTES LTDAFOL46189</v>
      </c>
      <c r="B4265" s="12" t="str">
        <f t="shared" si="133"/>
        <v>Junho</v>
      </c>
      <c r="C4265" s="8" t="s">
        <v>2618</v>
      </c>
      <c r="D4265" s="8" t="s">
        <v>1369</v>
      </c>
      <c r="E4265" s="8" t="s">
        <v>1350</v>
      </c>
      <c r="F4265" s="23">
        <v>46189</v>
      </c>
      <c r="G4265" s="8" t="s">
        <v>1037</v>
      </c>
      <c r="H4265" s="23">
        <v>46189</v>
      </c>
      <c r="I4265" s="23">
        <v>46189</v>
      </c>
      <c r="J4265" s="10">
        <v>504.31</v>
      </c>
      <c r="K4265" s="10">
        <v>0</v>
      </c>
      <c r="L4265" s="24">
        <v>0</v>
      </c>
      <c r="M4265" s="10">
        <v>504.31</v>
      </c>
    </row>
    <row r="4266" spans="1:13" x14ac:dyDescent="0.25">
      <c r="A4266" s="12" t="str">
        <f t="shared" si="134"/>
        <v>RES11219HORIZONTE EXPRESS TRANSPORTES LTDAFOL46191</v>
      </c>
      <c r="B4266" s="12" t="str">
        <f t="shared" si="133"/>
        <v>Junho</v>
      </c>
      <c r="C4266" s="8" t="s">
        <v>2661</v>
      </c>
      <c r="D4266" s="8" t="s">
        <v>1369</v>
      </c>
      <c r="E4266" s="8" t="s">
        <v>1350</v>
      </c>
      <c r="F4266" s="23">
        <v>46191</v>
      </c>
      <c r="G4266" s="8" t="s">
        <v>1037</v>
      </c>
      <c r="H4266" s="23">
        <v>46191</v>
      </c>
      <c r="I4266" s="23">
        <v>46191</v>
      </c>
      <c r="J4266" s="10">
        <v>10</v>
      </c>
      <c r="K4266" s="10">
        <v>0</v>
      </c>
      <c r="L4266" s="24">
        <v>0</v>
      </c>
      <c r="M4266" s="10">
        <v>10</v>
      </c>
    </row>
    <row r="4267" spans="1:13" x14ac:dyDescent="0.25">
      <c r="A4267" s="12" t="str">
        <f t="shared" si="134"/>
        <v>RES11256HORIZONTE EXPRESS TRANSPORTES LTDAFOL46206</v>
      </c>
      <c r="B4267" s="12" t="str">
        <f t="shared" si="133"/>
        <v>Julho</v>
      </c>
      <c r="C4267" s="8" t="s">
        <v>2703</v>
      </c>
      <c r="D4267" s="8" t="s">
        <v>1369</v>
      </c>
      <c r="E4267" s="8" t="s">
        <v>1350</v>
      </c>
      <c r="F4267" s="23">
        <v>46206</v>
      </c>
      <c r="G4267" s="8" t="s">
        <v>1037</v>
      </c>
      <c r="H4267" s="23">
        <v>46206</v>
      </c>
      <c r="I4267" s="23">
        <v>46203</v>
      </c>
      <c r="J4267" s="10">
        <v>524.15</v>
      </c>
      <c r="K4267" s="10">
        <v>0</v>
      </c>
      <c r="L4267" s="24">
        <v>0</v>
      </c>
      <c r="M4267" s="10">
        <v>524.15</v>
      </c>
    </row>
    <row r="4268" spans="1:13" x14ac:dyDescent="0.25">
      <c r="A4268" s="12" t="str">
        <f t="shared" si="134"/>
        <v>RES11257HORIZONTE EXPRESS TRANSPORTES LTDAFOL46206</v>
      </c>
      <c r="B4268" s="12" t="str">
        <f t="shared" si="133"/>
        <v>Julho</v>
      </c>
      <c r="C4268" s="8" t="s">
        <v>2704</v>
      </c>
      <c r="D4268" s="8" t="s">
        <v>1369</v>
      </c>
      <c r="E4268" s="8" t="s">
        <v>1350</v>
      </c>
      <c r="F4268" s="23">
        <v>46206</v>
      </c>
      <c r="G4268" s="8" t="s">
        <v>1037</v>
      </c>
      <c r="H4268" s="23">
        <v>46206</v>
      </c>
      <c r="I4268" s="23">
        <v>46203</v>
      </c>
      <c r="J4268" s="10">
        <v>10</v>
      </c>
      <c r="K4268" s="10">
        <v>0</v>
      </c>
      <c r="L4268" s="24">
        <v>0</v>
      </c>
      <c r="M4268" s="10">
        <v>10</v>
      </c>
    </row>
    <row r="4269" spans="1:13" x14ac:dyDescent="0.25">
      <c r="A4269" s="12" t="str">
        <f t="shared" si="134"/>
        <v>RES11272HORIZONTE EXPRESS TRANSPORTES LTDAFOL46212</v>
      </c>
      <c r="B4269" s="12" t="str">
        <f t="shared" si="133"/>
        <v>Julho</v>
      </c>
      <c r="C4269" s="8" t="s">
        <v>2751</v>
      </c>
      <c r="D4269" s="8" t="s">
        <v>1369</v>
      </c>
      <c r="E4269" s="8" t="s">
        <v>1350</v>
      </c>
      <c r="F4269" s="23">
        <v>46212</v>
      </c>
      <c r="G4269" s="8" t="s">
        <v>1037</v>
      </c>
      <c r="H4269" s="23">
        <v>46212</v>
      </c>
      <c r="I4269" s="23">
        <v>46212</v>
      </c>
      <c r="J4269" s="10">
        <v>21726.19</v>
      </c>
      <c r="K4269" s="10">
        <v>0</v>
      </c>
      <c r="L4269" s="24">
        <v>0</v>
      </c>
      <c r="M4269" s="10">
        <v>21726.19</v>
      </c>
    </row>
    <row r="4270" spans="1:13" x14ac:dyDescent="0.25">
      <c r="A4270" s="12" t="str">
        <f t="shared" si="134"/>
        <v>RES11295HORIZONTE EXPRESS TRANSPORTES LTDAFOL46218</v>
      </c>
      <c r="B4270" s="12" t="str">
        <f t="shared" si="133"/>
        <v>Julho</v>
      </c>
      <c r="C4270" s="8" t="s">
        <v>2782</v>
      </c>
      <c r="D4270" s="8" t="s">
        <v>1369</v>
      </c>
      <c r="E4270" s="8" t="s">
        <v>1350</v>
      </c>
      <c r="F4270" s="23">
        <v>46218</v>
      </c>
      <c r="G4270" s="8" t="s">
        <v>1037</v>
      </c>
      <c r="H4270" s="23">
        <v>46218</v>
      </c>
      <c r="I4270" s="23">
        <v>46218</v>
      </c>
      <c r="J4270" s="10">
        <v>7711.98</v>
      </c>
      <c r="K4270" s="10">
        <v>0</v>
      </c>
      <c r="L4270" s="24">
        <v>0</v>
      </c>
      <c r="M4270" s="10">
        <v>7711.98</v>
      </c>
    </row>
    <row r="4271" spans="1:13" x14ac:dyDescent="0.25">
      <c r="A4271" s="12" t="str">
        <f t="shared" si="134"/>
        <v>RES11300HORIZONTE EXPRESS TRANSPORTES LTDAFOL46218</v>
      </c>
      <c r="B4271" s="12" t="str">
        <f t="shared" si="133"/>
        <v>Julho</v>
      </c>
      <c r="C4271" s="8" t="s">
        <v>2783</v>
      </c>
      <c r="D4271" s="8" t="s">
        <v>1369</v>
      </c>
      <c r="E4271" s="8" t="s">
        <v>1350</v>
      </c>
      <c r="F4271" s="23">
        <v>46218</v>
      </c>
      <c r="G4271" s="8" t="s">
        <v>1037</v>
      </c>
      <c r="H4271" s="23">
        <v>46218</v>
      </c>
      <c r="I4271" s="23">
        <v>46218</v>
      </c>
      <c r="J4271" s="10">
        <v>10</v>
      </c>
      <c r="K4271" s="10">
        <v>0</v>
      </c>
      <c r="L4271" s="24">
        <v>0</v>
      </c>
      <c r="M4271" s="10">
        <v>10</v>
      </c>
    </row>
    <row r="4272" spans="1:13" x14ac:dyDescent="0.25">
      <c r="A4272" s="12" t="str">
        <f t="shared" si="134"/>
        <v>RES11305HORIZONTE EXPRESS TRANSPORTES LTDAFOL46220</v>
      </c>
      <c r="B4272" s="12" t="str">
        <f t="shared" si="133"/>
        <v>Julho</v>
      </c>
      <c r="C4272" s="8" t="s">
        <v>2797</v>
      </c>
      <c r="D4272" s="8" t="s">
        <v>1369</v>
      </c>
      <c r="E4272" s="8" t="s">
        <v>1350</v>
      </c>
      <c r="F4272" s="23">
        <v>46220</v>
      </c>
      <c r="G4272" s="8" t="s">
        <v>1037</v>
      </c>
      <c r="H4272" s="23">
        <v>46220</v>
      </c>
      <c r="I4272" s="23">
        <v>46220</v>
      </c>
      <c r="J4272" s="10">
        <v>10</v>
      </c>
      <c r="K4272" s="10">
        <v>0</v>
      </c>
      <c r="L4272" s="24">
        <v>0</v>
      </c>
      <c r="M4272" s="10">
        <v>10</v>
      </c>
    </row>
    <row r="4273" spans="1:13" x14ac:dyDescent="0.25">
      <c r="A4273" s="12" t="str">
        <f t="shared" si="134"/>
        <v>RES11314HORIZONTE EXPRESS TRANSPORTES LTDAFOL46225</v>
      </c>
      <c r="B4273" s="12" t="str">
        <f t="shared" si="133"/>
        <v>Julho</v>
      </c>
      <c r="C4273" s="8" t="s">
        <v>2842</v>
      </c>
      <c r="D4273" s="8" t="s">
        <v>1369</v>
      </c>
      <c r="E4273" s="8" t="s">
        <v>1350</v>
      </c>
      <c r="F4273" s="23">
        <v>46225</v>
      </c>
      <c r="G4273" s="8" t="s">
        <v>1037</v>
      </c>
      <c r="H4273" s="23">
        <v>46225</v>
      </c>
      <c r="I4273" s="23">
        <v>46225</v>
      </c>
      <c r="J4273" s="10">
        <v>10</v>
      </c>
      <c r="K4273" s="10">
        <v>0</v>
      </c>
      <c r="L4273" s="24">
        <v>0</v>
      </c>
      <c r="M4273" s="10">
        <v>10</v>
      </c>
    </row>
    <row r="4274" spans="1:13" x14ac:dyDescent="0.25">
      <c r="A4274" s="12" t="str">
        <f t="shared" si="134"/>
        <v>RES11323HORIZONTE EXPRESS TRANSPORTES LTDAFOL46227</v>
      </c>
      <c r="B4274" s="12" t="str">
        <f t="shared" si="133"/>
        <v>Julho</v>
      </c>
      <c r="C4274" s="8" t="s">
        <v>2850</v>
      </c>
      <c r="D4274" s="8" t="s">
        <v>1369</v>
      </c>
      <c r="E4274" s="8" t="s">
        <v>1350</v>
      </c>
      <c r="F4274" s="23">
        <v>46227</v>
      </c>
      <c r="G4274" s="8" t="s">
        <v>1037</v>
      </c>
      <c r="H4274" s="23">
        <v>46227</v>
      </c>
      <c r="I4274" s="23">
        <v>46227</v>
      </c>
      <c r="J4274" s="10">
        <v>10</v>
      </c>
      <c r="K4274" s="10">
        <v>0</v>
      </c>
      <c r="L4274" s="24">
        <v>0</v>
      </c>
      <c r="M4274" s="10">
        <v>10</v>
      </c>
    </row>
    <row r="4275" spans="1:13" x14ac:dyDescent="0.25">
      <c r="A4275" s="12" t="str">
        <f t="shared" si="134"/>
        <v>RES11324HORIZONTE EXPRESS TRANSPORTES LTDAFOL46227</v>
      </c>
      <c r="B4275" s="12" t="str">
        <f t="shared" si="133"/>
        <v>Julho</v>
      </c>
      <c r="C4275" s="8" t="s">
        <v>2851</v>
      </c>
      <c r="D4275" s="8" t="s">
        <v>1369</v>
      </c>
      <c r="E4275" s="8" t="s">
        <v>1350</v>
      </c>
      <c r="F4275" s="23">
        <v>46227</v>
      </c>
      <c r="G4275" s="8" t="s">
        <v>1037</v>
      </c>
      <c r="H4275" s="23">
        <v>46227</v>
      </c>
      <c r="I4275" s="23">
        <v>46227</v>
      </c>
      <c r="J4275" s="10">
        <v>7233.25</v>
      </c>
      <c r="K4275" s="10">
        <v>0</v>
      </c>
      <c r="L4275" s="24">
        <v>0</v>
      </c>
      <c r="M4275" s="10">
        <v>7233.25</v>
      </c>
    </row>
    <row r="4276" spans="1:13" x14ac:dyDescent="0.25">
      <c r="A4276" s="12" t="str">
        <f t="shared" si="134"/>
        <v>RES11328HORIZONTE EXPRESS TRANSPORTES LTDAFOL46231</v>
      </c>
      <c r="B4276" s="12" t="str">
        <f t="shared" si="133"/>
        <v>Julho</v>
      </c>
      <c r="C4276" s="8" t="s">
        <v>2859</v>
      </c>
      <c r="D4276" s="8" t="s">
        <v>1369</v>
      </c>
      <c r="E4276" s="8" t="s">
        <v>1350</v>
      </c>
      <c r="F4276" s="23">
        <v>46231</v>
      </c>
      <c r="G4276" s="8" t="s">
        <v>1037</v>
      </c>
      <c r="H4276" s="23">
        <v>46231</v>
      </c>
      <c r="I4276" s="23">
        <v>46231</v>
      </c>
      <c r="J4276" s="10">
        <v>3176.62</v>
      </c>
      <c r="K4276" s="10">
        <v>0</v>
      </c>
      <c r="L4276" s="24">
        <v>0</v>
      </c>
      <c r="M4276" s="10">
        <v>3176.62</v>
      </c>
    </row>
    <row r="4277" spans="1:13" x14ac:dyDescent="0.25">
      <c r="A4277" s="12" t="str">
        <f t="shared" si="134"/>
        <v>RES11330HORIZONTE EXPRESS TRANSPORTES LTDAFOL46232</v>
      </c>
      <c r="B4277" s="12" t="str">
        <f t="shared" si="133"/>
        <v>Julho</v>
      </c>
      <c r="C4277" s="8" t="s">
        <v>2862</v>
      </c>
      <c r="D4277" s="8" t="s">
        <v>1369</v>
      </c>
      <c r="E4277" s="8" t="s">
        <v>1350</v>
      </c>
      <c r="F4277" s="23">
        <v>46232</v>
      </c>
      <c r="G4277" s="8" t="s">
        <v>1037</v>
      </c>
      <c r="H4277" s="23">
        <v>46232</v>
      </c>
      <c r="I4277" s="23">
        <v>46232</v>
      </c>
      <c r="J4277" s="10">
        <v>2298.56</v>
      </c>
      <c r="K4277" s="10">
        <v>0</v>
      </c>
      <c r="L4277" s="24">
        <v>0</v>
      </c>
      <c r="M4277" s="10">
        <v>2298.56</v>
      </c>
    </row>
    <row r="4278" spans="1:13" x14ac:dyDescent="0.25">
      <c r="A4278" s="12" t="str">
        <f t="shared" si="134"/>
        <v>RES11331HORIZONTE EXPRESS TRANSPORTES LTDAFOL46232</v>
      </c>
      <c r="B4278" s="12" t="str">
        <f t="shared" si="133"/>
        <v>Julho</v>
      </c>
      <c r="C4278" s="8" t="s">
        <v>2863</v>
      </c>
      <c r="D4278" s="8" t="s">
        <v>1369</v>
      </c>
      <c r="E4278" s="8" t="s">
        <v>1350</v>
      </c>
      <c r="F4278" s="23">
        <v>46232</v>
      </c>
      <c r="G4278" s="8" t="s">
        <v>1037</v>
      </c>
      <c r="H4278" s="23">
        <v>46232</v>
      </c>
      <c r="I4278" s="23">
        <v>46232</v>
      </c>
      <c r="J4278" s="10">
        <v>10</v>
      </c>
      <c r="K4278" s="10">
        <v>0</v>
      </c>
      <c r="L4278" s="24">
        <v>0</v>
      </c>
      <c r="M4278" s="10">
        <v>10</v>
      </c>
    </row>
    <row r="4279" spans="1:13" x14ac:dyDescent="0.25">
      <c r="A4279" s="12" t="str">
        <f t="shared" si="134"/>
        <v>RES11383HORIZONTE EXPRESS TRANSPORTES LTDAFOL46247</v>
      </c>
      <c r="B4279" s="12" t="str">
        <f t="shared" si="133"/>
        <v>Agosto</v>
      </c>
      <c r="C4279" s="8" t="s">
        <v>2941</v>
      </c>
      <c r="D4279" s="8" t="s">
        <v>1369</v>
      </c>
      <c r="E4279" s="8" t="s">
        <v>1350</v>
      </c>
      <c r="F4279" s="23">
        <v>46247</v>
      </c>
      <c r="G4279" s="8" t="s">
        <v>1037</v>
      </c>
      <c r="H4279" s="23">
        <v>46247</v>
      </c>
      <c r="I4279" s="23">
        <v>46247</v>
      </c>
      <c r="J4279" s="10">
        <v>10</v>
      </c>
      <c r="K4279" s="10">
        <v>0</v>
      </c>
      <c r="L4279" s="24">
        <v>0</v>
      </c>
      <c r="M4279" s="10">
        <v>10</v>
      </c>
    </row>
    <row r="4280" spans="1:13" x14ac:dyDescent="0.25">
      <c r="A4280" s="12" t="str">
        <f t="shared" si="134"/>
        <v>RES11384HORIZONTE EXPRESS TRANSPORTES LTDAFOL46247</v>
      </c>
      <c r="B4280" s="12" t="str">
        <f t="shared" si="133"/>
        <v>Agosto</v>
      </c>
      <c r="C4280" s="8" t="s">
        <v>2942</v>
      </c>
      <c r="D4280" s="8" t="s">
        <v>1369</v>
      </c>
      <c r="E4280" s="8" t="s">
        <v>1350</v>
      </c>
      <c r="F4280" s="23">
        <v>46247</v>
      </c>
      <c r="G4280" s="8" t="s">
        <v>1037</v>
      </c>
      <c r="H4280" s="23">
        <v>46247</v>
      </c>
      <c r="I4280" s="23">
        <v>46247</v>
      </c>
      <c r="J4280" s="10">
        <v>8542.25</v>
      </c>
      <c r="K4280" s="10">
        <v>0</v>
      </c>
      <c r="L4280" s="24">
        <v>0</v>
      </c>
      <c r="M4280" s="10">
        <v>8542.25</v>
      </c>
    </row>
    <row r="4281" spans="1:13" x14ac:dyDescent="0.25">
      <c r="A4281" s="12" t="str">
        <f t="shared" si="134"/>
        <v>RES11395HORIZONTE EXPRESS TRANSPORTES LTDAFOL46248</v>
      </c>
      <c r="B4281" s="12" t="str">
        <f t="shared" si="133"/>
        <v>Agosto</v>
      </c>
      <c r="C4281" s="8" t="s">
        <v>2947</v>
      </c>
      <c r="D4281" s="8" t="s">
        <v>1369</v>
      </c>
      <c r="E4281" s="8" t="s">
        <v>1350</v>
      </c>
      <c r="F4281" s="23">
        <v>46248</v>
      </c>
      <c r="G4281" s="8" t="s">
        <v>1037</v>
      </c>
      <c r="H4281" s="23">
        <v>46248</v>
      </c>
      <c r="I4281" s="23">
        <v>46248</v>
      </c>
      <c r="J4281" s="10">
        <v>7185.17</v>
      </c>
      <c r="K4281" s="10">
        <v>0</v>
      </c>
      <c r="L4281" s="24">
        <v>0</v>
      </c>
      <c r="M4281" s="10">
        <v>7185.17</v>
      </c>
    </row>
    <row r="4282" spans="1:13" x14ac:dyDescent="0.25">
      <c r="A4282" s="12" t="str">
        <f t="shared" si="134"/>
        <v>RES11396HORIZONTE EXPRESS TRANSPORTES LTDAFOL46248</v>
      </c>
      <c r="B4282" s="12" t="str">
        <f t="shared" si="133"/>
        <v>Agosto</v>
      </c>
      <c r="C4282" s="8" t="s">
        <v>2948</v>
      </c>
      <c r="D4282" s="8" t="s">
        <v>1369</v>
      </c>
      <c r="E4282" s="8" t="s">
        <v>1350</v>
      </c>
      <c r="F4282" s="23">
        <v>46248</v>
      </c>
      <c r="G4282" s="8" t="s">
        <v>1037</v>
      </c>
      <c r="H4282" s="23">
        <v>46248</v>
      </c>
      <c r="I4282" s="23">
        <v>46248</v>
      </c>
      <c r="J4282" s="10">
        <v>8982.34</v>
      </c>
      <c r="K4282" s="10">
        <v>0</v>
      </c>
      <c r="L4282" s="24">
        <v>0</v>
      </c>
      <c r="M4282" s="10">
        <v>8982.34</v>
      </c>
    </row>
    <row r="4283" spans="1:13" x14ac:dyDescent="0.25">
      <c r="A4283" s="12" t="str">
        <f t="shared" si="134"/>
        <v>RES11402HORIZONTE EXPRESS TRANSPORTES LTDAFOL46251</v>
      </c>
      <c r="B4283" s="12" t="str">
        <f t="shared" si="133"/>
        <v>Agosto</v>
      </c>
      <c r="C4283" s="8" t="s">
        <v>2953</v>
      </c>
      <c r="D4283" s="8" t="s">
        <v>1369</v>
      </c>
      <c r="E4283" s="8" t="s">
        <v>1350</v>
      </c>
      <c r="F4283" s="23">
        <v>46251</v>
      </c>
      <c r="G4283" s="8" t="s">
        <v>1037</v>
      </c>
      <c r="H4283" s="23">
        <v>46251</v>
      </c>
      <c r="I4283" s="23">
        <v>46251</v>
      </c>
      <c r="J4283" s="10">
        <v>5437.75</v>
      </c>
      <c r="K4283" s="10">
        <v>0</v>
      </c>
      <c r="L4283" s="24">
        <v>0</v>
      </c>
      <c r="M4283" s="10">
        <v>5437.75</v>
      </c>
    </row>
    <row r="4284" spans="1:13" x14ac:dyDescent="0.25">
      <c r="A4284" s="12" t="str">
        <f t="shared" si="134"/>
        <v>RES11416HORIZONTE EXPRESS TRANSPORTES LTDAFOL46254</v>
      </c>
      <c r="B4284" s="12" t="str">
        <f t="shared" si="133"/>
        <v>Agosto</v>
      </c>
      <c r="C4284" s="8" t="s">
        <v>3010</v>
      </c>
      <c r="D4284" s="8" t="s">
        <v>1369</v>
      </c>
      <c r="E4284" s="8" t="s">
        <v>1350</v>
      </c>
      <c r="F4284" s="23">
        <v>46254</v>
      </c>
      <c r="G4284" s="8" t="s">
        <v>1037</v>
      </c>
      <c r="H4284" s="23">
        <v>46254</v>
      </c>
      <c r="I4284" s="23">
        <v>46254</v>
      </c>
      <c r="J4284" s="10">
        <v>894.04</v>
      </c>
      <c r="K4284" s="10">
        <v>0</v>
      </c>
      <c r="L4284" s="24">
        <v>0</v>
      </c>
      <c r="M4284" s="10">
        <v>894.04</v>
      </c>
    </row>
    <row r="4285" spans="1:13" x14ac:dyDescent="0.25">
      <c r="A4285" s="12" t="str">
        <f t="shared" si="134"/>
        <v>RES11423HORIZONTE EXPRESS TRANSPORTES LTDAFOL46255</v>
      </c>
      <c r="B4285" s="12" t="str">
        <f t="shared" si="133"/>
        <v>Agosto</v>
      </c>
      <c r="C4285" s="8" t="s">
        <v>3016</v>
      </c>
      <c r="D4285" s="8" t="s">
        <v>1369</v>
      </c>
      <c r="E4285" s="8" t="s">
        <v>1350</v>
      </c>
      <c r="F4285" s="23">
        <v>46255</v>
      </c>
      <c r="G4285" s="8" t="s">
        <v>1037</v>
      </c>
      <c r="H4285" s="23">
        <v>46255</v>
      </c>
      <c r="I4285" s="23">
        <v>46255</v>
      </c>
      <c r="J4285" s="10">
        <v>10</v>
      </c>
      <c r="K4285" s="10">
        <v>0</v>
      </c>
      <c r="L4285" s="24">
        <v>0</v>
      </c>
      <c r="M4285" s="10">
        <v>10</v>
      </c>
    </row>
    <row r="4286" spans="1:13" x14ac:dyDescent="0.25">
      <c r="A4286" s="12" t="str">
        <f t="shared" si="134"/>
        <v>RES11424HORIZONTE EXPRESS TRANSPORTES LTDAFOL46255</v>
      </c>
      <c r="B4286" s="12" t="str">
        <f t="shared" si="133"/>
        <v>Agosto</v>
      </c>
      <c r="C4286" s="8" t="s">
        <v>3017</v>
      </c>
      <c r="D4286" s="8" t="s">
        <v>1369</v>
      </c>
      <c r="E4286" s="8" t="s">
        <v>1350</v>
      </c>
      <c r="F4286" s="23">
        <v>46255</v>
      </c>
      <c r="G4286" s="8" t="s">
        <v>1037</v>
      </c>
      <c r="H4286" s="23">
        <v>46255</v>
      </c>
      <c r="I4286" s="23">
        <v>46255</v>
      </c>
      <c r="J4286" s="10">
        <v>130.16</v>
      </c>
      <c r="K4286" s="10">
        <v>0</v>
      </c>
      <c r="L4286" s="24">
        <v>0</v>
      </c>
      <c r="M4286" s="10">
        <v>130.16</v>
      </c>
    </row>
    <row r="4287" spans="1:13" x14ac:dyDescent="0.25">
      <c r="A4287" s="12" t="str">
        <f t="shared" si="134"/>
        <v>RES11475HORIZONTE EXPRESS TRANSPORTES LTDAFOL46275</v>
      </c>
      <c r="B4287" s="12" t="str">
        <f t="shared" si="133"/>
        <v>Setembro</v>
      </c>
      <c r="C4287" s="8" t="s">
        <v>3078</v>
      </c>
      <c r="D4287" s="8" t="s">
        <v>1369</v>
      </c>
      <c r="E4287" s="8" t="s">
        <v>1350</v>
      </c>
      <c r="F4287" s="23">
        <v>46275</v>
      </c>
      <c r="G4287" s="8" t="s">
        <v>1037</v>
      </c>
      <c r="H4287" s="23">
        <v>46275</v>
      </c>
      <c r="I4287" s="23">
        <v>46275</v>
      </c>
      <c r="J4287" s="10">
        <v>8770.8700000000008</v>
      </c>
      <c r="K4287" s="10">
        <v>0</v>
      </c>
      <c r="L4287" s="24">
        <v>0</v>
      </c>
      <c r="M4287" s="10">
        <v>8770.8700000000008</v>
      </c>
    </row>
    <row r="4288" spans="1:13" x14ac:dyDescent="0.25">
      <c r="A4288" s="12" t="str">
        <f t="shared" si="134"/>
        <v>RES11476HORIZONTE EXPRESS TRANSPORTES LTDAFOL46275</v>
      </c>
      <c r="B4288" s="12" t="str">
        <f t="shared" si="133"/>
        <v>Setembro</v>
      </c>
      <c r="C4288" s="8" t="s">
        <v>3079</v>
      </c>
      <c r="D4288" s="8" t="s">
        <v>1369</v>
      </c>
      <c r="E4288" s="8" t="s">
        <v>1350</v>
      </c>
      <c r="F4288" s="23">
        <v>46275</v>
      </c>
      <c r="G4288" s="8" t="s">
        <v>1037</v>
      </c>
      <c r="H4288" s="23">
        <v>46275</v>
      </c>
      <c r="I4288" s="23">
        <v>46275</v>
      </c>
      <c r="J4288" s="10">
        <v>1548.45</v>
      </c>
      <c r="K4288" s="10">
        <v>0</v>
      </c>
      <c r="L4288" s="24">
        <v>0</v>
      </c>
      <c r="M4288" s="10">
        <v>1548.45</v>
      </c>
    </row>
    <row r="4289" spans="1:13" x14ac:dyDescent="0.25">
      <c r="A4289" s="12" t="str">
        <f t="shared" si="134"/>
        <v>RES11497HORIZONTE EXPRESS TRANSPORTES LTDAFOL46280</v>
      </c>
      <c r="B4289" s="12" t="str">
        <f t="shared" si="133"/>
        <v>Setembro</v>
      </c>
      <c r="C4289" s="8" t="s">
        <v>3090</v>
      </c>
      <c r="D4289" s="8" t="s">
        <v>1369</v>
      </c>
      <c r="E4289" s="8" t="s">
        <v>1350</v>
      </c>
      <c r="F4289" s="23">
        <v>46280</v>
      </c>
      <c r="G4289" s="8" t="s">
        <v>1037</v>
      </c>
      <c r="H4289" s="23">
        <v>46280</v>
      </c>
      <c r="I4289" s="23">
        <v>46280</v>
      </c>
      <c r="J4289" s="10">
        <v>10</v>
      </c>
      <c r="K4289" s="10">
        <v>0</v>
      </c>
      <c r="L4289" s="24">
        <v>0</v>
      </c>
      <c r="M4289" s="10">
        <v>10</v>
      </c>
    </row>
    <row r="4290" spans="1:13" x14ac:dyDescent="0.25">
      <c r="A4290" s="12" t="str">
        <f t="shared" si="134"/>
        <v>RES11505HORIZONTE EXPRESS TRANSPORTES LTDAFOL46282</v>
      </c>
      <c r="B4290" s="12" t="str">
        <f t="shared" si="133"/>
        <v>Setembro</v>
      </c>
      <c r="C4290" s="8" t="s">
        <v>3140</v>
      </c>
      <c r="D4290" s="8" t="s">
        <v>1369</v>
      </c>
      <c r="E4290" s="8" t="s">
        <v>1350</v>
      </c>
      <c r="F4290" s="23">
        <v>46282</v>
      </c>
      <c r="G4290" s="8" t="s">
        <v>1037</v>
      </c>
      <c r="H4290" s="23">
        <v>46282</v>
      </c>
      <c r="I4290" s="23">
        <v>46282</v>
      </c>
      <c r="J4290" s="10">
        <v>957.31</v>
      </c>
      <c r="K4290" s="10">
        <v>0</v>
      </c>
      <c r="L4290" s="24">
        <v>0</v>
      </c>
      <c r="M4290" s="10">
        <v>957.31</v>
      </c>
    </row>
    <row r="4291" spans="1:13" x14ac:dyDescent="0.25">
      <c r="A4291" s="12" t="str">
        <f t="shared" si="134"/>
        <v>RES11521HORIZONTE EXPRESS TRANSPORTES LTDAFOL46288</v>
      </c>
      <c r="B4291" s="12" t="str">
        <f t="shared" ref="B4291:B4354" si="135">PROPER(TEXT($H4291,"MMMM"))</f>
        <v>Setembro</v>
      </c>
      <c r="C4291" s="8" t="s">
        <v>3159</v>
      </c>
      <c r="D4291" s="8" t="s">
        <v>1369</v>
      </c>
      <c r="E4291" s="8" t="s">
        <v>1350</v>
      </c>
      <c r="F4291" s="23">
        <v>46288</v>
      </c>
      <c r="G4291" s="8" t="s">
        <v>1037</v>
      </c>
      <c r="H4291" s="23">
        <v>46288</v>
      </c>
      <c r="I4291" s="23">
        <v>46288</v>
      </c>
      <c r="J4291" s="10">
        <v>3284.3</v>
      </c>
      <c r="K4291" s="10">
        <v>0</v>
      </c>
      <c r="L4291" s="24">
        <v>0</v>
      </c>
      <c r="M4291" s="10">
        <v>3284.3</v>
      </c>
    </row>
    <row r="4292" spans="1:13" x14ac:dyDescent="0.25">
      <c r="A4292" s="12" t="str">
        <f t="shared" si="134"/>
        <v>RES11522HORIZONTE EXPRESS TRANSPORTES LTDAFOL46288</v>
      </c>
      <c r="B4292" s="12" t="str">
        <f t="shared" si="135"/>
        <v>Setembro</v>
      </c>
      <c r="C4292" s="8" t="s">
        <v>3160</v>
      </c>
      <c r="D4292" s="8" t="s">
        <v>1369</v>
      </c>
      <c r="E4292" s="8" t="s">
        <v>1350</v>
      </c>
      <c r="F4292" s="23">
        <v>46288</v>
      </c>
      <c r="G4292" s="8" t="s">
        <v>1037</v>
      </c>
      <c r="H4292" s="23">
        <v>46288</v>
      </c>
      <c r="I4292" s="23">
        <v>46288</v>
      </c>
      <c r="J4292" s="10">
        <v>3211.65</v>
      </c>
      <c r="K4292" s="10">
        <v>0</v>
      </c>
      <c r="L4292" s="24">
        <v>0</v>
      </c>
      <c r="M4292" s="10">
        <v>3211.65</v>
      </c>
    </row>
    <row r="4293" spans="1:13" x14ac:dyDescent="0.25">
      <c r="A4293" s="12" t="str">
        <f t="shared" si="134"/>
        <v>RES11523HORIZONTE EXPRESS TRANSPORTES LTDAFOL46288</v>
      </c>
      <c r="B4293" s="12" t="str">
        <f t="shared" si="135"/>
        <v>Setembro</v>
      </c>
      <c r="C4293" s="8" t="s">
        <v>3161</v>
      </c>
      <c r="D4293" s="8" t="s">
        <v>1369</v>
      </c>
      <c r="E4293" s="8" t="s">
        <v>1350</v>
      </c>
      <c r="F4293" s="23">
        <v>46288</v>
      </c>
      <c r="G4293" s="8" t="s">
        <v>1037</v>
      </c>
      <c r="H4293" s="23">
        <v>46288</v>
      </c>
      <c r="I4293" s="23">
        <v>46288</v>
      </c>
      <c r="J4293" s="10">
        <v>902.36</v>
      </c>
      <c r="K4293" s="10">
        <v>0</v>
      </c>
      <c r="L4293" s="24">
        <v>0</v>
      </c>
      <c r="M4293" s="10">
        <v>902.36</v>
      </c>
    </row>
    <row r="4294" spans="1:13" x14ac:dyDescent="0.25">
      <c r="A4294" s="12" t="str">
        <f t="shared" si="134"/>
        <v>RES11529HORIZONTE EXPRESS TRANSPORTES LTDAFOL46289</v>
      </c>
      <c r="B4294" s="12" t="str">
        <f t="shared" si="135"/>
        <v>Setembro</v>
      </c>
      <c r="C4294" s="8" t="s">
        <v>3163</v>
      </c>
      <c r="D4294" s="8" t="s">
        <v>1369</v>
      </c>
      <c r="E4294" s="8" t="s">
        <v>1350</v>
      </c>
      <c r="F4294" s="23">
        <v>46289</v>
      </c>
      <c r="G4294" s="8" t="s">
        <v>1037</v>
      </c>
      <c r="H4294" s="23">
        <v>46289</v>
      </c>
      <c r="I4294" s="23">
        <v>46289</v>
      </c>
      <c r="J4294" s="10">
        <v>726.2</v>
      </c>
      <c r="K4294" s="10">
        <v>0</v>
      </c>
      <c r="L4294" s="24">
        <v>0</v>
      </c>
      <c r="M4294" s="10">
        <v>726.2</v>
      </c>
    </row>
    <row r="4295" spans="1:13" x14ac:dyDescent="0.25">
      <c r="A4295" s="12" t="str">
        <f t="shared" si="134"/>
        <v>RES11545HORIZONTE EXPRESS TRANSPORTES LTDAFOL46294</v>
      </c>
      <c r="B4295" s="12" t="str">
        <f t="shared" si="135"/>
        <v>Setembro</v>
      </c>
      <c r="C4295" s="8" t="s">
        <v>3175</v>
      </c>
      <c r="D4295" s="8" t="s">
        <v>1369</v>
      </c>
      <c r="E4295" s="8" t="s">
        <v>1350</v>
      </c>
      <c r="F4295" s="23">
        <v>46294</v>
      </c>
      <c r="G4295" s="8" t="s">
        <v>1037</v>
      </c>
      <c r="H4295" s="23">
        <v>46294</v>
      </c>
      <c r="I4295" s="23">
        <v>46294</v>
      </c>
      <c r="J4295" s="10">
        <v>5851.02</v>
      </c>
      <c r="K4295" s="10">
        <v>0</v>
      </c>
      <c r="L4295" s="24">
        <v>0</v>
      </c>
      <c r="M4295" s="10">
        <v>5851.02</v>
      </c>
    </row>
    <row r="4296" spans="1:13" x14ac:dyDescent="0.25">
      <c r="A4296" s="12" t="str">
        <f t="shared" si="134"/>
        <v>S046440790DEPTO NACIONAL INFRAESTRUTURA DE TRANSP.mul46030</v>
      </c>
      <c r="B4296" s="12" t="str">
        <f t="shared" si="135"/>
        <v>Janeiro</v>
      </c>
      <c r="C4296" s="8" t="s">
        <v>1490</v>
      </c>
      <c r="D4296" s="8" t="s">
        <v>1491</v>
      </c>
      <c r="E4296" s="8" t="s">
        <v>1492</v>
      </c>
      <c r="F4296" s="23">
        <v>46030</v>
      </c>
      <c r="G4296" s="8" t="s">
        <v>1493</v>
      </c>
      <c r="H4296" s="23">
        <v>46049</v>
      </c>
      <c r="I4296" s="23">
        <v>46030.34097222222</v>
      </c>
      <c r="J4296" s="10">
        <v>130.16</v>
      </c>
      <c r="K4296" s="10">
        <v>26.03</v>
      </c>
      <c r="L4296" s="24">
        <v>0</v>
      </c>
      <c r="M4296" s="10">
        <v>104.13</v>
      </c>
    </row>
    <row r="4297" spans="1:13" x14ac:dyDescent="0.25">
      <c r="A4297" s="12" t="str">
        <f t="shared" si="134"/>
        <v>S046499202DEPTO NACIONAL INFRAESTRUTURA DE TRANSP.MUL46044</v>
      </c>
      <c r="B4297" s="12" t="str">
        <f t="shared" si="135"/>
        <v>Fevereiro</v>
      </c>
      <c r="C4297" s="8" t="s">
        <v>1643</v>
      </c>
      <c r="D4297" s="8" t="s">
        <v>1491</v>
      </c>
      <c r="E4297" s="8" t="s">
        <v>1492</v>
      </c>
      <c r="F4297" s="23">
        <v>46044</v>
      </c>
      <c r="G4297" s="8" t="s">
        <v>1491</v>
      </c>
      <c r="H4297" s="23">
        <v>46072</v>
      </c>
      <c r="I4297" s="23">
        <v>46044</v>
      </c>
      <c r="J4297" s="10">
        <v>130.16</v>
      </c>
      <c r="K4297" s="10">
        <v>26.03</v>
      </c>
      <c r="L4297" s="24">
        <v>0</v>
      </c>
      <c r="M4297" s="10">
        <v>104.13</v>
      </c>
    </row>
    <row r="4298" spans="1:13" x14ac:dyDescent="0.25">
      <c r="A4298" s="12" t="str">
        <f t="shared" si="134"/>
        <v>S048730734DEPTO NACIONAL INFRAESTRUTURA DE TRANSP.mul46211</v>
      </c>
      <c r="B4298" s="12" t="str">
        <f t="shared" si="135"/>
        <v>Julho</v>
      </c>
      <c r="C4298" s="8" t="s">
        <v>2766</v>
      </c>
      <c r="D4298" s="8" t="s">
        <v>1491</v>
      </c>
      <c r="E4298" s="8" t="s">
        <v>1492</v>
      </c>
      <c r="F4298" s="23">
        <v>46211</v>
      </c>
      <c r="G4298" s="8" t="s">
        <v>1493</v>
      </c>
      <c r="H4298" s="23">
        <v>46231</v>
      </c>
      <c r="I4298" s="23">
        <v>46212</v>
      </c>
      <c r="J4298" s="10">
        <v>130.16</v>
      </c>
      <c r="K4298" s="10">
        <v>52.06</v>
      </c>
      <c r="L4298" s="24">
        <v>0</v>
      </c>
      <c r="M4298" s="10">
        <v>78.099999999999994</v>
      </c>
    </row>
    <row r="4299" spans="1:13" x14ac:dyDescent="0.25">
      <c r="A4299" s="12" t="str">
        <f t="shared" si="134"/>
        <v>S200087426MUNICIPIO DE SAO JOAO DEL REIMUL46044</v>
      </c>
      <c r="B4299" s="12" t="str">
        <f t="shared" si="135"/>
        <v>Fevereiro</v>
      </c>
      <c r="C4299" s="8" t="s">
        <v>1653</v>
      </c>
      <c r="D4299" s="8" t="s">
        <v>1491</v>
      </c>
      <c r="E4299" s="8" t="s">
        <v>1654</v>
      </c>
      <c r="F4299" s="23">
        <v>46044</v>
      </c>
      <c r="G4299" s="8" t="s">
        <v>1491</v>
      </c>
      <c r="H4299" s="23">
        <v>46073</v>
      </c>
      <c r="I4299" s="23">
        <v>46044</v>
      </c>
      <c r="J4299" s="10">
        <v>195.23</v>
      </c>
      <c r="K4299" s="10">
        <v>78.09</v>
      </c>
      <c r="L4299" s="24">
        <v>0</v>
      </c>
      <c r="M4299" s="10">
        <v>117.14</v>
      </c>
    </row>
    <row r="4300" spans="1:13" x14ac:dyDescent="0.25">
      <c r="A4300" s="12" t="str">
        <f t="shared" si="134"/>
        <v>SOY7F552026DEPARTAMENTO ESTADUAL DE TRANSITO DE PERNAMBUCOBL46168,3972222222</v>
      </c>
      <c r="B4300" s="12" t="str">
        <f t="shared" si="135"/>
        <v>Maio</v>
      </c>
      <c r="C4300" s="8" t="s">
        <v>2495</v>
      </c>
      <c r="D4300" s="8" t="s">
        <v>664</v>
      </c>
      <c r="E4300" s="8" t="s">
        <v>1724</v>
      </c>
      <c r="F4300" s="23">
        <v>46168.397222222222</v>
      </c>
      <c r="G4300" s="8" t="s">
        <v>1463</v>
      </c>
      <c r="H4300" s="23">
        <v>46168</v>
      </c>
      <c r="I4300" s="23">
        <v>46168.397222222222</v>
      </c>
      <c r="J4300" s="10">
        <v>49.3</v>
      </c>
      <c r="K4300" s="10">
        <v>0</v>
      </c>
      <c r="L4300" s="24">
        <v>0</v>
      </c>
      <c r="M4300" s="10">
        <v>49.3</v>
      </c>
    </row>
    <row r="4301" spans="1:13" x14ac:dyDescent="0.25">
      <c r="A4301" s="12" t="str">
        <f t="shared" si="134"/>
        <v>Total do Dia :</v>
      </c>
      <c r="B4301" s="12" t="str">
        <f t="shared" si="135"/>
        <v>Janeiro</v>
      </c>
      <c r="C4301" s="7" t="s">
        <v>1360</v>
      </c>
      <c r="D4301" s="25">
        <v>8644.44</v>
      </c>
      <c r="E4301" s="7"/>
      <c r="F4301" s="7"/>
      <c r="G4301" s="7"/>
      <c r="H4301" s="7"/>
      <c r="I4301" s="7"/>
      <c r="J4301" s="7"/>
      <c r="K4301" s="7"/>
      <c r="L4301" s="7"/>
      <c r="M4301" s="7"/>
    </row>
    <row r="4302" spans="1:13" x14ac:dyDescent="0.25">
      <c r="A4302" s="12" t="str">
        <f t="shared" si="134"/>
        <v>Total do Dia :</v>
      </c>
      <c r="B4302" s="12" t="str">
        <f t="shared" si="135"/>
        <v>Janeiro</v>
      </c>
      <c r="C4302" s="7" t="s">
        <v>1360</v>
      </c>
      <c r="D4302" s="25">
        <v>224458.5</v>
      </c>
      <c r="E4302" s="7"/>
      <c r="F4302" s="7"/>
      <c r="G4302" s="7"/>
      <c r="H4302" s="7"/>
      <c r="I4302" s="7"/>
      <c r="J4302" s="7"/>
      <c r="K4302" s="7"/>
      <c r="L4302" s="7"/>
      <c r="M4302" s="7"/>
    </row>
    <row r="4303" spans="1:13" x14ac:dyDescent="0.25">
      <c r="A4303" s="12" t="str">
        <f t="shared" si="134"/>
        <v>Total do Dia :</v>
      </c>
      <c r="B4303" s="12" t="str">
        <f t="shared" si="135"/>
        <v>Janeiro</v>
      </c>
      <c r="C4303" s="7" t="s">
        <v>1360</v>
      </c>
      <c r="D4303" s="25">
        <v>165936.07999999999</v>
      </c>
      <c r="E4303" s="7"/>
      <c r="F4303" s="7"/>
      <c r="G4303" s="7"/>
      <c r="H4303" s="7"/>
      <c r="I4303" s="7"/>
      <c r="J4303" s="7"/>
      <c r="K4303" s="7"/>
      <c r="L4303" s="7"/>
      <c r="M4303" s="7"/>
    </row>
    <row r="4304" spans="1:13" x14ac:dyDescent="0.25">
      <c r="A4304" s="12" t="str">
        <f t="shared" si="134"/>
        <v>Total do Dia :</v>
      </c>
      <c r="B4304" s="12" t="str">
        <f t="shared" si="135"/>
        <v>Janeiro</v>
      </c>
      <c r="C4304" s="7" t="s">
        <v>1360</v>
      </c>
      <c r="D4304" s="25">
        <v>1652.08</v>
      </c>
      <c r="E4304" s="7"/>
      <c r="F4304" s="7"/>
      <c r="G4304" s="7"/>
      <c r="H4304" s="7"/>
      <c r="I4304" s="7"/>
      <c r="J4304" s="7"/>
      <c r="K4304" s="7"/>
      <c r="L4304" s="7"/>
      <c r="M4304" s="7"/>
    </row>
    <row r="4305" spans="1:13" x14ac:dyDescent="0.25">
      <c r="A4305" s="12" t="str">
        <f t="shared" si="134"/>
        <v>Total do Dia :</v>
      </c>
      <c r="B4305" s="12" t="str">
        <f t="shared" si="135"/>
        <v>Janeiro</v>
      </c>
      <c r="C4305" s="7" t="s">
        <v>1360</v>
      </c>
      <c r="D4305" s="25">
        <v>5179.16</v>
      </c>
      <c r="E4305" s="7"/>
      <c r="F4305" s="7"/>
      <c r="G4305" s="7"/>
      <c r="H4305" s="7"/>
      <c r="I4305" s="7"/>
      <c r="J4305" s="7"/>
      <c r="K4305" s="7"/>
      <c r="L4305" s="7"/>
      <c r="M4305" s="7"/>
    </row>
    <row r="4306" spans="1:13" x14ac:dyDescent="0.25">
      <c r="A4306" s="12" t="str">
        <f t="shared" si="134"/>
        <v>Total do Dia :</v>
      </c>
      <c r="B4306" s="12" t="str">
        <f t="shared" si="135"/>
        <v>Janeiro</v>
      </c>
      <c r="C4306" s="7" t="s">
        <v>1360</v>
      </c>
      <c r="D4306" s="25">
        <v>2068.1</v>
      </c>
      <c r="E4306" s="7"/>
      <c r="F4306" s="7"/>
      <c r="G4306" s="7"/>
      <c r="H4306" s="7"/>
      <c r="I4306" s="7"/>
      <c r="J4306" s="7"/>
      <c r="K4306" s="7"/>
      <c r="L4306" s="7"/>
      <c r="M4306" s="7"/>
    </row>
    <row r="4307" spans="1:13" x14ac:dyDescent="0.25">
      <c r="A4307" s="12" t="str">
        <f t="shared" si="134"/>
        <v>Total do Dia :</v>
      </c>
      <c r="B4307" s="12" t="str">
        <f t="shared" si="135"/>
        <v>Janeiro</v>
      </c>
      <c r="C4307" s="7" t="s">
        <v>1360</v>
      </c>
      <c r="D4307" s="25">
        <v>53139.65</v>
      </c>
      <c r="E4307" s="7"/>
      <c r="F4307" s="7"/>
      <c r="G4307" s="7"/>
      <c r="H4307" s="7"/>
      <c r="I4307" s="7"/>
      <c r="J4307" s="7"/>
      <c r="K4307" s="7"/>
      <c r="L4307" s="7"/>
      <c r="M4307" s="7"/>
    </row>
    <row r="4308" spans="1:13" x14ac:dyDescent="0.25">
      <c r="A4308" s="12" t="str">
        <f t="shared" si="134"/>
        <v>Total do Dia :</v>
      </c>
      <c r="B4308" s="12" t="str">
        <f t="shared" si="135"/>
        <v>Janeiro</v>
      </c>
      <c r="C4308" s="7" t="s">
        <v>1360</v>
      </c>
      <c r="D4308" s="25">
        <v>2274.66</v>
      </c>
      <c r="E4308" s="7"/>
      <c r="F4308" s="7"/>
      <c r="G4308" s="7"/>
      <c r="H4308" s="7"/>
      <c r="I4308" s="7"/>
      <c r="J4308" s="7"/>
      <c r="K4308" s="7"/>
      <c r="L4308" s="7"/>
      <c r="M4308" s="7"/>
    </row>
    <row r="4309" spans="1:13" x14ac:dyDescent="0.25">
      <c r="A4309" s="12" t="str">
        <f t="shared" si="134"/>
        <v>Total do Dia :</v>
      </c>
      <c r="B4309" s="12" t="str">
        <f t="shared" si="135"/>
        <v>Janeiro</v>
      </c>
      <c r="C4309" s="7" t="s">
        <v>1360</v>
      </c>
      <c r="D4309" s="25">
        <v>5570.44</v>
      </c>
      <c r="E4309" s="7"/>
      <c r="F4309" s="7"/>
      <c r="G4309" s="7"/>
      <c r="H4309" s="7"/>
      <c r="I4309" s="7"/>
      <c r="J4309" s="7"/>
      <c r="K4309" s="7"/>
      <c r="L4309" s="7"/>
      <c r="M4309" s="7"/>
    </row>
    <row r="4310" spans="1:13" x14ac:dyDescent="0.25">
      <c r="A4310" s="12" t="str">
        <f t="shared" si="134"/>
        <v>Total do Dia :</v>
      </c>
      <c r="B4310" s="12" t="str">
        <f t="shared" si="135"/>
        <v>Janeiro</v>
      </c>
      <c r="C4310" s="7" t="s">
        <v>1360</v>
      </c>
      <c r="D4310" s="25">
        <v>1735.34</v>
      </c>
      <c r="E4310" s="7"/>
      <c r="F4310" s="7"/>
      <c r="G4310" s="7"/>
      <c r="H4310" s="7"/>
      <c r="I4310" s="7"/>
      <c r="J4310" s="7"/>
      <c r="K4310" s="7"/>
      <c r="L4310" s="7"/>
      <c r="M4310" s="7"/>
    </row>
    <row r="4311" spans="1:13" x14ac:dyDescent="0.25">
      <c r="A4311" s="12" t="str">
        <f t="shared" si="134"/>
        <v>Total do Dia :</v>
      </c>
      <c r="B4311" s="12" t="str">
        <f t="shared" si="135"/>
        <v>Janeiro</v>
      </c>
      <c r="C4311" s="7" t="s">
        <v>1360</v>
      </c>
      <c r="D4311" s="25">
        <v>234488.1</v>
      </c>
      <c r="E4311" s="7"/>
      <c r="F4311" s="7"/>
      <c r="G4311" s="7"/>
      <c r="H4311" s="7"/>
      <c r="I4311" s="7"/>
      <c r="J4311" s="7"/>
      <c r="K4311" s="7"/>
      <c r="L4311" s="7"/>
      <c r="M4311" s="7"/>
    </row>
    <row r="4312" spans="1:13" x14ac:dyDescent="0.25">
      <c r="A4312" s="12" t="str">
        <f t="shared" si="134"/>
        <v>Total do Dia :</v>
      </c>
      <c r="B4312" s="12" t="str">
        <f t="shared" si="135"/>
        <v>Janeiro</v>
      </c>
      <c r="C4312" s="7" t="s">
        <v>1360</v>
      </c>
      <c r="D4312" s="25">
        <v>231502.84</v>
      </c>
      <c r="E4312" s="7"/>
      <c r="F4312" s="7"/>
      <c r="G4312" s="7"/>
      <c r="H4312" s="7"/>
      <c r="I4312" s="7"/>
      <c r="J4312" s="7"/>
      <c r="K4312" s="7"/>
      <c r="L4312" s="7"/>
      <c r="M4312" s="7"/>
    </row>
    <row r="4313" spans="1:13" x14ac:dyDescent="0.25">
      <c r="A4313" s="12" t="str">
        <f t="shared" si="134"/>
        <v>Total do Dia :</v>
      </c>
      <c r="B4313" s="12" t="str">
        <f t="shared" si="135"/>
        <v>Janeiro</v>
      </c>
      <c r="C4313" s="7" t="s">
        <v>1360</v>
      </c>
      <c r="D4313" s="25">
        <v>179717.68</v>
      </c>
      <c r="E4313" s="7"/>
      <c r="F4313" s="7"/>
      <c r="G4313" s="7"/>
      <c r="H4313" s="7"/>
      <c r="I4313" s="7"/>
      <c r="J4313" s="7"/>
      <c r="K4313" s="7"/>
      <c r="L4313" s="7"/>
      <c r="M4313" s="7"/>
    </row>
    <row r="4314" spans="1:13" x14ac:dyDescent="0.25">
      <c r="A4314" s="12" t="str">
        <f t="shared" si="134"/>
        <v>Total do Dia :</v>
      </c>
      <c r="B4314" s="12" t="str">
        <f t="shared" si="135"/>
        <v>Janeiro</v>
      </c>
      <c r="C4314" s="7" t="s">
        <v>1360</v>
      </c>
      <c r="D4314" s="25">
        <v>8537.3799999999992</v>
      </c>
      <c r="E4314" s="7"/>
      <c r="F4314" s="7"/>
      <c r="G4314" s="7"/>
      <c r="H4314" s="7"/>
      <c r="I4314" s="7"/>
      <c r="J4314" s="7"/>
      <c r="K4314" s="7"/>
      <c r="L4314" s="7"/>
      <c r="M4314" s="7"/>
    </row>
    <row r="4315" spans="1:13" x14ac:dyDescent="0.25">
      <c r="A4315" s="12" t="str">
        <f t="shared" ref="A4315:A4378" si="136">$C4315&amp;$E4315&amp;$G4315&amp;$F4315</f>
        <v>Total do Dia :</v>
      </c>
      <c r="B4315" s="12" t="str">
        <f t="shared" si="135"/>
        <v>Janeiro</v>
      </c>
      <c r="C4315" s="7" t="s">
        <v>1360</v>
      </c>
      <c r="D4315" s="25">
        <v>187.88</v>
      </c>
      <c r="E4315" s="7"/>
      <c r="F4315" s="7"/>
      <c r="G4315" s="7"/>
      <c r="H4315" s="7"/>
      <c r="I4315" s="7"/>
      <c r="J4315" s="7"/>
      <c r="K4315" s="7"/>
      <c r="L4315" s="7"/>
      <c r="M4315" s="7"/>
    </row>
    <row r="4316" spans="1:13" x14ac:dyDescent="0.25">
      <c r="A4316" s="12" t="str">
        <f t="shared" si="136"/>
        <v>Total do Dia :</v>
      </c>
      <c r="B4316" s="12" t="str">
        <f t="shared" si="135"/>
        <v>Janeiro</v>
      </c>
      <c r="C4316" s="7" t="s">
        <v>1360</v>
      </c>
      <c r="D4316" s="25">
        <v>19840</v>
      </c>
      <c r="E4316" s="7"/>
      <c r="F4316" s="7"/>
      <c r="G4316" s="7"/>
      <c r="H4316" s="7"/>
      <c r="I4316" s="7"/>
      <c r="J4316" s="7"/>
      <c r="K4316" s="7"/>
      <c r="L4316" s="7"/>
      <c r="M4316" s="7"/>
    </row>
    <row r="4317" spans="1:13" x14ac:dyDescent="0.25">
      <c r="A4317" s="12" t="str">
        <f t="shared" si="136"/>
        <v>Total do Dia :</v>
      </c>
      <c r="B4317" s="12" t="str">
        <f t="shared" si="135"/>
        <v>Janeiro</v>
      </c>
      <c r="C4317" s="7" t="s">
        <v>1360</v>
      </c>
      <c r="D4317" s="25">
        <v>169945.04</v>
      </c>
      <c r="E4317" s="7"/>
      <c r="F4317" s="7"/>
      <c r="G4317" s="7"/>
      <c r="H4317" s="7"/>
      <c r="I4317" s="7"/>
      <c r="J4317" s="7"/>
      <c r="K4317" s="7"/>
      <c r="L4317" s="7"/>
      <c r="M4317" s="7"/>
    </row>
    <row r="4318" spans="1:13" x14ac:dyDescent="0.25">
      <c r="A4318" s="12" t="str">
        <f t="shared" si="136"/>
        <v>Total do Dia :</v>
      </c>
      <c r="B4318" s="12" t="str">
        <f t="shared" si="135"/>
        <v>Janeiro</v>
      </c>
      <c r="C4318" s="7" t="s">
        <v>1360</v>
      </c>
      <c r="D4318" s="25">
        <v>1960.35</v>
      </c>
      <c r="E4318" s="7"/>
      <c r="F4318" s="7"/>
      <c r="G4318" s="7"/>
      <c r="H4318" s="7"/>
      <c r="I4318" s="7"/>
      <c r="J4318" s="7"/>
      <c r="K4318" s="7"/>
      <c r="L4318" s="7"/>
      <c r="M4318" s="7"/>
    </row>
    <row r="4319" spans="1:13" x14ac:dyDescent="0.25">
      <c r="A4319" s="12" t="str">
        <f t="shared" si="136"/>
        <v>Total do Dia :</v>
      </c>
      <c r="B4319" s="12" t="str">
        <f t="shared" si="135"/>
        <v>Janeiro</v>
      </c>
      <c r="C4319" s="7" t="s">
        <v>1360</v>
      </c>
      <c r="D4319" s="25">
        <v>83122.13</v>
      </c>
      <c r="E4319" s="7"/>
      <c r="F4319" s="7"/>
      <c r="G4319" s="7"/>
      <c r="H4319" s="7"/>
      <c r="I4319" s="7"/>
      <c r="J4319" s="7"/>
      <c r="K4319" s="7"/>
      <c r="L4319" s="7"/>
      <c r="M4319" s="7"/>
    </row>
    <row r="4320" spans="1:13" x14ac:dyDescent="0.25">
      <c r="A4320" s="12" t="str">
        <f t="shared" si="136"/>
        <v>Total do Dia :</v>
      </c>
      <c r="B4320" s="12" t="str">
        <f t="shared" si="135"/>
        <v>Janeiro</v>
      </c>
      <c r="C4320" s="7" t="s">
        <v>1360</v>
      </c>
      <c r="D4320" s="25">
        <v>4981.0600000000004</v>
      </c>
      <c r="E4320" s="7"/>
      <c r="F4320" s="7"/>
      <c r="G4320" s="7"/>
      <c r="H4320" s="7"/>
      <c r="I4320" s="7"/>
      <c r="J4320" s="7"/>
      <c r="K4320" s="7"/>
      <c r="L4320" s="7"/>
      <c r="M4320" s="7"/>
    </row>
    <row r="4321" spans="1:13" x14ac:dyDescent="0.25">
      <c r="A4321" s="12" t="str">
        <f t="shared" si="136"/>
        <v>Total do Dia :</v>
      </c>
      <c r="B4321" s="12" t="str">
        <f t="shared" si="135"/>
        <v>Janeiro</v>
      </c>
      <c r="C4321" s="7" t="s">
        <v>1360</v>
      </c>
      <c r="D4321" s="25">
        <v>91235.23</v>
      </c>
      <c r="E4321" s="7"/>
      <c r="F4321" s="7"/>
      <c r="G4321" s="7"/>
      <c r="H4321" s="7"/>
      <c r="I4321" s="7"/>
      <c r="J4321" s="7"/>
      <c r="K4321" s="7"/>
      <c r="L4321" s="7"/>
      <c r="M4321" s="7"/>
    </row>
    <row r="4322" spans="1:13" x14ac:dyDescent="0.25">
      <c r="A4322" s="12" t="str">
        <f t="shared" si="136"/>
        <v>Total do Dia :</v>
      </c>
      <c r="B4322" s="12" t="str">
        <f t="shared" si="135"/>
        <v>Janeiro</v>
      </c>
      <c r="C4322" s="7" t="s">
        <v>1360</v>
      </c>
      <c r="D4322" s="25">
        <v>2816.4</v>
      </c>
      <c r="E4322" s="7"/>
      <c r="F4322" s="7"/>
      <c r="G4322" s="7"/>
      <c r="H4322" s="7"/>
      <c r="I4322" s="7"/>
      <c r="J4322" s="7"/>
      <c r="K4322" s="7"/>
      <c r="L4322" s="7"/>
      <c r="M4322" s="7"/>
    </row>
    <row r="4323" spans="1:13" x14ac:dyDescent="0.25">
      <c r="A4323" s="12" t="str">
        <f t="shared" si="136"/>
        <v>Total do Dia :</v>
      </c>
      <c r="B4323" s="12" t="str">
        <f t="shared" si="135"/>
        <v>Janeiro</v>
      </c>
      <c r="C4323" s="7" t="s">
        <v>1360</v>
      </c>
      <c r="D4323" s="25">
        <v>747.56</v>
      </c>
      <c r="E4323" s="7"/>
      <c r="F4323" s="7"/>
      <c r="G4323" s="7"/>
      <c r="H4323" s="7"/>
      <c r="I4323" s="7"/>
      <c r="J4323" s="7"/>
      <c r="K4323" s="7"/>
      <c r="L4323" s="7"/>
      <c r="M4323" s="7"/>
    </row>
    <row r="4324" spans="1:13" x14ac:dyDescent="0.25">
      <c r="A4324" s="12" t="str">
        <f t="shared" si="136"/>
        <v>Total do Dia :</v>
      </c>
      <c r="B4324" s="12" t="str">
        <f t="shared" si="135"/>
        <v>Janeiro</v>
      </c>
      <c r="C4324" s="7" t="s">
        <v>1360</v>
      </c>
      <c r="D4324" s="25">
        <v>185</v>
      </c>
      <c r="E4324" s="7"/>
      <c r="F4324" s="7"/>
      <c r="G4324" s="7"/>
      <c r="H4324" s="7"/>
      <c r="I4324" s="7"/>
      <c r="J4324" s="7"/>
      <c r="K4324" s="7"/>
      <c r="L4324" s="7"/>
      <c r="M4324" s="7"/>
    </row>
    <row r="4325" spans="1:13" x14ac:dyDescent="0.25">
      <c r="A4325" s="12" t="str">
        <f t="shared" si="136"/>
        <v>Total do Dia :</v>
      </c>
      <c r="B4325" s="12" t="str">
        <f t="shared" si="135"/>
        <v>Janeiro</v>
      </c>
      <c r="C4325" s="7" t="s">
        <v>1360</v>
      </c>
      <c r="D4325" s="25">
        <v>175234.8</v>
      </c>
      <c r="E4325" s="7"/>
      <c r="F4325" s="7"/>
      <c r="G4325" s="7"/>
      <c r="H4325" s="7"/>
      <c r="I4325" s="7"/>
      <c r="J4325" s="7"/>
      <c r="K4325" s="7"/>
      <c r="L4325" s="7"/>
      <c r="M4325" s="7"/>
    </row>
    <row r="4326" spans="1:13" x14ac:dyDescent="0.25">
      <c r="A4326" s="12" t="str">
        <f t="shared" si="136"/>
        <v>Total do Dia :</v>
      </c>
      <c r="B4326" s="12" t="str">
        <f t="shared" si="135"/>
        <v>Janeiro</v>
      </c>
      <c r="C4326" s="7" t="s">
        <v>1360</v>
      </c>
      <c r="D4326" s="25">
        <v>173762.58</v>
      </c>
      <c r="E4326" s="7"/>
      <c r="F4326" s="7"/>
      <c r="G4326" s="7"/>
      <c r="H4326" s="7"/>
      <c r="I4326" s="7"/>
      <c r="J4326" s="7"/>
      <c r="K4326" s="7"/>
      <c r="L4326" s="7"/>
      <c r="M4326" s="7"/>
    </row>
    <row r="4327" spans="1:13" x14ac:dyDescent="0.25">
      <c r="A4327" s="12" t="str">
        <f t="shared" si="136"/>
        <v>Total do Dia :</v>
      </c>
      <c r="B4327" s="12" t="str">
        <f t="shared" si="135"/>
        <v>Janeiro</v>
      </c>
      <c r="C4327" s="7" t="s">
        <v>1360</v>
      </c>
      <c r="D4327" s="25">
        <v>7445.29</v>
      </c>
      <c r="E4327" s="7"/>
      <c r="F4327" s="7"/>
      <c r="G4327" s="7"/>
      <c r="H4327" s="7"/>
      <c r="I4327" s="7"/>
      <c r="J4327" s="7"/>
      <c r="K4327" s="7"/>
      <c r="L4327" s="7"/>
      <c r="M4327" s="7"/>
    </row>
    <row r="4328" spans="1:13" x14ac:dyDescent="0.25">
      <c r="A4328" s="12" t="str">
        <f t="shared" si="136"/>
        <v>Total do Dia :</v>
      </c>
      <c r="B4328" s="12" t="str">
        <f t="shared" si="135"/>
        <v>Janeiro</v>
      </c>
      <c r="C4328" s="7" t="s">
        <v>1360</v>
      </c>
      <c r="D4328" s="25">
        <v>82484.179999999993</v>
      </c>
      <c r="E4328" s="7"/>
      <c r="F4328" s="7"/>
      <c r="G4328" s="7"/>
      <c r="H4328" s="7"/>
      <c r="I4328" s="7"/>
      <c r="J4328" s="7"/>
      <c r="K4328" s="7"/>
      <c r="L4328" s="7"/>
      <c r="M4328" s="7"/>
    </row>
    <row r="4329" spans="1:13" x14ac:dyDescent="0.25">
      <c r="A4329" s="12" t="str">
        <f t="shared" si="136"/>
        <v>Total do Dia :</v>
      </c>
      <c r="B4329" s="12" t="str">
        <f t="shared" si="135"/>
        <v>Janeiro</v>
      </c>
      <c r="C4329" s="7" t="s">
        <v>1360</v>
      </c>
      <c r="D4329" s="25">
        <v>12826.69</v>
      </c>
      <c r="E4329" s="7"/>
      <c r="F4329" s="7"/>
      <c r="G4329" s="7"/>
      <c r="H4329" s="7"/>
      <c r="I4329" s="7"/>
      <c r="J4329" s="7"/>
      <c r="K4329" s="7"/>
      <c r="L4329" s="7"/>
      <c r="M4329" s="7"/>
    </row>
    <row r="4330" spans="1:13" x14ac:dyDescent="0.25">
      <c r="A4330" s="12" t="str">
        <f t="shared" si="136"/>
        <v>Total do Dia :</v>
      </c>
      <c r="B4330" s="12" t="str">
        <f t="shared" si="135"/>
        <v>Janeiro</v>
      </c>
      <c r="C4330" s="7" t="s">
        <v>1360</v>
      </c>
      <c r="D4330" s="25">
        <v>14933.43</v>
      </c>
      <c r="E4330" s="7"/>
      <c r="F4330" s="7"/>
      <c r="G4330" s="7"/>
      <c r="H4330" s="7"/>
      <c r="I4330" s="7"/>
      <c r="J4330" s="7"/>
      <c r="K4330" s="7"/>
      <c r="L4330" s="7"/>
      <c r="M4330" s="7"/>
    </row>
    <row r="4331" spans="1:13" x14ac:dyDescent="0.25">
      <c r="A4331" s="12" t="str">
        <f t="shared" si="136"/>
        <v>Total do Dia :</v>
      </c>
      <c r="B4331" s="12" t="str">
        <f t="shared" si="135"/>
        <v>Janeiro</v>
      </c>
      <c r="C4331" s="7" t="s">
        <v>1360</v>
      </c>
      <c r="D4331" s="25">
        <v>7142.77</v>
      </c>
      <c r="E4331" s="7"/>
      <c r="F4331" s="7"/>
      <c r="G4331" s="7"/>
      <c r="H4331" s="7"/>
      <c r="I4331" s="7"/>
      <c r="J4331" s="7"/>
      <c r="K4331" s="7"/>
      <c r="L4331" s="7"/>
      <c r="M4331" s="7"/>
    </row>
    <row r="4332" spans="1:13" x14ac:dyDescent="0.25">
      <c r="A4332" s="12" t="str">
        <f t="shared" si="136"/>
        <v>Total do Dia :</v>
      </c>
      <c r="B4332" s="12" t="str">
        <f t="shared" si="135"/>
        <v>Janeiro</v>
      </c>
      <c r="C4332" s="7" t="s">
        <v>1360</v>
      </c>
      <c r="D4332" s="25">
        <v>246111.58</v>
      </c>
      <c r="E4332" s="7"/>
      <c r="F4332" s="7"/>
      <c r="G4332" s="7"/>
      <c r="H4332" s="7"/>
      <c r="I4332" s="7"/>
      <c r="J4332" s="7"/>
      <c r="K4332" s="7"/>
      <c r="L4332" s="7"/>
      <c r="M4332" s="7"/>
    </row>
    <row r="4333" spans="1:13" x14ac:dyDescent="0.25">
      <c r="A4333" s="12" t="str">
        <f t="shared" si="136"/>
        <v>Total do Dia :</v>
      </c>
      <c r="B4333" s="12" t="str">
        <f t="shared" si="135"/>
        <v>Janeiro</v>
      </c>
      <c r="C4333" s="7" t="s">
        <v>1360</v>
      </c>
      <c r="D4333" s="25">
        <v>152469.53</v>
      </c>
      <c r="E4333" s="7"/>
      <c r="F4333" s="7"/>
      <c r="G4333" s="7"/>
      <c r="H4333" s="7"/>
      <c r="I4333" s="7"/>
      <c r="J4333" s="7"/>
      <c r="K4333" s="7"/>
      <c r="L4333" s="7"/>
      <c r="M4333" s="7"/>
    </row>
    <row r="4334" spans="1:13" x14ac:dyDescent="0.25">
      <c r="A4334" s="12" t="str">
        <f t="shared" si="136"/>
        <v>Total do Dia :</v>
      </c>
      <c r="B4334" s="12" t="str">
        <f t="shared" si="135"/>
        <v>Janeiro</v>
      </c>
      <c r="C4334" s="7" t="s">
        <v>1360</v>
      </c>
      <c r="D4334" s="25">
        <v>218329.7</v>
      </c>
      <c r="E4334" s="7"/>
      <c r="F4334" s="7"/>
      <c r="G4334" s="7"/>
      <c r="H4334" s="7"/>
      <c r="I4334" s="7"/>
      <c r="J4334" s="7"/>
      <c r="K4334" s="7"/>
      <c r="L4334" s="7"/>
      <c r="M4334" s="7"/>
    </row>
    <row r="4335" spans="1:13" x14ac:dyDescent="0.25">
      <c r="A4335" s="12" t="str">
        <f t="shared" si="136"/>
        <v>Total do Dia :</v>
      </c>
      <c r="B4335" s="12" t="str">
        <f t="shared" si="135"/>
        <v>Janeiro</v>
      </c>
      <c r="C4335" s="7" t="s">
        <v>1360</v>
      </c>
      <c r="D4335" s="25">
        <v>13375.04</v>
      </c>
      <c r="E4335" s="7"/>
      <c r="F4335" s="7"/>
      <c r="G4335" s="7"/>
      <c r="H4335" s="7"/>
      <c r="I4335" s="7"/>
      <c r="J4335" s="7"/>
      <c r="K4335" s="7"/>
      <c r="L4335" s="7"/>
      <c r="M4335" s="7"/>
    </row>
    <row r="4336" spans="1:13" x14ac:dyDescent="0.25">
      <c r="A4336" s="12" t="str">
        <f t="shared" si="136"/>
        <v>Total do Dia :</v>
      </c>
      <c r="B4336" s="12" t="str">
        <f t="shared" si="135"/>
        <v>Janeiro</v>
      </c>
      <c r="C4336" s="7" t="s">
        <v>1360</v>
      </c>
      <c r="D4336" s="25">
        <v>90310.18</v>
      </c>
      <c r="E4336" s="7"/>
      <c r="F4336" s="7"/>
      <c r="G4336" s="7"/>
      <c r="H4336" s="7"/>
      <c r="I4336" s="7"/>
      <c r="J4336" s="7"/>
      <c r="K4336" s="7"/>
      <c r="L4336" s="7"/>
      <c r="M4336" s="7"/>
    </row>
    <row r="4337" spans="1:13" x14ac:dyDescent="0.25">
      <c r="A4337" s="12" t="str">
        <f t="shared" si="136"/>
        <v>Total do Dia :</v>
      </c>
      <c r="B4337" s="12" t="str">
        <f t="shared" si="135"/>
        <v>Janeiro</v>
      </c>
      <c r="C4337" s="7" t="s">
        <v>1360</v>
      </c>
      <c r="D4337" s="25">
        <v>66667.47</v>
      </c>
      <c r="E4337" s="7"/>
      <c r="F4337" s="7"/>
      <c r="G4337" s="7"/>
      <c r="H4337" s="7"/>
      <c r="I4337" s="7"/>
      <c r="J4337" s="7"/>
      <c r="K4337" s="7"/>
      <c r="L4337" s="7"/>
      <c r="M4337" s="7"/>
    </row>
    <row r="4338" spans="1:13" x14ac:dyDescent="0.25">
      <c r="A4338" s="12" t="str">
        <f t="shared" si="136"/>
        <v>Total do Dia :</v>
      </c>
      <c r="B4338" s="12" t="str">
        <f t="shared" si="135"/>
        <v>Janeiro</v>
      </c>
      <c r="C4338" s="7" t="s">
        <v>1360</v>
      </c>
      <c r="D4338" s="25">
        <v>91882.16</v>
      </c>
      <c r="E4338" s="7"/>
      <c r="F4338" s="7"/>
      <c r="G4338" s="7"/>
      <c r="H4338" s="7"/>
      <c r="I4338" s="7"/>
      <c r="J4338" s="7"/>
      <c r="K4338" s="7"/>
      <c r="L4338" s="7"/>
      <c r="M4338" s="7"/>
    </row>
    <row r="4339" spans="1:13" x14ac:dyDescent="0.25">
      <c r="A4339" s="12" t="str">
        <f t="shared" si="136"/>
        <v>Total do Dia :</v>
      </c>
      <c r="B4339" s="12" t="str">
        <f t="shared" si="135"/>
        <v>Janeiro</v>
      </c>
      <c r="C4339" s="7" t="s">
        <v>1360</v>
      </c>
      <c r="D4339" s="25">
        <v>53501.8</v>
      </c>
      <c r="E4339" s="7"/>
      <c r="F4339" s="7"/>
      <c r="G4339" s="7"/>
      <c r="H4339" s="7"/>
      <c r="I4339" s="7"/>
      <c r="J4339" s="7"/>
      <c r="K4339" s="7"/>
      <c r="L4339" s="7"/>
      <c r="M4339" s="7"/>
    </row>
    <row r="4340" spans="1:13" x14ac:dyDescent="0.25">
      <c r="A4340" s="12" t="str">
        <f t="shared" si="136"/>
        <v>Total do Dia :</v>
      </c>
      <c r="B4340" s="12" t="str">
        <f t="shared" si="135"/>
        <v>Janeiro</v>
      </c>
      <c r="C4340" s="7" t="s">
        <v>1360</v>
      </c>
      <c r="D4340" s="25">
        <v>47356.01</v>
      </c>
      <c r="E4340" s="7"/>
      <c r="F4340" s="7"/>
      <c r="G4340" s="7"/>
      <c r="H4340" s="7"/>
      <c r="I4340" s="7"/>
      <c r="J4340" s="7"/>
      <c r="K4340" s="7"/>
      <c r="L4340" s="7"/>
      <c r="M4340" s="7"/>
    </row>
    <row r="4341" spans="1:13" x14ac:dyDescent="0.25">
      <c r="A4341" s="12" t="str">
        <f t="shared" si="136"/>
        <v>Total do Dia :</v>
      </c>
      <c r="B4341" s="12" t="str">
        <f t="shared" si="135"/>
        <v>Janeiro</v>
      </c>
      <c r="C4341" s="7" t="s">
        <v>1360</v>
      </c>
      <c r="D4341" s="25">
        <v>53746.04</v>
      </c>
      <c r="E4341" s="7"/>
      <c r="F4341" s="7"/>
      <c r="G4341" s="7"/>
      <c r="H4341" s="7"/>
      <c r="I4341" s="7"/>
      <c r="J4341" s="7"/>
      <c r="K4341" s="7"/>
      <c r="L4341" s="7"/>
      <c r="M4341" s="7"/>
    </row>
    <row r="4342" spans="1:13" x14ac:dyDescent="0.25">
      <c r="A4342" s="12" t="str">
        <f t="shared" si="136"/>
        <v>Total do Dia :</v>
      </c>
      <c r="B4342" s="12" t="str">
        <f t="shared" si="135"/>
        <v>Janeiro</v>
      </c>
      <c r="C4342" s="7" t="s">
        <v>1360</v>
      </c>
      <c r="D4342" s="25">
        <v>49.3</v>
      </c>
      <c r="E4342" s="7"/>
      <c r="F4342" s="7"/>
      <c r="G4342" s="7"/>
      <c r="H4342" s="7"/>
      <c r="I4342" s="7"/>
      <c r="J4342" s="7"/>
      <c r="K4342" s="7"/>
      <c r="L4342" s="7"/>
      <c r="M4342" s="7"/>
    </row>
    <row r="4343" spans="1:13" x14ac:dyDescent="0.25">
      <c r="A4343" s="12" t="str">
        <f t="shared" si="136"/>
        <v>Total do Dia :</v>
      </c>
      <c r="B4343" s="12" t="str">
        <f t="shared" si="135"/>
        <v>Janeiro</v>
      </c>
      <c r="C4343" s="7" t="s">
        <v>1360</v>
      </c>
      <c r="D4343" s="25">
        <v>3333.61</v>
      </c>
      <c r="E4343" s="7"/>
      <c r="F4343" s="7"/>
      <c r="G4343" s="7"/>
      <c r="H4343" s="7"/>
      <c r="I4343" s="7"/>
      <c r="J4343" s="7"/>
      <c r="K4343" s="7"/>
      <c r="L4343" s="7"/>
      <c r="M4343" s="7"/>
    </row>
    <row r="4344" spans="1:13" x14ac:dyDescent="0.25">
      <c r="A4344" s="12" t="str">
        <f t="shared" si="136"/>
        <v>Total do Dia :</v>
      </c>
      <c r="B4344" s="12" t="str">
        <f t="shared" si="135"/>
        <v>Janeiro</v>
      </c>
      <c r="C4344" s="7" t="s">
        <v>1360</v>
      </c>
      <c r="D4344" s="25">
        <v>307042.38</v>
      </c>
      <c r="E4344" s="7"/>
      <c r="F4344" s="7"/>
      <c r="G4344" s="7"/>
      <c r="H4344" s="7"/>
      <c r="I4344" s="7"/>
      <c r="J4344" s="7"/>
      <c r="K4344" s="7"/>
      <c r="L4344" s="7"/>
      <c r="M4344" s="7"/>
    </row>
    <row r="4345" spans="1:13" x14ac:dyDescent="0.25">
      <c r="A4345" s="12" t="str">
        <f t="shared" si="136"/>
        <v>Total do Dia :</v>
      </c>
      <c r="B4345" s="12" t="str">
        <f t="shared" si="135"/>
        <v>Janeiro</v>
      </c>
      <c r="C4345" s="7" t="s">
        <v>1360</v>
      </c>
      <c r="D4345" s="25">
        <v>1041.8699999999999</v>
      </c>
      <c r="E4345" s="7"/>
      <c r="F4345" s="7"/>
      <c r="G4345" s="7"/>
      <c r="H4345" s="7"/>
      <c r="I4345" s="7"/>
      <c r="J4345" s="7"/>
      <c r="K4345" s="7"/>
      <c r="L4345" s="7"/>
      <c r="M4345" s="7"/>
    </row>
    <row r="4346" spans="1:13" x14ac:dyDescent="0.25">
      <c r="A4346" s="12" t="str">
        <f t="shared" si="136"/>
        <v>Total do Dia :</v>
      </c>
      <c r="B4346" s="12" t="str">
        <f t="shared" si="135"/>
        <v>Janeiro</v>
      </c>
      <c r="C4346" s="7" t="s">
        <v>1360</v>
      </c>
      <c r="D4346" s="25">
        <v>57164.19</v>
      </c>
      <c r="E4346" s="7"/>
      <c r="F4346" s="7"/>
      <c r="G4346" s="7"/>
      <c r="H4346" s="7"/>
      <c r="I4346" s="7"/>
      <c r="J4346" s="7"/>
      <c r="K4346" s="7"/>
      <c r="L4346" s="7"/>
      <c r="M4346" s="7"/>
    </row>
    <row r="4347" spans="1:13" x14ac:dyDescent="0.25">
      <c r="A4347" s="12" t="str">
        <f t="shared" si="136"/>
        <v>Total do Dia :</v>
      </c>
      <c r="B4347" s="12" t="str">
        <f t="shared" si="135"/>
        <v>Janeiro</v>
      </c>
      <c r="C4347" s="7" t="s">
        <v>1360</v>
      </c>
      <c r="D4347" s="25">
        <v>56978.23</v>
      </c>
      <c r="E4347" s="7"/>
      <c r="F4347" s="7"/>
      <c r="G4347" s="7"/>
      <c r="H4347" s="7"/>
      <c r="I4347" s="7"/>
      <c r="J4347" s="7"/>
      <c r="K4347" s="7"/>
      <c r="L4347" s="7"/>
      <c r="M4347" s="7"/>
    </row>
    <row r="4348" spans="1:13" x14ac:dyDescent="0.25">
      <c r="A4348" s="12" t="str">
        <f t="shared" si="136"/>
        <v>Total do Dia :</v>
      </c>
      <c r="B4348" s="12" t="str">
        <f t="shared" si="135"/>
        <v>Janeiro</v>
      </c>
      <c r="C4348" s="7" t="s">
        <v>1360</v>
      </c>
      <c r="D4348" s="25">
        <v>14043.61</v>
      </c>
      <c r="E4348" s="7"/>
      <c r="F4348" s="7"/>
      <c r="G4348" s="7"/>
      <c r="H4348" s="7"/>
      <c r="I4348" s="7"/>
      <c r="J4348" s="7"/>
      <c r="K4348" s="7"/>
      <c r="L4348" s="7"/>
      <c r="M4348" s="7"/>
    </row>
    <row r="4349" spans="1:13" x14ac:dyDescent="0.25">
      <c r="A4349" s="12" t="str">
        <f t="shared" si="136"/>
        <v>Total do Dia :</v>
      </c>
      <c r="B4349" s="12" t="str">
        <f t="shared" si="135"/>
        <v>Janeiro</v>
      </c>
      <c r="C4349" s="7" t="s">
        <v>1360</v>
      </c>
      <c r="D4349" s="25">
        <v>9022.65</v>
      </c>
      <c r="E4349" s="7"/>
      <c r="F4349" s="7"/>
      <c r="G4349" s="7"/>
      <c r="H4349" s="7"/>
      <c r="I4349" s="7"/>
      <c r="J4349" s="7"/>
      <c r="K4349" s="7"/>
      <c r="L4349" s="7"/>
      <c r="M4349" s="7"/>
    </row>
    <row r="4350" spans="1:13" x14ac:dyDescent="0.25">
      <c r="A4350" s="12" t="str">
        <f t="shared" si="136"/>
        <v>Total do Dia :</v>
      </c>
      <c r="B4350" s="12" t="str">
        <f t="shared" si="135"/>
        <v>Janeiro</v>
      </c>
      <c r="C4350" s="7" t="s">
        <v>1360</v>
      </c>
      <c r="D4350" s="25">
        <v>6972.27</v>
      </c>
      <c r="E4350" s="7"/>
      <c r="F4350" s="7"/>
      <c r="G4350" s="7"/>
      <c r="H4350" s="7"/>
      <c r="I4350" s="7"/>
      <c r="J4350" s="7"/>
      <c r="K4350" s="7"/>
      <c r="L4350" s="7"/>
      <c r="M4350" s="7"/>
    </row>
    <row r="4351" spans="1:13" x14ac:dyDescent="0.25">
      <c r="A4351" s="12" t="str">
        <f t="shared" si="136"/>
        <v>Total do Dia :</v>
      </c>
      <c r="B4351" s="12" t="str">
        <f t="shared" si="135"/>
        <v>Janeiro</v>
      </c>
      <c r="C4351" s="7" t="s">
        <v>1360</v>
      </c>
      <c r="D4351" s="25">
        <v>125799.39</v>
      </c>
      <c r="E4351" s="7"/>
      <c r="F4351" s="7"/>
      <c r="G4351" s="7"/>
      <c r="H4351" s="7"/>
      <c r="I4351" s="7"/>
      <c r="J4351" s="7"/>
      <c r="K4351" s="7"/>
      <c r="L4351" s="7"/>
      <c r="M4351" s="7"/>
    </row>
    <row r="4352" spans="1:13" x14ac:dyDescent="0.25">
      <c r="A4352" s="12" t="str">
        <f t="shared" si="136"/>
        <v>Total do Dia :</v>
      </c>
      <c r="B4352" s="12" t="str">
        <f t="shared" si="135"/>
        <v>Janeiro</v>
      </c>
      <c r="C4352" s="7" t="s">
        <v>1360</v>
      </c>
      <c r="D4352" s="25">
        <v>105840.72</v>
      </c>
      <c r="E4352" s="7"/>
      <c r="F4352" s="7"/>
      <c r="G4352" s="7"/>
      <c r="H4352" s="7"/>
      <c r="I4352" s="7"/>
      <c r="J4352" s="7"/>
      <c r="K4352" s="7"/>
      <c r="L4352" s="7"/>
      <c r="M4352" s="7"/>
    </row>
    <row r="4353" spans="1:13" x14ac:dyDescent="0.25">
      <c r="A4353" s="12" t="str">
        <f t="shared" si="136"/>
        <v>Total do Dia :</v>
      </c>
      <c r="B4353" s="12" t="str">
        <f t="shared" si="135"/>
        <v>Janeiro</v>
      </c>
      <c r="C4353" s="7" t="s">
        <v>1360</v>
      </c>
      <c r="D4353" s="25">
        <v>6920</v>
      </c>
      <c r="E4353" s="7"/>
      <c r="F4353" s="7"/>
      <c r="G4353" s="7"/>
      <c r="H4353" s="7"/>
      <c r="I4353" s="7"/>
      <c r="J4353" s="7"/>
      <c r="K4353" s="7"/>
      <c r="L4353" s="7"/>
      <c r="M4353" s="7"/>
    </row>
    <row r="4354" spans="1:13" x14ac:dyDescent="0.25">
      <c r="A4354" s="12" t="str">
        <f t="shared" si="136"/>
        <v>Total do Dia :</v>
      </c>
      <c r="B4354" s="12" t="str">
        <f t="shared" si="135"/>
        <v>Janeiro</v>
      </c>
      <c r="C4354" s="7" t="s">
        <v>1360</v>
      </c>
      <c r="D4354" s="25">
        <v>6419.93</v>
      </c>
      <c r="E4354" s="7"/>
      <c r="F4354" s="7"/>
      <c r="G4354" s="7"/>
      <c r="H4354" s="7"/>
      <c r="I4354" s="7"/>
      <c r="J4354" s="7"/>
      <c r="K4354" s="7"/>
      <c r="L4354" s="7"/>
      <c r="M4354" s="7"/>
    </row>
    <row r="4355" spans="1:13" x14ac:dyDescent="0.25">
      <c r="A4355" s="12" t="str">
        <f t="shared" si="136"/>
        <v>Total do Dia :</v>
      </c>
      <c r="B4355" s="12" t="str">
        <f t="shared" ref="B4355:B4418" si="137">PROPER(TEXT($H4355,"MMMM"))</f>
        <v>Janeiro</v>
      </c>
      <c r="C4355" s="7" t="s">
        <v>1360</v>
      </c>
      <c r="D4355" s="25">
        <v>175180.52</v>
      </c>
      <c r="E4355" s="7"/>
      <c r="F4355" s="7"/>
      <c r="G4355" s="7"/>
      <c r="H4355" s="7"/>
      <c r="I4355" s="7"/>
      <c r="J4355" s="7"/>
      <c r="K4355" s="7"/>
      <c r="L4355" s="7"/>
      <c r="M4355" s="7"/>
    </row>
    <row r="4356" spans="1:13" x14ac:dyDescent="0.25">
      <c r="A4356" s="12" t="str">
        <f t="shared" si="136"/>
        <v>Total do Dia :</v>
      </c>
      <c r="B4356" s="12" t="str">
        <f t="shared" si="137"/>
        <v>Janeiro</v>
      </c>
      <c r="C4356" s="7" t="s">
        <v>1360</v>
      </c>
      <c r="D4356" s="25">
        <v>114632.82</v>
      </c>
      <c r="E4356" s="7"/>
      <c r="F4356" s="7"/>
      <c r="G4356" s="7"/>
      <c r="H4356" s="7"/>
      <c r="I4356" s="7"/>
      <c r="J4356" s="7"/>
      <c r="K4356" s="7"/>
      <c r="L4356" s="7"/>
      <c r="M4356" s="7"/>
    </row>
    <row r="4357" spans="1:13" x14ac:dyDescent="0.25">
      <c r="A4357" s="12" t="str">
        <f t="shared" si="136"/>
        <v>Total do Dia :</v>
      </c>
      <c r="B4357" s="12" t="str">
        <f t="shared" si="137"/>
        <v>Janeiro</v>
      </c>
      <c r="C4357" s="7" t="s">
        <v>1360</v>
      </c>
      <c r="D4357" s="25">
        <v>89603.9</v>
      </c>
      <c r="E4357" s="7"/>
      <c r="F4357" s="7"/>
      <c r="G4357" s="7"/>
      <c r="H4357" s="7"/>
      <c r="I4357" s="7"/>
      <c r="J4357" s="7"/>
      <c r="K4357" s="7"/>
      <c r="L4357" s="7"/>
      <c r="M4357" s="7"/>
    </row>
    <row r="4358" spans="1:13" x14ac:dyDescent="0.25">
      <c r="A4358" s="12" t="str">
        <f t="shared" si="136"/>
        <v>Total do Dia :</v>
      </c>
      <c r="B4358" s="12" t="str">
        <f t="shared" si="137"/>
        <v>Janeiro</v>
      </c>
      <c r="C4358" s="7" t="s">
        <v>1360</v>
      </c>
      <c r="D4358" s="25">
        <v>53404.14</v>
      </c>
      <c r="E4358" s="7"/>
      <c r="F4358" s="7"/>
      <c r="G4358" s="7"/>
      <c r="H4358" s="7"/>
      <c r="I4358" s="7"/>
      <c r="J4358" s="7"/>
      <c r="K4358" s="7"/>
      <c r="L4358" s="7"/>
      <c r="M4358" s="7"/>
    </row>
    <row r="4359" spans="1:13" x14ac:dyDescent="0.25">
      <c r="A4359" s="12" t="str">
        <f t="shared" si="136"/>
        <v>Total do Dia :</v>
      </c>
      <c r="B4359" s="12" t="str">
        <f t="shared" si="137"/>
        <v>Janeiro</v>
      </c>
      <c r="C4359" s="7" t="s">
        <v>1360</v>
      </c>
      <c r="D4359" s="25">
        <v>1273.1600000000001</v>
      </c>
      <c r="E4359" s="7"/>
      <c r="F4359" s="7"/>
      <c r="G4359" s="7"/>
      <c r="H4359" s="7"/>
      <c r="I4359" s="7"/>
      <c r="J4359" s="7"/>
      <c r="K4359" s="7"/>
      <c r="L4359" s="7"/>
      <c r="M4359" s="7"/>
    </row>
    <row r="4360" spans="1:13" x14ac:dyDescent="0.25">
      <c r="A4360" s="12" t="str">
        <f t="shared" si="136"/>
        <v>Total do Dia :</v>
      </c>
      <c r="B4360" s="12" t="str">
        <f t="shared" si="137"/>
        <v>Janeiro</v>
      </c>
      <c r="C4360" s="7" t="s">
        <v>1360</v>
      </c>
      <c r="D4360" s="25">
        <v>1532.68</v>
      </c>
      <c r="E4360" s="7"/>
      <c r="F4360" s="7"/>
      <c r="G4360" s="7"/>
      <c r="H4360" s="7"/>
      <c r="I4360" s="7"/>
      <c r="J4360" s="7"/>
      <c r="K4360" s="7"/>
      <c r="L4360" s="7"/>
      <c r="M4360" s="7"/>
    </row>
    <row r="4361" spans="1:13" x14ac:dyDescent="0.25">
      <c r="A4361" s="12" t="str">
        <f t="shared" si="136"/>
        <v>Total do Dia :</v>
      </c>
      <c r="B4361" s="12" t="str">
        <f t="shared" si="137"/>
        <v>Janeiro</v>
      </c>
      <c r="C4361" s="7" t="s">
        <v>1360</v>
      </c>
      <c r="D4361" s="25">
        <v>138338.95000000001</v>
      </c>
      <c r="E4361" s="7"/>
      <c r="F4361" s="7"/>
      <c r="G4361" s="7"/>
      <c r="H4361" s="7"/>
      <c r="I4361" s="7"/>
      <c r="J4361" s="7"/>
      <c r="K4361" s="7"/>
      <c r="L4361" s="7"/>
      <c r="M4361" s="7"/>
    </row>
    <row r="4362" spans="1:13" x14ac:dyDescent="0.25">
      <c r="A4362" s="12" t="str">
        <f t="shared" si="136"/>
        <v>Total do Dia :</v>
      </c>
      <c r="B4362" s="12" t="str">
        <f t="shared" si="137"/>
        <v>Janeiro</v>
      </c>
      <c r="C4362" s="7" t="s">
        <v>1360</v>
      </c>
      <c r="D4362" s="25">
        <v>2102.17</v>
      </c>
      <c r="E4362" s="7"/>
      <c r="F4362" s="7"/>
      <c r="G4362" s="7"/>
      <c r="H4362" s="7"/>
      <c r="I4362" s="7"/>
      <c r="J4362" s="7"/>
      <c r="K4362" s="7"/>
      <c r="L4362" s="7"/>
      <c r="M4362" s="7"/>
    </row>
    <row r="4363" spans="1:13" x14ac:dyDescent="0.25">
      <c r="A4363" s="12" t="str">
        <f t="shared" si="136"/>
        <v>Total do Dia :</v>
      </c>
      <c r="B4363" s="12" t="str">
        <f t="shared" si="137"/>
        <v>Janeiro</v>
      </c>
      <c r="C4363" s="7" t="s">
        <v>1360</v>
      </c>
      <c r="D4363" s="25">
        <v>77277.789999999994</v>
      </c>
      <c r="E4363" s="7"/>
      <c r="F4363" s="7"/>
      <c r="G4363" s="7"/>
      <c r="H4363" s="7"/>
      <c r="I4363" s="7"/>
      <c r="J4363" s="7"/>
      <c r="K4363" s="7"/>
      <c r="L4363" s="7"/>
      <c r="M4363" s="7"/>
    </row>
    <row r="4364" spans="1:13" x14ac:dyDescent="0.25">
      <c r="A4364" s="12" t="str">
        <f t="shared" si="136"/>
        <v>Total do Dia :</v>
      </c>
      <c r="B4364" s="12" t="str">
        <f t="shared" si="137"/>
        <v>Janeiro</v>
      </c>
      <c r="C4364" s="7" t="s">
        <v>1360</v>
      </c>
      <c r="D4364" s="25">
        <v>4259.33</v>
      </c>
      <c r="E4364" s="7"/>
      <c r="F4364" s="7"/>
      <c r="G4364" s="7"/>
      <c r="H4364" s="7"/>
      <c r="I4364" s="7"/>
      <c r="J4364" s="7"/>
      <c r="K4364" s="7"/>
      <c r="L4364" s="7"/>
      <c r="M4364" s="7"/>
    </row>
    <row r="4365" spans="1:13" x14ac:dyDescent="0.25">
      <c r="A4365" s="12" t="str">
        <f t="shared" si="136"/>
        <v>Total do Dia :</v>
      </c>
      <c r="B4365" s="12" t="str">
        <f t="shared" si="137"/>
        <v>Janeiro</v>
      </c>
      <c r="C4365" s="7" t="s">
        <v>1360</v>
      </c>
      <c r="D4365" s="25">
        <v>356774.43</v>
      </c>
      <c r="E4365" s="7"/>
      <c r="F4365" s="7"/>
      <c r="G4365" s="7"/>
      <c r="H4365" s="7"/>
      <c r="I4365" s="7"/>
      <c r="J4365" s="7"/>
      <c r="K4365" s="7"/>
      <c r="L4365" s="7"/>
      <c r="M4365" s="7"/>
    </row>
    <row r="4366" spans="1:13" x14ac:dyDescent="0.25">
      <c r="A4366" s="12" t="str">
        <f t="shared" si="136"/>
        <v>Total do Dia :</v>
      </c>
      <c r="B4366" s="12" t="str">
        <f t="shared" si="137"/>
        <v>Janeiro</v>
      </c>
      <c r="C4366" s="7" t="s">
        <v>1360</v>
      </c>
      <c r="D4366" s="25">
        <v>5267.45</v>
      </c>
      <c r="E4366" s="7"/>
      <c r="F4366" s="7"/>
      <c r="G4366" s="7"/>
      <c r="H4366" s="7"/>
      <c r="I4366" s="7"/>
      <c r="J4366" s="7"/>
      <c r="K4366" s="7"/>
      <c r="L4366" s="7"/>
      <c r="M4366" s="7"/>
    </row>
    <row r="4367" spans="1:13" x14ac:dyDescent="0.25">
      <c r="A4367" s="12" t="str">
        <f t="shared" si="136"/>
        <v>Total do Dia :</v>
      </c>
      <c r="B4367" s="12" t="str">
        <f t="shared" si="137"/>
        <v>Janeiro</v>
      </c>
      <c r="C4367" s="7" t="s">
        <v>1360</v>
      </c>
      <c r="D4367" s="25">
        <v>8664.15</v>
      </c>
      <c r="E4367" s="7"/>
      <c r="F4367" s="7"/>
      <c r="G4367" s="7"/>
      <c r="H4367" s="7"/>
      <c r="I4367" s="7"/>
      <c r="J4367" s="7"/>
      <c r="K4367" s="7"/>
      <c r="L4367" s="7"/>
      <c r="M4367" s="7"/>
    </row>
    <row r="4368" spans="1:13" x14ac:dyDescent="0.25">
      <c r="A4368" s="12" t="str">
        <f t="shared" si="136"/>
        <v>Total do Dia :</v>
      </c>
      <c r="B4368" s="12" t="str">
        <f t="shared" si="137"/>
        <v>Janeiro</v>
      </c>
      <c r="C4368" s="7" t="s">
        <v>1360</v>
      </c>
      <c r="D4368" s="25">
        <v>37130.93</v>
      </c>
      <c r="E4368" s="7"/>
      <c r="F4368" s="7"/>
      <c r="G4368" s="7"/>
      <c r="H4368" s="7"/>
      <c r="I4368" s="7"/>
      <c r="J4368" s="7"/>
      <c r="K4368" s="7"/>
      <c r="L4368" s="7"/>
      <c r="M4368" s="7"/>
    </row>
    <row r="4369" spans="1:13" x14ac:dyDescent="0.25">
      <c r="A4369" s="12" t="str">
        <f t="shared" si="136"/>
        <v>Total do Dia :</v>
      </c>
      <c r="B4369" s="12" t="str">
        <f t="shared" si="137"/>
        <v>Janeiro</v>
      </c>
      <c r="C4369" s="7" t="s">
        <v>1360</v>
      </c>
      <c r="D4369" s="25">
        <v>60421.27</v>
      </c>
      <c r="E4369" s="7"/>
      <c r="F4369" s="7"/>
      <c r="G4369" s="7"/>
      <c r="H4369" s="7"/>
      <c r="I4369" s="7"/>
      <c r="J4369" s="7"/>
      <c r="K4369" s="7"/>
      <c r="L4369" s="7"/>
      <c r="M4369" s="7"/>
    </row>
    <row r="4370" spans="1:13" x14ac:dyDescent="0.25">
      <c r="A4370" s="12" t="str">
        <f t="shared" si="136"/>
        <v>Total do Dia :</v>
      </c>
      <c r="B4370" s="12" t="str">
        <f t="shared" si="137"/>
        <v>Janeiro</v>
      </c>
      <c r="C4370" s="7" t="s">
        <v>1360</v>
      </c>
      <c r="D4370" s="25">
        <v>17447.71</v>
      </c>
      <c r="E4370" s="7"/>
      <c r="F4370" s="7"/>
      <c r="G4370" s="7"/>
      <c r="H4370" s="7"/>
      <c r="I4370" s="7"/>
      <c r="J4370" s="7"/>
      <c r="K4370" s="7"/>
      <c r="L4370" s="7"/>
      <c r="M4370" s="7"/>
    </row>
    <row r="4371" spans="1:13" x14ac:dyDescent="0.25">
      <c r="A4371" s="12" t="str">
        <f t="shared" si="136"/>
        <v>Total do Dia :</v>
      </c>
      <c r="B4371" s="12" t="str">
        <f t="shared" si="137"/>
        <v>Janeiro</v>
      </c>
      <c r="C4371" s="7" t="s">
        <v>1360</v>
      </c>
      <c r="D4371" s="25">
        <v>4530.07</v>
      </c>
      <c r="E4371" s="7"/>
      <c r="F4371" s="7"/>
      <c r="G4371" s="7"/>
      <c r="H4371" s="7"/>
      <c r="I4371" s="7"/>
      <c r="J4371" s="7"/>
      <c r="K4371" s="7"/>
      <c r="L4371" s="7"/>
      <c r="M4371" s="7"/>
    </row>
    <row r="4372" spans="1:13" x14ac:dyDescent="0.25">
      <c r="A4372" s="12" t="str">
        <f t="shared" si="136"/>
        <v>Total do Dia :</v>
      </c>
      <c r="B4372" s="12" t="str">
        <f t="shared" si="137"/>
        <v>Janeiro</v>
      </c>
      <c r="C4372" s="7" t="s">
        <v>1360</v>
      </c>
      <c r="D4372" s="25">
        <v>20926.12</v>
      </c>
      <c r="E4372" s="7"/>
      <c r="F4372" s="7"/>
      <c r="G4372" s="7"/>
      <c r="H4372" s="7"/>
      <c r="I4372" s="7"/>
      <c r="J4372" s="7"/>
      <c r="K4372" s="7"/>
      <c r="L4372" s="7"/>
      <c r="M4372" s="7"/>
    </row>
    <row r="4373" spans="1:13" x14ac:dyDescent="0.25">
      <c r="A4373" s="12" t="str">
        <f t="shared" si="136"/>
        <v>Total do Dia :</v>
      </c>
      <c r="B4373" s="12" t="str">
        <f t="shared" si="137"/>
        <v>Janeiro</v>
      </c>
      <c r="C4373" s="7" t="s">
        <v>1360</v>
      </c>
      <c r="D4373" s="25">
        <v>226016.58</v>
      </c>
      <c r="E4373" s="7"/>
      <c r="F4373" s="7"/>
      <c r="G4373" s="7"/>
      <c r="H4373" s="7"/>
      <c r="I4373" s="7"/>
      <c r="J4373" s="7"/>
      <c r="K4373" s="7"/>
      <c r="L4373" s="7"/>
      <c r="M4373" s="7"/>
    </row>
    <row r="4374" spans="1:13" x14ac:dyDescent="0.25">
      <c r="A4374" s="12" t="str">
        <f t="shared" si="136"/>
        <v>Total do Dia :</v>
      </c>
      <c r="B4374" s="12" t="str">
        <f t="shared" si="137"/>
        <v>Janeiro</v>
      </c>
      <c r="C4374" s="7" t="s">
        <v>1360</v>
      </c>
      <c r="D4374" s="25">
        <v>10955.24</v>
      </c>
      <c r="E4374" s="7"/>
      <c r="F4374" s="7"/>
      <c r="G4374" s="7"/>
      <c r="H4374" s="7"/>
      <c r="I4374" s="7"/>
      <c r="J4374" s="7"/>
      <c r="K4374" s="7"/>
      <c r="L4374" s="7"/>
      <c r="M4374" s="7"/>
    </row>
    <row r="4375" spans="1:13" x14ac:dyDescent="0.25">
      <c r="A4375" s="12" t="str">
        <f t="shared" si="136"/>
        <v>Total do Dia :</v>
      </c>
      <c r="B4375" s="12" t="str">
        <f t="shared" si="137"/>
        <v>Janeiro</v>
      </c>
      <c r="C4375" s="7" t="s">
        <v>1360</v>
      </c>
      <c r="D4375" s="25">
        <v>235961.11</v>
      </c>
      <c r="E4375" s="7"/>
      <c r="F4375" s="7"/>
      <c r="G4375" s="7"/>
      <c r="H4375" s="7"/>
      <c r="I4375" s="7"/>
      <c r="J4375" s="7"/>
      <c r="K4375" s="7"/>
      <c r="L4375" s="7"/>
      <c r="M4375" s="7"/>
    </row>
    <row r="4376" spans="1:13" x14ac:dyDescent="0.25">
      <c r="A4376" s="12" t="str">
        <f t="shared" si="136"/>
        <v>Total do Dia :</v>
      </c>
      <c r="B4376" s="12" t="str">
        <f t="shared" si="137"/>
        <v>Janeiro</v>
      </c>
      <c r="C4376" s="7" t="s">
        <v>1360</v>
      </c>
      <c r="D4376" s="25">
        <v>185663.41</v>
      </c>
      <c r="E4376" s="7"/>
      <c r="F4376" s="7"/>
      <c r="G4376" s="7"/>
      <c r="H4376" s="7"/>
      <c r="I4376" s="7"/>
      <c r="J4376" s="7"/>
      <c r="K4376" s="7"/>
      <c r="L4376" s="7"/>
      <c r="M4376" s="7"/>
    </row>
    <row r="4377" spans="1:13" x14ac:dyDescent="0.25">
      <c r="A4377" s="12" t="str">
        <f t="shared" si="136"/>
        <v>Total do Dia :</v>
      </c>
      <c r="B4377" s="12" t="str">
        <f t="shared" si="137"/>
        <v>Janeiro</v>
      </c>
      <c r="C4377" s="7" t="s">
        <v>1360</v>
      </c>
      <c r="D4377" s="25">
        <v>5670.42</v>
      </c>
      <c r="E4377" s="7"/>
      <c r="F4377" s="7"/>
      <c r="G4377" s="7"/>
      <c r="H4377" s="7"/>
      <c r="I4377" s="7"/>
      <c r="J4377" s="7"/>
      <c r="K4377" s="7"/>
      <c r="L4377" s="7"/>
      <c r="M4377" s="7"/>
    </row>
    <row r="4378" spans="1:13" x14ac:dyDescent="0.25">
      <c r="A4378" s="12" t="str">
        <f t="shared" si="136"/>
        <v>Total do Dia :</v>
      </c>
      <c r="B4378" s="12" t="str">
        <f t="shared" si="137"/>
        <v>Janeiro</v>
      </c>
      <c r="C4378" s="7" t="s">
        <v>1360</v>
      </c>
      <c r="D4378" s="25">
        <v>3769.85</v>
      </c>
      <c r="E4378" s="7"/>
      <c r="F4378" s="7"/>
      <c r="G4378" s="7"/>
      <c r="H4378" s="7"/>
      <c r="I4378" s="7"/>
      <c r="J4378" s="7"/>
      <c r="K4378" s="7"/>
      <c r="L4378" s="7"/>
      <c r="M4378" s="7"/>
    </row>
    <row r="4379" spans="1:13" x14ac:dyDescent="0.25">
      <c r="A4379" s="12" t="str">
        <f t="shared" ref="A4379:A4442" si="138">$C4379&amp;$E4379&amp;$G4379&amp;$F4379</f>
        <v>Total do Dia :</v>
      </c>
      <c r="B4379" s="12" t="str">
        <f t="shared" si="137"/>
        <v>Janeiro</v>
      </c>
      <c r="C4379" s="7" t="s">
        <v>1360</v>
      </c>
      <c r="D4379" s="25">
        <v>50992.99</v>
      </c>
      <c r="E4379" s="7"/>
      <c r="F4379" s="7"/>
      <c r="G4379" s="7"/>
      <c r="H4379" s="7"/>
      <c r="I4379" s="7"/>
      <c r="J4379" s="7"/>
      <c r="K4379" s="7"/>
      <c r="L4379" s="7"/>
      <c r="M4379" s="7"/>
    </row>
    <row r="4380" spans="1:13" x14ac:dyDescent="0.25">
      <c r="A4380" s="12" t="str">
        <f t="shared" si="138"/>
        <v>Total do Dia :</v>
      </c>
      <c r="B4380" s="12" t="str">
        <f t="shared" si="137"/>
        <v>Janeiro</v>
      </c>
      <c r="C4380" s="7" t="s">
        <v>1360</v>
      </c>
      <c r="D4380" s="25">
        <v>84222.2</v>
      </c>
      <c r="E4380" s="7"/>
      <c r="F4380" s="7"/>
      <c r="G4380" s="7"/>
      <c r="H4380" s="7"/>
      <c r="I4380" s="7"/>
      <c r="J4380" s="7"/>
      <c r="K4380" s="7"/>
      <c r="L4380" s="7"/>
      <c r="M4380" s="7"/>
    </row>
    <row r="4381" spans="1:13" x14ac:dyDescent="0.25">
      <c r="A4381" s="12" t="str">
        <f t="shared" si="138"/>
        <v>Total do Dia :</v>
      </c>
      <c r="B4381" s="12" t="str">
        <f t="shared" si="137"/>
        <v>Janeiro</v>
      </c>
      <c r="C4381" s="7" t="s">
        <v>1360</v>
      </c>
      <c r="D4381" s="25">
        <v>3614.99</v>
      </c>
      <c r="E4381" s="7"/>
      <c r="F4381" s="7"/>
      <c r="G4381" s="7"/>
      <c r="H4381" s="7"/>
      <c r="I4381" s="7"/>
      <c r="J4381" s="7"/>
      <c r="K4381" s="7"/>
      <c r="L4381" s="7"/>
      <c r="M4381" s="7"/>
    </row>
    <row r="4382" spans="1:13" x14ac:dyDescent="0.25">
      <c r="A4382" s="12" t="str">
        <f t="shared" si="138"/>
        <v>Total do Dia :</v>
      </c>
      <c r="B4382" s="12" t="str">
        <f t="shared" si="137"/>
        <v>Janeiro</v>
      </c>
      <c r="C4382" s="7" t="s">
        <v>1360</v>
      </c>
      <c r="D4382" s="25">
        <v>94099.29</v>
      </c>
      <c r="E4382" s="7"/>
      <c r="F4382" s="7"/>
      <c r="G4382" s="7"/>
      <c r="H4382" s="7"/>
      <c r="I4382" s="7"/>
      <c r="J4382" s="7"/>
      <c r="K4382" s="7"/>
      <c r="L4382" s="7"/>
      <c r="M4382" s="7"/>
    </row>
    <row r="4383" spans="1:13" x14ac:dyDescent="0.25">
      <c r="A4383" s="12" t="str">
        <f t="shared" si="138"/>
        <v>Total do Dia :</v>
      </c>
      <c r="B4383" s="12" t="str">
        <f t="shared" si="137"/>
        <v>Janeiro</v>
      </c>
      <c r="C4383" s="7" t="s">
        <v>1360</v>
      </c>
      <c r="D4383" s="25">
        <v>33684.17</v>
      </c>
      <c r="E4383" s="7"/>
      <c r="F4383" s="7"/>
      <c r="G4383" s="7"/>
      <c r="H4383" s="7"/>
      <c r="I4383" s="7"/>
      <c r="J4383" s="7"/>
      <c r="K4383" s="7"/>
      <c r="L4383" s="7"/>
      <c r="M4383" s="7"/>
    </row>
    <row r="4384" spans="1:13" x14ac:dyDescent="0.25">
      <c r="A4384" s="12" t="str">
        <f t="shared" si="138"/>
        <v>Total do Dia :</v>
      </c>
      <c r="B4384" s="12" t="str">
        <f t="shared" si="137"/>
        <v>Janeiro</v>
      </c>
      <c r="C4384" s="7" t="s">
        <v>1360</v>
      </c>
      <c r="D4384" s="25">
        <v>187304.99</v>
      </c>
      <c r="E4384" s="7"/>
      <c r="F4384" s="7"/>
      <c r="G4384" s="7"/>
      <c r="H4384" s="7"/>
      <c r="I4384" s="7"/>
      <c r="J4384" s="7"/>
      <c r="K4384" s="7"/>
      <c r="L4384" s="7"/>
      <c r="M4384" s="7"/>
    </row>
    <row r="4385" spans="1:13" x14ac:dyDescent="0.25">
      <c r="A4385" s="12" t="str">
        <f t="shared" si="138"/>
        <v>Total do Dia :</v>
      </c>
      <c r="B4385" s="12" t="str">
        <f t="shared" si="137"/>
        <v>Janeiro</v>
      </c>
      <c r="C4385" s="7" t="s">
        <v>1360</v>
      </c>
      <c r="D4385" s="25">
        <v>165069.06</v>
      </c>
      <c r="E4385" s="7"/>
      <c r="F4385" s="7"/>
      <c r="G4385" s="7"/>
      <c r="H4385" s="7"/>
      <c r="I4385" s="7"/>
      <c r="J4385" s="7"/>
      <c r="K4385" s="7"/>
      <c r="L4385" s="7"/>
      <c r="M4385" s="7"/>
    </row>
    <row r="4386" spans="1:13" x14ac:dyDescent="0.25">
      <c r="A4386" s="12" t="str">
        <f t="shared" si="138"/>
        <v>Total do Dia :</v>
      </c>
      <c r="B4386" s="12" t="str">
        <f t="shared" si="137"/>
        <v>Janeiro</v>
      </c>
      <c r="C4386" s="7" t="s">
        <v>1360</v>
      </c>
      <c r="D4386" s="25">
        <v>7838.77</v>
      </c>
      <c r="E4386" s="7"/>
      <c r="F4386" s="7"/>
      <c r="G4386" s="7"/>
      <c r="H4386" s="7"/>
      <c r="I4386" s="7"/>
      <c r="J4386" s="7"/>
      <c r="K4386" s="7"/>
      <c r="L4386" s="7"/>
      <c r="M4386" s="7"/>
    </row>
    <row r="4387" spans="1:13" x14ac:dyDescent="0.25">
      <c r="A4387" s="12" t="str">
        <f t="shared" si="138"/>
        <v>Total do Dia :</v>
      </c>
      <c r="B4387" s="12" t="str">
        <f t="shared" si="137"/>
        <v>Janeiro</v>
      </c>
      <c r="C4387" s="7" t="s">
        <v>1360</v>
      </c>
      <c r="D4387" s="25">
        <v>3209.33</v>
      </c>
      <c r="E4387" s="7"/>
      <c r="F4387" s="7"/>
      <c r="G4387" s="7"/>
      <c r="H4387" s="7"/>
      <c r="I4387" s="7"/>
      <c r="J4387" s="7"/>
      <c r="K4387" s="7"/>
      <c r="L4387" s="7"/>
      <c r="M4387" s="7"/>
    </row>
    <row r="4388" spans="1:13" x14ac:dyDescent="0.25">
      <c r="A4388" s="12" t="str">
        <f t="shared" si="138"/>
        <v>Total do Dia :</v>
      </c>
      <c r="B4388" s="12" t="str">
        <f t="shared" si="137"/>
        <v>Janeiro</v>
      </c>
      <c r="C4388" s="7" t="s">
        <v>1360</v>
      </c>
      <c r="D4388" s="25">
        <v>95</v>
      </c>
      <c r="E4388" s="7"/>
      <c r="F4388" s="7"/>
      <c r="G4388" s="7"/>
      <c r="H4388" s="7"/>
      <c r="I4388" s="7"/>
      <c r="J4388" s="7"/>
      <c r="K4388" s="7"/>
      <c r="L4388" s="7"/>
      <c r="M4388" s="7"/>
    </row>
    <row r="4389" spans="1:13" x14ac:dyDescent="0.25">
      <c r="A4389" s="12" t="str">
        <f t="shared" si="138"/>
        <v>Total do Dia :</v>
      </c>
      <c r="B4389" s="12" t="str">
        <f t="shared" si="137"/>
        <v>Janeiro</v>
      </c>
      <c r="C4389" s="7" t="s">
        <v>1360</v>
      </c>
      <c r="D4389" s="25">
        <v>56311.6</v>
      </c>
      <c r="E4389" s="7"/>
      <c r="F4389" s="7"/>
      <c r="G4389" s="7"/>
      <c r="H4389" s="7"/>
      <c r="I4389" s="7"/>
      <c r="J4389" s="7"/>
      <c r="K4389" s="7"/>
      <c r="L4389" s="7"/>
      <c r="M4389" s="7"/>
    </row>
    <row r="4390" spans="1:13" x14ac:dyDescent="0.25">
      <c r="A4390" s="12" t="str">
        <f t="shared" si="138"/>
        <v>Total do Dia :</v>
      </c>
      <c r="B4390" s="12" t="str">
        <f t="shared" si="137"/>
        <v>Janeiro</v>
      </c>
      <c r="C4390" s="7" t="s">
        <v>1360</v>
      </c>
      <c r="D4390" s="25">
        <v>4550.1400000000003</v>
      </c>
      <c r="E4390" s="7"/>
      <c r="F4390" s="7"/>
      <c r="G4390" s="7"/>
      <c r="H4390" s="7"/>
      <c r="I4390" s="7"/>
      <c r="J4390" s="7"/>
      <c r="K4390" s="7"/>
      <c r="L4390" s="7"/>
      <c r="M4390" s="7"/>
    </row>
    <row r="4391" spans="1:13" x14ac:dyDescent="0.25">
      <c r="A4391" s="12" t="str">
        <f t="shared" si="138"/>
        <v>Total do Dia :</v>
      </c>
      <c r="B4391" s="12" t="str">
        <f t="shared" si="137"/>
        <v>Janeiro</v>
      </c>
      <c r="C4391" s="7" t="s">
        <v>1360</v>
      </c>
      <c r="D4391" s="25">
        <v>1604</v>
      </c>
      <c r="E4391" s="7"/>
      <c r="F4391" s="7"/>
      <c r="G4391" s="7"/>
      <c r="H4391" s="7"/>
      <c r="I4391" s="7"/>
      <c r="J4391" s="7"/>
      <c r="K4391" s="7"/>
      <c r="L4391" s="7"/>
      <c r="M4391" s="7"/>
    </row>
    <row r="4392" spans="1:13" x14ac:dyDescent="0.25">
      <c r="A4392" s="12" t="str">
        <f t="shared" si="138"/>
        <v>Total do Dia :</v>
      </c>
      <c r="B4392" s="12" t="str">
        <f t="shared" si="137"/>
        <v>Janeiro</v>
      </c>
      <c r="C4392" s="7" t="s">
        <v>1360</v>
      </c>
      <c r="D4392" s="25">
        <v>6935.84</v>
      </c>
      <c r="E4392" s="7"/>
      <c r="F4392" s="7"/>
      <c r="G4392" s="7"/>
      <c r="H4392" s="7"/>
      <c r="I4392" s="7"/>
      <c r="J4392" s="7"/>
      <c r="K4392" s="7"/>
      <c r="L4392" s="7"/>
      <c r="M4392" s="7"/>
    </row>
    <row r="4393" spans="1:13" x14ac:dyDescent="0.25">
      <c r="A4393" s="12" t="str">
        <f t="shared" si="138"/>
        <v>Total do Dia :</v>
      </c>
      <c r="B4393" s="12" t="str">
        <f t="shared" si="137"/>
        <v>Janeiro</v>
      </c>
      <c r="C4393" s="7" t="s">
        <v>1360</v>
      </c>
      <c r="D4393" s="25">
        <v>20543.18</v>
      </c>
      <c r="E4393" s="7"/>
      <c r="F4393" s="7"/>
      <c r="G4393" s="7"/>
      <c r="H4393" s="7"/>
      <c r="I4393" s="7"/>
      <c r="J4393" s="7"/>
      <c r="K4393" s="7"/>
      <c r="L4393" s="7"/>
      <c r="M4393" s="7"/>
    </row>
    <row r="4394" spans="1:13" x14ac:dyDescent="0.25">
      <c r="A4394" s="12" t="str">
        <f t="shared" si="138"/>
        <v>Total do Dia :</v>
      </c>
      <c r="B4394" s="12" t="str">
        <f t="shared" si="137"/>
        <v>Janeiro</v>
      </c>
      <c r="C4394" s="7" t="s">
        <v>1360</v>
      </c>
      <c r="D4394" s="25">
        <v>232035.26</v>
      </c>
      <c r="E4394" s="7"/>
      <c r="F4394" s="7"/>
      <c r="G4394" s="7"/>
      <c r="H4394" s="7"/>
      <c r="I4394" s="7"/>
      <c r="J4394" s="7"/>
      <c r="K4394" s="7"/>
      <c r="L4394" s="7"/>
      <c r="M4394" s="7"/>
    </row>
    <row r="4395" spans="1:13" x14ac:dyDescent="0.25">
      <c r="A4395" s="12" t="str">
        <f t="shared" si="138"/>
        <v>Total do Dia :</v>
      </c>
      <c r="B4395" s="12" t="str">
        <f t="shared" si="137"/>
        <v>Janeiro</v>
      </c>
      <c r="C4395" s="7" t="s">
        <v>1360</v>
      </c>
      <c r="D4395" s="25">
        <v>285.7</v>
      </c>
      <c r="E4395" s="7"/>
      <c r="F4395" s="7"/>
      <c r="G4395" s="7"/>
      <c r="H4395" s="7"/>
      <c r="I4395" s="7"/>
      <c r="J4395" s="7"/>
      <c r="K4395" s="7"/>
      <c r="L4395" s="7"/>
      <c r="M4395" s="7"/>
    </row>
    <row r="4396" spans="1:13" x14ac:dyDescent="0.25">
      <c r="A4396" s="12" t="str">
        <f t="shared" si="138"/>
        <v>Total do Dia :</v>
      </c>
      <c r="B4396" s="12" t="str">
        <f t="shared" si="137"/>
        <v>Janeiro</v>
      </c>
      <c r="C4396" s="7" t="s">
        <v>1360</v>
      </c>
      <c r="D4396" s="25">
        <v>333706.40999999997</v>
      </c>
      <c r="E4396" s="7"/>
      <c r="F4396" s="7"/>
      <c r="G4396" s="7"/>
      <c r="H4396" s="7"/>
      <c r="I4396" s="7"/>
      <c r="J4396" s="7"/>
      <c r="K4396" s="7"/>
      <c r="L4396" s="7"/>
      <c r="M4396" s="7"/>
    </row>
    <row r="4397" spans="1:13" x14ac:dyDescent="0.25">
      <c r="A4397" s="12" t="str">
        <f t="shared" si="138"/>
        <v>Total do Dia :</v>
      </c>
      <c r="B4397" s="12" t="str">
        <f t="shared" si="137"/>
        <v>Janeiro</v>
      </c>
      <c r="C4397" s="7" t="s">
        <v>1360</v>
      </c>
      <c r="D4397" s="25">
        <v>89602</v>
      </c>
      <c r="E4397" s="7"/>
      <c r="F4397" s="7"/>
      <c r="G4397" s="7"/>
      <c r="H4397" s="7"/>
      <c r="I4397" s="7"/>
      <c r="J4397" s="7"/>
      <c r="K4397" s="7"/>
      <c r="L4397" s="7"/>
      <c r="M4397" s="7"/>
    </row>
    <row r="4398" spans="1:13" x14ac:dyDescent="0.25">
      <c r="A4398" s="12" t="str">
        <f t="shared" si="138"/>
        <v>Total do Dia :</v>
      </c>
      <c r="B4398" s="12" t="str">
        <f t="shared" si="137"/>
        <v>Janeiro</v>
      </c>
      <c r="C4398" s="7" t="s">
        <v>1360</v>
      </c>
      <c r="D4398" s="25">
        <v>3043.39</v>
      </c>
      <c r="E4398" s="7"/>
      <c r="F4398" s="7"/>
      <c r="G4398" s="7"/>
      <c r="H4398" s="7"/>
      <c r="I4398" s="7"/>
      <c r="J4398" s="7"/>
      <c r="K4398" s="7"/>
      <c r="L4398" s="7"/>
      <c r="M4398" s="7"/>
    </row>
    <row r="4399" spans="1:13" x14ac:dyDescent="0.25">
      <c r="A4399" s="12" t="str">
        <f t="shared" si="138"/>
        <v>Total do Dia :</v>
      </c>
      <c r="B4399" s="12" t="str">
        <f t="shared" si="137"/>
        <v>Janeiro</v>
      </c>
      <c r="C4399" s="7" t="s">
        <v>1360</v>
      </c>
      <c r="D4399" s="25">
        <v>95</v>
      </c>
      <c r="E4399" s="7"/>
      <c r="F4399" s="7"/>
      <c r="G4399" s="7"/>
      <c r="H4399" s="7"/>
      <c r="I4399" s="7"/>
      <c r="J4399" s="7"/>
      <c r="K4399" s="7"/>
      <c r="L4399" s="7"/>
      <c r="M4399" s="7"/>
    </row>
    <row r="4400" spans="1:13" x14ac:dyDescent="0.25">
      <c r="A4400" s="12" t="str">
        <f t="shared" si="138"/>
        <v>Total do Dia :</v>
      </c>
      <c r="B4400" s="12" t="str">
        <f t="shared" si="137"/>
        <v>Janeiro</v>
      </c>
      <c r="C4400" s="7" t="s">
        <v>1360</v>
      </c>
      <c r="D4400" s="25">
        <v>54691.48</v>
      </c>
      <c r="E4400" s="7"/>
      <c r="F4400" s="7"/>
      <c r="G4400" s="7"/>
      <c r="H4400" s="7"/>
      <c r="I4400" s="7"/>
      <c r="J4400" s="7"/>
      <c r="K4400" s="7"/>
      <c r="L4400" s="7"/>
      <c r="M4400" s="7"/>
    </row>
    <row r="4401" spans="1:13" x14ac:dyDescent="0.25">
      <c r="A4401" s="12" t="str">
        <f t="shared" si="138"/>
        <v>Total do Dia :</v>
      </c>
      <c r="B4401" s="12" t="str">
        <f t="shared" si="137"/>
        <v>Janeiro</v>
      </c>
      <c r="C4401" s="7" t="s">
        <v>1360</v>
      </c>
      <c r="D4401" s="25">
        <v>412.48</v>
      </c>
      <c r="E4401" s="7"/>
      <c r="F4401" s="7"/>
      <c r="G4401" s="7"/>
      <c r="H4401" s="7"/>
      <c r="I4401" s="7"/>
      <c r="J4401" s="7"/>
      <c r="K4401" s="7"/>
      <c r="L4401" s="7"/>
      <c r="M4401" s="7"/>
    </row>
    <row r="4402" spans="1:13" x14ac:dyDescent="0.25">
      <c r="A4402" s="12" t="str">
        <f t="shared" si="138"/>
        <v>Total do Dia :</v>
      </c>
      <c r="B4402" s="12" t="str">
        <f t="shared" si="137"/>
        <v>Janeiro</v>
      </c>
      <c r="C4402" s="7" t="s">
        <v>1360</v>
      </c>
      <c r="D4402" s="25">
        <v>15999.75</v>
      </c>
      <c r="E4402" s="7"/>
      <c r="F4402" s="7"/>
      <c r="G4402" s="7"/>
      <c r="H4402" s="7"/>
      <c r="I4402" s="7"/>
      <c r="J4402" s="7"/>
      <c r="K4402" s="7"/>
      <c r="L4402" s="7"/>
      <c r="M4402" s="7"/>
    </row>
    <row r="4403" spans="1:13" x14ac:dyDescent="0.25">
      <c r="A4403" s="12" t="str">
        <f t="shared" si="138"/>
        <v>Total do Dia :</v>
      </c>
      <c r="B4403" s="12" t="str">
        <f t="shared" si="137"/>
        <v>Janeiro</v>
      </c>
      <c r="C4403" s="7" t="s">
        <v>1360</v>
      </c>
      <c r="D4403" s="25">
        <v>98487.37</v>
      </c>
      <c r="E4403" s="7"/>
      <c r="F4403" s="7"/>
      <c r="G4403" s="7"/>
      <c r="H4403" s="7"/>
      <c r="I4403" s="7"/>
      <c r="J4403" s="7"/>
      <c r="K4403" s="7"/>
      <c r="L4403" s="7"/>
      <c r="M4403" s="7"/>
    </row>
    <row r="4404" spans="1:13" x14ac:dyDescent="0.25">
      <c r="A4404" s="12" t="str">
        <f t="shared" si="138"/>
        <v>Total do Dia :</v>
      </c>
      <c r="B4404" s="12" t="str">
        <f t="shared" si="137"/>
        <v>Janeiro</v>
      </c>
      <c r="C4404" s="7" t="s">
        <v>1360</v>
      </c>
      <c r="D4404" s="25">
        <v>896.81</v>
      </c>
      <c r="E4404" s="7"/>
      <c r="F4404" s="7"/>
      <c r="G4404" s="7"/>
      <c r="H4404" s="7"/>
      <c r="I4404" s="7"/>
      <c r="J4404" s="7"/>
      <c r="K4404" s="7"/>
      <c r="L4404" s="7"/>
      <c r="M4404" s="7"/>
    </row>
    <row r="4405" spans="1:13" x14ac:dyDescent="0.25">
      <c r="A4405" s="12" t="str">
        <f t="shared" si="138"/>
        <v>Total do Dia :</v>
      </c>
      <c r="B4405" s="12" t="str">
        <f t="shared" si="137"/>
        <v>Janeiro</v>
      </c>
      <c r="C4405" s="7" t="s">
        <v>1360</v>
      </c>
      <c r="D4405" s="25">
        <v>245.81</v>
      </c>
      <c r="E4405" s="7"/>
      <c r="F4405" s="7"/>
      <c r="G4405" s="7"/>
      <c r="H4405" s="7"/>
      <c r="I4405" s="7"/>
      <c r="J4405" s="7"/>
      <c r="K4405" s="7"/>
      <c r="L4405" s="7"/>
      <c r="M4405" s="7"/>
    </row>
    <row r="4406" spans="1:13" x14ac:dyDescent="0.25">
      <c r="A4406" s="12" t="str">
        <f t="shared" si="138"/>
        <v>Total do Dia :</v>
      </c>
      <c r="B4406" s="12" t="str">
        <f t="shared" si="137"/>
        <v>Janeiro</v>
      </c>
      <c r="C4406" s="7" t="s">
        <v>1360</v>
      </c>
      <c r="D4406" s="25">
        <v>92324.39</v>
      </c>
      <c r="E4406" s="7"/>
      <c r="F4406" s="7"/>
      <c r="G4406" s="7"/>
      <c r="H4406" s="7"/>
      <c r="I4406" s="7"/>
      <c r="J4406" s="7"/>
      <c r="K4406" s="7"/>
      <c r="L4406" s="7"/>
      <c r="M4406" s="7"/>
    </row>
    <row r="4407" spans="1:13" x14ac:dyDescent="0.25">
      <c r="A4407" s="12" t="str">
        <f t="shared" si="138"/>
        <v>Total do Dia :</v>
      </c>
      <c r="B4407" s="12" t="str">
        <f t="shared" si="137"/>
        <v>Janeiro</v>
      </c>
      <c r="C4407" s="7" t="s">
        <v>1360</v>
      </c>
      <c r="D4407" s="25">
        <v>990.12</v>
      </c>
      <c r="E4407" s="7"/>
      <c r="F4407" s="7"/>
      <c r="G4407" s="7"/>
      <c r="H4407" s="7"/>
      <c r="I4407" s="7"/>
      <c r="J4407" s="7"/>
      <c r="K4407" s="7"/>
      <c r="L4407" s="7"/>
      <c r="M4407" s="7"/>
    </row>
    <row r="4408" spans="1:13" x14ac:dyDescent="0.25">
      <c r="A4408" s="12" t="str">
        <f t="shared" si="138"/>
        <v>Total do Dia :</v>
      </c>
      <c r="B4408" s="12" t="str">
        <f t="shared" si="137"/>
        <v>Janeiro</v>
      </c>
      <c r="C4408" s="7" t="s">
        <v>1360</v>
      </c>
      <c r="D4408" s="25">
        <v>403.33</v>
      </c>
      <c r="E4408" s="7"/>
      <c r="F4408" s="7"/>
      <c r="G4408" s="7"/>
      <c r="H4408" s="7"/>
      <c r="I4408" s="7"/>
      <c r="J4408" s="7"/>
      <c r="K4408" s="7"/>
      <c r="L4408" s="7"/>
      <c r="M4408" s="7"/>
    </row>
    <row r="4409" spans="1:13" x14ac:dyDescent="0.25">
      <c r="A4409" s="12" t="str">
        <f t="shared" si="138"/>
        <v>Total do Dia :</v>
      </c>
      <c r="B4409" s="12" t="str">
        <f t="shared" si="137"/>
        <v>Janeiro</v>
      </c>
      <c r="C4409" s="7" t="s">
        <v>1360</v>
      </c>
      <c r="D4409" s="25">
        <v>202392.51</v>
      </c>
      <c r="E4409" s="7"/>
      <c r="F4409" s="7"/>
      <c r="G4409" s="7"/>
      <c r="H4409" s="7"/>
      <c r="I4409" s="7"/>
      <c r="J4409" s="7"/>
      <c r="K4409" s="7"/>
      <c r="L4409" s="7"/>
      <c r="M4409" s="7"/>
    </row>
    <row r="4410" spans="1:13" x14ac:dyDescent="0.25">
      <c r="A4410" s="12" t="str">
        <f t="shared" si="138"/>
        <v>Total do Dia :</v>
      </c>
      <c r="B4410" s="12" t="str">
        <f t="shared" si="137"/>
        <v>Janeiro</v>
      </c>
      <c r="C4410" s="7" t="s">
        <v>1360</v>
      </c>
      <c r="D4410" s="25">
        <v>191056.16</v>
      </c>
      <c r="E4410" s="7"/>
      <c r="F4410" s="7"/>
      <c r="G4410" s="7"/>
      <c r="H4410" s="7"/>
      <c r="I4410" s="7"/>
      <c r="J4410" s="7"/>
      <c r="K4410" s="7"/>
      <c r="L4410" s="7"/>
      <c r="M4410" s="7"/>
    </row>
    <row r="4411" spans="1:13" x14ac:dyDescent="0.25">
      <c r="A4411" s="12" t="str">
        <f t="shared" si="138"/>
        <v>Total do Dia :</v>
      </c>
      <c r="B4411" s="12" t="str">
        <f t="shared" si="137"/>
        <v>Janeiro</v>
      </c>
      <c r="C4411" s="7" t="s">
        <v>1360</v>
      </c>
      <c r="D4411" s="25">
        <v>4926.0200000000004</v>
      </c>
      <c r="E4411" s="7"/>
      <c r="F4411" s="7"/>
      <c r="G4411" s="7"/>
      <c r="H4411" s="7"/>
      <c r="I4411" s="7"/>
      <c r="J4411" s="7"/>
      <c r="K4411" s="7"/>
      <c r="L4411" s="7"/>
      <c r="M4411" s="7"/>
    </row>
    <row r="4412" spans="1:13" x14ac:dyDescent="0.25">
      <c r="A4412" s="12" t="str">
        <f t="shared" si="138"/>
        <v>Total do Dia :</v>
      </c>
      <c r="B4412" s="12" t="str">
        <f t="shared" si="137"/>
        <v>Janeiro</v>
      </c>
      <c r="C4412" s="7" t="s">
        <v>1360</v>
      </c>
      <c r="D4412" s="25">
        <v>58107.1</v>
      </c>
      <c r="E4412" s="7"/>
      <c r="F4412" s="7"/>
      <c r="G4412" s="7"/>
      <c r="H4412" s="7"/>
      <c r="I4412" s="7"/>
      <c r="J4412" s="7"/>
      <c r="K4412" s="7"/>
      <c r="L4412" s="7"/>
      <c r="M4412" s="7"/>
    </row>
    <row r="4413" spans="1:13" x14ac:dyDescent="0.25">
      <c r="A4413" s="12" t="str">
        <f t="shared" si="138"/>
        <v>Total do Dia :</v>
      </c>
      <c r="B4413" s="12" t="str">
        <f t="shared" si="137"/>
        <v>Janeiro</v>
      </c>
      <c r="C4413" s="7" t="s">
        <v>1360</v>
      </c>
      <c r="D4413" s="25">
        <v>10800.22</v>
      </c>
      <c r="E4413" s="7"/>
      <c r="F4413" s="7"/>
      <c r="G4413" s="7"/>
      <c r="H4413" s="7"/>
      <c r="I4413" s="7"/>
      <c r="J4413" s="7"/>
      <c r="K4413" s="7"/>
      <c r="L4413" s="7"/>
      <c r="M4413" s="7"/>
    </row>
    <row r="4414" spans="1:13" x14ac:dyDescent="0.25">
      <c r="A4414" s="12" t="str">
        <f t="shared" si="138"/>
        <v>Total do Dia :</v>
      </c>
      <c r="B4414" s="12" t="str">
        <f t="shared" si="137"/>
        <v>Janeiro</v>
      </c>
      <c r="C4414" s="7" t="s">
        <v>1360</v>
      </c>
      <c r="D4414" s="25">
        <v>10073.030000000001</v>
      </c>
      <c r="E4414" s="7"/>
      <c r="F4414" s="7"/>
      <c r="G4414" s="7"/>
      <c r="H4414" s="7"/>
      <c r="I4414" s="7"/>
      <c r="J4414" s="7"/>
      <c r="K4414" s="7"/>
      <c r="L4414" s="7"/>
      <c r="M4414" s="7"/>
    </row>
    <row r="4415" spans="1:13" x14ac:dyDescent="0.25">
      <c r="A4415" s="12" t="str">
        <f t="shared" si="138"/>
        <v>Total do Dia :</v>
      </c>
      <c r="B4415" s="12" t="str">
        <f t="shared" si="137"/>
        <v>Janeiro</v>
      </c>
      <c r="C4415" s="7" t="s">
        <v>1360</v>
      </c>
      <c r="D4415" s="25">
        <v>172219.34</v>
      </c>
      <c r="E4415" s="7"/>
      <c r="F4415" s="7"/>
      <c r="G4415" s="7"/>
      <c r="H4415" s="7"/>
      <c r="I4415" s="7"/>
      <c r="J4415" s="7"/>
      <c r="K4415" s="7"/>
      <c r="L4415" s="7"/>
      <c r="M4415" s="7"/>
    </row>
    <row r="4416" spans="1:13" x14ac:dyDescent="0.25">
      <c r="A4416" s="12" t="str">
        <f t="shared" si="138"/>
        <v>Total do Dia :</v>
      </c>
      <c r="B4416" s="12" t="str">
        <f t="shared" si="137"/>
        <v>Janeiro</v>
      </c>
      <c r="C4416" s="7" t="s">
        <v>1360</v>
      </c>
      <c r="D4416" s="25">
        <v>59716.71</v>
      </c>
      <c r="E4416" s="7"/>
      <c r="F4416" s="7"/>
      <c r="G4416" s="7"/>
      <c r="H4416" s="7"/>
      <c r="I4416" s="7"/>
      <c r="J4416" s="7"/>
      <c r="K4416" s="7"/>
      <c r="L4416" s="7"/>
      <c r="M4416" s="7"/>
    </row>
    <row r="4417" spans="1:13" x14ac:dyDescent="0.25">
      <c r="A4417" s="12" t="str">
        <f t="shared" si="138"/>
        <v>Total do Dia :</v>
      </c>
      <c r="B4417" s="12" t="str">
        <f t="shared" si="137"/>
        <v>Janeiro</v>
      </c>
      <c r="C4417" s="7" t="s">
        <v>1360</v>
      </c>
      <c r="D4417" s="25">
        <v>25114.2</v>
      </c>
      <c r="E4417" s="7"/>
      <c r="F4417" s="7"/>
      <c r="G4417" s="7"/>
      <c r="H4417" s="7"/>
      <c r="I4417" s="7"/>
      <c r="J4417" s="7"/>
      <c r="K4417" s="7"/>
      <c r="L4417" s="7"/>
      <c r="M4417" s="7"/>
    </row>
    <row r="4418" spans="1:13" x14ac:dyDescent="0.25">
      <c r="A4418" s="12" t="str">
        <f t="shared" si="138"/>
        <v>Total do Dia :</v>
      </c>
      <c r="B4418" s="12" t="str">
        <f t="shared" si="137"/>
        <v>Janeiro</v>
      </c>
      <c r="C4418" s="7" t="s">
        <v>1360</v>
      </c>
      <c r="D4418" s="25">
        <v>7763.87</v>
      </c>
      <c r="E4418" s="7"/>
      <c r="F4418" s="7"/>
      <c r="G4418" s="7"/>
      <c r="H4418" s="7"/>
      <c r="I4418" s="7"/>
      <c r="J4418" s="7"/>
      <c r="K4418" s="7"/>
      <c r="L4418" s="7"/>
      <c r="M4418" s="7"/>
    </row>
    <row r="4419" spans="1:13" x14ac:dyDescent="0.25">
      <c r="A4419" s="12" t="str">
        <f t="shared" si="138"/>
        <v>Total do Dia :</v>
      </c>
      <c r="B4419" s="12" t="str">
        <f t="shared" ref="B4419:B4482" si="139">PROPER(TEXT($H4419,"MMMM"))</f>
        <v>Janeiro</v>
      </c>
      <c r="C4419" s="7" t="s">
        <v>1360</v>
      </c>
      <c r="D4419" s="25">
        <v>216758.71</v>
      </c>
      <c r="E4419" s="7"/>
      <c r="F4419" s="7"/>
      <c r="G4419" s="7"/>
      <c r="H4419" s="7"/>
      <c r="I4419" s="7"/>
      <c r="J4419" s="7"/>
      <c r="K4419" s="7"/>
      <c r="L4419" s="7"/>
      <c r="M4419" s="7"/>
    </row>
    <row r="4420" spans="1:13" x14ac:dyDescent="0.25">
      <c r="A4420" s="12" t="str">
        <f t="shared" si="138"/>
        <v>Total do Dia :</v>
      </c>
      <c r="B4420" s="12" t="str">
        <f t="shared" si="139"/>
        <v>Janeiro</v>
      </c>
      <c r="C4420" s="7" t="s">
        <v>1360</v>
      </c>
      <c r="D4420" s="25">
        <v>2075.86</v>
      </c>
      <c r="E4420" s="7"/>
      <c r="F4420" s="7"/>
      <c r="G4420" s="7"/>
      <c r="H4420" s="7"/>
      <c r="I4420" s="7"/>
      <c r="J4420" s="7"/>
      <c r="K4420" s="7"/>
      <c r="L4420" s="7"/>
      <c r="M4420" s="7"/>
    </row>
    <row r="4421" spans="1:13" x14ac:dyDescent="0.25">
      <c r="A4421" s="12" t="str">
        <f t="shared" si="138"/>
        <v>Total do Dia :</v>
      </c>
      <c r="B4421" s="12" t="str">
        <f t="shared" si="139"/>
        <v>Janeiro</v>
      </c>
      <c r="C4421" s="7" t="s">
        <v>1360</v>
      </c>
      <c r="D4421" s="25">
        <v>236099.92</v>
      </c>
      <c r="E4421" s="7"/>
      <c r="F4421" s="7"/>
      <c r="G4421" s="7"/>
      <c r="H4421" s="7"/>
      <c r="I4421" s="7"/>
      <c r="J4421" s="7"/>
      <c r="K4421" s="7"/>
      <c r="L4421" s="7"/>
      <c r="M4421" s="7"/>
    </row>
    <row r="4422" spans="1:13" x14ac:dyDescent="0.25">
      <c r="A4422" s="12" t="str">
        <f t="shared" si="138"/>
        <v>Total do Dia :</v>
      </c>
      <c r="B4422" s="12" t="str">
        <f t="shared" si="139"/>
        <v>Janeiro</v>
      </c>
      <c r="C4422" s="7" t="s">
        <v>1360</v>
      </c>
      <c r="D4422" s="25">
        <v>6862.21</v>
      </c>
      <c r="E4422" s="7"/>
      <c r="F4422" s="7"/>
      <c r="G4422" s="7"/>
      <c r="H4422" s="7"/>
      <c r="I4422" s="7"/>
      <c r="J4422" s="7"/>
      <c r="K4422" s="7"/>
      <c r="L4422" s="7"/>
      <c r="M4422" s="7"/>
    </row>
    <row r="4423" spans="1:13" x14ac:dyDescent="0.25">
      <c r="A4423" s="12" t="str">
        <f t="shared" si="138"/>
        <v>Total do Dia :</v>
      </c>
      <c r="B4423" s="12" t="str">
        <f t="shared" si="139"/>
        <v>Janeiro</v>
      </c>
      <c r="C4423" s="7" t="s">
        <v>1360</v>
      </c>
      <c r="D4423" s="25">
        <v>808.83</v>
      </c>
      <c r="E4423" s="7"/>
      <c r="F4423" s="7"/>
      <c r="G4423" s="7"/>
      <c r="H4423" s="7"/>
      <c r="I4423" s="7"/>
      <c r="J4423" s="7"/>
      <c r="K4423" s="7"/>
      <c r="L4423" s="7"/>
      <c r="M4423" s="7"/>
    </row>
    <row r="4424" spans="1:13" x14ac:dyDescent="0.25">
      <c r="A4424" s="12" t="str">
        <f t="shared" si="138"/>
        <v>Total do Dia :</v>
      </c>
      <c r="B4424" s="12" t="str">
        <f t="shared" si="139"/>
        <v>Janeiro</v>
      </c>
      <c r="C4424" s="7" t="s">
        <v>1360</v>
      </c>
      <c r="D4424" s="25">
        <v>63037.42</v>
      </c>
      <c r="E4424" s="7"/>
      <c r="F4424" s="7"/>
      <c r="G4424" s="7"/>
      <c r="H4424" s="7"/>
      <c r="I4424" s="7"/>
      <c r="J4424" s="7"/>
      <c r="K4424" s="7"/>
      <c r="L4424" s="7"/>
      <c r="M4424" s="7"/>
    </row>
    <row r="4425" spans="1:13" x14ac:dyDescent="0.25">
      <c r="A4425" s="12" t="str">
        <f t="shared" si="138"/>
        <v>Total do Dia :</v>
      </c>
      <c r="B4425" s="12" t="str">
        <f t="shared" si="139"/>
        <v>Janeiro</v>
      </c>
      <c r="C4425" s="7" t="s">
        <v>1360</v>
      </c>
      <c r="D4425" s="25">
        <v>5458.48</v>
      </c>
      <c r="E4425" s="7"/>
      <c r="F4425" s="7"/>
      <c r="G4425" s="7"/>
      <c r="H4425" s="7"/>
      <c r="I4425" s="7"/>
      <c r="J4425" s="7"/>
      <c r="K4425" s="7"/>
      <c r="L4425" s="7"/>
      <c r="M4425" s="7"/>
    </row>
    <row r="4426" spans="1:13" x14ac:dyDescent="0.25">
      <c r="A4426" s="12" t="str">
        <f t="shared" si="138"/>
        <v>Total do Dia :</v>
      </c>
      <c r="B4426" s="12" t="str">
        <f t="shared" si="139"/>
        <v>Janeiro</v>
      </c>
      <c r="C4426" s="7" t="s">
        <v>1360</v>
      </c>
      <c r="D4426" s="25">
        <v>97946.44</v>
      </c>
      <c r="E4426" s="7"/>
      <c r="F4426" s="7"/>
      <c r="G4426" s="7"/>
      <c r="H4426" s="7"/>
      <c r="I4426" s="7"/>
      <c r="J4426" s="7"/>
      <c r="K4426" s="7"/>
      <c r="L4426" s="7"/>
      <c r="M4426" s="7"/>
    </row>
    <row r="4427" spans="1:13" x14ac:dyDescent="0.25">
      <c r="A4427" s="12" t="str">
        <f t="shared" si="138"/>
        <v>Total do Dia :</v>
      </c>
      <c r="B4427" s="12" t="str">
        <f t="shared" si="139"/>
        <v>Janeiro</v>
      </c>
      <c r="C4427" s="7" t="s">
        <v>1360</v>
      </c>
      <c r="D4427" s="25">
        <v>11125.62</v>
      </c>
      <c r="E4427" s="7"/>
      <c r="F4427" s="7"/>
      <c r="G4427" s="7"/>
      <c r="H4427" s="7"/>
      <c r="I4427" s="7"/>
      <c r="J4427" s="7"/>
      <c r="K4427" s="7"/>
      <c r="L4427" s="7"/>
      <c r="M4427" s="7"/>
    </row>
    <row r="4428" spans="1:13" x14ac:dyDescent="0.25">
      <c r="A4428" s="12" t="str">
        <f t="shared" si="138"/>
        <v>Total do Dia :</v>
      </c>
      <c r="B4428" s="12" t="str">
        <f t="shared" si="139"/>
        <v>Janeiro</v>
      </c>
      <c r="C4428" s="7" t="s">
        <v>1360</v>
      </c>
      <c r="D4428" s="25">
        <v>64603.21</v>
      </c>
      <c r="E4428" s="7"/>
      <c r="F4428" s="7"/>
      <c r="G4428" s="7"/>
      <c r="H4428" s="7"/>
      <c r="I4428" s="7"/>
      <c r="J4428" s="7"/>
      <c r="K4428" s="7"/>
      <c r="L4428" s="7"/>
      <c r="M4428" s="7"/>
    </row>
    <row r="4429" spans="1:13" x14ac:dyDescent="0.25">
      <c r="A4429" s="12" t="str">
        <f t="shared" si="138"/>
        <v>Total do Dia :</v>
      </c>
      <c r="B4429" s="12" t="str">
        <f t="shared" si="139"/>
        <v>Janeiro</v>
      </c>
      <c r="C4429" s="7" t="s">
        <v>1360</v>
      </c>
      <c r="D4429" s="25">
        <v>388.18</v>
      </c>
      <c r="E4429" s="7"/>
      <c r="F4429" s="7"/>
      <c r="G4429" s="7"/>
      <c r="H4429" s="7"/>
      <c r="I4429" s="7"/>
      <c r="J4429" s="7"/>
      <c r="K4429" s="7"/>
      <c r="L4429" s="7"/>
      <c r="M4429" s="7"/>
    </row>
    <row r="4430" spans="1:13" x14ac:dyDescent="0.25">
      <c r="A4430" s="12" t="str">
        <f t="shared" si="138"/>
        <v>Total do Dia :</v>
      </c>
      <c r="B4430" s="12" t="str">
        <f t="shared" si="139"/>
        <v>Janeiro</v>
      </c>
      <c r="C4430" s="7" t="s">
        <v>1360</v>
      </c>
      <c r="D4430" s="25">
        <v>2005.24</v>
      </c>
      <c r="E4430" s="7"/>
      <c r="F4430" s="7"/>
      <c r="G4430" s="7"/>
      <c r="H4430" s="7"/>
      <c r="I4430" s="7"/>
      <c r="J4430" s="7"/>
      <c r="K4430" s="7"/>
      <c r="L4430" s="7"/>
      <c r="M4430" s="7"/>
    </row>
    <row r="4431" spans="1:13" x14ac:dyDescent="0.25">
      <c r="A4431" s="12" t="str">
        <f t="shared" si="138"/>
        <v>Total do Dia :</v>
      </c>
      <c r="B4431" s="12" t="str">
        <f t="shared" si="139"/>
        <v>Janeiro</v>
      </c>
      <c r="C4431" s="7" t="s">
        <v>1360</v>
      </c>
      <c r="D4431" s="25">
        <v>404333.91</v>
      </c>
      <c r="E4431" s="7"/>
      <c r="F4431" s="7"/>
      <c r="G4431" s="7"/>
      <c r="H4431" s="7"/>
      <c r="I4431" s="7"/>
      <c r="J4431" s="7"/>
      <c r="K4431" s="7"/>
      <c r="L4431" s="7"/>
      <c r="M4431" s="7"/>
    </row>
    <row r="4432" spans="1:13" x14ac:dyDescent="0.25">
      <c r="A4432" s="12" t="str">
        <f t="shared" si="138"/>
        <v>Total do Dia :</v>
      </c>
      <c r="B4432" s="12" t="str">
        <f t="shared" si="139"/>
        <v>Janeiro</v>
      </c>
      <c r="C4432" s="7" t="s">
        <v>1360</v>
      </c>
      <c r="D4432" s="25">
        <v>3179.82</v>
      </c>
      <c r="E4432" s="7"/>
      <c r="F4432" s="7"/>
      <c r="G4432" s="7"/>
      <c r="H4432" s="7"/>
      <c r="I4432" s="7"/>
      <c r="J4432" s="7"/>
      <c r="K4432" s="7"/>
      <c r="L4432" s="7"/>
      <c r="M4432" s="7"/>
    </row>
    <row r="4433" spans="1:13" x14ac:dyDescent="0.25">
      <c r="A4433" s="12" t="str">
        <f t="shared" si="138"/>
        <v>Total do Dia :</v>
      </c>
      <c r="B4433" s="12" t="str">
        <f t="shared" si="139"/>
        <v>Janeiro</v>
      </c>
      <c r="C4433" s="7" t="s">
        <v>1360</v>
      </c>
      <c r="D4433" s="25">
        <v>4679.71</v>
      </c>
      <c r="E4433" s="7"/>
      <c r="F4433" s="7"/>
      <c r="G4433" s="7"/>
      <c r="H4433" s="7"/>
      <c r="I4433" s="7"/>
      <c r="J4433" s="7"/>
      <c r="K4433" s="7"/>
      <c r="L4433" s="7"/>
      <c r="M4433" s="7"/>
    </row>
    <row r="4434" spans="1:13" x14ac:dyDescent="0.25">
      <c r="A4434" s="12" t="str">
        <f t="shared" si="138"/>
        <v>Total do Dia :</v>
      </c>
      <c r="B4434" s="12" t="str">
        <f t="shared" si="139"/>
        <v>Janeiro</v>
      </c>
      <c r="C4434" s="7" t="s">
        <v>1360</v>
      </c>
      <c r="D4434" s="25">
        <v>29462.799999999999</v>
      </c>
      <c r="E4434" s="7"/>
      <c r="F4434" s="7"/>
      <c r="G4434" s="7"/>
      <c r="H4434" s="7"/>
      <c r="I4434" s="7"/>
      <c r="J4434" s="7"/>
      <c r="K4434" s="7"/>
      <c r="L4434" s="7"/>
      <c r="M4434" s="7"/>
    </row>
    <row r="4435" spans="1:13" x14ac:dyDescent="0.25">
      <c r="A4435" s="12" t="str">
        <f t="shared" si="138"/>
        <v>Total do Dia :</v>
      </c>
      <c r="B4435" s="12" t="str">
        <f t="shared" si="139"/>
        <v>Janeiro</v>
      </c>
      <c r="C4435" s="7" t="s">
        <v>1360</v>
      </c>
      <c r="D4435" s="25">
        <v>60050</v>
      </c>
      <c r="E4435" s="7"/>
      <c r="F4435" s="7"/>
      <c r="G4435" s="7"/>
      <c r="H4435" s="7"/>
      <c r="I4435" s="7"/>
      <c r="J4435" s="7"/>
      <c r="K4435" s="7"/>
      <c r="L4435" s="7"/>
      <c r="M4435" s="7"/>
    </row>
    <row r="4436" spans="1:13" x14ac:dyDescent="0.25">
      <c r="A4436" s="12" t="str">
        <f t="shared" si="138"/>
        <v>Total do Dia :</v>
      </c>
      <c r="B4436" s="12" t="str">
        <f t="shared" si="139"/>
        <v>Janeiro</v>
      </c>
      <c r="C4436" s="7" t="s">
        <v>1360</v>
      </c>
      <c r="D4436" s="25">
        <v>9310.69</v>
      </c>
      <c r="E4436" s="7"/>
      <c r="F4436" s="7"/>
      <c r="G4436" s="7"/>
      <c r="H4436" s="7"/>
      <c r="I4436" s="7"/>
      <c r="J4436" s="7"/>
      <c r="K4436" s="7"/>
      <c r="L4436" s="7"/>
      <c r="M4436" s="7"/>
    </row>
    <row r="4437" spans="1:13" x14ac:dyDescent="0.25">
      <c r="A4437" s="12" t="str">
        <f t="shared" si="138"/>
        <v>Total do Dia :</v>
      </c>
      <c r="B4437" s="12" t="str">
        <f t="shared" si="139"/>
        <v>Janeiro</v>
      </c>
      <c r="C4437" s="7" t="s">
        <v>1360</v>
      </c>
      <c r="D4437" s="25">
        <v>4948.78</v>
      </c>
      <c r="E4437" s="7"/>
      <c r="F4437" s="7"/>
      <c r="G4437" s="7"/>
      <c r="H4437" s="7"/>
      <c r="I4437" s="7"/>
      <c r="J4437" s="7"/>
      <c r="K4437" s="7"/>
      <c r="L4437" s="7"/>
      <c r="M4437" s="7"/>
    </row>
    <row r="4438" spans="1:13" x14ac:dyDescent="0.25">
      <c r="A4438" s="12" t="str">
        <f t="shared" si="138"/>
        <v>Total do Dia :</v>
      </c>
      <c r="B4438" s="12" t="str">
        <f t="shared" si="139"/>
        <v>Janeiro</v>
      </c>
      <c r="C4438" s="7" t="s">
        <v>1360</v>
      </c>
      <c r="D4438" s="25">
        <v>164497.9</v>
      </c>
      <c r="E4438" s="7"/>
      <c r="F4438" s="7"/>
      <c r="G4438" s="7"/>
      <c r="H4438" s="7"/>
      <c r="I4438" s="7"/>
      <c r="J4438" s="7"/>
      <c r="K4438" s="7"/>
      <c r="L4438" s="7"/>
      <c r="M4438" s="7"/>
    </row>
    <row r="4439" spans="1:13" x14ac:dyDescent="0.25">
      <c r="A4439" s="12" t="str">
        <f t="shared" si="138"/>
        <v>Total do Dia :</v>
      </c>
      <c r="B4439" s="12" t="str">
        <f t="shared" si="139"/>
        <v>Janeiro</v>
      </c>
      <c r="C4439" s="7" t="s">
        <v>1360</v>
      </c>
      <c r="D4439" s="25">
        <v>583.58000000000004</v>
      </c>
      <c r="E4439" s="7"/>
      <c r="F4439" s="7"/>
      <c r="G4439" s="7"/>
      <c r="H4439" s="7"/>
      <c r="I4439" s="7"/>
      <c r="J4439" s="7"/>
      <c r="K4439" s="7"/>
      <c r="L4439" s="7"/>
      <c r="M4439" s="7"/>
    </row>
    <row r="4440" spans="1:13" x14ac:dyDescent="0.25">
      <c r="A4440" s="12" t="str">
        <f t="shared" si="138"/>
        <v>Total do Dia :</v>
      </c>
      <c r="B4440" s="12" t="str">
        <f t="shared" si="139"/>
        <v>Janeiro</v>
      </c>
      <c r="C4440" s="7" t="s">
        <v>1360</v>
      </c>
      <c r="D4440" s="25">
        <v>93417.95</v>
      </c>
      <c r="E4440" s="7"/>
      <c r="F4440" s="7"/>
      <c r="G4440" s="7"/>
      <c r="H4440" s="7"/>
      <c r="I4440" s="7"/>
      <c r="J4440" s="7"/>
      <c r="K4440" s="7"/>
      <c r="L4440" s="7"/>
      <c r="M4440" s="7"/>
    </row>
    <row r="4441" spans="1:13" x14ac:dyDescent="0.25">
      <c r="A4441" s="12" t="str">
        <f t="shared" si="138"/>
        <v>Total do Dia :</v>
      </c>
      <c r="B4441" s="12" t="str">
        <f t="shared" si="139"/>
        <v>Janeiro</v>
      </c>
      <c r="C4441" s="7" t="s">
        <v>1360</v>
      </c>
      <c r="D4441" s="25">
        <v>369364.02</v>
      </c>
      <c r="E4441" s="7"/>
      <c r="F4441" s="7"/>
      <c r="G4441" s="7"/>
      <c r="H4441" s="7"/>
      <c r="I4441" s="7"/>
      <c r="J4441" s="7"/>
      <c r="K4441" s="7"/>
      <c r="L4441" s="7"/>
      <c r="M4441" s="7"/>
    </row>
    <row r="4442" spans="1:13" x14ac:dyDescent="0.25">
      <c r="A4442" s="12" t="str">
        <f t="shared" si="138"/>
        <v>Total do Dia :</v>
      </c>
      <c r="B4442" s="12" t="str">
        <f t="shared" si="139"/>
        <v>Janeiro</v>
      </c>
      <c r="C4442" s="7" t="s">
        <v>1360</v>
      </c>
      <c r="D4442" s="25">
        <v>10249.280000000001</v>
      </c>
      <c r="E4442" s="7"/>
      <c r="F4442" s="7"/>
      <c r="G4442" s="7"/>
      <c r="H4442" s="7"/>
      <c r="I4442" s="7"/>
      <c r="J4442" s="7"/>
      <c r="K4442" s="7"/>
      <c r="L4442" s="7"/>
      <c r="M4442" s="7"/>
    </row>
    <row r="4443" spans="1:13" x14ac:dyDescent="0.25">
      <c r="A4443" s="12" t="str">
        <f t="shared" ref="A4443:A4506" si="140">$C4443&amp;$E4443&amp;$G4443&amp;$F4443</f>
        <v>Total do Dia :</v>
      </c>
      <c r="B4443" s="12" t="str">
        <f t="shared" si="139"/>
        <v>Janeiro</v>
      </c>
      <c r="C4443" s="7" t="s">
        <v>1360</v>
      </c>
      <c r="D4443" s="25">
        <v>10705.17</v>
      </c>
      <c r="E4443" s="7"/>
      <c r="F4443" s="7"/>
      <c r="G4443" s="7"/>
      <c r="H4443" s="7"/>
      <c r="I4443" s="7"/>
      <c r="J4443" s="7"/>
      <c r="K4443" s="7"/>
      <c r="L4443" s="7"/>
      <c r="M4443" s="7"/>
    </row>
    <row r="4444" spans="1:13" x14ac:dyDescent="0.25">
      <c r="A4444" s="12" t="str">
        <f t="shared" si="140"/>
        <v>Total do Dia :</v>
      </c>
      <c r="B4444" s="12" t="str">
        <f t="shared" si="139"/>
        <v>Janeiro</v>
      </c>
      <c r="C4444" s="7" t="s">
        <v>1360</v>
      </c>
      <c r="D4444" s="25">
        <v>2447.96</v>
      </c>
      <c r="E4444" s="7"/>
      <c r="F4444" s="7"/>
      <c r="G4444" s="7"/>
      <c r="H4444" s="7"/>
      <c r="I4444" s="7"/>
      <c r="J4444" s="7"/>
      <c r="K4444" s="7"/>
      <c r="L4444" s="7"/>
      <c r="M4444" s="7"/>
    </row>
    <row r="4445" spans="1:13" x14ac:dyDescent="0.25">
      <c r="A4445" s="12" t="str">
        <f t="shared" si="140"/>
        <v>Total do Dia :</v>
      </c>
      <c r="B4445" s="12" t="str">
        <f t="shared" si="139"/>
        <v>Janeiro</v>
      </c>
      <c r="C4445" s="7" t="s">
        <v>1360</v>
      </c>
      <c r="D4445" s="25">
        <v>12150.36</v>
      </c>
      <c r="E4445" s="7"/>
      <c r="F4445" s="7"/>
      <c r="G4445" s="7"/>
      <c r="H4445" s="7"/>
      <c r="I4445" s="7"/>
      <c r="J4445" s="7"/>
      <c r="K4445" s="7"/>
      <c r="L4445" s="7"/>
      <c r="M4445" s="7"/>
    </row>
    <row r="4446" spans="1:13" x14ac:dyDescent="0.25">
      <c r="A4446" s="12" t="str">
        <f t="shared" si="140"/>
        <v>Total do Dia :</v>
      </c>
      <c r="B4446" s="12" t="str">
        <f t="shared" si="139"/>
        <v>Janeiro</v>
      </c>
      <c r="C4446" s="7" t="s">
        <v>1360</v>
      </c>
      <c r="D4446" s="25">
        <v>158767.67999999999</v>
      </c>
      <c r="E4446" s="7"/>
      <c r="F4446" s="7"/>
      <c r="G4446" s="7"/>
      <c r="H4446" s="7"/>
      <c r="I4446" s="7"/>
      <c r="J4446" s="7"/>
      <c r="K4446" s="7"/>
      <c r="L4446" s="7"/>
      <c r="M4446" s="7"/>
    </row>
    <row r="4447" spans="1:13" x14ac:dyDescent="0.25">
      <c r="A4447" s="12" t="str">
        <f t="shared" si="140"/>
        <v>Total do Dia :</v>
      </c>
      <c r="B4447" s="12" t="str">
        <f t="shared" si="139"/>
        <v>Janeiro</v>
      </c>
      <c r="C4447" s="7" t="s">
        <v>1360</v>
      </c>
      <c r="D4447" s="25">
        <v>6449.3</v>
      </c>
      <c r="E4447" s="7"/>
      <c r="F4447" s="7"/>
      <c r="G4447" s="7"/>
      <c r="H4447" s="7"/>
      <c r="I4447" s="7"/>
      <c r="J4447" s="7"/>
      <c r="K4447" s="7"/>
      <c r="L4447" s="7"/>
      <c r="M4447" s="7"/>
    </row>
    <row r="4448" spans="1:13" x14ac:dyDescent="0.25">
      <c r="A4448" s="12" t="str">
        <f t="shared" si="140"/>
        <v>Total do Dia :</v>
      </c>
      <c r="B4448" s="12" t="str">
        <f t="shared" si="139"/>
        <v>Janeiro</v>
      </c>
      <c r="C4448" s="7" t="s">
        <v>1360</v>
      </c>
      <c r="D4448" s="25">
        <v>110783.65</v>
      </c>
      <c r="E4448" s="7"/>
      <c r="F4448" s="7"/>
      <c r="G4448" s="7"/>
      <c r="H4448" s="7"/>
      <c r="I4448" s="7"/>
      <c r="J4448" s="7"/>
      <c r="K4448" s="7"/>
      <c r="L4448" s="7"/>
      <c r="M4448" s="7"/>
    </row>
    <row r="4449" spans="1:13" x14ac:dyDescent="0.25">
      <c r="A4449" s="12" t="str">
        <f t="shared" si="140"/>
        <v>Total do Dia :</v>
      </c>
      <c r="B4449" s="12" t="str">
        <f t="shared" si="139"/>
        <v>Janeiro</v>
      </c>
      <c r="C4449" s="7" t="s">
        <v>1360</v>
      </c>
      <c r="D4449" s="25">
        <v>109628.55</v>
      </c>
      <c r="E4449" s="7"/>
      <c r="F4449" s="7"/>
      <c r="G4449" s="7"/>
      <c r="H4449" s="7"/>
      <c r="I4449" s="7"/>
      <c r="J4449" s="7"/>
      <c r="K4449" s="7"/>
      <c r="L4449" s="7"/>
      <c r="M4449" s="7"/>
    </row>
    <row r="4450" spans="1:13" x14ac:dyDescent="0.25">
      <c r="A4450" s="12" t="str">
        <f t="shared" si="140"/>
        <v>Total do Dia :</v>
      </c>
      <c r="B4450" s="12" t="str">
        <f t="shared" si="139"/>
        <v>Janeiro</v>
      </c>
      <c r="C4450" s="7" t="s">
        <v>1360</v>
      </c>
      <c r="D4450" s="25">
        <v>63234.41</v>
      </c>
      <c r="E4450" s="7"/>
      <c r="F4450" s="7"/>
      <c r="G4450" s="7"/>
      <c r="H4450" s="7"/>
      <c r="I4450" s="7"/>
      <c r="J4450" s="7"/>
      <c r="K4450" s="7"/>
      <c r="L4450" s="7"/>
      <c r="M4450" s="7"/>
    </row>
    <row r="4451" spans="1:13" x14ac:dyDescent="0.25">
      <c r="A4451" s="12" t="str">
        <f t="shared" si="140"/>
        <v>Total do Dia :</v>
      </c>
      <c r="B4451" s="12" t="str">
        <f t="shared" si="139"/>
        <v>Janeiro</v>
      </c>
      <c r="C4451" s="7" t="s">
        <v>1360</v>
      </c>
      <c r="D4451" s="25">
        <v>2965.13</v>
      </c>
      <c r="E4451" s="7"/>
      <c r="F4451" s="7"/>
      <c r="G4451" s="7"/>
      <c r="H4451" s="7"/>
      <c r="I4451" s="7"/>
      <c r="J4451" s="7"/>
      <c r="K4451" s="7"/>
      <c r="L4451" s="7"/>
      <c r="M4451" s="7"/>
    </row>
    <row r="4452" spans="1:13" x14ac:dyDescent="0.25">
      <c r="A4452" s="12" t="str">
        <f t="shared" si="140"/>
        <v>Total do Dia :</v>
      </c>
      <c r="B4452" s="12" t="str">
        <f t="shared" si="139"/>
        <v>Janeiro</v>
      </c>
      <c r="C4452" s="7" t="s">
        <v>1360</v>
      </c>
      <c r="D4452" s="25">
        <v>1013.43</v>
      </c>
      <c r="E4452" s="7"/>
      <c r="F4452" s="7"/>
      <c r="G4452" s="7"/>
      <c r="H4452" s="7"/>
      <c r="I4452" s="7"/>
      <c r="J4452" s="7"/>
      <c r="K4452" s="7"/>
      <c r="L4452" s="7"/>
      <c r="M4452" s="7"/>
    </row>
    <row r="4453" spans="1:13" x14ac:dyDescent="0.25">
      <c r="A4453" s="12" t="str">
        <f t="shared" si="140"/>
        <v>Total do Dia :</v>
      </c>
      <c r="B4453" s="12" t="str">
        <f t="shared" si="139"/>
        <v>Janeiro</v>
      </c>
      <c r="C4453" s="7" t="s">
        <v>1360</v>
      </c>
      <c r="D4453" s="25">
        <v>201402.96</v>
      </c>
      <c r="E4453" s="7"/>
      <c r="F4453" s="7"/>
      <c r="G4453" s="7"/>
      <c r="H4453" s="7"/>
      <c r="I4453" s="7"/>
      <c r="J4453" s="7"/>
      <c r="K4453" s="7"/>
      <c r="L4453" s="7"/>
      <c r="M4453" s="7"/>
    </row>
    <row r="4454" spans="1:13" x14ac:dyDescent="0.25">
      <c r="A4454" s="12" t="str">
        <f t="shared" si="140"/>
        <v>Total do Dia :</v>
      </c>
      <c r="B4454" s="12" t="str">
        <f t="shared" si="139"/>
        <v>Janeiro</v>
      </c>
      <c r="C4454" s="7" t="s">
        <v>1360</v>
      </c>
      <c r="D4454" s="25">
        <v>187815.86</v>
      </c>
      <c r="E4454" s="7"/>
      <c r="F4454" s="7"/>
      <c r="G4454" s="7"/>
      <c r="H4454" s="7"/>
      <c r="I4454" s="7"/>
      <c r="J4454" s="7"/>
      <c r="K4454" s="7"/>
      <c r="L4454" s="7"/>
      <c r="M4454" s="7"/>
    </row>
    <row r="4455" spans="1:13" x14ac:dyDescent="0.25">
      <c r="A4455" s="12" t="str">
        <f t="shared" si="140"/>
        <v>Total do Dia :</v>
      </c>
      <c r="B4455" s="12" t="str">
        <f t="shared" si="139"/>
        <v>Janeiro</v>
      </c>
      <c r="C4455" s="7" t="s">
        <v>1360</v>
      </c>
      <c r="D4455" s="25">
        <v>35876.400000000001</v>
      </c>
      <c r="E4455" s="7"/>
      <c r="F4455" s="7"/>
      <c r="G4455" s="7"/>
      <c r="H4455" s="7"/>
      <c r="I4455" s="7"/>
      <c r="J4455" s="7"/>
      <c r="K4455" s="7"/>
      <c r="L4455" s="7"/>
      <c r="M4455" s="7"/>
    </row>
    <row r="4456" spans="1:13" x14ac:dyDescent="0.25">
      <c r="A4456" s="12" t="str">
        <f t="shared" si="140"/>
        <v>Total do Dia :</v>
      </c>
      <c r="B4456" s="12" t="str">
        <f t="shared" si="139"/>
        <v>Janeiro</v>
      </c>
      <c r="C4456" s="7" t="s">
        <v>1360</v>
      </c>
      <c r="D4456" s="25">
        <v>77446.710000000006</v>
      </c>
      <c r="E4456" s="7"/>
      <c r="F4456" s="7"/>
      <c r="G4456" s="7"/>
      <c r="H4456" s="7"/>
      <c r="I4456" s="7"/>
      <c r="J4456" s="7"/>
      <c r="K4456" s="7"/>
      <c r="L4456" s="7"/>
      <c r="M4456" s="7"/>
    </row>
    <row r="4457" spans="1:13" x14ac:dyDescent="0.25">
      <c r="A4457" s="12" t="str">
        <f t="shared" si="140"/>
        <v>Total do Dia :</v>
      </c>
      <c r="B4457" s="12" t="str">
        <f t="shared" si="139"/>
        <v>Janeiro</v>
      </c>
      <c r="C4457" s="7" t="s">
        <v>1360</v>
      </c>
      <c r="D4457" s="25">
        <v>5718.82</v>
      </c>
      <c r="E4457" s="7"/>
      <c r="F4457" s="7"/>
      <c r="G4457" s="7"/>
      <c r="H4457" s="7"/>
      <c r="I4457" s="7"/>
      <c r="J4457" s="7"/>
      <c r="K4457" s="7"/>
      <c r="L4457" s="7"/>
      <c r="M4457" s="7"/>
    </row>
    <row r="4458" spans="1:13" x14ac:dyDescent="0.25">
      <c r="A4458" s="12" t="str">
        <f t="shared" si="140"/>
        <v>Total do Dia :</v>
      </c>
      <c r="B4458" s="12" t="str">
        <f t="shared" si="139"/>
        <v>Janeiro</v>
      </c>
      <c r="C4458" s="7" t="s">
        <v>1360</v>
      </c>
      <c r="D4458" s="25">
        <v>7353.7</v>
      </c>
      <c r="E4458" s="7"/>
      <c r="F4458" s="7"/>
      <c r="G4458" s="7"/>
      <c r="H4458" s="7"/>
      <c r="I4458" s="7"/>
      <c r="J4458" s="7"/>
      <c r="K4458" s="7"/>
      <c r="L4458" s="7"/>
      <c r="M4458" s="7"/>
    </row>
    <row r="4459" spans="1:13" x14ac:dyDescent="0.25">
      <c r="A4459" s="12" t="str">
        <f t="shared" si="140"/>
        <v>Total do Dia :</v>
      </c>
      <c r="B4459" s="12" t="str">
        <f t="shared" si="139"/>
        <v>Janeiro</v>
      </c>
      <c r="C4459" s="7" t="s">
        <v>1360</v>
      </c>
      <c r="D4459" s="25">
        <v>28031.69</v>
      </c>
      <c r="E4459" s="7"/>
      <c r="F4459" s="7"/>
      <c r="G4459" s="7"/>
      <c r="H4459" s="7"/>
      <c r="I4459" s="7"/>
      <c r="J4459" s="7"/>
      <c r="K4459" s="7"/>
      <c r="L4459" s="7"/>
      <c r="M4459" s="7"/>
    </row>
    <row r="4460" spans="1:13" x14ac:dyDescent="0.25">
      <c r="A4460" s="12" t="str">
        <f t="shared" si="140"/>
        <v>Total do Dia :</v>
      </c>
      <c r="B4460" s="12" t="str">
        <f t="shared" si="139"/>
        <v>Janeiro</v>
      </c>
      <c r="C4460" s="7" t="s">
        <v>1360</v>
      </c>
      <c r="D4460" s="25">
        <v>25838.05</v>
      </c>
      <c r="E4460" s="7"/>
      <c r="F4460" s="7"/>
      <c r="G4460" s="7"/>
      <c r="H4460" s="7"/>
      <c r="I4460" s="7"/>
      <c r="J4460" s="7"/>
      <c r="K4460" s="7"/>
      <c r="L4460" s="7"/>
      <c r="M4460" s="7"/>
    </row>
    <row r="4461" spans="1:13" x14ac:dyDescent="0.25">
      <c r="A4461" s="12" t="str">
        <f t="shared" si="140"/>
        <v>Total do Dia :</v>
      </c>
      <c r="B4461" s="12" t="str">
        <f t="shared" si="139"/>
        <v>Janeiro</v>
      </c>
      <c r="C4461" s="7" t="s">
        <v>1360</v>
      </c>
      <c r="D4461" s="25">
        <v>89839.11</v>
      </c>
      <c r="E4461" s="7"/>
      <c r="F4461" s="7"/>
      <c r="G4461" s="7"/>
      <c r="H4461" s="7"/>
      <c r="I4461" s="7"/>
      <c r="J4461" s="7"/>
      <c r="K4461" s="7"/>
      <c r="L4461" s="7"/>
      <c r="M4461" s="7"/>
    </row>
    <row r="4462" spans="1:13" x14ac:dyDescent="0.25">
      <c r="A4462" s="12" t="str">
        <f t="shared" si="140"/>
        <v>Total do Dia :</v>
      </c>
      <c r="B4462" s="12" t="str">
        <f t="shared" si="139"/>
        <v>Janeiro</v>
      </c>
      <c r="C4462" s="7" t="s">
        <v>1360</v>
      </c>
      <c r="D4462" s="25">
        <v>138795.87</v>
      </c>
      <c r="E4462" s="7"/>
      <c r="F4462" s="7"/>
      <c r="G4462" s="7"/>
      <c r="H4462" s="7"/>
      <c r="I4462" s="7"/>
      <c r="J4462" s="7"/>
      <c r="K4462" s="7"/>
      <c r="L4462" s="7"/>
      <c r="M4462" s="7"/>
    </row>
    <row r="4463" spans="1:13" x14ac:dyDescent="0.25">
      <c r="A4463" s="12" t="str">
        <f t="shared" si="140"/>
        <v>Total do Dia :</v>
      </c>
      <c r="B4463" s="12" t="str">
        <f t="shared" si="139"/>
        <v>Janeiro</v>
      </c>
      <c r="C4463" s="7" t="s">
        <v>1360</v>
      </c>
      <c r="D4463" s="25">
        <v>6820.44</v>
      </c>
      <c r="E4463" s="7"/>
      <c r="F4463" s="7"/>
      <c r="G4463" s="7"/>
      <c r="H4463" s="7"/>
      <c r="I4463" s="7"/>
      <c r="J4463" s="7"/>
      <c r="K4463" s="7"/>
      <c r="L4463" s="7"/>
      <c r="M4463" s="7"/>
    </row>
    <row r="4464" spans="1:13" x14ac:dyDescent="0.25">
      <c r="A4464" s="12" t="str">
        <f t="shared" si="140"/>
        <v>Total do Dia :</v>
      </c>
      <c r="B4464" s="12" t="str">
        <f t="shared" si="139"/>
        <v>Janeiro</v>
      </c>
      <c r="C4464" s="7" t="s">
        <v>1360</v>
      </c>
      <c r="D4464" s="25">
        <v>368943.98</v>
      </c>
      <c r="E4464" s="7"/>
      <c r="F4464" s="7"/>
      <c r="G4464" s="7"/>
      <c r="H4464" s="7"/>
      <c r="I4464" s="7"/>
      <c r="J4464" s="7"/>
      <c r="K4464" s="7"/>
      <c r="L4464" s="7"/>
      <c r="M4464" s="7"/>
    </row>
    <row r="4465" spans="1:13" x14ac:dyDescent="0.25">
      <c r="A4465" s="12" t="str">
        <f t="shared" si="140"/>
        <v>Total do Dia :</v>
      </c>
      <c r="B4465" s="12" t="str">
        <f t="shared" si="139"/>
        <v>Janeiro</v>
      </c>
      <c r="C4465" s="7" t="s">
        <v>1360</v>
      </c>
      <c r="D4465" s="25">
        <v>101267.18</v>
      </c>
      <c r="E4465" s="7"/>
      <c r="F4465" s="7"/>
      <c r="G4465" s="7"/>
      <c r="H4465" s="7"/>
      <c r="I4465" s="7"/>
      <c r="J4465" s="7"/>
      <c r="K4465" s="7"/>
      <c r="L4465" s="7"/>
      <c r="M4465" s="7"/>
    </row>
    <row r="4466" spans="1:13" x14ac:dyDescent="0.25">
      <c r="A4466" s="12" t="str">
        <f t="shared" si="140"/>
        <v>Total do Dia :</v>
      </c>
      <c r="B4466" s="12" t="str">
        <f t="shared" si="139"/>
        <v>Janeiro</v>
      </c>
      <c r="C4466" s="7" t="s">
        <v>1360</v>
      </c>
      <c r="D4466" s="25">
        <v>13225.31</v>
      </c>
      <c r="E4466" s="7"/>
      <c r="F4466" s="7"/>
      <c r="G4466" s="7"/>
      <c r="H4466" s="7"/>
      <c r="I4466" s="7"/>
      <c r="J4466" s="7"/>
      <c r="K4466" s="7"/>
      <c r="L4466" s="7"/>
      <c r="M4466" s="7"/>
    </row>
    <row r="4467" spans="1:13" x14ac:dyDescent="0.25">
      <c r="A4467" s="12" t="str">
        <f t="shared" si="140"/>
        <v>Total do Dia :</v>
      </c>
      <c r="B4467" s="12" t="str">
        <f t="shared" si="139"/>
        <v>Janeiro</v>
      </c>
      <c r="C4467" s="7" t="s">
        <v>1360</v>
      </c>
      <c r="D4467" s="25">
        <v>6036.89</v>
      </c>
      <c r="E4467" s="7"/>
      <c r="F4467" s="7"/>
      <c r="G4467" s="7"/>
      <c r="H4467" s="7"/>
      <c r="I4467" s="7"/>
      <c r="J4467" s="7"/>
      <c r="K4467" s="7"/>
      <c r="L4467" s="7"/>
      <c r="M4467" s="7"/>
    </row>
    <row r="4468" spans="1:13" x14ac:dyDescent="0.25">
      <c r="A4468" s="12" t="str">
        <f t="shared" si="140"/>
        <v>Total do Dia :</v>
      </c>
      <c r="B4468" s="12" t="str">
        <f t="shared" si="139"/>
        <v>Janeiro</v>
      </c>
      <c r="C4468" s="7" t="s">
        <v>1360</v>
      </c>
      <c r="D4468" s="25">
        <v>27762.400000000001</v>
      </c>
      <c r="E4468" s="7"/>
      <c r="F4468" s="7"/>
      <c r="G4468" s="7"/>
      <c r="H4468" s="7"/>
      <c r="I4468" s="7"/>
      <c r="J4468" s="7"/>
      <c r="K4468" s="7"/>
      <c r="L4468" s="7"/>
      <c r="M4468" s="7"/>
    </row>
    <row r="4469" spans="1:13" x14ac:dyDescent="0.25">
      <c r="A4469" s="12" t="str">
        <f t="shared" si="140"/>
        <v>Total do Dia :</v>
      </c>
      <c r="B4469" s="12" t="str">
        <f t="shared" si="139"/>
        <v>Janeiro</v>
      </c>
      <c r="C4469" s="7" t="s">
        <v>1360</v>
      </c>
      <c r="D4469" s="25">
        <v>1860</v>
      </c>
      <c r="E4469" s="7"/>
      <c r="F4469" s="7"/>
      <c r="G4469" s="7"/>
      <c r="H4469" s="7"/>
      <c r="I4469" s="7"/>
      <c r="J4469" s="7"/>
      <c r="K4469" s="7"/>
      <c r="L4469" s="7"/>
      <c r="M4469" s="7"/>
    </row>
    <row r="4470" spans="1:13" x14ac:dyDescent="0.25">
      <c r="A4470" s="12" t="str">
        <f t="shared" si="140"/>
        <v>Total do Dia :</v>
      </c>
      <c r="B4470" s="12" t="str">
        <f t="shared" si="139"/>
        <v>Janeiro</v>
      </c>
      <c r="C4470" s="7" t="s">
        <v>1360</v>
      </c>
      <c r="D4470" s="25">
        <v>99525.13</v>
      </c>
      <c r="E4470" s="7"/>
      <c r="F4470" s="7"/>
      <c r="G4470" s="7"/>
      <c r="H4470" s="7"/>
      <c r="I4470" s="7"/>
      <c r="J4470" s="7"/>
      <c r="K4470" s="7"/>
      <c r="L4470" s="7"/>
      <c r="M4470" s="7"/>
    </row>
    <row r="4471" spans="1:13" x14ac:dyDescent="0.25">
      <c r="A4471" s="12" t="str">
        <f t="shared" si="140"/>
        <v>Total do Dia :</v>
      </c>
      <c r="B4471" s="12" t="str">
        <f t="shared" si="139"/>
        <v>Janeiro</v>
      </c>
      <c r="C4471" s="7" t="s">
        <v>1360</v>
      </c>
      <c r="D4471" s="25">
        <v>55687.11</v>
      </c>
      <c r="E4471" s="7"/>
      <c r="F4471" s="7"/>
      <c r="G4471" s="7"/>
      <c r="H4471" s="7"/>
      <c r="I4471" s="7"/>
      <c r="J4471" s="7"/>
      <c r="K4471" s="7"/>
      <c r="L4471" s="7"/>
      <c r="M4471" s="7"/>
    </row>
    <row r="4472" spans="1:13" x14ac:dyDescent="0.25">
      <c r="A4472" s="12" t="str">
        <f t="shared" si="140"/>
        <v>Total do Dia :</v>
      </c>
      <c r="B4472" s="12" t="str">
        <f t="shared" si="139"/>
        <v>Janeiro</v>
      </c>
      <c r="C4472" s="7" t="s">
        <v>1360</v>
      </c>
      <c r="D4472" s="25">
        <v>56961.8</v>
      </c>
      <c r="E4472" s="7"/>
      <c r="F4472" s="7"/>
      <c r="G4472" s="7"/>
      <c r="H4472" s="7"/>
      <c r="I4472" s="7"/>
      <c r="J4472" s="7"/>
      <c r="K4472" s="7"/>
      <c r="L4472" s="7"/>
      <c r="M4472" s="7"/>
    </row>
    <row r="4473" spans="1:13" x14ac:dyDescent="0.25">
      <c r="A4473" s="12" t="str">
        <f t="shared" si="140"/>
        <v>Total do Dia :</v>
      </c>
      <c r="B4473" s="12" t="str">
        <f t="shared" si="139"/>
        <v>Janeiro</v>
      </c>
      <c r="C4473" s="7" t="s">
        <v>1360</v>
      </c>
      <c r="D4473" s="25">
        <v>1840</v>
      </c>
      <c r="E4473" s="7"/>
      <c r="F4473" s="7"/>
      <c r="G4473" s="7"/>
      <c r="H4473" s="7"/>
      <c r="I4473" s="7"/>
      <c r="J4473" s="7"/>
      <c r="K4473" s="7"/>
      <c r="L4473" s="7"/>
      <c r="M4473" s="7"/>
    </row>
    <row r="4474" spans="1:13" x14ac:dyDescent="0.25">
      <c r="A4474" s="12" t="str">
        <f t="shared" si="140"/>
        <v>Total do Dia :</v>
      </c>
      <c r="B4474" s="12" t="str">
        <f t="shared" si="139"/>
        <v>Janeiro</v>
      </c>
      <c r="C4474" s="7" t="s">
        <v>1360</v>
      </c>
      <c r="D4474" s="25">
        <v>2171.0500000000002</v>
      </c>
      <c r="E4474" s="7"/>
      <c r="F4474" s="7"/>
      <c r="G4474" s="7"/>
      <c r="H4474" s="7"/>
      <c r="I4474" s="7"/>
      <c r="J4474" s="7"/>
      <c r="K4474" s="7"/>
      <c r="L4474" s="7"/>
      <c r="M4474" s="7"/>
    </row>
    <row r="4475" spans="1:13" x14ac:dyDescent="0.25">
      <c r="A4475" s="12" t="str">
        <f t="shared" si="140"/>
        <v>Total do Dia :</v>
      </c>
      <c r="B4475" s="12" t="str">
        <f t="shared" si="139"/>
        <v>Janeiro</v>
      </c>
      <c r="C4475" s="7" t="s">
        <v>1360</v>
      </c>
      <c r="D4475" s="25">
        <v>201575.03</v>
      </c>
      <c r="E4475" s="7"/>
      <c r="F4475" s="7"/>
      <c r="G4475" s="7"/>
      <c r="H4475" s="7"/>
      <c r="I4475" s="7"/>
      <c r="J4475" s="7"/>
      <c r="K4475" s="7"/>
      <c r="L4475" s="7"/>
      <c r="M4475" s="7"/>
    </row>
    <row r="4476" spans="1:13" x14ac:dyDescent="0.25">
      <c r="A4476" s="12" t="str">
        <f t="shared" si="140"/>
        <v>Total do Dia :</v>
      </c>
      <c r="B4476" s="12" t="str">
        <f t="shared" si="139"/>
        <v>Janeiro</v>
      </c>
      <c r="C4476" s="7" t="s">
        <v>1360</v>
      </c>
      <c r="D4476" s="25">
        <v>168513.19</v>
      </c>
      <c r="E4476" s="7"/>
      <c r="F4476" s="7"/>
      <c r="G4476" s="7"/>
      <c r="H4476" s="7"/>
      <c r="I4476" s="7"/>
      <c r="J4476" s="7"/>
      <c r="K4476" s="7"/>
      <c r="L4476" s="7"/>
      <c r="M4476" s="7"/>
    </row>
    <row r="4477" spans="1:13" x14ac:dyDescent="0.25">
      <c r="A4477" s="12" t="str">
        <f t="shared" si="140"/>
        <v>Total do Dia :</v>
      </c>
      <c r="B4477" s="12" t="str">
        <f t="shared" si="139"/>
        <v>Janeiro</v>
      </c>
      <c r="C4477" s="7" t="s">
        <v>1360</v>
      </c>
      <c r="D4477" s="25">
        <v>13797.07</v>
      </c>
      <c r="E4477" s="7"/>
      <c r="F4477" s="7"/>
      <c r="G4477" s="7"/>
      <c r="H4477" s="7"/>
      <c r="I4477" s="7"/>
      <c r="J4477" s="7"/>
      <c r="K4477" s="7"/>
      <c r="L4477" s="7"/>
      <c r="M4477" s="7"/>
    </row>
    <row r="4478" spans="1:13" x14ac:dyDescent="0.25">
      <c r="A4478" s="12" t="str">
        <f t="shared" si="140"/>
        <v>Total do Dia :</v>
      </c>
      <c r="B4478" s="12" t="str">
        <f t="shared" si="139"/>
        <v>Janeiro</v>
      </c>
      <c r="C4478" s="7" t="s">
        <v>1360</v>
      </c>
      <c r="D4478" s="25">
        <v>89336.320000000007</v>
      </c>
      <c r="E4478" s="7"/>
      <c r="F4478" s="7"/>
      <c r="G4478" s="7"/>
      <c r="H4478" s="7"/>
      <c r="I4478" s="7"/>
      <c r="J4478" s="7"/>
      <c r="K4478" s="7"/>
      <c r="L4478" s="7"/>
      <c r="M4478" s="7"/>
    </row>
    <row r="4479" spans="1:13" x14ac:dyDescent="0.25">
      <c r="A4479" s="12" t="str">
        <f t="shared" si="140"/>
        <v>Total do Dia :</v>
      </c>
      <c r="B4479" s="12" t="str">
        <f t="shared" si="139"/>
        <v>Janeiro</v>
      </c>
      <c r="C4479" s="7" t="s">
        <v>1360</v>
      </c>
      <c r="D4479" s="25">
        <v>5425.31</v>
      </c>
      <c r="E4479" s="7"/>
      <c r="F4479" s="7"/>
      <c r="G4479" s="7"/>
      <c r="H4479" s="7"/>
      <c r="I4479" s="7"/>
      <c r="J4479" s="7"/>
      <c r="K4479" s="7"/>
      <c r="L4479" s="7"/>
      <c r="M4479" s="7"/>
    </row>
    <row r="4480" spans="1:13" x14ac:dyDescent="0.25">
      <c r="A4480" s="12" t="str">
        <f t="shared" si="140"/>
        <v>Total do Dia :</v>
      </c>
      <c r="B4480" s="12" t="str">
        <f t="shared" si="139"/>
        <v>Janeiro</v>
      </c>
      <c r="C4480" s="7" t="s">
        <v>1360</v>
      </c>
      <c r="D4480" s="25">
        <v>4654.72</v>
      </c>
      <c r="E4480" s="7"/>
      <c r="F4480" s="7"/>
      <c r="G4480" s="7"/>
      <c r="H4480" s="7"/>
      <c r="I4480" s="7"/>
      <c r="J4480" s="7"/>
      <c r="K4480" s="7"/>
      <c r="L4480" s="7"/>
      <c r="M4480" s="7"/>
    </row>
    <row r="4481" spans="1:13" x14ac:dyDescent="0.25">
      <c r="A4481" s="12" t="str">
        <f t="shared" si="140"/>
        <v>Total do Dia :</v>
      </c>
      <c r="B4481" s="12" t="str">
        <f t="shared" si="139"/>
        <v>Janeiro</v>
      </c>
      <c r="C4481" s="7" t="s">
        <v>1360</v>
      </c>
      <c r="D4481" s="25">
        <v>27357.4</v>
      </c>
      <c r="E4481" s="7"/>
      <c r="F4481" s="7"/>
      <c r="G4481" s="7"/>
      <c r="H4481" s="7"/>
      <c r="I4481" s="7"/>
      <c r="J4481" s="7"/>
      <c r="K4481" s="7"/>
      <c r="L4481" s="7"/>
      <c r="M4481" s="7"/>
    </row>
    <row r="4482" spans="1:13" x14ac:dyDescent="0.25">
      <c r="A4482" s="12" t="str">
        <f t="shared" si="140"/>
        <v>Total do Dia :</v>
      </c>
      <c r="B4482" s="12" t="str">
        <f t="shared" si="139"/>
        <v>Janeiro</v>
      </c>
      <c r="C4482" s="7" t="s">
        <v>1360</v>
      </c>
      <c r="D4482" s="25">
        <v>193610.13</v>
      </c>
      <c r="E4482" s="7"/>
      <c r="F4482" s="7"/>
      <c r="G4482" s="7"/>
      <c r="H4482" s="7"/>
      <c r="I4482" s="7"/>
      <c r="J4482" s="7"/>
      <c r="K4482" s="7"/>
      <c r="L4482" s="7"/>
      <c r="M4482" s="7"/>
    </row>
    <row r="4483" spans="1:13" x14ac:dyDescent="0.25">
      <c r="A4483" s="12" t="str">
        <f t="shared" si="140"/>
        <v>Total do Dia :</v>
      </c>
      <c r="B4483" s="12" t="str">
        <f t="shared" ref="B4483:B4546" si="141">PROPER(TEXT($H4483,"MMMM"))</f>
        <v>Janeiro</v>
      </c>
      <c r="C4483" s="7" t="s">
        <v>1360</v>
      </c>
      <c r="D4483" s="25">
        <v>11666.76</v>
      </c>
      <c r="E4483" s="7"/>
      <c r="F4483" s="7"/>
      <c r="G4483" s="7"/>
      <c r="H4483" s="7"/>
      <c r="I4483" s="7"/>
      <c r="J4483" s="7"/>
      <c r="K4483" s="7"/>
      <c r="L4483" s="7"/>
      <c r="M4483" s="7"/>
    </row>
    <row r="4484" spans="1:13" x14ac:dyDescent="0.25">
      <c r="A4484" s="12" t="str">
        <f t="shared" si="140"/>
        <v>Total do Dia :</v>
      </c>
      <c r="B4484" s="12" t="str">
        <f t="shared" si="141"/>
        <v>Janeiro</v>
      </c>
      <c r="C4484" s="7" t="s">
        <v>1360</v>
      </c>
      <c r="D4484" s="25">
        <v>77304.13</v>
      </c>
      <c r="E4484" s="7"/>
      <c r="F4484" s="7"/>
      <c r="G4484" s="7"/>
      <c r="H4484" s="7"/>
      <c r="I4484" s="7"/>
      <c r="J4484" s="7"/>
      <c r="K4484" s="7"/>
      <c r="L4484" s="7"/>
      <c r="M4484" s="7"/>
    </row>
    <row r="4485" spans="1:13" x14ac:dyDescent="0.25">
      <c r="A4485" s="12" t="str">
        <f t="shared" si="140"/>
        <v>Total do Dia :</v>
      </c>
      <c r="B4485" s="12" t="str">
        <f t="shared" si="141"/>
        <v>Janeiro</v>
      </c>
      <c r="C4485" s="7" t="s">
        <v>1360</v>
      </c>
      <c r="D4485" s="25">
        <v>191.3</v>
      </c>
      <c r="E4485" s="7"/>
      <c r="F4485" s="7"/>
      <c r="G4485" s="7"/>
      <c r="H4485" s="7"/>
      <c r="I4485" s="7"/>
      <c r="J4485" s="7"/>
      <c r="K4485" s="7"/>
      <c r="L4485" s="7"/>
      <c r="M4485" s="7"/>
    </row>
    <row r="4486" spans="1:13" x14ac:dyDescent="0.25">
      <c r="A4486" s="12" t="str">
        <f t="shared" si="140"/>
        <v>Total do Dia :</v>
      </c>
      <c r="B4486" s="12" t="str">
        <f t="shared" si="141"/>
        <v>Janeiro</v>
      </c>
      <c r="C4486" s="7" t="s">
        <v>1360</v>
      </c>
      <c r="D4486" s="25">
        <v>64066.71</v>
      </c>
      <c r="E4486" s="7"/>
      <c r="F4486" s="7"/>
      <c r="G4486" s="7"/>
      <c r="H4486" s="7"/>
      <c r="I4486" s="7"/>
      <c r="J4486" s="7"/>
      <c r="K4486" s="7"/>
      <c r="L4486" s="7"/>
      <c r="M4486" s="7"/>
    </row>
    <row r="4487" spans="1:13" x14ac:dyDescent="0.25">
      <c r="A4487" s="12" t="str">
        <f t="shared" si="140"/>
        <v>Total do Dia :</v>
      </c>
      <c r="B4487" s="12" t="str">
        <f t="shared" si="141"/>
        <v>Janeiro</v>
      </c>
      <c r="C4487" s="7" t="s">
        <v>1360</v>
      </c>
      <c r="D4487" s="25">
        <v>152274.96</v>
      </c>
      <c r="E4487" s="7"/>
      <c r="F4487" s="7"/>
      <c r="G4487" s="7"/>
      <c r="H4487" s="7"/>
      <c r="I4487" s="7"/>
      <c r="J4487" s="7"/>
      <c r="K4487" s="7"/>
      <c r="L4487" s="7"/>
      <c r="M4487" s="7"/>
    </row>
    <row r="4488" spans="1:13" x14ac:dyDescent="0.25">
      <c r="A4488" s="12" t="str">
        <f t="shared" si="140"/>
        <v>Total do Dia :</v>
      </c>
      <c r="B4488" s="12" t="str">
        <f t="shared" si="141"/>
        <v>Janeiro</v>
      </c>
      <c r="C4488" s="7" t="s">
        <v>1360</v>
      </c>
      <c r="D4488" s="25">
        <v>6783.72</v>
      </c>
      <c r="E4488" s="7"/>
      <c r="F4488" s="7"/>
      <c r="G4488" s="7"/>
      <c r="H4488" s="7"/>
      <c r="I4488" s="7"/>
      <c r="J4488" s="7"/>
      <c r="K4488" s="7"/>
      <c r="L4488" s="7"/>
      <c r="M4488" s="7"/>
    </row>
    <row r="4489" spans="1:13" x14ac:dyDescent="0.25">
      <c r="A4489" s="12" t="str">
        <f t="shared" si="140"/>
        <v>Total do Dia :</v>
      </c>
      <c r="B4489" s="12" t="str">
        <f t="shared" si="141"/>
        <v>Janeiro</v>
      </c>
      <c r="C4489" s="7" t="s">
        <v>1360</v>
      </c>
      <c r="D4489" s="25">
        <v>16717.23</v>
      </c>
      <c r="E4489" s="7"/>
      <c r="F4489" s="7"/>
      <c r="G4489" s="7"/>
      <c r="H4489" s="7"/>
      <c r="I4489" s="7"/>
      <c r="J4489" s="7"/>
      <c r="K4489" s="7"/>
      <c r="L4489" s="7"/>
      <c r="M4489" s="7"/>
    </row>
    <row r="4490" spans="1:13" x14ac:dyDescent="0.25">
      <c r="A4490" s="12" t="str">
        <f t="shared" si="140"/>
        <v>Total do Dia :</v>
      </c>
      <c r="B4490" s="12" t="str">
        <f t="shared" si="141"/>
        <v>Janeiro</v>
      </c>
      <c r="C4490" s="7" t="s">
        <v>1360</v>
      </c>
      <c r="D4490" s="25">
        <v>1896.26</v>
      </c>
      <c r="E4490" s="7"/>
      <c r="F4490" s="7"/>
      <c r="G4490" s="7"/>
      <c r="H4490" s="7"/>
      <c r="I4490" s="7"/>
      <c r="J4490" s="7"/>
      <c r="K4490" s="7"/>
      <c r="L4490" s="7"/>
      <c r="M4490" s="7"/>
    </row>
    <row r="4491" spans="1:13" x14ac:dyDescent="0.25">
      <c r="A4491" s="12" t="str">
        <f t="shared" si="140"/>
        <v>Total do Dia :</v>
      </c>
      <c r="B4491" s="12" t="str">
        <f t="shared" si="141"/>
        <v>Janeiro</v>
      </c>
      <c r="C4491" s="7" t="s">
        <v>1360</v>
      </c>
      <c r="D4491" s="25">
        <v>106781.25</v>
      </c>
      <c r="E4491" s="7"/>
      <c r="F4491" s="7"/>
      <c r="G4491" s="7"/>
      <c r="H4491" s="7"/>
      <c r="I4491" s="7"/>
      <c r="J4491" s="7"/>
      <c r="K4491" s="7"/>
      <c r="L4491" s="7"/>
      <c r="M4491" s="7"/>
    </row>
    <row r="4492" spans="1:13" x14ac:dyDescent="0.25">
      <c r="A4492" s="12" t="str">
        <f t="shared" si="140"/>
        <v>Total do Dia :</v>
      </c>
      <c r="B4492" s="12" t="str">
        <f t="shared" si="141"/>
        <v>Janeiro</v>
      </c>
      <c r="C4492" s="7" t="s">
        <v>1360</v>
      </c>
      <c r="D4492" s="25">
        <v>317.93</v>
      </c>
      <c r="E4492" s="7"/>
      <c r="F4492" s="7"/>
      <c r="G4492" s="7"/>
      <c r="H4492" s="7"/>
      <c r="I4492" s="7"/>
      <c r="J4492" s="7"/>
      <c r="K4492" s="7"/>
      <c r="L4492" s="7"/>
      <c r="M4492" s="7"/>
    </row>
    <row r="4493" spans="1:13" x14ac:dyDescent="0.25">
      <c r="A4493" s="12" t="str">
        <f t="shared" si="140"/>
        <v>Total do Dia :</v>
      </c>
      <c r="B4493" s="12" t="str">
        <f t="shared" si="141"/>
        <v>Janeiro</v>
      </c>
      <c r="C4493" s="7" t="s">
        <v>1360</v>
      </c>
      <c r="D4493" s="25">
        <v>133210.42000000001</v>
      </c>
      <c r="E4493" s="7"/>
      <c r="F4493" s="7"/>
      <c r="G4493" s="7"/>
      <c r="H4493" s="7"/>
      <c r="I4493" s="7"/>
      <c r="J4493" s="7"/>
      <c r="K4493" s="7"/>
      <c r="L4493" s="7"/>
      <c r="M4493" s="7"/>
    </row>
    <row r="4494" spans="1:13" x14ac:dyDescent="0.25">
      <c r="A4494" s="12" t="str">
        <f t="shared" si="140"/>
        <v>Total do Dia :</v>
      </c>
      <c r="B4494" s="12" t="str">
        <f t="shared" si="141"/>
        <v>Janeiro</v>
      </c>
      <c r="C4494" s="7" t="s">
        <v>1360</v>
      </c>
      <c r="D4494" s="25">
        <v>113433.27</v>
      </c>
      <c r="E4494" s="7"/>
      <c r="F4494" s="7"/>
      <c r="G4494" s="7"/>
      <c r="H4494" s="7"/>
      <c r="I4494" s="7"/>
      <c r="J4494" s="7"/>
      <c r="K4494" s="7"/>
      <c r="L4494" s="7"/>
      <c r="M4494" s="7"/>
    </row>
    <row r="4495" spans="1:13" x14ac:dyDescent="0.25">
      <c r="A4495" s="12" t="str">
        <f t="shared" si="140"/>
        <v>Total do Dia :</v>
      </c>
      <c r="B4495" s="12" t="str">
        <f t="shared" si="141"/>
        <v>Janeiro</v>
      </c>
      <c r="C4495" s="7" t="s">
        <v>1360</v>
      </c>
      <c r="D4495" s="25">
        <v>45793.4</v>
      </c>
      <c r="E4495" s="7"/>
      <c r="F4495" s="7"/>
      <c r="G4495" s="7"/>
      <c r="H4495" s="7"/>
      <c r="I4495" s="7"/>
      <c r="J4495" s="7"/>
      <c r="K4495" s="7"/>
      <c r="L4495" s="7"/>
      <c r="M4495" s="7"/>
    </row>
    <row r="4496" spans="1:13" x14ac:dyDescent="0.25">
      <c r="A4496" s="12" t="str">
        <f t="shared" si="140"/>
        <v>Total do Dia :</v>
      </c>
      <c r="B4496" s="12" t="str">
        <f t="shared" si="141"/>
        <v>Janeiro</v>
      </c>
      <c r="C4496" s="7" t="s">
        <v>1360</v>
      </c>
      <c r="D4496" s="25">
        <v>61483.66</v>
      </c>
      <c r="E4496" s="7"/>
      <c r="F4496" s="7"/>
      <c r="G4496" s="7"/>
      <c r="H4496" s="7"/>
      <c r="I4496" s="7"/>
      <c r="J4496" s="7"/>
      <c r="K4496" s="7"/>
      <c r="L4496" s="7"/>
      <c r="M4496" s="7"/>
    </row>
    <row r="4497" spans="1:13" x14ac:dyDescent="0.25">
      <c r="A4497" s="12" t="str">
        <f t="shared" si="140"/>
        <v>Total do Dia :</v>
      </c>
      <c r="B4497" s="12" t="str">
        <f t="shared" si="141"/>
        <v>Janeiro</v>
      </c>
      <c r="C4497" s="7" t="s">
        <v>1360</v>
      </c>
      <c r="D4497" s="25">
        <v>6888.34</v>
      </c>
      <c r="E4497" s="7"/>
      <c r="F4497" s="7"/>
      <c r="G4497" s="7"/>
      <c r="H4497" s="7"/>
      <c r="I4497" s="7"/>
      <c r="J4497" s="7"/>
      <c r="K4497" s="7"/>
      <c r="L4497" s="7"/>
      <c r="M4497" s="7"/>
    </row>
    <row r="4498" spans="1:13" x14ac:dyDescent="0.25">
      <c r="A4498" s="12" t="str">
        <f t="shared" si="140"/>
        <v>Total do Dia :</v>
      </c>
      <c r="B4498" s="12" t="str">
        <f t="shared" si="141"/>
        <v>Janeiro</v>
      </c>
      <c r="C4498" s="7" t="s">
        <v>1360</v>
      </c>
      <c r="D4498" s="25">
        <v>233189.17</v>
      </c>
      <c r="E4498" s="7"/>
      <c r="F4498" s="7"/>
      <c r="G4498" s="7"/>
      <c r="H4498" s="7"/>
      <c r="I4498" s="7"/>
      <c r="J4498" s="7"/>
      <c r="K4498" s="7"/>
      <c r="L4498" s="7"/>
      <c r="M4498" s="7"/>
    </row>
    <row r="4499" spans="1:13" x14ac:dyDescent="0.25">
      <c r="A4499" s="12" t="str">
        <f t="shared" si="140"/>
        <v>Total do Mês:</v>
      </c>
      <c r="B4499" s="12" t="str">
        <f t="shared" si="141"/>
        <v>Janeiro</v>
      </c>
      <c r="C4499" s="7" t="s">
        <v>1655</v>
      </c>
      <c r="D4499" s="25">
        <v>1496176.14</v>
      </c>
      <c r="E4499" s="7"/>
      <c r="F4499" s="7"/>
      <c r="G4499" s="7"/>
      <c r="H4499" s="7"/>
      <c r="I4499" s="7"/>
      <c r="J4499" s="7"/>
      <c r="K4499" s="7"/>
      <c r="L4499" s="7"/>
      <c r="M4499" s="7"/>
    </row>
    <row r="4500" spans="1:13" x14ac:dyDescent="0.25">
      <c r="A4500" s="12" t="str">
        <f t="shared" si="140"/>
        <v>Total do Mês:</v>
      </c>
      <c r="B4500" s="12" t="str">
        <f t="shared" si="141"/>
        <v>Janeiro</v>
      </c>
      <c r="C4500" s="7" t="s">
        <v>1655</v>
      </c>
      <c r="D4500" s="25">
        <v>1410226.16</v>
      </c>
      <c r="E4500" s="7"/>
      <c r="F4500" s="7"/>
      <c r="G4500" s="7"/>
      <c r="H4500" s="7"/>
      <c r="I4500" s="7"/>
      <c r="J4500" s="7"/>
      <c r="K4500" s="7"/>
      <c r="L4500" s="7"/>
      <c r="M4500" s="7"/>
    </row>
    <row r="4501" spans="1:13" x14ac:dyDescent="0.25">
      <c r="A4501" s="12" t="str">
        <f t="shared" si="140"/>
        <v>Total do Mês:</v>
      </c>
      <c r="B4501" s="12" t="str">
        <f t="shared" si="141"/>
        <v>Janeiro</v>
      </c>
      <c r="C4501" s="7" t="s">
        <v>1655</v>
      </c>
      <c r="D4501" s="25">
        <v>1377798.54</v>
      </c>
      <c r="E4501" s="7"/>
      <c r="F4501" s="7"/>
      <c r="G4501" s="7"/>
      <c r="H4501" s="7"/>
      <c r="I4501" s="7"/>
      <c r="J4501" s="7"/>
      <c r="K4501" s="7"/>
      <c r="L4501" s="7"/>
      <c r="M4501" s="7"/>
    </row>
    <row r="4502" spans="1:13" x14ac:dyDescent="0.25">
      <c r="A4502" s="12" t="str">
        <f t="shared" si="140"/>
        <v>Total do Mês:</v>
      </c>
      <c r="B4502" s="12" t="str">
        <f t="shared" si="141"/>
        <v>Janeiro</v>
      </c>
      <c r="C4502" s="7" t="s">
        <v>1655</v>
      </c>
      <c r="D4502" s="25">
        <v>1493665.33</v>
      </c>
      <c r="E4502" s="7"/>
      <c r="F4502" s="7"/>
      <c r="G4502" s="7"/>
      <c r="H4502" s="7"/>
      <c r="I4502" s="7"/>
      <c r="J4502" s="7"/>
      <c r="K4502" s="7"/>
      <c r="L4502" s="7"/>
      <c r="M4502" s="7"/>
    </row>
    <row r="4503" spans="1:13" x14ac:dyDescent="0.25">
      <c r="A4503" s="12" t="str">
        <f t="shared" si="140"/>
        <v>Total do Mês:</v>
      </c>
      <c r="B4503" s="12" t="str">
        <f t="shared" si="141"/>
        <v>Janeiro</v>
      </c>
      <c r="C4503" s="7" t="s">
        <v>1655</v>
      </c>
      <c r="D4503" s="25">
        <v>1316647.54</v>
      </c>
      <c r="E4503" s="7"/>
      <c r="F4503" s="7"/>
      <c r="G4503" s="7"/>
      <c r="H4503" s="7"/>
      <c r="I4503" s="7"/>
      <c r="J4503" s="7"/>
      <c r="K4503" s="7"/>
      <c r="L4503" s="7"/>
      <c r="M4503" s="7"/>
    </row>
    <row r="4504" spans="1:13" x14ac:dyDescent="0.25">
      <c r="A4504" s="12" t="str">
        <f t="shared" si="140"/>
        <v>Total do Mês:</v>
      </c>
      <c r="B4504" s="12" t="str">
        <f t="shared" si="141"/>
        <v>Janeiro</v>
      </c>
      <c r="C4504" s="7" t="s">
        <v>1655</v>
      </c>
      <c r="D4504" s="25">
        <v>1476060.49</v>
      </c>
      <c r="E4504" s="7"/>
      <c r="F4504" s="7"/>
      <c r="G4504" s="7"/>
      <c r="H4504" s="7"/>
      <c r="I4504" s="7"/>
      <c r="J4504" s="7"/>
      <c r="K4504" s="7"/>
      <c r="L4504" s="7"/>
      <c r="M4504" s="7"/>
    </row>
    <row r="4505" spans="1:13" x14ac:dyDescent="0.25">
      <c r="A4505" s="12" t="str">
        <f t="shared" si="140"/>
        <v>Total do Mês:</v>
      </c>
      <c r="B4505" s="12" t="str">
        <f t="shared" si="141"/>
        <v>Janeiro</v>
      </c>
      <c r="C4505" s="7" t="s">
        <v>1655</v>
      </c>
      <c r="D4505" s="25">
        <v>1695242.15</v>
      </c>
      <c r="E4505" s="7"/>
      <c r="F4505" s="7"/>
      <c r="G4505" s="7"/>
      <c r="H4505" s="7"/>
      <c r="I4505" s="7"/>
      <c r="J4505" s="7"/>
      <c r="K4505" s="7"/>
      <c r="L4505" s="7"/>
      <c r="M4505" s="7"/>
    </row>
    <row r="4506" spans="1:13" x14ac:dyDescent="0.25">
      <c r="A4506" s="12" t="str">
        <f t="shared" si="140"/>
        <v>Total do Mês:</v>
      </c>
      <c r="B4506" s="12" t="str">
        <f t="shared" si="141"/>
        <v>Janeiro</v>
      </c>
      <c r="C4506" s="7" t="s">
        <v>1655</v>
      </c>
      <c r="D4506" s="25">
        <v>1483226.17</v>
      </c>
      <c r="E4506" s="7"/>
      <c r="F4506" s="7"/>
      <c r="G4506" s="7"/>
      <c r="H4506" s="7"/>
      <c r="I4506" s="7"/>
      <c r="J4506" s="7"/>
      <c r="K4506" s="7"/>
      <c r="L4506" s="7"/>
      <c r="M4506" s="7"/>
    </row>
    <row r="4507" spans="1:13" x14ac:dyDescent="0.25">
      <c r="A4507" s="12" t="str">
        <f t="shared" ref="A4507:A4550" si="142">$C4507&amp;$E4507&amp;$G4507&amp;$F4507</f>
        <v>Total do Mês:</v>
      </c>
      <c r="B4507" s="12" t="str">
        <f t="shared" si="141"/>
        <v>Janeiro</v>
      </c>
      <c r="C4507" s="7" t="s">
        <v>1655</v>
      </c>
      <c r="D4507" s="25">
        <v>1495679.36</v>
      </c>
      <c r="E4507" s="7"/>
      <c r="F4507" s="7"/>
      <c r="G4507" s="7"/>
      <c r="H4507" s="7"/>
      <c r="I4507" s="7"/>
      <c r="J4507" s="7"/>
      <c r="K4507" s="7"/>
      <c r="L4507" s="7"/>
      <c r="M4507" s="7"/>
    </row>
    <row r="4508" spans="1:13" x14ac:dyDescent="0.25">
      <c r="A4508" s="12" t="str">
        <f t="shared" si="142"/>
        <v>TVM0196994SECRETARIA DE ESTADO DA FAZENDAMUL46121</v>
      </c>
      <c r="B4508" s="12" t="str">
        <f t="shared" si="141"/>
        <v>Abril</v>
      </c>
      <c r="C4508" s="8" t="s">
        <v>2221</v>
      </c>
      <c r="D4508" s="8" t="s">
        <v>1491</v>
      </c>
      <c r="E4508" s="8" t="s">
        <v>1776</v>
      </c>
      <c r="F4508" s="23">
        <v>46121</v>
      </c>
      <c r="G4508" s="8" t="s">
        <v>1491</v>
      </c>
      <c r="H4508" s="23">
        <v>46127</v>
      </c>
      <c r="I4508" s="23">
        <v>46121</v>
      </c>
      <c r="J4508" s="10">
        <v>880.41</v>
      </c>
      <c r="K4508" s="10">
        <v>176.08</v>
      </c>
      <c r="L4508" s="24">
        <v>0</v>
      </c>
      <c r="M4508" s="10">
        <v>704.33</v>
      </c>
    </row>
    <row r="4509" spans="1:13" x14ac:dyDescent="0.25">
      <c r="A4509" s="12" t="str">
        <f t="shared" si="142"/>
        <v>VA1212026DEPARTAMENTO ESTADUAL DE TRANSITO DE PERNAMBUCOBL46071,425</v>
      </c>
      <c r="B4509" s="12" t="str">
        <f t="shared" si="141"/>
        <v>Fevereiro</v>
      </c>
      <c r="C4509" s="8" t="s">
        <v>1826</v>
      </c>
      <c r="D4509" s="8" t="s">
        <v>664</v>
      </c>
      <c r="E4509" s="8" t="s">
        <v>1724</v>
      </c>
      <c r="F4509" s="23">
        <v>46071.425000000003</v>
      </c>
      <c r="G4509" s="8" t="s">
        <v>1463</v>
      </c>
      <c r="H4509" s="23">
        <v>46072</v>
      </c>
      <c r="I4509" s="23">
        <v>46071.425000000003</v>
      </c>
      <c r="J4509" s="10">
        <v>49.3</v>
      </c>
      <c r="K4509" s="10">
        <v>0</v>
      </c>
      <c r="L4509" s="24">
        <v>0</v>
      </c>
      <c r="M4509" s="10">
        <v>49.3</v>
      </c>
    </row>
    <row r="4510" spans="1:13" x14ac:dyDescent="0.25">
      <c r="A4510" s="12" t="str">
        <f t="shared" si="142"/>
        <v>VA1432026DEPARTAMENTO ESTADUAL DE TRANSITO DE PERNAMBUCOBL46084,38125</v>
      </c>
      <c r="B4510" s="12" t="str">
        <f t="shared" si="141"/>
        <v>Março</v>
      </c>
      <c r="C4510" s="8" t="s">
        <v>1944</v>
      </c>
      <c r="D4510" s="8" t="s">
        <v>664</v>
      </c>
      <c r="E4510" s="8" t="s">
        <v>1724</v>
      </c>
      <c r="F4510" s="23">
        <v>46084.381249999999</v>
      </c>
      <c r="G4510" s="8" t="s">
        <v>1463</v>
      </c>
      <c r="H4510" s="23">
        <v>46084</v>
      </c>
      <c r="I4510" s="23">
        <v>46084.381249999999</v>
      </c>
      <c r="J4510" s="10">
        <v>49.3</v>
      </c>
      <c r="K4510" s="10">
        <v>0</v>
      </c>
      <c r="L4510" s="24">
        <v>0</v>
      </c>
      <c r="M4510" s="10">
        <v>49.3</v>
      </c>
    </row>
    <row r="4511" spans="1:13" x14ac:dyDescent="0.25">
      <c r="A4511" s="12" t="str">
        <f t="shared" si="142"/>
        <v>VENDAFE03/26MGHORIZONTE EXPRESS TRANSPORTES LTDADEP46083,4513888889</v>
      </c>
      <c r="B4511" s="12" t="str">
        <f t="shared" si="141"/>
        <v>Março</v>
      </c>
      <c r="C4511" s="8" t="s">
        <v>1961</v>
      </c>
      <c r="D4511" s="8" t="s">
        <v>664</v>
      </c>
      <c r="E4511" s="8" t="s">
        <v>1350</v>
      </c>
      <c r="F4511" s="23">
        <v>46083.451388888891</v>
      </c>
      <c r="G4511" s="8" t="s">
        <v>1043</v>
      </c>
      <c r="H4511" s="23">
        <v>46086</v>
      </c>
      <c r="I4511" s="23">
        <v>46083.451388888891</v>
      </c>
      <c r="J4511" s="10">
        <v>3407.29</v>
      </c>
      <c r="K4511" s="10">
        <v>0</v>
      </c>
      <c r="L4511" s="24">
        <v>0</v>
      </c>
      <c r="M4511" s="10">
        <v>3407.29</v>
      </c>
    </row>
    <row r="4512" spans="1:13" x14ac:dyDescent="0.25">
      <c r="A4512" s="12" t="str">
        <f t="shared" si="142"/>
        <v>VENDAFE05-26MGHORIZONTE EXPRESS TRANSPORTES LTDADEP46136,3958333333</v>
      </c>
      <c r="B4512" s="12" t="str">
        <f t="shared" si="141"/>
        <v>Maio</v>
      </c>
      <c r="C4512" s="8" t="s">
        <v>2349</v>
      </c>
      <c r="D4512" s="8" t="s">
        <v>664</v>
      </c>
      <c r="E4512" s="8" t="s">
        <v>1350</v>
      </c>
      <c r="F4512" s="23">
        <v>46136.395833333336</v>
      </c>
      <c r="G4512" s="8" t="s">
        <v>1043</v>
      </c>
      <c r="H4512" s="23">
        <v>46147</v>
      </c>
      <c r="I4512" s="23">
        <v>46136.395833333336</v>
      </c>
      <c r="J4512" s="10">
        <v>2208.6999999999998</v>
      </c>
      <c r="K4512" s="10">
        <v>0</v>
      </c>
      <c r="L4512" s="24">
        <v>0</v>
      </c>
      <c r="M4512" s="10">
        <v>2208.6999999999998</v>
      </c>
    </row>
    <row r="4513" spans="1:13" x14ac:dyDescent="0.25">
      <c r="A4513" s="12" t="str">
        <f t="shared" si="142"/>
        <v>VENDAFERI07/26HORIZONTE EXPRESS TRANSPORTES LTDADEP46204,4270833333</v>
      </c>
      <c r="B4513" s="12" t="str">
        <f t="shared" si="141"/>
        <v>Julho</v>
      </c>
      <c r="C4513" s="8" t="s">
        <v>2709</v>
      </c>
      <c r="D4513" s="8" t="s">
        <v>664</v>
      </c>
      <c r="E4513" s="8" t="s">
        <v>1350</v>
      </c>
      <c r="F4513" s="23">
        <v>46204.427083333336</v>
      </c>
      <c r="G4513" s="8" t="s">
        <v>1043</v>
      </c>
      <c r="H4513" s="23">
        <v>46209</v>
      </c>
      <c r="I4513" s="23">
        <v>46204.427083333336</v>
      </c>
      <c r="J4513" s="10">
        <v>13429.24</v>
      </c>
      <c r="K4513" s="10">
        <v>0</v>
      </c>
      <c r="L4513" s="24">
        <v>0</v>
      </c>
      <c r="M4513" s="10">
        <v>13429.24</v>
      </c>
    </row>
    <row r="4514" spans="1:13" x14ac:dyDescent="0.25">
      <c r="A4514" s="12" t="str">
        <f t="shared" si="142"/>
        <v>VT02/26MGHORIZONTE EXPRESS TRANSPORTES LTDABNF46049,6138888889</v>
      </c>
      <c r="B4514" s="12" t="str">
        <f t="shared" si="141"/>
        <v>Janeiro</v>
      </c>
      <c r="C4514" s="8" t="s">
        <v>1644</v>
      </c>
      <c r="D4514" s="8" t="s">
        <v>664</v>
      </c>
      <c r="E4514" s="8" t="s">
        <v>1350</v>
      </c>
      <c r="F4514" s="23">
        <v>46049.613888888889</v>
      </c>
      <c r="G4514" s="8" t="s">
        <v>1041</v>
      </c>
      <c r="H4514" s="23">
        <v>46052</v>
      </c>
      <c r="I4514" s="23">
        <v>46049.613888888889</v>
      </c>
      <c r="J4514" s="10">
        <v>48440.1</v>
      </c>
      <c r="K4514" s="10">
        <v>0</v>
      </c>
      <c r="L4514" s="24">
        <v>0</v>
      </c>
      <c r="M4514" s="10">
        <v>48440.1</v>
      </c>
    </row>
    <row r="4515" spans="1:13" x14ac:dyDescent="0.25">
      <c r="A4515" s="12" t="str">
        <f t="shared" si="142"/>
        <v>VT03/26MGHORIZONTE EXPRESS TRANSPORTES LTDABNF46078,4236111111</v>
      </c>
      <c r="B4515" s="12" t="str">
        <f t="shared" si="141"/>
        <v>Fevereiro</v>
      </c>
      <c r="C4515" s="8" t="s">
        <v>1930</v>
      </c>
      <c r="D4515" s="8" t="s">
        <v>664</v>
      </c>
      <c r="E4515" s="8" t="s">
        <v>1350</v>
      </c>
      <c r="F4515" s="23">
        <v>46078.423611111109</v>
      </c>
      <c r="G4515" s="8" t="s">
        <v>1041</v>
      </c>
      <c r="H4515" s="23">
        <v>46080</v>
      </c>
      <c r="I4515" s="23">
        <v>46078.423611111109</v>
      </c>
      <c r="J4515" s="10">
        <v>51871.8</v>
      </c>
      <c r="K4515" s="10">
        <v>0</v>
      </c>
      <c r="L4515" s="24">
        <v>0</v>
      </c>
      <c r="M4515" s="10">
        <v>51871.8</v>
      </c>
    </row>
    <row r="4516" spans="1:13" x14ac:dyDescent="0.25">
      <c r="A4516" s="12" t="str">
        <f t="shared" si="142"/>
        <v>VT05/2026MGHORIZONTE EXPRESS TRANSPORTES LTDABNF46136,4</v>
      </c>
      <c r="B4516" s="12" t="str">
        <f t="shared" si="141"/>
        <v>Abril</v>
      </c>
      <c r="C4516" s="8" t="s">
        <v>2318</v>
      </c>
      <c r="D4516" s="8" t="s">
        <v>664</v>
      </c>
      <c r="E4516" s="8" t="s">
        <v>1350</v>
      </c>
      <c r="F4516" s="23">
        <v>46136.4</v>
      </c>
      <c r="G4516" s="8" t="s">
        <v>1041</v>
      </c>
      <c r="H4516" s="23">
        <v>46142</v>
      </c>
      <c r="I4516" s="23">
        <v>46136.4</v>
      </c>
      <c r="J4516" s="10">
        <v>50654.9</v>
      </c>
      <c r="K4516" s="10">
        <v>0</v>
      </c>
      <c r="L4516" s="24">
        <v>0</v>
      </c>
      <c r="M4516" s="10">
        <v>50654.9</v>
      </c>
    </row>
    <row r="4517" spans="1:13" x14ac:dyDescent="0.25">
      <c r="A4517" s="12" t="str">
        <f t="shared" si="142"/>
        <v>VT06/26MGHORIZONTE EXPRESS TRANSPORTES LTDABNF46167,5076388889</v>
      </c>
      <c r="B4517" s="12" t="str">
        <f t="shared" si="141"/>
        <v>Junho</v>
      </c>
      <c r="C4517" s="8" t="s">
        <v>2517</v>
      </c>
      <c r="D4517" s="8" t="s">
        <v>664</v>
      </c>
      <c r="E4517" s="8" t="s">
        <v>1350</v>
      </c>
      <c r="F4517" s="23">
        <v>46167.507638888892</v>
      </c>
      <c r="G4517" s="8" t="s">
        <v>1041</v>
      </c>
      <c r="H4517" s="23">
        <v>46174</v>
      </c>
      <c r="I4517" s="23">
        <v>46167.507638888892</v>
      </c>
      <c r="J4517" s="10">
        <v>56021</v>
      </c>
      <c r="K4517" s="10">
        <v>0</v>
      </c>
      <c r="L4517" s="24">
        <v>0</v>
      </c>
      <c r="M4517" s="10">
        <v>56021</v>
      </c>
    </row>
    <row r="4518" spans="1:13" x14ac:dyDescent="0.25">
      <c r="A4518" s="12" t="str">
        <f t="shared" si="142"/>
        <v>VT08/26MGHORIZONTE EXPRESS TRANSPORTES LTDABNF46231,4430555556</v>
      </c>
      <c r="B4518" s="12" t="str">
        <f t="shared" si="141"/>
        <v>Julho</v>
      </c>
      <c r="C4518" s="8" t="s">
        <v>2882</v>
      </c>
      <c r="D4518" s="8" t="s">
        <v>664</v>
      </c>
      <c r="E4518" s="8" t="s">
        <v>1350</v>
      </c>
      <c r="F4518" s="23">
        <v>46231.443055555559</v>
      </c>
      <c r="G4518" s="8" t="s">
        <v>1041</v>
      </c>
      <c r="H4518" s="23">
        <v>46234</v>
      </c>
      <c r="I4518" s="23">
        <v>46231.443055555559</v>
      </c>
      <c r="J4518" s="10">
        <v>60170.9</v>
      </c>
      <c r="K4518" s="10">
        <v>0</v>
      </c>
      <c r="L4518" s="24">
        <v>0</v>
      </c>
      <c r="M4518" s="10">
        <v>60170.9</v>
      </c>
    </row>
    <row r="4519" spans="1:13" x14ac:dyDescent="0.25">
      <c r="A4519" s="12" t="str">
        <f t="shared" si="142"/>
        <v>VT09/2026MGHORIZONTE EXPRESS TRANSPORTES LTDABNF46255,3673611111</v>
      </c>
      <c r="B4519" s="12" t="str">
        <f t="shared" si="141"/>
        <v>Setembro</v>
      </c>
      <c r="C4519" s="8" t="s">
        <v>3047</v>
      </c>
      <c r="D4519" s="8" t="s">
        <v>664</v>
      </c>
      <c r="E4519" s="8" t="s">
        <v>1350</v>
      </c>
      <c r="F4519" s="23">
        <v>46255.367361111108</v>
      </c>
      <c r="G4519" s="8" t="s">
        <v>1041</v>
      </c>
      <c r="H4519" s="23">
        <v>46266</v>
      </c>
      <c r="I4519" s="23">
        <v>46255.367361111108</v>
      </c>
      <c r="J4519" s="10">
        <v>56801.8</v>
      </c>
      <c r="K4519" s="10">
        <v>0</v>
      </c>
      <c r="L4519" s="24">
        <v>0</v>
      </c>
      <c r="M4519" s="10">
        <v>56801.8</v>
      </c>
    </row>
    <row r="4520" spans="1:13" x14ac:dyDescent="0.25">
      <c r="A4520" s="12" t="str">
        <f t="shared" si="142"/>
        <v>VT10/26MGHORIZONTE EXPRESS TRANSPORTES LTDADEP46293,6909722222</v>
      </c>
      <c r="B4520" s="12" t="str">
        <f t="shared" si="141"/>
        <v>Outubro</v>
      </c>
      <c r="C4520" s="8" t="s">
        <v>3186</v>
      </c>
      <c r="D4520" s="8" t="s">
        <v>664</v>
      </c>
      <c r="E4520" s="8" t="s">
        <v>1350</v>
      </c>
      <c r="F4520" s="23">
        <v>46293.690972222219</v>
      </c>
      <c r="G4520" s="8" t="s">
        <v>1043</v>
      </c>
      <c r="H4520" s="23">
        <v>46296</v>
      </c>
      <c r="I4520" s="23">
        <v>46293.690972222219</v>
      </c>
      <c r="J4520" s="10">
        <v>58555.1</v>
      </c>
      <c r="K4520" s="10">
        <v>0</v>
      </c>
      <c r="L4520" s="24">
        <v>0</v>
      </c>
      <c r="M4520" s="10">
        <v>58555.1</v>
      </c>
    </row>
    <row r="4521" spans="1:13" x14ac:dyDescent="0.25">
      <c r="A4521" s="12" t="str">
        <f t="shared" si="142"/>
        <v>VTCOMP02/26MGHORIZONTE EXPRESS TRANSPORTES LTDABNF46052,5965277778</v>
      </c>
      <c r="B4521" s="12" t="str">
        <f t="shared" si="141"/>
        <v>Fevereiro</v>
      </c>
      <c r="C4521" s="8" t="s">
        <v>1681</v>
      </c>
      <c r="D4521" s="8" t="s">
        <v>664</v>
      </c>
      <c r="E4521" s="8" t="s">
        <v>1350</v>
      </c>
      <c r="F4521" s="23">
        <v>46052.59652777778</v>
      </c>
      <c r="G4521" s="8" t="s">
        <v>1041</v>
      </c>
      <c r="H4521" s="23">
        <v>46059</v>
      </c>
      <c r="I4521" s="23">
        <v>46052.59652777778</v>
      </c>
      <c r="J4521" s="10">
        <v>399</v>
      </c>
      <c r="K4521" s="10">
        <v>0</v>
      </c>
      <c r="L4521" s="24">
        <v>0</v>
      </c>
      <c r="M4521" s="10">
        <v>399</v>
      </c>
    </row>
    <row r="4522" spans="1:13" x14ac:dyDescent="0.25">
      <c r="A4522" s="12" t="str">
        <f t="shared" si="142"/>
        <v>VTCOMP05/26MGHORIZONTE EXPRESS TRANSPORTES LTDABNF46141,6201388889</v>
      </c>
      <c r="B4522" s="12" t="str">
        <f t="shared" si="141"/>
        <v>Maio</v>
      </c>
      <c r="C4522" s="8" t="s">
        <v>2350</v>
      </c>
      <c r="D4522" s="8" t="s">
        <v>664</v>
      </c>
      <c r="E4522" s="8" t="s">
        <v>1350</v>
      </c>
      <c r="F4522" s="23">
        <v>46141.620138888888</v>
      </c>
      <c r="G4522" s="8" t="s">
        <v>1041</v>
      </c>
      <c r="H4522" s="23">
        <v>46147</v>
      </c>
      <c r="I4522" s="23">
        <v>46141.620138888888</v>
      </c>
      <c r="J4522" s="10">
        <v>178.8</v>
      </c>
      <c r="K4522" s="10">
        <v>0</v>
      </c>
      <c r="L4522" s="24">
        <v>0</v>
      </c>
      <c r="M4522" s="10">
        <v>178.8</v>
      </c>
    </row>
    <row r="4523" spans="1:13" x14ac:dyDescent="0.25">
      <c r="A4523" s="12" t="str">
        <f t="shared" si="142"/>
        <v>VTJULHO/26MGHORIZONTE EXPRESS TRANSPORTES LTDABNF46196,3743055556</v>
      </c>
      <c r="B4523" s="12" t="str">
        <f t="shared" si="141"/>
        <v>Julho</v>
      </c>
      <c r="C4523" s="8" t="s">
        <v>2698</v>
      </c>
      <c r="D4523" s="8" t="s">
        <v>664</v>
      </c>
      <c r="E4523" s="8" t="s">
        <v>1350</v>
      </c>
      <c r="F4523" s="23">
        <v>46196.374305555553</v>
      </c>
      <c r="G4523" s="8" t="s">
        <v>1041</v>
      </c>
      <c r="H4523" s="23">
        <v>46204</v>
      </c>
      <c r="I4523" s="23">
        <v>46196.374305555553</v>
      </c>
      <c r="J4523" s="10">
        <v>64156.3</v>
      </c>
      <c r="K4523" s="10">
        <v>0</v>
      </c>
      <c r="L4523" s="24">
        <v>0</v>
      </c>
      <c r="M4523" s="10">
        <v>64156.3</v>
      </c>
    </row>
    <row r="4524" spans="1:13" x14ac:dyDescent="0.25">
      <c r="A4524" s="12" t="str">
        <f t="shared" si="142"/>
        <v>VTMEN04/26MGHORIZONTE EXPRESS TRANSPORTES LTDADEP46106,5729166667</v>
      </c>
      <c r="B4524" s="12" t="str">
        <f t="shared" si="141"/>
        <v>Março</v>
      </c>
      <c r="C4524" s="8" t="s">
        <v>2144</v>
      </c>
      <c r="D4524" s="8" t="s">
        <v>664</v>
      </c>
      <c r="E4524" s="8" t="s">
        <v>1350</v>
      </c>
      <c r="F4524" s="23">
        <v>46106.572916666664</v>
      </c>
      <c r="G4524" s="8" t="s">
        <v>1043</v>
      </c>
      <c r="H4524" s="23">
        <v>46112</v>
      </c>
      <c r="I4524" s="23">
        <v>46106.572916666664</v>
      </c>
      <c r="J4524" s="10">
        <v>53163.5</v>
      </c>
      <c r="K4524" s="10">
        <v>0</v>
      </c>
      <c r="L4524" s="24">
        <v>0</v>
      </c>
      <c r="M4524" s="10">
        <v>53163.5</v>
      </c>
    </row>
    <row r="4525" spans="1:13" x14ac:dyDescent="0.25">
      <c r="A4525" s="12" t="str">
        <f t="shared" si="142"/>
        <v>VTNVT01/04/26HORIZONTE EXPRESS TRANSPORTES LTDABNF46114,4166666667</v>
      </c>
      <c r="B4525" s="12" t="str">
        <f t="shared" si="141"/>
        <v>Abril</v>
      </c>
      <c r="C4525" s="8" t="s">
        <v>2195</v>
      </c>
      <c r="D4525" s="8" t="s">
        <v>664</v>
      </c>
      <c r="E4525" s="8" t="s">
        <v>1350</v>
      </c>
      <c r="F4525" s="23">
        <v>46114.416666666664</v>
      </c>
      <c r="G4525" s="8" t="s">
        <v>1041</v>
      </c>
      <c r="H4525" s="23">
        <v>46119</v>
      </c>
      <c r="I4525" s="23">
        <v>46114.416666666664</v>
      </c>
      <c r="J4525" s="10">
        <v>1460</v>
      </c>
      <c r="K4525" s="10">
        <v>0</v>
      </c>
      <c r="L4525" s="24">
        <v>0</v>
      </c>
      <c r="M4525" s="10">
        <v>1460</v>
      </c>
    </row>
    <row r="4526" spans="1:13" x14ac:dyDescent="0.25">
      <c r="A4526" s="12" t="str">
        <f t="shared" si="142"/>
        <v>VTNVT01/06/26HORIZONTE EXPRESS TRANSPORTES LTDABNF46175,4895833333</v>
      </c>
      <c r="B4526" s="12" t="str">
        <f t="shared" si="141"/>
        <v>Junho</v>
      </c>
      <c r="C4526" s="8" t="s">
        <v>2547</v>
      </c>
      <c r="D4526" s="8" t="s">
        <v>664</v>
      </c>
      <c r="E4526" s="8" t="s">
        <v>1350</v>
      </c>
      <c r="F4526" s="23">
        <v>46175.489583333336</v>
      </c>
      <c r="G4526" s="8" t="s">
        <v>1041</v>
      </c>
      <c r="H4526" s="23">
        <v>46181</v>
      </c>
      <c r="I4526" s="23">
        <v>46175.489583333336</v>
      </c>
      <c r="J4526" s="10">
        <v>474.6</v>
      </c>
      <c r="K4526" s="10">
        <v>0</v>
      </c>
      <c r="L4526" s="24">
        <v>0</v>
      </c>
      <c r="M4526" s="10">
        <v>474.6</v>
      </c>
    </row>
    <row r="4527" spans="1:13" x14ac:dyDescent="0.25">
      <c r="A4527" s="12" t="str">
        <f t="shared" si="142"/>
        <v>VTNVT01/07/26HORIZONTE EXPRESS TRANSPORTES LTDABNF46205,4965277778</v>
      </c>
      <c r="B4527" s="12" t="str">
        <f t="shared" si="141"/>
        <v>Julho</v>
      </c>
      <c r="C4527" s="8" t="s">
        <v>2748</v>
      </c>
      <c r="D4527" s="8" t="s">
        <v>664</v>
      </c>
      <c r="E4527" s="8" t="s">
        <v>1350</v>
      </c>
      <c r="F4527" s="23">
        <v>46205.496527777781</v>
      </c>
      <c r="G4527" s="8" t="s">
        <v>1041</v>
      </c>
      <c r="H4527" s="23">
        <v>46211</v>
      </c>
      <c r="I4527" s="23">
        <v>46205.496527777781</v>
      </c>
      <c r="J4527" s="10">
        <v>253</v>
      </c>
      <c r="K4527" s="10">
        <v>0</v>
      </c>
      <c r="L4527" s="24">
        <v>0</v>
      </c>
      <c r="M4527" s="10">
        <v>253</v>
      </c>
    </row>
    <row r="4528" spans="1:13" x14ac:dyDescent="0.25">
      <c r="A4528" s="12" t="str">
        <f t="shared" si="142"/>
        <v>VTNVT01/09/2026HORIZONTE EXPRESS TRANSPORTES LTDABNF46273,5048611111</v>
      </c>
      <c r="B4528" s="12" t="str">
        <f t="shared" si="141"/>
        <v>Setembro</v>
      </c>
      <c r="C4528" s="8" t="s">
        <v>3089</v>
      </c>
      <c r="D4528" s="8" t="s">
        <v>664</v>
      </c>
      <c r="E4528" s="8" t="s">
        <v>1350</v>
      </c>
      <c r="F4528" s="23">
        <v>46273.504861111112</v>
      </c>
      <c r="G4528" s="8" t="s">
        <v>1041</v>
      </c>
      <c r="H4528" s="23">
        <v>46280</v>
      </c>
      <c r="I4528" s="23">
        <v>46273.504861111112</v>
      </c>
      <c r="J4528" s="10">
        <v>1131.9000000000001</v>
      </c>
      <c r="K4528" s="10">
        <v>0</v>
      </c>
      <c r="L4528" s="24">
        <v>0</v>
      </c>
      <c r="M4528" s="10">
        <v>1131.9000000000001</v>
      </c>
    </row>
    <row r="4529" spans="1:13" x14ac:dyDescent="0.25">
      <c r="A4529" s="12" t="str">
        <f t="shared" si="142"/>
        <v>VTNVT02/01/26HORIZONTE EXPRESS TRANSPORTES LTDABNF46028,6402777778</v>
      </c>
      <c r="B4529" s="12" t="str">
        <f t="shared" si="141"/>
        <v>Janeiro</v>
      </c>
      <c r="C4529" s="8" t="s">
        <v>1464</v>
      </c>
      <c r="D4529" s="8" t="s">
        <v>664</v>
      </c>
      <c r="E4529" s="8" t="s">
        <v>1350</v>
      </c>
      <c r="F4529" s="23">
        <v>46028.640277777777</v>
      </c>
      <c r="G4529" s="8" t="s">
        <v>1041</v>
      </c>
      <c r="H4529" s="23">
        <v>46031</v>
      </c>
      <c r="I4529" s="23">
        <v>46028.640277777777</v>
      </c>
      <c r="J4529" s="10">
        <v>1073.0999999999999</v>
      </c>
      <c r="K4529" s="10">
        <v>0</v>
      </c>
      <c r="L4529" s="24">
        <v>0</v>
      </c>
      <c r="M4529" s="10">
        <v>1073.0999999999999</v>
      </c>
    </row>
    <row r="4530" spans="1:13" x14ac:dyDescent="0.25">
      <c r="A4530" s="12" t="str">
        <f t="shared" si="142"/>
        <v>VTNVT02/02/26HORIZONTE EXPRESS TRANSPORTES LTDABNF46057,4319444444</v>
      </c>
      <c r="B4530" s="12" t="str">
        <f t="shared" si="141"/>
        <v>Fevereiro</v>
      </c>
      <c r="C4530" s="8" t="s">
        <v>1682</v>
      </c>
      <c r="D4530" s="8" t="s">
        <v>664</v>
      </c>
      <c r="E4530" s="8" t="s">
        <v>1350</v>
      </c>
      <c r="F4530" s="23">
        <v>46057.431944444441</v>
      </c>
      <c r="G4530" s="8" t="s">
        <v>1041</v>
      </c>
      <c r="H4530" s="23">
        <v>46059</v>
      </c>
      <c r="I4530" s="23">
        <v>46057.431944444441</v>
      </c>
      <c r="J4530" s="10">
        <v>1996.9</v>
      </c>
      <c r="K4530" s="10">
        <v>0</v>
      </c>
      <c r="L4530" s="24">
        <v>0</v>
      </c>
      <c r="M4530" s="10">
        <v>1996.9</v>
      </c>
    </row>
    <row r="4531" spans="1:13" x14ac:dyDescent="0.25">
      <c r="A4531" s="12" t="str">
        <f t="shared" si="142"/>
        <v>VTNVT02/03/26HORIZONTE EXPRESS TRANSPORTES LTDABNF46091,6895833333</v>
      </c>
      <c r="B4531" s="12" t="str">
        <f t="shared" si="141"/>
        <v>Março</v>
      </c>
      <c r="C4531" s="8" t="s">
        <v>2027</v>
      </c>
      <c r="D4531" s="8" t="s">
        <v>664</v>
      </c>
      <c r="E4531" s="8" t="s">
        <v>1350</v>
      </c>
      <c r="F4531" s="23">
        <v>46091.689583333333</v>
      </c>
      <c r="G4531" s="8" t="s">
        <v>1041</v>
      </c>
      <c r="H4531" s="23">
        <v>46094</v>
      </c>
      <c r="I4531" s="23">
        <v>46091.689583333333</v>
      </c>
      <c r="J4531" s="10">
        <v>510</v>
      </c>
      <c r="K4531" s="10">
        <v>0</v>
      </c>
      <c r="L4531" s="24">
        <v>0</v>
      </c>
      <c r="M4531" s="10">
        <v>510</v>
      </c>
    </row>
    <row r="4532" spans="1:13" x14ac:dyDescent="0.25">
      <c r="A4532" s="12" t="str">
        <f t="shared" si="142"/>
        <v>VTNVT02/03/26MGHORIZONTE EXPRESS TRANSPORTES LTDABNF46087,4048611111</v>
      </c>
      <c r="B4532" s="12" t="str">
        <f t="shared" si="141"/>
        <v>Março</v>
      </c>
      <c r="C4532" s="8" t="s">
        <v>2020</v>
      </c>
      <c r="D4532" s="8" t="s">
        <v>664</v>
      </c>
      <c r="E4532" s="8" t="s">
        <v>1350</v>
      </c>
      <c r="F4532" s="23">
        <v>46087.404861111114</v>
      </c>
      <c r="G4532" s="8" t="s">
        <v>1041</v>
      </c>
      <c r="H4532" s="23">
        <v>46093</v>
      </c>
      <c r="I4532" s="23">
        <v>46087.404861111114</v>
      </c>
      <c r="J4532" s="10">
        <v>1872.2</v>
      </c>
      <c r="K4532" s="10">
        <v>0</v>
      </c>
      <c r="L4532" s="24">
        <v>0</v>
      </c>
      <c r="M4532" s="10">
        <v>1872.2</v>
      </c>
    </row>
    <row r="4533" spans="1:13" x14ac:dyDescent="0.25">
      <c r="A4533" s="12" t="str">
        <f t="shared" si="142"/>
        <v>VTNVT04/05/26HORIZONTE EXPRESS TRANSPORTES LTDABNF46147,45</v>
      </c>
      <c r="B4533" s="12" t="str">
        <f t="shared" si="141"/>
        <v>Maio</v>
      </c>
      <c r="C4533" s="8" t="s">
        <v>2382</v>
      </c>
      <c r="D4533" s="8" t="s">
        <v>664</v>
      </c>
      <c r="E4533" s="8" t="s">
        <v>1350</v>
      </c>
      <c r="F4533" s="23">
        <v>46147.45</v>
      </c>
      <c r="G4533" s="8" t="s">
        <v>1041</v>
      </c>
      <c r="H4533" s="23">
        <v>46149</v>
      </c>
      <c r="I4533" s="23">
        <v>46147.45</v>
      </c>
      <c r="J4533" s="10">
        <v>1924.2</v>
      </c>
      <c r="K4533" s="10">
        <v>0</v>
      </c>
      <c r="L4533" s="24">
        <v>0</v>
      </c>
      <c r="M4533" s="10">
        <v>1924.2</v>
      </c>
    </row>
    <row r="4534" spans="1:13" x14ac:dyDescent="0.25">
      <c r="A4534" s="12" t="str">
        <f t="shared" si="142"/>
        <v>VTNVT08/01/26HORIZONTE EXPRESS TRANSPORTES LTDABNF46031,3930555556</v>
      </c>
      <c r="B4534" s="12" t="str">
        <f t="shared" si="141"/>
        <v>Janeiro</v>
      </c>
      <c r="C4534" s="8" t="s">
        <v>1486</v>
      </c>
      <c r="D4534" s="8" t="s">
        <v>664</v>
      </c>
      <c r="E4534" s="8" t="s">
        <v>1350</v>
      </c>
      <c r="F4534" s="23">
        <v>46031.393055555556</v>
      </c>
      <c r="G4534" s="8" t="s">
        <v>1041</v>
      </c>
      <c r="H4534" s="23">
        <v>46036</v>
      </c>
      <c r="I4534" s="23">
        <v>46031.393055555556</v>
      </c>
      <c r="J4534" s="10">
        <v>464.1</v>
      </c>
      <c r="K4534" s="10">
        <v>0</v>
      </c>
      <c r="L4534" s="24">
        <v>0</v>
      </c>
      <c r="M4534" s="10">
        <v>464.1</v>
      </c>
    </row>
    <row r="4535" spans="1:13" x14ac:dyDescent="0.25">
      <c r="A4535" s="12" t="str">
        <f t="shared" si="142"/>
        <v>VTNVT08/04/26HORIZONTE EXPRESS TRANSPORTES LTDABNF46120,6645833333</v>
      </c>
      <c r="B4535" s="12" t="str">
        <f t="shared" si="141"/>
        <v>Abril</v>
      </c>
      <c r="C4535" s="8" t="s">
        <v>2213</v>
      </c>
      <c r="D4535" s="8" t="s">
        <v>664</v>
      </c>
      <c r="E4535" s="8" t="s">
        <v>1350</v>
      </c>
      <c r="F4535" s="23">
        <v>46120.664583333331</v>
      </c>
      <c r="G4535" s="8" t="s">
        <v>1041</v>
      </c>
      <c r="H4535" s="23">
        <v>46125</v>
      </c>
      <c r="I4535" s="23">
        <v>46120.664583333331</v>
      </c>
      <c r="J4535" s="10">
        <v>1716.8</v>
      </c>
      <c r="K4535" s="10">
        <v>0</v>
      </c>
      <c r="L4535" s="24">
        <v>0</v>
      </c>
      <c r="M4535" s="10">
        <v>1716.8</v>
      </c>
    </row>
    <row r="4536" spans="1:13" x14ac:dyDescent="0.25">
      <c r="A4536" s="12" t="str">
        <f t="shared" si="142"/>
        <v>VTNVT08/05/26MGHORIZONTE EXPRESS TRANSPORTES LTDABNF46154,38125</v>
      </c>
      <c r="B4536" s="12" t="str">
        <f t="shared" si="141"/>
        <v>Maio</v>
      </c>
      <c r="C4536" s="8" t="s">
        <v>2409</v>
      </c>
      <c r="D4536" s="8" t="s">
        <v>664</v>
      </c>
      <c r="E4536" s="8" t="s">
        <v>1350</v>
      </c>
      <c r="F4536" s="23">
        <v>46154.381249999999</v>
      </c>
      <c r="G4536" s="8" t="s">
        <v>1041</v>
      </c>
      <c r="H4536" s="23">
        <v>46157</v>
      </c>
      <c r="I4536" s="23">
        <v>46154.381249999999</v>
      </c>
      <c r="J4536" s="10">
        <v>715.2</v>
      </c>
      <c r="K4536" s="10">
        <v>0</v>
      </c>
      <c r="L4536" s="24">
        <v>0</v>
      </c>
      <c r="M4536" s="10">
        <v>715.2</v>
      </c>
    </row>
    <row r="4537" spans="1:13" x14ac:dyDescent="0.25">
      <c r="A4537" s="12" t="str">
        <f t="shared" si="142"/>
        <v>VTNVT08/07MGHORIZONTE EXPRESS TRANSPORTES LTDABNF46213,4479166667</v>
      </c>
      <c r="B4537" s="12" t="str">
        <f t="shared" si="141"/>
        <v>Julho</v>
      </c>
      <c r="C4537" s="8" t="s">
        <v>2781</v>
      </c>
      <c r="D4537" s="8" t="s">
        <v>664</v>
      </c>
      <c r="E4537" s="8" t="s">
        <v>1350</v>
      </c>
      <c r="F4537" s="23">
        <v>46213.447916666664</v>
      </c>
      <c r="G4537" s="8" t="s">
        <v>1041</v>
      </c>
      <c r="H4537" s="23">
        <v>46218</v>
      </c>
      <c r="I4537" s="23">
        <v>46213.447916666664</v>
      </c>
      <c r="J4537" s="10">
        <v>270</v>
      </c>
      <c r="K4537" s="10">
        <v>0</v>
      </c>
      <c r="L4537" s="24">
        <v>0</v>
      </c>
      <c r="M4537" s="10">
        <v>270</v>
      </c>
    </row>
    <row r="4538" spans="1:13" x14ac:dyDescent="0.25">
      <c r="A4538" s="12" t="str">
        <f t="shared" si="142"/>
        <v>VTNVT08/09/2026HORIZONTE EXPRESS TRANSPORTES LTDABNF46280,6326388889</v>
      </c>
      <c r="B4538" s="12" t="str">
        <f t="shared" si="141"/>
        <v>Setembro</v>
      </c>
      <c r="C4538" s="8" t="s">
        <v>3146</v>
      </c>
      <c r="D4538" s="8" t="s">
        <v>664</v>
      </c>
      <c r="E4538" s="8" t="s">
        <v>1350</v>
      </c>
      <c r="F4538" s="23">
        <v>46280.632638888892</v>
      </c>
      <c r="G4538" s="8" t="s">
        <v>1041</v>
      </c>
      <c r="H4538" s="23">
        <v>46283</v>
      </c>
      <c r="I4538" s="23">
        <v>46280.632638888892</v>
      </c>
      <c r="J4538" s="10">
        <v>1978.8</v>
      </c>
      <c r="K4538" s="10">
        <v>0</v>
      </c>
      <c r="L4538" s="24">
        <v>0</v>
      </c>
      <c r="M4538" s="10">
        <v>1978.8</v>
      </c>
    </row>
    <row r="4539" spans="1:13" x14ac:dyDescent="0.25">
      <c r="A4539" s="12" t="str">
        <f t="shared" si="142"/>
        <v>VTNVT08/2026HORIZONTE EXPRESS TRANSPORTES LTDABNF46239,5076388889</v>
      </c>
      <c r="B4539" s="12" t="str">
        <f t="shared" si="141"/>
        <v>Agosto</v>
      </c>
      <c r="C4539" s="8" t="s">
        <v>2932</v>
      </c>
      <c r="D4539" s="8" t="s">
        <v>664</v>
      </c>
      <c r="E4539" s="8" t="s">
        <v>1350</v>
      </c>
      <c r="F4539" s="23">
        <v>46239.507638888892</v>
      </c>
      <c r="G4539" s="8" t="s">
        <v>1041</v>
      </c>
      <c r="H4539" s="23">
        <v>46244</v>
      </c>
      <c r="I4539" s="23">
        <v>46239.507638888892</v>
      </c>
      <c r="J4539" s="10">
        <v>1435.3</v>
      </c>
      <c r="K4539" s="10">
        <v>0</v>
      </c>
      <c r="L4539" s="24">
        <v>0</v>
      </c>
      <c r="M4539" s="10">
        <v>1435.3</v>
      </c>
    </row>
    <row r="4540" spans="1:13" x14ac:dyDescent="0.25">
      <c r="A4540" s="12" t="str">
        <f t="shared" si="142"/>
        <v>VTNVT09/02/26HORIZONTE EXPRESS TRANSPORTES LTDABNF46065,4430555556</v>
      </c>
      <c r="B4540" s="12" t="str">
        <f t="shared" si="141"/>
        <v>Fevereiro</v>
      </c>
      <c r="C4540" s="8" t="s">
        <v>1884</v>
      </c>
      <c r="D4540" s="8" t="s">
        <v>664</v>
      </c>
      <c r="E4540" s="8" t="s">
        <v>1350</v>
      </c>
      <c r="F4540" s="23">
        <v>46065.443055555559</v>
      </c>
      <c r="G4540" s="8" t="s">
        <v>1041</v>
      </c>
      <c r="H4540" s="23">
        <v>46072</v>
      </c>
      <c r="I4540" s="23">
        <v>46065.443055555559</v>
      </c>
      <c r="J4540" s="10">
        <v>542.4</v>
      </c>
      <c r="K4540" s="10">
        <v>0</v>
      </c>
      <c r="L4540" s="24">
        <v>0</v>
      </c>
      <c r="M4540" s="10">
        <v>542.4</v>
      </c>
    </row>
    <row r="4541" spans="1:13" x14ac:dyDescent="0.25">
      <c r="A4541" s="12" t="str">
        <f t="shared" si="142"/>
        <v>VTNVT13/07/26HORIZONTE EXPRESS TRANSPORTES LTDABNF46217,4125</v>
      </c>
      <c r="B4541" s="12" t="str">
        <f t="shared" si="141"/>
        <v>Julho</v>
      </c>
      <c r="C4541" s="8" t="s">
        <v>2796</v>
      </c>
      <c r="D4541" s="8" t="s">
        <v>664</v>
      </c>
      <c r="E4541" s="8" t="s">
        <v>1350</v>
      </c>
      <c r="F4541" s="23">
        <v>46217.412499999999</v>
      </c>
      <c r="G4541" s="8" t="s">
        <v>1041</v>
      </c>
      <c r="H4541" s="23">
        <v>46220</v>
      </c>
      <c r="I4541" s="23">
        <v>46217.412499999999</v>
      </c>
      <c r="J4541" s="10">
        <v>202.5</v>
      </c>
      <c r="K4541" s="10">
        <v>0</v>
      </c>
      <c r="L4541" s="24">
        <v>0</v>
      </c>
      <c r="M4541" s="10">
        <v>202.5</v>
      </c>
    </row>
    <row r="4542" spans="1:13" x14ac:dyDescent="0.25">
      <c r="A4542" s="12" t="str">
        <f t="shared" si="142"/>
        <v>VTNVT16/03/26MGHORIZONTE EXPRESS TRANSPORTES LTDABNF46099,4638888889</v>
      </c>
      <c r="B4542" s="12" t="str">
        <f t="shared" si="141"/>
        <v>Março</v>
      </c>
      <c r="C4542" s="8" t="s">
        <v>2101</v>
      </c>
      <c r="D4542" s="8" t="s">
        <v>664</v>
      </c>
      <c r="E4542" s="8" t="s">
        <v>1350</v>
      </c>
      <c r="F4542" s="23">
        <v>46099.463888888888</v>
      </c>
      <c r="G4542" s="8" t="s">
        <v>1041</v>
      </c>
      <c r="H4542" s="23">
        <v>46104</v>
      </c>
      <c r="I4542" s="23">
        <v>46099.463888888888</v>
      </c>
      <c r="J4542" s="10">
        <v>861.6</v>
      </c>
      <c r="K4542" s="10">
        <v>0</v>
      </c>
      <c r="L4542" s="24">
        <v>0</v>
      </c>
      <c r="M4542" s="10">
        <v>861.6</v>
      </c>
    </row>
    <row r="4543" spans="1:13" x14ac:dyDescent="0.25">
      <c r="A4543" s="12" t="str">
        <f t="shared" si="142"/>
        <v>VTNVT16/07/26HORIZONTE EXPRESS TRANSPORTES LTDABNF46219,4777777778</v>
      </c>
      <c r="B4543" s="12" t="str">
        <f t="shared" si="141"/>
        <v>Julho</v>
      </c>
      <c r="C4543" s="8" t="s">
        <v>2841</v>
      </c>
      <c r="D4543" s="8" t="s">
        <v>664</v>
      </c>
      <c r="E4543" s="8" t="s">
        <v>1350</v>
      </c>
      <c r="F4543" s="23">
        <v>46219.477777777778</v>
      </c>
      <c r="G4543" s="8" t="s">
        <v>1041</v>
      </c>
      <c r="H4543" s="23">
        <v>46225</v>
      </c>
      <c r="I4543" s="23">
        <v>46219.477777777778</v>
      </c>
      <c r="J4543" s="10">
        <v>2130</v>
      </c>
      <c r="K4543" s="10">
        <v>0</v>
      </c>
      <c r="L4543" s="24">
        <v>0</v>
      </c>
      <c r="M4543" s="10">
        <v>2130</v>
      </c>
    </row>
    <row r="4544" spans="1:13" x14ac:dyDescent="0.25">
      <c r="A4544" s="12" t="str">
        <f t="shared" si="142"/>
        <v>VTNVT16/09MGHORIZONTE EXPRESS TRANSPORTES LTDABNF46281,5777777778</v>
      </c>
      <c r="B4544" s="12" t="str">
        <f t="shared" si="141"/>
        <v>Setembro</v>
      </c>
      <c r="C4544" s="8" t="s">
        <v>3156</v>
      </c>
      <c r="D4544" s="8" t="s">
        <v>664</v>
      </c>
      <c r="E4544" s="8" t="s">
        <v>1350</v>
      </c>
      <c r="F4544" s="23">
        <v>46281.577777777777</v>
      </c>
      <c r="G4544" s="8" t="s">
        <v>1041</v>
      </c>
      <c r="H4544" s="23">
        <v>46287</v>
      </c>
      <c r="I4544" s="23">
        <v>46281.577777777777</v>
      </c>
      <c r="J4544" s="10">
        <v>828.9</v>
      </c>
      <c r="K4544" s="10">
        <v>0</v>
      </c>
      <c r="L4544" s="24">
        <v>0</v>
      </c>
      <c r="M4544" s="10">
        <v>828.9</v>
      </c>
    </row>
    <row r="4545" spans="1:13" x14ac:dyDescent="0.25">
      <c r="A4545" s="12" t="str">
        <f t="shared" si="142"/>
        <v>VTNVT18/05/26MGHORIZONTE EXPRESS TRANSPORTES LTDABNF46160,4680555556</v>
      </c>
      <c r="B4545" s="12" t="str">
        <f t="shared" si="141"/>
        <v>Maio</v>
      </c>
      <c r="C4545" s="8" t="s">
        <v>2488</v>
      </c>
      <c r="D4545" s="8" t="s">
        <v>664</v>
      </c>
      <c r="E4545" s="8" t="s">
        <v>1350</v>
      </c>
      <c r="F4545" s="23">
        <v>46160.468055555553</v>
      </c>
      <c r="G4545" s="8" t="s">
        <v>1041</v>
      </c>
      <c r="H4545" s="23">
        <v>46164</v>
      </c>
      <c r="I4545" s="23">
        <v>46160.468055555553</v>
      </c>
      <c r="J4545" s="10">
        <v>200</v>
      </c>
      <c r="K4545" s="10">
        <v>0</v>
      </c>
      <c r="L4545" s="24">
        <v>0</v>
      </c>
      <c r="M4545" s="10">
        <v>200</v>
      </c>
    </row>
    <row r="4546" spans="1:13" x14ac:dyDescent="0.25">
      <c r="A4546" s="12" t="str">
        <f t="shared" si="142"/>
        <v>VTNVT18-02-26HORIZONTE EXPRESS TRANSPORTES LTDABNF46071,4881944444</v>
      </c>
      <c r="B4546" s="12" t="str">
        <f t="shared" si="141"/>
        <v>Fevereiro</v>
      </c>
      <c r="C4546" s="8" t="s">
        <v>1905</v>
      </c>
      <c r="D4546" s="8" t="s">
        <v>664</v>
      </c>
      <c r="E4546" s="8" t="s">
        <v>1350</v>
      </c>
      <c r="F4546" s="23">
        <v>46071.488194444442</v>
      </c>
      <c r="G4546" s="8" t="s">
        <v>1041</v>
      </c>
      <c r="H4546" s="23">
        <v>46076</v>
      </c>
      <c r="I4546" s="23">
        <v>46071.488194444442</v>
      </c>
      <c r="J4546" s="10">
        <v>396</v>
      </c>
      <c r="K4546" s="10">
        <v>0</v>
      </c>
      <c r="L4546" s="24">
        <v>0</v>
      </c>
      <c r="M4546" s="10">
        <v>396</v>
      </c>
    </row>
    <row r="4547" spans="1:13" x14ac:dyDescent="0.25">
      <c r="A4547" s="12" t="str">
        <f t="shared" si="142"/>
        <v>VTNVT20/03/26HORIZONTE EXPRESS TRANSPORTES LTDABNF46101,6305555556</v>
      </c>
      <c r="B4547" s="12" t="str">
        <f t="shared" ref="B4547:B4550" si="143">PROPER(TEXT($H4547,"MMMM"))</f>
        <v>Março</v>
      </c>
      <c r="C4547" s="8" t="s">
        <v>2114</v>
      </c>
      <c r="D4547" s="8" t="s">
        <v>664</v>
      </c>
      <c r="E4547" s="8" t="s">
        <v>1350</v>
      </c>
      <c r="F4547" s="23">
        <v>46101.630555555559</v>
      </c>
      <c r="G4547" s="8" t="s">
        <v>1041</v>
      </c>
      <c r="H4547" s="23">
        <v>46106</v>
      </c>
      <c r="I4547" s="23">
        <v>46101.630555555559</v>
      </c>
      <c r="J4547" s="10">
        <v>1007.2</v>
      </c>
      <c r="K4547" s="10">
        <v>0</v>
      </c>
      <c r="L4547" s="24">
        <v>0</v>
      </c>
      <c r="M4547" s="10">
        <v>1007.2</v>
      </c>
    </row>
    <row r="4548" spans="1:13" x14ac:dyDescent="0.25">
      <c r="A4548" s="12" t="str">
        <f t="shared" si="142"/>
        <v>VTNVT20/07/26MGHORIZONTE EXPRESS TRANSPORTES LTDABNF46224,6125</v>
      </c>
      <c r="B4548" s="12" t="str">
        <f t="shared" si="143"/>
        <v>Julho</v>
      </c>
      <c r="C4548" s="8" t="s">
        <v>2849</v>
      </c>
      <c r="D4548" s="8" t="s">
        <v>664</v>
      </c>
      <c r="E4548" s="8" t="s">
        <v>1350</v>
      </c>
      <c r="F4548" s="23">
        <v>46224.612500000003</v>
      </c>
      <c r="G4548" s="8" t="s">
        <v>1041</v>
      </c>
      <c r="H4548" s="23">
        <v>46227</v>
      </c>
      <c r="I4548" s="23">
        <v>46224.612500000003</v>
      </c>
      <c r="J4548" s="10">
        <v>409</v>
      </c>
      <c r="K4548" s="10">
        <v>0</v>
      </c>
      <c r="L4548" s="24">
        <v>0</v>
      </c>
      <c r="M4548" s="10">
        <v>409</v>
      </c>
    </row>
    <row r="4549" spans="1:13" x14ac:dyDescent="0.25">
      <c r="A4549" s="12" t="str">
        <f t="shared" si="142"/>
        <v>VTNVT22/06/26HORIZONTE EXPRESS TRANSPORTES LTDABNF46195,6138888889</v>
      </c>
      <c r="B4549" s="12" t="str">
        <f t="shared" si="143"/>
        <v>Junho</v>
      </c>
      <c r="C4549" s="8" t="s">
        <v>2679</v>
      </c>
      <c r="D4549" s="8" t="s">
        <v>664</v>
      </c>
      <c r="E4549" s="8" t="s">
        <v>1350</v>
      </c>
      <c r="F4549" s="23">
        <v>46195.613888888889</v>
      </c>
      <c r="G4549" s="8" t="s">
        <v>1041</v>
      </c>
      <c r="H4549" s="23">
        <v>46199</v>
      </c>
      <c r="I4549" s="23">
        <v>46195.613888888889</v>
      </c>
      <c r="J4549" s="10">
        <v>1178.0999999999999</v>
      </c>
      <c r="K4549" s="10">
        <v>0</v>
      </c>
      <c r="L4549" s="24">
        <v>0</v>
      </c>
      <c r="M4549" s="10">
        <v>1178.0999999999999</v>
      </c>
    </row>
    <row r="4550" spans="1:13" x14ac:dyDescent="0.25">
      <c r="A4550" s="12" t="str">
        <f t="shared" si="142"/>
        <v>VTREDES02/26HORIZONTE EXPRESS TRANSPORTES LTDABNF46048,4131944444</v>
      </c>
      <c r="B4550" s="12" t="str">
        <f t="shared" si="143"/>
        <v>Fevereiro</v>
      </c>
      <c r="C4550" s="8" t="s">
        <v>1672</v>
      </c>
      <c r="D4550" s="8" t="s">
        <v>664</v>
      </c>
      <c r="E4550" s="8" t="s">
        <v>1350</v>
      </c>
      <c r="F4550" s="23">
        <v>46048.413194444445</v>
      </c>
      <c r="G4550" s="8" t="s">
        <v>1041</v>
      </c>
      <c r="H4550" s="23">
        <v>46058</v>
      </c>
      <c r="I4550" s="23">
        <v>46048.413194444445</v>
      </c>
      <c r="J4550" s="10">
        <v>2100</v>
      </c>
      <c r="K4550" s="10">
        <v>0</v>
      </c>
      <c r="L4550" s="24">
        <v>0</v>
      </c>
      <c r="M4550" s="10">
        <v>2100</v>
      </c>
    </row>
  </sheetData>
  <autoFilter ref="A1:N4550" xr:uid="{1C08198D-C28E-4ADB-A343-F6F82FDDBD61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63CF-187E-4273-A1DB-581C660F8472}">
  <dimension ref="A1:M1513"/>
  <sheetViews>
    <sheetView workbookViewId="0">
      <selection activeCell="E9" sqref="E9"/>
    </sheetView>
  </sheetViews>
  <sheetFormatPr defaultRowHeight="12" x14ac:dyDescent="0.25"/>
  <cols>
    <col min="1" max="1" width="49" style="12" customWidth="1"/>
    <col min="2" max="2" width="17.28515625" style="12" bestFit="1" customWidth="1"/>
    <col min="3" max="3" width="6.5703125" style="7" bestFit="1" customWidth="1"/>
    <col min="4" max="4" width="21.85546875" style="7" customWidth="1"/>
    <col min="5" max="5" width="9.85546875" style="7" bestFit="1" customWidth="1"/>
    <col min="6" max="6" width="94.28515625" style="7" bestFit="1" customWidth="1"/>
    <col min="7" max="7" width="22" style="7" bestFit="1" customWidth="1"/>
    <col min="8" max="8" width="13.85546875" style="7" bestFit="1" customWidth="1"/>
    <col min="9" max="9" width="13.140625" style="7" bestFit="1" customWidth="1"/>
    <col min="10" max="10" width="12.7109375" style="7" bestFit="1" customWidth="1"/>
    <col min="11" max="11" width="18.28515625" style="12" bestFit="1" customWidth="1"/>
    <col min="12" max="12" width="30.140625" style="12" bestFit="1" customWidth="1"/>
    <col min="13" max="16384" width="9.140625" style="12"/>
  </cols>
  <sheetData>
    <row r="1" spans="1:13" x14ac:dyDescent="0.25">
      <c r="A1" s="12" t="s">
        <v>1341</v>
      </c>
      <c r="B1" s="12" t="str">
        <f t="shared" ref="B1:B64" si="0">TEXT($G1,"MMMM")</f>
        <v>Vencimento</v>
      </c>
      <c r="C1" s="7" t="s">
        <v>1024</v>
      </c>
      <c r="D1" s="7" t="s">
        <v>3231</v>
      </c>
      <c r="E1" s="7" t="s">
        <v>1342</v>
      </c>
      <c r="F1" s="7" t="s">
        <v>0</v>
      </c>
      <c r="G1" s="7" t="s">
        <v>1033</v>
      </c>
      <c r="H1" s="7" t="s">
        <v>1022</v>
      </c>
      <c r="I1" s="7" t="s">
        <v>1032</v>
      </c>
      <c r="J1" s="7" t="s">
        <v>3232</v>
      </c>
      <c r="K1" s="7" t="s">
        <v>3233</v>
      </c>
      <c r="L1" s="7"/>
      <c r="M1" s="7"/>
    </row>
    <row r="2" spans="1:13" x14ac:dyDescent="0.25">
      <c r="A2" s="12" t="str">
        <f>D2&amp;F2&amp;H2</f>
        <v>10OTAVIO OLIVEIRA ALVESRCB</v>
      </c>
      <c r="B2" s="12" t="str">
        <f>PROPER(TEXT($G2,"MMMM"))</f>
        <v>Janeiro</v>
      </c>
      <c r="C2" s="9">
        <v>87</v>
      </c>
      <c r="D2" s="8" t="s">
        <v>667</v>
      </c>
      <c r="E2" s="8" t="s">
        <v>664</v>
      </c>
      <c r="F2" s="8" t="s">
        <v>1457</v>
      </c>
      <c r="G2" s="17">
        <v>46027</v>
      </c>
      <c r="H2" s="8" t="s">
        <v>1045</v>
      </c>
      <c r="I2" s="9">
        <v>1</v>
      </c>
      <c r="J2" s="10">
        <v>120</v>
      </c>
      <c r="K2" s="10">
        <v>120</v>
      </c>
      <c r="L2" s="8"/>
      <c r="M2" s="7"/>
    </row>
    <row r="3" spans="1:13" x14ac:dyDescent="0.25">
      <c r="A3" s="12" t="str">
        <f t="shared" ref="A3:A66" si="1">D3&amp;F3&amp;H3</f>
        <v>8VALDECI TONIMRCB</v>
      </c>
      <c r="B3" s="12" t="str">
        <f t="shared" ref="B3:B66" si="2">PROPER(TEXT($G3,"MMMM"))</f>
        <v>Fevereiro</v>
      </c>
      <c r="C3" s="9">
        <v>87</v>
      </c>
      <c r="D3" s="8" t="s">
        <v>1046</v>
      </c>
      <c r="E3" s="8" t="s">
        <v>664</v>
      </c>
      <c r="F3" s="8" t="s">
        <v>193</v>
      </c>
      <c r="G3" s="17">
        <v>46057</v>
      </c>
      <c r="H3" s="8" t="s">
        <v>1045</v>
      </c>
      <c r="I3" s="9">
        <v>2</v>
      </c>
      <c r="J3" s="10">
        <v>0.2</v>
      </c>
      <c r="K3" s="10">
        <v>0.2</v>
      </c>
      <c r="L3" s="8"/>
      <c r="M3" s="7"/>
    </row>
    <row r="4" spans="1:13" x14ac:dyDescent="0.25">
      <c r="A4" s="12" t="str">
        <f t="shared" si="1"/>
        <v>50053181TELIANA HENRIQUE MENDES BARBOSACT</v>
      </c>
      <c r="B4" s="12" t="str">
        <f t="shared" si="2"/>
        <v>Junho</v>
      </c>
      <c r="C4" s="9">
        <v>87</v>
      </c>
      <c r="D4" s="8" t="s">
        <v>1047</v>
      </c>
      <c r="E4" s="8" t="s">
        <v>664</v>
      </c>
      <c r="F4" s="8" t="s">
        <v>59</v>
      </c>
      <c r="G4" s="17">
        <v>46174</v>
      </c>
      <c r="H4" s="8" t="s">
        <v>1035</v>
      </c>
      <c r="I4" s="9">
        <v>1</v>
      </c>
      <c r="J4" s="10">
        <v>29.96</v>
      </c>
      <c r="K4" s="10">
        <v>29.96</v>
      </c>
      <c r="L4" s="8"/>
      <c r="M4" s="7"/>
    </row>
    <row r="5" spans="1:13" x14ac:dyDescent="0.25">
      <c r="A5" s="12" t="str">
        <f t="shared" si="1"/>
        <v>50053191TRAFAEL RODRIGUES FARIACT</v>
      </c>
      <c r="B5" s="12" t="str">
        <f t="shared" si="2"/>
        <v>Junho</v>
      </c>
      <c r="C5" s="9">
        <v>87</v>
      </c>
      <c r="D5" s="8" t="s">
        <v>1048</v>
      </c>
      <c r="E5" s="8" t="s">
        <v>664</v>
      </c>
      <c r="F5" s="8" t="s">
        <v>162</v>
      </c>
      <c r="G5" s="17">
        <v>46174</v>
      </c>
      <c r="H5" s="8" t="s">
        <v>1035</v>
      </c>
      <c r="I5" s="9">
        <v>1</v>
      </c>
      <c r="J5" s="10">
        <v>29.96</v>
      </c>
      <c r="K5" s="10">
        <v>59.92</v>
      </c>
      <c r="L5" s="8"/>
      <c r="M5" s="7"/>
    </row>
    <row r="6" spans="1:13" x14ac:dyDescent="0.25">
      <c r="A6" s="12" t="str">
        <f t="shared" si="1"/>
        <v>50053221TDIOGO BONELA TONHACT</v>
      </c>
      <c r="B6" s="12" t="str">
        <f t="shared" si="2"/>
        <v>Junho</v>
      </c>
      <c r="C6" s="9">
        <v>87</v>
      </c>
      <c r="D6" s="8" t="s">
        <v>1049</v>
      </c>
      <c r="E6" s="8" t="s">
        <v>664</v>
      </c>
      <c r="F6" s="8" t="s">
        <v>52</v>
      </c>
      <c r="G6" s="17">
        <v>46181</v>
      </c>
      <c r="H6" s="8" t="s">
        <v>1035</v>
      </c>
      <c r="I6" s="9">
        <v>1</v>
      </c>
      <c r="J6" s="10">
        <v>29.96</v>
      </c>
      <c r="K6" s="10">
        <v>29.96</v>
      </c>
      <c r="L6" s="8"/>
      <c r="M6" s="7"/>
    </row>
    <row r="7" spans="1:13" x14ac:dyDescent="0.25">
      <c r="A7" s="12" t="str">
        <f t="shared" si="1"/>
        <v>50053641TANTONIO CARLOS DA COSTACT</v>
      </c>
      <c r="B7" s="12" t="str">
        <f t="shared" si="2"/>
        <v>Junho</v>
      </c>
      <c r="C7" s="9">
        <v>87</v>
      </c>
      <c r="D7" s="8" t="s">
        <v>1050</v>
      </c>
      <c r="E7" s="8" t="s">
        <v>664</v>
      </c>
      <c r="F7" s="8" t="s">
        <v>19</v>
      </c>
      <c r="G7" s="17">
        <v>46184</v>
      </c>
      <c r="H7" s="8" t="s">
        <v>1035</v>
      </c>
      <c r="I7" s="9">
        <v>1</v>
      </c>
      <c r="J7" s="10">
        <v>29.96</v>
      </c>
      <c r="K7" s="10">
        <v>29.96</v>
      </c>
      <c r="L7" s="8"/>
      <c r="M7" s="7"/>
    </row>
    <row r="8" spans="1:13" x14ac:dyDescent="0.25">
      <c r="A8" s="12" t="str">
        <f t="shared" si="1"/>
        <v>50053751TPAULO RICARDO SILVACT</v>
      </c>
      <c r="B8" s="12" t="str">
        <f t="shared" si="2"/>
        <v>Junho</v>
      </c>
      <c r="C8" s="9">
        <v>87</v>
      </c>
      <c r="D8" s="8" t="s">
        <v>1051</v>
      </c>
      <c r="E8" s="8" t="s">
        <v>664</v>
      </c>
      <c r="F8" s="8" t="s">
        <v>153</v>
      </c>
      <c r="G8" s="17">
        <v>46195</v>
      </c>
      <c r="H8" s="8" t="s">
        <v>1035</v>
      </c>
      <c r="I8" s="9">
        <v>1</v>
      </c>
      <c r="J8" s="10">
        <v>29.96</v>
      </c>
      <c r="K8" s="10">
        <v>29.96</v>
      </c>
      <c r="L8" s="8"/>
      <c r="M8" s="7"/>
    </row>
    <row r="9" spans="1:13" x14ac:dyDescent="0.25">
      <c r="A9" s="12" t="str">
        <f t="shared" si="1"/>
        <v>5005249HUDSON CESAR DA SILVACT</v>
      </c>
      <c r="B9" s="12" t="str">
        <f t="shared" si="2"/>
        <v>Junho</v>
      </c>
      <c r="C9" s="9">
        <v>87</v>
      </c>
      <c r="D9" s="8" t="s">
        <v>1034</v>
      </c>
      <c r="E9" s="8" t="s">
        <v>664</v>
      </c>
      <c r="F9" s="8" t="s">
        <v>1407</v>
      </c>
      <c r="G9" s="17">
        <v>46202</v>
      </c>
      <c r="H9" s="8" t="s">
        <v>1035</v>
      </c>
      <c r="I9" s="9">
        <v>1</v>
      </c>
      <c r="J9" s="10">
        <v>3883</v>
      </c>
      <c r="K9" s="10">
        <v>3883</v>
      </c>
      <c r="L9" s="8"/>
      <c r="M9" s="7"/>
    </row>
    <row r="10" spans="1:13" x14ac:dyDescent="0.25">
      <c r="A10" s="12" t="str">
        <f t="shared" si="1"/>
        <v>50053141TDANIELLE HEBERT CARVALHO PEREIRACT</v>
      </c>
      <c r="B10" s="12" t="str">
        <f t="shared" si="2"/>
        <v>Junho</v>
      </c>
      <c r="C10" s="9">
        <v>87</v>
      </c>
      <c r="D10" s="8" t="s">
        <v>1052</v>
      </c>
      <c r="E10" s="8" t="s">
        <v>664</v>
      </c>
      <c r="F10" s="8" t="s">
        <v>48</v>
      </c>
      <c r="G10" s="17">
        <v>46202</v>
      </c>
      <c r="H10" s="8" t="s">
        <v>1035</v>
      </c>
      <c r="I10" s="9">
        <v>1</v>
      </c>
      <c r="J10" s="10">
        <v>29.96</v>
      </c>
      <c r="K10" s="10">
        <v>3912.96</v>
      </c>
      <c r="L10" s="8"/>
      <c r="M10" s="7"/>
    </row>
    <row r="11" spans="1:13" x14ac:dyDescent="0.25">
      <c r="A11" s="12" t="str">
        <f t="shared" si="1"/>
        <v>5005364ANTONIO CARLOS DA COSTACT</v>
      </c>
      <c r="B11" s="12" t="str">
        <f t="shared" si="2"/>
        <v>Julho</v>
      </c>
      <c r="C11" s="9">
        <v>87</v>
      </c>
      <c r="D11" s="8" t="s">
        <v>1053</v>
      </c>
      <c r="E11" s="8" t="s">
        <v>664</v>
      </c>
      <c r="F11" s="8" t="s">
        <v>19</v>
      </c>
      <c r="G11" s="17">
        <v>46212</v>
      </c>
      <c r="H11" s="8" t="s">
        <v>1035</v>
      </c>
      <c r="I11" s="9">
        <v>1</v>
      </c>
      <c r="J11" s="10">
        <v>1622.73</v>
      </c>
      <c r="K11" s="10">
        <v>1622.73</v>
      </c>
      <c r="L11" s="8"/>
      <c r="M11" s="7"/>
    </row>
    <row r="12" spans="1:13" x14ac:dyDescent="0.25">
      <c r="A12" s="12" t="str">
        <f t="shared" si="1"/>
        <v>75ANA LUIZA COSTA SILVA - EU OUVI PRESENTE?NSE</v>
      </c>
      <c r="B12" s="12" t="str">
        <f t="shared" si="2"/>
        <v>Agosto</v>
      </c>
      <c r="C12" s="9">
        <v>87</v>
      </c>
      <c r="D12" s="8" t="s">
        <v>660</v>
      </c>
      <c r="E12" s="8" t="s">
        <v>664</v>
      </c>
      <c r="F12" s="8" t="s">
        <v>11</v>
      </c>
      <c r="G12" s="17">
        <v>46254</v>
      </c>
      <c r="H12" s="8" t="s">
        <v>665</v>
      </c>
      <c r="I12" s="9">
        <v>1</v>
      </c>
      <c r="J12" s="10">
        <v>1324.2</v>
      </c>
      <c r="K12" s="10">
        <v>1324.2</v>
      </c>
      <c r="L12" s="8"/>
      <c r="M12" s="7"/>
    </row>
    <row r="13" spans="1:13" x14ac:dyDescent="0.25">
      <c r="A13" s="12" t="str">
        <f t="shared" si="1"/>
        <v>10MAYNARTE SERVICOS DE SERRALHERIA E CONSERVACAO LIMITADANSE</v>
      </c>
      <c r="B13" s="12" t="str">
        <f t="shared" si="2"/>
        <v>Setembro</v>
      </c>
      <c r="C13" s="9">
        <v>87</v>
      </c>
      <c r="D13" s="8" t="s">
        <v>667</v>
      </c>
      <c r="E13" s="8" t="s">
        <v>1354</v>
      </c>
      <c r="F13" s="8" t="s">
        <v>124</v>
      </c>
      <c r="G13" s="17">
        <v>46272</v>
      </c>
      <c r="H13" s="8" t="s">
        <v>665</v>
      </c>
      <c r="I13" s="9">
        <v>1</v>
      </c>
      <c r="J13" s="10">
        <v>7125</v>
      </c>
      <c r="K13" s="10">
        <v>7125</v>
      </c>
      <c r="L13" s="8"/>
      <c r="M13" s="7"/>
    </row>
    <row r="14" spans="1:13" x14ac:dyDescent="0.25">
      <c r="A14" s="12" t="str">
        <f t="shared" si="1"/>
        <v>5005508JAIME GOMES PARAGUAICT</v>
      </c>
      <c r="B14" s="12" t="str">
        <f t="shared" si="2"/>
        <v>Setembro</v>
      </c>
      <c r="C14" s="9">
        <v>87</v>
      </c>
      <c r="D14" s="8" t="s">
        <v>1054</v>
      </c>
      <c r="E14" s="8" t="s">
        <v>664</v>
      </c>
      <c r="F14" s="8" t="s">
        <v>87</v>
      </c>
      <c r="G14" s="17">
        <v>46283</v>
      </c>
      <c r="H14" s="8" t="s">
        <v>1035</v>
      </c>
      <c r="I14" s="9">
        <v>1</v>
      </c>
      <c r="J14" s="10">
        <v>385</v>
      </c>
      <c r="K14" s="10">
        <v>385</v>
      </c>
      <c r="L14" s="8"/>
      <c r="M14" s="7"/>
    </row>
    <row r="15" spans="1:13" x14ac:dyDescent="0.25">
      <c r="A15" s="12" t="str">
        <f t="shared" si="1"/>
        <v>5005509JAIME GOMES PARAGUAICT</v>
      </c>
      <c r="B15" s="12" t="str">
        <f t="shared" si="2"/>
        <v>Setembro</v>
      </c>
      <c r="C15" s="9">
        <v>87</v>
      </c>
      <c r="D15" s="8" t="s">
        <v>1056</v>
      </c>
      <c r="E15" s="8" t="s">
        <v>664</v>
      </c>
      <c r="F15" s="8" t="s">
        <v>87</v>
      </c>
      <c r="G15" s="17">
        <v>46284</v>
      </c>
      <c r="H15" s="8" t="s">
        <v>1035</v>
      </c>
      <c r="I15" s="9">
        <v>1</v>
      </c>
      <c r="J15" s="10">
        <v>385</v>
      </c>
      <c r="K15" s="10">
        <v>385</v>
      </c>
      <c r="L15" s="8"/>
      <c r="M15" s="7"/>
    </row>
    <row r="16" spans="1:13" x14ac:dyDescent="0.25">
      <c r="A16" s="12" t="str">
        <f t="shared" si="1"/>
        <v>5005510CRISTIAN ALVES MOREIRACT</v>
      </c>
      <c r="B16" s="12" t="str">
        <f t="shared" si="2"/>
        <v>Setembro</v>
      </c>
      <c r="C16" s="9">
        <v>87</v>
      </c>
      <c r="D16" s="8" t="s">
        <v>1055</v>
      </c>
      <c r="E16" s="8" t="s">
        <v>664</v>
      </c>
      <c r="F16" s="8" t="s">
        <v>46</v>
      </c>
      <c r="G16" s="17">
        <v>46284</v>
      </c>
      <c r="H16" s="8" t="s">
        <v>1035</v>
      </c>
      <c r="I16" s="9">
        <v>1</v>
      </c>
      <c r="J16" s="10">
        <v>385</v>
      </c>
      <c r="K16" s="10">
        <v>770</v>
      </c>
      <c r="L16" s="8"/>
      <c r="M16" s="7"/>
    </row>
    <row r="17" spans="1:13" x14ac:dyDescent="0.25">
      <c r="A17" s="12" t="str">
        <f t="shared" si="1"/>
        <v>5005528DANIELLE HEBERT CARVALHO PEREIRACT</v>
      </c>
      <c r="B17" s="12" t="str">
        <f t="shared" si="2"/>
        <v>Setembro</v>
      </c>
      <c r="C17" s="9">
        <v>87</v>
      </c>
      <c r="D17" s="8" t="s">
        <v>1058</v>
      </c>
      <c r="E17" s="8" t="s">
        <v>664</v>
      </c>
      <c r="F17" s="8" t="s">
        <v>48</v>
      </c>
      <c r="G17" s="17">
        <v>46285</v>
      </c>
      <c r="H17" s="8" t="s">
        <v>1035</v>
      </c>
      <c r="I17" s="9">
        <v>1</v>
      </c>
      <c r="J17" s="10">
        <v>385</v>
      </c>
      <c r="K17" s="10">
        <v>385</v>
      </c>
      <c r="L17" s="8"/>
      <c r="M17" s="7"/>
    </row>
    <row r="18" spans="1:13" x14ac:dyDescent="0.25">
      <c r="A18" s="12" t="str">
        <f t="shared" si="1"/>
        <v>5005529JAIME GOMES PARAGUAICT</v>
      </c>
      <c r="B18" s="12" t="str">
        <f t="shared" si="2"/>
        <v>Setembro</v>
      </c>
      <c r="C18" s="9">
        <v>87</v>
      </c>
      <c r="D18" s="8" t="s">
        <v>1059</v>
      </c>
      <c r="E18" s="8" t="s">
        <v>664</v>
      </c>
      <c r="F18" s="8" t="s">
        <v>87</v>
      </c>
      <c r="G18" s="17">
        <v>46285</v>
      </c>
      <c r="H18" s="8" t="s">
        <v>1035</v>
      </c>
      <c r="I18" s="9">
        <v>1</v>
      </c>
      <c r="J18" s="10">
        <v>385</v>
      </c>
      <c r="K18" s="10">
        <v>770</v>
      </c>
      <c r="L18" s="8"/>
      <c r="M18" s="7"/>
    </row>
    <row r="19" spans="1:13" x14ac:dyDescent="0.25">
      <c r="A19" s="12" t="str">
        <f t="shared" si="1"/>
        <v>5005530CRISTIAN ALVES MOREIRACT</v>
      </c>
      <c r="B19" s="12" t="str">
        <f t="shared" si="2"/>
        <v>Setembro</v>
      </c>
      <c r="C19" s="9">
        <v>87</v>
      </c>
      <c r="D19" s="8" t="s">
        <v>1057</v>
      </c>
      <c r="E19" s="8" t="s">
        <v>664</v>
      </c>
      <c r="F19" s="8" t="s">
        <v>46</v>
      </c>
      <c r="G19" s="17">
        <v>46285</v>
      </c>
      <c r="H19" s="8" t="s">
        <v>1035</v>
      </c>
      <c r="I19" s="9">
        <v>1</v>
      </c>
      <c r="J19" s="10">
        <v>385</v>
      </c>
      <c r="K19" s="10">
        <v>1155</v>
      </c>
      <c r="L19" s="8"/>
      <c r="M19" s="7"/>
    </row>
    <row r="20" spans="1:13" x14ac:dyDescent="0.25">
      <c r="A20" s="12" t="str">
        <f t="shared" si="1"/>
        <v>75MARCELO JONATHAN COSTA SILVANSE</v>
      </c>
      <c r="B20" s="12" t="str">
        <f t="shared" si="2"/>
        <v>Setembro</v>
      </c>
      <c r="C20" s="9">
        <v>87</v>
      </c>
      <c r="D20" s="8" t="s">
        <v>660</v>
      </c>
      <c r="E20" s="8" t="s">
        <v>1400</v>
      </c>
      <c r="F20" s="8" t="s">
        <v>212</v>
      </c>
      <c r="G20" s="17">
        <v>46285</v>
      </c>
      <c r="H20" s="8" t="s">
        <v>665</v>
      </c>
      <c r="I20" s="9">
        <v>1</v>
      </c>
      <c r="J20" s="10">
        <v>1297.72</v>
      </c>
      <c r="K20" s="10">
        <v>2452.7199999999998</v>
      </c>
      <c r="L20" s="8"/>
      <c r="M20" s="7"/>
    </row>
    <row r="21" spans="1:13" x14ac:dyDescent="0.25">
      <c r="A21" s="12" t="str">
        <f t="shared" si="1"/>
        <v>16788MASTERCELL COMERCIO DE ELETRONICOS LTDANFE</v>
      </c>
      <c r="B21" s="12" t="str">
        <f t="shared" si="2"/>
        <v>Setembro</v>
      </c>
      <c r="C21" s="9">
        <v>87</v>
      </c>
      <c r="D21" s="8" t="s">
        <v>429</v>
      </c>
      <c r="E21" s="8" t="s">
        <v>824</v>
      </c>
      <c r="F21" s="8" t="s">
        <v>123</v>
      </c>
      <c r="G21" s="17">
        <v>46286</v>
      </c>
      <c r="H21" s="8" t="s">
        <v>380</v>
      </c>
      <c r="I21" s="9">
        <v>4</v>
      </c>
      <c r="J21" s="10">
        <v>213.66</v>
      </c>
      <c r="K21" s="10">
        <v>213.66</v>
      </c>
      <c r="L21" s="8"/>
      <c r="M21" s="7"/>
    </row>
    <row r="22" spans="1:13" x14ac:dyDescent="0.25">
      <c r="A22" s="12" t="str">
        <f t="shared" si="1"/>
        <v>21435125GRUPO CASAS BAHIA SANFE</v>
      </c>
      <c r="B22" s="12" t="str">
        <f t="shared" si="2"/>
        <v>Setembro</v>
      </c>
      <c r="C22" s="9">
        <v>87</v>
      </c>
      <c r="D22" s="8" t="s">
        <v>453</v>
      </c>
      <c r="E22" s="8" t="s">
        <v>1400</v>
      </c>
      <c r="F22" s="8" t="s">
        <v>76</v>
      </c>
      <c r="G22" s="17">
        <v>46286</v>
      </c>
      <c r="H22" s="8" t="s">
        <v>380</v>
      </c>
      <c r="I22" s="9">
        <v>4</v>
      </c>
      <c r="J22" s="10">
        <v>167.9</v>
      </c>
      <c r="K22" s="10">
        <v>381.56</v>
      </c>
      <c r="L22" s="8"/>
      <c r="M22" s="7"/>
    </row>
    <row r="23" spans="1:13" x14ac:dyDescent="0.25">
      <c r="A23" s="12" t="str">
        <f t="shared" si="1"/>
        <v>39823831VIA VAREJO S/ANFE</v>
      </c>
      <c r="B23" s="12" t="str">
        <f t="shared" si="2"/>
        <v>Setembro</v>
      </c>
      <c r="C23" s="9">
        <v>87</v>
      </c>
      <c r="D23" s="8" t="s">
        <v>531</v>
      </c>
      <c r="E23" s="8" t="s">
        <v>1400</v>
      </c>
      <c r="F23" s="8" t="s">
        <v>197</v>
      </c>
      <c r="G23" s="17">
        <v>46286</v>
      </c>
      <c r="H23" s="8" t="s">
        <v>380</v>
      </c>
      <c r="I23" s="9">
        <v>4</v>
      </c>
      <c r="J23" s="10">
        <v>134.18</v>
      </c>
      <c r="K23" s="10">
        <v>515.74</v>
      </c>
      <c r="L23" s="8"/>
      <c r="M23" s="7"/>
    </row>
    <row r="24" spans="1:13" x14ac:dyDescent="0.25">
      <c r="A24" s="12" t="str">
        <f t="shared" si="1"/>
        <v>5005531DANIELLE HEBERT CARVALHO PEREIRACT</v>
      </c>
      <c r="B24" s="12" t="str">
        <f t="shared" si="2"/>
        <v>Setembro</v>
      </c>
      <c r="C24" s="9">
        <v>87</v>
      </c>
      <c r="D24" s="8" t="s">
        <v>1060</v>
      </c>
      <c r="E24" s="8" t="s">
        <v>664</v>
      </c>
      <c r="F24" s="8" t="s">
        <v>48</v>
      </c>
      <c r="G24" s="17">
        <v>46286</v>
      </c>
      <c r="H24" s="8" t="s">
        <v>1035</v>
      </c>
      <c r="I24" s="9">
        <v>1</v>
      </c>
      <c r="J24" s="10">
        <v>385</v>
      </c>
      <c r="K24" s="10">
        <v>900.74</v>
      </c>
      <c r="L24" s="8"/>
      <c r="M24" s="7"/>
    </row>
    <row r="25" spans="1:13" x14ac:dyDescent="0.25">
      <c r="A25" s="12" t="str">
        <f t="shared" si="1"/>
        <v>6745898VIA VAREJÃO/SANFE</v>
      </c>
      <c r="B25" s="12" t="str">
        <f t="shared" si="2"/>
        <v>Setembro</v>
      </c>
      <c r="C25" s="9">
        <v>87</v>
      </c>
      <c r="D25" s="8" t="s">
        <v>571</v>
      </c>
      <c r="E25" s="8" t="s">
        <v>1400</v>
      </c>
      <c r="F25" s="8" t="s">
        <v>196</v>
      </c>
      <c r="G25" s="17">
        <v>46286</v>
      </c>
      <c r="H25" s="8" t="s">
        <v>380</v>
      </c>
      <c r="I25" s="9">
        <v>4</v>
      </c>
      <c r="J25" s="10">
        <v>173.62</v>
      </c>
      <c r="K25" s="10">
        <v>1074.3599999999999</v>
      </c>
      <c r="L25" s="8"/>
      <c r="M25" s="7"/>
    </row>
    <row r="26" spans="1:13" x14ac:dyDescent="0.25">
      <c r="A26" s="12" t="str">
        <f t="shared" si="1"/>
        <v>5005533ALAOR CANAVEZ DE MORAES NETOCT</v>
      </c>
      <c r="B26" s="12" t="str">
        <f t="shared" si="2"/>
        <v>Setembro</v>
      </c>
      <c r="C26" s="9">
        <v>87</v>
      </c>
      <c r="D26" s="8" t="s">
        <v>1061</v>
      </c>
      <c r="E26" s="8" t="s">
        <v>664</v>
      </c>
      <c r="F26" s="8" t="s">
        <v>10</v>
      </c>
      <c r="G26" s="17">
        <v>46291</v>
      </c>
      <c r="H26" s="8" t="s">
        <v>1035</v>
      </c>
      <c r="I26" s="9">
        <v>1</v>
      </c>
      <c r="J26" s="10">
        <v>527.39</v>
      </c>
      <c r="K26" s="10">
        <v>527.39</v>
      </c>
      <c r="L26" s="8"/>
      <c r="M26" s="7"/>
    </row>
    <row r="27" spans="1:13" x14ac:dyDescent="0.25">
      <c r="A27" s="12" t="str">
        <f t="shared" si="1"/>
        <v>5005534EDUARDO GAUDENCIO ROSACT</v>
      </c>
      <c r="B27" s="12" t="str">
        <f t="shared" si="2"/>
        <v>Setembro</v>
      </c>
      <c r="C27" s="9">
        <v>87</v>
      </c>
      <c r="D27" s="8" t="s">
        <v>1063</v>
      </c>
      <c r="E27" s="8" t="s">
        <v>664</v>
      </c>
      <c r="F27" s="8" t="s">
        <v>58</v>
      </c>
      <c r="G27" s="17">
        <v>46291</v>
      </c>
      <c r="H27" s="8" t="s">
        <v>1035</v>
      </c>
      <c r="I27" s="9">
        <v>1</v>
      </c>
      <c r="J27" s="10">
        <v>350</v>
      </c>
      <c r="K27" s="10">
        <v>877.39</v>
      </c>
      <c r="L27" s="8"/>
      <c r="M27" s="7"/>
    </row>
    <row r="28" spans="1:13" x14ac:dyDescent="0.25">
      <c r="A28" s="12" t="str">
        <f t="shared" si="1"/>
        <v>5005535CARLOS ANTONIO PINTOCT</v>
      </c>
      <c r="B28" s="12" t="str">
        <f t="shared" si="2"/>
        <v>Setembro</v>
      </c>
      <c r="C28" s="9">
        <v>87</v>
      </c>
      <c r="D28" s="8" t="s">
        <v>1062</v>
      </c>
      <c r="E28" s="8" t="s">
        <v>664</v>
      </c>
      <c r="F28" s="8" t="s">
        <v>36</v>
      </c>
      <c r="G28" s="17">
        <v>46291</v>
      </c>
      <c r="H28" s="8" t="s">
        <v>1035</v>
      </c>
      <c r="I28" s="9">
        <v>1</v>
      </c>
      <c r="J28" s="10">
        <v>350</v>
      </c>
      <c r="K28" s="10">
        <v>1227.3900000000001</v>
      </c>
      <c r="L28" s="8"/>
      <c r="M28" s="7"/>
    </row>
    <row r="29" spans="1:13" x14ac:dyDescent="0.25">
      <c r="A29" s="12" t="str">
        <f t="shared" si="1"/>
        <v>5005536EDUARDO GAUDENCIO ROSACT</v>
      </c>
      <c r="B29" s="12" t="str">
        <f t="shared" si="2"/>
        <v>Setembro</v>
      </c>
      <c r="C29" s="9">
        <v>87</v>
      </c>
      <c r="D29" s="8" t="s">
        <v>1064</v>
      </c>
      <c r="E29" s="8" t="s">
        <v>664</v>
      </c>
      <c r="F29" s="8" t="s">
        <v>58</v>
      </c>
      <c r="G29" s="17">
        <v>46291</v>
      </c>
      <c r="H29" s="8" t="s">
        <v>1035</v>
      </c>
      <c r="I29" s="9">
        <v>1</v>
      </c>
      <c r="J29" s="10">
        <v>350</v>
      </c>
      <c r="K29" s="10">
        <v>1577.39</v>
      </c>
      <c r="L29" s="8"/>
      <c r="M29" s="7"/>
    </row>
    <row r="30" spans="1:13" x14ac:dyDescent="0.25">
      <c r="A30" s="12" t="str">
        <f t="shared" si="1"/>
        <v>5005538EDUARDO GAUDENCIO ROSACT</v>
      </c>
      <c r="B30" s="12" t="str">
        <f t="shared" si="2"/>
        <v>Setembro</v>
      </c>
      <c r="C30" s="9">
        <v>87</v>
      </c>
      <c r="D30" s="8" t="s">
        <v>1066</v>
      </c>
      <c r="E30" s="8" t="s">
        <v>664</v>
      </c>
      <c r="F30" s="8" t="s">
        <v>58</v>
      </c>
      <c r="G30" s="17">
        <v>46292</v>
      </c>
      <c r="H30" s="8" t="s">
        <v>1035</v>
      </c>
      <c r="I30" s="9">
        <v>1</v>
      </c>
      <c r="J30" s="10">
        <v>350</v>
      </c>
      <c r="K30" s="10">
        <v>350</v>
      </c>
      <c r="L30" s="8"/>
      <c r="M30" s="7"/>
    </row>
    <row r="31" spans="1:13" x14ac:dyDescent="0.25">
      <c r="A31" s="12" t="str">
        <f t="shared" si="1"/>
        <v>5005539CARLOS ANTONIO PINTOCT</v>
      </c>
      <c r="B31" s="12" t="str">
        <f t="shared" si="2"/>
        <v>Setembro</v>
      </c>
      <c r="C31" s="9">
        <v>87</v>
      </c>
      <c r="D31" s="8" t="s">
        <v>1065</v>
      </c>
      <c r="E31" s="8" t="s">
        <v>664</v>
      </c>
      <c r="F31" s="8" t="s">
        <v>36</v>
      </c>
      <c r="G31" s="17">
        <v>46292</v>
      </c>
      <c r="H31" s="8" t="s">
        <v>1035</v>
      </c>
      <c r="I31" s="9">
        <v>1</v>
      </c>
      <c r="J31" s="10">
        <v>350</v>
      </c>
      <c r="K31" s="10">
        <v>700</v>
      </c>
      <c r="L31" s="8"/>
      <c r="M31" s="7"/>
    </row>
    <row r="32" spans="1:13" x14ac:dyDescent="0.25">
      <c r="A32" s="12" t="str">
        <f t="shared" si="1"/>
        <v>5005540NATANIELLE SILVA DE SOUZA MARQUESCT</v>
      </c>
      <c r="B32" s="12" t="str">
        <f t="shared" si="2"/>
        <v>Setembro</v>
      </c>
      <c r="C32" s="9">
        <v>87</v>
      </c>
      <c r="D32" s="8" t="s">
        <v>1067</v>
      </c>
      <c r="E32" s="8" t="s">
        <v>664</v>
      </c>
      <c r="F32" s="8" t="s">
        <v>135</v>
      </c>
      <c r="G32" s="17">
        <v>46292</v>
      </c>
      <c r="H32" s="8" t="s">
        <v>1035</v>
      </c>
      <c r="I32" s="9">
        <v>1</v>
      </c>
      <c r="J32" s="10">
        <v>350</v>
      </c>
      <c r="K32" s="10">
        <v>1050</v>
      </c>
      <c r="L32" s="8"/>
      <c r="M32" s="7"/>
    </row>
    <row r="33" spans="1:13" x14ac:dyDescent="0.25">
      <c r="A33" s="12" t="str">
        <f t="shared" si="1"/>
        <v>5005541PAULO RICARDO SILVACT</v>
      </c>
      <c r="B33" s="12" t="str">
        <f t="shared" si="2"/>
        <v>Setembro</v>
      </c>
      <c r="C33" s="9">
        <v>87</v>
      </c>
      <c r="D33" s="8" t="s">
        <v>1069</v>
      </c>
      <c r="E33" s="8" t="s">
        <v>664</v>
      </c>
      <c r="F33" s="8" t="s">
        <v>153</v>
      </c>
      <c r="G33" s="17">
        <v>46292</v>
      </c>
      <c r="H33" s="8" t="s">
        <v>1035</v>
      </c>
      <c r="I33" s="9">
        <v>1</v>
      </c>
      <c r="J33" s="10">
        <v>350</v>
      </c>
      <c r="K33" s="10">
        <v>1400</v>
      </c>
      <c r="L33" s="8"/>
      <c r="M33" s="7"/>
    </row>
    <row r="34" spans="1:13" x14ac:dyDescent="0.25">
      <c r="A34" s="12" t="str">
        <f t="shared" si="1"/>
        <v>5005542NELCIDES JOSE VIEIRACT</v>
      </c>
      <c r="B34" s="12" t="str">
        <f t="shared" si="2"/>
        <v>Setembro</v>
      </c>
      <c r="C34" s="9">
        <v>87</v>
      </c>
      <c r="D34" s="8" t="s">
        <v>1068</v>
      </c>
      <c r="E34" s="8" t="s">
        <v>664</v>
      </c>
      <c r="F34" s="8" t="s">
        <v>137</v>
      </c>
      <c r="G34" s="17">
        <v>46292</v>
      </c>
      <c r="H34" s="8" t="s">
        <v>1035</v>
      </c>
      <c r="I34" s="9">
        <v>1</v>
      </c>
      <c r="J34" s="10">
        <v>350</v>
      </c>
      <c r="K34" s="10">
        <v>1750</v>
      </c>
      <c r="L34" s="8"/>
      <c r="M34" s="7"/>
    </row>
    <row r="35" spans="1:13" x14ac:dyDescent="0.25">
      <c r="A35" s="12" t="str">
        <f t="shared" si="1"/>
        <v>5005543ARTUR SILVA VIANACT</v>
      </c>
      <c r="B35" s="12" t="str">
        <f t="shared" si="2"/>
        <v>Setembro</v>
      </c>
      <c r="C35" s="9">
        <v>87</v>
      </c>
      <c r="D35" s="8" t="s">
        <v>1070</v>
      </c>
      <c r="E35" s="8" t="s">
        <v>664</v>
      </c>
      <c r="F35" s="8" t="s">
        <v>1429</v>
      </c>
      <c r="G35" s="17">
        <v>46293</v>
      </c>
      <c r="H35" s="8" t="s">
        <v>1035</v>
      </c>
      <c r="I35" s="9">
        <v>1</v>
      </c>
      <c r="J35" s="10">
        <v>350</v>
      </c>
      <c r="K35" s="10">
        <v>350</v>
      </c>
      <c r="L35" s="8"/>
      <c r="M35" s="7"/>
    </row>
    <row r="36" spans="1:13" x14ac:dyDescent="0.25">
      <c r="A36" s="12" t="str">
        <f t="shared" si="1"/>
        <v>5005544EDUARDO GAUDENCIO ROSACT</v>
      </c>
      <c r="B36" s="12" t="str">
        <f t="shared" si="2"/>
        <v>Setembro</v>
      </c>
      <c r="C36" s="9">
        <v>87</v>
      </c>
      <c r="D36" s="8" t="s">
        <v>1072</v>
      </c>
      <c r="E36" s="8" t="s">
        <v>664</v>
      </c>
      <c r="F36" s="8" t="s">
        <v>58</v>
      </c>
      <c r="G36" s="17">
        <v>46293</v>
      </c>
      <c r="H36" s="8" t="s">
        <v>1035</v>
      </c>
      <c r="I36" s="9">
        <v>1</v>
      </c>
      <c r="J36" s="10">
        <v>350</v>
      </c>
      <c r="K36" s="10">
        <v>700</v>
      </c>
      <c r="L36" s="8"/>
      <c r="M36" s="7"/>
    </row>
    <row r="37" spans="1:13" x14ac:dyDescent="0.25">
      <c r="A37" s="12" t="str">
        <f t="shared" si="1"/>
        <v>5005547MAGNO APARECIDO DE JESUSCT</v>
      </c>
      <c r="B37" s="12" t="str">
        <f t="shared" si="2"/>
        <v>Setembro</v>
      </c>
      <c r="C37" s="9">
        <v>87</v>
      </c>
      <c r="D37" s="8" t="s">
        <v>1073</v>
      </c>
      <c r="E37" s="8" t="s">
        <v>664</v>
      </c>
      <c r="F37" s="8" t="s">
        <v>115</v>
      </c>
      <c r="G37" s="17">
        <v>46293</v>
      </c>
      <c r="H37" s="8" t="s">
        <v>1035</v>
      </c>
      <c r="I37" s="9">
        <v>1</v>
      </c>
      <c r="J37" s="10">
        <v>350</v>
      </c>
      <c r="K37" s="10">
        <v>1050</v>
      </c>
      <c r="L37" s="8"/>
      <c r="M37" s="7"/>
    </row>
    <row r="38" spans="1:13" x14ac:dyDescent="0.25">
      <c r="A38" s="12" t="str">
        <f t="shared" si="1"/>
        <v>5005549NATANIELLE SILVA DE SOUZA MARQUESCT</v>
      </c>
      <c r="B38" s="12" t="str">
        <f t="shared" si="2"/>
        <v>Setembro</v>
      </c>
      <c r="C38" s="9">
        <v>87</v>
      </c>
      <c r="D38" s="8" t="s">
        <v>1074</v>
      </c>
      <c r="E38" s="8" t="s">
        <v>664</v>
      </c>
      <c r="F38" s="8" t="s">
        <v>135</v>
      </c>
      <c r="G38" s="17">
        <v>46293</v>
      </c>
      <c r="H38" s="8" t="s">
        <v>1035</v>
      </c>
      <c r="I38" s="9">
        <v>1</v>
      </c>
      <c r="J38" s="10">
        <v>350</v>
      </c>
      <c r="K38" s="10">
        <v>1400</v>
      </c>
      <c r="L38" s="8"/>
      <c r="M38" s="7"/>
    </row>
    <row r="39" spans="1:13" x14ac:dyDescent="0.25">
      <c r="A39" s="12" t="str">
        <f t="shared" si="1"/>
        <v>5005551CARLOS ANTONIO PINTOCT</v>
      </c>
      <c r="B39" s="12" t="str">
        <f t="shared" si="2"/>
        <v>Setembro</v>
      </c>
      <c r="C39" s="9">
        <v>87</v>
      </c>
      <c r="D39" s="8" t="s">
        <v>1071</v>
      </c>
      <c r="E39" s="8" t="s">
        <v>664</v>
      </c>
      <c r="F39" s="8" t="s">
        <v>36</v>
      </c>
      <c r="G39" s="17">
        <v>46293</v>
      </c>
      <c r="H39" s="8" t="s">
        <v>1035</v>
      </c>
      <c r="I39" s="9">
        <v>1</v>
      </c>
      <c r="J39" s="10">
        <v>350</v>
      </c>
      <c r="K39" s="10">
        <v>1750</v>
      </c>
      <c r="L39" s="8"/>
      <c r="M39" s="7"/>
    </row>
    <row r="40" spans="1:13" x14ac:dyDescent="0.25">
      <c r="A40" s="12" t="str">
        <f t="shared" si="1"/>
        <v>5005552NELCIDES JOSE VIEIRACT</v>
      </c>
      <c r="B40" s="12" t="str">
        <f t="shared" si="2"/>
        <v>Setembro</v>
      </c>
      <c r="C40" s="9">
        <v>87</v>
      </c>
      <c r="D40" s="8" t="s">
        <v>1075</v>
      </c>
      <c r="E40" s="8" t="s">
        <v>664</v>
      </c>
      <c r="F40" s="8" t="s">
        <v>137</v>
      </c>
      <c r="G40" s="17">
        <v>46293</v>
      </c>
      <c r="H40" s="8" t="s">
        <v>1035</v>
      </c>
      <c r="I40" s="9">
        <v>1</v>
      </c>
      <c r="J40" s="10">
        <v>350</v>
      </c>
      <c r="K40" s="10">
        <v>2100</v>
      </c>
      <c r="L40" s="8"/>
      <c r="M40" s="7"/>
    </row>
    <row r="41" spans="1:13" x14ac:dyDescent="0.25">
      <c r="A41" s="12" t="str">
        <f t="shared" si="1"/>
        <v>5005553NELCIDES JOSE VIEIRACT</v>
      </c>
      <c r="B41" s="12" t="str">
        <f t="shared" si="2"/>
        <v>Setembro</v>
      </c>
      <c r="C41" s="9">
        <v>87</v>
      </c>
      <c r="D41" s="8" t="s">
        <v>1076</v>
      </c>
      <c r="E41" s="8" t="s">
        <v>664</v>
      </c>
      <c r="F41" s="8" t="s">
        <v>137</v>
      </c>
      <c r="G41" s="17">
        <v>46294</v>
      </c>
      <c r="H41" s="8" t="s">
        <v>1035</v>
      </c>
      <c r="I41" s="9">
        <v>1</v>
      </c>
      <c r="J41" s="10">
        <v>350</v>
      </c>
      <c r="K41" s="10">
        <v>350</v>
      </c>
      <c r="L41" s="8"/>
      <c r="M41" s="7"/>
    </row>
    <row r="42" spans="1:13" x14ac:dyDescent="0.25">
      <c r="A42" s="12" t="str">
        <f t="shared" si="1"/>
        <v>5005554NELCIDES JOSE VIEIRACT</v>
      </c>
      <c r="B42" s="12" t="str">
        <f t="shared" si="2"/>
        <v>Setembro</v>
      </c>
      <c r="C42" s="9">
        <v>87</v>
      </c>
      <c r="D42" s="8" t="s">
        <v>1084</v>
      </c>
      <c r="E42" s="8" t="s">
        <v>664</v>
      </c>
      <c r="F42" s="8" t="s">
        <v>137</v>
      </c>
      <c r="G42" s="17">
        <v>46295</v>
      </c>
      <c r="H42" s="8" t="s">
        <v>1035</v>
      </c>
      <c r="I42" s="9">
        <v>1</v>
      </c>
      <c r="J42" s="10">
        <v>350</v>
      </c>
      <c r="K42" s="10">
        <v>350</v>
      </c>
      <c r="L42" s="8"/>
      <c r="M42" s="7"/>
    </row>
    <row r="43" spans="1:13" x14ac:dyDescent="0.25">
      <c r="A43" s="12" t="str">
        <f t="shared" si="1"/>
        <v>5005555MAGNO APARECIDO DE JESUSCT</v>
      </c>
      <c r="B43" s="12" t="str">
        <f t="shared" si="2"/>
        <v>Setembro</v>
      </c>
      <c r="C43" s="9">
        <v>87</v>
      </c>
      <c r="D43" s="8" t="s">
        <v>1082</v>
      </c>
      <c r="E43" s="8" t="s">
        <v>664</v>
      </c>
      <c r="F43" s="8" t="s">
        <v>115</v>
      </c>
      <c r="G43" s="17">
        <v>46295</v>
      </c>
      <c r="H43" s="8" t="s">
        <v>1035</v>
      </c>
      <c r="I43" s="9">
        <v>1</v>
      </c>
      <c r="J43" s="10">
        <v>350</v>
      </c>
      <c r="K43" s="10">
        <v>700</v>
      </c>
      <c r="L43" s="8"/>
      <c r="M43" s="7"/>
    </row>
    <row r="44" spans="1:13" x14ac:dyDescent="0.25">
      <c r="A44" s="12" t="str">
        <f t="shared" si="1"/>
        <v>5005557CRISTIAN ALVES MOREIRACT</v>
      </c>
      <c r="B44" s="12" t="str">
        <f t="shared" si="2"/>
        <v>Setembro</v>
      </c>
      <c r="C44" s="9">
        <v>87</v>
      </c>
      <c r="D44" s="8" t="s">
        <v>1079</v>
      </c>
      <c r="E44" s="8" t="s">
        <v>664</v>
      </c>
      <c r="F44" s="8" t="s">
        <v>46</v>
      </c>
      <c r="G44" s="17">
        <v>46295</v>
      </c>
      <c r="H44" s="8" t="s">
        <v>1035</v>
      </c>
      <c r="I44" s="9">
        <v>1</v>
      </c>
      <c r="J44" s="10">
        <v>385</v>
      </c>
      <c r="K44" s="10">
        <v>1085</v>
      </c>
      <c r="L44" s="8"/>
      <c r="M44" s="7"/>
    </row>
    <row r="45" spans="1:13" x14ac:dyDescent="0.25">
      <c r="A45" s="12" t="str">
        <f t="shared" si="1"/>
        <v>5005558CARLOS ANTONIO PINTOCT</v>
      </c>
      <c r="B45" s="12" t="str">
        <f t="shared" si="2"/>
        <v>Setembro</v>
      </c>
      <c r="C45" s="9">
        <v>87</v>
      </c>
      <c r="D45" s="8" t="s">
        <v>1078</v>
      </c>
      <c r="E45" s="8" t="s">
        <v>664</v>
      </c>
      <c r="F45" s="8" t="s">
        <v>36</v>
      </c>
      <c r="G45" s="17">
        <v>46295</v>
      </c>
      <c r="H45" s="8" t="s">
        <v>1035</v>
      </c>
      <c r="I45" s="9">
        <v>1</v>
      </c>
      <c r="J45" s="10">
        <v>350</v>
      </c>
      <c r="K45" s="10">
        <v>1435</v>
      </c>
      <c r="L45" s="8"/>
      <c r="M45" s="7"/>
    </row>
    <row r="46" spans="1:13" x14ac:dyDescent="0.25">
      <c r="A46" s="12" t="str">
        <f t="shared" si="1"/>
        <v>5005559EDUARDO GAUDENCIO ROSACT</v>
      </c>
      <c r="B46" s="12" t="str">
        <f t="shared" si="2"/>
        <v>Setembro</v>
      </c>
      <c r="C46" s="9">
        <v>87</v>
      </c>
      <c r="D46" s="8" t="s">
        <v>1080</v>
      </c>
      <c r="E46" s="8" t="s">
        <v>664</v>
      </c>
      <c r="F46" s="8" t="s">
        <v>58</v>
      </c>
      <c r="G46" s="17">
        <v>46295</v>
      </c>
      <c r="H46" s="8" t="s">
        <v>1035</v>
      </c>
      <c r="I46" s="9">
        <v>1</v>
      </c>
      <c r="J46" s="10">
        <v>350</v>
      </c>
      <c r="K46" s="10">
        <v>1785</v>
      </c>
      <c r="L46" s="8"/>
      <c r="M46" s="7"/>
    </row>
    <row r="47" spans="1:13" x14ac:dyDescent="0.25">
      <c r="A47" s="12" t="str">
        <f t="shared" si="1"/>
        <v>5005560NATANIELLE SILVA DE SOUZA MARQUESCT</v>
      </c>
      <c r="B47" s="12" t="str">
        <f t="shared" si="2"/>
        <v>Setembro</v>
      </c>
      <c r="C47" s="9">
        <v>87</v>
      </c>
      <c r="D47" s="8" t="s">
        <v>1083</v>
      </c>
      <c r="E47" s="8" t="s">
        <v>664</v>
      </c>
      <c r="F47" s="8" t="s">
        <v>135</v>
      </c>
      <c r="G47" s="17">
        <v>46295</v>
      </c>
      <c r="H47" s="8" t="s">
        <v>1035</v>
      </c>
      <c r="I47" s="9">
        <v>1</v>
      </c>
      <c r="J47" s="10">
        <v>350</v>
      </c>
      <c r="K47" s="10">
        <v>2135</v>
      </c>
      <c r="L47" s="8"/>
      <c r="M47" s="7"/>
    </row>
    <row r="48" spans="1:13" x14ac:dyDescent="0.25">
      <c r="A48" s="12" t="str">
        <f t="shared" si="1"/>
        <v>5005561ALAOR CANAVEZ DE MORAES NETOCT</v>
      </c>
      <c r="B48" s="12" t="str">
        <f t="shared" si="2"/>
        <v>Setembro</v>
      </c>
      <c r="C48" s="9">
        <v>87</v>
      </c>
      <c r="D48" s="8" t="s">
        <v>1077</v>
      </c>
      <c r="E48" s="8" t="s">
        <v>664</v>
      </c>
      <c r="F48" s="8" t="s">
        <v>10</v>
      </c>
      <c r="G48" s="17">
        <v>46295</v>
      </c>
      <c r="H48" s="8" t="s">
        <v>1035</v>
      </c>
      <c r="I48" s="9">
        <v>1</v>
      </c>
      <c r="J48" s="10">
        <v>385</v>
      </c>
      <c r="K48" s="10">
        <v>2520</v>
      </c>
      <c r="L48" s="8"/>
      <c r="M48" s="7"/>
    </row>
    <row r="49" spans="1:13" x14ac:dyDescent="0.25">
      <c r="A49" s="12" t="str">
        <f t="shared" si="1"/>
        <v>5005562JAIME GOMES PARAGUAICT</v>
      </c>
      <c r="B49" s="12" t="str">
        <f t="shared" si="2"/>
        <v>Setembro</v>
      </c>
      <c r="C49" s="9">
        <v>87</v>
      </c>
      <c r="D49" s="8" t="s">
        <v>1081</v>
      </c>
      <c r="E49" s="8" t="s">
        <v>664</v>
      </c>
      <c r="F49" s="8" t="s">
        <v>87</v>
      </c>
      <c r="G49" s="17">
        <v>46295</v>
      </c>
      <c r="H49" s="8" t="s">
        <v>1035</v>
      </c>
      <c r="I49" s="9">
        <v>1</v>
      </c>
      <c r="J49" s="10">
        <v>385</v>
      </c>
      <c r="K49" s="10">
        <v>2905</v>
      </c>
      <c r="L49" s="8"/>
      <c r="M49" s="7"/>
    </row>
    <row r="50" spans="1:13" x14ac:dyDescent="0.25">
      <c r="A50" s="12" t="str">
        <f t="shared" si="1"/>
        <v>5005563CARLOS ANTONIO PINTOCT</v>
      </c>
      <c r="B50" s="12" t="str">
        <f t="shared" si="2"/>
        <v>Outubro</v>
      </c>
      <c r="C50" s="9">
        <v>87</v>
      </c>
      <c r="D50" s="8" t="s">
        <v>1085</v>
      </c>
      <c r="E50" s="8" t="s">
        <v>664</v>
      </c>
      <c r="F50" s="8" t="s">
        <v>36</v>
      </c>
      <c r="G50" s="17">
        <v>46296</v>
      </c>
      <c r="H50" s="8" t="s">
        <v>1035</v>
      </c>
      <c r="I50" s="9">
        <v>1</v>
      </c>
      <c r="J50" s="10">
        <v>350</v>
      </c>
      <c r="K50" s="10">
        <v>350</v>
      </c>
      <c r="L50" s="8"/>
      <c r="M50" s="7"/>
    </row>
    <row r="51" spans="1:13" x14ac:dyDescent="0.25">
      <c r="A51" s="12" t="str">
        <f t="shared" si="1"/>
        <v>5005564EDUARDO GAUDENCIO ROSACT</v>
      </c>
      <c r="B51" s="12" t="str">
        <f t="shared" si="2"/>
        <v>Outubro</v>
      </c>
      <c r="C51" s="9">
        <v>87</v>
      </c>
      <c r="D51" s="8" t="s">
        <v>1087</v>
      </c>
      <c r="E51" s="8" t="s">
        <v>664</v>
      </c>
      <c r="F51" s="8" t="s">
        <v>58</v>
      </c>
      <c r="G51" s="17">
        <v>46297</v>
      </c>
      <c r="H51" s="8" t="s">
        <v>1035</v>
      </c>
      <c r="I51" s="9">
        <v>1</v>
      </c>
      <c r="J51" s="10">
        <v>350</v>
      </c>
      <c r="K51" s="10">
        <v>350</v>
      </c>
      <c r="L51" s="8"/>
      <c r="M51" s="7"/>
    </row>
    <row r="52" spans="1:13" x14ac:dyDescent="0.25">
      <c r="A52" s="12" t="str">
        <f t="shared" si="1"/>
        <v>5005565MAGNO APARECIDO DE JESUSCT</v>
      </c>
      <c r="B52" s="12" t="str">
        <f t="shared" si="2"/>
        <v>Outubro</v>
      </c>
      <c r="C52" s="9">
        <v>87</v>
      </c>
      <c r="D52" s="8" t="s">
        <v>1088</v>
      </c>
      <c r="E52" s="8" t="s">
        <v>664</v>
      </c>
      <c r="F52" s="8" t="s">
        <v>115</v>
      </c>
      <c r="G52" s="17">
        <v>46297</v>
      </c>
      <c r="H52" s="8" t="s">
        <v>1035</v>
      </c>
      <c r="I52" s="9">
        <v>1</v>
      </c>
      <c r="J52" s="10">
        <v>350</v>
      </c>
      <c r="K52" s="10">
        <v>700</v>
      </c>
      <c r="L52" s="8"/>
      <c r="M52" s="7"/>
    </row>
    <row r="53" spans="1:13" x14ac:dyDescent="0.25">
      <c r="A53" s="12" t="str">
        <f t="shared" si="1"/>
        <v>5005566CARLOS ANTONIO PINTOCT</v>
      </c>
      <c r="B53" s="12" t="str">
        <f t="shared" si="2"/>
        <v>Outubro</v>
      </c>
      <c r="C53" s="9">
        <v>87</v>
      </c>
      <c r="D53" s="8" t="s">
        <v>1086</v>
      </c>
      <c r="E53" s="8" t="s">
        <v>664</v>
      </c>
      <c r="F53" s="8" t="s">
        <v>36</v>
      </c>
      <c r="G53" s="17">
        <v>46297</v>
      </c>
      <c r="H53" s="8" t="s">
        <v>1035</v>
      </c>
      <c r="I53" s="9">
        <v>1</v>
      </c>
      <c r="J53" s="10">
        <v>350</v>
      </c>
      <c r="K53" s="10">
        <v>1050</v>
      </c>
      <c r="L53" s="8"/>
      <c r="M53" s="7"/>
    </row>
    <row r="54" spans="1:13" x14ac:dyDescent="0.25">
      <c r="A54" s="12" t="str">
        <f t="shared" si="1"/>
        <v>5005567PAULO RICARDO SILVACT</v>
      </c>
      <c r="B54" s="12" t="str">
        <f t="shared" si="2"/>
        <v>Outubro</v>
      </c>
      <c r="C54" s="9">
        <v>87</v>
      </c>
      <c r="D54" s="8" t="s">
        <v>1089</v>
      </c>
      <c r="E54" s="8" t="s">
        <v>664</v>
      </c>
      <c r="F54" s="8" t="s">
        <v>153</v>
      </c>
      <c r="G54" s="17">
        <v>46297</v>
      </c>
      <c r="H54" s="8" t="s">
        <v>1035</v>
      </c>
      <c r="I54" s="9">
        <v>1</v>
      </c>
      <c r="J54" s="10">
        <v>350</v>
      </c>
      <c r="K54" s="10">
        <v>1400</v>
      </c>
      <c r="L54" s="8"/>
      <c r="M54" s="7"/>
    </row>
    <row r="55" spans="1:13" x14ac:dyDescent="0.25">
      <c r="A55" s="12" t="str">
        <f t="shared" si="1"/>
        <v>190245MINAS MAQUINAS SA | JUIZ DE FORANFE</v>
      </c>
      <c r="B55" s="12" t="str">
        <f t="shared" si="2"/>
        <v>Outubro</v>
      </c>
      <c r="C55" s="9">
        <v>87</v>
      </c>
      <c r="D55" s="8" t="s">
        <v>439</v>
      </c>
      <c r="E55" s="8" t="s">
        <v>1400</v>
      </c>
      <c r="F55" s="8" t="s">
        <v>132</v>
      </c>
      <c r="G55" s="17">
        <v>46298</v>
      </c>
      <c r="H55" s="8" t="s">
        <v>380</v>
      </c>
      <c r="I55" s="9">
        <v>2</v>
      </c>
      <c r="J55" s="10">
        <v>988.45</v>
      </c>
      <c r="K55" s="10">
        <v>988.45</v>
      </c>
      <c r="L55" s="8"/>
      <c r="M55" s="7"/>
    </row>
    <row r="56" spans="1:13" x14ac:dyDescent="0.25">
      <c r="A56" s="12" t="str">
        <f t="shared" si="1"/>
        <v>202600000024868MINAS MAQUINAS SA | JUIZ DE FORANFS</v>
      </c>
      <c r="B56" s="12" t="str">
        <f t="shared" si="2"/>
        <v>Outubro</v>
      </c>
      <c r="C56" s="9">
        <v>87</v>
      </c>
      <c r="D56" s="8" t="s">
        <v>639</v>
      </c>
      <c r="E56" s="8" t="s">
        <v>1354</v>
      </c>
      <c r="F56" s="8" t="s">
        <v>132</v>
      </c>
      <c r="G56" s="17">
        <v>46298</v>
      </c>
      <c r="H56" s="8" t="s">
        <v>614</v>
      </c>
      <c r="I56" s="9">
        <v>2</v>
      </c>
      <c r="J56" s="10">
        <v>897</v>
      </c>
      <c r="K56" s="10">
        <v>1885.45</v>
      </c>
      <c r="L56" s="8"/>
      <c r="M56" s="7"/>
    </row>
    <row r="57" spans="1:13" x14ac:dyDescent="0.25">
      <c r="A57" s="12" t="str">
        <f t="shared" si="1"/>
        <v>32CASA DA SPRINTER LTDANFE</v>
      </c>
      <c r="B57" s="12" t="str">
        <f t="shared" si="2"/>
        <v>Outubro</v>
      </c>
      <c r="C57" s="9">
        <v>87</v>
      </c>
      <c r="D57" s="8" t="s">
        <v>490</v>
      </c>
      <c r="E57" s="8" t="s">
        <v>664</v>
      </c>
      <c r="F57" s="8" t="s">
        <v>205</v>
      </c>
      <c r="G57" s="17">
        <v>46299</v>
      </c>
      <c r="H57" s="8" t="s">
        <v>380</v>
      </c>
      <c r="I57" s="9">
        <v>1</v>
      </c>
      <c r="J57" s="10">
        <v>1891</v>
      </c>
      <c r="K57" s="10">
        <v>1891</v>
      </c>
      <c r="L57" s="8"/>
      <c r="M57" s="7"/>
    </row>
    <row r="58" spans="1:13" x14ac:dyDescent="0.25">
      <c r="A58" s="12" t="str">
        <f t="shared" si="1"/>
        <v>33CASA DA SPRINTER LTDANFE</v>
      </c>
      <c r="B58" s="12" t="str">
        <f t="shared" si="2"/>
        <v>Outubro</v>
      </c>
      <c r="C58" s="9">
        <v>87</v>
      </c>
      <c r="D58" s="8" t="s">
        <v>491</v>
      </c>
      <c r="E58" s="8" t="s">
        <v>664</v>
      </c>
      <c r="F58" s="8" t="s">
        <v>205</v>
      </c>
      <c r="G58" s="17">
        <v>46299</v>
      </c>
      <c r="H58" s="8" t="s">
        <v>380</v>
      </c>
      <c r="I58" s="9">
        <v>1</v>
      </c>
      <c r="J58" s="10">
        <v>1599</v>
      </c>
      <c r="K58" s="10">
        <v>3490</v>
      </c>
      <c r="L58" s="8"/>
      <c r="M58" s="7"/>
    </row>
    <row r="59" spans="1:13" x14ac:dyDescent="0.25">
      <c r="A59" s="12" t="str">
        <f t="shared" si="1"/>
        <v>34CASA DA SPRINTER LTDANFE</v>
      </c>
      <c r="B59" s="12" t="str">
        <f t="shared" si="2"/>
        <v>Outubro</v>
      </c>
      <c r="C59" s="9">
        <v>87</v>
      </c>
      <c r="D59" s="8" t="s">
        <v>495</v>
      </c>
      <c r="E59" s="8" t="s">
        <v>664</v>
      </c>
      <c r="F59" s="8" t="s">
        <v>205</v>
      </c>
      <c r="G59" s="17">
        <v>46299</v>
      </c>
      <c r="H59" s="8" t="s">
        <v>380</v>
      </c>
      <c r="I59" s="9">
        <v>1</v>
      </c>
      <c r="J59" s="10">
        <v>169</v>
      </c>
      <c r="K59" s="10">
        <v>3659</v>
      </c>
      <c r="L59" s="8"/>
      <c r="M59" s="7"/>
    </row>
    <row r="60" spans="1:13" x14ac:dyDescent="0.25">
      <c r="A60" s="12" t="str">
        <f t="shared" si="1"/>
        <v>35CASA DA SPRINTER LTDANFE</v>
      </c>
      <c r="B60" s="12" t="str">
        <f t="shared" si="2"/>
        <v>Outubro</v>
      </c>
      <c r="C60" s="9">
        <v>87</v>
      </c>
      <c r="D60" s="8" t="s">
        <v>502</v>
      </c>
      <c r="E60" s="8" t="s">
        <v>664</v>
      </c>
      <c r="F60" s="8" t="s">
        <v>205</v>
      </c>
      <c r="G60" s="17">
        <v>46299</v>
      </c>
      <c r="H60" s="8" t="s">
        <v>380</v>
      </c>
      <c r="I60" s="9">
        <v>1</v>
      </c>
      <c r="J60" s="10">
        <v>2690</v>
      </c>
      <c r="K60" s="10">
        <v>6349</v>
      </c>
      <c r="L60" s="8"/>
      <c r="M60" s="7"/>
    </row>
    <row r="61" spans="1:13" x14ac:dyDescent="0.25">
      <c r="A61" s="12" t="str">
        <f t="shared" si="1"/>
        <v>87CASA DA SPRINTER LTDANSE</v>
      </c>
      <c r="B61" s="12" t="str">
        <f t="shared" si="2"/>
        <v>Outubro</v>
      </c>
      <c r="C61" s="9">
        <v>87</v>
      </c>
      <c r="D61" s="8" t="s">
        <v>988</v>
      </c>
      <c r="E61" s="8" t="s">
        <v>1354</v>
      </c>
      <c r="F61" s="8" t="s">
        <v>205</v>
      </c>
      <c r="G61" s="17">
        <v>46299</v>
      </c>
      <c r="H61" s="8" t="s">
        <v>665</v>
      </c>
      <c r="I61" s="9">
        <v>1</v>
      </c>
      <c r="J61" s="10">
        <v>977.62</v>
      </c>
      <c r="K61" s="10">
        <v>7326.62</v>
      </c>
      <c r="L61" s="8"/>
      <c r="M61" s="7"/>
    </row>
    <row r="62" spans="1:13" x14ac:dyDescent="0.25">
      <c r="A62" s="12" t="str">
        <f t="shared" si="1"/>
        <v>88CASA DA SPRINTER LTDANSE</v>
      </c>
      <c r="B62" s="12" t="str">
        <f t="shared" si="2"/>
        <v>Outubro</v>
      </c>
      <c r="C62" s="9">
        <v>87</v>
      </c>
      <c r="D62" s="8" t="s">
        <v>992</v>
      </c>
      <c r="E62" s="8" t="s">
        <v>1354</v>
      </c>
      <c r="F62" s="8" t="s">
        <v>205</v>
      </c>
      <c r="G62" s="17">
        <v>46299</v>
      </c>
      <c r="H62" s="8" t="s">
        <v>665</v>
      </c>
      <c r="I62" s="9">
        <v>1</v>
      </c>
      <c r="J62" s="10">
        <v>473.79</v>
      </c>
      <c r="K62" s="10">
        <v>7800.41</v>
      </c>
      <c r="L62" s="8"/>
      <c r="M62" s="7"/>
    </row>
    <row r="63" spans="1:13" x14ac:dyDescent="0.25">
      <c r="A63" s="12" t="str">
        <f t="shared" si="1"/>
        <v>89CASA DA SPRINTER LTDANSE</v>
      </c>
      <c r="B63" s="12" t="str">
        <f t="shared" si="2"/>
        <v>Outubro</v>
      </c>
      <c r="C63" s="9">
        <v>87</v>
      </c>
      <c r="D63" s="8" t="s">
        <v>997</v>
      </c>
      <c r="E63" s="8" t="s">
        <v>1354</v>
      </c>
      <c r="F63" s="8" t="s">
        <v>205</v>
      </c>
      <c r="G63" s="17">
        <v>46299</v>
      </c>
      <c r="H63" s="8" t="s">
        <v>665</v>
      </c>
      <c r="I63" s="9">
        <v>1</v>
      </c>
      <c r="J63" s="10">
        <v>387.56</v>
      </c>
      <c r="K63" s="10">
        <v>8187.97</v>
      </c>
      <c r="L63" s="8"/>
      <c r="M63" s="7"/>
    </row>
    <row r="64" spans="1:13" x14ac:dyDescent="0.25">
      <c r="A64" s="12" t="str">
        <f t="shared" si="1"/>
        <v>90CASA DA SPRINTER LTDANSE</v>
      </c>
      <c r="B64" s="12" t="str">
        <f t="shared" si="2"/>
        <v>Outubro</v>
      </c>
      <c r="C64" s="9">
        <v>87</v>
      </c>
      <c r="D64" s="8" t="s">
        <v>595</v>
      </c>
      <c r="E64" s="8" t="s">
        <v>1354</v>
      </c>
      <c r="F64" s="8" t="s">
        <v>205</v>
      </c>
      <c r="G64" s="17">
        <v>46299</v>
      </c>
      <c r="H64" s="8" t="s">
        <v>665</v>
      </c>
      <c r="I64" s="9">
        <v>1</v>
      </c>
      <c r="J64" s="10">
        <v>871.04</v>
      </c>
      <c r="K64" s="10">
        <v>9059.01</v>
      </c>
      <c r="L64" s="8"/>
      <c r="M64" s="7"/>
    </row>
    <row r="65" spans="1:13" x14ac:dyDescent="0.25">
      <c r="A65" s="12" t="str">
        <f t="shared" si="1"/>
        <v>71728REALGLASS ATACADO E VAREJO LTDANFE</v>
      </c>
      <c r="B65" s="12" t="str">
        <f t="shared" si="2"/>
        <v>Outubro</v>
      </c>
      <c r="C65" s="9">
        <v>87</v>
      </c>
      <c r="D65" s="8" t="s">
        <v>577</v>
      </c>
      <c r="E65" s="8" t="s">
        <v>1400</v>
      </c>
      <c r="F65" s="8" t="s">
        <v>165</v>
      </c>
      <c r="G65" s="17">
        <v>46300</v>
      </c>
      <c r="H65" s="8" t="s">
        <v>380</v>
      </c>
      <c r="I65" s="9">
        <v>1</v>
      </c>
      <c r="J65" s="10">
        <v>390</v>
      </c>
      <c r="K65" s="10">
        <v>390</v>
      </c>
      <c r="L65" s="8"/>
      <c r="M65" s="7"/>
    </row>
    <row r="66" spans="1:13" x14ac:dyDescent="0.25">
      <c r="A66" s="12" t="str">
        <f t="shared" si="1"/>
        <v>17967TREVISO BETIM VEICULOS LTDANSE</v>
      </c>
      <c r="B66" s="12" t="str">
        <f t="shared" si="2"/>
        <v>Outubro</v>
      </c>
      <c r="C66" s="9">
        <v>87</v>
      </c>
      <c r="D66" s="8" t="s">
        <v>753</v>
      </c>
      <c r="E66" s="8" t="s">
        <v>1354</v>
      </c>
      <c r="F66" s="8" t="s">
        <v>190</v>
      </c>
      <c r="G66" s="17">
        <v>46301</v>
      </c>
      <c r="H66" s="8" t="s">
        <v>665</v>
      </c>
      <c r="I66" s="9">
        <v>1</v>
      </c>
      <c r="J66" s="10">
        <v>1293.58</v>
      </c>
      <c r="K66" s="10">
        <v>1293.58</v>
      </c>
      <c r="L66" s="8"/>
      <c r="M66" s="7"/>
    </row>
    <row r="67" spans="1:13" x14ac:dyDescent="0.25">
      <c r="A67" s="12" t="str">
        <f t="shared" ref="A67:A130" si="3">D67&amp;F67&amp;H67</f>
        <v>500565457.091.288 JOHNSON RAMOS DE CARVALHOCT</v>
      </c>
      <c r="B67" s="12" t="str">
        <f t="shared" ref="B67:B130" si="4">PROPER(TEXT($G67,"MMMM"))</f>
        <v>Outubro</v>
      </c>
      <c r="C67" s="9">
        <v>87</v>
      </c>
      <c r="D67" s="8" t="s">
        <v>3226</v>
      </c>
      <c r="E67" s="8" t="s">
        <v>664</v>
      </c>
      <c r="F67" s="8" t="s">
        <v>3225</v>
      </c>
      <c r="G67" s="17">
        <v>46301</v>
      </c>
      <c r="H67" s="8" t="s">
        <v>1035</v>
      </c>
      <c r="I67" s="9">
        <v>1</v>
      </c>
      <c r="J67" s="10">
        <v>559</v>
      </c>
      <c r="K67" s="10">
        <v>1852.58</v>
      </c>
      <c r="L67" s="8"/>
      <c r="M67" s="7"/>
    </row>
    <row r="68" spans="1:13" x14ac:dyDescent="0.25">
      <c r="A68" s="12" t="str">
        <f t="shared" si="3"/>
        <v>1020084SASCAR TECNOLOGIA E SEGURANÇA AUTOMOTICA S/ANSE</v>
      </c>
      <c r="B68" s="12" t="str">
        <f t="shared" si="4"/>
        <v>Outubro</v>
      </c>
      <c r="C68" s="9">
        <v>87</v>
      </c>
      <c r="D68" s="8" t="s">
        <v>672</v>
      </c>
      <c r="E68" s="8" t="s">
        <v>1354</v>
      </c>
      <c r="F68" s="8" t="s">
        <v>179</v>
      </c>
      <c r="G68" s="17">
        <v>46302</v>
      </c>
      <c r="H68" s="8" t="s">
        <v>665</v>
      </c>
      <c r="I68" s="9">
        <v>1</v>
      </c>
      <c r="J68" s="10">
        <v>373.3</v>
      </c>
      <c r="K68" s="10">
        <v>373.3</v>
      </c>
      <c r="L68" s="8"/>
      <c r="M68" s="7"/>
    </row>
    <row r="69" spans="1:13" x14ac:dyDescent="0.25">
      <c r="A69" s="12" t="str">
        <f t="shared" si="3"/>
        <v>5005725MARCOS FILIPE DE ALCANTARA PEREIRACT</v>
      </c>
      <c r="B69" s="12" t="str">
        <f t="shared" si="4"/>
        <v>Outubro</v>
      </c>
      <c r="C69" s="9">
        <v>87</v>
      </c>
      <c r="D69" s="8" t="s">
        <v>1104</v>
      </c>
      <c r="E69" s="8" t="s">
        <v>664</v>
      </c>
      <c r="F69" s="8" t="s">
        <v>1385</v>
      </c>
      <c r="G69" s="17">
        <v>46302</v>
      </c>
      <c r="H69" s="8" t="s">
        <v>1035</v>
      </c>
      <c r="I69" s="9">
        <v>1</v>
      </c>
      <c r="J69" s="10">
        <v>455</v>
      </c>
      <c r="K69" s="10">
        <v>828.3</v>
      </c>
      <c r="L69" s="8"/>
      <c r="M69" s="7"/>
    </row>
    <row r="70" spans="1:13" x14ac:dyDescent="0.25">
      <c r="A70" s="12" t="str">
        <f t="shared" si="3"/>
        <v>500572615.312.878 ELIANA HENRIQUE MENDES BARBOSACT</v>
      </c>
      <c r="B70" s="12" t="str">
        <f t="shared" si="4"/>
        <v>Outubro</v>
      </c>
      <c r="C70" s="9">
        <v>87</v>
      </c>
      <c r="D70" s="8" t="s">
        <v>1090</v>
      </c>
      <c r="E70" s="8" t="s">
        <v>664</v>
      </c>
      <c r="F70" s="8" t="s">
        <v>3222</v>
      </c>
      <c r="G70" s="17">
        <v>46302</v>
      </c>
      <c r="H70" s="8" t="s">
        <v>1035</v>
      </c>
      <c r="I70" s="9">
        <v>1</v>
      </c>
      <c r="J70" s="10">
        <v>23</v>
      </c>
      <c r="K70" s="10">
        <v>851.3</v>
      </c>
      <c r="L70" s="8"/>
      <c r="M70" s="7"/>
    </row>
    <row r="71" spans="1:13" x14ac:dyDescent="0.25">
      <c r="A71" s="12" t="str">
        <f t="shared" si="3"/>
        <v>5005727EDUARDO GAUDENCIO ROSACT</v>
      </c>
      <c r="B71" s="12" t="str">
        <f t="shared" si="4"/>
        <v>Outubro</v>
      </c>
      <c r="C71" s="9">
        <v>87</v>
      </c>
      <c r="D71" s="8" t="s">
        <v>1097</v>
      </c>
      <c r="E71" s="8" t="s">
        <v>664</v>
      </c>
      <c r="F71" s="8" t="s">
        <v>58</v>
      </c>
      <c r="G71" s="17">
        <v>46302</v>
      </c>
      <c r="H71" s="8" t="s">
        <v>1035</v>
      </c>
      <c r="I71" s="9">
        <v>1</v>
      </c>
      <c r="J71" s="10">
        <v>1577</v>
      </c>
      <c r="K71" s="10">
        <v>2428.3000000000002</v>
      </c>
      <c r="L71" s="8"/>
      <c r="M71" s="7"/>
    </row>
    <row r="72" spans="1:13" x14ac:dyDescent="0.25">
      <c r="A72" s="12" t="str">
        <f t="shared" si="3"/>
        <v>5005728PAULO RICARDO SILVACT</v>
      </c>
      <c r="B72" s="12" t="str">
        <f t="shared" si="4"/>
        <v>Outubro</v>
      </c>
      <c r="C72" s="9">
        <v>87</v>
      </c>
      <c r="D72" s="8" t="s">
        <v>1107</v>
      </c>
      <c r="E72" s="8" t="s">
        <v>664</v>
      </c>
      <c r="F72" s="8" t="s">
        <v>153</v>
      </c>
      <c r="G72" s="17">
        <v>46302</v>
      </c>
      <c r="H72" s="8" t="s">
        <v>1035</v>
      </c>
      <c r="I72" s="9">
        <v>1</v>
      </c>
      <c r="J72" s="10">
        <v>733</v>
      </c>
      <c r="K72" s="10">
        <v>3161.3</v>
      </c>
      <c r="L72" s="8"/>
      <c r="M72" s="7"/>
    </row>
    <row r="73" spans="1:13" x14ac:dyDescent="0.25">
      <c r="A73" s="12" t="str">
        <f t="shared" si="3"/>
        <v>500572952.395.444. ADRIANO ROBERTOCT</v>
      </c>
      <c r="B73" s="12" t="str">
        <f t="shared" si="4"/>
        <v>Outubro</v>
      </c>
      <c r="C73" s="9">
        <v>87</v>
      </c>
      <c r="D73" s="8" t="s">
        <v>1092</v>
      </c>
      <c r="E73" s="8" t="s">
        <v>664</v>
      </c>
      <c r="F73" s="8" t="s">
        <v>3074</v>
      </c>
      <c r="G73" s="17">
        <v>46302</v>
      </c>
      <c r="H73" s="8" t="s">
        <v>1035</v>
      </c>
      <c r="I73" s="9">
        <v>1</v>
      </c>
      <c r="J73" s="10">
        <v>107</v>
      </c>
      <c r="K73" s="10">
        <v>3268.3</v>
      </c>
      <c r="L73" s="8"/>
      <c r="M73" s="7"/>
    </row>
    <row r="74" spans="1:13" x14ac:dyDescent="0.25">
      <c r="A74" s="12" t="str">
        <f t="shared" si="3"/>
        <v>5005730RENAN ELTON DIVINOCT</v>
      </c>
      <c r="B74" s="12" t="str">
        <f t="shared" si="4"/>
        <v>Outubro</v>
      </c>
      <c r="C74" s="9">
        <v>87</v>
      </c>
      <c r="D74" s="8" t="s">
        <v>1108</v>
      </c>
      <c r="E74" s="8" t="s">
        <v>664</v>
      </c>
      <c r="F74" s="8" t="s">
        <v>1409</v>
      </c>
      <c r="G74" s="17">
        <v>46302</v>
      </c>
      <c r="H74" s="8" t="s">
        <v>1035</v>
      </c>
      <c r="I74" s="9">
        <v>1</v>
      </c>
      <c r="J74" s="10">
        <v>156</v>
      </c>
      <c r="K74" s="10">
        <v>3424.3</v>
      </c>
      <c r="L74" s="8"/>
      <c r="M74" s="7"/>
    </row>
    <row r="75" spans="1:13" x14ac:dyDescent="0.25">
      <c r="A75" s="12" t="str">
        <f t="shared" si="3"/>
        <v>5005731NELCIDES JOSE VIEIRACT</v>
      </c>
      <c r="B75" s="12" t="str">
        <f t="shared" si="4"/>
        <v>Outubro</v>
      </c>
      <c r="C75" s="9">
        <v>87</v>
      </c>
      <c r="D75" s="8" t="s">
        <v>1106</v>
      </c>
      <c r="E75" s="8" t="s">
        <v>664</v>
      </c>
      <c r="F75" s="8" t="s">
        <v>137</v>
      </c>
      <c r="G75" s="17">
        <v>46302</v>
      </c>
      <c r="H75" s="8" t="s">
        <v>1035</v>
      </c>
      <c r="I75" s="9">
        <v>1</v>
      </c>
      <c r="J75" s="10">
        <v>671</v>
      </c>
      <c r="K75" s="10">
        <v>4095.3</v>
      </c>
      <c r="L75" s="8"/>
      <c r="M75" s="7"/>
    </row>
    <row r="76" spans="1:13" x14ac:dyDescent="0.25">
      <c r="A76" s="12" t="str">
        <f t="shared" si="3"/>
        <v>5005732CARLOS ANTONIO PINTOCT</v>
      </c>
      <c r="B76" s="12" t="str">
        <f t="shared" si="4"/>
        <v>Outubro</v>
      </c>
      <c r="C76" s="9">
        <v>87</v>
      </c>
      <c r="D76" s="8" t="s">
        <v>1096</v>
      </c>
      <c r="E76" s="8" t="s">
        <v>664</v>
      </c>
      <c r="F76" s="8" t="s">
        <v>36</v>
      </c>
      <c r="G76" s="17">
        <v>46302</v>
      </c>
      <c r="H76" s="8" t="s">
        <v>1035</v>
      </c>
      <c r="I76" s="9">
        <v>1</v>
      </c>
      <c r="J76" s="10">
        <v>3469</v>
      </c>
      <c r="K76" s="10">
        <v>7564.3</v>
      </c>
      <c r="L76" s="8"/>
      <c r="M76" s="7"/>
    </row>
    <row r="77" spans="1:13" x14ac:dyDescent="0.25">
      <c r="A77" s="12" t="str">
        <f t="shared" si="3"/>
        <v>5005733FERNANDO TOMAS DA SILVACT</v>
      </c>
      <c r="B77" s="12" t="str">
        <f t="shared" si="4"/>
        <v>Outubro</v>
      </c>
      <c r="C77" s="9">
        <v>87</v>
      </c>
      <c r="D77" s="8" t="s">
        <v>1098</v>
      </c>
      <c r="E77" s="8" t="s">
        <v>664</v>
      </c>
      <c r="F77" s="8" t="s">
        <v>218</v>
      </c>
      <c r="G77" s="17">
        <v>46302</v>
      </c>
      <c r="H77" s="8" t="s">
        <v>1035</v>
      </c>
      <c r="I77" s="9">
        <v>1</v>
      </c>
      <c r="J77" s="10">
        <v>200</v>
      </c>
      <c r="K77" s="10">
        <v>7764.3</v>
      </c>
      <c r="L77" s="8"/>
      <c r="M77" s="7"/>
    </row>
    <row r="78" spans="1:13" x14ac:dyDescent="0.25">
      <c r="A78" s="12" t="str">
        <f t="shared" si="3"/>
        <v>5005734JORGE MARTINS BORGES JUNIORCT</v>
      </c>
      <c r="B78" s="12" t="str">
        <f t="shared" si="4"/>
        <v>Outubro</v>
      </c>
      <c r="C78" s="9">
        <v>87</v>
      </c>
      <c r="D78" s="8" t="s">
        <v>1101</v>
      </c>
      <c r="E78" s="8" t="s">
        <v>664</v>
      </c>
      <c r="F78" s="8" t="s">
        <v>97</v>
      </c>
      <c r="G78" s="17">
        <v>46302</v>
      </c>
      <c r="H78" s="8" t="s">
        <v>1035</v>
      </c>
      <c r="I78" s="9">
        <v>1</v>
      </c>
      <c r="J78" s="10">
        <v>2492</v>
      </c>
      <c r="K78" s="10">
        <v>10256.299999999999</v>
      </c>
      <c r="L78" s="8"/>
      <c r="M78" s="7"/>
    </row>
    <row r="79" spans="1:13" x14ac:dyDescent="0.25">
      <c r="A79" s="12" t="str">
        <f t="shared" si="3"/>
        <v>5005735JAIME GOMES PARAGUAICT</v>
      </c>
      <c r="B79" s="12" t="str">
        <f t="shared" si="4"/>
        <v>Outubro</v>
      </c>
      <c r="C79" s="9">
        <v>87</v>
      </c>
      <c r="D79" s="8" t="s">
        <v>1100</v>
      </c>
      <c r="E79" s="8" t="s">
        <v>664</v>
      </c>
      <c r="F79" s="8" t="s">
        <v>87</v>
      </c>
      <c r="G79" s="17">
        <v>46302</v>
      </c>
      <c r="H79" s="8" t="s">
        <v>1035</v>
      </c>
      <c r="I79" s="9">
        <v>1</v>
      </c>
      <c r="J79" s="10">
        <v>581</v>
      </c>
      <c r="K79" s="10">
        <v>10837.3</v>
      </c>
      <c r="L79" s="8"/>
      <c r="M79" s="7"/>
    </row>
    <row r="80" spans="1:13" x14ac:dyDescent="0.25">
      <c r="A80" s="12" t="str">
        <f t="shared" si="3"/>
        <v>5005736MAGNO APARECIDO DE JESUSCT</v>
      </c>
      <c r="B80" s="12" t="str">
        <f t="shared" si="4"/>
        <v>Outubro</v>
      </c>
      <c r="C80" s="9">
        <v>87</v>
      </c>
      <c r="D80" s="8" t="s">
        <v>1103</v>
      </c>
      <c r="E80" s="8" t="s">
        <v>664</v>
      </c>
      <c r="F80" s="8" t="s">
        <v>115</v>
      </c>
      <c r="G80" s="17">
        <v>46302</v>
      </c>
      <c r="H80" s="8" t="s">
        <v>1035</v>
      </c>
      <c r="I80" s="9">
        <v>1</v>
      </c>
      <c r="J80" s="10">
        <v>393</v>
      </c>
      <c r="K80" s="10">
        <v>11230.3</v>
      </c>
      <c r="L80" s="8"/>
      <c r="M80" s="7"/>
    </row>
    <row r="81" spans="1:13" x14ac:dyDescent="0.25">
      <c r="A81" s="12" t="str">
        <f t="shared" si="3"/>
        <v>500573752.081.532 ANTONIO CARLOS DA COSTACT</v>
      </c>
      <c r="B81" s="12" t="str">
        <f t="shared" si="4"/>
        <v>Outubro</v>
      </c>
      <c r="C81" s="9">
        <v>87</v>
      </c>
      <c r="D81" s="8" t="s">
        <v>1091</v>
      </c>
      <c r="E81" s="8" t="s">
        <v>664</v>
      </c>
      <c r="F81" s="8" t="s">
        <v>3218</v>
      </c>
      <c r="G81" s="17">
        <v>46302</v>
      </c>
      <c r="H81" s="8" t="s">
        <v>1035</v>
      </c>
      <c r="I81" s="9">
        <v>1</v>
      </c>
      <c r="J81" s="10">
        <v>1959</v>
      </c>
      <c r="K81" s="10">
        <v>13189.3</v>
      </c>
      <c r="L81" s="8"/>
      <c r="M81" s="7"/>
    </row>
    <row r="82" spans="1:13" x14ac:dyDescent="0.25">
      <c r="A82" s="12" t="str">
        <f t="shared" si="3"/>
        <v>5005738ISIS MARIA DE CARVALHO FIORINECT</v>
      </c>
      <c r="B82" s="12" t="str">
        <f t="shared" si="4"/>
        <v>Outubro</v>
      </c>
      <c r="C82" s="9">
        <v>87</v>
      </c>
      <c r="D82" s="8" t="s">
        <v>1099</v>
      </c>
      <c r="E82" s="8" t="s">
        <v>664</v>
      </c>
      <c r="F82" s="8" t="s">
        <v>3220</v>
      </c>
      <c r="G82" s="17">
        <v>46302</v>
      </c>
      <c r="H82" s="8" t="s">
        <v>1035</v>
      </c>
      <c r="I82" s="9">
        <v>1</v>
      </c>
      <c r="J82" s="10">
        <v>199</v>
      </c>
      <c r="K82" s="10">
        <v>13388.3</v>
      </c>
      <c r="L82" s="8"/>
      <c r="M82" s="7"/>
    </row>
    <row r="83" spans="1:13" x14ac:dyDescent="0.25">
      <c r="A83" s="12" t="str">
        <f t="shared" si="3"/>
        <v>500573960.167.550 MARCELO MARTINS DE OLIVEIRACT</v>
      </c>
      <c r="B83" s="12" t="str">
        <f t="shared" si="4"/>
        <v>Outubro</v>
      </c>
      <c r="C83" s="9">
        <v>87</v>
      </c>
      <c r="D83" s="8" t="s">
        <v>1094</v>
      </c>
      <c r="E83" s="8" t="s">
        <v>664</v>
      </c>
      <c r="F83" s="8" t="s">
        <v>3215</v>
      </c>
      <c r="G83" s="17">
        <v>46302</v>
      </c>
      <c r="H83" s="8" t="s">
        <v>1035</v>
      </c>
      <c r="I83" s="9">
        <v>1</v>
      </c>
      <c r="J83" s="10">
        <v>1334</v>
      </c>
      <c r="K83" s="10">
        <v>14722.3</v>
      </c>
      <c r="L83" s="8"/>
      <c r="M83" s="7"/>
    </row>
    <row r="84" spans="1:13" x14ac:dyDescent="0.25">
      <c r="A84" s="12" t="str">
        <f t="shared" si="3"/>
        <v>5005740NATANIELLE SILVA DE SOUZA MARQUESCT</v>
      </c>
      <c r="B84" s="12" t="str">
        <f t="shared" si="4"/>
        <v>Outubro</v>
      </c>
      <c r="C84" s="9">
        <v>87</v>
      </c>
      <c r="D84" s="8" t="s">
        <v>1105</v>
      </c>
      <c r="E84" s="8" t="s">
        <v>664</v>
      </c>
      <c r="F84" s="8" t="s">
        <v>135</v>
      </c>
      <c r="G84" s="17">
        <v>46302</v>
      </c>
      <c r="H84" s="8" t="s">
        <v>1035</v>
      </c>
      <c r="I84" s="9">
        <v>1</v>
      </c>
      <c r="J84" s="10">
        <v>2572</v>
      </c>
      <c r="K84" s="10">
        <v>17294.3</v>
      </c>
      <c r="L84" s="8"/>
      <c r="M84" s="7"/>
    </row>
    <row r="85" spans="1:13" x14ac:dyDescent="0.25">
      <c r="A85" s="12" t="str">
        <f t="shared" si="3"/>
        <v>500574166.226.661 JOSE MARCIO DA SILVACT</v>
      </c>
      <c r="B85" s="12" t="str">
        <f t="shared" si="4"/>
        <v>Outubro</v>
      </c>
      <c r="C85" s="9">
        <v>87</v>
      </c>
      <c r="D85" s="8" t="s">
        <v>1095</v>
      </c>
      <c r="E85" s="8" t="s">
        <v>664</v>
      </c>
      <c r="F85" s="8" t="s">
        <v>3227</v>
      </c>
      <c r="G85" s="17">
        <v>46302</v>
      </c>
      <c r="H85" s="8" t="s">
        <v>1035</v>
      </c>
      <c r="I85" s="9">
        <v>1</v>
      </c>
      <c r="J85" s="10">
        <v>502</v>
      </c>
      <c r="K85" s="10">
        <v>17796.3</v>
      </c>
      <c r="L85" s="8"/>
      <c r="M85" s="7"/>
    </row>
    <row r="86" spans="1:13" x14ac:dyDescent="0.25">
      <c r="A86" s="12" t="str">
        <f t="shared" si="3"/>
        <v>5005742JOSE ANTONIO SILVACT</v>
      </c>
      <c r="B86" s="12" t="str">
        <f t="shared" si="4"/>
        <v>Outubro</v>
      </c>
      <c r="C86" s="9">
        <v>87</v>
      </c>
      <c r="D86" s="8" t="s">
        <v>1102</v>
      </c>
      <c r="E86" s="8" t="s">
        <v>664</v>
      </c>
      <c r="F86" s="8" t="s">
        <v>99</v>
      </c>
      <c r="G86" s="17">
        <v>46302</v>
      </c>
      <c r="H86" s="8" t="s">
        <v>1035</v>
      </c>
      <c r="I86" s="9">
        <v>1</v>
      </c>
      <c r="J86" s="10">
        <v>2049</v>
      </c>
      <c r="K86" s="10">
        <v>19845.3</v>
      </c>
      <c r="L86" s="8"/>
      <c r="M86" s="7"/>
    </row>
    <row r="87" spans="1:13" x14ac:dyDescent="0.25">
      <c r="A87" s="12" t="str">
        <f t="shared" si="3"/>
        <v>500574357.091.288 JOHNSON RAMOS DE CARVALHOCT</v>
      </c>
      <c r="B87" s="12" t="str">
        <f t="shared" si="4"/>
        <v>Outubro</v>
      </c>
      <c r="C87" s="9">
        <v>87</v>
      </c>
      <c r="D87" s="8" t="s">
        <v>1093</v>
      </c>
      <c r="E87" s="8" t="s">
        <v>664</v>
      </c>
      <c r="F87" s="8" t="s">
        <v>3225</v>
      </c>
      <c r="G87" s="17">
        <v>46302</v>
      </c>
      <c r="H87" s="8" t="s">
        <v>1035</v>
      </c>
      <c r="I87" s="9">
        <v>1</v>
      </c>
      <c r="J87" s="10">
        <v>254</v>
      </c>
      <c r="K87" s="10">
        <v>20099.3</v>
      </c>
      <c r="L87" s="8"/>
      <c r="M87" s="7"/>
    </row>
    <row r="88" spans="1:13" x14ac:dyDescent="0.25">
      <c r="A88" s="12" t="str">
        <f t="shared" si="3"/>
        <v>GRF2971CAIXA ECONÔMICA FEDERALFOL</v>
      </c>
      <c r="B88" s="12" t="str">
        <f t="shared" si="4"/>
        <v>Outubro</v>
      </c>
      <c r="C88" s="9">
        <v>87</v>
      </c>
      <c r="D88" s="8" t="s">
        <v>1036</v>
      </c>
      <c r="E88" s="8" t="s">
        <v>1369</v>
      </c>
      <c r="F88" s="8" t="s">
        <v>1484</v>
      </c>
      <c r="G88" s="17">
        <v>46302</v>
      </c>
      <c r="H88" s="8" t="s">
        <v>1037</v>
      </c>
      <c r="I88" s="9">
        <v>1</v>
      </c>
      <c r="J88" s="10">
        <v>5564.05</v>
      </c>
      <c r="K88" s="10">
        <v>25663.35</v>
      </c>
      <c r="L88" s="8"/>
      <c r="M88" s="7"/>
    </row>
    <row r="89" spans="1:13" x14ac:dyDescent="0.25">
      <c r="A89" s="12" t="str">
        <f t="shared" si="3"/>
        <v>RES11563HORIZONTE EXPRESS TRANSPORTES LTDAFOL</v>
      </c>
      <c r="B89" s="12" t="str">
        <f t="shared" si="4"/>
        <v>Outubro</v>
      </c>
      <c r="C89" s="9">
        <v>87</v>
      </c>
      <c r="D89" s="8" t="s">
        <v>1038</v>
      </c>
      <c r="E89" s="8" t="s">
        <v>1369</v>
      </c>
      <c r="F89" s="8" t="s">
        <v>1350</v>
      </c>
      <c r="G89" s="17">
        <v>46302</v>
      </c>
      <c r="H89" s="8" t="s">
        <v>1037</v>
      </c>
      <c r="I89" s="9">
        <v>1</v>
      </c>
      <c r="J89" s="10">
        <v>5600.53</v>
      </c>
      <c r="K89" s="10">
        <v>31263.88</v>
      </c>
      <c r="L89" s="8"/>
      <c r="M89" s="7"/>
    </row>
    <row r="90" spans="1:13" x14ac:dyDescent="0.25">
      <c r="A90" s="12" t="str">
        <f t="shared" si="3"/>
        <v>RES11564HORIZONTE EXPRESS TRANSPORTES LTDAFOL</v>
      </c>
      <c r="B90" s="12" t="str">
        <f t="shared" si="4"/>
        <v>Outubro</v>
      </c>
      <c r="C90" s="9">
        <v>87</v>
      </c>
      <c r="D90" s="8" t="s">
        <v>1039</v>
      </c>
      <c r="E90" s="8" t="s">
        <v>1369</v>
      </c>
      <c r="F90" s="8" t="s">
        <v>1350</v>
      </c>
      <c r="G90" s="17">
        <v>46302</v>
      </c>
      <c r="H90" s="8" t="s">
        <v>1037</v>
      </c>
      <c r="I90" s="9">
        <v>1</v>
      </c>
      <c r="J90" s="10">
        <v>3120.75</v>
      </c>
      <c r="K90" s="10">
        <v>34384.629999999997</v>
      </c>
      <c r="L90" s="8"/>
      <c r="M90" s="7"/>
    </row>
    <row r="91" spans="1:13" x14ac:dyDescent="0.25">
      <c r="A91" s="12" t="str">
        <f t="shared" si="3"/>
        <v>11KATHLEEN KRISLEY AMBROSIO LARARCB</v>
      </c>
      <c r="B91" s="12" t="str">
        <f t="shared" si="4"/>
        <v>Outubro</v>
      </c>
      <c r="C91" s="9">
        <v>87</v>
      </c>
      <c r="D91" s="8" t="s">
        <v>398</v>
      </c>
      <c r="E91" s="8" t="s">
        <v>664</v>
      </c>
      <c r="F91" s="8" t="s">
        <v>104</v>
      </c>
      <c r="G91" s="17">
        <v>46303</v>
      </c>
      <c r="H91" s="8" t="s">
        <v>1045</v>
      </c>
      <c r="I91" s="9">
        <v>1</v>
      </c>
      <c r="J91" s="10">
        <v>30.19</v>
      </c>
      <c r="K91" s="10">
        <v>30.19</v>
      </c>
      <c r="L91" s="8"/>
      <c r="M91" s="7"/>
    </row>
    <row r="92" spans="1:13" x14ac:dyDescent="0.25">
      <c r="A92" s="12" t="str">
        <f t="shared" si="3"/>
        <v>5005596JAIME GOMES PARAGUAICT</v>
      </c>
      <c r="B92" s="12" t="str">
        <f t="shared" si="4"/>
        <v>Outubro</v>
      </c>
      <c r="C92" s="9">
        <v>87</v>
      </c>
      <c r="D92" s="8" t="s">
        <v>1120</v>
      </c>
      <c r="E92" s="8" t="s">
        <v>664</v>
      </c>
      <c r="F92" s="8" t="s">
        <v>87</v>
      </c>
      <c r="G92" s="17">
        <v>46303</v>
      </c>
      <c r="H92" s="8" t="s">
        <v>1035</v>
      </c>
      <c r="I92" s="9">
        <v>1</v>
      </c>
      <c r="J92" s="10">
        <v>385</v>
      </c>
      <c r="K92" s="10">
        <v>415.19</v>
      </c>
      <c r="L92" s="8"/>
      <c r="M92" s="7"/>
    </row>
    <row r="93" spans="1:13" x14ac:dyDescent="0.25">
      <c r="A93" s="12" t="str">
        <f t="shared" si="3"/>
        <v>5005744FERNANDO TOMAS DA SILVACT</v>
      </c>
      <c r="B93" s="12" t="str">
        <f t="shared" si="4"/>
        <v>Outubro</v>
      </c>
      <c r="C93" s="9">
        <v>87</v>
      </c>
      <c r="D93" s="8" t="s">
        <v>1119</v>
      </c>
      <c r="E93" s="8" t="s">
        <v>664</v>
      </c>
      <c r="F93" s="8" t="s">
        <v>218</v>
      </c>
      <c r="G93" s="17">
        <v>46303</v>
      </c>
      <c r="H93" s="8" t="s">
        <v>1035</v>
      </c>
      <c r="I93" s="9">
        <v>1</v>
      </c>
      <c r="J93" s="10">
        <v>350</v>
      </c>
      <c r="K93" s="10">
        <v>765.19</v>
      </c>
      <c r="L93" s="8"/>
      <c r="M93" s="7"/>
    </row>
    <row r="94" spans="1:13" x14ac:dyDescent="0.25">
      <c r="A94" s="12" t="str">
        <f t="shared" si="3"/>
        <v>500574552.395.444. ADRIANO ROBERTOCT</v>
      </c>
      <c r="B94" s="12" t="str">
        <f t="shared" si="4"/>
        <v>Outubro</v>
      </c>
      <c r="C94" s="9">
        <v>87</v>
      </c>
      <c r="D94" s="8" t="s">
        <v>1112</v>
      </c>
      <c r="E94" s="8" t="s">
        <v>664</v>
      </c>
      <c r="F94" s="8" t="s">
        <v>3074</v>
      </c>
      <c r="G94" s="17">
        <v>46303</v>
      </c>
      <c r="H94" s="8" t="s">
        <v>1035</v>
      </c>
      <c r="I94" s="9">
        <v>1</v>
      </c>
      <c r="J94" s="10">
        <v>2450</v>
      </c>
      <c r="K94" s="10">
        <v>3215.19</v>
      </c>
      <c r="L94" s="8"/>
      <c r="M94" s="7"/>
    </row>
    <row r="95" spans="1:13" x14ac:dyDescent="0.25">
      <c r="A95" s="12" t="str">
        <f t="shared" si="3"/>
        <v>500574652.081.532 ANTONIO CARLOS DA COSTACT</v>
      </c>
      <c r="B95" s="12" t="str">
        <f t="shared" si="4"/>
        <v>Outubro</v>
      </c>
      <c r="C95" s="9">
        <v>87</v>
      </c>
      <c r="D95" s="8" t="s">
        <v>1111</v>
      </c>
      <c r="E95" s="8" t="s">
        <v>664</v>
      </c>
      <c r="F95" s="8" t="s">
        <v>3218</v>
      </c>
      <c r="G95" s="17">
        <v>46303</v>
      </c>
      <c r="H95" s="8" t="s">
        <v>1035</v>
      </c>
      <c r="I95" s="9">
        <v>1</v>
      </c>
      <c r="J95" s="10">
        <v>350</v>
      </c>
      <c r="K95" s="10">
        <v>3565.19</v>
      </c>
      <c r="L95" s="8"/>
      <c r="M95" s="7"/>
    </row>
    <row r="96" spans="1:13" x14ac:dyDescent="0.25">
      <c r="A96" s="12" t="str">
        <f t="shared" si="3"/>
        <v>5005747CARLOS ANTONIO PINTOCT</v>
      </c>
      <c r="B96" s="12" t="str">
        <f t="shared" si="4"/>
        <v>Outubro</v>
      </c>
      <c r="C96" s="9">
        <v>87</v>
      </c>
      <c r="D96" s="8" t="s">
        <v>1115</v>
      </c>
      <c r="E96" s="8" t="s">
        <v>664</v>
      </c>
      <c r="F96" s="8" t="s">
        <v>36</v>
      </c>
      <c r="G96" s="17">
        <v>46303</v>
      </c>
      <c r="H96" s="8" t="s">
        <v>1035</v>
      </c>
      <c r="I96" s="9">
        <v>1</v>
      </c>
      <c r="J96" s="10">
        <v>350</v>
      </c>
      <c r="K96" s="10">
        <v>3915.19</v>
      </c>
      <c r="L96" s="8"/>
      <c r="M96" s="7"/>
    </row>
    <row r="97" spans="1:13" x14ac:dyDescent="0.25">
      <c r="A97" s="12" t="str">
        <f t="shared" si="3"/>
        <v>5005748CRISTIAN ALVES MOREIRACT</v>
      </c>
      <c r="B97" s="12" t="str">
        <f t="shared" si="4"/>
        <v>Outubro</v>
      </c>
      <c r="C97" s="9">
        <v>87</v>
      </c>
      <c r="D97" s="8" t="s">
        <v>1116</v>
      </c>
      <c r="E97" s="8" t="s">
        <v>664</v>
      </c>
      <c r="F97" s="8" t="s">
        <v>46</v>
      </c>
      <c r="G97" s="17">
        <v>46303</v>
      </c>
      <c r="H97" s="8" t="s">
        <v>1035</v>
      </c>
      <c r="I97" s="9">
        <v>1</v>
      </c>
      <c r="J97" s="10">
        <v>446</v>
      </c>
      <c r="K97" s="10">
        <v>4361.1899999999996</v>
      </c>
      <c r="L97" s="8"/>
      <c r="M97" s="7"/>
    </row>
    <row r="98" spans="1:13" x14ac:dyDescent="0.25">
      <c r="A98" s="12" t="str">
        <f t="shared" si="3"/>
        <v>5005749EDUARDO GAUDENCIO ROSACT</v>
      </c>
      <c r="B98" s="12" t="str">
        <f t="shared" si="4"/>
        <v>Outubro</v>
      </c>
      <c r="C98" s="9">
        <v>87</v>
      </c>
      <c r="D98" s="8" t="s">
        <v>1117</v>
      </c>
      <c r="E98" s="8" t="s">
        <v>664</v>
      </c>
      <c r="F98" s="8" t="s">
        <v>58</v>
      </c>
      <c r="G98" s="17">
        <v>46303</v>
      </c>
      <c r="H98" s="8" t="s">
        <v>1035</v>
      </c>
      <c r="I98" s="9">
        <v>1</v>
      </c>
      <c r="J98" s="10">
        <v>350</v>
      </c>
      <c r="K98" s="10">
        <v>4711.1899999999996</v>
      </c>
      <c r="L98" s="8"/>
      <c r="M98" s="7"/>
    </row>
    <row r="99" spans="1:13" x14ac:dyDescent="0.25">
      <c r="A99" s="12" t="str">
        <f t="shared" si="3"/>
        <v>500575015.312.878 ELIANA HENRIQUE MENDES BARBOSACT</v>
      </c>
      <c r="B99" s="12" t="str">
        <f t="shared" si="4"/>
        <v>Outubro</v>
      </c>
      <c r="C99" s="9">
        <v>87</v>
      </c>
      <c r="D99" s="8" t="s">
        <v>1109</v>
      </c>
      <c r="E99" s="8" t="s">
        <v>664</v>
      </c>
      <c r="F99" s="8" t="s">
        <v>3222</v>
      </c>
      <c r="G99" s="17">
        <v>46303</v>
      </c>
      <c r="H99" s="8" t="s">
        <v>1035</v>
      </c>
      <c r="I99" s="9">
        <v>1</v>
      </c>
      <c r="J99" s="10">
        <v>385</v>
      </c>
      <c r="K99" s="10">
        <v>5096.1899999999996</v>
      </c>
      <c r="L99" s="8"/>
      <c r="M99" s="7"/>
    </row>
    <row r="100" spans="1:13" x14ac:dyDescent="0.25">
      <c r="A100" s="12" t="str">
        <f t="shared" si="3"/>
        <v>5005751FABIO LUIZ TEIXEIRA DE ARRUDACT</v>
      </c>
      <c r="B100" s="12" t="str">
        <f t="shared" si="4"/>
        <v>Outubro</v>
      </c>
      <c r="C100" s="9">
        <v>87</v>
      </c>
      <c r="D100" s="8" t="s">
        <v>1118</v>
      </c>
      <c r="E100" s="8" t="s">
        <v>664</v>
      </c>
      <c r="F100" s="8" t="s">
        <v>1520</v>
      </c>
      <c r="G100" s="17">
        <v>46303</v>
      </c>
      <c r="H100" s="8" t="s">
        <v>1035</v>
      </c>
      <c r="I100" s="9">
        <v>1</v>
      </c>
      <c r="J100" s="10">
        <v>385</v>
      </c>
      <c r="K100" s="10">
        <v>5481.19</v>
      </c>
      <c r="L100" s="8"/>
      <c r="M100" s="7"/>
    </row>
    <row r="101" spans="1:13" x14ac:dyDescent="0.25">
      <c r="A101" s="12" t="str">
        <f t="shared" si="3"/>
        <v>5005752JAIME GOMES PARAGUAICT</v>
      </c>
      <c r="B101" s="12" t="str">
        <f t="shared" si="4"/>
        <v>Outubro</v>
      </c>
      <c r="C101" s="9">
        <v>87</v>
      </c>
      <c r="D101" s="8" t="s">
        <v>1121</v>
      </c>
      <c r="E101" s="8" t="s">
        <v>664</v>
      </c>
      <c r="F101" s="8" t="s">
        <v>87</v>
      </c>
      <c r="G101" s="17">
        <v>46303</v>
      </c>
      <c r="H101" s="8" t="s">
        <v>1035</v>
      </c>
      <c r="I101" s="9">
        <v>1</v>
      </c>
      <c r="J101" s="10">
        <v>770</v>
      </c>
      <c r="K101" s="10">
        <v>6251.19</v>
      </c>
      <c r="L101" s="8"/>
      <c r="M101" s="7"/>
    </row>
    <row r="102" spans="1:13" x14ac:dyDescent="0.25">
      <c r="A102" s="12" t="str">
        <f t="shared" si="3"/>
        <v>500575357.091.288 JOHNSON RAMOS DE CARVALHOCT</v>
      </c>
      <c r="B102" s="12" t="str">
        <f t="shared" si="4"/>
        <v>Outubro</v>
      </c>
      <c r="C102" s="9">
        <v>87</v>
      </c>
      <c r="D102" s="8" t="s">
        <v>1113</v>
      </c>
      <c r="E102" s="8" t="s">
        <v>664</v>
      </c>
      <c r="F102" s="8" t="s">
        <v>3225</v>
      </c>
      <c r="G102" s="17">
        <v>46303</v>
      </c>
      <c r="H102" s="8" t="s">
        <v>1035</v>
      </c>
      <c r="I102" s="9">
        <v>1</v>
      </c>
      <c r="J102" s="10">
        <v>1050</v>
      </c>
      <c r="K102" s="10">
        <v>7301.19</v>
      </c>
      <c r="L102" s="8"/>
      <c r="M102" s="7"/>
    </row>
    <row r="103" spans="1:13" x14ac:dyDescent="0.25">
      <c r="A103" s="12" t="str">
        <f t="shared" si="3"/>
        <v>5005754JORGE MARTINS BORGES JUNIORCT</v>
      </c>
      <c r="B103" s="12" t="str">
        <f t="shared" si="4"/>
        <v>Outubro</v>
      </c>
      <c r="C103" s="9">
        <v>87</v>
      </c>
      <c r="D103" s="8" t="s">
        <v>1122</v>
      </c>
      <c r="E103" s="8" t="s">
        <v>664</v>
      </c>
      <c r="F103" s="8" t="s">
        <v>97</v>
      </c>
      <c r="G103" s="17">
        <v>46303</v>
      </c>
      <c r="H103" s="8" t="s">
        <v>1035</v>
      </c>
      <c r="I103" s="9">
        <v>1</v>
      </c>
      <c r="J103" s="10">
        <v>1400</v>
      </c>
      <c r="K103" s="10">
        <v>8701.19</v>
      </c>
      <c r="L103" s="8"/>
      <c r="M103" s="7"/>
    </row>
    <row r="104" spans="1:13" x14ac:dyDescent="0.25">
      <c r="A104" s="12" t="str">
        <f t="shared" si="3"/>
        <v>5005755JOSE ANTONIO SILVACT</v>
      </c>
      <c r="B104" s="12" t="str">
        <f t="shared" si="4"/>
        <v>Outubro</v>
      </c>
      <c r="C104" s="9">
        <v>87</v>
      </c>
      <c r="D104" s="8" t="s">
        <v>1123</v>
      </c>
      <c r="E104" s="8" t="s">
        <v>664</v>
      </c>
      <c r="F104" s="8" t="s">
        <v>99</v>
      </c>
      <c r="G104" s="17">
        <v>46303</v>
      </c>
      <c r="H104" s="8" t="s">
        <v>1035</v>
      </c>
      <c r="I104" s="9">
        <v>1</v>
      </c>
      <c r="J104" s="10">
        <v>350</v>
      </c>
      <c r="K104" s="10">
        <v>9051.19</v>
      </c>
      <c r="L104" s="8"/>
      <c r="M104" s="7"/>
    </row>
    <row r="105" spans="1:13" x14ac:dyDescent="0.25">
      <c r="A105" s="12" t="str">
        <f t="shared" si="3"/>
        <v>500575647.852.136 LIDEMBERG RAMOS GABRIELCT</v>
      </c>
      <c r="B105" s="12" t="str">
        <f t="shared" si="4"/>
        <v>Outubro</v>
      </c>
      <c r="C105" s="9">
        <v>87</v>
      </c>
      <c r="D105" s="8" t="s">
        <v>1110</v>
      </c>
      <c r="E105" s="8" t="s">
        <v>664</v>
      </c>
      <c r="F105" s="8" t="s">
        <v>3228</v>
      </c>
      <c r="G105" s="17">
        <v>46303</v>
      </c>
      <c r="H105" s="8" t="s">
        <v>1035</v>
      </c>
      <c r="I105" s="9">
        <v>1</v>
      </c>
      <c r="J105" s="10">
        <v>700</v>
      </c>
      <c r="K105" s="10">
        <v>9751.19</v>
      </c>
      <c r="L105" s="8"/>
      <c r="M105" s="7"/>
    </row>
    <row r="106" spans="1:13" x14ac:dyDescent="0.25">
      <c r="A106" s="12" t="str">
        <f t="shared" si="3"/>
        <v>5005757MAGNO APARECIDO DE JESUSCT</v>
      </c>
      <c r="B106" s="12" t="str">
        <f t="shared" si="4"/>
        <v>Outubro</v>
      </c>
      <c r="C106" s="9">
        <v>87</v>
      </c>
      <c r="D106" s="8" t="s">
        <v>1124</v>
      </c>
      <c r="E106" s="8" t="s">
        <v>664</v>
      </c>
      <c r="F106" s="8" t="s">
        <v>115</v>
      </c>
      <c r="G106" s="17">
        <v>46303</v>
      </c>
      <c r="H106" s="8" t="s">
        <v>1035</v>
      </c>
      <c r="I106" s="9">
        <v>1</v>
      </c>
      <c r="J106" s="10">
        <v>700</v>
      </c>
      <c r="K106" s="10">
        <v>10451.19</v>
      </c>
      <c r="L106" s="8"/>
      <c r="M106" s="7"/>
    </row>
    <row r="107" spans="1:13" x14ac:dyDescent="0.25">
      <c r="A107" s="12" t="str">
        <f t="shared" si="3"/>
        <v>500575860.167.550 MARCELO MARTINS DE OLIVEIRACT</v>
      </c>
      <c r="B107" s="12" t="str">
        <f t="shared" si="4"/>
        <v>Outubro</v>
      </c>
      <c r="C107" s="9">
        <v>87</v>
      </c>
      <c r="D107" s="8" t="s">
        <v>1114</v>
      </c>
      <c r="E107" s="8" t="s">
        <v>664</v>
      </c>
      <c r="F107" s="8" t="s">
        <v>3215</v>
      </c>
      <c r="G107" s="17">
        <v>46303</v>
      </c>
      <c r="H107" s="8" t="s">
        <v>1035</v>
      </c>
      <c r="I107" s="9">
        <v>1</v>
      </c>
      <c r="J107" s="10">
        <v>1050</v>
      </c>
      <c r="K107" s="10">
        <v>11501.19</v>
      </c>
      <c r="L107" s="8"/>
      <c r="M107" s="7"/>
    </row>
    <row r="108" spans="1:13" x14ac:dyDescent="0.25">
      <c r="A108" s="12" t="str">
        <f t="shared" si="3"/>
        <v>5005759MARCOS FILIPE DE ALCANTARA PEREIRACT</v>
      </c>
      <c r="B108" s="12" t="str">
        <f t="shared" si="4"/>
        <v>Outubro</v>
      </c>
      <c r="C108" s="9">
        <v>87</v>
      </c>
      <c r="D108" s="8" t="s">
        <v>1125</v>
      </c>
      <c r="E108" s="8" t="s">
        <v>664</v>
      </c>
      <c r="F108" s="8" t="s">
        <v>1385</v>
      </c>
      <c r="G108" s="17">
        <v>46303</v>
      </c>
      <c r="H108" s="8" t="s">
        <v>1035</v>
      </c>
      <c r="I108" s="9">
        <v>1</v>
      </c>
      <c r="J108" s="10">
        <v>385</v>
      </c>
      <c r="K108" s="10">
        <v>11886.19</v>
      </c>
      <c r="L108" s="8"/>
      <c r="M108" s="7"/>
    </row>
    <row r="109" spans="1:13" x14ac:dyDescent="0.25">
      <c r="A109" s="12" t="str">
        <f t="shared" si="3"/>
        <v>5005760NATANIELLE SILVA DE SOUZA MARQUESCT</v>
      </c>
      <c r="B109" s="12" t="str">
        <f t="shared" si="4"/>
        <v>Outubro</v>
      </c>
      <c r="C109" s="9">
        <v>87</v>
      </c>
      <c r="D109" s="8" t="s">
        <v>1126</v>
      </c>
      <c r="E109" s="8" t="s">
        <v>664</v>
      </c>
      <c r="F109" s="8" t="s">
        <v>135</v>
      </c>
      <c r="G109" s="17">
        <v>46303</v>
      </c>
      <c r="H109" s="8" t="s">
        <v>1035</v>
      </c>
      <c r="I109" s="9">
        <v>1</v>
      </c>
      <c r="J109" s="10">
        <v>1400</v>
      </c>
      <c r="K109" s="10">
        <v>13286.19</v>
      </c>
      <c r="L109" s="8"/>
      <c r="M109" s="7"/>
    </row>
    <row r="110" spans="1:13" x14ac:dyDescent="0.25">
      <c r="A110" s="12" t="str">
        <f t="shared" si="3"/>
        <v>5005761PAULO RICARDO SILVACT</v>
      </c>
      <c r="B110" s="12" t="str">
        <f t="shared" si="4"/>
        <v>Outubro</v>
      </c>
      <c r="C110" s="9">
        <v>87</v>
      </c>
      <c r="D110" s="8" t="s">
        <v>1127</v>
      </c>
      <c r="E110" s="8" t="s">
        <v>664</v>
      </c>
      <c r="F110" s="8" t="s">
        <v>153</v>
      </c>
      <c r="G110" s="17">
        <v>46303</v>
      </c>
      <c r="H110" s="8" t="s">
        <v>1035</v>
      </c>
      <c r="I110" s="9">
        <v>1</v>
      </c>
      <c r="J110" s="10">
        <v>1050</v>
      </c>
      <c r="K110" s="10">
        <v>14336.19</v>
      </c>
      <c r="L110" s="8"/>
      <c r="M110" s="7"/>
    </row>
    <row r="111" spans="1:13" x14ac:dyDescent="0.25">
      <c r="A111" s="12" t="str">
        <f t="shared" si="3"/>
        <v>5005762RENAN ELTON DIVINOCT</v>
      </c>
      <c r="B111" s="12" t="str">
        <f t="shared" si="4"/>
        <v>Outubro</v>
      </c>
      <c r="C111" s="9">
        <v>87</v>
      </c>
      <c r="D111" s="8" t="s">
        <v>1128</v>
      </c>
      <c r="E111" s="8" t="s">
        <v>664</v>
      </c>
      <c r="F111" s="8" t="s">
        <v>1409</v>
      </c>
      <c r="G111" s="17">
        <v>46303</v>
      </c>
      <c r="H111" s="8" t="s">
        <v>1035</v>
      </c>
      <c r="I111" s="9">
        <v>1</v>
      </c>
      <c r="J111" s="10">
        <v>385</v>
      </c>
      <c r="K111" s="10">
        <v>14721.19</v>
      </c>
      <c r="L111" s="8"/>
      <c r="M111" s="7"/>
    </row>
    <row r="112" spans="1:13" x14ac:dyDescent="0.25">
      <c r="A112" s="12" t="str">
        <f t="shared" si="3"/>
        <v>5005763RENILSON DIAS DE BRITOCT</v>
      </c>
      <c r="B112" s="12" t="str">
        <f t="shared" si="4"/>
        <v>Outubro</v>
      </c>
      <c r="C112" s="9">
        <v>87</v>
      </c>
      <c r="D112" s="8" t="s">
        <v>1129</v>
      </c>
      <c r="E112" s="8" t="s">
        <v>664</v>
      </c>
      <c r="F112" s="8" t="s">
        <v>1383</v>
      </c>
      <c r="G112" s="17">
        <v>46303</v>
      </c>
      <c r="H112" s="8" t="s">
        <v>1035</v>
      </c>
      <c r="I112" s="9">
        <v>1</v>
      </c>
      <c r="J112" s="10">
        <v>700</v>
      </c>
      <c r="K112" s="10">
        <v>15421.19</v>
      </c>
      <c r="L112" s="8"/>
      <c r="M112" s="7"/>
    </row>
    <row r="113" spans="1:13" x14ac:dyDescent="0.25">
      <c r="A113" s="12" t="str">
        <f t="shared" si="3"/>
        <v>5005764WILLIAM DE SOUZA VIEIRACT</v>
      </c>
      <c r="B113" s="12" t="str">
        <f t="shared" si="4"/>
        <v>Outubro</v>
      </c>
      <c r="C113" s="9">
        <v>87</v>
      </c>
      <c r="D113" s="8" t="s">
        <v>1130</v>
      </c>
      <c r="E113" s="8" t="s">
        <v>664</v>
      </c>
      <c r="F113" s="8" t="s">
        <v>1542</v>
      </c>
      <c r="G113" s="17">
        <v>46303</v>
      </c>
      <c r="H113" s="8" t="s">
        <v>1035</v>
      </c>
      <c r="I113" s="9">
        <v>1</v>
      </c>
      <c r="J113" s="10">
        <v>350</v>
      </c>
      <c r="K113" s="10">
        <v>15771.19</v>
      </c>
      <c r="L113" s="8"/>
      <c r="M113" s="7"/>
    </row>
    <row r="114" spans="1:13" x14ac:dyDescent="0.25">
      <c r="A114" s="12" t="str">
        <f t="shared" si="3"/>
        <v>5005765WILLIAM DE SOUZA VIEIRACT</v>
      </c>
      <c r="B114" s="12" t="str">
        <f t="shared" si="4"/>
        <v>Outubro</v>
      </c>
      <c r="C114" s="9">
        <v>87</v>
      </c>
      <c r="D114" s="8" t="s">
        <v>1131</v>
      </c>
      <c r="E114" s="8" t="s">
        <v>664</v>
      </c>
      <c r="F114" s="8" t="s">
        <v>1542</v>
      </c>
      <c r="G114" s="17">
        <v>46303</v>
      </c>
      <c r="H114" s="8" t="s">
        <v>1035</v>
      </c>
      <c r="I114" s="9">
        <v>1</v>
      </c>
      <c r="J114" s="10">
        <v>350</v>
      </c>
      <c r="K114" s="10">
        <v>16121.19</v>
      </c>
      <c r="L114" s="8"/>
      <c r="M114" s="7"/>
    </row>
    <row r="115" spans="1:13" x14ac:dyDescent="0.25">
      <c r="A115" s="12" t="str">
        <f t="shared" si="3"/>
        <v>8580PREVCENTER MANUTENCAO LTDANFE</v>
      </c>
      <c r="B115" s="12" t="str">
        <f t="shared" si="4"/>
        <v>Outubro</v>
      </c>
      <c r="C115" s="9">
        <v>87</v>
      </c>
      <c r="D115" s="8" t="s">
        <v>592</v>
      </c>
      <c r="E115" s="8" t="s">
        <v>664</v>
      </c>
      <c r="F115" s="8" t="s">
        <v>159</v>
      </c>
      <c r="G115" s="17">
        <v>46303</v>
      </c>
      <c r="H115" s="8" t="s">
        <v>380</v>
      </c>
      <c r="I115" s="9">
        <v>1</v>
      </c>
      <c r="J115" s="10">
        <v>890</v>
      </c>
      <c r="K115" s="10">
        <v>17011.189999999999</v>
      </c>
      <c r="L115" s="8"/>
      <c r="M115" s="7"/>
    </row>
    <row r="116" spans="1:13" x14ac:dyDescent="0.25">
      <c r="A116" s="12" t="str">
        <f t="shared" si="3"/>
        <v>BNFNVT01/10MGHORIZONTE EXPRESS TRANSPORTES LTDABNF</v>
      </c>
      <c r="B116" s="12" t="str">
        <f t="shared" si="4"/>
        <v>Outubro</v>
      </c>
      <c r="C116" s="9">
        <v>87</v>
      </c>
      <c r="D116" s="8" t="s">
        <v>1040</v>
      </c>
      <c r="E116" s="8" t="s">
        <v>664</v>
      </c>
      <c r="F116" s="8" t="s">
        <v>1350</v>
      </c>
      <c r="G116" s="17">
        <v>46303</v>
      </c>
      <c r="H116" s="8" t="s">
        <v>1041</v>
      </c>
      <c r="I116" s="9">
        <v>1</v>
      </c>
      <c r="J116" s="10">
        <v>762</v>
      </c>
      <c r="K116" s="10">
        <v>17773.189999999999</v>
      </c>
      <c r="L116" s="8"/>
      <c r="M116" s="7"/>
    </row>
    <row r="117" spans="1:13" x14ac:dyDescent="0.25">
      <c r="A117" s="12" t="str">
        <f t="shared" si="3"/>
        <v>DIANVT01/10/26HORIZONTE EXPRESS TRANSPORTES LTDADEP</v>
      </c>
      <c r="B117" s="12" t="str">
        <f t="shared" si="4"/>
        <v>Outubro</v>
      </c>
      <c r="C117" s="9">
        <v>87</v>
      </c>
      <c r="D117" s="8" t="s">
        <v>1042</v>
      </c>
      <c r="E117" s="8" t="s">
        <v>664</v>
      </c>
      <c r="F117" s="8" t="s">
        <v>1350</v>
      </c>
      <c r="G117" s="17">
        <v>46303</v>
      </c>
      <c r="H117" s="8" t="s">
        <v>1043</v>
      </c>
      <c r="I117" s="9">
        <v>1</v>
      </c>
      <c r="J117" s="10">
        <v>272</v>
      </c>
      <c r="K117" s="10">
        <v>18045.189999999999</v>
      </c>
      <c r="L117" s="8"/>
      <c r="M117" s="7"/>
    </row>
    <row r="118" spans="1:13" x14ac:dyDescent="0.25">
      <c r="A118" s="12" t="str">
        <f t="shared" si="3"/>
        <v>VTNVT01/10/26MGHORIZONTE EXPRESS TRANSPORTES LTDABNF</v>
      </c>
      <c r="B118" s="12" t="str">
        <f t="shared" si="4"/>
        <v>Outubro</v>
      </c>
      <c r="C118" s="9">
        <v>87</v>
      </c>
      <c r="D118" s="8" t="s">
        <v>1044</v>
      </c>
      <c r="E118" s="8" t="s">
        <v>664</v>
      </c>
      <c r="F118" s="8" t="s">
        <v>1350</v>
      </c>
      <c r="G118" s="17">
        <v>46303</v>
      </c>
      <c r="H118" s="8" t="s">
        <v>1041</v>
      </c>
      <c r="I118" s="9">
        <v>1</v>
      </c>
      <c r="J118" s="10">
        <v>168</v>
      </c>
      <c r="K118" s="10">
        <v>18213.189999999999</v>
      </c>
      <c r="L118" s="8"/>
      <c r="M118" s="7"/>
    </row>
    <row r="119" spans="1:13" x14ac:dyDescent="0.25">
      <c r="A119" s="12" t="str">
        <f t="shared" si="3"/>
        <v>40RONICAR REPARACAO AUTOMOTIVA LTDANFE</v>
      </c>
      <c r="B119" s="12" t="str">
        <f t="shared" si="4"/>
        <v>Outubro</v>
      </c>
      <c r="C119" s="9">
        <v>87</v>
      </c>
      <c r="D119" s="8" t="s">
        <v>534</v>
      </c>
      <c r="E119" s="8" t="s">
        <v>664</v>
      </c>
      <c r="F119" s="8" t="s">
        <v>174</v>
      </c>
      <c r="G119" s="17">
        <v>46304</v>
      </c>
      <c r="H119" s="8" t="s">
        <v>380</v>
      </c>
      <c r="I119" s="9">
        <v>1</v>
      </c>
      <c r="J119" s="10">
        <v>225</v>
      </c>
      <c r="K119" s="10">
        <v>225</v>
      </c>
      <c r="L119" s="8"/>
      <c r="M119" s="7"/>
    </row>
    <row r="120" spans="1:13" x14ac:dyDescent="0.25">
      <c r="A120" s="12" t="str">
        <f t="shared" si="3"/>
        <v>5005597EDUARDO GAUDENCIO ROSACT</v>
      </c>
      <c r="B120" s="12" t="str">
        <f t="shared" si="4"/>
        <v>Outubro</v>
      </c>
      <c r="C120" s="9">
        <v>87</v>
      </c>
      <c r="D120" s="8" t="s">
        <v>1134</v>
      </c>
      <c r="E120" s="8" t="s">
        <v>664</v>
      </c>
      <c r="F120" s="8" t="s">
        <v>58</v>
      </c>
      <c r="G120" s="17">
        <v>46304</v>
      </c>
      <c r="H120" s="8" t="s">
        <v>1035</v>
      </c>
      <c r="I120" s="9">
        <v>1</v>
      </c>
      <c r="J120" s="10">
        <v>350</v>
      </c>
      <c r="K120" s="10">
        <v>575</v>
      </c>
      <c r="L120" s="8"/>
      <c r="M120" s="7"/>
    </row>
    <row r="121" spans="1:13" x14ac:dyDescent="0.25">
      <c r="A121" s="12" t="str">
        <f t="shared" si="3"/>
        <v>5005598NELCIDES JOSE VIEIRACT</v>
      </c>
      <c r="B121" s="12" t="str">
        <f t="shared" si="4"/>
        <v>Outubro</v>
      </c>
      <c r="C121" s="9">
        <v>87</v>
      </c>
      <c r="D121" s="8" t="s">
        <v>1135</v>
      </c>
      <c r="E121" s="8" t="s">
        <v>664</v>
      </c>
      <c r="F121" s="8" t="s">
        <v>137</v>
      </c>
      <c r="G121" s="17">
        <v>46304</v>
      </c>
      <c r="H121" s="8" t="s">
        <v>1035</v>
      </c>
      <c r="I121" s="9">
        <v>1</v>
      </c>
      <c r="J121" s="10">
        <v>350</v>
      </c>
      <c r="K121" s="10">
        <v>925</v>
      </c>
      <c r="L121" s="8"/>
      <c r="M121" s="7"/>
    </row>
    <row r="122" spans="1:13" x14ac:dyDescent="0.25">
      <c r="A122" s="12" t="str">
        <f t="shared" si="3"/>
        <v>5005599CARLOS ANTONIO PINTOCT</v>
      </c>
      <c r="B122" s="12" t="str">
        <f t="shared" si="4"/>
        <v>Outubro</v>
      </c>
      <c r="C122" s="9">
        <v>87</v>
      </c>
      <c r="D122" s="8" t="s">
        <v>1132</v>
      </c>
      <c r="E122" s="8" t="s">
        <v>664</v>
      </c>
      <c r="F122" s="8" t="s">
        <v>36</v>
      </c>
      <c r="G122" s="17">
        <v>46304</v>
      </c>
      <c r="H122" s="8" t="s">
        <v>1035</v>
      </c>
      <c r="I122" s="9">
        <v>1</v>
      </c>
      <c r="J122" s="10">
        <v>350</v>
      </c>
      <c r="K122" s="10">
        <v>1275</v>
      </c>
      <c r="L122" s="8"/>
      <c r="M122" s="7"/>
    </row>
    <row r="123" spans="1:13" x14ac:dyDescent="0.25">
      <c r="A123" s="12" t="str">
        <f t="shared" si="3"/>
        <v>5005600CRISTIAN ALVES MOREIRACT</v>
      </c>
      <c r="B123" s="12" t="str">
        <f t="shared" si="4"/>
        <v>Outubro</v>
      </c>
      <c r="C123" s="9">
        <v>87</v>
      </c>
      <c r="D123" s="8" t="s">
        <v>1133</v>
      </c>
      <c r="E123" s="8" t="s">
        <v>664</v>
      </c>
      <c r="F123" s="8" t="s">
        <v>46</v>
      </c>
      <c r="G123" s="17">
        <v>46304</v>
      </c>
      <c r="H123" s="8" t="s">
        <v>1035</v>
      </c>
      <c r="I123" s="9">
        <v>1</v>
      </c>
      <c r="J123" s="10">
        <v>385</v>
      </c>
      <c r="K123" s="10">
        <v>1660</v>
      </c>
      <c r="L123" s="8"/>
      <c r="M123" s="7"/>
    </row>
    <row r="124" spans="1:13" x14ac:dyDescent="0.25">
      <c r="A124" s="12" t="str">
        <f t="shared" si="3"/>
        <v>5005601PAULO RICARDO SILVACT</v>
      </c>
      <c r="B124" s="12" t="str">
        <f t="shared" si="4"/>
        <v>Outubro</v>
      </c>
      <c r="C124" s="9">
        <v>87</v>
      </c>
      <c r="D124" s="8" t="s">
        <v>1136</v>
      </c>
      <c r="E124" s="8" t="s">
        <v>664</v>
      </c>
      <c r="F124" s="8" t="s">
        <v>153</v>
      </c>
      <c r="G124" s="17">
        <v>46304</v>
      </c>
      <c r="H124" s="8" t="s">
        <v>1035</v>
      </c>
      <c r="I124" s="9">
        <v>1</v>
      </c>
      <c r="J124" s="10">
        <v>350</v>
      </c>
      <c r="K124" s="10">
        <v>2010</v>
      </c>
      <c r="L124" s="8"/>
      <c r="M124" s="7"/>
    </row>
    <row r="125" spans="1:13" x14ac:dyDescent="0.25">
      <c r="A125" s="12" t="str">
        <f t="shared" si="3"/>
        <v>5005602RENAN ELTON DIVINOCT</v>
      </c>
      <c r="B125" s="12" t="str">
        <f t="shared" si="4"/>
        <v>Outubro</v>
      </c>
      <c r="C125" s="9">
        <v>87</v>
      </c>
      <c r="D125" s="8" t="s">
        <v>1137</v>
      </c>
      <c r="E125" s="8" t="s">
        <v>664</v>
      </c>
      <c r="F125" s="8" t="s">
        <v>1409</v>
      </c>
      <c r="G125" s="17">
        <v>46304</v>
      </c>
      <c r="H125" s="8" t="s">
        <v>1035</v>
      </c>
      <c r="I125" s="9">
        <v>1</v>
      </c>
      <c r="J125" s="10">
        <v>385</v>
      </c>
      <c r="K125" s="10">
        <v>2395</v>
      </c>
      <c r="L125" s="8"/>
      <c r="M125" s="7"/>
    </row>
    <row r="126" spans="1:13" x14ac:dyDescent="0.25">
      <c r="A126" s="12" t="str">
        <f t="shared" si="3"/>
        <v>55GABRIEL MOUTINHO ALBINORCB</v>
      </c>
      <c r="B126" s="12" t="str">
        <f t="shared" si="4"/>
        <v>Outubro</v>
      </c>
      <c r="C126" s="9">
        <v>87</v>
      </c>
      <c r="D126" s="8" t="s">
        <v>2406</v>
      </c>
      <c r="E126" s="8" t="s">
        <v>664</v>
      </c>
      <c r="F126" s="8" t="s">
        <v>73</v>
      </c>
      <c r="G126" s="17">
        <v>46304</v>
      </c>
      <c r="H126" s="8" t="s">
        <v>1045</v>
      </c>
      <c r="I126" s="9">
        <v>1</v>
      </c>
      <c r="J126" s="10">
        <v>180</v>
      </c>
      <c r="K126" s="10">
        <v>2575</v>
      </c>
      <c r="L126" s="8"/>
      <c r="M126" s="7"/>
    </row>
    <row r="127" spans="1:13" x14ac:dyDescent="0.25">
      <c r="A127" s="12" t="str">
        <f t="shared" si="3"/>
        <v>1371RC TRUCK CENTER S/ANSE</v>
      </c>
      <c r="B127" s="12" t="str">
        <f t="shared" si="4"/>
        <v>Outubro</v>
      </c>
      <c r="C127" s="9">
        <v>87</v>
      </c>
      <c r="D127" s="8" t="s">
        <v>711</v>
      </c>
      <c r="E127" s="8" t="s">
        <v>1354</v>
      </c>
      <c r="F127" s="8" t="s">
        <v>164</v>
      </c>
      <c r="G127" s="17">
        <v>46305</v>
      </c>
      <c r="H127" s="8" t="s">
        <v>665</v>
      </c>
      <c r="I127" s="9">
        <v>1</v>
      </c>
      <c r="J127" s="10">
        <v>1808.64</v>
      </c>
      <c r="K127" s="10">
        <v>1808.64</v>
      </c>
      <c r="L127" s="8"/>
      <c r="M127" s="7"/>
    </row>
    <row r="128" spans="1:13" x14ac:dyDescent="0.25">
      <c r="A128" s="12" t="str">
        <f t="shared" si="3"/>
        <v>17754721BTT TELECOMUNICACOES S.A.FT</v>
      </c>
      <c r="B128" s="12" t="str">
        <f t="shared" si="4"/>
        <v>Outubro</v>
      </c>
      <c r="C128" s="9">
        <v>87</v>
      </c>
      <c r="D128" s="8" t="s">
        <v>255</v>
      </c>
      <c r="E128" s="8" t="s">
        <v>1400</v>
      </c>
      <c r="F128" s="8" t="s">
        <v>33</v>
      </c>
      <c r="G128" s="17">
        <v>46305</v>
      </c>
      <c r="H128" s="8" t="s">
        <v>232</v>
      </c>
      <c r="I128" s="9">
        <v>1</v>
      </c>
      <c r="J128" s="10">
        <v>199</v>
      </c>
      <c r="K128" s="10">
        <v>2007.64</v>
      </c>
      <c r="L128" s="8"/>
      <c r="M128" s="7"/>
    </row>
    <row r="129" spans="1:13" x14ac:dyDescent="0.25">
      <c r="A129" s="12" t="str">
        <f t="shared" si="3"/>
        <v>19124BATERLAY LTDANFE</v>
      </c>
      <c r="B129" s="12" t="str">
        <f t="shared" si="4"/>
        <v>Outubro</v>
      </c>
      <c r="C129" s="9">
        <v>87</v>
      </c>
      <c r="D129" s="8" t="s">
        <v>444</v>
      </c>
      <c r="E129" s="8" t="s">
        <v>664</v>
      </c>
      <c r="F129" s="8" t="s">
        <v>25</v>
      </c>
      <c r="G129" s="17">
        <v>46305</v>
      </c>
      <c r="H129" s="8" t="s">
        <v>380</v>
      </c>
      <c r="I129" s="9">
        <v>1</v>
      </c>
      <c r="J129" s="10">
        <v>1236</v>
      </c>
      <c r="K129" s="10">
        <v>3243.64</v>
      </c>
      <c r="L129" s="8"/>
      <c r="M129" s="7"/>
    </row>
    <row r="130" spans="1:13" x14ac:dyDescent="0.25">
      <c r="A130" s="12" t="str">
        <f t="shared" si="3"/>
        <v>21131311GRUPO CASAS BAHIA SANFE</v>
      </c>
      <c r="B130" s="12" t="str">
        <f t="shared" si="4"/>
        <v>Outubro</v>
      </c>
      <c r="C130" s="9">
        <v>87</v>
      </c>
      <c r="D130" s="8" t="s">
        <v>452</v>
      </c>
      <c r="E130" s="8" t="s">
        <v>1400</v>
      </c>
      <c r="F130" s="8" t="s">
        <v>76</v>
      </c>
      <c r="G130" s="17">
        <v>46305</v>
      </c>
      <c r="H130" s="8" t="s">
        <v>380</v>
      </c>
      <c r="I130" s="9">
        <v>5</v>
      </c>
      <c r="J130" s="10">
        <v>665.56</v>
      </c>
      <c r="K130" s="10">
        <v>3909.2</v>
      </c>
      <c r="L130" s="8"/>
      <c r="M130" s="7"/>
    </row>
    <row r="131" spans="1:13" x14ac:dyDescent="0.25">
      <c r="A131" s="12" t="str">
        <f t="shared" ref="A131:A194" si="5">D131&amp;F131&amp;H131</f>
        <v>191540MINAS MAQUINAS SA | JUIZ DE FORANFE</v>
      </c>
      <c r="B131" s="12" t="str">
        <f t="shared" ref="B131:B194" si="6">PROPER(TEXT($G131,"MMMM"))</f>
        <v>Outubro</v>
      </c>
      <c r="C131" s="9">
        <v>87</v>
      </c>
      <c r="D131" s="8" t="s">
        <v>445</v>
      </c>
      <c r="E131" s="8" t="s">
        <v>1400</v>
      </c>
      <c r="F131" s="8" t="s">
        <v>132</v>
      </c>
      <c r="G131" s="17">
        <v>46306</v>
      </c>
      <c r="H131" s="8" t="s">
        <v>380</v>
      </c>
      <c r="I131" s="9">
        <v>1</v>
      </c>
      <c r="J131" s="10">
        <v>2455.09</v>
      </c>
      <c r="K131" s="10">
        <v>2455.09</v>
      </c>
      <c r="L131" s="8"/>
      <c r="M131" s="7"/>
    </row>
    <row r="132" spans="1:13" x14ac:dyDescent="0.25">
      <c r="A132" s="12" t="str">
        <f t="shared" si="5"/>
        <v>5005603EDUARDO GAUDENCIO ROSACT</v>
      </c>
      <c r="B132" s="12" t="str">
        <f t="shared" si="6"/>
        <v>Outubro</v>
      </c>
      <c r="C132" s="9">
        <v>87</v>
      </c>
      <c r="D132" s="8" t="s">
        <v>1138</v>
      </c>
      <c r="E132" s="8" t="s">
        <v>664</v>
      </c>
      <c r="F132" s="8" t="s">
        <v>58</v>
      </c>
      <c r="G132" s="17">
        <v>46306</v>
      </c>
      <c r="H132" s="8" t="s">
        <v>1035</v>
      </c>
      <c r="I132" s="9">
        <v>1</v>
      </c>
      <c r="J132" s="10">
        <v>350</v>
      </c>
      <c r="K132" s="10">
        <v>2805.09</v>
      </c>
      <c r="L132" s="8"/>
      <c r="M132" s="7"/>
    </row>
    <row r="133" spans="1:13" x14ac:dyDescent="0.25">
      <c r="A133" s="12" t="str">
        <f t="shared" si="5"/>
        <v>5005604NELCIDES JOSE VIEIRACT</v>
      </c>
      <c r="B133" s="12" t="str">
        <f t="shared" si="6"/>
        <v>Outubro</v>
      </c>
      <c r="C133" s="9">
        <v>87</v>
      </c>
      <c r="D133" s="8" t="s">
        <v>1140</v>
      </c>
      <c r="E133" s="8" t="s">
        <v>664</v>
      </c>
      <c r="F133" s="8" t="s">
        <v>137</v>
      </c>
      <c r="G133" s="17">
        <v>46306</v>
      </c>
      <c r="H133" s="8" t="s">
        <v>1035</v>
      </c>
      <c r="I133" s="9">
        <v>1</v>
      </c>
      <c r="J133" s="10">
        <v>350</v>
      </c>
      <c r="K133" s="10">
        <v>3155.09</v>
      </c>
      <c r="L133" s="8"/>
      <c r="M133" s="7"/>
    </row>
    <row r="134" spans="1:13" x14ac:dyDescent="0.25">
      <c r="A134" s="12" t="str">
        <f t="shared" si="5"/>
        <v>5005605NATANIELLE SILVA DE SOUZA MARQUESCT</v>
      </c>
      <c r="B134" s="12" t="str">
        <f t="shared" si="6"/>
        <v>Outubro</v>
      </c>
      <c r="C134" s="9">
        <v>87</v>
      </c>
      <c r="D134" s="8" t="s">
        <v>1139</v>
      </c>
      <c r="E134" s="8" t="s">
        <v>664</v>
      </c>
      <c r="F134" s="8" t="s">
        <v>135</v>
      </c>
      <c r="G134" s="17">
        <v>46306</v>
      </c>
      <c r="H134" s="8" t="s">
        <v>1035</v>
      </c>
      <c r="I134" s="9">
        <v>1</v>
      </c>
      <c r="J134" s="10">
        <v>350</v>
      </c>
      <c r="K134" s="10">
        <v>3505.09</v>
      </c>
      <c r="L134" s="8"/>
      <c r="M134" s="7"/>
    </row>
    <row r="135" spans="1:13" x14ac:dyDescent="0.25">
      <c r="A135" s="12" t="str">
        <f t="shared" si="5"/>
        <v>65MINAS MAQUINAS SA | JUIZ DE FORANSE</v>
      </c>
      <c r="B135" s="12" t="str">
        <f t="shared" si="6"/>
        <v>Outubro</v>
      </c>
      <c r="C135" s="9">
        <v>87</v>
      </c>
      <c r="D135" s="8" t="s">
        <v>928</v>
      </c>
      <c r="E135" s="8" t="s">
        <v>1354</v>
      </c>
      <c r="F135" s="8" t="s">
        <v>132</v>
      </c>
      <c r="G135" s="17">
        <v>46306</v>
      </c>
      <c r="H135" s="8" t="s">
        <v>665</v>
      </c>
      <c r="I135" s="9">
        <v>1</v>
      </c>
      <c r="J135" s="10">
        <v>1404</v>
      </c>
      <c r="K135" s="10">
        <v>4909.09</v>
      </c>
      <c r="L135" s="8"/>
      <c r="M135" s="7"/>
    </row>
    <row r="136" spans="1:13" x14ac:dyDescent="0.25">
      <c r="A136" s="12" t="str">
        <f t="shared" si="5"/>
        <v>1094542026PREFEITURA MUNICIPAL DE CONTAGEMIM</v>
      </c>
      <c r="B136" s="12" t="str">
        <f t="shared" si="6"/>
        <v>Outubro</v>
      </c>
      <c r="C136" s="9">
        <v>87</v>
      </c>
      <c r="D136" s="8" t="s">
        <v>1141</v>
      </c>
      <c r="E136" s="8" t="s">
        <v>664</v>
      </c>
      <c r="F136" s="8" t="s">
        <v>1470</v>
      </c>
      <c r="G136" s="17">
        <v>46308</v>
      </c>
      <c r="H136" s="8" t="s">
        <v>1142</v>
      </c>
      <c r="I136" s="9">
        <v>1</v>
      </c>
      <c r="J136" s="10">
        <v>789.12</v>
      </c>
      <c r="K136" s="10">
        <v>789.12</v>
      </c>
      <c r="L136" s="8"/>
      <c r="M136" s="7"/>
    </row>
    <row r="137" spans="1:13" x14ac:dyDescent="0.25">
      <c r="A137" s="12" t="str">
        <f t="shared" si="5"/>
        <v>1522859-2026PREFEITURA MUNICIPAL DE CONTAGEMIM</v>
      </c>
      <c r="B137" s="12" t="str">
        <f t="shared" si="6"/>
        <v>Outubro</v>
      </c>
      <c r="C137" s="9">
        <v>87</v>
      </c>
      <c r="D137" s="8" t="s">
        <v>3229</v>
      </c>
      <c r="E137" s="8" t="s">
        <v>664</v>
      </c>
      <c r="F137" s="8" t="s">
        <v>1470</v>
      </c>
      <c r="G137" s="17">
        <v>46308</v>
      </c>
      <c r="H137" s="8" t="s">
        <v>1142</v>
      </c>
      <c r="I137" s="9">
        <v>1</v>
      </c>
      <c r="J137" s="10">
        <v>143.83000000000001</v>
      </c>
      <c r="K137" s="10">
        <v>932.95</v>
      </c>
      <c r="L137" s="8"/>
      <c r="M137" s="7"/>
    </row>
    <row r="138" spans="1:13" x14ac:dyDescent="0.25">
      <c r="A138" s="12" t="str">
        <f t="shared" si="5"/>
        <v>26222581471CENTRO DE GESTÃO DE MEIOS DE PAGTOS. S/AFT</v>
      </c>
      <c r="B138" s="12" t="str">
        <f t="shared" si="6"/>
        <v>Outubro</v>
      </c>
      <c r="C138" s="9">
        <v>87</v>
      </c>
      <c r="D138" s="8" t="s">
        <v>270</v>
      </c>
      <c r="E138" s="8" t="s">
        <v>1354</v>
      </c>
      <c r="F138" s="8" t="s">
        <v>38</v>
      </c>
      <c r="G138" s="17">
        <v>46308</v>
      </c>
      <c r="H138" s="8" t="s">
        <v>232</v>
      </c>
      <c r="I138" s="9">
        <v>1</v>
      </c>
      <c r="J138" s="10">
        <v>22987.7</v>
      </c>
      <c r="K138" s="10">
        <v>23920.65</v>
      </c>
      <c r="L138" s="8"/>
      <c r="M138" s="7"/>
    </row>
    <row r="139" spans="1:13" x14ac:dyDescent="0.25">
      <c r="A139" s="12" t="str">
        <f t="shared" si="5"/>
        <v>53434742TICKET SOLUCOES HDFGT S/ANSE</v>
      </c>
      <c r="B139" s="12" t="str">
        <f t="shared" si="6"/>
        <v>Outubro</v>
      </c>
      <c r="C139" s="9">
        <v>87</v>
      </c>
      <c r="D139" s="8" t="s">
        <v>1163</v>
      </c>
      <c r="E139" s="8" t="s">
        <v>1354</v>
      </c>
      <c r="F139" s="8" t="s">
        <v>189</v>
      </c>
      <c r="G139" s="17">
        <v>46308</v>
      </c>
      <c r="H139" s="8" t="s">
        <v>665</v>
      </c>
      <c r="I139" s="9">
        <v>1</v>
      </c>
      <c r="J139" s="10">
        <v>106876.41</v>
      </c>
      <c r="K139" s="10">
        <v>130797.06</v>
      </c>
      <c r="L139" s="8"/>
      <c r="M139" s="7"/>
    </row>
    <row r="140" spans="1:13" x14ac:dyDescent="0.25">
      <c r="A140" s="12" t="str">
        <f t="shared" si="5"/>
        <v>IVA1262026SECRETARIA DE ADMINISTRAÇÃO DO GOVERNO DO ESTADO DE PERNAMBUCOIPV</v>
      </c>
      <c r="B140" s="12" t="str">
        <f t="shared" si="6"/>
        <v>Outubro</v>
      </c>
      <c r="C140" s="9">
        <v>87</v>
      </c>
      <c r="D140" s="8" t="s">
        <v>1143</v>
      </c>
      <c r="E140" s="8" t="s">
        <v>1723</v>
      </c>
      <c r="F140" s="8" t="s">
        <v>1744</v>
      </c>
      <c r="G140" s="17">
        <v>46308</v>
      </c>
      <c r="H140" s="8" t="s">
        <v>1144</v>
      </c>
      <c r="I140" s="9">
        <v>9</v>
      </c>
      <c r="J140" s="10">
        <v>213.97</v>
      </c>
      <c r="K140" s="10">
        <v>131011.03</v>
      </c>
      <c r="L140" s="8"/>
      <c r="M140" s="7"/>
    </row>
    <row r="141" spans="1:13" x14ac:dyDescent="0.25">
      <c r="A141" s="12" t="str">
        <f t="shared" si="5"/>
        <v>IVA1272026SECRETARIA DE ADMINISTRAÇÃO DO GOVERNO DO ESTADO DE PERNAMBUCOIPV</v>
      </c>
      <c r="B141" s="12" t="str">
        <f t="shared" si="6"/>
        <v>Outubro</v>
      </c>
      <c r="C141" s="9">
        <v>87</v>
      </c>
      <c r="D141" s="8" t="s">
        <v>1145</v>
      </c>
      <c r="E141" s="8" t="s">
        <v>1723</v>
      </c>
      <c r="F141" s="8" t="s">
        <v>1744</v>
      </c>
      <c r="G141" s="17">
        <v>46308</v>
      </c>
      <c r="H141" s="8" t="s">
        <v>1144</v>
      </c>
      <c r="I141" s="9">
        <v>9</v>
      </c>
      <c r="J141" s="10">
        <v>213.97</v>
      </c>
      <c r="K141" s="10">
        <v>131225</v>
      </c>
      <c r="L141" s="8"/>
      <c r="M141" s="7"/>
    </row>
    <row r="142" spans="1:13" x14ac:dyDescent="0.25">
      <c r="A142" s="12" t="str">
        <f t="shared" si="5"/>
        <v>IVA1302026SECRETARIA DE ADMINISTRAÇÃO DO GOVERNO DO ESTADO DE PERNAMBUCOIPV</v>
      </c>
      <c r="B142" s="12" t="str">
        <f t="shared" si="6"/>
        <v>Outubro</v>
      </c>
      <c r="C142" s="9">
        <v>87</v>
      </c>
      <c r="D142" s="8" t="s">
        <v>1146</v>
      </c>
      <c r="E142" s="8" t="s">
        <v>1723</v>
      </c>
      <c r="F142" s="8" t="s">
        <v>1744</v>
      </c>
      <c r="G142" s="17">
        <v>46308</v>
      </c>
      <c r="H142" s="8" t="s">
        <v>1144</v>
      </c>
      <c r="I142" s="9">
        <v>9</v>
      </c>
      <c r="J142" s="10">
        <v>213.97</v>
      </c>
      <c r="K142" s="10">
        <v>131438.97</v>
      </c>
      <c r="L142" s="8"/>
      <c r="M142" s="7"/>
    </row>
    <row r="143" spans="1:13" x14ac:dyDescent="0.25">
      <c r="A143" s="12" t="str">
        <f t="shared" si="5"/>
        <v>IVA1312026SECRETARIA DE ADMINISTRAÇÃO DO GOVERNO DO ESTADO DE PERNAMBUCOIPV</v>
      </c>
      <c r="B143" s="12" t="str">
        <f t="shared" si="6"/>
        <v>Outubro</v>
      </c>
      <c r="C143" s="9">
        <v>87</v>
      </c>
      <c r="D143" s="8" t="s">
        <v>1147</v>
      </c>
      <c r="E143" s="8" t="s">
        <v>1723</v>
      </c>
      <c r="F143" s="8" t="s">
        <v>1744</v>
      </c>
      <c r="G143" s="17">
        <v>46308</v>
      </c>
      <c r="H143" s="8" t="s">
        <v>1144</v>
      </c>
      <c r="I143" s="9">
        <v>9</v>
      </c>
      <c r="J143" s="10">
        <v>213.97</v>
      </c>
      <c r="K143" s="10">
        <v>131652.94</v>
      </c>
      <c r="L143" s="8"/>
      <c r="M143" s="7"/>
    </row>
    <row r="144" spans="1:13" x14ac:dyDescent="0.25">
      <c r="A144" s="12" t="str">
        <f t="shared" si="5"/>
        <v>IVA1492026SECRETARIA DE ADMINISTRAÇÃO DO GOVERNO DO ESTADO DE PERNAMBUCOIPV</v>
      </c>
      <c r="B144" s="12" t="str">
        <f t="shared" si="6"/>
        <v>Outubro</v>
      </c>
      <c r="C144" s="9">
        <v>87</v>
      </c>
      <c r="D144" s="8" t="s">
        <v>1148</v>
      </c>
      <c r="E144" s="8" t="s">
        <v>1723</v>
      </c>
      <c r="F144" s="8" t="s">
        <v>1744</v>
      </c>
      <c r="G144" s="17">
        <v>46308</v>
      </c>
      <c r="H144" s="8" t="s">
        <v>1144</v>
      </c>
      <c r="I144" s="9">
        <v>9</v>
      </c>
      <c r="J144" s="10">
        <v>213.97</v>
      </c>
      <c r="K144" s="10">
        <v>131866.91</v>
      </c>
      <c r="L144" s="8"/>
      <c r="M144" s="7"/>
    </row>
    <row r="145" spans="1:13" x14ac:dyDescent="0.25">
      <c r="A145" s="12" t="str">
        <f t="shared" si="5"/>
        <v>IVA1512026SECRETARIA DE ADMINISTRAÇÃO DO GOVERNO DO ESTADO DE PERNAMBUCOIPV</v>
      </c>
      <c r="B145" s="12" t="str">
        <f t="shared" si="6"/>
        <v>Outubro</v>
      </c>
      <c r="C145" s="9">
        <v>87</v>
      </c>
      <c r="D145" s="8" t="s">
        <v>1149</v>
      </c>
      <c r="E145" s="8" t="s">
        <v>1723</v>
      </c>
      <c r="F145" s="8" t="s">
        <v>1744</v>
      </c>
      <c r="G145" s="17">
        <v>46308</v>
      </c>
      <c r="H145" s="8" t="s">
        <v>1144</v>
      </c>
      <c r="I145" s="9">
        <v>9</v>
      </c>
      <c r="J145" s="10">
        <v>213.97</v>
      </c>
      <c r="K145" s="10">
        <v>132080.88</v>
      </c>
      <c r="L145" s="8"/>
      <c r="M145" s="7"/>
    </row>
    <row r="146" spans="1:13" x14ac:dyDescent="0.25">
      <c r="A146" s="12" t="str">
        <f t="shared" si="5"/>
        <v>IVA1542026SECRETARIA DE ADMINISTRAÇÃO DO GOVERNO DO ESTADO DE PERNAMBUCOIPV</v>
      </c>
      <c r="B146" s="12" t="str">
        <f t="shared" si="6"/>
        <v>Outubro</v>
      </c>
      <c r="C146" s="9">
        <v>87</v>
      </c>
      <c r="D146" s="8" t="s">
        <v>1150</v>
      </c>
      <c r="E146" s="8" t="s">
        <v>1723</v>
      </c>
      <c r="F146" s="8" t="s">
        <v>1744</v>
      </c>
      <c r="G146" s="17">
        <v>46308</v>
      </c>
      <c r="H146" s="8" t="s">
        <v>1144</v>
      </c>
      <c r="I146" s="9">
        <v>9</v>
      </c>
      <c r="J146" s="10">
        <v>213.97</v>
      </c>
      <c r="K146" s="10">
        <v>132294.85</v>
      </c>
      <c r="L146" s="8"/>
      <c r="M146" s="7"/>
    </row>
    <row r="147" spans="1:13" x14ac:dyDescent="0.25">
      <c r="A147" s="12" t="str">
        <f t="shared" si="5"/>
        <v>IVA1562026SECRETARIA DE ADMINISTRAÇÃO DO GOVERNO DO ESTADO DE PERNAMBUCOIPV</v>
      </c>
      <c r="B147" s="12" t="str">
        <f t="shared" si="6"/>
        <v>Outubro</v>
      </c>
      <c r="C147" s="9">
        <v>87</v>
      </c>
      <c r="D147" s="8" t="s">
        <v>1151</v>
      </c>
      <c r="E147" s="8" t="s">
        <v>1723</v>
      </c>
      <c r="F147" s="8" t="s">
        <v>1744</v>
      </c>
      <c r="G147" s="17">
        <v>46308</v>
      </c>
      <c r="H147" s="8" t="s">
        <v>1144</v>
      </c>
      <c r="I147" s="9">
        <v>9</v>
      </c>
      <c r="J147" s="10">
        <v>213.97</v>
      </c>
      <c r="K147" s="10">
        <v>132508.82</v>
      </c>
      <c r="L147" s="8"/>
      <c r="M147" s="7"/>
    </row>
    <row r="148" spans="1:13" x14ac:dyDescent="0.25">
      <c r="A148" s="12" t="str">
        <f t="shared" si="5"/>
        <v>IVA1572026SECRETARIA DE ADMINISTRAÇÃO DO GOVERNO DO ESTADO DE PERNAMBUCOIPV</v>
      </c>
      <c r="B148" s="12" t="str">
        <f t="shared" si="6"/>
        <v>Outubro</v>
      </c>
      <c r="C148" s="9">
        <v>87</v>
      </c>
      <c r="D148" s="8" t="s">
        <v>1152</v>
      </c>
      <c r="E148" s="8" t="s">
        <v>1723</v>
      </c>
      <c r="F148" s="8" t="s">
        <v>1744</v>
      </c>
      <c r="G148" s="17">
        <v>46308</v>
      </c>
      <c r="H148" s="8" t="s">
        <v>1144</v>
      </c>
      <c r="I148" s="9">
        <v>9</v>
      </c>
      <c r="J148" s="10">
        <v>213.97</v>
      </c>
      <c r="K148" s="10">
        <v>132722.79</v>
      </c>
      <c r="L148" s="8"/>
      <c r="M148" s="7"/>
    </row>
    <row r="149" spans="1:13" x14ac:dyDescent="0.25">
      <c r="A149" s="12" t="str">
        <f t="shared" si="5"/>
        <v>IVA1582026SECRETARIA DE ADMINISTRAÇÃO DO GOVERNO DO ESTADO DE PERNAMBUCOIPV</v>
      </c>
      <c r="B149" s="12" t="str">
        <f t="shared" si="6"/>
        <v>Outubro</v>
      </c>
      <c r="C149" s="9">
        <v>87</v>
      </c>
      <c r="D149" s="8" t="s">
        <v>1153</v>
      </c>
      <c r="E149" s="8" t="s">
        <v>1723</v>
      </c>
      <c r="F149" s="8" t="s">
        <v>1744</v>
      </c>
      <c r="G149" s="17">
        <v>46308</v>
      </c>
      <c r="H149" s="8" t="s">
        <v>1144</v>
      </c>
      <c r="I149" s="9">
        <v>9</v>
      </c>
      <c r="J149" s="10">
        <v>213.97</v>
      </c>
      <c r="K149" s="10">
        <v>132936.76</v>
      </c>
      <c r="L149" s="8"/>
      <c r="M149" s="7"/>
    </row>
    <row r="150" spans="1:13" x14ac:dyDescent="0.25">
      <c r="A150" s="12" t="str">
        <f t="shared" si="5"/>
        <v>IVA1592026SECRETARIA DE ADMINISTRAÇÃO DO GOVERNO DO ESTADO DE PERNAMBUCOIPV</v>
      </c>
      <c r="B150" s="12" t="str">
        <f t="shared" si="6"/>
        <v>Outubro</v>
      </c>
      <c r="C150" s="9">
        <v>87</v>
      </c>
      <c r="D150" s="8" t="s">
        <v>1154</v>
      </c>
      <c r="E150" s="8" t="s">
        <v>1723</v>
      </c>
      <c r="F150" s="8" t="s">
        <v>1744</v>
      </c>
      <c r="G150" s="17">
        <v>46308</v>
      </c>
      <c r="H150" s="8" t="s">
        <v>1144</v>
      </c>
      <c r="I150" s="9">
        <v>9</v>
      </c>
      <c r="J150" s="10">
        <v>213.97</v>
      </c>
      <c r="K150" s="10">
        <v>133150.73000000001</v>
      </c>
      <c r="L150" s="8"/>
      <c r="M150" s="7"/>
    </row>
    <row r="151" spans="1:13" x14ac:dyDescent="0.25">
      <c r="A151" s="12" t="str">
        <f t="shared" si="5"/>
        <v>IVA1602026SECRETARIA DE ADMINISTRAÇÃO DO GOVERNO DO ESTADO DE PERNAMBUCOIPV</v>
      </c>
      <c r="B151" s="12" t="str">
        <f t="shared" si="6"/>
        <v>Outubro</v>
      </c>
      <c r="C151" s="9">
        <v>87</v>
      </c>
      <c r="D151" s="8" t="s">
        <v>1155</v>
      </c>
      <c r="E151" s="8" t="s">
        <v>1723</v>
      </c>
      <c r="F151" s="8" t="s">
        <v>1744</v>
      </c>
      <c r="G151" s="17">
        <v>46308</v>
      </c>
      <c r="H151" s="8" t="s">
        <v>1144</v>
      </c>
      <c r="I151" s="9">
        <v>9</v>
      </c>
      <c r="J151" s="10">
        <v>213.97</v>
      </c>
      <c r="K151" s="10">
        <v>133364.70000000001</v>
      </c>
      <c r="L151" s="8"/>
      <c r="M151" s="7"/>
    </row>
    <row r="152" spans="1:13" x14ac:dyDescent="0.25">
      <c r="A152" s="12" t="str">
        <f t="shared" si="5"/>
        <v>IVA1612026SECRETARIA DE ADMINISTRAÇÃO DO GOVERNO DO ESTADO DE PERNAMBUCOIPV</v>
      </c>
      <c r="B152" s="12" t="str">
        <f t="shared" si="6"/>
        <v>Outubro</v>
      </c>
      <c r="C152" s="9">
        <v>87</v>
      </c>
      <c r="D152" s="8" t="s">
        <v>1156</v>
      </c>
      <c r="E152" s="8" t="s">
        <v>1723</v>
      </c>
      <c r="F152" s="8" t="s">
        <v>1744</v>
      </c>
      <c r="G152" s="17">
        <v>46308</v>
      </c>
      <c r="H152" s="8" t="s">
        <v>1144</v>
      </c>
      <c r="I152" s="9">
        <v>9</v>
      </c>
      <c r="J152" s="10">
        <v>213.97</v>
      </c>
      <c r="K152" s="10">
        <v>133578.67000000001</v>
      </c>
      <c r="L152" s="8"/>
      <c r="M152" s="7"/>
    </row>
    <row r="153" spans="1:13" x14ac:dyDescent="0.25">
      <c r="A153" s="12" t="str">
        <f t="shared" si="5"/>
        <v>IVA1622026SECRETARIA DE ADMINISTRAÇÃO DO GOVERNO DO ESTADO DE PERNAMBUCOIPV</v>
      </c>
      <c r="B153" s="12" t="str">
        <f t="shared" si="6"/>
        <v>Outubro</v>
      </c>
      <c r="C153" s="9">
        <v>87</v>
      </c>
      <c r="D153" s="8" t="s">
        <v>1157</v>
      </c>
      <c r="E153" s="8" t="s">
        <v>1723</v>
      </c>
      <c r="F153" s="8" t="s">
        <v>1744</v>
      </c>
      <c r="G153" s="17">
        <v>46308</v>
      </c>
      <c r="H153" s="8" t="s">
        <v>1144</v>
      </c>
      <c r="I153" s="9">
        <v>9</v>
      </c>
      <c r="J153" s="10">
        <v>213.97</v>
      </c>
      <c r="K153" s="10">
        <v>133792.64000000001</v>
      </c>
      <c r="L153" s="8"/>
      <c r="M153" s="7"/>
    </row>
    <row r="154" spans="1:13" x14ac:dyDescent="0.25">
      <c r="A154" s="12" t="str">
        <f t="shared" si="5"/>
        <v>IVA1652026SECRETARIA DE ADMINISTRAÇÃO DO GOVERNO DO ESTADO DE PERNAMBUCOIPV</v>
      </c>
      <c r="B154" s="12" t="str">
        <f t="shared" si="6"/>
        <v>Outubro</v>
      </c>
      <c r="C154" s="9">
        <v>87</v>
      </c>
      <c r="D154" s="8" t="s">
        <v>1158</v>
      </c>
      <c r="E154" s="8" t="s">
        <v>1723</v>
      </c>
      <c r="F154" s="8" t="s">
        <v>1744</v>
      </c>
      <c r="G154" s="17">
        <v>46308</v>
      </c>
      <c r="H154" s="8" t="s">
        <v>1144</v>
      </c>
      <c r="I154" s="9">
        <v>9</v>
      </c>
      <c r="J154" s="10">
        <v>213.97</v>
      </c>
      <c r="K154" s="10">
        <v>134006.60999999999</v>
      </c>
      <c r="L154" s="8"/>
      <c r="M154" s="7"/>
    </row>
    <row r="155" spans="1:13" x14ac:dyDescent="0.25">
      <c r="A155" s="12" t="str">
        <f t="shared" si="5"/>
        <v>IVA1662026SECRETARIA DE ADMINISTRAÇÃO DO GOVERNO DO ESTADO DE PERNAMBUCOIPV</v>
      </c>
      <c r="B155" s="12" t="str">
        <f t="shared" si="6"/>
        <v>Outubro</v>
      </c>
      <c r="C155" s="9">
        <v>87</v>
      </c>
      <c r="D155" s="8" t="s">
        <v>1159</v>
      </c>
      <c r="E155" s="8" t="s">
        <v>1723</v>
      </c>
      <c r="F155" s="8" t="s">
        <v>1744</v>
      </c>
      <c r="G155" s="17">
        <v>46308</v>
      </c>
      <c r="H155" s="8" t="s">
        <v>1144</v>
      </c>
      <c r="I155" s="9">
        <v>9</v>
      </c>
      <c r="J155" s="10">
        <v>213.97</v>
      </c>
      <c r="K155" s="10">
        <v>134220.57999999999</v>
      </c>
      <c r="L155" s="8"/>
      <c r="M155" s="7"/>
    </row>
    <row r="156" spans="1:13" x14ac:dyDescent="0.25">
      <c r="A156" s="12" t="str">
        <f t="shared" si="5"/>
        <v>IVA1682026SECRETARIA DE ADMINISTRAÇÃO DO GOVERNO DO ESTADO DE PERNAMBUCOIPV</v>
      </c>
      <c r="B156" s="12" t="str">
        <f t="shared" si="6"/>
        <v>Outubro</v>
      </c>
      <c r="C156" s="9">
        <v>87</v>
      </c>
      <c r="D156" s="8" t="s">
        <v>1160</v>
      </c>
      <c r="E156" s="8" t="s">
        <v>1723</v>
      </c>
      <c r="F156" s="8" t="s">
        <v>1744</v>
      </c>
      <c r="G156" s="17">
        <v>46308</v>
      </c>
      <c r="H156" s="8" t="s">
        <v>1144</v>
      </c>
      <c r="I156" s="9">
        <v>9</v>
      </c>
      <c r="J156" s="10">
        <v>213.97</v>
      </c>
      <c r="K156" s="10">
        <v>134434.54999999999</v>
      </c>
      <c r="L156" s="8"/>
      <c r="M156" s="7"/>
    </row>
    <row r="157" spans="1:13" x14ac:dyDescent="0.25">
      <c r="A157" s="12" t="str">
        <f t="shared" si="5"/>
        <v>IVA1712026SECRETARIA DE ADMINISTRAÇÃO DO GOVERNO DO ESTADO DE PERNAMBUCOIPV</v>
      </c>
      <c r="B157" s="12" t="str">
        <f t="shared" si="6"/>
        <v>Outubro</v>
      </c>
      <c r="C157" s="9">
        <v>87</v>
      </c>
      <c r="D157" s="8" t="s">
        <v>1161</v>
      </c>
      <c r="E157" s="8" t="s">
        <v>1723</v>
      </c>
      <c r="F157" s="8" t="s">
        <v>1744</v>
      </c>
      <c r="G157" s="17">
        <v>46308</v>
      </c>
      <c r="H157" s="8" t="s">
        <v>1144</v>
      </c>
      <c r="I157" s="9">
        <v>9</v>
      </c>
      <c r="J157" s="10">
        <v>213.97</v>
      </c>
      <c r="K157" s="10">
        <v>134648.51999999999</v>
      </c>
      <c r="L157" s="8"/>
      <c r="M157" s="7"/>
    </row>
    <row r="158" spans="1:13" x14ac:dyDescent="0.25">
      <c r="A158" s="12" t="str">
        <f t="shared" si="5"/>
        <v>IVA1722026SECRETARIA DE ADMINISTRAÇÃO DO GOVERNO DO ESTADO DE PERNAMBUCOIPV</v>
      </c>
      <c r="B158" s="12" t="str">
        <f t="shared" si="6"/>
        <v>Outubro</v>
      </c>
      <c r="C158" s="9">
        <v>87</v>
      </c>
      <c r="D158" s="8" t="s">
        <v>1162</v>
      </c>
      <c r="E158" s="8" t="s">
        <v>1723</v>
      </c>
      <c r="F158" s="8" t="s">
        <v>1744</v>
      </c>
      <c r="G158" s="17">
        <v>46308</v>
      </c>
      <c r="H158" s="8" t="s">
        <v>1144</v>
      </c>
      <c r="I158" s="9">
        <v>9</v>
      </c>
      <c r="J158" s="10">
        <v>213.97</v>
      </c>
      <c r="K158" s="10">
        <v>134862.49</v>
      </c>
      <c r="L158" s="8"/>
      <c r="M158" s="7"/>
    </row>
    <row r="159" spans="1:13" x14ac:dyDescent="0.25">
      <c r="A159" s="12" t="str">
        <f t="shared" si="5"/>
        <v>1531PREVCENTER MANUTENCAO LTDANSE</v>
      </c>
      <c r="B159" s="12" t="str">
        <f t="shared" si="6"/>
        <v>Outubro</v>
      </c>
      <c r="C159" s="9">
        <v>87</v>
      </c>
      <c r="D159" s="8" t="s">
        <v>248</v>
      </c>
      <c r="E159" s="8" t="s">
        <v>1400</v>
      </c>
      <c r="F159" s="8" t="s">
        <v>159</v>
      </c>
      <c r="G159" s="17">
        <v>46309</v>
      </c>
      <c r="H159" s="8" t="s">
        <v>665</v>
      </c>
      <c r="I159" s="9">
        <v>3</v>
      </c>
      <c r="J159" s="10">
        <v>483.34</v>
      </c>
      <c r="K159" s="10">
        <v>483.34</v>
      </c>
      <c r="L159" s="8"/>
      <c r="M159" s="7"/>
    </row>
    <row r="160" spans="1:13" x14ac:dyDescent="0.25">
      <c r="A160" s="12" t="str">
        <f t="shared" si="5"/>
        <v>8134PREVCENTER MANUTENCAO LTDANFE</v>
      </c>
      <c r="B160" s="12" t="str">
        <f t="shared" si="6"/>
        <v>Outubro</v>
      </c>
      <c r="C160" s="9">
        <v>87</v>
      </c>
      <c r="D160" s="8" t="s">
        <v>589</v>
      </c>
      <c r="E160" s="8" t="s">
        <v>664</v>
      </c>
      <c r="F160" s="8" t="s">
        <v>159</v>
      </c>
      <c r="G160" s="17">
        <v>46309</v>
      </c>
      <c r="H160" s="8" t="s">
        <v>380</v>
      </c>
      <c r="I160" s="9">
        <v>3</v>
      </c>
      <c r="J160" s="10">
        <v>3093.08</v>
      </c>
      <c r="K160" s="10">
        <v>3576.42</v>
      </c>
      <c r="L160" s="8"/>
      <c r="M160" s="7"/>
    </row>
    <row r="161" spans="1:13" x14ac:dyDescent="0.25">
      <c r="A161" s="12" t="str">
        <f t="shared" si="5"/>
        <v>36CASA DA SPRINTER LTDANFE</v>
      </c>
      <c r="B161" s="12" t="str">
        <f t="shared" si="6"/>
        <v>Outubro</v>
      </c>
      <c r="C161" s="9">
        <v>87</v>
      </c>
      <c r="D161" s="8" t="s">
        <v>515</v>
      </c>
      <c r="E161" s="8" t="s">
        <v>664</v>
      </c>
      <c r="F161" s="8" t="s">
        <v>205</v>
      </c>
      <c r="G161" s="17">
        <v>46310</v>
      </c>
      <c r="H161" s="8" t="s">
        <v>380</v>
      </c>
      <c r="I161" s="9">
        <v>1</v>
      </c>
      <c r="J161" s="10">
        <v>2220</v>
      </c>
      <c r="K161" s="10">
        <v>2220</v>
      </c>
      <c r="L161" s="8"/>
      <c r="M161" s="7"/>
    </row>
    <row r="162" spans="1:13" x14ac:dyDescent="0.25">
      <c r="A162" s="12" t="str">
        <f t="shared" si="5"/>
        <v>37CASA DA SPRINTER LTDANFE</v>
      </c>
      <c r="B162" s="12" t="str">
        <f t="shared" si="6"/>
        <v>Outubro</v>
      </c>
      <c r="C162" s="9">
        <v>87</v>
      </c>
      <c r="D162" s="8" t="s">
        <v>517</v>
      </c>
      <c r="E162" s="8" t="s">
        <v>664</v>
      </c>
      <c r="F162" s="8" t="s">
        <v>205</v>
      </c>
      <c r="G162" s="17">
        <v>46310</v>
      </c>
      <c r="H162" s="8" t="s">
        <v>380</v>
      </c>
      <c r="I162" s="9">
        <v>1</v>
      </c>
      <c r="J162" s="10">
        <v>2316</v>
      </c>
      <c r="K162" s="10">
        <v>4536</v>
      </c>
      <c r="L162" s="8"/>
      <c r="M162" s="7"/>
    </row>
    <row r="163" spans="1:13" x14ac:dyDescent="0.25">
      <c r="A163" s="12" t="str">
        <f t="shared" si="5"/>
        <v>5005606PAULO RICARDO SILVACT</v>
      </c>
      <c r="B163" s="12" t="str">
        <f t="shared" si="6"/>
        <v>Outubro</v>
      </c>
      <c r="C163" s="9">
        <v>87</v>
      </c>
      <c r="D163" s="8" t="s">
        <v>1166</v>
      </c>
      <c r="E163" s="8" t="s">
        <v>664</v>
      </c>
      <c r="F163" s="8" t="s">
        <v>153</v>
      </c>
      <c r="G163" s="17">
        <v>46310</v>
      </c>
      <c r="H163" s="8" t="s">
        <v>1035</v>
      </c>
      <c r="I163" s="9">
        <v>1</v>
      </c>
      <c r="J163" s="10">
        <v>350</v>
      </c>
      <c r="K163" s="10">
        <v>4886</v>
      </c>
      <c r="L163" s="8"/>
      <c r="M163" s="7"/>
    </row>
    <row r="164" spans="1:13" x14ac:dyDescent="0.25">
      <c r="A164" s="12" t="str">
        <f t="shared" si="5"/>
        <v>5005607CARLOS ANTONIO PINTOCT</v>
      </c>
      <c r="B164" s="12" t="str">
        <f t="shared" si="6"/>
        <v>Outubro</v>
      </c>
      <c r="C164" s="9">
        <v>87</v>
      </c>
      <c r="D164" s="8" t="s">
        <v>1164</v>
      </c>
      <c r="E164" s="8" t="s">
        <v>664</v>
      </c>
      <c r="F164" s="8" t="s">
        <v>36</v>
      </c>
      <c r="G164" s="17">
        <v>46310</v>
      </c>
      <c r="H164" s="8" t="s">
        <v>1035</v>
      </c>
      <c r="I164" s="9">
        <v>1</v>
      </c>
      <c r="J164" s="10">
        <v>350</v>
      </c>
      <c r="K164" s="10">
        <v>5236</v>
      </c>
      <c r="L164" s="8"/>
      <c r="M164" s="7"/>
    </row>
    <row r="165" spans="1:13" x14ac:dyDescent="0.25">
      <c r="A165" s="12" t="str">
        <f t="shared" si="5"/>
        <v>5005608NELCIDES JOSE VIEIRACT</v>
      </c>
      <c r="B165" s="12" t="str">
        <f t="shared" si="6"/>
        <v>Outubro</v>
      </c>
      <c r="C165" s="9">
        <v>87</v>
      </c>
      <c r="D165" s="8" t="s">
        <v>1165</v>
      </c>
      <c r="E165" s="8" t="s">
        <v>664</v>
      </c>
      <c r="F165" s="8" t="s">
        <v>137</v>
      </c>
      <c r="G165" s="17">
        <v>46310</v>
      </c>
      <c r="H165" s="8" t="s">
        <v>1035</v>
      </c>
      <c r="I165" s="9">
        <v>1</v>
      </c>
      <c r="J165" s="10">
        <v>350</v>
      </c>
      <c r="K165" s="10">
        <v>5586</v>
      </c>
      <c r="L165" s="8"/>
      <c r="M165" s="7"/>
    </row>
    <row r="166" spans="1:13" x14ac:dyDescent="0.25">
      <c r="A166" s="12" t="str">
        <f t="shared" si="5"/>
        <v>525446TELERISCO - INFORMACOES INTEGRADAS DE RISCOS S.ANFS</v>
      </c>
      <c r="B166" s="12" t="str">
        <f t="shared" si="6"/>
        <v>Outubro</v>
      </c>
      <c r="C166" s="9">
        <v>87</v>
      </c>
      <c r="D166" s="8" t="s">
        <v>656</v>
      </c>
      <c r="E166" s="8" t="s">
        <v>664</v>
      </c>
      <c r="F166" s="8" t="s">
        <v>186</v>
      </c>
      <c r="G166" s="17">
        <v>46310</v>
      </c>
      <c r="H166" s="8" t="s">
        <v>614</v>
      </c>
      <c r="I166" s="9">
        <v>1</v>
      </c>
      <c r="J166" s="10">
        <v>381.4</v>
      </c>
      <c r="K166" s="10">
        <v>5967.4</v>
      </c>
      <c r="L166" s="8"/>
      <c r="M166" s="7"/>
    </row>
    <row r="167" spans="1:13" x14ac:dyDescent="0.25">
      <c r="A167" s="12" t="str">
        <f t="shared" si="5"/>
        <v>93CASA DA SPRINTER LTDANSE</v>
      </c>
      <c r="B167" s="12" t="str">
        <f t="shared" si="6"/>
        <v>Outubro</v>
      </c>
      <c r="C167" s="9">
        <v>87</v>
      </c>
      <c r="D167" s="8" t="s">
        <v>1011</v>
      </c>
      <c r="E167" s="8" t="s">
        <v>1354</v>
      </c>
      <c r="F167" s="8" t="s">
        <v>205</v>
      </c>
      <c r="G167" s="17">
        <v>46310</v>
      </c>
      <c r="H167" s="8" t="s">
        <v>665</v>
      </c>
      <c r="I167" s="9">
        <v>1</v>
      </c>
      <c r="J167" s="10">
        <v>1016.38</v>
      </c>
      <c r="K167" s="10">
        <v>6983.78</v>
      </c>
      <c r="L167" s="8"/>
      <c r="M167" s="7"/>
    </row>
    <row r="168" spans="1:13" x14ac:dyDescent="0.25">
      <c r="A168" s="12" t="str">
        <f t="shared" si="5"/>
        <v>94CASA DA SPRINTER LTDANSE</v>
      </c>
      <c r="B168" s="12" t="str">
        <f t="shared" si="6"/>
        <v>Outubro</v>
      </c>
      <c r="C168" s="9">
        <v>87</v>
      </c>
      <c r="D168" s="8" t="s">
        <v>1012</v>
      </c>
      <c r="E168" s="8" t="s">
        <v>1354</v>
      </c>
      <c r="F168" s="8" t="s">
        <v>205</v>
      </c>
      <c r="G168" s="17">
        <v>46310</v>
      </c>
      <c r="H168" s="8" t="s">
        <v>665</v>
      </c>
      <c r="I168" s="9">
        <v>1</v>
      </c>
      <c r="J168" s="10">
        <v>1171.4000000000001</v>
      </c>
      <c r="K168" s="10">
        <v>8155.18</v>
      </c>
      <c r="L168" s="8"/>
      <c r="M168" s="7"/>
    </row>
    <row r="169" spans="1:13" x14ac:dyDescent="0.25">
      <c r="A169" s="12" t="str">
        <f t="shared" si="5"/>
        <v>I38972026SECRETARIA DE ADMINISTRAÇÃO DO GOVERNO DO ESTADO DE PERNAMBUCOIPV</v>
      </c>
      <c r="B169" s="12" t="str">
        <f t="shared" si="6"/>
        <v>Outubro</v>
      </c>
      <c r="C169" s="9">
        <v>87</v>
      </c>
      <c r="D169" s="8" t="s">
        <v>1167</v>
      </c>
      <c r="E169" s="8" t="s">
        <v>1723</v>
      </c>
      <c r="F169" s="8" t="s">
        <v>1744</v>
      </c>
      <c r="G169" s="17">
        <v>46310</v>
      </c>
      <c r="H169" s="8" t="s">
        <v>1144</v>
      </c>
      <c r="I169" s="9">
        <v>9</v>
      </c>
      <c r="J169" s="10">
        <v>544.78</v>
      </c>
      <c r="K169" s="10">
        <v>8699.9599999999991</v>
      </c>
      <c r="L169" s="8"/>
      <c r="M169" s="7"/>
    </row>
    <row r="170" spans="1:13" x14ac:dyDescent="0.25">
      <c r="A170" s="12" t="str">
        <f t="shared" si="5"/>
        <v>I38982026SECRETARIA DE ADMINISTRAÇÃO DO GOVERNO DO ESTADO DE PERNAMBUCOIPV</v>
      </c>
      <c r="B170" s="12" t="str">
        <f t="shared" si="6"/>
        <v>Outubro</v>
      </c>
      <c r="C170" s="9">
        <v>87</v>
      </c>
      <c r="D170" s="8" t="s">
        <v>1168</v>
      </c>
      <c r="E170" s="8" t="s">
        <v>1723</v>
      </c>
      <c r="F170" s="8" t="s">
        <v>1744</v>
      </c>
      <c r="G170" s="17">
        <v>46310</v>
      </c>
      <c r="H170" s="8" t="s">
        <v>1144</v>
      </c>
      <c r="I170" s="9">
        <v>9</v>
      </c>
      <c r="J170" s="10">
        <v>544.78</v>
      </c>
      <c r="K170" s="10">
        <v>9244.74</v>
      </c>
      <c r="L170" s="8"/>
      <c r="M170" s="7"/>
    </row>
    <row r="171" spans="1:13" x14ac:dyDescent="0.25">
      <c r="A171" s="12" t="str">
        <f t="shared" si="5"/>
        <v>I38992026SECRETARIA DE ADMINISTRAÇÃO DO GOVERNO DO ESTADO DE PERNAMBUCOIPV</v>
      </c>
      <c r="B171" s="12" t="str">
        <f t="shared" si="6"/>
        <v>Outubro</v>
      </c>
      <c r="C171" s="9">
        <v>87</v>
      </c>
      <c r="D171" s="8" t="s">
        <v>1169</v>
      </c>
      <c r="E171" s="8" t="s">
        <v>1723</v>
      </c>
      <c r="F171" s="8" t="s">
        <v>1744</v>
      </c>
      <c r="G171" s="17">
        <v>46310</v>
      </c>
      <c r="H171" s="8" t="s">
        <v>1144</v>
      </c>
      <c r="I171" s="9">
        <v>9</v>
      </c>
      <c r="J171" s="10">
        <v>521.59</v>
      </c>
      <c r="K171" s="10">
        <v>9766.33</v>
      </c>
      <c r="L171" s="8"/>
      <c r="M171" s="7"/>
    </row>
    <row r="172" spans="1:13" x14ac:dyDescent="0.25">
      <c r="A172" s="12" t="str">
        <f t="shared" si="5"/>
        <v>I39002026SECRETARIA DE ADMINISTRAÇÃO DO GOVERNO DO ESTADO DE PERNAMBUCOIPV</v>
      </c>
      <c r="B172" s="12" t="str">
        <f t="shared" si="6"/>
        <v>Outubro</v>
      </c>
      <c r="C172" s="9">
        <v>87</v>
      </c>
      <c r="D172" s="8" t="s">
        <v>1170</v>
      </c>
      <c r="E172" s="8" t="s">
        <v>1723</v>
      </c>
      <c r="F172" s="8" t="s">
        <v>1744</v>
      </c>
      <c r="G172" s="17">
        <v>46310</v>
      </c>
      <c r="H172" s="8" t="s">
        <v>1144</v>
      </c>
      <c r="I172" s="9">
        <v>9</v>
      </c>
      <c r="J172" s="10">
        <v>521.59</v>
      </c>
      <c r="K172" s="10">
        <v>10287.92</v>
      </c>
      <c r="L172" s="8"/>
      <c r="M172" s="7"/>
    </row>
    <row r="173" spans="1:13" x14ac:dyDescent="0.25">
      <c r="A173" s="12" t="str">
        <f t="shared" si="5"/>
        <v>I39012026SECRETARIA DE ADMINISTRAÇÃO DO GOVERNO DO ESTADO DE PERNAMBUCOIPV</v>
      </c>
      <c r="B173" s="12" t="str">
        <f t="shared" si="6"/>
        <v>Outubro</v>
      </c>
      <c r="C173" s="9">
        <v>87</v>
      </c>
      <c r="D173" s="8" t="s">
        <v>1171</v>
      </c>
      <c r="E173" s="8" t="s">
        <v>1723</v>
      </c>
      <c r="F173" s="8" t="s">
        <v>1744</v>
      </c>
      <c r="G173" s="17">
        <v>46310</v>
      </c>
      <c r="H173" s="8" t="s">
        <v>1144</v>
      </c>
      <c r="I173" s="9">
        <v>9</v>
      </c>
      <c r="J173" s="10">
        <v>544.78</v>
      </c>
      <c r="K173" s="10">
        <v>10832.7</v>
      </c>
      <c r="L173" s="8"/>
      <c r="M173" s="7"/>
    </row>
    <row r="174" spans="1:13" x14ac:dyDescent="0.25">
      <c r="A174" s="12" t="str">
        <f t="shared" si="5"/>
        <v>I39022026SECRETARIA DE ADMINISTRAÇÃO DO GOVERNO DO ESTADO DE PERNAMBUCOIPV</v>
      </c>
      <c r="B174" s="12" t="str">
        <f t="shared" si="6"/>
        <v>Outubro</v>
      </c>
      <c r="C174" s="9">
        <v>87</v>
      </c>
      <c r="D174" s="8" t="s">
        <v>1172</v>
      </c>
      <c r="E174" s="8" t="s">
        <v>1723</v>
      </c>
      <c r="F174" s="8" t="s">
        <v>1744</v>
      </c>
      <c r="G174" s="17">
        <v>46310</v>
      </c>
      <c r="H174" s="8" t="s">
        <v>1144</v>
      </c>
      <c r="I174" s="9">
        <v>9</v>
      </c>
      <c r="J174" s="10">
        <v>544.78</v>
      </c>
      <c r="K174" s="10">
        <v>11377.48</v>
      </c>
      <c r="L174" s="8"/>
      <c r="M174" s="7"/>
    </row>
    <row r="175" spans="1:13" x14ac:dyDescent="0.25">
      <c r="A175" s="12" t="str">
        <f t="shared" si="5"/>
        <v>I39032026SECRETARIA DE ADMINISTRAÇÃO DO GOVERNO DO ESTADO DE PERNAMBUCOIPV</v>
      </c>
      <c r="B175" s="12" t="str">
        <f t="shared" si="6"/>
        <v>Outubro</v>
      </c>
      <c r="C175" s="9">
        <v>87</v>
      </c>
      <c r="D175" s="8" t="s">
        <v>1173</v>
      </c>
      <c r="E175" s="8" t="s">
        <v>1723</v>
      </c>
      <c r="F175" s="8" t="s">
        <v>1744</v>
      </c>
      <c r="G175" s="17">
        <v>46310</v>
      </c>
      <c r="H175" s="8" t="s">
        <v>1144</v>
      </c>
      <c r="I175" s="9">
        <v>9</v>
      </c>
      <c r="J175" s="10">
        <v>544.78</v>
      </c>
      <c r="K175" s="10">
        <v>11922.26</v>
      </c>
      <c r="L175" s="8"/>
      <c r="M175" s="7"/>
    </row>
    <row r="176" spans="1:13" x14ac:dyDescent="0.25">
      <c r="A176" s="12" t="str">
        <f t="shared" si="5"/>
        <v>IFL1432026SECRETARIA DE ADMINISTRAÇÃO DO GOVERNO DO ESTADO DE PERNAMBUCOIPV</v>
      </c>
      <c r="B176" s="12" t="str">
        <f t="shared" si="6"/>
        <v>Outubro</v>
      </c>
      <c r="C176" s="9">
        <v>87</v>
      </c>
      <c r="D176" s="8" t="s">
        <v>1174</v>
      </c>
      <c r="E176" s="8" t="s">
        <v>1723</v>
      </c>
      <c r="F176" s="8" t="s">
        <v>1744</v>
      </c>
      <c r="G176" s="17">
        <v>46310</v>
      </c>
      <c r="H176" s="8" t="s">
        <v>1144</v>
      </c>
      <c r="I176" s="9">
        <v>9</v>
      </c>
      <c r="J176" s="10">
        <v>247.12</v>
      </c>
      <c r="K176" s="10">
        <v>12169.38</v>
      </c>
      <c r="L176" s="8"/>
      <c r="M176" s="7"/>
    </row>
    <row r="177" spans="1:13" x14ac:dyDescent="0.25">
      <c r="A177" s="12" t="str">
        <f t="shared" si="5"/>
        <v>IFL1442026SECRETARIA DE ADMINISTRAÇÃO DO GOVERNO DO ESTADO DE PERNAMBUCOIPV</v>
      </c>
      <c r="B177" s="12" t="str">
        <f t="shared" si="6"/>
        <v>Outubro</v>
      </c>
      <c r="C177" s="9">
        <v>87</v>
      </c>
      <c r="D177" s="8" t="s">
        <v>1175</v>
      </c>
      <c r="E177" s="8" t="s">
        <v>1723</v>
      </c>
      <c r="F177" s="8" t="s">
        <v>1744</v>
      </c>
      <c r="G177" s="17">
        <v>46310</v>
      </c>
      <c r="H177" s="8" t="s">
        <v>1144</v>
      </c>
      <c r="I177" s="9">
        <v>9</v>
      </c>
      <c r="J177" s="10">
        <v>247.12</v>
      </c>
      <c r="K177" s="10">
        <v>12416.5</v>
      </c>
      <c r="L177" s="8"/>
      <c r="M177" s="7"/>
    </row>
    <row r="178" spans="1:13" x14ac:dyDescent="0.25">
      <c r="A178" s="12" t="str">
        <f t="shared" si="5"/>
        <v>IFL1452026SECRETARIA DE ADMINISTRAÇÃO DO GOVERNO DO ESTADO DE PERNAMBUCOIPV</v>
      </c>
      <c r="B178" s="12" t="str">
        <f t="shared" si="6"/>
        <v>Outubro</v>
      </c>
      <c r="C178" s="9">
        <v>87</v>
      </c>
      <c r="D178" s="8" t="s">
        <v>1176</v>
      </c>
      <c r="E178" s="8" t="s">
        <v>1723</v>
      </c>
      <c r="F178" s="8" t="s">
        <v>1744</v>
      </c>
      <c r="G178" s="17">
        <v>46310</v>
      </c>
      <c r="H178" s="8" t="s">
        <v>1144</v>
      </c>
      <c r="I178" s="9">
        <v>9</v>
      </c>
      <c r="J178" s="10">
        <v>247.12</v>
      </c>
      <c r="K178" s="10">
        <v>12663.62</v>
      </c>
      <c r="L178" s="8"/>
      <c r="M178" s="7"/>
    </row>
    <row r="179" spans="1:13" x14ac:dyDescent="0.25">
      <c r="A179" s="12" t="str">
        <f t="shared" si="5"/>
        <v>IFL322026SECRETARIA DE ADMINISTRAÇÃO DO GOVERNO DO ESTADO DE PERNAMBUCOIPV</v>
      </c>
      <c r="B179" s="12" t="str">
        <f t="shared" si="6"/>
        <v>Outubro</v>
      </c>
      <c r="C179" s="9">
        <v>87</v>
      </c>
      <c r="D179" s="8" t="s">
        <v>1177</v>
      </c>
      <c r="E179" s="8" t="s">
        <v>1723</v>
      </c>
      <c r="F179" s="8" t="s">
        <v>1744</v>
      </c>
      <c r="G179" s="17">
        <v>46310</v>
      </c>
      <c r="H179" s="8" t="s">
        <v>1144</v>
      </c>
      <c r="I179" s="9">
        <v>9</v>
      </c>
      <c r="J179" s="10">
        <v>170.26</v>
      </c>
      <c r="K179" s="10">
        <v>12833.88</v>
      </c>
      <c r="L179" s="8"/>
      <c r="M179" s="7"/>
    </row>
    <row r="180" spans="1:13" x14ac:dyDescent="0.25">
      <c r="A180" s="12" t="str">
        <f t="shared" si="5"/>
        <v>IFL332026SECRETARIA DE ADMINISTRAÇÃO DO GOVERNO DO ESTADO DE PERNAMBUCOIPV</v>
      </c>
      <c r="B180" s="12" t="str">
        <f t="shared" si="6"/>
        <v>Outubro</v>
      </c>
      <c r="C180" s="9">
        <v>87</v>
      </c>
      <c r="D180" s="8" t="s">
        <v>1178</v>
      </c>
      <c r="E180" s="8" t="s">
        <v>1723</v>
      </c>
      <c r="F180" s="8" t="s">
        <v>1744</v>
      </c>
      <c r="G180" s="17">
        <v>46310</v>
      </c>
      <c r="H180" s="8" t="s">
        <v>1144</v>
      </c>
      <c r="I180" s="9">
        <v>9</v>
      </c>
      <c r="J180" s="10">
        <v>170.26</v>
      </c>
      <c r="K180" s="10">
        <v>13004.14</v>
      </c>
      <c r="L180" s="8"/>
      <c r="M180" s="7"/>
    </row>
    <row r="181" spans="1:13" x14ac:dyDescent="0.25">
      <c r="A181" s="12" t="str">
        <f t="shared" si="5"/>
        <v>IFL342026SECRETARIA DE ADMINISTRAÇÃO DO GOVERNO DO ESTADO DE PERNAMBUCOIPV</v>
      </c>
      <c r="B181" s="12" t="str">
        <f t="shared" si="6"/>
        <v>Outubro</v>
      </c>
      <c r="C181" s="9">
        <v>87</v>
      </c>
      <c r="D181" s="8" t="s">
        <v>1179</v>
      </c>
      <c r="E181" s="8" t="s">
        <v>1723</v>
      </c>
      <c r="F181" s="8" t="s">
        <v>1744</v>
      </c>
      <c r="G181" s="17">
        <v>46310</v>
      </c>
      <c r="H181" s="8" t="s">
        <v>1144</v>
      </c>
      <c r="I181" s="9">
        <v>9</v>
      </c>
      <c r="J181" s="10">
        <v>170.26</v>
      </c>
      <c r="K181" s="10">
        <v>13174.4</v>
      </c>
      <c r="L181" s="8"/>
      <c r="M181" s="7"/>
    </row>
    <row r="182" spans="1:13" x14ac:dyDescent="0.25">
      <c r="A182" s="12" t="str">
        <f t="shared" si="5"/>
        <v>IFL352026SECRETARIA DE ADMINISTRAÇÃO DO GOVERNO DO ESTADO DE PERNAMBUCOIPV</v>
      </c>
      <c r="B182" s="12" t="str">
        <f t="shared" si="6"/>
        <v>Outubro</v>
      </c>
      <c r="C182" s="9">
        <v>87</v>
      </c>
      <c r="D182" s="8" t="s">
        <v>1180</v>
      </c>
      <c r="E182" s="8" t="s">
        <v>1723</v>
      </c>
      <c r="F182" s="8" t="s">
        <v>1744</v>
      </c>
      <c r="G182" s="17">
        <v>46310</v>
      </c>
      <c r="H182" s="8" t="s">
        <v>1144</v>
      </c>
      <c r="I182" s="9">
        <v>9</v>
      </c>
      <c r="J182" s="10">
        <v>170.26</v>
      </c>
      <c r="K182" s="10">
        <v>13344.66</v>
      </c>
      <c r="L182" s="8"/>
      <c r="M182" s="7"/>
    </row>
    <row r="183" spans="1:13" x14ac:dyDescent="0.25">
      <c r="A183" s="12" t="str">
        <f t="shared" si="5"/>
        <v>IFL362026SECRETARIA DE ADMINISTRAÇÃO DO GOVERNO DO ESTADO DE PERNAMBUCOIPV</v>
      </c>
      <c r="B183" s="12" t="str">
        <f t="shared" si="6"/>
        <v>Outubro</v>
      </c>
      <c r="C183" s="9">
        <v>87</v>
      </c>
      <c r="D183" s="8" t="s">
        <v>1181</v>
      </c>
      <c r="E183" s="8" t="s">
        <v>1723</v>
      </c>
      <c r="F183" s="8" t="s">
        <v>1744</v>
      </c>
      <c r="G183" s="17">
        <v>46310</v>
      </c>
      <c r="H183" s="8" t="s">
        <v>1144</v>
      </c>
      <c r="I183" s="9">
        <v>9</v>
      </c>
      <c r="J183" s="10">
        <v>170.26</v>
      </c>
      <c r="K183" s="10">
        <v>13514.92</v>
      </c>
      <c r="L183" s="8"/>
      <c r="M183" s="7"/>
    </row>
    <row r="184" spans="1:13" x14ac:dyDescent="0.25">
      <c r="A184" s="12" t="str">
        <f t="shared" si="5"/>
        <v>IPDG92962026SECRETARIA DE ADMINISTRAÇÃO DO GOVERNO DO ESTADO DE PERNAMBUCOIPV</v>
      </c>
      <c r="B184" s="12" t="str">
        <f t="shared" si="6"/>
        <v>Outubro</v>
      </c>
      <c r="C184" s="9">
        <v>87</v>
      </c>
      <c r="D184" s="8" t="s">
        <v>1182</v>
      </c>
      <c r="E184" s="8" t="s">
        <v>1723</v>
      </c>
      <c r="F184" s="8" t="s">
        <v>1744</v>
      </c>
      <c r="G184" s="17">
        <v>46310</v>
      </c>
      <c r="H184" s="8" t="s">
        <v>1144</v>
      </c>
      <c r="I184" s="9">
        <v>9</v>
      </c>
      <c r="J184" s="10">
        <v>323.81</v>
      </c>
      <c r="K184" s="10">
        <v>13838.73</v>
      </c>
      <c r="L184" s="8"/>
      <c r="M184" s="7"/>
    </row>
    <row r="185" spans="1:13" x14ac:dyDescent="0.25">
      <c r="A185" s="12" t="str">
        <f t="shared" si="5"/>
        <v>IVA1132026SECRETARIA DE ADMINISTRAÇÃO DO GOVERNO DO ESTADO DE PERNAMBUCOIPV</v>
      </c>
      <c r="B185" s="12" t="str">
        <f t="shared" si="6"/>
        <v>Outubro</v>
      </c>
      <c r="C185" s="9">
        <v>87</v>
      </c>
      <c r="D185" s="8" t="s">
        <v>1183</v>
      </c>
      <c r="E185" s="8" t="s">
        <v>1723</v>
      </c>
      <c r="F185" s="8" t="s">
        <v>1744</v>
      </c>
      <c r="G185" s="17">
        <v>46310</v>
      </c>
      <c r="H185" s="8" t="s">
        <v>1144</v>
      </c>
      <c r="I185" s="9">
        <v>9</v>
      </c>
      <c r="J185" s="10">
        <v>178.78</v>
      </c>
      <c r="K185" s="10">
        <v>14017.51</v>
      </c>
      <c r="L185" s="8"/>
      <c r="M185" s="7"/>
    </row>
    <row r="186" spans="1:13" x14ac:dyDescent="0.25">
      <c r="A186" s="12" t="str">
        <f t="shared" si="5"/>
        <v>IVA1142026SECRETARIA DE ADMINISTRAÇÃO DO GOVERNO DO ESTADO DE PERNAMBUCOIPV</v>
      </c>
      <c r="B186" s="12" t="str">
        <f t="shared" si="6"/>
        <v>Outubro</v>
      </c>
      <c r="C186" s="9">
        <v>87</v>
      </c>
      <c r="D186" s="8" t="s">
        <v>1184</v>
      </c>
      <c r="E186" s="8" t="s">
        <v>1723</v>
      </c>
      <c r="F186" s="8" t="s">
        <v>1744</v>
      </c>
      <c r="G186" s="17">
        <v>46310</v>
      </c>
      <c r="H186" s="8" t="s">
        <v>1144</v>
      </c>
      <c r="I186" s="9">
        <v>9</v>
      </c>
      <c r="J186" s="10">
        <v>178.78</v>
      </c>
      <c r="K186" s="10">
        <v>14196.29</v>
      </c>
      <c r="L186" s="8"/>
      <c r="M186" s="7"/>
    </row>
    <row r="187" spans="1:13" x14ac:dyDescent="0.25">
      <c r="A187" s="12" t="str">
        <f t="shared" si="5"/>
        <v>IVA1162026SECRETARIA DE ADMINISTRAÇÃO DO GOVERNO DO ESTADO DE PERNAMBUCOIPV</v>
      </c>
      <c r="B187" s="12" t="str">
        <f t="shared" si="6"/>
        <v>Outubro</v>
      </c>
      <c r="C187" s="9">
        <v>87</v>
      </c>
      <c r="D187" s="8" t="s">
        <v>1185</v>
      </c>
      <c r="E187" s="8" t="s">
        <v>1723</v>
      </c>
      <c r="F187" s="8" t="s">
        <v>1744</v>
      </c>
      <c r="G187" s="17">
        <v>46310</v>
      </c>
      <c r="H187" s="8" t="s">
        <v>1144</v>
      </c>
      <c r="I187" s="9">
        <v>9</v>
      </c>
      <c r="J187" s="10">
        <v>213.97</v>
      </c>
      <c r="K187" s="10">
        <v>14410.26</v>
      </c>
      <c r="L187" s="8"/>
      <c r="M187" s="7"/>
    </row>
    <row r="188" spans="1:13" x14ac:dyDescent="0.25">
      <c r="A188" s="12" t="str">
        <f t="shared" si="5"/>
        <v>IVA1172026SECRETARIA DE ADMINISTRAÇÃO DO GOVERNO DO ESTADO DE PERNAMBUCOIPV</v>
      </c>
      <c r="B188" s="12" t="str">
        <f t="shared" si="6"/>
        <v>Outubro</v>
      </c>
      <c r="C188" s="9">
        <v>87</v>
      </c>
      <c r="D188" s="8" t="s">
        <v>1186</v>
      </c>
      <c r="E188" s="8" t="s">
        <v>1723</v>
      </c>
      <c r="F188" s="8" t="s">
        <v>1744</v>
      </c>
      <c r="G188" s="17">
        <v>46310</v>
      </c>
      <c r="H188" s="8" t="s">
        <v>1144</v>
      </c>
      <c r="I188" s="9">
        <v>9</v>
      </c>
      <c r="J188" s="10">
        <v>213.97</v>
      </c>
      <c r="K188" s="10">
        <v>14624.23</v>
      </c>
      <c r="L188" s="8"/>
      <c r="M188" s="7"/>
    </row>
    <row r="189" spans="1:13" x14ac:dyDescent="0.25">
      <c r="A189" s="12" t="str">
        <f t="shared" si="5"/>
        <v>IVA1182026SECRETARIA DE ADMINISTRAÇÃO DO GOVERNO DO ESTADO DE PERNAMBUCOIPV</v>
      </c>
      <c r="B189" s="12" t="str">
        <f t="shared" si="6"/>
        <v>Outubro</v>
      </c>
      <c r="C189" s="9">
        <v>87</v>
      </c>
      <c r="D189" s="8" t="s">
        <v>1187</v>
      </c>
      <c r="E189" s="8" t="s">
        <v>1723</v>
      </c>
      <c r="F189" s="8" t="s">
        <v>1744</v>
      </c>
      <c r="G189" s="17">
        <v>46310</v>
      </c>
      <c r="H189" s="8" t="s">
        <v>1144</v>
      </c>
      <c r="I189" s="9">
        <v>9</v>
      </c>
      <c r="J189" s="10">
        <v>213.97</v>
      </c>
      <c r="K189" s="10">
        <v>14838.2</v>
      </c>
      <c r="L189" s="8"/>
      <c r="M189" s="7"/>
    </row>
    <row r="190" spans="1:13" x14ac:dyDescent="0.25">
      <c r="A190" s="12" t="str">
        <f t="shared" si="5"/>
        <v>IVA1192026SECRETARIA DE ADMINISTRAÇÃO DO GOVERNO DO ESTADO DE PERNAMBUCOIPV</v>
      </c>
      <c r="B190" s="12" t="str">
        <f t="shared" si="6"/>
        <v>Outubro</v>
      </c>
      <c r="C190" s="9">
        <v>87</v>
      </c>
      <c r="D190" s="8" t="s">
        <v>1188</v>
      </c>
      <c r="E190" s="8" t="s">
        <v>1723</v>
      </c>
      <c r="F190" s="8" t="s">
        <v>1744</v>
      </c>
      <c r="G190" s="17">
        <v>46310</v>
      </c>
      <c r="H190" s="8" t="s">
        <v>1144</v>
      </c>
      <c r="I190" s="9">
        <v>9</v>
      </c>
      <c r="J190" s="10">
        <v>213.97</v>
      </c>
      <c r="K190" s="10">
        <v>15052.17</v>
      </c>
      <c r="L190" s="8"/>
      <c r="M190" s="7"/>
    </row>
    <row r="191" spans="1:13" x14ac:dyDescent="0.25">
      <c r="A191" s="12" t="str">
        <f t="shared" si="5"/>
        <v>IVA1202026SECRETARIA DE ADMINISTRAÇÃO DO GOVERNO DO ESTADO DE PERNAMBUCOIPV</v>
      </c>
      <c r="B191" s="12" t="str">
        <f t="shared" si="6"/>
        <v>Outubro</v>
      </c>
      <c r="C191" s="9">
        <v>87</v>
      </c>
      <c r="D191" s="8" t="s">
        <v>1189</v>
      </c>
      <c r="E191" s="8" t="s">
        <v>1723</v>
      </c>
      <c r="F191" s="8" t="s">
        <v>1744</v>
      </c>
      <c r="G191" s="17">
        <v>46310</v>
      </c>
      <c r="H191" s="8" t="s">
        <v>1144</v>
      </c>
      <c r="I191" s="9">
        <v>9</v>
      </c>
      <c r="J191" s="10">
        <v>213.97</v>
      </c>
      <c r="K191" s="10">
        <v>15266.14</v>
      </c>
      <c r="L191" s="8"/>
      <c r="M191" s="7"/>
    </row>
    <row r="192" spans="1:13" x14ac:dyDescent="0.25">
      <c r="A192" s="12" t="str">
        <f t="shared" si="5"/>
        <v>IVA1212026SECRETARIA DE ADMINISTRAÇÃO DO GOVERNO DO ESTADO DE PERNAMBUCOIPV</v>
      </c>
      <c r="B192" s="12" t="str">
        <f t="shared" si="6"/>
        <v>Outubro</v>
      </c>
      <c r="C192" s="9">
        <v>87</v>
      </c>
      <c r="D192" s="8" t="s">
        <v>1190</v>
      </c>
      <c r="E192" s="8" t="s">
        <v>1723</v>
      </c>
      <c r="F192" s="8" t="s">
        <v>1744</v>
      </c>
      <c r="G192" s="17">
        <v>46310</v>
      </c>
      <c r="H192" s="8" t="s">
        <v>1144</v>
      </c>
      <c r="I192" s="9">
        <v>9</v>
      </c>
      <c r="J192" s="10">
        <v>213.97</v>
      </c>
      <c r="K192" s="10">
        <v>15480.11</v>
      </c>
      <c r="L192" s="8"/>
      <c r="M192" s="7"/>
    </row>
    <row r="193" spans="1:13" x14ac:dyDescent="0.25">
      <c r="A193" s="12" t="str">
        <f t="shared" si="5"/>
        <v>IVA1222026SECRETARIA DE ADMINISTRAÇÃO DO GOVERNO DO ESTADO DE PERNAMBUCOIPV</v>
      </c>
      <c r="B193" s="12" t="str">
        <f t="shared" si="6"/>
        <v>Outubro</v>
      </c>
      <c r="C193" s="9">
        <v>87</v>
      </c>
      <c r="D193" s="8" t="s">
        <v>1191</v>
      </c>
      <c r="E193" s="8" t="s">
        <v>1723</v>
      </c>
      <c r="F193" s="8" t="s">
        <v>1744</v>
      </c>
      <c r="G193" s="17">
        <v>46310</v>
      </c>
      <c r="H193" s="8" t="s">
        <v>1144</v>
      </c>
      <c r="I193" s="9">
        <v>9</v>
      </c>
      <c r="J193" s="10">
        <v>213.97</v>
      </c>
      <c r="K193" s="10">
        <v>15694.08</v>
      </c>
      <c r="L193" s="8"/>
      <c r="M193" s="7"/>
    </row>
    <row r="194" spans="1:13" x14ac:dyDescent="0.25">
      <c r="A194" s="12" t="str">
        <f t="shared" si="5"/>
        <v>IVA1232026SECRETARIA DE ADMINISTRAÇÃO DO GOVERNO DO ESTADO DE PERNAMBUCOIPV</v>
      </c>
      <c r="B194" s="12" t="str">
        <f t="shared" si="6"/>
        <v>Outubro</v>
      </c>
      <c r="C194" s="9">
        <v>87</v>
      </c>
      <c r="D194" s="8" t="s">
        <v>1192</v>
      </c>
      <c r="E194" s="8" t="s">
        <v>1723</v>
      </c>
      <c r="F194" s="8" t="s">
        <v>1744</v>
      </c>
      <c r="G194" s="17">
        <v>46310</v>
      </c>
      <c r="H194" s="8" t="s">
        <v>1144</v>
      </c>
      <c r="I194" s="9">
        <v>9</v>
      </c>
      <c r="J194" s="10">
        <v>213.97</v>
      </c>
      <c r="K194" s="10">
        <v>15908.05</v>
      </c>
      <c r="L194" s="8"/>
      <c r="M194" s="7"/>
    </row>
    <row r="195" spans="1:13" x14ac:dyDescent="0.25">
      <c r="A195" s="12" t="str">
        <f t="shared" ref="A195:A258" si="7">D195&amp;F195&amp;H195</f>
        <v>IVA1242026SECRETARIA DE ADMINISTRAÇÃO DO GOVERNO DO ESTADO DE PERNAMBUCOIPV</v>
      </c>
      <c r="B195" s="12" t="str">
        <f t="shared" ref="B195:B258" si="8">PROPER(TEXT($G195,"MMMM"))</f>
        <v>Outubro</v>
      </c>
      <c r="C195" s="9">
        <v>87</v>
      </c>
      <c r="D195" s="8" t="s">
        <v>1193</v>
      </c>
      <c r="E195" s="8" t="s">
        <v>1723</v>
      </c>
      <c r="F195" s="8" t="s">
        <v>1744</v>
      </c>
      <c r="G195" s="17">
        <v>46310</v>
      </c>
      <c r="H195" s="8" t="s">
        <v>1144</v>
      </c>
      <c r="I195" s="9">
        <v>9</v>
      </c>
      <c r="J195" s="10">
        <v>213.97</v>
      </c>
      <c r="K195" s="10">
        <v>16122.02</v>
      </c>
      <c r="L195" s="8"/>
      <c r="M195" s="7"/>
    </row>
    <row r="196" spans="1:13" x14ac:dyDescent="0.25">
      <c r="A196" s="12" t="str">
        <f t="shared" si="7"/>
        <v>IVA1252026SECRETARIA DE ADMINISTRAÇÃO DO GOVERNO DO ESTADO DE PERNAMBUCOIPV</v>
      </c>
      <c r="B196" s="12" t="str">
        <f t="shared" si="8"/>
        <v>Outubro</v>
      </c>
      <c r="C196" s="9">
        <v>87</v>
      </c>
      <c r="D196" s="8" t="s">
        <v>1194</v>
      </c>
      <c r="E196" s="8" t="s">
        <v>1723</v>
      </c>
      <c r="F196" s="8" t="s">
        <v>1744</v>
      </c>
      <c r="G196" s="17">
        <v>46310</v>
      </c>
      <c r="H196" s="8" t="s">
        <v>1144</v>
      </c>
      <c r="I196" s="9">
        <v>9</v>
      </c>
      <c r="J196" s="10">
        <v>213.97</v>
      </c>
      <c r="K196" s="10">
        <v>16335.99</v>
      </c>
      <c r="L196" s="8"/>
      <c r="M196" s="7"/>
    </row>
    <row r="197" spans="1:13" x14ac:dyDescent="0.25">
      <c r="A197" s="12" t="str">
        <f t="shared" si="7"/>
        <v>IVA1282026SECRETARIA DE ADMINISTRAÇÃO DO GOVERNO DO ESTADO DE PERNAMBUCOIPV</v>
      </c>
      <c r="B197" s="12" t="str">
        <f t="shared" si="8"/>
        <v>Outubro</v>
      </c>
      <c r="C197" s="9">
        <v>87</v>
      </c>
      <c r="D197" s="8" t="s">
        <v>1195</v>
      </c>
      <c r="E197" s="8" t="s">
        <v>1723</v>
      </c>
      <c r="F197" s="8" t="s">
        <v>1744</v>
      </c>
      <c r="G197" s="17">
        <v>46310</v>
      </c>
      <c r="H197" s="8" t="s">
        <v>1144</v>
      </c>
      <c r="I197" s="9">
        <v>9</v>
      </c>
      <c r="J197" s="10">
        <v>213.97</v>
      </c>
      <c r="K197" s="10">
        <v>16549.96</v>
      </c>
      <c r="L197" s="8"/>
      <c r="M197" s="7"/>
    </row>
    <row r="198" spans="1:13" x14ac:dyDescent="0.25">
      <c r="A198" s="12" t="str">
        <f t="shared" si="7"/>
        <v>IVA1292026SECRETARIA DE ADMINISTRAÇÃO DO GOVERNO DO ESTADO DE PERNAMBUCOIPV</v>
      </c>
      <c r="B198" s="12" t="str">
        <f t="shared" si="8"/>
        <v>Outubro</v>
      </c>
      <c r="C198" s="9">
        <v>87</v>
      </c>
      <c r="D198" s="8" t="s">
        <v>1196</v>
      </c>
      <c r="E198" s="8" t="s">
        <v>1723</v>
      </c>
      <c r="F198" s="8" t="s">
        <v>1744</v>
      </c>
      <c r="G198" s="17">
        <v>46310</v>
      </c>
      <c r="H198" s="8" t="s">
        <v>1144</v>
      </c>
      <c r="I198" s="9">
        <v>9</v>
      </c>
      <c r="J198" s="10">
        <v>213.97</v>
      </c>
      <c r="K198" s="10">
        <v>16763.93</v>
      </c>
      <c r="L198" s="8"/>
      <c r="M198" s="7"/>
    </row>
    <row r="199" spans="1:13" x14ac:dyDescent="0.25">
      <c r="A199" s="12" t="str">
        <f t="shared" si="7"/>
        <v>IVA1322026SECRETARIA DE ADMINISTRAÇÃO DO GOVERNO DO ESTADO DE PERNAMBUCOIPV</v>
      </c>
      <c r="B199" s="12" t="str">
        <f t="shared" si="8"/>
        <v>Outubro</v>
      </c>
      <c r="C199" s="9">
        <v>87</v>
      </c>
      <c r="D199" s="8" t="s">
        <v>1197</v>
      </c>
      <c r="E199" s="8" t="s">
        <v>1723</v>
      </c>
      <c r="F199" s="8" t="s">
        <v>1744</v>
      </c>
      <c r="G199" s="17">
        <v>46310</v>
      </c>
      <c r="H199" s="8" t="s">
        <v>1144</v>
      </c>
      <c r="I199" s="9">
        <v>9</v>
      </c>
      <c r="J199" s="10">
        <v>213.97</v>
      </c>
      <c r="K199" s="10">
        <v>16977.900000000001</v>
      </c>
      <c r="L199" s="8"/>
      <c r="M199" s="7"/>
    </row>
    <row r="200" spans="1:13" x14ac:dyDescent="0.25">
      <c r="A200" s="12" t="str">
        <f t="shared" si="7"/>
        <v>IVA1332026SECRETARIA DE ADMINISTRAÇÃO DO GOVERNO DO ESTADO DE PERNAMBUCOIPV</v>
      </c>
      <c r="B200" s="12" t="str">
        <f t="shared" si="8"/>
        <v>Outubro</v>
      </c>
      <c r="C200" s="9">
        <v>87</v>
      </c>
      <c r="D200" s="8" t="s">
        <v>1198</v>
      </c>
      <c r="E200" s="8" t="s">
        <v>1723</v>
      </c>
      <c r="F200" s="8" t="s">
        <v>1744</v>
      </c>
      <c r="G200" s="17">
        <v>46310</v>
      </c>
      <c r="H200" s="8" t="s">
        <v>1144</v>
      </c>
      <c r="I200" s="9">
        <v>9</v>
      </c>
      <c r="J200" s="10">
        <v>213.97</v>
      </c>
      <c r="K200" s="10">
        <v>17191.87</v>
      </c>
      <c r="L200" s="8"/>
      <c r="M200" s="7"/>
    </row>
    <row r="201" spans="1:13" x14ac:dyDescent="0.25">
      <c r="A201" s="12" t="str">
        <f t="shared" si="7"/>
        <v>IVA1342026SECRETARIA DE ADMINISTRAÇÃO DO GOVERNO DO ESTADO DE PERNAMBUCOIPV</v>
      </c>
      <c r="B201" s="12" t="str">
        <f t="shared" si="8"/>
        <v>Outubro</v>
      </c>
      <c r="C201" s="9">
        <v>87</v>
      </c>
      <c r="D201" s="8" t="s">
        <v>1199</v>
      </c>
      <c r="E201" s="8" t="s">
        <v>1723</v>
      </c>
      <c r="F201" s="8" t="s">
        <v>1744</v>
      </c>
      <c r="G201" s="17">
        <v>46310</v>
      </c>
      <c r="H201" s="8" t="s">
        <v>1144</v>
      </c>
      <c r="I201" s="9">
        <v>9</v>
      </c>
      <c r="J201" s="10">
        <v>213.97</v>
      </c>
      <c r="K201" s="10">
        <v>17405.84</v>
      </c>
      <c r="L201" s="8"/>
      <c r="M201" s="7"/>
    </row>
    <row r="202" spans="1:13" x14ac:dyDescent="0.25">
      <c r="A202" s="12" t="str">
        <f t="shared" si="7"/>
        <v>IVA1352026SECRETARIA DE ADMINISTRAÇÃO DO GOVERNO DO ESTADO DE PERNAMBUCOIPV</v>
      </c>
      <c r="B202" s="12" t="str">
        <f t="shared" si="8"/>
        <v>Outubro</v>
      </c>
      <c r="C202" s="9">
        <v>87</v>
      </c>
      <c r="D202" s="8" t="s">
        <v>1200</v>
      </c>
      <c r="E202" s="8" t="s">
        <v>1723</v>
      </c>
      <c r="F202" s="8" t="s">
        <v>1744</v>
      </c>
      <c r="G202" s="17">
        <v>46310</v>
      </c>
      <c r="H202" s="8" t="s">
        <v>1144</v>
      </c>
      <c r="I202" s="9">
        <v>9</v>
      </c>
      <c r="J202" s="10">
        <v>213.97</v>
      </c>
      <c r="K202" s="10">
        <v>17619.810000000001</v>
      </c>
      <c r="L202" s="8"/>
      <c r="M202" s="7"/>
    </row>
    <row r="203" spans="1:13" x14ac:dyDescent="0.25">
      <c r="A203" s="12" t="str">
        <f t="shared" si="7"/>
        <v>IVA1362026SECRETARIA DE ADMINISTRAÇÃO DO GOVERNO DO ESTADO DE PERNAMBUCOIPV</v>
      </c>
      <c r="B203" s="12" t="str">
        <f t="shared" si="8"/>
        <v>Outubro</v>
      </c>
      <c r="C203" s="9">
        <v>87</v>
      </c>
      <c r="D203" s="8" t="s">
        <v>1201</v>
      </c>
      <c r="E203" s="8" t="s">
        <v>1723</v>
      </c>
      <c r="F203" s="8" t="s">
        <v>1744</v>
      </c>
      <c r="G203" s="17">
        <v>46310</v>
      </c>
      <c r="H203" s="8" t="s">
        <v>1144</v>
      </c>
      <c r="I203" s="9">
        <v>9</v>
      </c>
      <c r="J203" s="10">
        <v>213.97</v>
      </c>
      <c r="K203" s="10">
        <v>17833.78</v>
      </c>
      <c r="L203" s="8"/>
      <c r="M203" s="7"/>
    </row>
    <row r="204" spans="1:13" x14ac:dyDescent="0.25">
      <c r="A204" s="12" t="str">
        <f t="shared" si="7"/>
        <v>IVA1372026SECRETARIA DE ADMINISTRAÇÃO DO GOVERNO DO ESTADO DE PERNAMBUCOIPV</v>
      </c>
      <c r="B204" s="12" t="str">
        <f t="shared" si="8"/>
        <v>Outubro</v>
      </c>
      <c r="C204" s="9">
        <v>87</v>
      </c>
      <c r="D204" s="8" t="s">
        <v>1202</v>
      </c>
      <c r="E204" s="8" t="s">
        <v>1723</v>
      </c>
      <c r="F204" s="8" t="s">
        <v>1744</v>
      </c>
      <c r="G204" s="17">
        <v>46310</v>
      </c>
      <c r="H204" s="8" t="s">
        <v>1144</v>
      </c>
      <c r="I204" s="9">
        <v>9</v>
      </c>
      <c r="J204" s="10">
        <v>213.97</v>
      </c>
      <c r="K204" s="10">
        <v>18047.75</v>
      </c>
      <c r="L204" s="8"/>
      <c r="M204" s="7"/>
    </row>
    <row r="205" spans="1:13" x14ac:dyDescent="0.25">
      <c r="A205" s="12" t="str">
        <f t="shared" si="7"/>
        <v>IVA1382026SECRETARIA DE ADMINISTRAÇÃO DO GOVERNO DO ESTADO DE PERNAMBUCOIPV</v>
      </c>
      <c r="B205" s="12" t="str">
        <f t="shared" si="8"/>
        <v>Outubro</v>
      </c>
      <c r="C205" s="9">
        <v>87</v>
      </c>
      <c r="D205" s="8" t="s">
        <v>1203</v>
      </c>
      <c r="E205" s="8" t="s">
        <v>1723</v>
      </c>
      <c r="F205" s="8" t="s">
        <v>1744</v>
      </c>
      <c r="G205" s="17">
        <v>46310</v>
      </c>
      <c r="H205" s="8" t="s">
        <v>1144</v>
      </c>
      <c r="I205" s="9">
        <v>9</v>
      </c>
      <c r="J205" s="10">
        <v>213.97</v>
      </c>
      <c r="K205" s="10">
        <v>18261.72</v>
      </c>
      <c r="L205" s="8"/>
      <c r="M205" s="7"/>
    </row>
    <row r="206" spans="1:13" x14ac:dyDescent="0.25">
      <c r="A206" s="12" t="str">
        <f t="shared" si="7"/>
        <v>IVA1392026SECRETARIA DE ADMINISTRAÇÃO DO GOVERNO DO ESTADO DE PERNAMBUCOIPV</v>
      </c>
      <c r="B206" s="12" t="str">
        <f t="shared" si="8"/>
        <v>Outubro</v>
      </c>
      <c r="C206" s="9">
        <v>87</v>
      </c>
      <c r="D206" s="8" t="s">
        <v>1204</v>
      </c>
      <c r="E206" s="8" t="s">
        <v>1723</v>
      </c>
      <c r="F206" s="8" t="s">
        <v>1744</v>
      </c>
      <c r="G206" s="17">
        <v>46310</v>
      </c>
      <c r="H206" s="8" t="s">
        <v>1144</v>
      </c>
      <c r="I206" s="9">
        <v>9</v>
      </c>
      <c r="J206" s="10">
        <v>213.97</v>
      </c>
      <c r="K206" s="10">
        <v>18475.689999999999</v>
      </c>
      <c r="L206" s="8"/>
      <c r="M206" s="7"/>
    </row>
    <row r="207" spans="1:13" x14ac:dyDescent="0.25">
      <c r="A207" s="12" t="str">
        <f t="shared" si="7"/>
        <v>IVA1402026SECRETARIA DE ADMINISTRAÇÃO DO GOVERNO DO ESTADO DE PERNAMBUCOIPV</v>
      </c>
      <c r="B207" s="12" t="str">
        <f t="shared" si="8"/>
        <v>Outubro</v>
      </c>
      <c r="C207" s="9">
        <v>87</v>
      </c>
      <c r="D207" s="8" t="s">
        <v>1205</v>
      </c>
      <c r="E207" s="8" t="s">
        <v>1723</v>
      </c>
      <c r="F207" s="8" t="s">
        <v>1744</v>
      </c>
      <c r="G207" s="17">
        <v>46310</v>
      </c>
      <c r="H207" s="8" t="s">
        <v>1144</v>
      </c>
      <c r="I207" s="9">
        <v>9</v>
      </c>
      <c r="J207" s="10">
        <v>213.97</v>
      </c>
      <c r="K207" s="10">
        <v>18689.66</v>
      </c>
      <c r="L207" s="8"/>
      <c r="M207" s="7"/>
    </row>
    <row r="208" spans="1:13" x14ac:dyDescent="0.25">
      <c r="A208" s="12" t="str">
        <f t="shared" si="7"/>
        <v>IVA1412026SECRETARIA DE ADMINISTRAÇÃO DO GOVERNO DO ESTADO DE PERNAMBUCOIPV</v>
      </c>
      <c r="B208" s="12" t="str">
        <f t="shared" si="8"/>
        <v>Outubro</v>
      </c>
      <c r="C208" s="9">
        <v>87</v>
      </c>
      <c r="D208" s="8" t="s">
        <v>1206</v>
      </c>
      <c r="E208" s="8" t="s">
        <v>1723</v>
      </c>
      <c r="F208" s="8" t="s">
        <v>1744</v>
      </c>
      <c r="G208" s="17">
        <v>46310</v>
      </c>
      <c r="H208" s="8" t="s">
        <v>1144</v>
      </c>
      <c r="I208" s="9">
        <v>9</v>
      </c>
      <c r="J208" s="10">
        <v>213.97</v>
      </c>
      <c r="K208" s="10">
        <v>18903.63</v>
      </c>
      <c r="L208" s="8"/>
      <c r="M208" s="7"/>
    </row>
    <row r="209" spans="1:13" x14ac:dyDescent="0.25">
      <c r="A209" s="12" t="str">
        <f t="shared" si="7"/>
        <v>IVA1422026SECRETARIA DE ADMINISTRAÇÃO DO GOVERNO DO ESTADO DE PERNAMBUCOIPV</v>
      </c>
      <c r="B209" s="12" t="str">
        <f t="shared" si="8"/>
        <v>Outubro</v>
      </c>
      <c r="C209" s="9">
        <v>87</v>
      </c>
      <c r="D209" s="8" t="s">
        <v>1207</v>
      </c>
      <c r="E209" s="8" t="s">
        <v>1723</v>
      </c>
      <c r="F209" s="8" t="s">
        <v>1744</v>
      </c>
      <c r="G209" s="17">
        <v>46310</v>
      </c>
      <c r="H209" s="8" t="s">
        <v>1144</v>
      </c>
      <c r="I209" s="9">
        <v>9</v>
      </c>
      <c r="J209" s="10">
        <v>213.97</v>
      </c>
      <c r="K209" s="10">
        <v>19117.599999999999</v>
      </c>
      <c r="L209" s="8"/>
      <c r="M209" s="7"/>
    </row>
    <row r="210" spans="1:13" x14ac:dyDescent="0.25">
      <c r="A210" s="12" t="str">
        <f t="shared" si="7"/>
        <v>IVA1432026SECRETARIA DE ADMINISTRAÇÃO DO GOVERNO DO ESTADO DE PERNAMBUCOIPV</v>
      </c>
      <c r="B210" s="12" t="str">
        <f t="shared" si="8"/>
        <v>Outubro</v>
      </c>
      <c r="C210" s="9">
        <v>87</v>
      </c>
      <c r="D210" s="8" t="s">
        <v>1208</v>
      </c>
      <c r="E210" s="8" t="s">
        <v>1723</v>
      </c>
      <c r="F210" s="8" t="s">
        <v>1744</v>
      </c>
      <c r="G210" s="17">
        <v>46310</v>
      </c>
      <c r="H210" s="8" t="s">
        <v>1144</v>
      </c>
      <c r="I210" s="9">
        <v>9</v>
      </c>
      <c r="J210" s="10">
        <v>213.97</v>
      </c>
      <c r="K210" s="10">
        <v>19331.57</v>
      </c>
      <c r="L210" s="8"/>
      <c r="M210" s="7"/>
    </row>
    <row r="211" spans="1:13" x14ac:dyDescent="0.25">
      <c r="A211" s="12" t="str">
        <f t="shared" si="7"/>
        <v>IVA1452026SECRETARIA DE ADMINISTRAÇÃO DO GOVERNO DO ESTADO DE PERNAMBUCOIPV</v>
      </c>
      <c r="B211" s="12" t="str">
        <f t="shared" si="8"/>
        <v>Outubro</v>
      </c>
      <c r="C211" s="9">
        <v>87</v>
      </c>
      <c r="D211" s="8" t="s">
        <v>1209</v>
      </c>
      <c r="E211" s="8" t="s">
        <v>1723</v>
      </c>
      <c r="F211" s="8" t="s">
        <v>1744</v>
      </c>
      <c r="G211" s="17">
        <v>46310</v>
      </c>
      <c r="H211" s="8" t="s">
        <v>1144</v>
      </c>
      <c r="I211" s="9">
        <v>9</v>
      </c>
      <c r="J211" s="10">
        <v>213.97</v>
      </c>
      <c r="K211" s="10">
        <v>19545.54</v>
      </c>
      <c r="L211" s="8"/>
      <c r="M211" s="7"/>
    </row>
    <row r="212" spans="1:13" x14ac:dyDescent="0.25">
      <c r="A212" s="12" t="str">
        <f t="shared" si="7"/>
        <v>IVA1462026SECRETARIA DE ADMINISTRAÇÃO DO GOVERNO DO ESTADO DE PERNAMBUCOIPV</v>
      </c>
      <c r="B212" s="12" t="str">
        <f t="shared" si="8"/>
        <v>Outubro</v>
      </c>
      <c r="C212" s="9">
        <v>87</v>
      </c>
      <c r="D212" s="8" t="s">
        <v>1210</v>
      </c>
      <c r="E212" s="8" t="s">
        <v>1723</v>
      </c>
      <c r="F212" s="8" t="s">
        <v>1744</v>
      </c>
      <c r="G212" s="17">
        <v>46310</v>
      </c>
      <c r="H212" s="8" t="s">
        <v>1144</v>
      </c>
      <c r="I212" s="9">
        <v>9</v>
      </c>
      <c r="J212" s="10">
        <v>213.97</v>
      </c>
      <c r="K212" s="10">
        <v>19759.509999999998</v>
      </c>
      <c r="L212" s="8"/>
      <c r="M212" s="7"/>
    </row>
    <row r="213" spans="1:13" x14ac:dyDescent="0.25">
      <c r="A213" s="12" t="str">
        <f t="shared" si="7"/>
        <v>IVA1472026SECRETARIA DE ADMINISTRAÇÃO DO GOVERNO DO ESTADO DE PERNAMBUCOIPV</v>
      </c>
      <c r="B213" s="12" t="str">
        <f t="shared" si="8"/>
        <v>Outubro</v>
      </c>
      <c r="C213" s="9">
        <v>87</v>
      </c>
      <c r="D213" s="8" t="s">
        <v>1211</v>
      </c>
      <c r="E213" s="8" t="s">
        <v>1723</v>
      </c>
      <c r="F213" s="8" t="s">
        <v>1744</v>
      </c>
      <c r="G213" s="17">
        <v>46310</v>
      </c>
      <c r="H213" s="8" t="s">
        <v>1144</v>
      </c>
      <c r="I213" s="9">
        <v>9</v>
      </c>
      <c r="J213" s="10">
        <v>213.97</v>
      </c>
      <c r="K213" s="10">
        <v>19973.48</v>
      </c>
      <c r="L213" s="8"/>
      <c r="M213" s="7"/>
    </row>
    <row r="214" spans="1:13" x14ac:dyDescent="0.25">
      <c r="A214" s="12" t="str">
        <f t="shared" si="7"/>
        <v>IVA1482026SECRETARIA DE ADMINISTRAÇÃO DO GOVERNO DO ESTADO DE PERNAMBUCOIPV</v>
      </c>
      <c r="B214" s="12" t="str">
        <f t="shared" si="8"/>
        <v>Outubro</v>
      </c>
      <c r="C214" s="9">
        <v>87</v>
      </c>
      <c r="D214" s="8" t="s">
        <v>1212</v>
      </c>
      <c r="E214" s="8" t="s">
        <v>1723</v>
      </c>
      <c r="F214" s="8" t="s">
        <v>1744</v>
      </c>
      <c r="G214" s="17">
        <v>46310</v>
      </c>
      <c r="H214" s="8" t="s">
        <v>1144</v>
      </c>
      <c r="I214" s="9">
        <v>9</v>
      </c>
      <c r="J214" s="10">
        <v>213.97</v>
      </c>
      <c r="K214" s="10">
        <v>20187.45</v>
      </c>
      <c r="L214" s="8"/>
      <c r="M214" s="7"/>
    </row>
    <row r="215" spans="1:13" x14ac:dyDescent="0.25">
      <c r="A215" s="12" t="str">
        <f t="shared" si="7"/>
        <v>IVA1502026SECRETARIA DE ADMINISTRAÇÃO DO GOVERNO DO ESTADO DE PERNAMBUCOIPV</v>
      </c>
      <c r="B215" s="12" t="str">
        <f t="shared" si="8"/>
        <v>Outubro</v>
      </c>
      <c r="C215" s="9">
        <v>87</v>
      </c>
      <c r="D215" s="8" t="s">
        <v>1213</v>
      </c>
      <c r="E215" s="8" t="s">
        <v>1723</v>
      </c>
      <c r="F215" s="8" t="s">
        <v>1744</v>
      </c>
      <c r="G215" s="17">
        <v>46310</v>
      </c>
      <c r="H215" s="8" t="s">
        <v>1144</v>
      </c>
      <c r="I215" s="9">
        <v>9</v>
      </c>
      <c r="J215" s="10">
        <v>213.97</v>
      </c>
      <c r="K215" s="10">
        <v>20401.419999999998</v>
      </c>
      <c r="L215" s="8"/>
      <c r="M215" s="7"/>
    </row>
    <row r="216" spans="1:13" x14ac:dyDescent="0.25">
      <c r="A216" s="12" t="str">
        <f t="shared" si="7"/>
        <v>IVA1522026SECRETARIA DE ADMINISTRAÇÃO DO GOVERNO DO ESTADO DE PERNAMBUCOIPV</v>
      </c>
      <c r="B216" s="12" t="str">
        <f t="shared" si="8"/>
        <v>Outubro</v>
      </c>
      <c r="C216" s="9">
        <v>87</v>
      </c>
      <c r="D216" s="8" t="s">
        <v>1214</v>
      </c>
      <c r="E216" s="8" t="s">
        <v>1723</v>
      </c>
      <c r="F216" s="8" t="s">
        <v>1744</v>
      </c>
      <c r="G216" s="17">
        <v>46310</v>
      </c>
      <c r="H216" s="8" t="s">
        <v>1144</v>
      </c>
      <c r="I216" s="9">
        <v>9</v>
      </c>
      <c r="J216" s="10">
        <v>213.97</v>
      </c>
      <c r="K216" s="10">
        <v>20615.39</v>
      </c>
      <c r="L216" s="8"/>
      <c r="M216" s="7"/>
    </row>
    <row r="217" spans="1:13" x14ac:dyDescent="0.25">
      <c r="A217" s="12" t="str">
        <f t="shared" si="7"/>
        <v>IVA1532026SECRETARIA DE ADMINISTRAÇÃO DO GOVERNO DO ESTADO DE PERNAMBUCOIPV</v>
      </c>
      <c r="B217" s="12" t="str">
        <f t="shared" si="8"/>
        <v>Outubro</v>
      </c>
      <c r="C217" s="9">
        <v>87</v>
      </c>
      <c r="D217" s="8" t="s">
        <v>1215</v>
      </c>
      <c r="E217" s="8" t="s">
        <v>1723</v>
      </c>
      <c r="F217" s="8" t="s">
        <v>1744</v>
      </c>
      <c r="G217" s="17">
        <v>46310</v>
      </c>
      <c r="H217" s="8" t="s">
        <v>1144</v>
      </c>
      <c r="I217" s="9">
        <v>9</v>
      </c>
      <c r="J217" s="10">
        <v>213.97</v>
      </c>
      <c r="K217" s="10">
        <v>20829.36</v>
      </c>
      <c r="L217" s="8"/>
      <c r="M217" s="7"/>
    </row>
    <row r="218" spans="1:13" x14ac:dyDescent="0.25">
      <c r="A218" s="12" t="str">
        <f t="shared" si="7"/>
        <v>IVA1552026SECRETARIA DE ADMINISTRAÇÃO DO GOVERNO DO ESTADO DE PERNAMBUCOIPV</v>
      </c>
      <c r="B218" s="12" t="str">
        <f t="shared" si="8"/>
        <v>Outubro</v>
      </c>
      <c r="C218" s="9">
        <v>87</v>
      </c>
      <c r="D218" s="8" t="s">
        <v>1216</v>
      </c>
      <c r="E218" s="8" t="s">
        <v>1723</v>
      </c>
      <c r="F218" s="8" t="s">
        <v>1744</v>
      </c>
      <c r="G218" s="17">
        <v>46310</v>
      </c>
      <c r="H218" s="8" t="s">
        <v>1144</v>
      </c>
      <c r="I218" s="9">
        <v>9</v>
      </c>
      <c r="J218" s="10">
        <v>213.97</v>
      </c>
      <c r="K218" s="10">
        <v>21043.33</v>
      </c>
      <c r="L218" s="8"/>
      <c r="M218" s="7"/>
    </row>
    <row r="219" spans="1:13" x14ac:dyDescent="0.25">
      <c r="A219" s="12" t="str">
        <f t="shared" si="7"/>
        <v>IVA1642026SECRETARIA DE ADMINISTRAÇÃO DO GOVERNO DO ESTADO DE PERNAMBUCOIPV</v>
      </c>
      <c r="B219" s="12" t="str">
        <f t="shared" si="8"/>
        <v>Outubro</v>
      </c>
      <c r="C219" s="9">
        <v>87</v>
      </c>
      <c r="D219" s="8" t="s">
        <v>1217</v>
      </c>
      <c r="E219" s="8" t="s">
        <v>1723</v>
      </c>
      <c r="F219" s="8" t="s">
        <v>1744</v>
      </c>
      <c r="G219" s="17">
        <v>46310</v>
      </c>
      <c r="H219" s="8" t="s">
        <v>1144</v>
      </c>
      <c r="I219" s="9">
        <v>9</v>
      </c>
      <c r="J219" s="10">
        <v>213.97</v>
      </c>
      <c r="K219" s="10">
        <v>21257.3</v>
      </c>
      <c r="L219" s="8"/>
      <c r="M219" s="7"/>
    </row>
    <row r="220" spans="1:13" x14ac:dyDescent="0.25">
      <c r="A220" s="12" t="str">
        <f t="shared" si="7"/>
        <v>IVA1672026SECRETARIA DE ADMINISTRAÇÃO DO GOVERNO DO ESTADO DE PERNAMBUCOIPV</v>
      </c>
      <c r="B220" s="12" t="str">
        <f t="shared" si="8"/>
        <v>Outubro</v>
      </c>
      <c r="C220" s="9">
        <v>87</v>
      </c>
      <c r="D220" s="8" t="s">
        <v>1218</v>
      </c>
      <c r="E220" s="8" t="s">
        <v>1723</v>
      </c>
      <c r="F220" s="8" t="s">
        <v>1744</v>
      </c>
      <c r="G220" s="17">
        <v>46310</v>
      </c>
      <c r="H220" s="8" t="s">
        <v>1144</v>
      </c>
      <c r="I220" s="9">
        <v>9</v>
      </c>
      <c r="J220" s="10">
        <v>213.97</v>
      </c>
      <c r="K220" s="10">
        <v>21471.27</v>
      </c>
      <c r="L220" s="8"/>
      <c r="M220" s="7"/>
    </row>
    <row r="221" spans="1:13" x14ac:dyDescent="0.25">
      <c r="A221" s="12" t="str">
        <f t="shared" si="7"/>
        <v>IVA1692026SECRETARIA DE ADMINISTRAÇÃO DO GOVERNO DO ESTADO DE PERNAMBUCOIPV</v>
      </c>
      <c r="B221" s="12" t="str">
        <f t="shared" si="8"/>
        <v>Outubro</v>
      </c>
      <c r="C221" s="9">
        <v>87</v>
      </c>
      <c r="D221" s="8" t="s">
        <v>1219</v>
      </c>
      <c r="E221" s="8" t="s">
        <v>1723</v>
      </c>
      <c r="F221" s="8" t="s">
        <v>1744</v>
      </c>
      <c r="G221" s="17">
        <v>46310</v>
      </c>
      <c r="H221" s="8" t="s">
        <v>1144</v>
      </c>
      <c r="I221" s="9">
        <v>9</v>
      </c>
      <c r="J221" s="10">
        <v>213.97</v>
      </c>
      <c r="K221" s="10">
        <v>21685.24</v>
      </c>
      <c r="L221" s="8"/>
      <c r="M221" s="7"/>
    </row>
    <row r="222" spans="1:13" x14ac:dyDescent="0.25">
      <c r="A222" s="12" t="str">
        <f t="shared" si="7"/>
        <v>IVA1732026SECRETARIA DE ADMINISTRAÇÃO DO GOVERNO DO ESTADO DE PERNAMBUCOIPV</v>
      </c>
      <c r="B222" s="12" t="str">
        <f t="shared" si="8"/>
        <v>Outubro</v>
      </c>
      <c r="C222" s="9">
        <v>87</v>
      </c>
      <c r="D222" s="8" t="s">
        <v>1220</v>
      </c>
      <c r="E222" s="8" t="s">
        <v>1723</v>
      </c>
      <c r="F222" s="8" t="s">
        <v>1744</v>
      </c>
      <c r="G222" s="17">
        <v>46310</v>
      </c>
      <c r="H222" s="8" t="s">
        <v>1144</v>
      </c>
      <c r="I222" s="9">
        <v>9</v>
      </c>
      <c r="J222" s="10">
        <v>213.97</v>
      </c>
      <c r="K222" s="10">
        <v>21899.21</v>
      </c>
      <c r="L222" s="8"/>
      <c r="M222" s="7"/>
    </row>
    <row r="223" spans="1:13" x14ac:dyDescent="0.25">
      <c r="A223" s="12" t="str">
        <f t="shared" si="7"/>
        <v>5005609EDUARDO GAUDENCIO ROSACT</v>
      </c>
      <c r="B223" s="12" t="str">
        <f t="shared" si="8"/>
        <v>Outubro</v>
      </c>
      <c r="C223" s="9">
        <v>87</v>
      </c>
      <c r="D223" s="8" t="s">
        <v>1222</v>
      </c>
      <c r="E223" s="8" t="s">
        <v>664</v>
      </c>
      <c r="F223" s="8" t="s">
        <v>58</v>
      </c>
      <c r="G223" s="17">
        <v>46311</v>
      </c>
      <c r="H223" s="8" t="s">
        <v>1035</v>
      </c>
      <c r="I223" s="9">
        <v>1</v>
      </c>
      <c r="J223" s="10">
        <v>350</v>
      </c>
      <c r="K223" s="10">
        <v>350</v>
      </c>
      <c r="L223" s="8"/>
      <c r="M223" s="7"/>
    </row>
    <row r="224" spans="1:13" x14ac:dyDescent="0.25">
      <c r="A224" s="12" t="str">
        <f t="shared" si="7"/>
        <v>5005610NATANIELLE SILVA DE SOUZA MARQUESCT</v>
      </c>
      <c r="B224" s="12" t="str">
        <f t="shared" si="8"/>
        <v>Outubro</v>
      </c>
      <c r="C224" s="9">
        <v>87</v>
      </c>
      <c r="D224" s="8" t="s">
        <v>1223</v>
      </c>
      <c r="E224" s="8" t="s">
        <v>664</v>
      </c>
      <c r="F224" s="8" t="s">
        <v>135</v>
      </c>
      <c r="G224" s="17">
        <v>46311</v>
      </c>
      <c r="H224" s="8" t="s">
        <v>1035</v>
      </c>
      <c r="I224" s="9">
        <v>1</v>
      </c>
      <c r="J224" s="10">
        <v>350</v>
      </c>
      <c r="K224" s="10">
        <v>700</v>
      </c>
      <c r="L224" s="8"/>
      <c r="M224" s="7"/>
    </row>
    <row r="225" spans="1:13" x14ac:dyDescent="0.25">
      <c r="A225" s="12" t="str">
        <f t="shared" si="7"/>
        <v>5005611CARLOS ANTONIO PINTOCT</v>
      </c>
      <c r="B225" s="12" t="str">
        <f t="shared" si="8"/>
        <v>Outubro</v>
      </c>
      <c r="C225" s="9">
        <v>87</v>
      </c>
      <c r="D225" s="8" t="s">
        <v>1221</v>
      </c>
      <c r="E225" s="8" t="s">
        <v>664</v>
      </c>
      <c r="F225" s="8" t="s">
        <v>36</v>
      </c>
      <c r="G225" s="17">
        <v>46311</v>
      </c>
      <c r="H225" s="8" t="s">
        <v>1035</v>
      </c>
      <c r="I225" s="9">
        <v>1</v>
      </c>
      <c r="J225" s="10">
        <v>350</v>
      </c>
      <c r="K225" s="10">
        <v>1050</v>
      </c>
      <c r="L225" s="8"/>
      <c r="M225" s="7"/>
    </row>
    <row r="226" spans="1:13" x14ac:dyDescent="0.25">
      <c r="A226" s="12" t="str">
        <f t="shared" si="7"/>
        <v>AGMTZLOCALIZA FLEET S/AFT</v>
      </c>
      <c r="B226" s="12" t="str">
        <f t="shared" si="8"/>
        <v>Outubro</v>
      </c>
      <c r="C226" s="9">
        <v>87</v>
      </c>
      <c r="D226" s="8" t="s">
        <v>301</v>
      </c>
      <c r="E226" s="8" t="s">
        <v>1354</v>
      </c>
      <c r="F226" s="8" t="s">
        <v>112</v>
      </c>
      <c r="G226" s="17">
        <v>46311</v>
      </c>
      <c r="H226" s="8" t="s">
        <v>232</v>
      </c>
      <c r="I226" s="9">
        <v>1</v>
      </c>
      <c r="J226" s="10">
        <v>139.13</v>
      </c>
      <c r="K226" s="10">
        <v>1189.1300000000001</v>
      </c>
      <c r="L226" s="8"/>
      <c r="M226" s="7"/>
    </row>
    <row r="227" spans="1:13" x14ac:dyDescent="0.25">
      <c r="A227" s="12" t="str">
        <f t="shared" si="7"/>
        <v>AGMTZ-3431673LOCALIZA FLEET S/AFT</v>
      </c>
      <c r="B227" s="12" t="str">
        <f t="shared" si="8"/>
        <v>Outubro</v>
      </c>
      <c r="C227" s="9">
        <v>87</v>
      </c>
      <c r="D227" s="8" t="s">
        <v>329</v>
      </c>
      <c r="E227" s="8" t="s">
        <v>1354</v>
      </c>
      <c r="F227" s="8" t="s">
        <v>112</v>
      </c>
      <c r="G227" s="17">
        <v>46311</v>
      </c>
      <c r="H227" s="8" t="s">
        <v>232</v>
      </c>
      <c r="I227" s="9">
        <v>1</v>
      </c>
      <c r="J227" s="10">
        <v>139.13</v>
      </c>
      <c r="K227" s="10">
        <v>1328.26</v>
      </c>
      <c r="L227" s="8"/>
      <c r="M227" s="7"/>
    </row>
    <row r="228" spans="1:13" x14ac:dyDescent="0.25">
      <c r="A228" s="12" t="str">
        <f t="shared" si="7"/>
        <v>AGMTZ-3431676LOCALIZA FLEET S/AFT</v>
      </c>
      <c r="B228" s="12" t="str">
        <f t="shared" si="8"/>
        <v>Outubro</v>
      </c>
      <c r="C228" s="9">
        <v>87</v>
      </c>
      <c r="D228" s="8" t="s">
        <v>330</v>
      </c>
      <c r="E228" s="8" t="s">
        <v>1354</v>
      </c>
      <c r="F228" s="8" t="s">
        <v>112</v>
      </c>
      <c r="G228" s="17">
        <v>46311</v>
      </c>
      <c r="H228" s="8" t="s">
        <v>232</v>
      </c>
      <c r="I228" s="9">
        <v>1</v>
      </c>
      <c r="J228" s="10">
        <v>650</v>
      </c>
      <c r="K228" s="10">
        <v>1978.26</v>
      </c>
      <c r="L228" s="8"/>
      <c r="M228" s="7"/>
    </row>
    <row r="229" spans="1:13" x14ac:dyDescent="0.25">
      <c r="A229" s="12" t="str">
        <f t="shared" si="7"/>
        <v>AGMTZ-3431682LOCALIZA FLEET S/AFT</v>
      </c>
      <c r="B229" s="12" t="str">
        <f t="shared" si="8"/>
        <v>Outubro</v>
      </c>
      <c r="C229" s="9">
        <v>87</v>
      </c>
      <c r="D229" s="8" t="s">
        <v>331</v>
      </c>
      <c r="E229" s="8" t="s">
        <v>1354</v>
      </c>
      <c r="F229" s="8" t="s">
        <v>112</v>
      </c>
      <c r="G229" s="17">
        <v>46311</v>
      </c>
      <c r="H229" s="8" t="s">
        <v>232</v>
      </c>
      <c r="I229" s="9">
        <v>1</v>
      </c>
      <c r="J229" s="10">
        <v>139.13</v>
      </c>
      <c r="K229" s="10">
        <v>2117.39</v>
      </c>
      <c r="L229" s="8"/>
      <c r="M229" s="7"/>
    </row>
    <row r="230" spans="1:13" x14ac:dyDescent="0.25">
      <c r="A230" s="12" t="str">
        <f t="shared" si="7"/>
        <v>AGMTZ-3431700LOCALIZA FLEET S/AFT</v>
      </c>
      <c r="B230" s="12" t="str">
        <f t="shared" si="8"/>
        <v>Outubro</v>
      </c>
      <c r="C230" s="9">
        <v>87</v>
      </c>
      <c r="D230" s="8" t="s">
        <v>332</v>
      </c>
      <c r="E230" s="8" t="s">
        <v>1354</v>
      </c>
      <c r="F230" s="8" t="s">
        <v>112</v>
      </c>
      <c r="G230" s="17">
        <v>46311</v>
      </c>
      <c r="H230" s="8" t="s">
        <v>232</v>
      </c>
      <c r="I230" s="9">
        <v>1</v>
      </c>
      <c r="J230" s="10">
        <v>139.13</v>
      </c>
      <c r="K230" s="10">
        <v>2256.52</v>
      </c>
      <c r="L230" s="8"/>
      <c r="M230" s="7"/>
    </row>
    <row r="231" spans="1:13" x14ac:dyDescent="0.25">
      <c r="A231" s="12" t="str">
        <f t="shared" si="7"/>
        <v>AGMTZ-3431709LOCALIZA FLEET S/AFT</v>
      </c>
      <c r="B231" s="12" t="str">
        <f t="shared" si="8"/>
        <v>Outubro</v>
      </c>
      <c r="C231" s="9">
        <v>87</v>
      </c>
      <c r="D231" s="8" t="s">
        <v>333</v>
      </c>
      <c r="E231" s="8" t="s">
        <v>1354</v>
      </c>
      <c r="F231" s="8" t="s">
        <v>112</v>
      </c>
      <c r="G231" s="17">
        <v>46311</v>
      </c>
      <c r="H231" s="8" t="s">
        <v>232</v>
      </c>
      <c r="I231" s="9">
        <v>1</v>
      </c>
      <c r="J231" s="10">
        <v>139.13</v>
      </c>
      <c r="K231" s="10">
        <v>2395.65</v>
      </c>
      <c r="L231" s="8"/>
      <c r="M231" s="7"/>
    </row>
    <row r="232" spans="1:13" x14ac:dyDescent="0.25">
      <c r="A232" s="12" t="str">
        <f t="shared" si="7"/>
        <v>AGMTZ-3431722LOCALIZA FLEET S/AFT</v>
      </c>
      <c r="B232" s="12" t="str">
        <f t="shared" si="8"/>
        <v>Outubro</v>
      </c>
      <c r="C232" s="9">
        <v>87</v>
      </c>
      <c r="D232" s="8" t="s">
        <v>334</v>
      </c>
      <c r="E232" s="8" t="s">
        <v>1354</v>
      </c>
      <c r="F232" s="8" t="s">
        <v>112</v>
      </c>
      <c r="G232" s="17">
        <v>46311</v>
      </c>
      <c r="H232" s="8" t="s">
        <v>232</v>
      </c>
      <c r="I232" s="9">
        <v>1</v>
      </c>
      <c r="J232" s="10">
        <v>139.13</v>
      </c>
      <c r="K232" s="10">
        <v>2534.7800000000002</v>
      </c>
      <c r="L232" s="8"/>
      <c r="M232" s="7"/>
    </row>
    <row r="233" spans="1:13" x14ac:dyDescent="0.25">
      <c r="A233" s="12" t="str">
        <f t="shared" si="7"/>
        <v>AGMTZ-3431737LOCALIZA FLEET S/AFT</v>
      </c>
      <c r="B233" s="12" t="str">
        <f t="shared" si="8"/>
        <v>Outubro</v>
      </c>
      <c r="C233" s="9">
        <v>87</v>
      </c>
      <c r="D233" s="8" t="s">
        <v>335</v>
      </c>
      <c r="E233" s="8" t="s">
        <v>1354</v>
      </c>
      <c r="F233" s="8" t="s">
        <v>112</v>
      </c>
      <c r="G233" s="17">
        <v>46311</v>
      </c>
      <c r="H233" s="8" t="s">
        <v>232</v>
      </c>
      <c r="I233" s="9">
        <v>1</v>
      </c>
      <c r="J233" s="10">
        <v>139.13</v>
      </c>
      <c r="K233" s="10">
        <v>2673.91</v>
      </c>
      <c r="L233" s="8"/>
      <c r="M233" s="7"/>
    </row>
    <row r="234" spans="1:13" x14ac:dyDescent="0.25">
      <c r="A234" s="12" t="str">
        <f t="shared" si="7"/>
        <v>42152MINAS MAQUINAS SA | NOVA LIMANFE</v>
      </c>
      <c r="B234" s="12" t="str">
        <f t="shared" si="8"/>
        <v>Outubro</v>
      </c>
      <c r="C234" s="9">
        <v>87</v>
      </c>
      <c r="D234" s="8" t="s">
        <v>549</v>
      </c>
      <c r="E234" s="8" t="s">
        <v>1400</v>
      </c>
      <c r="F234" s="8" t="s">
        <v>133</v>
      </c>
      <c r="G234" s="17">
        <v>46312</v>
      </c>
      <c r="H234" s="8" t="s">
        <v>380</v>
      </c>
      <c r="I234" s="9">
        <v>1</v>
      </c>
      <c r="J234" s="10">
        <v>1350.18</v>
      </c>
      <c r="K234" s="10">
        <v>1350.18</v>
      </c>
      <c r="L234" s="8"/>
      <c r="M234" s="7"/>
    </row>
    <row r="235" spans="1:13" x14ac:dyDescent="0.25">
      <c r="A235" s="12" t="str">
        <f t="shared" si="7"/>
        <v>5005613NELCIDES JOSE VIEIRACT</v>
      </c>
      <c r="B235" s="12" t="str">
        <f t="shared" si="8"/>
        <v>Outubro</v>
      </c>
      <c r="C235" s="9">
        <v>87</v>
      </c>
      <c r="D235" s="8" t="s">
        <v>1228</v>
      </c>
      <c r="E235" s="8" t="s">
        <v>664</v>
      </c>
      <c r="F235" s="8" t="s">
        <v>137</v>
      </c>
      <c r="G235" s="17">
        <v>46312</v>
      </c>
      <c r="H235" s="8" t="s">
        <v>1035</v>
      </c>
      <c r="I235" s="9">
        <v>1</v>
      </c>
      <c r="J235" s="10">
        <v>350</v>
      </c>
      <c r="K235" s="10">
        <v>1700.18</v>
      </c>
      <c r="L235" s="8"/>
      <c r="M235" s="7"/>
    </row>
    <row r="236" spans="1:13" x14ac:dyDescent="0.25">
      <c r="A236" s="12" t="str">
        <f t="shared" si="7"/>
        <v>5005614EDUARDO GAUDENCIO ROSACT</v>
      </c>
      <c r="B236" s="12" t="str">
        <f t="shared" si="8"/>
        <v>Outubro</v>
      </c>
      <c r="C236" s="9">
        <v>87</v>
      </c>
      <c r="D236" s="8" t="s">
        <v>1226</v>
      </c>
      <c r="E236" s="8" t="s">
        <v>664</v>
      </c>
      <c r="F236" s="8" t="s">
        <v>58</v>
      </c>
      <c r="G236" s="17">
        <v>46312</v>
      </c>
      <c r="H236" s="8" t="s">
        <v>1035</v>
      </c>
      <c r="I236" s="9">
        <v>1</v>
      </c>
      <c r="J236" s="10">
        <v>350</v>
      </c>
      <c r="K236" s="10">
        <v>2050.1799999999998</v>
      </c>
      <c r="L236" s="8"/>
      <c r="M236" s="7"/>
    </row>
    <row r="237" spans="1:13" x14ac:dyDescent="0.25">
      <c r="A237" s="12" t="str">
        <f t="shared" si="7"/>
        <v>500561652.081.532 ANTONIO CARLOS DA COSTACT</v>
      </c>
      <c r="B237" s="12" t="str">
        <f t="shared" si="8"/>
        <v>Outubro</v>
      </c>
      <c r="C237" s="9">
        <v>87</v>
      </c>
      <c r="D237" s="8" t="s">
        <v>1224</v>
      </c>
      <c r="E237" s="8" t="s">
        <v>664</v>
      </c>
      <c r="F237" s="8" t="s">
        <v>3218</v>
      </c>
      <c r="G237" s="17">
        <v>46312</v>
      </c>
      <c r="H237" s="8" t="s">
        <v>1035</v>
      </c>
      <c r="I237" s="9">
        <v>1</v>
      </c>
      <c r="J237" s="10">
        <v>350</v>
      </c>
      <c r="K237" s="10">
        <v>2400.1799999999998</v>
      </c>
      <c r="L237" s="8"/>
      <c r="M237" s="7"/>
    </row>
    <row r="238" spans="1:13" x14ac:dyDescent="0.25">
      <c r="A238" s="12" t="str">
        <f t="shared" si="7"/>
        <v>500561760.167.550 MARCELO MARTINS DE OLIVEIRACT</v>
      </c>
      <c r="B238" s="12" t="str">
        <f t="shared" si="8"/>
        <v>Outubro</v>
      </c>
      <c r="C238" s="9">
        <v>87</v>
      </c>
      <c r="D238" s="8" t="s">
        <v>1225</v>
      </c>
      <c r="E238" s="8" t="s">
        <v>664</v>
      </c>
      <c r="F238" s="8" t="s">
        <v>3215</v>
      </c>
      <c r="G238" s="17">
        <v>46312</v>
      </c>
      <c r="H238" s="8" t="s">
        <v>1035</v>
      </c>
      <c r="I238" s="9">
        <v>1</v>
      </c>
      <c r="J238" s="10">
        <v>350</v>
      </c>
      <c r="K238" s="10">
        <v>2750.18</v>
      </c>
      <c r="L238" s="8"/>
      <c r="M238" s="7"/>
    </row>
    <row r="239" spans="1:13" x14ac:dyDescent="0.25">
      <c r="A239" s="12" t="str">
        <f t="shared" si="7"/>
        <v>5005618JORGE MARTINS BORGES JUNIORCT</v>
      </c>
      <c r="B239" s="12" t="str">
        <f t="shared" si="8"/>
        <v>Outubro</v>
      </c>
      <c r="C239" s="9">
        <v>87</v>
      </c>
      <c r="D239" s="8" t="s">
        <v>1227</v>
      </c>
      <c r="E239" s="8" t="s">
        <v>664</v>
      </c>
      <c r="F239" s="8" t="s">
        <v>97</v>
      </c>
      <c r="G239" s="17">
        <v>46312</v>
      </c>
      <c r="H239" s="8" t="s">
        <v>1035</v>
      </c>
      <c r="I239" s="9">
        <v>1</v>
      </c>
      <c r="J239" s="10">
        <v>350</v>
      </c>
      <c r="K239" s="10">
        <v>3100.18</v>
      </c>
      <c r="L239" s="8"/>
      <c r="M239" s="7"/>
    </row>
    <row r="240" spans="1:13" x14ac:dyDescent="0.25">
      <c r="A240" s="12" t="str">
        <f t="shared" si="7"/>
        <v>5005619EDUARDO GAUDENCIO ROSACT</v>
      </c>
      <c r="B240" s="12" t="str">
        <f t="shared" si="8"/>
        <v>Outubro</v>
      </c>
      <c r="C240" s="9">
        <v>87</v>
      </c>
      <c r="D240" s="8" t="s">
        <v>1230</v>
      </c>
      <c r="E240" s="8" t="s">
        <v>664</v>
      </c>
      <c r="F240" s="8" t="s">
        <v>58</v>
      </c>
      <c r="G240" s="17">
        <v>46313</v>
      </c>
      <c r="H240" s="8" t="s">
        <v>1035</v>
      </c>
      <c r="I240" s="9">
        <v>1</v>
      </c>
      <c r="J240" s="10">
        <v>350</v>
      </c>
      <c r="K240" s="10">
        <v>350</v>
      </c>
      <c r="L240" s="8"/>
      <c r="M240" s="7"/>
    </row>
    <row r="241" spans="1:13" x14ac:dyDescent="0.25">
      <c r="A241" s="12" t="str">
        <f t="shared" si="7"/>
        <v>5005620NATANIELLE SILVA DE SOUZA MARQUESCT</v>
      </c>
      <c r="B241" s="12" t="str">
        <f t="shared" si="8"/>
        <v>Outubro</v>
      </c>
      <c r="C241" s="9">
        <v>87</v>
      </c>
      <c r="D241" s="8" t="s">
        <v>1234</v>
      </c>
      <c r="E241" s="8" t="s">
        <v>664</v>
      </c>
      <c r="F241" s="8" t="s">
        <v>135</v>
      </c>
      <c r="G241" s="17">
        <v>46313</v>
      </c>
      <c r="H241" s="8" t="s">
        <v>1035</v>
      </c>
      <c r="I241" s="9">
        <v>1</v>
      </c>
      <c r="J241" s="10">
        <v>350</v>
      </c>
      <c r="K241" s="10">
        <v>700</v>
      </c>
      <c r="L241" s="8"/>
      <c r="M241" s="7"/>
    </row>
    <row r="242" spans="1:13" x14ac:dyDescent="0.25">
      <c r="A242" s="12" t="str">
        <f t="shared" si="7"/>
        <v>5005621PAULO RICARDO SILVACT</v>
      </c>
      <c r="B242" s="12" t="str">
        <f t="shared" si="8"/>
        <v>Outubro</v>
      </c>
      <c r="C242" s="9">
        <v>87</v>
      </c>
      <c r="D242" s="8" t="s">
        <v>1235</v>
      </c>
      <c r="E242" s="8" t="s">
        <v>664</v>
      </c>
      <c r="F242" s="8" t="s">
        <v>153</v>
      </c>
      <c r="G242" s="17">
        <v>46313</v>
      </c>
      <c r="H242" s="8" t="s">
        <v>1035</v>
      </c>
      <c r="I242" s="9">
        <v>1</v>
      </c>
      <c r="J242" s="10">
        <v>350</v>
      </c>
      <c r="K242" s="10">
        <v>1050</v>
      </c>
      <c r="L242" s="8"/>
      <c r="M242" s="7"/>
    </row>
    <row r="243" spans="1:13" x14ac:dyDescent="0.25">
      <c r="A243" s="12" t="str">
        <f t="shared" si="7"/>
        <v>5005622JORGE MARTINS BORGES JUNIORCT</v>
      </c>
      <c r="B243" s="12" t="str">
        <f t="shared" si="8"/>
        <v>Outubro</v>
      </c>
      <c r="C243" s="9">
        <v>87</v>
      </c>
      <c r="D243" s="8" t="s">
        <v>1232</v>
      </c>
      <c r="E243" s="8" t="s">
        <v>664</v>
      </c>
      <c r="F243" s="8" t="s">
        <v>97</v>
      </c>
      <c r="G243" s="17">
        <v>46313</v>
      </c>
      <c r="H243" s="8" t="s">
        <v>1035</v>
      </c>
      <c r="I243" s="9">
        <v>1</v>
      </c>
      <c r="J243" s="10">
        <v>350</v>
      </c>
      <c r="K243" s="10">
        <v>1400</v>
      </c>
      <c r="L243" s="8"/>
      <c r="M243" s="7"/>
    </row>
    <row r="244" spans="1:13" x14ac:dyDescent="0.25">
      <c r="A244" s="12" t="str">
        <f t="shared" si="7"/>
        <v>500562352.081.532 ANTONIO CARLOS DA COSTACT</v>
      </c>
      <c r="B244" s="12" t="str">
        <f t="shared" si="8"/>
        <v>Outubro</v>
      </c>
      <c r="C244" s="9">
        <v>87</v>
      </c>
      <c r="D244" s="8" t="s">
        <v>1229</v>
      </c>
      <c r="E244" s="8" t="s">
        <v>664</v>
      </c>
      <c r="F244" s="8" t="s">
        <v>3218</v>
      </c>
      <c r="G244" s="17">
        <v>46313</v>
      </c>
      <c r="H244" s="8" t="s">
        <v>1035</v>
      </c>
      <c r="I244" s="9">
        <v>1</v>
      </c>
      <c r="J244" s="10">
        <v>350</v>
      </c>
      <c r="K244" s="10">
        <v>1750</v>
      </c>
      <c r="L244" s="8"/>
      <c r="M244" s="7"/>
    </row>
    <row r="245" spans="1:13" x14ac:dyDescent="0.25">
      <c r="A245" s="12" t="str">
        <f t="shared" si="7"/>
        <v>5005624JOSE ANTONIO SILVACT</v>
      </c>
      <c r="B245" s="12" t="str">
        <f t="shared" si="8"/>
        <v>Outubro</v>
      </c>
      <c r="C245" s="9">
        <v>87</v>
      </c>
      <c r="D245" s="8" t="s">
        <v>1233</v>
      </c>
      <c r="E245" s="8" t="s">
        <v>664</v>
      </c>
      <c r="F245" s="8" t="s">
        <v>99</v>
      </c>
      <c r="G245" s="17">
        <v>46313</v>
      </c>
      <c r="H245" s="8" t="s">
        <v>1035</v>
      </c>
      <c r="I245" s="9">
        <v>1</v>
      </c>
      <c r="J245" s="10">
        <v>350</v>
      </c>
      <c r="K245" s="10">
        <v>2100</v>
      </c>
      <c r="L245" s="8"/>
      <c r="M245" s="7"/>
    </row>
    <row r="246" spans="1:13" x14ac:dyDescent="0.25">
      <c r="A246" s="12" t="str">
        <f t="shared" si="7"/>
        <v>5005625ISIS MARIA DE CARVALHO FIORINECT</v>
      </c>
      <c r="B246" s="12" t="str">
        <f t="shared" si="8"/>
        <v>Outubro</v>
      </c>
      <c r="C246" s="9">
        <v>87</v>
      </c>
      <c r="D246" s="8" t="s">
        <v>1231</v>
      </c>
      <c r="E246" s="8" t="s">
        <v>664</v>
      </c>
      <c r="F246" s="8" t="s">
        <v>3220</v>
      </c>
      <c r="G246" s="17">
        <v>46313</v>
      </c>
      <c r="H246" s="8" t="s">
        <v>1035</v>
      </c>
      <c r="I246" s="9">
        <v>1</v>
      </c>
      <c r="J246" s="10">
        <v>385</v>
      </c>
      <c r="K246" s="10">
        <v>2485</v>
      </c>
      <c r="L246" s="8"/>
      <c r="M246" s="7"/>
    </row>
    <row r="247" spans="1:13" x14ac:dyDescent="0.25">
      <c r="A247" s="12" t="str">
        <f t="shared" si="7"/>
        <v>1036753TREVISO BETIM VEICULOS LTDANFE</v>
      </c>
      <c r="B247" s="12" t="str">
        <f t="shared" si="8"/>
        <v>Outubro</v>
      </c>
      <c r="C247" s="9">
        <v>87</v>
      </c>
      <c r="D247" s="8" t="s">
        <v>392</v>
      </c>
      <c r="E247" s="8" t="s">
        <v>653</v>
      </c>
      <c r="F247" s="8" t="s">
        <v>190</v>
      </c>
      <c r="G247" s="17">
        <v>46314</v>
      </c>
      <c r="H247" s="8" t="s">
        <v>380</v>
      </c>
      <c r="I247" s="9">
        <v>1</v>
      </c>
      <c r="J247" s="10">
        <v>5182.43</v>
      </c>
      <c r="K247" s="10">
        <v>5182.43</v>
      </c>
      <c r="L247" s="8"/>
      <c r="M247" s="7"/>
    </row>
    <row r="248" spans="1:13" x14ac:dyDescent="0.25">
      <c r="A248" s="12" t="str">
        <f t="shared" si="7"/>
        <v>18803TREVISO BETIM VEICULOS LTDANSE</v>
      </c>
      <c r="B248" s="12" t="str">
        <f t="shared" si="8"/>
        <v>Outubro</v>
      </c>
      <c r="C248" s="9">
        <v>87</v>
      </c>
      <c r="D248" s="8" t="s">
        <v>756</v>
      </c>
      <c r="E248" s="8" t="s">
        <v>1354</v>
      </c>
      <c r="F248" s="8" t="s">
        <v>190</v>
      </c>
      <c r="G248" s="17">
        <v>46314</v>
      </c>
      <c r="H248" s="8" t="s">
        <v>665</v>
      </c>
      <c r="I248" s="9">
        <v>1</v>
      </c>
      <c r="J248" s="10">
        <v>1293.58</v>
      </c>
      <c r="K248" s="10">
        <v>6476.01</v>
      </c>
      <c r="L248" s="8"/>
      <c r="M248" s="7"/>
    </row>
    <row r="249" spans="1:13" x14ac:dyDescent="0.25">
      <c r="A249" s="12" t="str">
        <f t="shared" si="7"/>
        <v>36547.409.392 DIRCEU NUNES JUNIORNSE</v>
      </c>
      <c r="B249" s="12" t="str">
        <f t="shared" si="8"/>
        <v>Outubro</v>
      </c>
      <c r="C249" s="9">
        <v>87</v>
      </c>
      <c r="D249" s="8" t="s">
        <v>865</v>
      </c>
      <c r="E249" s="8" t="s">
        <v>1354</v>
      </c>
      <c r="F249" s="8" t="s">
        <v>206</v>
      </c>
      <c r="G249" s="17">
        <v>46314</v>
      </c>
      <c r="H249" s="8" t="s">
        <v>665</v>
      </c>
      <c r="I249" s="9">
        <v>1</v>
      </c>
      <c r="J249" s="10">
        <v>2500</v>
      </c>
      <c r="K249" s="10">
        <v>8976.01</v>
      </c>
      <c r="L249" s="8"/>
      <c r="M249" s="7"/>
    </row>
    <row r="250" spans="1:13" x14ac:dyDescent="0.25">
      <c r="A250" s="12" t="str">
        <f t="shared" si="7"/>
        <v>12628-1708-87MINISTERIO DA FAZENDAIM</v>
      </c>
      <c r="B250" s="12" t="str">
        <f t="shared" si="8"/>
        <v>Outubro</v>
      </c>
      <c r="C250" s="9">
        <v>87</v>
      </c>
      <c r="D250" s="8" t="s">
        <v>1236</v>
      </c>
      <c r="E250" s="8" t="s">
        <v>664</v>
      </c>
      <c r="F250" s="8" t="s">
        <v>1503</v>
      </c>
      <c r="G250" s="17">
        <v>46315</v>
      </c>
      <c r="H250" s="8" t="s">
        <v>1142</v>
      </c>
      <c r="I250" s="9">
        <v>1</v>
      </c>
      <c r="J250" s="10">
        <v>80.319999999999993</v>
      </c>
      <c r="K250" s="10">
        <v>80.319999999999993</v>
      </c>
      <c r="L250" s="8"/>
      <c r="M250" s="7"/>
    </row>
    <row r="251" spans="1:13" x14ac:dyDescent="0.25">
      <c r="A251" s="12" t="str">
        <f t="shared" si="7"/>
        <v>12628-5952-87MINISTERIO DA FAZENDAIM</v>
      </c>
      <c r="B251" s="12" t="str">
        <f t="shared" si="8"/>
        <v>Outubro</v>
      </c>
      <c r="C251" s="9">
        <v>87</v>
      </c>
      <c r="D251" s="8" t="s">
        <v>1237</v>
      </c>
      <c r="E251" s="8" t="s">
        <v>664</v>
      </c>
      <c r="F251" s="8" t="s">
        <v>1503</v>
      </c>
      <c r="G251" s="17">
        <v>46315</v>
      </c>
      <c r="H251" s="8" t="s">
        <v>1142</v>
      </c>
      <c r="I251" s="9">
        <v>1</v>
      </c>
      <c r="J251" s="10">
        <v>249.01</v>
      </c>
      <c r="K251" s="10">
        <v>329.33</v>
      </c>
      <c r="L251" s="8"/>
      <c r="M251" s="7"/>
    </row>
    <row r="252" spans="1:13" x14ac:dyDescent="0.25">
      <c r="A252" s="12" t="str">
        <f t="shared" si="7"/>
        <v>1320-1708-87MINISTERIO DA FAZENDAIM</v>
      </c>
      <c r="B252" s="12" t="str">
        <f t="shared" si="8"/>
        <v>Outubro</v>
      </c>
      <c r="C252" s="9">
        <v>87</v>
      </c>
      <c r="D252" s="8" t="s">
        <v>1238</v>
      </c>
      <c r="E252" s="8" t="s">
        <v>664</v>
      </c>
      <c r="F252" s="8" t="s">
        <v>1503</v>
      </c>
      <c r="G252" s="17">
        <v>46315</v>
      </c>
      <c r="H252" s="8" t="s">
        <v>1142</v>
      </c>
      <c r="I252" s="9">
        <v>1</v>
      </c>
      <c r="J252" s="10">
        <v>235.19</v>
      </c>
      <c r="K252" s="10">
        <v>564.52</v>
      </c>
      <c r="L252" s="8"/>
      <c r="M252" s="7"/>
    </row>
    <row r="253" spans="1:13" x14ac:dyDescent="0.25">
      <c r="A253" s="12" t="str">
        <f t="shared" si="7"/>
        <v>1320-5952-87MINISTERIO DA FAZENDAIM</v>
      </c>
      <c r="B253" s="12" t="str">
        <f t="shared" si="8"/>
        <v>Outubro</v>
      </c>
      <c r="C253" s="9">
        <v>87</v>
      </c>
      <c r="D253" s="8" t="s">
        <v>1239</v>
      </c>
      <c r="E253" s="8" t="s">
        <v>664</v>
      </c>
      <c r="F253" s="8" t="s">
        <v>1503</v>
      </c>
      <c r="G253" s="17">
        <v>46315</v>
      </c>
      <c r="H253" s="8" t="s">
        <v>1142</v>
      </c>
      <c r="I253" s="9">
        <v>1</v>
      </c>
      <c r="J253" s="10">
        <v>729.1</v>
      </c>
      <c r="K253" s="10">
        <v>1293.6199999999999</v>
      </c>
      <c r="L253" s="8"/>
      <c r="M253" s="7"/>
    </row>
    <row r="254" spans="1:13" x14ac:dyDescent="0.25">
      <c r="A254" s="12" t="str">
        <f t="shared" si="7"/>
        <v>16788MASTERCELL COMERCIO DE ELETRONICOS LTDANFE</v>
      </c>
      <c r="B254" s="12" t="str">
        <f t="shared" si="8"/>
        <v>Outubro</v>
      </c>
      <c r="C254" s="9">
        <v>87</v>
      </c>
      <c r="D254" s="8" t="s">
        <v>429</v>
      </c>
      <c r="E254" s="8" t="s">
        <v>824</v>
      </c>
      <c r="F254" s="8" t="s">
        <v>123</v>
      </c>
      <c r="G254" s="17">
        <v>46315</v>
      </c>
      <c r="H254" s="8" t="s">
        <v>380</v>
      </c>
      <c r="I254" s="9">
        <v>5</v>
      </c>
      <c r="J254" s="10">
        <v>213.66</v>
      </c>
      <c r="K254" s="10">
        <v>1507.28</v>
      </c>
      <c r="L254" s="8"/>
      <c r="M254" s="7"/>
    </row>
    <row r="255" spans="1:13" x14ac:dyDescent="0.25">
      <c r="A255" s="12" t="str">
        <f t="shared" si="7"/>
        <v>21435125GRUPO CASAS BAHIA SANFE</v>
      </c>
      <c r="B255" s="12" t="str">
        <f t="shared" si="8"/>
        <v>Outubro</v>
      </c>
      <c r="C255" s="9">
        <v>87</v>
      </c>
      <c r="D255" s="8" t="s">
        <v>453</v>
      </c>
      <c r="E255" s="8" t="s">
        <v>1400</v>
      </c>
      <c r="F255" s="8" t="s">
        <v>76</v>
      </c>
      <c r="G255" s="17">
        <v>46315</v>
      </c>
      <c r="H255" s="8" t="s">
        <v>380</v>
      </c>
      <c r="I255" s="9">
        <v>5</v>
      </c>
      <c r="J255" s="10">
        <v>167.9</v>
      </c>
      <c r="K255" s="10">
        <v>1675.18</v>
      </c>
      <c r="L255" s="8"/>
      <c r="M255" s="7"/>
    </row>
    <row r="256" spans="1:13" x14ac:dyDescent="0.25">
      <c r="A256" s="12" t="str">
        <f t="shared" si="7"/>
        <v>2246ROCHA POMBO ANDRADE E CAPETTI ADVOGADOS (FERNANDO CARNEIRO)NSE</v>
      </c>
      <c r="B256" s="12" t="str">
        <f t="shared" si="8"/>
        <v>Outubro</v>
      </c>
      <c r="C256" s="9">
        <v>87</v>
      </c>
      <c r="D256" s="8" t="s">
        <v>784</v>
      </c>
      <c r="E256" s="8" t="s">
        <v>664</v>
      </c>
      <c r="F256" s="8" t="s">
        <v>169</v>
      </c>
      <c r="G256" s="17">
        <v>46315</v>
      </c>
      <c r="H256" s="8" t="s">
        <v>665</v>
      </c>
      <c r="I256" s="9">
        <v>1</v>
      </c>
      <c r="J256" s="10">
        <v>1313.9</v>
      </c>
      <c r="K256" s="10">
        <v>2989.08</v>
      </c>
      <c r="L256" s="8"/>
      <c r="M256" s="7"/>
    </row>
    <row r="257" spans="1:13" x14ac:dyDescent="0.25">
      <c r="A257" s="12" t="str">
        <f t="shared" si="7"/>
        <v>2246-1708-87MINISTERIO DA FAZENDAIM</v>
      </c>
      <c r="B257" s="12" t="str">
        <f t="shared" si="8"/>
        <v>Outubro</v>
      </c>
      <c r="C257" s="9">
        <v>87</v>
      </c>
      <c r="D257" s="8" t="s">
        <v>1240</v>
      </c>
      <c r="E257" s="8" t="s">
        <v>664</v>
      </c>
      <c r="F257" s="8" t="s">
        <v>1503</v>
      </c>
      <c r="G257" s="17">
        <v>46315</v>
      </c>
      <c r="H257" s="8" t="s">
        <v>1142</v>
      </c>
      <c r="I257" s="9">
        <v>1</v>
      </c>
      <c r="J257" s="10">
        <v>21</v>
      </c>
      <c r="K257" s="10">
        <v>3010.08</v>
      </c>
      <c r="L257" s="8"/>
      <c r="M257" s="7"/>
    </row>
    <row r="258" spans="1:13" x14ac:dyDescent="0.25">
      <c r="A258" s="12" t="str">
        <f t="shared" si="7"/>
        <v>2246-5952-87MINISTERIO DA FAZENDAIM</v>
      </c>
      <c r="B258" s="12" t="str">
        <f t="shared" si="8"/>
        <v>Outubro</v>
      </c>
      <c r="C258" s="9">
        <v>87</v>
      </c>
      <c r="D258" s="8" t="s">
        <v>1241</v>
      </c>
      <c r="E258" s="8" t="s">
        <v>664</v>
      </c>
      <c r="F258" s="8" t="s">
        <v>1503</v>
      </c>
      <c r="G258" s="17">
        <v>46315</v>
      </c>
      <c r="H258" s="8" t="s">
        <v>1142</v>
      </c>
      <c r="I258" s="9">
        <v>1</v>
      </c>
      <c r="J258" s="10">
        <v>65.099999999999994</v>
      </c>
      <c r="K258" s="10">
        <v>3075.18</v>
      </c>
      <c r="L258" s="8"/>
      <c r="M258" s="7"/>
    </row>
    <row r="259" spans="1:13" x14ac:dyDescent="0.25">
      <c r="A259" s="12" t="str">
        <f t="shared" ref="A259:A322" si="9">D259&amp;F259&amp;H259</f>
        <v>292ANDRE LUIZ MAYERNSE</v>
      </c>
      <c r="B259" s="12" t="str">
        <f t="shared" ref="B259:B322" si="10">PROPER(TEXT($G259,"MMMM"))</f>
        <v>Outubro</v>
      </c>
      <c r="C259" s="9">
        <v>87</v>
      </c>
      <c r="D259" s="8" t="s">
        <v>823</v>
      </c>
      <c r="E259" s="8" t="s">
        <v>664</v>
      </c>
      <c r="F259" s="8" t="s">
        <v>16</v>
      </c>
      <c r="G259" s="17">
        <v>46315</v>
      </c>
      <c r="H259" s="8" t="s">
        <v>665</v>
      </c>
      <c r="I259" s="9">
        <v>1</v>
      </c>
      <c r="J259" s="10">
        <v>1750</v>
      </c>
      <c r="K259" s="10">
        <v>4825.18</v>
      </c>
      <c r="L259" s="8"/>
      <c r="M259" s="7"/>
    </row>
    <row r="260" spans="1:13" x14ac:dyDescent="0.25">
      <c r="A260" s="12" t="str">
        <f t="shared" si="9"/>
        <v>34700-1708-87MINISTERIO DA FAZENDAIM</v>
      </c>
      <c r="B260" s="12" t="str">
        <f t="shared" si="10"/>
        <v>Outubro</v>
      </c>
      <c r="C260" s="9">
        <v>87</v>
      </c>
      <c r="D260" s="8" t="s">
        <v>1242</v>
      </c>
      <c r="E260" s="8" t="s">
        <v>664</v>
      </c>
      <c r="F260" s="8" t="s">
        <v>1503</v>
      </c>
      <c r="G260" s="17">
        <v>46315</v>
      </c>
      <c r="H260" s="8" t="s">
        <v>1142</v>
      </c>
      <c r="I260" s="9">
        <v>1</v>
      </c>
      <c r="J260" s="10">
        <v>10.47</v>
      </c>
      <c r="K260" s="10">
        <v>4835.6499999999996</v>
      </c>
      <c r="L260" s="8"/>
      <c r="M260" s="7"/>
    </row>
    <row r="261" spans="1:13" x14ac:dyDescent="0.25">
      <c r="A261" s="12" t="str">
        <f t="shared" si="9"/>
        <v>34700-5952-87MINISTERIO DA FAZENDAIM</v>
      </c>
      <c r="B261" s="12" t="str">
        <f t="shared" si="10"/>
        <v>Outubro</v>
      </c>
      <c r="C261" s="9">
        <v>87</v>
      </c>
      <c r="D261" s="8" t="s">
        <v>1243</v>
      </c>
      <c r="E261" s="8" t="s">
        <v>664</v>
      </c>
      <c r="F261" s="8" t="s">
        <v>1503</v>
      </c>
      <c r="G261" s="17">
        <v>46315</v>
      </c>
      <c r="H261" s="8" t="s">
        <v>1142</v>
      </c>
      <c r="I261" s="9">
        <v>1</v>
      </c>
      <c r="J261" s="10">
        <v>32.450000000000003</v>
      </c>
      <c r="K261" s="10">
        <v>4868.1000000000004</v>
      </c>
      <c r="L261" s="8"/>
      <c r="M261" s="7"/>
    </row>
    <row r="262" spans="1:13" x14ac:dyDescent="0.25">
      <c r="A262" s="12" t="str">
        <f t="shared" si="9"/>
        <v>34701-1708-87MINISTERIO DA FAZENDAIM</v>
      </c>
      <c r="B262" s="12" t="str">
        <f t="shared" si="10"/>
        <v>Outubro</v>
      </c>
      <c r="C262" s="9">
        <v>87</v>
      </c>
      <c r="D262" s="8" t="s">
        <v>1244</v>
      </c>
      <c r="E262" s="8" t="s">
        <v>664</v>
      </c>
      <c r="F262" s="8" t="s">
        <v>1503</v>
      </c>
      <c r="G262" s="17">
        <v>46315</v>
      </c>
      <c r="H262" s="8" t="s">
        <v>1142</v>
      </c>
      <c r="I262" s="9">
        <v>1</v>
      </c>
      <c r="J262" s="10">
        <v>10.47</v>
      </c>
      <c r="K262" s="10">
        <v>4878.57</v>
      </c>
      <c r="L262" s="8"/>
      <c r="M262" s="7"/>
    </row>
    <row r="263" spans="1:13" x14ac:dyDescent="0.25">
      <c r="A263" s="12" t="str">
        <f t="shared" si="9"/>
        <v>34701-5952-87MINISTERIO DA FAZENDAIM</v>
      </c>
      <c r="B263" s="12" t="str">
        <f t="shared" si="10"/>
        <v>Outubro</v>
      </c>
      <c r="C263" s="9">
        <v>87</v>
      </c>
      <c r="D263" s="8" t="s">
        <v>1245</v>
      </c>
      <c r="E263" s="8" t="s">
        <v>664</v>
      </c>
      <c r="F263" s="8" t="s">
        <v>1503</v>
      </c>
      <c r="G263" s="17">
        <v>46315</v>
      </c>
      <c r="H263" s="8" t="s">
        <v>1142</v>
      </c>
      <c r="I263" s="9">
        <v>1</v>
      </c>
      <c r="J263" s="10">
        <v>32.450000000000003</v>
      </c>
      <c r="K263" s="10">
        <v>4911.0200000000004</v>
      </c>
      <c r="L263" s="8"/>
      <c r="M263" s="7"/>
    </row>
    <row r="264" spans="1:13" x14ac:dyDescent="0.25">
      <c r="A264" s="12" t="str">
        <f t="shared" si="9"/>
        <v>39823831VIA VAREJO S/ANFE</v>
      </c>
      <c r="B264" s="12" t="str">
        <f t="shared" si="10"/>
        <v>Outubro</v>
      </c>
      <c r="C264" s="9">
        <v>87</v>
      </c>
      <c r="D264" s="8" t="s">
        <v>531</v>
      </c>
      <c r="E264" s="8" t="s">
        <v>1400</v>
      </c>
      <c r="F264" s="8" t="s">
        <v>197</v>
      </c>
      <c r="G264" s="17">
        <v>46315</v>
      </c>
      <c r="H264" s="8" t="s">
        <v>380</v>
      </c>
      <c r="I264" s="9">
        <v>5</v>
      </c>
      <c r="J264" s="10">
        <v>134.18</v>
      </c>
      <c r="K264" s="10">
        <v>5045.2</v>
      </c>
      <c r="L264" s="8"/>
      <c r="M264" s="7"/>
    </row>
    <row r="265" spans="1:13" x14ac:dyDescent="0.25">
      <c r="A265" s="12" t="str">
        <f t="shared" si="9"/>
        <v>525446-5952-87MINISTERIO DA FAZENDAIM</v>
      </c>
      <c r="B265" s="12" t="str">
        <f t="shared" si="10"/>
        <v>Outubro</v>
      </c>
      <c r="C265" s="9">
        <v>87</v>
      </c>
      <c r="D265" s="8" t="s">
        <v>1246</v>
      </c>
      <c r="E265" s="8" t="s">
        <v>664</v>
      </c>
      <c r="F265" s="8" t="s">
        <v>1503</v>
      </c>
      <c r="G265" s="17">
        <v>46315</v>
      </c>
      <c r="H265" s="8" t="s">
        <v>1142</v>
      </c>
      <c r="I265" s="9">
        <v>1</v>
      </c>
      <c r="J265" s="10">
        <v>18.600000000000001</v>
      </c>
      <c r="K265" s="10">
        <v>5063.8</v>
      </c>
      <c r="L265" s="8"/>
      <c r="M265" s="7"/>
    </row>
    <row r="266" spans="1:13" x14ac:dyDescent="0.25">
      <c r="A266" s="12" t="str">
        <f t="shared" si="9"/>
        <v>6745898VIA VAREJÃO/SANFE</v>
      </c>
      <c r="B266" s="12" t="str">
        <f t="shared" si="10"/>
        <v>Outubro</v>
      </c>
      <c r="C266" s="9">
        <v>87</v>
      </c>
      <c r="D266" s="8" t="s">
        <v>571</v>
      </c>
      <c r="E266" s="8" t="s">
        <v>1400</v>
      </c>
      <c r="F266" s="8" t="s">
        <v>196</v>
      </c>
      <c r="G266" s="17">
        <v>46315</v>
      </c>
      <c r="H266" s="8" t="s">
        <v>380</v>
      </c>
      <c r="I266" s="9">
        <v>5</v>
      </c>
      <c r="J266" s="10">
        <v>173.62</v>
      </c>
      <c r="K266" s="10">
        <v>5237.42</v>
      </c>
      <c r="L266" s="8"/>
      <c r="M266" s="7"/>
    </row>
    <row r="267" spans="1:13" x14ac:dyDescent="0.25">
      <c r="A267" s="12" t="str">
        <f t="shared" si="9"/>
        <v>848145-1708-87MINISTERIO DA FAZENDAim</v>
      </c>
      <c r="B267" s="12" t="str">
        <f t="shared" si="10"/>
        <v>Outubro</v>
      </c>
      <c r="C267" s="9">
        <v>87</v>
      </c>
      <c r="D267" s="8" t="s">
        <v>1247</v>
      </c>
      <c r="E267" s="8" t="s">
        <v>664</v>
      </c>
      <c r="F267" s="8" t="s">
        <v>1503</v>
      </c>
      <c r="G267" s="17">
        <v>46315</v>
      </c>
      <c r="H267" s="8" t="s">
        <v>1248</v>
      </c>
      <c r="I267" s="9">
        <v>1</v>
      </c>
      <c r="J267" s="10">
        <v>14.98</v>
      </c>
      <c r="K267" s="10">
        <v>5252.4</v>
      </c>
      <c r="L267" s="8"/>
      <c r="M267" s="7"/>
    </row>
    <row r="268" spans="1:13" x14ac:dyDescent="0.25">
      <c r="A268" s="12" t="str">
        <f t="shared" si="9"/>
        <v>848145-5952-87MINISTERIO DA FAZENDAIM</v>
      </c>
      <c r="B268" s="12" t="str">
        <f t="shared" si="10"/>
        <v>Outubro</v>
      </c>
      <c r="C268" s="9">
        <v>87</v>
      </c>
      <c r="D268" s="8" t="s">
        <v>1249</v>
      </c>
      <c r="E268" s="8" t="s">
        <v>664</v>
      </c>
      <c r="F268" s="8" t="s">
        <v>1503</v>
      </c>
      <c r="G268" s="17">
        <v>46315</v>
      </c>
      <c r="H268" s="8" t="s">
        <v>1142</v>
      </c>
      <c r="I268" s="9">
        <v>1</v>
      </c>
      <c r="J268" s="10">
        <v>46.43</v>
      </c>
      <c r="K268" s="10">
        <v>5298.83</v>
      </c>
      <c r="L268" s="8"/>
      <c r="M268" s="7"/>
    </row>
    <row r="269" spans="1:13" x14ac:dyDescent="0.25">
      <c r="A269" s="12" t="str">
        <f t="shared" si="9"/>
        <v>IFL1152026SECRETARIA DE ADMINISTRAÇÃO DO GOVERNO DO ESTADO DE PERNAMBUCOIPV</v>
      </c>
      <c r="B269" s="12" t="str">
        <f t="shared" si="10"/>
        <v>Outubro</v>
      </c>
      <c r="C269" s="9">
        <v>87</v>
      </c>
      <c r="D269" s="8" t="s">
        <v>1253</v>
      </c>
      <c r="E269" s="8" t="s">
        <v>1723</v>
      </c>
      <c r="F269" s="8" t="s">
        <v>1744</v>
      </c>
      <c r="G269" s="17">
        <v>46315</v>
      </c>
      <c r="H269" s="8" t="s">
        <v>1144</v>
      </c>
      <c r="I269" s="9">
        <v>9</v>
      </c>
      <c r="J269" s="10">
        <v>198.61</v>
      </c>
      <c r="K269" s="10">
        <v>5497.44</v>
      </c>
      <c r="L269" s="8"/>
      <c r="M269" s="7"/>
    </row>
    <row r="270" spans="1:13" x14ac:dyDescent="0.25">
      <c r="A270" s="12" t="str">
        <f t="shared" si="9"/>
        <v>IFL1162026SECRETARIA DE ADMINISTRAÇÃO DO GOVERNO DO ESTADO DE PERNAMBUCOIPV</v>
      </c>
      <c r="B270" s="12" t="str">
        <f t="shared" si="10"/>
        <v>Outubro</v>
      </c>
      <c r="C270" s="9">
        <v>87</v>
      </c>
      <c r="D270" s="8" t="s">
        <v>1254</v>
      </c>
      <c r="E270" s="8" t="s">
        <v>1723</v>
      </c>
      <c r="F270" s="8" t="s">
        <v>1744</v>
      </c>
      <c r="G270" s="17">
        <v>46315</v>
      </c>
      <c r="H270" s="8" t="s">
        <v>1144</v>
      </c>
      <c r="I270" s="9">
        <v>9</v>
      </c>
      <c r="J270" s="10">
        <v>198.61</v>
      </c>
      <c r="K270" s="10">
        <v>5696.05</v>
      </c>
      <c r="L270" s="8"/>
      <c r="M270" s="7"/>
    </row>
    <row r="271" spans="1:13" x14ac:dyDescent="0.25">
      <c r="A271" s="12" t="str">
        <f t="shared" si="9"/>
        <v>IFL1172026SECRETARIA DE ADMINISTRAÇÃO DO GOVERNO DO ESTADO DE PERNAMBUCOIPV</v>
      </c>
      <c r="B271" s="12" t="str">
        <f t="shared" si="10"/>
        <v>Outubro</v>
      </c>
      <c r="C271" s="9">
        <v>87</v>
      </c>
      <c r="D271" s="8" t="s">
        <v>1255</v>
      </c>
      <c r="E271" s="8" t="s">
        <v>1723</v>
      </c>
      <c r="F271" s="8" t="s">
        <v>1744</v>
      </c>
      <c r="G271" s="17">
        <v>46315</v>
      </c>
      <c r="H271" s="8" t="s">
        <v>1144</v>
      </c>
      <c r="I271" s="9">
        <v>9</v>
      </c>
      <c r="J271" s="10">
        <v>198.61</v>
      </c>
      <c r="K271" s="10">
        <v>5894.66</v>
      </c>
      <c r="L271" s="8"/>
      <c r="M271" s="7"/>
    </row>
    <row r="272" spans="1:13" x14ac:dyDescent="0.25">
      <c r="A272" s="12" t="str">
        <f t="shared" si="9"/>
        <v>IFL1182026SECRETARIA DE ADMINISTRAÇÃO DO GOVERNO DO ESTADO DE PERNAMBUCOIPV</v>
      </c>
      <c r="B272" s="12" t="str">
        <f t="shared" si="10"/>
        <v>Outubro</v>
      </c>
      <c r="C272" s="9">
        <v>87</v>
      </c>
      <c r="D272" s="8" t="s">
        <v>1256</v>
      </c>
      <c r="E272" s="8" t="s">
        <v>1723</v>
      </c>
      <c r="F272" s="8" t="s">
        <v>1744</v>
      </c>
      <c r="G272" s="17">
        <v>46315</v>
      </c>
      <c r="H272" s="8" t="s">
        <v>1144</v>
      </c>
      <c r="I272" s="9">
        <v>9</v>
      </c>
      <c r="J272" s="10">
        <v>198.61</v>
      </c>
      <c r="K272" s="10">
        <v>6093.27</v>
      </c>
      <c r="L272" s="8"/>
      <c r="M272" s="7"/>
    </row>
    <row r="273" spans="1:13" x14ac:dyDescent="0.25">
      <c r="A273" s="12" t="str">
        <f t="shared" si="9"/>
        <v>INSS09/26MGMINISTERIO DA FAZENDAIM</v>
      </c>
      <c r="B273" s="12" t="str">
        <f t="shared" si="10"/>
        <v>Outubro</v>
      </c>
      <c r="C273" s="9">
        <v>87</v>
      </c>
      <c r="D273" s="8" t="s">
        <v>1250</v>
      </c>
      <c r="E273" s="8" t="s">
        <v>664</v>
      </c>
      <c r="F273" s="8" t="s">
        <v>1503</v>
      </c>
      <c r="G273" s="17">
        <v>46315</v>
      </c>
      <c r="H273" s="8" t="s">
        <v>1142</v>
      </c>
      <c r="I273" s="9">
        <v>1</v>
      </c>
      <c r="J273" s="10">
        <v>127801.09</v>
      </c>
      <c r="K273" s="10">
        <v>133894.35999999999</v>
      </c>
      <c r="L273" s="8"/>
      <c r="M273" s="7"/>
    </row>
    <row r="274" spans="1:13" x14ac:dyDescent="0.25">
      <c r="A274" s="12" t="str">
        <f t="shared" si="9"/>
        <v>IRR222MINISTERIO DA FAZENDAFOL</v>
      </c>
      <c r="B274" s="12" t="str">
        <f t="shared" si="10"/>
        <v>Outubro</v>
      </c>
      <c r="C274" s="9">
        <v>87</v>
      </c>
      <c r="D274" s="8" t="s">
        <v>1251</v>
      </c>
      <c r="E274" s="8" t="s">
        <v>1369</v>
      </c>
      <c r="F274" s="8" t="s">
        <v>1503</v>
      </c>
      <c r="G274" s="17">
        <v>46315</v>
      </c>
      <c r="H274" s="8" t="s">
        <v>1037</v>
      </c>
      <c r="I274" s="9">
        <v>1</v>
      </c>
      <c r="J274" s="10">
        <v>3754.92</v>
      </c>
      <c r="K274" s="10">
        <v>137649.28</v>
      </c>
      <c r="L274" s="8"/>
      <c r="M274" s="7"/>
    </row>
    <row r="275" spans="1:13" x14ac:dyDescent="0.25">
      <c r="A275" s="12" t="str">
        <f t="shared" si="9"/>
        <v>IRR246MINISTERIO DA FAZENDAFOL</v>
      </c>
      <c r="B275" s="12" t="str">
        <f t="shared" si="10"/>
        <v>Outubro</v>
      </c>
      <c r="C275" s="9">
        <v>87</v>
      </c>
      <c r="D275" s="8" t="s">
        <v>1252</v>
      </c>
      <c r="E275" s="8" t="s">
        <v>1369</v>
      </c>
      <c r="F275" s="8" t="s">
        <v>1503</v>
      </c>
      <c r="G275" s="17">
        <v>46315</v>
      </c>
      <c r="H275" s="8" t="s">
        <v>1037</v>
      </c>
      <c r="I275" s="9">
        <v>1</v>
      </c>
      <c r="J275" s="10">
        <v>769.74</v>
      </c>
      <c r="K275" s="10">
        <v>138419.01999999999</v>
      </c>
      <c r="L275" s="8"/>
      <c r="M275" s="7"/>
    </row>
    <row r="276" spans="1:13" x14ac:dyDescent="0.25">
      <c r="A276" s="12" t="str">
        <f t="shared" si="9"/>
        <v>IVA1442026SECRETARIA DE ADMINISTRAÇÃO DO GOVERNO DO ESTADO DE PERNAMBUCOIPV</v>
      </c>
      <c r="B276" s="12" t="str">
        <f t="shared" si="10"/>
        <v>Outubro</v>
      </c>
      <c r="C276" s="9">
        <v>87</v>
      </c>
      <c r="D276" s="8" t="s">
        <v>1257</v>
      </c>
      <c r="E276" s="8" t="s">
        <v>1723</v>
      </c>
      <c r="F276" s="8" t="s">
        <v>1744</v>
      </c>
      <c r="G276" s="17">
        <v>46315</v>
      </c>
      <c r="H276" s="8" t="s">
        <v>1144</v>
      </c>
      <c r="I276" s="9">
        <v>9</v>
      </c>
      <c r="J276" s="10">
        <v>213.97</v>
      </c>
      <c r="K276" s="10">
        <v>138632.99</v>
      </c>
      <c r="L276" s="8"/>
      <c r="M276" s="7"/>
    </row>
    <row r="277" spans="1:13" x14ac:dyDescent="0.25">
      <c r="A277" s="12" t="str">
        <f t="shared" si="9"/>
        <v>172PAULA CHRISTINA PINTO GOULARTNSE</v>
      </c>
      <c r="B277" s="12" t="str">
        <f t="shared" si="10"/>
        <v>Outubro</v>
      </c>
      <c r="C277" s="9">
        <v>87</v>
      </c>
      <c r="D277" s="8" t="s">
        <v>746</v>
      </c>
      <c r="E277" s="8" t="s">
        <v>1354</v>
      </c>
      <c r="F277" s="8" t="s">
        <v>150</v>
      </c>
      <c r="G277" s="17">
        <v>46316</v>
      </c>
      <c r="H277" s="8" t="s">
        <v>665</v>
      </c>
      <c r="I277" s="9">
        <v>1</v>
      </c>
      <c r="J277" s="10">
        <v>7000</v>
      </c>
      <c r="K277" s="10">
        <v>7000</v>
      </c>
      <c r="L277" s="8"/>
      <c r="M277" s="7"/>
    </row>
    <row r="278" spans="1:13" x14ac:dyDescent="0.25">
      <c r="A278" s="12" t="str">
        <f t="shared" si="9"/>
        <v>3539909GOODYEAR DO BRASIL PROD DE BORRACHA LTNFE</v>
      </c>
      <c r="B278" s="12" t="str">
        <f t="shared" si="10"/>
        <v>Outubro</v>
      </c>
      <c r="C278" s="9">
        <v>87</v>
      </c>
      <c r="D278" s="8" t="s">
        <v>511</v>
      </c>
      <c r="E278" s="8" t="s">
        <v>664</v>
      </c>
      <c r="F278" s="8" t="s">
        <v>75</v>
      </c>
      <c r="G278" s="17">
        <v>46316</v>
      </c>
      <c r="H278" s="8" t="s">
        <v>380</v>
      </c>
      <c r="I278" s="9">
        <v>3</v>
      </c>
      <c r="J278" s="10">
        <v>2668.92</v>
      </c>
      <c r="K278" s="10">
        <v>9668.92</v>
      </c>
      <c r="L278" s="8"/>
      <c r="M278" s="7"/>
    </row>
    <row r="279" spans="1:13" x14ac:dyDescent="0.25">
      <c r="A279" s="12" t="str">
        <f t="shared" si="9"/>
        <v>3539917GOODYEAR DO BRASIL PROD DE BORRACHA LTNFE</v>
      </c>
      <c r="B279" s="12" t="str">
        <f t="shared" si="10"/>
        <v>Outubro</v>
      </c>
      <c r="C279" s="9">
        <v>87</v>
      </c>
      <c r="D279" s="8" t="s">
        <v>513</v>
      </c>
      <c r="E279" s="8" t="s">
        <v>664</v>
      </c>
      <c r="F279" s="8" t="s">
        <v>75</v>
      </c>
      <c r="G279" s="17">
        <v>46316</v>
      </c>
      <c r="H279" s="8" t="s">
        <v>380</v>
      </c>
      <c r="I279" s="9">
        <v>3</v>
      </c>
      <c r="J279" s="10">
        <v>2132.04</v>
      </c>
      <c r="K279" s="10">
        <v>11800.96</v>
      </c>
      <c r="L279" s="8"/>
      <c r="M279" s="7"/>
    </row>
    <row r="280" spans="1:13" x14ac:dyDescent="0.25">
      <c r="A280" s="12" t="str">
        <f t="shared" si="9"/>
        <v>36647.409.392 DIRCEU NUNES JUNIORNSE</v>
      </c>
      <c r="B280" s="12" t="str">
        <f t="shared" si="10"/>
        <v>Outubro</v>
      </c>
      <c r="C280" s="9">
        <v>87</v>
      </c>
      <c r="D280" s="8" t="s">
        <v>866</v>
      </c>
      <c r="E280" s="8" t="s">
        <v>1354</v>
      </c>
      <c r="F280" s="8" t="s">
        <v>206</v>
      </c>
      <c r="G280" s="17">
        <v>46316</v>
      </c>
      <c r="H280" s="8" t="s">
        <v>665</v>
      </c>
      <c r="I280" s="9">
        <v>1</v>
      </c>
      <c r="J280" s="10">
        <v>3300</v>
      </c>
      <c r="K280" s="10">
        <v>15100.96</v>
      </c>
      <c r="L280" s="8"/>
      <c r="M280" s="7"/>
    </row>
    <row r="281" spans="1:13" x14ac:dyDescent="0.25">
      <c r="A281" s="12" t="str">
        <f t="shared" si="9"/>
        <v>5005626JOSE ANTONIO SILVACT</v>
      </c>
      <c r="B281" s="12" t="str">
        <f t="shared" si="10"/>
        <v>Outubro</v>
      </c>
      <c r="C281" s="9">
        <v>87</v>
      </c>
      <c r="D281" s="8" t="s">
        <v>1262</v>
      </c>
      <c r="E281" s="8" t="s">
        <v>664</v>
      </c>
      <c r="F281" s="8" t="s">
        <v>99</v>
      </c>
      <c r="G281" s="17">
        <v>46316</v>
      </c>
      <c r="H281" s="8" t="s">
        <v>1035</v>
      </c>
      <c r="I281" s="9">
        <v>1</v>
      </c>
      <c r="J281" s="10">
        <v>350</v>
      </c>
      <c r="K281" s="10">
        <v>15450.96</v>
      </c>
      <c r="L281" s="8"/>
      <c r="M281" s="7"/>
    </row>
    <row r="282" spans="1:13" x14ac:dyDescent="0.25">
      <c r="A282" s="12" t="str">
        <f t="shared" si="9"/>
        <v>5005627CARLOS ANTONIO PINTOCT</v>
      </c>
      <c r="B282" s="12" t="str">
        <f t="shared" si="10"/>
        <v>Outubro</v>
      </c>
      <c r="C282" s="9">
        <v>87</v>
      </c>
      <c r="D282" s="8" t="s">
        <v>1260</v>
      </c>
      <c r="E282" s="8" t="s">
        <v>664</v>
      </c>
      <c r="F282" s="8" t="s">
        <v>36</v>
      </c>
      <c r="G282" s="17">
        <v>46316</v>
      </c>
      <c r="H282" s="8" t="s">
        <v>1035</v>
      </c>
      <c r="I282" s="9">
        <v>1</v>
      </c>
      <c r="J282" s="10">
        <v>350</v>
      </c>
      <c r="K282" s="10">
        <v>15800.96</v>
      </c>
      <c r="L282" s="8"/>
      <c r="M282" s="7"/>
    </row>
    <row r="283" spans="1:13" x14ac:dyDescent="0.25">
      <c r="A283" s="12" t="str">
        <f t="shared" si="9"/>
        <v>5005628EDUARDO GAUDENCIO ROSACT</v>
      </c>
      <c r="B283" s="12" t="str">
        <f t="shared" si="10"/>
        <v>Outubro</v>
      </c>
      <c r="C283" s="9">
        <v>87</v>
      </c>
      <c r="D283" s="8" t="s">
        <v>1261</v>
      </c>
      <c r="E283" s="8" t="s">
        <v>664</v>
      </c>
      <c r="F283" s="8" t="s">
        <v>58</v>
      </c>
      <c r="G283" s="17">
        <v>46316</v>
      </c>
      <c r="H283" s="8" t="s">
        <v>1035</v>
      </c>
      <c r="I283" s="9">
        <v>1</v>
      </c>
      <c r="J283" s="10">
        <v>350</v>
      </c>
      <c r="K283" s="10">
        <v>16150.96</v>
      </c>
      <c r="L283" s="8"/>
      <c r="M283" s="7"/>
    </row>
    <row r="284" spans="1:13" x14ac:dyDescent="0.25">
      <c r="A284" s="12" t="str">
        <f t="shared" si="9"/>
        <v>500562952.081.532 ANTONIO CARLOS DA COSTACT</v>
      </c>
      <c r="B284" s="12" t="str">
        <f t="shared" si="10"/>
        <v>Outubro</v>
      </c>
      <c r="C284" s="9">
        <v>87</v>
      </c>
      <c r="D284" s="8" t="s">
        <v>1258</v>
      </c>
      <c r="E284" s="8" t="s">
        <v>664</v>
      </c>
      <c r="F284" s="8" t="s">
        <v>3218</v>
      </c>
      <c r="G284" s="17">
        <v>46316</v>
      </c>
      <c r="H284" s="8" t="s">
        <v>1035</v>
      </c>
      <c r="I284" s="9">
        <v>1</v>
      </c>
      <c r="J284" s="10">
        <v>350</v>
      </c>
      <c r="K284" s="10">
        <v>16500.96</v>
      </c>
      <c r="L284" s="8"/>
      <c r="M284" s="7"/>
    </row>
    <row r="285" spans="1:13" x14ac:dyDescent="0.25">
      <c r="A285" s="12" t="str">
        <f t="shared" si="9"/>
        <v>5005630MAGNO APARECIDO DE JESUSCT</v>
      </c>
      <c r="B285" s="12" t="str">
        <f t="shared" si="10"/>
        <v>Outubro</v>
      </c>
      <c r="C285" s="9">
        <v>87</v>
      </c>
      <c r="D285" s="8" t="s">
        <v>1263</v>
      </c>
      <c r="E285" s="8" t="s">
        <v>664</v>
      </c>
      <c r="F285" s="8" t="s">
        <v>115</v>
      </c>
      <c r="G285" s="17">
        <v>46316</v>
      </c>
      <c r="H285" s="8" t="s">
        <v>1035</v>
      </c>
      <c r="I285" s="9">
        <v>1</v>
      </c>
      <c r="J285" s="10">
        <v>350</v>
      </c>
      <c r="K285" s="10">
        <v>16850.96</v>
      </c>
      <c r="L285" s="8"/>
      <c r="M285" s="7"/>
    </row>
    <row r="286" spans="1:13" x14ac:dyDescent="0.25">
      <c r="A286" s="12" t="str">
        <f t="shared" si="9"/>
        <v>500563152.395.444. ADRIANO ROBERTOCT</v>
      </c>
      <c r="B286" s="12" t="str">
        <f t="shared" si="10"/>
        <v>Outubro</v>
      </c>
      <c r="C286" s="9">
        <v>87</v>
      </c>
      <c r="D286" s="8" t="s">
        <v>1259</v>
      </c>
      <c r="E286" s="8" t="s">
        <v>664</v>
      </c>
      <c r="F286" s="8" t="s">
        <v>3074</v>
      </c>
      <c r="G286" s="17">
        <v>46316</v>
      </c>
      <c r="H286" s="8" t="s">
        <v>1035</v>
      </c>
      <c r="I286" s="9">
        <v>1</v>
      </c>
      <c r="J286" s="10">
        <v>350</v>
      </c>
      <c r="K286" s="10">
        <v>17200.96</v>
      </c>
      <c r="L286" s="8"/>
      <c r="M286" s="7"/>
    </row>
    <row r="287" spans="1:13" x14ac:dyDescent="0.25">
      <c r="A287" s="12" t="str">
        <f t="shared" si="9"/>
        <v>8710PREVCENTER MANUTENCAO LTDANFE</v>
      </c>
      <c r="B287" s="12" t="str">
        <f t="shared" si="10"/>
        <v>Outubro</v>
      </c>
      <c r="C287" s="9">
        <v>87</v>
      </c>
      <c r="D287" s="8" t="s">
        <v>593</v>
      </c>
      <c r="E287" s="8" t="s">
        <v>664</v>
      </c>
      <c r="F287" s="8" t="s">
        <v>159</v>
      </c>
      <c r="G287" s="17">
        <v>46316</v>
      </c>
      <c r="H287" s="8" t="s">
        <v>380</v>
      </c>
      <c r="I287" s="9">
        <v>1</v>
      </c>
      <c r="J287" s="10">
        <v>820</v>
      </c>
      <c r="K287" s="10">
        <v>18020.96</v>
      </c>
      <c r="L287" s="8"/>
      <c r="M287" s="7"/>
    </row>
    <row r="288" spans="1:13" x14ac:dyDescent="0.25">
      <c r="A288" s="12" t="str">
        <f t="shared" si="9"/>
        <v>101MINAS MAQUINAS SA | JUIZ DE FORANSE</v>
      </c>
      <c r="B288" s="12" t="str">
        <f t="shared" si="10"/>
        <v>Outubro</v>
      </c>
      <c r="C288" s="9">
        <v>87</v>
      </c>
      <c r="D288" s="8" t="s">
        <v>669</v>
      </c>
      <c r="E288" s="8" t="s">
        <v>1354</v>
      </c>
      <c r="F288" s="8" t="s">
        <v>132</v>
      </c>
      <c r="G288" s="17">
        <v>46317</v>
      </c>
      <c r="H288" s="8" t="s">
        <v>665</v>
      </c>
      <c r="I288" s="9">
        <v>1</v>
      </c>
      <c r="J288" s="10">
        <v>624</v>
      </c>
      <c r="K288" s="10">
        <v>624</v>
      </c>
      <c r="L288" s="8"/>
      <c r="M288" s="7"/>
    </row>
    <row r="289" spans="1:13" x14ac:dyDescent="0.25">
      <c r="A289" s="12" t="str">
        <f t="shared" si="9"/>
        <v>1037473TREVISO BETIM VEICULOS LTDANFE</v>
      </c>
      <c r="B289" s="12" t="str">
        <f t="shared" si="10"/>
        <v>Outubro</v>
      </c>
      <c r="C289" s="9">
        <v>87</v>
      </c>
      <c r="D289" s="8" t="s">
        <v>393</v>
      </c>
      <c r="E289" s="8" t="s">
        <v>653</v>
      </c>
      <c r="F289" s="8" t="s">
        <v>190</v>
      </c>
      <c r="G289" s="17">
        <v>46317</v>
      </c>
      <c r="H289" s="8" t="s">
        <v>380</v>
      </c>
      <c r="I289" s="9">
        <v>1</v>
      </c>
      <c r="J289" s="10">
        <v>3181.38</v>
      </c>
      <c r="K289" s="10">
        <v>3805.38</v>
      </c>
      <c r="L289" s="8"/>
      <c r="M289" s="7"/>
    </row>
    <row r="290" spans="1:13" x14ac:dyDescent="0.25">
      <c r="A290" s="12" t="str">
        <f t="shared" si="9"/>
        <v>19013TREVISO BETIM VEICULOS LTDANSE</v>
      </c>
      <c r="B290" s="12" t="str">
        <f t="shared" si="10"/>
        <v>Outubro</v>
      </c>
      <c r="C290" s="9">
        <v>87</v>
      </c>
      <c r="D290" s="8" t="s">
        <v>762</v>
      </c>
      <c r="E290" s="8" t="s">
        <v>1354</v>
      </c>
      <c r="F290" s="8" t="s">
        <v>190</v>
      </c>
      <c r="G290" s="17">
        <v>46317</v>
      </c>
      <c r="H290" s="8" t="s">
        <v>665</v>
      </c>
      <c r="I290" s="9">
        <v>1</v>
      </c>
      <c r="J290" s="10">
        <v>1293.58</v>
      </c>
      <c r="K290" s="10">
        <v>5098.96</v>
      </c>
      <c r="L290" s="8"/>
      <c r="M290" s="7"/>
    </row>
    <row r="291" spans="1:13" x14ac:dyDescent="0.25">
      <c r="A291" s="12" t="str">
        <f t="shared" si="9"/>
        <v>191825MINAS MAQUINAS SA | JUIZ DE FORANFE</v>
      </c>
      <c r="B291" s="12" t="str">
        <f t="shared" si="10"/>
        <v>Outubro</v>
      </c>
      <c r="C291" s="9">
        <v>87</v>
      </c>
      <c r="D291" s="8" t="s">
        <v>446</v>
      </c>
      <c r="E291" s="8" t="s">
        <v>1400</v>
      </c>
      <c r="F291" s="8" t="s">
        <v>132</v>
      </c>
      <c r="G291" s="17">
        <v>46317</v>
      </c>
      <c r="H291" s="8" t="s">
        <v>380</v>
      </c>
      <c r="I291" s="9">
        <v>1</v>
      </c>
      <c r="J291" s="10">
        <v>672.86</v>
      </c>
      <c r="K291" s="10">
        <v>5771.82</v>
      </c>
      <c r="L291" s="8"/>
      <c r="M291" s="7"/>
    </row>
    <row r="292" spans="1:13" x14ac:dyDescent="0.25">
      <c r="A292" s="12" t="str">
        <f t="shared" si="9"/>
        <v>489LEOCAR SERVICOS AUTOMOTIVOS LTDANSE</v>
      </c>
      <c r="B292" s="12" t="str">
        <f t="shared" si="10"/>
        <v>Outubro</v>
      </c>
      <c r="C292" s="9">
        <v>87</v>
      </c>
      <c r="D292" s="8" t="s">
        <v>900</v>
      </c>
      <c r="E292" s="8" t="s">
        <v>1354</v>
      </c>
      <c r="F292" s="8" t="s">
        <v>109</v>
      </c>
      <c r="G292" s="17">
        <v>46317</v>
      </c>
      <c r="H292" s="8" t="s">
        <v>665</v>
      </c>
      <c r="I292" s="9">
        <v>1</v>
      </c>
      <c r="J292" s="10">
        <v>3081.16</v>
      </c>
      <c r="K292" s="10">
        <v>8852.98</v>
      </c>
      <c r="L292" s="8"/>
      <c r="M292" s="7"/>
    </row>
    <row r="293" spans="1:13" x14ac:dyDescent="0.25">
      <c r="A293" s="12" t="str">
        <f t="shared" si="9"/>
        <v>5005632NELCIDES JOSE VIEIRACT</v>
      </c>
      <c r="B293" s="12" t="str">
        <f t="shared" si="10"/>
        <v>Outubro</v>
      </c>
      <c r="C293" s="9">
        <v>87</v>
      </c>
      <c r="D293" s="8" t="s">
        <v>1268</v>
      </c>
      <c r="E293" s="8" t="s">
        <v>664</v>
      </c>
      <c r="F293" s="8" t="s">
        <v>137</v>
      </c>
      <c r="G293" s="17">
        <v>46317</v>
      </c>
      <c r="H293" s="8" t="s">
        <v>1035</v>
      </c>
      <c r="I293" s="9">
        <v>1</v>
      </c>
      <c r="J293" s="10">
        <v>350</v>
      </c>
      <c r="K293" s="10">
        <v>9202.98</v>
      </c>
      <c r="L293" s="8"/>
      <c r="M293" s="7"/>
    </row>
    <row r="294" spans="1:13" x14ac:dyDescent="0.25">
      <c r="A294" s="12" t="str">
        <f t="shared" si="9"/>
        <v>500563352.081.532 ANTONIO CARLOS DA COSTACT</v>
      </c>
      <c r="B294" s="12" t="str">
        <f t="shared" si="10"/>
        <v>Outubro</v>
      </c>
      <c r="C294" s="9">
        <v>87</v>
      </c>
      <c r="D294" s="8" t="s">
        <v>1264</v>
      </c>
      <c r="E294" s="8" t="s">
        <v>664</v>
      </c>
      <c r="F294" s="8" t="s">
        <v>3218</v>
      </c>
      <c r="G294" s="17">
        <v>46317</v>
      </c>
      <c r="H294" s="8" t="s">
        <v>1035</v>
      </c>
      <c r="I294" s="9">
        <v>1</v>
      </c>
      <c r="J294" s="10">
        <v>350</v>
      </c>
      <c r="K294" s="10">
        <v>9552.98</v>
      </c>
      <c r="L294" s="8"/>
      <c r="M294" s="7"/>
    </row>
    <row r="295" spans="1:13" x14ac:dyDescent="0.25">
      <c r="A295" s="12" t="str">
        <f t="shared" si="9"/>
        <v>5005634CARLOS ANTONIO PINTOCT</v>
      </c>
      <c r="B295" s="12" t="str">
        <f t="shared" si="10"/>
        <v>Outubro</v>
      </c>
      <c r="C295" s="9">
        <v>87</v>
      </c>
      <c r="D295" s="8" t="s">
        <v>1265</v>
      </c>
      <c r="E295" s="8" t="s">
        <v>664</v>
      </c>
      <c r="F295" s="8" t="s">
        <v>36</v>
      </c>
      <c r="G295" s="17">
        <v>46317</v>
      </c>
      <c r="H295" s="8" t="s">
        <v>1035</v>
      </c>
      <c r="I295" s="9">
        <v>1</v>
      </c>
      <c r="J295" s="10">
        <v>350</v>
      </c>
      <c r="K295" s="10">
        <v>9902.98</v>
      </c>
      <c r="L295" s="8"/>
      <c r="M295" s="7"/>
    </row>
    <row r="296" spans="1:13" x14ac:dyDescent="0.25">
      <c r="A296" s="12" t="str">
        <f t="shared" si="9"/>
        <v>5005635ISIS MARIA DE CARVALHO FIORINECT</v>
      </c>
      <c r="B296" s="12" t="str">
        <f t="shared" si="10"/>
        <v>Outubro</v>
      </c>
      <c r="C296" s="9">
        <v>87</v>
      </c>
      <c r="D296" s="8" t="s">
        <v>1267</v>
      </c>
      <c r="E296" s="8" t="s">
        <v>664</v>
      </c>
      <c r="F296" s="8" t="s">
        <v>3220</v>
      </c>
      <c r="G296" s="17">
        <v>46317</v>
      </c>
      <c r="H296" s="8" t="s">
        <v>1035</v>
      </c>
      <c r="I296" s="9">
        <v>1</v>
      </c>
      <c r="J296" s="10">
        <v>385</v>
      </c>
      <c r="K296" s="10">
        <v>10287.98</v>
      </c>
      <c r="L296" s="8"/>
      <c r="M296" s="7"/>
    </row>
    <row r="297" spans="1:13" x14ac:dyDescent="0.25">
      <c r="A297" s="12" t="str">
        <f t="shared" si="9"/>
        <v>5005636PAULO RICARDO SILVACT</v>
      </c>
      <c r="B297" s="12" t="str">
        <f t="shared" si="10"/>
        <v>Outubro</v>
      </c>
      <c r="C297" s="9">
        <v>87</v>
      </c>
      <c r="D297" s="8" t="s">
        <v>1269</v>
      </c>
      <c r="E297" s="8" t="s">
        <v>664</v>
      </c>
      <c r="F297" s="8" t="s">
        <v>153</v>
      </c>
      <c r="G297" s="17">
        <v>46317</v>
      </c>
      <c r="H297" s="8" t="s">
        <v>1035</v>
      </c>
      <c r="I297" s="9">
        <v>1</v>
      </c>
      <c r="J297" s="10">
        <v>350</v>
      </c>
      <c r="K297" s="10">
        <v>10637.98</v>
      </c>
      <c r="L297" s="8"/>
      <c r="M297" s="7"/>
    </row>
    <row r="298" spans="1:13" x14ac:dyDescent="0.25">
      <c r="A298" s="12" t="str">
        <f t="shared" si="9"/>
        <v>5005637CRISTIAN ALVES MOREIRACT</v>
      </c>
      <c r="B298" s="12" t="str">
        <f t="shared" si="10"/>
        <v>Outubro</v>
      </c>
      <c r="C298" s="9">
        <v>87</v>
      </c>
      <c r="D298" s="8" t="s">
        <v>1266</v>
      </c>
      <c r="E298" s="8" t="s">
        <v>664</v>
      </c>
      <c r="F298" s="8" t="s">
        <v>46</v>
      </c>
      <c r="G298" s="17">
        <v>46317</v>
      </c>
      <c r="H298" s="8" t="s">
        <v>1035</v>
      </c>
      <c r="I298" s="9">
        <v>1</v>
      </c>
      <c r="J298" s="10">
        <v>385</v>
      </c>
      <c r="K298" s="10">
        <v>11022.98</v>
      </c>
      <c r="L298" s="8"/>
      <c r="M298" s="7"/>
    </row>
    <row r="299" spans="1:13" x14ac:dyDescent="0.25">
      <c r="A299" s="12" t="str">
        <f t="shared" si="9"/>
        <v>7724RECAPAGEM RECATEC LTDA.NSE</v>
      </c>
      <c r="B299" s="12" t="str">
        <f t="shared" si="10"/>
        <v>Outubro</v>
      </c>
      <c r="C299" s="9">
        <v>87</v>
      </c>
      <c r="D299" s="8" t="s">
        <v>953</v>
      </c>
      <c r="E299" s="8" t="s">
        <v>1354</v>
      </c>
      <c r="F299" s="8" t="s">
        <v>166</v>
      </c>
      <c r="G299" s="17">
        <v>46317</v>
      </c>
      <c r="H299" s="8" t="s">
        <v>665</v>
      </c>
      <c r="I299" s="9">
        <v>3</v>
      </c>
      <c r="J299" s="10">
        <v>2364.66</v>
      </c>
      <c r="K299" s="10">
        <v>13387.64</v>
      </c>
      <c r="L299" s="8"/>
      <c r="M299" s="7"/>
    </row>
    <row r="300" spans="1:13" x14ac:dyDescent="0.25">
      <c r="A300" s="12" t="str">
        <f t="shared" si="9"/>
        <v>19237BATERLAY LTDANFE</v>
      </c>
      <c r="B300" s="12" t="str">
        <f t="shared" si="10"/>
        <v>Outubro</v>
      </c>
      <c r="C300" s="9">
        <v>87</v>
      </c>
      <c r="D300" s="8" t="s">
        <v>447</v>
      </c>
      <c r="E300" s="8" t="s">
        <v>664</v>
      </c>
      <c r="F300" s="8" t="s">
        <v>25</v>
      </c>
      <c r="G300" s="17">
        <v>46318</v>
      </c>
      <c r="H300" s="8" t="s">
        <v>380</v>
      </c>
      <c r="I300" s="9">
        <v>1</v>
      </c>
      <c r="J300" s="10">
        <v>618</v>
      </c>
      <c r="K300" s="10">
        <v>618</v>
      </c>
      <c r="L300" s="8"/>
      <c r="M300" s="7"/>
    </row>
    <row r="301" spans="1:13" x14ac:dyDescent="0.25">
      <c r="A301" s="12" t="str">
        <f t="shared" si="9"/>
        <v>3541003GOODYEAR DO BRASIL PROD DE BORRACHA LTNFE</v>
      </c>
      <c r="B301" s="12" t="str">
        <f t="shared" si="10"/>
        <v>Outubro</v>
      </c>
      <c r="C301" s="9">
        <v>87</v>
      </c>
      <c r="D301" s="8" t="s">
        <v>514</v>
      </c>
      <c r="E301" s="8" t="s">
        <v>664</v>
      </c>
      <c r="F301" s="8" t="s">
        <v>75</v>
      </c>
      <c r="G301" s="17">
        <v>46318</v>
      </c>
      <c r="H301" s="8" t="s">
        <v>380</v>
      </c>
      <c r="I301" s="9">
        <v>3</v>
      </c>
      <c r="J301" s="10">
        <v>420.19</v>
      </c>
      <c r="K301" s="10">
        <v>1038.19</v>
      </c>
      <c r="L301" s="8"/>
      <c r="M301" s="7"/>
    </row>
    <row r="302" spans="1:13" x14ac:dyDescent="0.25">
      <c r="A302" s="12" t="str">
        <f t="shared" si="9"/>
        <v>5005659NELCIDES JOSE VIEIRACT</v>
      </c>
      <c r="B302" s="12" t="str">
        <f t="shared" si="10"/>
        <v>Outubro</v>
      </c>
      <c r="C302" s="9">
        <v>87</v>
      </c>
      <c r="D302" s="8" t="s">
        <v>1276</v>
      </c>
      <c r="E302" s="8" t="s">
        <v>664</v>
      </c>
      <c r="F302" s="8" t="s">
        <v>137</v>
      </c>
      <c r="G302" s="17">
        <v>46318</v>
      </c>
      <c r="H302" s="8" t="s">
        <v>1035</v>
      </c>
      <c r="I302" s="9">
        <v>1</v>
      </c>
      <c r="J302" s="10">
        <v>350</v>
      </c>
      <c r="K302" s="10">
        <v>1388.19</v>
      </c>
      <c r="L302" s="8"/>
      <c r="M302" s="7"/>
    </row>
    <row r="303" spans="1:13" x14ac:dyDescent="0.25">
      <c r="A303" s="12" t="str">
        <f t="shared" si="9"/>
        <v>500566052.081.532 ANTONIO CARLOS DA COSTACT</v>
      </c>
      <c r="B303" s="12" t="str">
        <f t="shared" si="10"/>
        <v>Outubro</v>
      </c>
      <c r="C303" s="9">
        <v>87</v>
      </c>
      <c r="D303" s="8" t="s">
        <v>1270</v>
      </c>
      <c r="E303" s="8" t="s">
        <v>664</v>
      </c>
      <c r="F303" s="8" t="s">
        <v>3218</v>
      </c>
      <c r="G303" s="17">
        <v>46318</v>
      </c>
      <c r="H303" s="8" t="s">
        <v>1035</v>
      </c>
      <c r="I303" s="9">
        <v>1</v>
      </c>
      <c r="J303" s="10">
        <v>350</v>
      </c>
      <c r="K303" s="10">
        <v>1738.19</v>
      </c>
      <c r="L303" s="8"/>
      <c r="M303" s="7"/>
    </row>
    <row r="304" spans="1:13" x14ac:dyDescent="0.25">
      <c r="A304" s="12" t="str">
        <f t="shared" si="9"/>
        <v>5005661EDUARDO GAUDENCIO ROSACT</v>
      </c>
      <c r="B304" s="12" t="str">
        <f t="shared" si="10"/>
        <v>Outubro</v>
      </c>
      <c r="C304" s="9">
        <v>87</v>
      </c>
      <c r="D304" s="8" t="s">
        <v>1273</v>
      </c>
      <c r="E304" s="8" t="s">
        <v>664</v>
      </c>
      <c r="F304" s="8" t="s">
        <v>58</v>
      </c>
      <c r="G304" s="17">
        <v>46318</v>
      </c>
      <c r="H304" s="8" t="s">
        <v>1035</v>
      </c>
      <c r="I304" s="9">
        <v>1</v>
      </c>
      <c r="J304" s="10">
        <v>350</v>
      </c>
      <c r="K304" s="10">
        <v>2088.19</v>
      </c>
      <c r="L304" s="8"/>
      <c r="M304" s="7"/>
    </row>
    <row r="305" spans="1:13" x14ac:dyDescent="0.25">
      <c r="A305" s="12" t="str">
        <f t="shared" si="9"/>
        <v>5005662CARLOS ANTONIO PINTOCT</v>
      </c>
      <c r="B305" s="12" t="str">
        <f t="shared" si="10"/>
        <v>Outubro</v>
      </c>
      <c r="C305" s="9">
        <v>87</v>
      </c>
      <c r="D305" s="8" t="s">
        <v>1272</v>
      </c>
      <c r="E305" s="8" t="s">
        <v>664</v>
      </c>
      <c r="F305" s="8" t="s">
        <v>36</v>
      </c>
      <c r="G305" s="17">
        <v>46318</v>
      </c>
      <c r="H305" s="8" t="s">
        <v>1035</v>
      </c>
      <c r="I305" s="9">
        <v>1</v>
      </c>
      <c r="J305" s="10">
        <v>350</v>
      </c>
      <c r="K305" s="10">
        <v>2438.19</v>
      </c>
      <c r="L305" s="8"/>
      <c r="M305" s="7"/>
    </row>
    <row r="306" spans="1:13" x14ac:dyDescent="0.25">
      <c r="A306" s="12" t="str">
        <f t="shared" si="9"/>
        <v>5005663NATANIELLE SILVA DE SOUZA MARQUESCT</v>
      </c>
      <c r="B306" s="12" t="str">
        <f t="shared" si="10"/>
        <v>Outubro</v>
      </c>
      <c r="C306" s="9">
        <v>87</v>
      </c>
      <c r="D306" s="8" t="s">
        <v>1275</v>
      </c>
      <c r="E306" s="8" t="s">
        <v>664</v>
      </c>
      <c r="F306" s="8" t="s">
        <v>135</v>
      </c>
      <c r="G306" s="17">
        <v>46318</v>
      </c>
      <c r="H306" s="8" t="s">
        <v>1035</v>
      </c>
      <c r="I306" s="9">
        <v>1</v>
      </c>
      <c r="J306" s="10">
        <v>350</v>
      </c>
      <c r="K306" s="10">
        <v>2788.19</v>
      </c>
      <c r="L306" s="8"/>
      <c r="M306" s="7"/>
    </row>
    <row r="307" spans="1:13" x14ac:dyDescent="0.25">
      <c r="A307" s="12" t="str">
        <f t="shared" si="9"/>
        <v>5005664JOSE ANTONIO SILVACT</v>
      </c>
      <c r="B307" s="12" t="str">
        <f t="shared" si="10"/>
        <v>Outubro</v>
      </c>
      <c r="C307" s="9">
        <v>87</v>
      </c>
      <c r="D307" s="8" t="s">
        <v>1274</v>
      </c>
      <c r="E307" s="8" t="s">
        <v>664</v>
      </c>
      <c r="F307" s="8" t="s">
        <v>99</v>
      </c>
      <c r="G307" s="17">
        <v>46318</v>
      </c>
      <c r="H307" s="8" t="s">
        <v>1035</v>
      </c>
      <c r="I307" s="9">
        <v>1</v>
      </c>
      <c r="J307" s="10">
        <v>350</v>
      </c>
      <c r="K307" s="10">
        <v>3138.19</v>
      </c>
      <c r="L307" s="8"/>
      <c r="M307" s="7"/>
    </row>
    <row r="308" spans="1:13" x14ac:dyDescent="0.25">
      <c r="A308" s="12" t="str">
        <f t="shared" si="9"/>
        <v>500566560.167.550 MARCELO MARTINS DE OLIVEIRACT</v>
      </c>
      <c r="B308" s="12" t="str">
        <f t="shared" si="10"/>
        <v>Outubro</v>
      </c>
      <c r="C308" s="9">
        <v>87</v>
      </c>
      <c r="D308" s="8" t="s">
        <v>1271</v>
      </c>
      <c r="E308" s="8" t="s">
        <v>664</v>
      </c>
      <c r="F308" s="8" t="s">
        <v>3215</v>
      </c>
      <c r="G308" s="17">
        <v>46318</v>
      </c>
      <c r="H308" s="8" t="s">
        <v>1035</v>
      </c>
      <c r="I308" s="9">
        <v>1</v>
      </c>
      <c r="J308" s="10">
        <v>350</v>
      </c>
      <c r="K308" s="10">
        <v>3488.19</v>
      </c>
      <c r="L308" s="8"/>
      <c r="M308" s="7"/>
    </row>
    <row r="309" spans="1:13" x14ac:dyDescent="0.25">
      <c r="A309" s="12" t="str">
        <f t="shared" si="9"/>
        <v>5005669NELCIDES JOSE VIEIRACT</v>
      </c>
      <c r="B309" s="12" t="str">
        <f t="shared" si="10"/>
        <v>Outubro</v>
      </c>
      <c r="C309" s="9">
        <v>87</v>
      </c>
      <c r="D309" s="8" t="s">
        <v>1282</v>
      </c>
      <c r="E309" s="8" t="s">
        <v>664</v>
      </c>
      <c r="F309" s="8" t="s">
        <v>137</v>
      </c>
      <c r="G309" s="17">
        <v>46319</v>
      </c>
      <c r="H309" s="8" t="s">
        <v>1035</v>
      </c>
      <c r="I309" s="9">
        <v>1</v>
      </c>
      <c r="J309" s="10">
        <v>350</v>
      </c>
      <c r="K309" s="10">
        <v>350</v>
      </c>
      <c r="L309" s="8"/>
      <c r="M309" s="7"/>
    </row>
    <row r="310" spans="1:13" x14ac:dyDescent="0.25">
      <c r="A310" s="12" t="str">
        <f t="shared" si="9"/>
        <v>5005670EDUARDO GAUDENCIO ROSACT</v>
      </c>
      <c r="B310" s="12" t="str">
        <f t="shared" si="10"/>
        <v>Outubro</v>
      </c>
      <c r="C310" s="9">
        <v>87</v>
      </c>
      <c r="D310" s="8" t="s">
        <v>1279</v>
      </c>
      <c r="E310" s="8" t="s">
        <v>664</v>
      </c>
      <c r="F310" s="8" t="s">
        <v>58</v>
      </c>
      <c r="G310" s="17">
        <v>46319</v>
      </c>
      <c r="H310" s="8" t="s">
        <v>1035</v>
      </c>
      <c r="I310" s="9">
        <v>1</v>
      </c>
      <c r="J310" s="10">
        <v>350</v>
      </c>
      <c r="K310" s="10">
        <v>700</v>
      </c>
      <c r="L310" s="8"/>
      <c r="M310" s="7"/>
    </row>
    <row r="311" spans="1:13" x14ac:dyDescent="0.25">
      <c r="A311" s="12" t="str">
        <f t="shared" si="9"/>
        <v>5005671NATANIELLE SILVA DE SOUZA MARQUESCT</v>
      </c>
      <c r="B311" s="12" t="str">
        <f t="shared" si="10"/>
        <v>Outubro</v>
      </c>
      <c r="C311" s="9">
        <v>87</v>
      </c>
      <c r="D311" s="8" t="s">
        <v>1281</v>
      </c>
      <c r="E311" s="8" t="s">
        <v>664</v>
      </c>
      <c r="F311" s="8" t="s">
        <v>135</v>
      </c>
      <c r="G311" s="17">
        <v>46319</v>
      </c>
      <c r="H311" s="8" t="s">
        <v>1035</v>
      </c>
      <c r="I311" s="9">
        <v>1</v>
      </c>
      <c r="J311" s="10">
        <v>350</v>
      </c>
      <c r="K311" s="10">
        <v>1050</v>
      </c>
      <c r="L311" s="8"/>
      <c r="M311" s="7"/>
    </row>
    <row r="312" spans="1:13" x14ac:dyDescent="0.25">
      <c r="A312" s="12" t="str">
        <f t="shared" si="9"/>
        <v>5005672JOSE ANTONIO SILVACT</v>
      </c>
      <c r="B312" s="12" t="str">
        <f t="shared" si="10"/>
        <v>Outubro</v>
      </c>
      <c r="C312" s="9">
        <v>87</v>
      </c>
      <c r="D312" s="8" t="s">
        <v>1280</v>
      </c>
      <c r="E312" s="8" t="s">
        <v>664</v>
      </c>
      <c r="F312" s="8" t="s">
        <v>99</v>
      </c>
      <c r="G312" s="17">
        <v>46319</v>
      </c>
      <c r="H312" s="8" t="s">
        <v>1035</v>
      </c>
      <c r="I312" s="9">
        <v>1</v>
      </c>
      <c r="J312" s="10">
        <v>350</v>
      </c>
      <c r="K312" s="10">
        <v>1400</v>
      </c>
      <c r="L312" s="8"/>
      <c r="M312" s="7"/>
    </row>
    <row r="313" spans="1:13" x14ac:dyDescent="0.25">
      <c r="A313" s="12" t="str">
        <f t="shared" si="9"/>
        <v>5005673CARLOS ANTONIO PINTOCT</v>
      </c>
      <c r="B313" s="12" t="str">
        <f t="shared" si="10"/>
        <v>Outubro</v>
      </c>
      <c r="C313" s="9">
        <v>87</v>
      </c>
      <c r="D313" s="8" t="s">
        <v>1278</v>
      </c>
      <c r="E313" s="8" t="s">
        <v>664</v>
      </c>
      <c r="F313" s="8" t="s">
        <v>36</v>
      </c>
      <c r="G313" s="17">
        <v>46319</v>
      </c>
      <c r="H313" s="8" t="s">
        <v>1035</v>
      </c>
      <c r="I313" s="9">
        <v>1</v>
      </c>
      <c r="J313" s="10">
        <v>350</v>
      </c>
      <c r="K313" s="10">
        <v>1750</v>
      </c>
      <c r="L313" s="8"/>
      <c r="M313" s="7"/>
    </row>
    <row r="314" spans="1:13" x14ac:dyDescent="0.25">
      <c r="A314" s="12" t="str">
        <f t="shared" si="9"/>
        <v>500567466.226.661 JOSE MARCIO DA SILVACT</v>
      </c>
      <c r="B314" s="12" t="str">
        <f t="shared" si="10"/>
        <v>Outubro</v>
      </c>
      <c r="C314" s="9">
        <v>87</v>
      </c>
      <c r="D314" s="8" t="s">
        <v>1277</v>
      </c>
      <c r="E314" s="8" t="s">
        <v>664</v>
      </c>
      <c r="F314" s="8" t="s">
        <v>3227</v>
      </c>
      <c r="G314" s="17">
        <v>46319</v>
      </c>
      <c r="H314" s="8" t="s">
        <v>1035</v>
      </c>
      <c r="I314" s="9">
        <v>1</v>
      </c>
      <c r="J314" s="10">
        <v>350</v>
      </c>
      <c r="K314" s="10">
        <v>2100</v>
      </c>
      <c r="L314" s="8"/>
      <c r="M314" s="7"/>
    </row>
    <row r="315" spans="1:13" x14ac:dyDescent="0.25">
      <c r="A315" s="12" t="str">
        <f t="shared" si="9"/>
        <v>1897MINAS MAQUINAS SA | NOVA LIMANSE</v>
      </c>
      <c r="B315" s="12" t="str">
        <f t="shared" si="10"/>
        <v>Outubro</v>
      </c>
      <c r="C315" s="9">
        <v>87</v>
      </c>
      <c r="D315" s="8" t="s">
        <v>759</v>
      </c>
      <c r="E315" s="8" t="s">
        <v>1354</v>
      </c>
      <c r="F315" s="8" t="s">
        <v>133</v>
      </c>
      <c r="G315" s="17">
        <v>46320</v>
      </c>
      <c r="H315" s="8" t="s">
        <v>665</v>
      </c>
      <c r="I315" s="9">
        <v>3</v>
      </c>
      <c r="J315" s="10">
        <v>377.66</v>
      </c>
      <c r="K315" s="10">
        <v>377.66</v>
      </c>
      <c r="L315" s="8"/>
      <c r="M315" s="7"/>
    </row>
    <row r="316" spans="1:13" x14ac:dyDescent="0.25">
      <c r="A316" s="12" t="str">
        <f t="shared" si="9"/>
        <v>1898MINAS MAQUINAS SA | NOVA LIMANSE</v>
      </c>
      <c r="B316" s="12" t="str">
        <f t="shared" si="10"/>
        <v>Outubro</v>
      </c>
      <c r="C316" s="9">
        <v>87</v>
      </c>
      <c r="D316" s="8" t="s">
        <v>760</v>
      </c>
      <c r="E316" s="8" t="s">
        <v>1354</v>
      </c>
      <c r="F316" s="8" t="s">
        <v>133</v>
      </c>
      <c r="G316" s="17">
        <v>46320</v>
      </c>
      <c r="H316" s="8" t="s">
        <v>665</v>
      </c>
      <c r="I316" s="9">
        <v>3</v>
      </c>
      <c r="J316" s="10">
        <v>770.49</v>
      </c>
      <c r="K316" s="10">
        <v>1148.1500000000001</v>
      </c>
      <c r="L316" s="8"/>
      <c r="M316" s="7"/>
    </row>
    <row r="317" spans="1:13" x14ac:dyDescent="0.25">
      <c r="A317" s="12" t="str">
        <f t="shared" si="9"/>
        <v>40162MINAS MAQUINAS SA | NOVA LIMANFE</v>
      </c>
      <c r="B317" s="12" t="str">
        <f t="shared" si="10"/>
        <v>Outubro</v>
      </c>
      <c r="C317" s="9">
        <v>87</v>
      </c>
      <c r="D317" s="8" t="s">
        <v>538</v>
      </c>
      <c r="E317" s="8" t="s">
        <v>1400</v>
      </c>
      <c r="F317" s="8" t="s">
        <v>133</v>
      </c>
      <c r="G317" s="17">
        <v>46320</v>
      </c>
      <c r="H317" s="8" t="s">
        <v>380</v>
      </c>
      <c r="I317" s="9">
        <v>3</v>
      </c>
      <c r="J317" s="10">
        <v>2330.71</v>
      </c>
      <c r="K317" s="10">
        <v>3478.86</v>
      </c>
      <c r="L317" s="8"/>
      <c r="M317" s="7"/>
    </row>
    <row r="318" spans="1:13" x14ac:dyDescent="0.25">
      <c r="A318" s="12" t="str">
        <f t="shared" si="9"/>
        <v>40163MINAS MAQUINAS SA | NOVA LIMANFE</v>
      </c>
      <c r="B318" s="12" t="str">
        <f t="shared" si="10"/>
        <v>Outubro</v>
      </c>
      <c r="C318" s="9">
        <v>87</v>
      </c>
      <c r="D318" s="8" t="s">
        <v>539</v>
      </c>
      <c r="E318" s="8" t="s">
        <v>1400</v>
      </c>
      <c r="F318" s="8" t="s">
        <v>133</v>
      </c>
      <c r="G318" s="17">
        <v>46320</v>
      </c>
      <c r="H318" s="8" t="s">
        <v>380</v>
      </c>
      <c r="I318" s="9">
        <v>3</v>
      </c>
      <c r="J318" s="10">
        <v>2506.7800000000002</v>
      </c>
      <c r="K318" s="10">
        <v>5985.64</v>
      </c>
      <c r="L318" s="8"/>
      <c r="M318" s="7"/>
    </row>
    <row r="319" spans="1:13" x14ac:dyDescent="0.25">
      <c r="A319" s="12" t="str">
        <f t="shared" si="9"/>
        <v>5005675NELCIDES JOSE VIEIRACT</v>
      </c>
      <c r="B319" s="12" t="str">
        <f t="shared" si="10"/>
        <v>Outubro</v>
      </c>
      <c r="C319" s="9">
        <v>87</v>
      </c>
      <c r="D319" s="8" t="s">
        <v>1285</v>
      </c>
      <c r="E319" s="8" t="s">
        <v>664</v>
      </c>
      <c r="F319" s="8" t="s">
        <v>137</v>
      </c>
      <c r="G319" s="17">
        <v>46320</v>
      </c>
      <c r="H319" s="8" t="s">
        <v>1035</v>
      </c>
      <c r="I319" s="9">
        <v>1</v>
      </c>
      <c r="J319" s="10">
        <v>350</v>
      </c>
      <c r="K319" s="10">
        <v>6335.64</v>
      </c>
      <c r="L319" s="8"/>
      <c r="M319" s="7"/>
    </row>
    <row r="320" spans="1:13" x14ac:dyDescent="0.25">
      <c r="A320" s="12" t="str">
        <f t="shared" si="9"/>
        <v>5005676MAGNO APARECIDO DE JESUSCT</v>
      </c>
      <c r="B320" s="12" t="str">
        <f t="shared" si="10"/>
        <v>Outubro</v>
      </c>
      <c r="C320" s="9">
        <v>87</v>
      </c>
      <c r="D320" s="8" t="s">
        <v>1284</v>
      </c>
      <c r="E320" s="8" t="s">
        <v>664</v>
      </c>
      <c r="F320" s="8" t="s">
        <v>115</v>
      </c>
      <c r="G320" s="17">
        <v>46320</v>
      </c>
      <c r="H320" s="8" t="s">
        <v>1035</v>
      </c>
      <c r="I320" s="9">
        <v>1</v>
      </c>
      <c r="J320" s="10">
        <v>350</v>
      </c>
      <c r="K320" s="10">
        <v>6685.64</v>
      </c>
      <c r="L320" s="8"/>
      <c r="M320" s="7"/>
    </row>
    <row r="321" spans="1:13" x14ac:dyDescent="0.25">
      <c r="A321" s="12" t="str">
        <f t="shared" si="9"/>
        <v>500567760.167.550 MARCELO MARTINS DE OLIVEIRACT</v>
      </c>
      <c r="B321" s="12" t="str">
        <f t="shared" si="10"/>
        <v>Outubro</v>
      </c>
      <c r="C321" s="9">
        <v>87</v>
      </c>
      <c r="D321" s="8" t="s">
        <v>1283</v>
      </c>
      <c r="E321" s="8" t="s">
        <v>664</v>
      </c>
      <c r="F321" s="8" t="s">
        <v>3215</v>
      </c>
      <c r="G321" s="17">
        <v>46320</v>
      </c>
      <c r="H321" s="8" t="s">
        <v>1035</v>
      </c>
      <c r="I321" s="9">
        <v>1</v>
      </c>
      <c r="J321" s="10">
        <v>350</v>
      </c>
      <c r="K321" s="10">
        <v>7035.64</v>
      </c>
      <c r="L321" s="8"/>
      <c r="M321" s="7"/>
    </row>
    <row r="322" spans="1:13" x14ac:dyDescent="0.25">
      <c r="A322" s="12" t="str">
        <f t="shared" si="9"/>
        <v>5358AUTO DIESEL PECAS E SERVICOS LTDANFE</v>
      </c>
      <c r="B322" s="12" t="str">
        <f t="shared" si="10"/>
        <v>Outubro</v>
      </c>
      <c r="C322" s="9">
        <v>87</v>
      </c>
      <c r="D322" s="8" t="s">
        <v>558</v>
      </c>
      <c r="E322" s="8" t="s">
        <v>664</v>
      </c>
      <c r="F322" s="8" t="s">
        <v>23</v>
      </c>
      <c r="G322" s="17">
        <v>46320</v>
      </c>
      <c r="H322" s="8" t="s">
        <v>380</v>
      </c>
      <c r="I322" s="9">
        <v>1</v>
      </c>
      <c r="J322" s="10">
        <v>65</v>
      </c>
      <c r="K322" s="10">
        <v>7100.64</v>
      </c>
      <c r="L322" s="8"/>
      <c r="M322" s="7"/>
    </row>
    <row r="323" spans="1:13" x14ac:dyDescent="0.25">
      <c r="A323" s="12" t="str">
        <f t="shared" ref="A323:A386" si="11">D323&amp;F323&amp;H323</f>
        <v>949AUTO DIESEL PECAS E SERVICOS LTDANSE</v>
      </c>
      <c r="B323" s="12" t="str">
        <f t="shared" ref="B323:B386" si="12">PROPER(TEXT($G323,"MMMM"))</f>
        <v>Outubro</v>
      </c>
      <c r="C323" s="9">
        <v>87</v>
      </c>
      <c r="D323" s="8" t="s">
        <v>1015</v>
      </c>
      <c r="E323" s="8" t="s">
        <v>1354</v>
      </c>
      <c r="F323" s="8" t="s">
        <v>23</v>
      </c>
      <c r="G323" s="17">
        <v>46320</v>
      </c>
      <c r="H323" s="8" t="s">
        <v>665</v>
      </c>
      <c r="I323" s="9">
        <v>1</v>
      </c>
      <c r="J323" s="10">
        <v>1060</v>
      </c>
      <c r="K323" s="10">
        <v>8160.64</v>
      </c>
      <c r="L323" s="8"/>
      <c r="M323" s="7"/>
    </row>
    <row r="324" spans="1:13" x14ac:dyDescent="0.25">
      <c r="A324" s="12" t="str">
        <f t="shared" si="11"/>
        <v>5005678NELCIDES JOSE VIEIRACT</v>
      </c>
      <c r="B324" s="12" t="str">
        <f t="shared" si="12"/>
        <v>Outubro</v>
      </c>
      <c r="C324" s="9">
        <v>87</v>
      </c>
      <c r="D324" s="8" t="s">
        <v>1286</v>
      </c>
      <c r="E324" s="8" t="s">
        <v>664</v>
      </c>
      <c r="F324" s="8" t="s">
        <v>137</v>
      </c>
      <c r="G324" s="17">
        <v>46321</v>
      </c>
      <c r="H324" s="8" t="s">
        <v>1035</v>
      </c>
      <c r="I324" s="9">
        <v>1</v>
      </c>
      <c r="J324" s="10">
        <v>350</v>
      </c>
      <c r="K324" s="10">
        <v>350</v>
      </c>
      <c r="L324" s="8"/>
      <c r="M324" s="7"/>
    </row>
    <row r="325" spans="1:13" x14ac:dyDescent="0.25">
      <c r="A325" s="12" t="str">
        <f t="shared" si="11"/>
        <v>IVA1742026SECRETARIA DE ADMINISTRAÇÃO DO GOVERNO DO ESTADO DE PERNAMBUCOIPV</v>
      </c>
      <c r="B325" s="12" t="str">
        <f t="shared" si="12"/>
        <v>Outubro</v>
      </c>
      <c r="C325" s="9">
        <v>87</v>
      </c>
      <c r="D325" s="8" t="s">
        <v>1287</v>
      </c>
      <c r="E325" s="8" t="s">
        <v>1723</v>
      </c>
      <c r="F325" s="8" t="s">
        <v>1744</v>
      </c>
      <c r="G325" s="17">
        <v>46321</v>
      </c>
      <c r="H325" s="8" t="s">
        <v>1144</v>
      </c>
      <c r="I325" s="9">
        <v>9</v>
      </c>
      <c r="J325" s="10">
        <v>256.89</v>
      </c>
      <c r="K325" s="10">
        <v>606.89</v>
      </c>
      <c r="L325" s="8"/>
      <c r="M325" s="7"/>
    </row>
    <row r="326" spans="1:13" x14ac:dyDescent="0.25">
      <c r="A326" s="12" t="str">
        <f t="shared" si="11"/>
        <v>2274MINAS MAQUINAS SA | NOVA LIMANFS</v>
      </c>
      <c r="B326" s="12" t="str">
        <f t="shared" si="12"/>
        <v>Outubro</v>
      </c>
      <c r="C326" s="9">
        <v>87</v>
      </c>
      <c r="D326" s="8" t="s">
        <v>640</v>
      </c>
      <c r="E326" s="8" t="s">
        <v>1354</v>
      </c>
      <c r="F326" s="8" t="s">
        <v>133</v>
      </c>
      <c r="G326" s="17">
        <v>46322</v>
      </c>
      <c r="H326" s="8" t="s">
        <v>614</v>
      </c>
      <c r="I326" s="9">
        <v>2</v>
      </c>
      <c r="J326" s="10">
        <v>987.95</v>
      </c>
      <c r="K326" s="10">
        <v>987.95</v>
      </c>
      <c r="L326" s="8"/>
      <c r="M326" s="7"/>
    </row>
    <row r="327" spans="1:13" x14ac:dyDescent="0.25">
      <c r="A327" s="12" t="str">
        <f t="shared" si="11"/>
        <v>41488MINAS MAQUINAS SA | NOVA LIMANFE</v>
      </c>
      <c r="B327" s="12" t="str">
        <f t="shared" si="12"/>
        <v>Outubro</v>
      </c>
      <c r="C327" s="9">
        <v>87</v>
      </c>
      <c r="D327" s="8" t="s">
        <v>545</v>
      </c>
      <c r="E327" s="8" t="s">
        <v>1400</v>
      </c>
      <c r="F327" s="8" t="s">
        <v>133</v>
      </c>
      <c r="G327" s="17">
        <v>46322</v>
      </c>
      <c r="H327" s="8" t="s">
        <v>380</v>
      </c>
      <c r="I327" s="9">
        <v>2</v>
      </c>
      <c r="J327" s="10">
        <v>1988.33</v>
      </c>
      <c r="K327" s="10">
        <v>2976.28</v>
      </c>
      <c r="L327" s="8"/>
      <c r="M327" s="7"/>
    </row>
    <row r="328" spans="1:13" x14ac:dyDescent="0.25">
      <c r="A328" s="12" t="str">
        <f t="shared" si="11"/>
        <v>19286BATERLAY LTDANFE</v>
      </c>
      <c r="B328" s="12" t="str">
        <f t="shared" si="12"/>
        <v>Outubro</v>
      </c>
      <c r="C328" s="9">
        <v>87</v>
      </c>
      <c r="D328" s="8" t="s">
        <v>448</v>
      </c>
      <c r="E328" s="8" t="s">
        <v>664</v>
      </c>
      <c r="F328" s="8" t="s">
        <v>25</v>
      </c>
      <c r="G328" s="17">
        <v>46323</v>
      </c>
      <c r="H328" s="8" t="s">
        <v>380</v>
      </c>
      <c r="I328" s="9">
        <v>1</v>
      </c>
      <c r="J328" s="10">
        <v>618</v>
      </c>
      <c r="K328" s="10">
        <v>618</v>
      </c>
      <c r="L328" s="8"/>
      <c r="M328" s="7"/>
    </row>
    <row r="329" spans="1:13" x14ac:dyDescent="0.25">
      <c r="A329" s="12" t="str">
        <f t="shared" si="11"/>
        <v>1964MINAS MAQUINAS SA | NOVA LIMANSE</v>
      </c>
      <c r="B329" s="12" t="str">
        <f t="shared" si="12"/>
        <v>Outubro</v>
      </c>
      <c r="C329" s="9">
        <v>87</v>
      </c>
      <c r="D329" s="8" t="s">
        <v>767</v>
      </c>
      <c r="E329" s="8" t="s">
        <v>1354</v>
      </c>
      <c r="F329" s="8" t="s">
        <v>133</v>
      </c>
      <c r="G329" s="17">
        <v>46323</v>
      </c>
      <c r="H329" s="8" t="s">
        <v>665</v>
      </c>
      <c r="I329" s="9">
        <v>3</v>
      </c>
      <c r="J329" s="10">
        <v>1352.59</v>
      </c>
      <c r="K329" s="10">
        <v>1970.59</v>
      </c>
      <c r="L329" s="8"/>
      <c r="M329" s="7"/>
    </row>
    <row r="330" spans="1:13" x14ac:dyDescent="0.25">
      <c r="A330" s="12" t="str">
        <f t="shared" si="11"/>
        <v>256BH ACESSORIOS E PECAS LTDANSE</v>
      </c>
      <c r="B330" s="12" t="str">
        <f t="shared" si="12"/>
        <v>Outubro</v>
      </c>
      <c r="C330" s="9">
        <v>87</v>
      </c>
      <c r="D330" s="8" t="s">
        <v>804</v>
      </c>
      <c r="E330" s="8" t="s">
        <v>1354</v>
      </c>
      <c r="F330" s="8" t="s">
        <v>27</v>
      </c>
      <c r="G330" s="17">
        <v>46323</v>
      </c>
      <c r="H330" s="8" t="s">
        <v>665</v>
      </c>
      <c r="I330" s="9">
        <v>1</v>
      </c>
      <c r="J330" s="10">
        <v>115.99</v>
      </c>
      <c r="K330" s="10">
        <v>2086.58</v>
      </c>
      <c r="L330" s="8"/>
      <c r="M330" s="7"/>
    </row>
    <row r="331" spans="1:13" x14ac:dyDescent="0.25">
      <c r="A331" s="12" t="str">
        <f t="shared" si="11"/>
        <v>40352MINAS MAQUINAS SA | NOVA LIMANFE</v>
      </c>
      <c r="B331" s="12" t="str">
        <f t="shared" si="12"/>
        <v>Outubro</v>
      </c>
      <c r="C331" s="9">
        <v>87</v>
      </c>
      <c r="D331" s="8" t="s">
        <v>542</v>
      </c>
      <c r="E331" s="8" t="s">
        <v>1400</v>
      </c>
      <c r="F331" s="8" t="s">
        <v>133</v>
      </c>
      <c r="G331" s="17">
        <v>46323</v>
      </c>
      <c r="H331" s="8" t="s">
        <v>380</v>
      </c>
      <c r="I331" s="9">
        <v>3</v>
      </c>
      <c r="J331" s="10">
        <v>2035.65</v>
      </c>
      <c r="K331" s="10">
        <v>4122.2299999999996</v>
      </c>
      <c r="L331" s="8"/>
      <c r="M331" s="7"/>
    </row>
    <row r="332" spans="1:13" x14ac:dyDescent="0.25">
      <c r="A332" s="12" t="str">
        <f t="shared" si="11"/>
        <v>5005682NELCIDES JOSE VIEIRACT</v>
      </c>
      <c r="B332" s="12" t="str">
        <f t="shared" si="12"/>
        <v>Outubro</v>
      </c>
      <c r="C332" s="9">
        <v>87</v>
      </c>
      <c r="D332" s="8" t="s">
        <v>1296</v>
      </c>
      <c r="E332" s="8" t="s">
        <v>664</v>
      </c>
      <c r="F332" s="8" t="s">
        <v>137</v>
      </c>
      <c r="G332" s="17">
        <v>46323</v>
      </c>
      <c r="H332" s="8" t="s">
        <v>1035</v>
      </c>
      <c r="I332" s="9">
        <v>1</v>
      </c>
      <c r="J332" s="10">
        <v>350</v>
      </c>
      <c r="K332" s="10">
        <v>4472.2299999999996</v>
      </c>
      <c r="L332" s="8"/>
      <c r="M332" s="7"/>
    </row>
    <row r="333" spans="1:13" x14ac:dyDescent="0.25">
      <c r="A333" s="12" t="str">
        <f t="shared" si="11"/>
        <v>5005683ARTUR SILVA VIANACT</v>
      </c>
      <c r="B333" s="12" t="str">
        <f t="shared" si="12"/>
        <v>Outubro</v>
      </c>
      <c r="C333" s="9">
        <v>87</v>
      </c>
      <c r="D333" s="8" t="s">
        <v>1288</v>
      </c>
      <c r="E333" s="8" t="s">
        <v>664</v>
      </c>
      <c r="F333" s="8" t="s">
        <v>1429</v>
      </c>
      <c r="G333" s="17">
        <v>46323</v>
      </c>
      <c r="H333" s="8" t="s">
        <v>1035</v>
      </c>
      <c r="I333" s="9">
        <v>1</v>
      </c>
      <c r="J333" s="10">
        <v>350</v>
      </c>
      <c r="K333" s="10">
        <v>4822.2299999999996</v>
      </c>
      <c r="L333" s="8"/>
      <c r="M333" s="7"/>
    </row>
    <row r="334" spans="1:13" x14ac:dyDescent="0.25">
      <c r="A334" s="12" t="str">
        <f t="shared" si="11"/>
        <v>5005684EDUARDO GAUDENCIO ROSACT</v>
      </c>
      <c r="B334" s="12" t="str">
        <f t="shared" si="12"/>
        <v>Outubro</v>
      </c>
      <c r="C334" s="9">
        <v>87</v>
      </c>
      <c r="D334" s="8" t="s">
        <v>1292</v>
      </c>
      <c r="E334" s="8" t="s">
        <v>664</v>
      </c>
      <c r="F334" s="8" t="s">
        <v>58</v>
      </c>
      <c r="G334" s="17">
        <v>46323</v>
      </c>
      <c r="H334" s="8" t="s">
        <v>1035</v>
      </c>
      <c r="I334" s="9">
        <v>1</v>
      </c>
      <c r="J334" s="10">
        <v>350</v>
      </c>
      <c r="K334" s="10">
        <v>5172.2299999999996</v>
      </c>
      <c r="L334" s="8"/>
      <c r="M334" s="7"/>
    </row>
    <row r="335" spans="1:13" x14ac:dyDescent="0.25">
      <c r="A335" s="12" t="str">
        <f t="shared" si="11"/>
        <v>5005685JOSE ANTONIO SILVACT</v>
      </c>
      <c r="B335" s="12" t="str">
        <f t="shared" si="12"/>
        <v>Outubro</v>
      </c>
      <c r="C335" s="9">
        <v>87</v>
      </c>
      <c r="D335" s="8" t="s">
        <v>1293</v>
      </c>
      <c r="E335" s="8" t="s">
        <v>664</v>
      </c>
      <c r="F335" s="8" t="s">
        <v>99</v>
      </c>
      <c r="G335" s="17">
        <v>46323</v>
      </c>
      <c r="H335" s="8" t="s">
        <v>1035</v>
      </c>
      <c r="I335" s="9">
        <v>1</v>
      </c>
      <c r="J335" s="10">
        <v>350</v>
      </c>
      <c r="K335" s="10">
        <v>5522.23</v>
      </c>
      <c r="L335" s="8"/>
      <c r="M335" s="7"/>
    </row>
    <row r="336" spans="1:13" x14ac:dyDescent="0.25">
      <c r="A336" s="12" t="str">
        <f t="shared" si="11"/>
        <v>5005686CARLOS ANTONIO PINTOCT</v>
      </c>
      <c r="B336" s="12" t="str">
        <f t="shared" si="12"/>
        <v>Outubro</v>
      </c>
      <c r="C336" s="9">
        <v>87</v>
      </c>
      <c r="D336" s="8" t="s">
        <v>1291</v>
      </c>
      <c r="E336" s="8" t="s">
        <v>664</v>
      </c>
      <c r="F336" s="8" t="s">
        <v>36</v>
      </c>
      <c r="G336" s="17">
        <v>46323</v>
      </c>
      <c r="H336" s="8" t="s">
        <v>1035</v>
      </c>
      <c r="I336" s="9">
        <v>1</v>
      </c>
      <c r="J336" s="10">
        <v>350</v>
      </c>
      <c r="K336" s="10">
        <v>5872.23</v>
      </c>
      <c r="L336" s="8"/>
      <c r="M336" s="7"/>
    </row>
    <row r="337" spans="1:13" x14ac:dyDescent="0.25">
      <c r="A337" s="12" t="str">
        <f t="shared" si="11"/>
        <v>5005687BRENDA LUIZA PEREIRACT</v>
      </c>
      <c r="B337" s="12" t="str">
        <f t="shared" si="12"/>
        <v>Outubro</v>
      </c>
      <c r="C337" s="9">
        <v>87</v>
      </c>
      <c r="D337" s="8" t="s">
        <v>1290</v>
      </c>
      <c r="E337" s="8" t="s">
        <v>664</v>
      </c>
      <c r="F337" s="8" t="s">
        <v>28</v>
      </c>
      <c r="G337" s="17">
        <v>46323</v>
      </c>
      <c r="H337" s="8" t="s">
        <v>1035</v>
      </c>
      <c r="I337" s="9">
        <v>1</v>
      </c>
      <c r="J337" s="10">
        <v>350</v>
      </c>
      <c r="K337" s="10">
        <v>6222.23</v>
      </c>
      <c r="L337" s="8"/>
      <c r="M337" s="7"/>
    </row>
    <row r="338" spans="1:13" x14ac:dyDescent="0.25">
      <c r="A338" s="12" t="str">
        <f t="shared" si="11"/>
        <v>5005689MAGNO APARECIDO DE JESUSCT</v>
      </c>
      <c r="B338" s="12" t="str">
        <f t="shared" si="12"/>
        <v>Outubro</v>
      </c>
      <c r="C338" s="9">
        <v>87</v>
      </c>
      <c r="D338" s="8" t="s">
        <v>1294</v>
      </c>
      <c r="E338" s="8" t="s">
        <v>664</v>
      </c>
      <c r="F338" s="8" t="s">
        <v>115</v>
      </c>
      <c r="G338" s="17">
        <v>46323</v>
      </c>
      <c r="H338" s="8" t="s">
        <v>1035</v>
      </c>
      <c r="I338" s="9">
        <v>1</v>
      </c>
      <c r="J338" s="10">
        <v>350</v>
      </c>
      <c r="K338" s="10">
        <v>6572.23</v>
      </c>
      <c r="L338" s="8"/>
      <c r="M338" s="7"/>
    </row>
    <row r="339" spans="1:13" x14ac:dyDescent="0.25">
      <c r="A339" s="12" t="str">
        <f t="shared" si="11"/>
        <v>5005692NATANIELLE SILVA DE SOUZA MARQUESCT</v>
      </c>
      <c r="B339" s="12" t="str">
        <f t="shared" si="12"/>
        <v>Outubro</v>
      </c>
      <c r="C339" s="9">
        <v>87</v>
      </c>
      <c r="D339" s="8" t="s">
        <v>1295</v>
      </c>
      <c r="E339" s="8" t="s">
        <v>664</v>
      </c>
      <c r="F339" s="8" t="s">
        <v>135</v>
      </c>
      <c r="G339" s="17">
        <v>46323</v>
      </c>
      <c r="H339" s="8" t="s">
        <v>1035</v>
      </c>
      <c r="I339" s="9">
        <v>1</v>
      </c>
      <c r="J339" s="10">
        <v>350</v>
      </c>
      <c r="K339" s="10">
        <v>6922.23</v>
      </c>
      <c r="L339" s="8"/>
      <c r="M339" s="7"/>
    </row>
    <row r="340" spans="1:13" x14ac:dyDescent="0.25">
      <c r="A340" s="12" t="str">
        <f t="shared" si="11"/>
        <v>5005697ARTUR SILVA VIANACT</v>
      </c>
      <c r="B340" s="12" t="str">
        <f t="shared" si="12"/>
        <v>Outubro</v>
      </c>
      <c r="C340" s="9">
        <v>87</v>
      </c>
      <c r="D340" s="8" t="s">
        <v>1289</v>
      </c>
      <c r="E340" s="8" t="s">
        <v>664</v>
      </c>
      <c r="F340" s="8" t="s">
        <v>1429</v>
      </c>
      <c r="G340" s="17">
        <v>46323</v>
      </c>
      <c r="H340" s="8" t="s">
        <v>1035</v>
      </c>
      <c r="I340" s="9">
        <v>1</v>
      </c>
      <c r="J340" s="10">
        <v>350</v>
      </c>
      <c r="K340" s="10">
        <v>7272.23</v>
      </c>
      <c r="L340" s="8"/>
      <c r="M340" s="7"/>
    </row>
    <row r="341" spans="1:13" x14ac:dyDescent="0.25">
      <c r="A341" s="12" t="str">
        <f t="shared" si="11"/>
        <v>790VIA TRUCK COMERCIO E SERVICOS LTDANSE</v>
      </c>
      <c r="B341" s="12" t="str">
        <f t="shared" si="12"/>
        <v>Outubro</v>
      </c>
      <c r="C341" s="9">
        <v>87</v>
      </c>
      <c r="D341" s="8" t="s">
        <v>958</v>
      </c>
      <c r="E341" s="8" t="s">
        <v>1354</v>
      </c>
      <c r="F341" s="8" t="s">
        <v>195</v>
      </c>
      <c r="G341" s="17">
        <v>46323</v>
      </c>
      <c r="H341" s="8" t="s">
        <v>665</v>
      </c>
      <c r="I341" s="9">
        <v>1</v>
      </c>
      <c r="J341" s="10">
        <v>1532.35</v>
      </c>
      <c r="K341" s="10">
        <v>8804.58</v>
      </c>
      <c r="L341" s="8"/>
      <c r="M341" s="7"/>
    </row>
    <row r="342" spans="1:13" x14ac:dyDescent="0.25">
      <c r="A342" s="12" t="str">
        <f t="shared" si="11"/>
        <v>1983MINAS MAQUINAS SA | NOVA LIMANSE</v>
      </c>
      <c r="B342" s="12" t="str">
        <f t="shared" si="12"/>
        <v>Outubro</v>
      </c>
      <c r="C342" s="9">
        <v>87</v>
      </c>
      <c r="D342" s="8" t="s">
        <v>768</v>
      </c>
      <c r="E342" s="8" t="s">
        <v>1354</v>
      </c>
      <c r="F342" s="8" t="s">
        <v>133</v>
      </c>
      <c r="G342" s="17">
        <v>46324</v>
      </c>
      <c r="H342" s="8" t="s">
        <v>665</v>
      </c>
      <c r="I342" s="9">
        <v>3</v>
      </c>
      <c r="J342" s="10">
        <v>1912.95</v>
      </c>
      <c r="K342" s="10">
        <v>1912.95</v>
      </c>
      <c r="L342" s="8"/>
      <c r="M342" s="7"/>
    </row>
    <row r="343" spans="1:13" x14ac:dyDescent="0.25">
      <c r="A343" s="12" t="str">
        <f t="shared" si="11"/>
        <v>38CASA DA SPRINTER LTDANFE</v>
      </c>
      <c r="B343" s="12" t="str">
        <f t="shared" si="12"/>
        <v>Outubro</v>
      </c>
      <c r="C343" s="9">
        <v>87</v>
      </c>
      <c r="D343" s="8" t="s">
        <v>522</v>
      </c>
      <c r="E343" s="8" t="s">
        <v>664</v>
      </c>
      <c r="F343" s="8" t="s">
        <v>205</v>
      </c>
      <c r="G343" s="17">
        <v>46324</v>
      </c>
      <c r="H343" s="8" t="s">
        <v>380</v>
      </c>
      <c r="I343" s="9">
        <v>1</v>
      </c>
      <c r="J343" s="10">
        <v>4840</v>
      </c>
      <c r="K343" s="10">
        <v>6752.95</v>
      </c>
      <c r="L343" s="8"/>
      <c r="M343" s="7"/>
    </row>
    <row r="344" spans="1:13" x14ac:dyDescent="0.25">
      <c r="A344" s="12" t="str">
        <f t="shared" si="11"/>
        <v>40425MINAS MAQUINAS SA | NOVA LIMANFE</v>
      </c>
      <c r="B344" s="12" t="str">
        <f t="shared" si="12"/>
        <v>Outubro</v>
      </c>
      <c r="C344" s="9">
        <v>87</v>
      </c>
      <c r="D344" s="8" t="s">
        <v>543</v>
      </c>
      <c r="E344" s="8" t="s">
        <v>1400</v>
      </c>
      <c r="F344" s="8" t="s">
        <v>133</v>
      </c>
      <c r="G344" s="17">
        <v>46324</v>
      </c>
      <c r="H344" s="8" t="s">
        <v>380</v>
      </c>
      <c r="I344" s="9">
        <v>3</v>
      </c>
      <c r="J344" s="10">
        <v>2063.6999999999998</v>
      </c>
      <c r="K344" s="10">
        <v>8816.65</v>
      </c>
      <c r="L344" s="8"/>
      <c r="M344" s="7"/>
    </row>
    <row r="345" spans="1:13" x14ac:dyDescent="0.25">
      <c r="A345" s="12" t="str">
        <f t="shared" si="11"/>
        <v>5005695NELCIDES JOSE VIEIRACT</v>
      </c>
      <c r="B345" s="12" t="str">
        <f t="shared" si="12"/>
        <v>Outubro</v>
      </c>
      <c r="C345" s="9">
        <v>87</v>
      </c>
      <c r="D345" s="8" t="s">
        <v>1305</v>
      </c>
      <c r="E345" s="8" t="s">
        <v>664</v>
      </c>
      <c r="F345" s="8" t="s">
        <v>137</v>
      </c>
      <c r="G345" s="17">
        <v>46324</v>
      </c>
      <c r="H345" s="8" t="s">
        <v>1035</v>
      </c>
      <c r="I345" s="9">
        <v>1</v>
      </c>
      <c r="J345" s="10">
        <v>350</v>
      </c>
      <c r="K345" s="10">
        <v>9166.65</v>
      </c>
      <c r="L345" s="8"/>
      <c r="M345" s="7"/>
    </row>
    <row r="346" spans="1:13" x14ac:dyDescent="0.25">
      <c r="A346" s="12" t="str">
        <f t="shared" si="11"/>
        <v>500569652.081.532 ANTONIO CARLOS DA COSTACT</v>
      </c>
      <c r="B346" s="12" t="str">
        <f t="shared" si="12"/>
        <v>Outubro</v>
      </c>
      <c r="C346" s="9">
        <v>87</v>
      </c>
      <c r="D346" s="8" t="s">
        <v>1297</v>
      </c>
      <c r="E346" s="8" t="s">
        <v>664</v>
      </c>
      <c r="F346" s="8" t="s">
        <v>3218</v>
      </c>
      <c r="G346" s="17">
        <v>46324</v>
      </c>
      <c r="H346" s="8" t="s">
        <v>1035</v>
      </c>
      <c r="I346" s="9">
        <v>1</v>
      </c>
      <c r="J346" s="10">
        <v>350</v>
      </c>
      <c r="K346" s="10">
        <v>9516.65</v>
      </c>
      <c r="L346" s="8"/>
      <c r="M346" s="7"/>
    </row>
    <row r="347" spans="1:13" x14ac:dyDescent="0.25">
      <c r="A347" s="12" t="str">
        <f t="shared" si="11"/>
        <v>5005698JOSE ANTONIO SILVACT</v>
      </c>
      <c r="B347" s="12" t="str">
        <f t="shared" si="12"/>
        <v>Outubro</v>
      </c>
      <c r="C347" s="9">
        <v>87</v>
      </c>
      <c r="D347" s="8" t="s">
        <v>1302</v>
      </c>
      <c r="E347" s="8" t="s">
        <v>664</v>
      </c>
      <c r="F347" s="8" t="s">
        <v>99</v>
      </c>
      <c r="G347" s="17">
        <v>46324</v>
      </c>
      <c r="H347" s="8" t="s">
        <v>1035</v>
      </c>
      <c r="I347" s="9">
        <v>1</v>
      </c>
      <c r="J347" s="10">
        <v>350</v>
      </c>
      <c r="K347" s="10">
        <v>9866.65</v>
      </c>
      <c r="L347" s="8"/>
      <c r="M347" s="7"/>
    </row>
    <row r="348" spans="1:13" x14ac:dyDescent="0.25">
      <c r="A348" s="12" t="str">
        <f t="shared" si="11"/>
        <v>5005699CARLOS ANTONIO PINTOCT</v>
      </c>
      <c r="B348" s="12" t="str">
        <f t="shared" si="12"/>
        <v>Outubro</v>
      </c>
      <c r="C348" s="9">
        <v>87</v>
      </c>
      <c r="D348" s="8" t="s">
        <v>1298</v>
      </c>
      <c r="E348" s="8" t="s">
        <v>664</v>
      </c>
      <c r="F348" s="8" t="s">
        <v>36</v>
      </c>
      <c r="G348" s="17">
        <v>46324</v>
      </c>
      <c r="H348" s="8" t="s">
        <v>1035</v>
      </c>
      <c r="I348" s="9">
        <v>1</v>
      </c>
      <c r="J348" s="10">
        <v>350</v>
      </c>
      <c r="K348" s="10">
        <v>10216.65</v>
      </c>
      <c r="L348" s="8"/>
      <c r="M348" s="7"/>
    </row>
    <row r="349" spans="1:13" x14ac:dyDescent="0.25">
      <c r="A349" s="12" t="str">
        <f t="shared" si="11"/>
        <v>5005700EDUARDO GAUDENCIO ROSACT</v>
      </c>
      <c r="B349" s="12" t="str">
        <f t="shared" si="12"/>
        <v>Outubro</v>
      </c>
      <c r="C349" s="9">
        <v>87</v>
      </c>
      <c r="D349" s="8" t="s">
        <v>1300</v>
      </c>
      <c r="E349" s="8" t="s">
        <v>664</v>
      </c>
      <c r="F349" s="8" t="s">
        <v>58</v>
      </c>
      <c r="G349" s="17">
        <v>46324</v>
      </c>
      <c r="H349" s="8" t="s">
        <v>1035</v>
      </c>
      <c r="I349" s="9">
        <v>1</v>
      </c>
      <c r="J349" s="10">
        <v>350</v>
      </c>
      <c r="K349" s="10">
        <v>10566.65</v>
      </c>
      <c r="L349" s="8"/>
      <c r="M349" s="7"/>
    </row>
    <row r="350" spans="1:13" x14ac:dyDescent="0.25">
      <c r="A350" s="12" t="str">
        <f t="shared" si="11"/>
        <v>5005701NATANIELLE SILVA DE SOUZA MARQUESCT</v>
      </c>
      <c r="B350" s="12" t="str">
        <f t="shared" si="12"/>
        <v>Outubro</v>
      </c>
      <c r="C350" s="9">
        <v>87</v>
      </c>
      <c r="D350" s="8" t="s">
        <v>1304</v>
      </c>
      <c r="E350" s="8" t="s">
        <v>664</v>
      </c>
      <c r="F350" s="8" t="s">
        <v>135</v>
      </c>
      <c r="G350" s="17">
        <v>46324</v>
      </c>
      <c r="H350" s="8" t="s">
        <v>1035</v>
      </c>
      <c r="I350" s="9">
        <v>1</v>
      </c>
      <c r="J350" s="10">
        <v>350</v>
      </c>
      <c r="K350" s="10">
        <v>10916.65</v>
      </c>
      <c r="L350" s="8"/>
      <c r="M350" s="7"/>
    </row>
    <row r="351" spans="1:13" x14ac:dyDescent="0.25">
      <c r="A351" s="12" t="str">
        <f t="shared" si="11"/>
        <v>5005702DIOGO BONELA TONHACT</v>
      </c>
      <c r="B351" s="12" t="str">
        <f t="shared" si="12"/>
        <v>Outubro</v>
      </c>
      <c r="C351" s="9">
        <v>87</v>
      </c>
      <c r="D351" s="8" t="s">
        <v>1299</v>
      </c>
      <c r="E351" s="8" t="s">
        <v>664</v>
      </c>
      <c r="F351" s="8" t="s">
        <v>52</v>
      </c>
      <c r="G351" s="17">
        <v>46324</v>
      </c>
      <c r="H351" s="8" t="s">
        <v>1035</v>
      </c>
      <c r="I351" s="9">
        <v>1</v>
      </c>
      <c r="J351" s="10">
        <v>385</v>
      </c>
      <c r="K351" s="10">
        <v>11301.65</v>
      </c>
      <c r="L351" s="8"/>
      <c r="M351" s="7"/>
    </row>
    <row r="352" spans="1:13" x14ac:dyDescent="0.25">
      <c r="A352" s="12" t="str">
        <f t="shared" si="11"/>
        <v>5005703ISIS MARIA DE CARVALHO FIORINECT</v>
      </c>
      <c r="B352" s="12" t="str">
        <f t="shared" si="12"/>
        <v>Outubro</v>
      </c>
      <c r="C352" s="9">
        <v>87</v>
      </c>
      <c r="D352" s="8" t="s">
        <v>1301</v>
      </c>
      <c r="E352" s="8" t="s">
        <v>664</v>
      </c>
      <c r="F352" s="8" t="s">
        <v>3220</v>
      </c>
      <c r="G352" s="17">
        <v>46324</v>
      </c>
      <c r="H352" s="8" t="s">
        <v>1035</v>
      </c>
      <c r="I352" s="9">
        <v>1</v>
      </c>
      <c r="J352" s="10">
        <v>385</v>
      </c>
      <c r="K352" s="10">
        <v>11686.65</v>
      </c>
      <c r="L352" s="8"/>
      <c r="M352" s="7"/>
    </row>
    <row r="353" spans="1:13" x14ac:dyDescent="0.25">
      <c r="A353" s="12" t="str">
        <f t="shared" si="11"/>
        <v>5005704RENAN ELTON DIVINOCT</v>
      </c>
      <c r="B353" s="12" t="str">
        <f t="shared" si="12"/>
        <v>Outubro</v>
      </c>
      <c r="C353" s="9">
        <v>87</v>
      </c>
      <c r="D353" s="8" t="s">
        <v>1307</v>
      </c>
      <c r="E353" s="8" t="s">
        <v>664</v>
      </c>
      <c r="F353" s="8" t="s">
        <v>1409</v>
      </c>
      <c r="G353" s="17">
        <v>46324</v>
      </c>
      <c r="H353" s="8" t="s">
        <v>1035</v>
      </c>
      <c r="I353" s="9">
        <v>1</v>
      </c>
      <c r="J353" s="10">
        <v>385</v>
      </c>
      <c r="K353" s="10">
        <v>12071.65</v>
      </c>
      <c r="L353" s="8"/>
      <c r="M353" s="7"/>
    </row>
    <row r="354" spans="1:13" x14ac:dyDescent="0.25">
      <c r="A354" s="12" t="str">
        <f t="shared" si="11"/>
        <v>5005705PAULO RICARDO SILVACT</v>
      </c>
      <c r="B354" s="12" t="str">
        <f t="shared" si="12"/>
        <v>Outubro</v>
      </c>
      <c r="C354" s="9">
        <v>87</v>
      </c>
      <c r="D354" s="8" t="s">
        <v>1306</v>
      </c>
      <c r="E354" s="8" t="s">
        <v>664</v>
      </c>
      <c r="F354" s="8" t="s">
        <v>153</v>
      </c>
      <c r="G354" s="17">
        <v>46324</v>
      </c>
      <c r="H354" s="8" t="s">
        <v>1035</v>
      </c>
      <c r="I354" s="9">
        <v>1</v>
      </c>
      <c r="J354" s="10">
        <v>350</v>
      </c>
      <c r="K354" s="10">
        <v>12421.65</v>
      </c>
      <c r="L354" s="8"/>
      <c r="M354" s="7"/>
    </row>
    <row r="355" spans="1:13" x14ac:dyDescent="0.25">
      <c r="A355" s="12" t="str">
        <f t="shared" si="11"/>
        <v>5005707MARCOS FILIPE DE ALCANTARA PEREIRACT</v>
      </c>
      <c r="B355" s="12" t="str">
        <f t="shared" si="12"/>
        <v>Outubro</v>
      </c>
      <c r="C355" s="9">
        <v>87</v>
      </c>
      <c r="D355" s="8" t="s">
        <v>1303</v>
      </c>
      <c r="E355" s="8" t="s">
        <v>664</v>
      </c>
      <c r="F355" s="8" t="s">
        <v>1385</v>
      </c>
      <c r="G355" s="17">
        <v>46324</v>
      </c>
      <c r="H355" s="8" t="s">
        <v>1035</v>
      </c>
      <c r="I355" s="9">
        <v>1</v>
      </c>
      <c r="J355" s="10">
        <v>385</v>
      </c>
      <c r="K355" s="10">
        <v>12806.65</v>
      </c>
      <c r="L355" s="8"/>
      <c r="M355" s="7"/>
    </row>
    <row r="356" spans="1:13" x14ac:dyDescent="0.25">
      <c r="A356" s="12" t="str">
        <f t="shared" si="11"/>
        <v>541LEOCAR SERVICOS AUTOMOTIVOS LTDANSE</v>
      </c>
      <c r="B356" s="12" t="str">
        <f t="shared" si="12"/>
        <v>Outubro</v>
      </c>
      <c r="C356" s="9">
        <v>87</v>
      </c>
      <c r="D356" s="8" t="s">
        <v>910</v>
      </c>
      <c r="E356" s="8" t="s">
        <v>1354</v>
      </c>
      <c r="F356" s="8" t="s">
        <v>109</v>
      </c>
      <c r="G356" s="17">
        <v>46324</v>
      </c>
      <c r="H356" s="8" t="s">
        <v>665</v>
      </c>
      <c r="I356" s="9">
        <v>1</v>
      </c>
      <c r="J356" s="10">
        <v>1754.43</v>
      </c>
      <c r="K356" s="10">
        <v>14561.08</v>
      </c>
      <c r="L356" s="8"/>
      <c r="M356" s="7"/>
    </row>
    <row r="357" spans="1:13" x14ac:dyDescent="0.25">
      <c r="A357" s="12" t="str">
        <f t="shared" si="11"/>
        <v>7947RECAPAGEM RECATEC LTDA.NSE</v>
      </c>
      <c r="B357" s="12" t="str">
        <f t="shared" si="12"/>
        <v>Outubro</v>
      </c>
      <c r="C357" s="9">
        <v>87</v>
      </c>
      <c r="D357" s="8" t="s">
        <v>960</v>
      </c>
      <c r="E357" s="8" t="s">
        <v>1354</v>
      </c>
      <c r="F357" s="8" t="s">
        <v>166</v>
      </c>
      <c r="G357" s="17">
        <v>46324</v>
      </c>
      <c r="H357" s="8" t="s">
        <v>665</v>
      </c>
      <c r="I357" s="9">
        <v>3</v>
      </c>
      <c r="J357" s="10">
        <v>814</v>
      </c>
      <c r="K357" s="10">
        <v>15375.08</v>
      </c>
      <c r="L357" s="8"/>
      <c r="M357" s="7"/>
    </row>
    <row r="358" spans="1:13" x14ac:dyDescent="0.25">
      <c r="A358" s="12" t="str">
        <f t="shared" si="11"/>
        <v>96CASA DA SPRINTER LTDANSE</v>
      </c>
      <c r="B358" s="12" t="str">
        <f t="shared" si="12"/>
        <v>Outubro</v>
      </c>
      <c r="C358" s="9">
        <v>87</v>
      </c>
      <c r="D358" s="8" t="s">
        <v>1017</v>
      </c>
      <c r="E358" s="8" t="s">
        <v>1354</v>
      </c>
      <c r="F358" s="8" t="s">
        <v>205</v>
      </c>
      <c r="G358" s="17">
        <v>46324</v>
      </c>
      <c r="H358" s="8" t="s">
        <v>665</v>
      </c>
      <c r="I358" s="9">
        <v>1</v>
      </c>
      <c r="J358" s="10">
        <v>790.94</v>
      </c>
      <c r="K358" s="10">
        <v>16166.02</v>
      </c>
      <c r="L358" s="8"/>
      <c r="M358" s="7"/>
    </row>
    <row r="359" spans="1:13" x14ac:dyDescent="0.25">
      <c r="A359" s="12" t="str">
        <f t="shared" si="11"/>
        <v>2645MINAS MAQUINAS SA | NOVA LIMANSE</v>
      </c>
      <c r="B359" s="12" t="str">
        <f t="shared" si="12"/>
        <v>Outubro</v>
      </c>
      <c r="C359" s="9">
        <v>87</v>
      </c>
      <c r="D359" s="8" t="s">
        <v>807</v>
      </c>
      <c r="E359" s="8" t="s">
        <v>1354</v>
      </c>
      <c r="F359" s="8" t="s">
        <v>133</v>
      </c>
      <c r="G359" s="17">
        <v>46325</v>
      </c>
      <c r="H359" s="8" t="s">
        <v>665</v>
      </c>
      <c r="I359" s="9">
        <v>1</v>
      </c>
      <c r="J359" s="10">
        <v>407.91</v>
      </c>
      <c r="K359" s="10">
        <v>407.91</v>
      </c>
      <c r="L359" s="8"/>
      <c r="M359" s="7"/>
    </row>
    <row r="360" spans="1:13" x14ac:dyDescent="0.25">
      <c r="A360" s="12" t="str">
        <f t="shared" si="11"/>
        <v>42634MINAS MAQUINAS SA | NOVA LIMANFE</v>
      </c>
      <c r="B360" s="12" t="str">
        <f t="shared" si="12"/>
        <v>Outubro</v>
      </c>
      <c r="C360" s="9">
        <v>87</v>
      </c>
      <c r="D360" s="8" t="s">
        <v>550</v>
      </c>
      <c r="E360" s="8" t="s">
        <v>1400</v>
      </c>
      <c r="F360" s="8" t="s">
        <v>133</v>
      </c>
      <c r="G360" s="17">
        <v>46325</v>
      </c>
      <c r="H360" s="8" t="s">
        <v>380</v>
      </c>
      <c r="I360" s="9">
        <v>1</v>
      </c>
      <c r="J360" s="10">
        <v>982.31</v>
      </c>
      <c r="K360" s="10">
        <v>1390.22</v>
      </c>
      <c r="L360" s="8"/>
      <c r="M360" s="7"/>
    </row>
    <row r="361" spans="1:13" x14ac:dyDescent="0.25">
      <c r="A361" s="12" t="str">
        <f t="shared" si="11"/>
        <v>5005708NELCIDES JOSE VIEIRACT</v>
      </c>
      <c r="B361" s="12" t="str">
        <f t="shared" si="12"/>
        <v>Outubro</v>
      </c>
      <c r="C361" s="9">
        <v>87</v>
      </c>
      <c r="D361" s="8" t="s">
        <v>1319</v>
      </c>
      <c r="E361" s="8" t="s">
        <v>664</v>
      </c>
      <c r="F361" s="8" t="s">
        <v>137</v>
      </c>
      <c r="G361" s="17">
        <v>46325</v>
      </c>
      <c r="H361" s="8" t="s">
        <v>1035</v>
      </c>
      <c r="I361" s="9">
        <v>1</v>
      </c>
      <c r="J361" s="10">
        <v>350</v>
      </c>
      <c r="K361" s="10">
        <v>1740.22</v>
      </c>
      <c r="L361" s="8"/>
      <c r="M361" s="7"/>
    </row>
    <row r="362" spans="1:13" x14ac:dyDescent="0.25">
      <c r="A362" s="12" t="str">
        <f t="shared" si="11"/>
        <v>500570952.081.532 ANTONIO CARLOS DA COSTACT</v>
      </c>
      <c r="B362" s="12" t="str">
        <f t="shared" si="12"/>
        <v>Outubro</v>
      </c>
      <c r="C362" s="9">
        <v>87</v>
      </c>
      <c r="D362" s="8" t="s">
        <v>1308</v>
      </c>
      <c r="E362" s="8" t="s">
        <v>664</v>
      </c>
      <c r="F362" s="8" t="s">
        <v>3218</v>
      </c>
      <c r="G362" s="17">
        <v>46325</v>
      </c>
      <c r="H362" s="8" t="s">
        <v>1035</v>
      </c>
      <c r="I362" s="9">
        <v>1</v>
      </c>
      <c r="J362" s="10">
        <v>350</v>
      </c>
      <c r="K362" s="10">
        <v>2090.2199999999998</v>
      </c>
      <c r="L362" s="8"/>
      <c r="M362" s="7"/>
    </row>
    <row r="363" spans="1:13" x14ac:dyDescent="0.25">
      <c r="A363" s="12" t="str">
        <f t="shared" si="11"/>
        <v>5005710ARTUR SILVA VIANACT</v>
      </c>
      <c r="B363" s="12" t="str">
        <f t="shared" si="12"/>
        <v>Outubro</v>
      </c>
      <c r="C363" s="9">
        <v>87</v>
      </c>
      <c r="D363" s="8" t="s">
        <v>1312</v>
      </c>
      <c r="E363" s="8" t="s">
        <v>664</v>
      </c>
      <c r="F363" s="8" t="s">
        <v>1429</v>
      </c>
      <c r="G363" s="17">
        <v>46325</v>
      </c>
      <c r="H363" s="8" t="s">
        <v>1035</v>
      </c>
      <c r="I363" s="9">
        <v>1</v>
      </c>
      <c r="J363" s="10">
        <v>350</v>
      </c>
      <c r="K363" s="10">
        <v>2440.2199999999998</v>
      </c>
      <c r="L363" s="8"/>
      <c r="M363" s="7"/>
    </row>
    <row r="364" spans="1:13" x14ac:dyDescent="0.25">
      <c r="A364" s="12" t="str">
        <f t="shared" si="11"/>
        <v>5005711RENILSON DIAS DE BRITOCT</v>
      </c>
      <c r="B364" s="12" t="str">
        <f t="shared" si="12"/>
        <v>Outubro</v>
      </c>
      <c r="C364" s="9">
        <v>87</v>
      </c>
      <c r="D364" s="8" t="s">
        <v>1320</v>
      </c>
      <c r="E364" s="8" t="s">
        <v>664</v>
      </c>
      <c r="F364" s="8" t="s">
        <v>1383</v>
      </c>
      <c r="G364" s="17">
        <v>46325</v>
      </c>
      <c r="H364" s="8" t="s">
        <v>1035</v>
      </c>
      <c r="I364" s="9">
        <v>1</v>
      </c>
      <c r="J364" s="10">
        <v>350</v>
      </c>
      <c r="K364" s="10">
        <v>2790.22</v>
      </c>
      <c r="L364" s="8"/>
      <c r="M364" s="7"/>
    </row>
    <row r="365" spans="1:13" x14ac:dyDescent="0.25">
      <c r="A365" s="12" t="str">
        <f t="shared" si="11"/>
        <v>5005712JOSE ANTONIO SILVACT</v>
      </c>
      <c r="B365" s="12" t="str">
        <f t="shared" si="12"/>
        <v>Outubro</v>
      </c>
      <c r="C365" s="9">
        <v>87</v>
      </c>
      <c r="D365" s="8" t="s">
        <v>1317</v>
      </c>
      <c r="E365" s="8" t="s">
        <v>664</v>
      </c>
      <c r="F365" s="8" t="s">
        <v>99</v>
      </c>
      <c r="G365" s="17">
        <v>46325</v>
      </c>
      <c r="H365" s="8" t="s">
        <v>1035</v>
      </c>
      <c r="I365" s="9">
        <v>1</v>
      </c>
      <c r="J365" s="10">
        <v>350</v>
      </c>
      <c r="K365" s="10">
        <v>3140.22</v>
      </c>
      <c r="L365" s="8"/>
      <c r="M365" s="7"/>
    </row>
    <row r="366" spans="1:13" x14ac:dyDescent="0.25">
      <c r="A366" s="12" t="str">
        <f t="shared" si="11"/>
        <v>5005713CARLOS ANTONIO PINTOCT</v>
      </c>
      <c r="B366" s="12" t="str">
        <f t="shared" si="12"/>
        <v>Outubro</v>
      </c>
      <c r="C366" s="9">
        <v>87</v>
      </c>
      <c r="D366" s="8" t="s">
        <v>1313</v>
      </c>
      <c r="E366" s="8" t="s">
        <v>664</v>
      </c>
      <c r="F366" s="8" t="s">
        <v>36</v>
      </c>
      <c r="G366" s="17">
        <v>46325</v>
      </c>
      <c r="H366" s="8" t="s">
        <v>1035</v>
      </c>
      <c r="I366" s="9">
        <v>1</v>
      </c>
      <c r="J366" s="10">
        <v>350</v>
      </c>
      <c r="K366" s="10">
        <v>3490.22</v>
      </c>
      <c r="L366" s="8"/>
      <c r="M366" s="7"/>
    </row>
    <row r="367" spans="1:13" x14ac:dyDescent="0.25">
      <c r="A367" s="12" t="str">
        <f t="shared" si="11"/>
        <v>5005714NATANIELLE SILVA DE SOUZA MARQUESCT</v>
      </c>
      <c r="B367" s="12" t="str">
        <f t="shared" si="12"/>
        <v>Outubro</v>
      </c>
      <c r="C367" s="9">
        <v>87</v>
      </c>
      <c r="D367" s="8" t="s">
        <v>1318</v>
      </c>
      <c r="E367" s="8" t="s">
        <v>664</v>
      </c>
      <c r="F367" s="8" t="s">
        <v>135</v>
      </c>
      <c r="G367" s="17">
        <v>46325</v>
      </c>
      <c r="H367" s="8" t="s">
        <v>1035</v>
      </c>
      <c r="I367" s="9">
        <v>1</v>
      </c>
      <c r="J367" s="10">
        <v>350</v>
      </c>
      <c r="K367" s="10">
        <v>3840.22</v>
      </c>
      <c r="L367" s="8"/>
      <c r="M367" s="7"/>
    </row>
    <row r="368" spans="1:13" x14ac:dyDescent="0.25">
      <c r="A368" s="12" t="str">
        <f t="shared" si="11"/>
        <v>5005715ISIS MARIA DE CARVALHO FIORINECT</v>
      </c>
      <c r="B368" s="12" t="str">
        <f t="shared" si="12"/>
        <v>Outubro</v>
      </c>
      <c r="C368" s="9">
        <v>87</v>
      </c>
      <c r="D368" s="8" t="s">
        <v>1315</v>
      </c>
      <c r="E368" s="8" t="s">
        <v>664</v>
      </c>
      <c r="F368" s="8" t="s">
        <v>3220</v>
      </c>
      <c r="G368" s="17">
        <v>46325</v>
      </c>
      <c r="H368" s="8" t="s">
        <v>1035</v>
      </c>
      <c r="I368" s="9">
        <v>1</v>
      </c>
      <c r="J368" s="10">
        <v>385</v>
      </c>
      <c r="K368" s="10">
        <v>4225.22</v>
      </c>
      <c r="L368" s="8"/>
      <c r="M368" s="7"/>
    </row>
    <row r="369" spans="1:13" x14ac:dyDescent="0.25">
      <c r="A369" s="12" t="str">
        <f t="shared" si="11"/>
        <v>5005716JAIME GOMES PARAGUAICT</v>
      </c>
      <c r="B369" s="12" t="str">
        <f t="shared" si="12"/>
        <v>Outubro</v>
      </c>
      <c r="C369" s="9">
        <v>87</v>
      </c>
      <c r="D369" s="8" t="s">
        <v>1316</v>
      </c>
      <c r="E369" s="8" t="s">
        <v>664</v>
      </c>
      <c r="F369" s="8" t="s">
        <v>87</v>
      </c>
      <c r="G369" s="17">
        <v>46325</v>
      </c>
      <c r="H369" s="8" t="s">
        <v>1035</v>
      </c>
      <c r="I369" s="9">
        <v>1</v>
      </c>
      <c r="J369" s="10">
        <v>385</v>
      </c>
      <c r="K369" s="10">
        <v>4610.22</v>
      </c>
      <c r="L369" s="8"/>
      <c r="M369" s="7"/>
    </row>
    <row r="370" spans="1:13" x14ac:dyDescent="0.25">
      <c r="A370" s="12" t="str">
        <f t="shared" si="11"/>
        <v>5005717CRISTIAN ALVES MOREIRACT</v>
      </c>
      <c r="B370" s="12" t="str">
        <f t="shared" si="12"/>
        <v>Outubro</v>
      </c>
      <c r="C370" s="9">
        <v>87</v>
      </c>
      <c r="D370" s="8" t="s">
        <v>1314</v>
      </c>
      <c r="E370" s="8" t="s">
        <v>664</v>
      </c>
      <c r="F370" s="8" t="s">
        <v>46</v>
      </c>
      <c r="G370" s="17">
        <v>46325</v>
      </c>
      <c r="H370" s="8" t="s">
        <v>1035</v>
      </c>
      <c r="I370" s="9">
        <v>1</v>
      </c>
      <c r="J370" s="10">
        <v>385</v>
      </c>
      <c r="K370" s="10">
        <v>4995.22</v>
      </c>
      <c r="L370" s="8"/>
      <c r="M370" s="7"/>
    </row>
    <row r="371" spans="1:13" x14ac:dyDescent="0.25">
      <c r="A371" s="12" t="str">
        <f t="shared" si="11"/>
        <v>500571860.167.550 MARCELO MARTINS DE OLIVEIRACT</v>
      </c>
      <c r="B371" s="12" t="str">
        <f t="shared" si="12"/>
        <v>Outubro</v>
      </c>
      <c r="C371" s="9">
        <v>87</v>
      </c>
      <c r="D371" s="8" t="s">
        <v>1310</v>
      </c>
      <c r="E371" s="8" t="s">
        <v>664</v>
      </c>
      <c r="F371" s="8" t="s">
        <v>3215</v>
      </c>
      <c r="G371" s="17">
        <v>46325</v>
      </c>
      <c r="H371" s="8" t="s">
        <v>1035</v>
      </c>
      <c r="I371" s="9">
        <v>1</v>
      </c>
      <c r="J371" s="10">
        <v>350</v>
      </c>
      <c r="K371" s="10">
        <v>5345.22</v>
      </c>
      <c r="L371" s="8"/>
      <c r="M371" s="7"/>
    </row>
    <row r="372" spans="1:13" x14ac:dyDescent="0.25">
      <c r="A372" s="12" t="str">
        <f t="shared" si="11"/>
        <v>500571966.226.661 JOSE MARCIO DA SILVACT</v>
      </c>
      <c r="B372" s="12" t="str">
        <f t="shared" si="12"/>
        <v>Outubro</v>
      </c>
      <c r="C372" s="9">
        <v>87</v>
      </c>
      <c r="D372" s="8" t="s">
        <v>1311</v>
      </c>
      <c r="E372" s="8" t="s">
        <v>664</v>
      </c>
      <c r="F372" s="8" t="s">
        <v>3227</v>
      </c>
      <c r="G372" s="17">
        <v>46325</v>
      </c>
      <c r="H372" s="8" t="s">
        <v>1035</v>
      </c>
      <c r="I372" s="9">
        <v>1</v>
      </c>
      <c r="J372" s="10">
        <v>350</v>
      </c>
      <c r="K372" s="10">
        <v>5695.22</v>
      </c>
      <c r="L372" s="8"/>
      <c r="M372" s="7"/>
    </row>
    <row r="373" spans="1:13" x14ac:dyDescent="0.25">
      <c r="A373" s="12" t="str">
        <f t="shared" si="11"/>
        <v>500572157.091.288 JOHNSON RAMOS DE CARVALHOCT</v>
      </c>
      <c r="B373" s="12" t="str">
        <f t="shared" si="12"/>
        <v>Outubro</v>
      </c>
      <c r="C373" s="9">
        <v>87</v>
      </c>
      <c r="D373" s="8" t="s">
        <v>1309</v>
      </c>
      <c r="E373" s="8" t="s">
        <v>664</v>
      </c>
      <c r="F373" s="8" t="s">
        <v>3225</v>
      </c>
      <c r="G373" s="17">
        <v>46325</v>
      </c>
      <c r="H373" s="8" t="s">
        <v>1035</v>
      </c>
      <c r="I373" s="9">
        <v>1</v>
      </c>
      <c r="J373" s="10">
        <v>350</v>
      </c>
      <c r="K373" s="10">
        <v>6045.22</v>
      </c>
      <c r="L373" s="8"/>
      <c r="M373" s="7"/>
    </row>
    <row r="374" spans="1:13" x14ac:dyDescent="0.25">
      <c r="A374" s="12" t="str">
        <f t="shared" si="11"/>
        <v>542LEOCAR SERVICOS AUTOMOTIVOS LTDANSE</v>
      </c>
      <c r="B374" s="12" t="str">
        <f t="shared" si="12"/>
        <v>Outubro</v>
      </c>
      <c r="C374" s="9">
        <v>87</v>
      </c>
      <c r="D374" s="8" t="s">
        <v>911</v>
      </c>
      <c r="E374" s="8" t="s">
        <v>1354</v>
      </c>
      <c r="F374" s="8" t="s">
        <v>109</v>
      </c>
      <c r="G374" s="17">
        <v>46325</v>
      </c>
      <c r="H374" s="8" t="s">
        <v>665</v>
      </c>
      <c r="I374" s="9">
        <v>1</v>
      </c>
      <c r="J374" s="10">
        <v>5349.39</v>
      </c>
      <c r="K374" s="10">
        <v>11394.61</v>
      </c>
      <c r="L374" s="8"/>
      <c r="M374" s="7"/>
    </row>
    <row r="375" spans="1:13" x14ac:dyDescent="0.25">
      <c r="A375" s="12" t="str">
        <f t="shared" si="11"/>
        <v>39CASA DA SPRINTER LTDANFE</v>
      </c>
      <c r="B375" s="12" t="str">
        <f t="shared" si="12"/>
        <v>Outubro</v>
      </c>
      <c r="C375" s="9">
        <v>87</v>
      </c>
      <c r="D375" s="8" t="s">
        <v>527</v>
      </c>
      <c r="E375" s="8" t="s">
        <v>2378</v>
      </c>
      <c r="F375" s="8" t="s">
        <v>205</v>
      </c>
      <c r="G375" s="17">
        <v>46326</v>
      </c>
      <c r="H375" s="8" t="s">
        <v>380</v>
      </c>
      <c r="I375" s="9">
        <v>1</v>
      </c>
      <c r="J375" s="10">
        <v>1110</v>
      </c>
      <c r="K375" s="10">
        <v>1110</v>
      </c>
      <c r="L375" s="8"/>
      <c r="M375" s="7"/>
    </row>
    <row r="376" spans="1:13" x14ac:dyDescent="0.25">
      <c r="A376" s="12" t="str">
        <f t="shared" si="11"/>
        <v>42699MINAS MAQUINAS SA | NOVA LIMANFE</v>
      </c>
      <c r="B376" s="12" t="str">
        <f t="shared" si="12"/>
        <v>Outubro</v>
      </c>
      <c r="C376" s="9">
        <v>87</v>
      </c>
      <c r="D376" s="8" t="s">
        <v>551</v>
      </c>
      <c r="E376" s="8" t="s">
        <v>1400</v>
      </c>
      <c r="F376" s="8" t="s">
        <v>133</v>
      </c>
      <c r="G376" s="17">
        <v>46326</v>
      </c>
      <c r="H376" s="8" t="s">
        <v>380</v>
      </c>
      <c r="I376" s="9">
        <v>1</v>
      </c>
      <c r="J376" s="10">
        <v>1528.26</v>
      </c>
      <c r="K376" s="10">
        <v>2638.26</v>
      </c>
      <c r="L376" s="8"/>
      <c r="M376" s="7"/>
    </row>
    <row r="377" spans="1:13" x14ac:dyDescent="0.25">
      <c r="A377" s="12" t="str">
        <f t="shared" si="11"/>
        <v>97CASA DA SPRINTER LTDANSE</v>
      </c>
      <c r="B377" s="12" t="str">
        <f t="shared" si="12"/>
        <v>Outubro</v>
      </c>
      <c r="C377" s="9">
        <v>87</v>
      </c>
      <c r="D377" s="8" t="s">
        <v>1018</v>
      </c>
      <c r="E377" s="8" t="s">
        <v>1354</v>
      </c>
      <c r="F377" s="8" t="s">
        <v>205</v>
      </c>
      <c r="G377" s="17">
        <v>46326</v>
      </c>
      <c r="H377" s="8" t="s">
        <v>665</v>
      </c>
      <c r="I377" s="9">
        <v>1</v>
      </c>
      <c r="J377" s="10">
        <v>1888.87</v>
      </c>
      <c r="K377" s="10">
        <v>4527.13</v>
      </c>
      <c r="L377" s="8"/>
      <c r="M377" s="7"/>
    </row>
    <row r="378" spans="1:13" x14ac:dyDescent="0.25">
      <c r="A378" s="12" t="str">
        <f t="shared" si="11"/>
        <v>3295GW REFORMADORA LTDANSE</v>
      </c>
      <c r="B378" s="12" t="str">
        <f t="shared" si="12"/>
        <v>Novembro</v>
      </c>
      <c r="C378" s="9">
        <v>87</v>
      </c>
      <c r="D378" s="8" t="s">
        <v>847</v>
      </c>
      <c r="E378" s="8" t="s">
        <v>1354</v>
      </c>
      <c r="F378" s="8" t="s">
        <v>81</v>
      </c>
      <c r="G378" s="17">
        <v>46327</v>
      </c>
      <c r="H378" s="8" t="s">
        <v>665</v>
      </c>
      <c r="I378" s="9">
        <v>2</v>
      </c>
      <c r="J378" s="10">
        <v>2058.33</v>
      </c>
      <c r="K378" s="10">
        <v>2058.33</v>
      </c>
      <c r="L378" s="8"/>
      <c r="M378" s="7"/>
    </row>
    <row r="379" spans="1:13" x14ac:dyDescent="0.25">
      <c r="A379" s="12" t="str">
        <f t="shared" si="11"/>
        <v>5005722NELCIDES JOSE VIEIRACT</v>
      </c>
      <c r="B379" s="12" t="str">
        <f t="shared" si="12"/>
        <v>Novembro</v>
      </c>
      <c r="C379" s="9">
        <v>87</v>
      </c>
      <c r="D379" s="8" t="s">
        <v>1322</v>
      </c>
      <c r="E379" s="8" t="s">
        <v>664</v>
      </c>
      <c r="F379" s="8" t="s">
        <v>137</v>
      </c>
      <c r="G379" s="17">
        <v>46327</v>
      </c>
      <c r="H379" s="8" t="s">
        <v>1035</v>
      </c>
      <c r="I379" s="9">
        <v>1</v>
      </c>
      <c r="J379" s="10">
        <v>350</v>
      </c>
      <c r="K379" s="10">
        <v>2408.33</v>
      </c>
      <c r="L379" s="8"/>
      <c r="M379" s="7"/>
    </row>
    <row r="380" spans="1:13" x14ac:dyDescent="0.25">
      <c r="A380" s="12" t="str">
        <f t="shared" si="11"/>
        <v>5005723EDUARDO GAUDENCIO ROSACT</v>
      </c>
      <c r="B380" s="12" t="str">
        <f t="shared" si="12"/>
        <v>Novembro</v>
      </c>
      <c r="C380" s="9">
        <v>87</v>
      </c>
      <c r="D380" s="8" t="s">
        <v>1321</v>
      </c>
      <c r="E380" s="8" t="s">
        <v>664</v>
      </c>
      <c r="F380" s="8" t="s">
        <v>58</v>
      </c>
      <c r="G380" s="17">
        <v>46327</v>
      </c>
      <c r="H380" s="8" t="s">
        <v>1035</v>
      </c>
      <c r="I380" s="9">
        <v>1</v>
      </c>
      <c r="J380" s="10">
        <v>350</v>
      </c>
      <c r="K380" s="10">
        <v>2758.33</v>
      </c>
      <c r="L380" s="8"/>
      <c r="M380" s="7"/>
    </row>
    <row r="381" spans="1:13" x14ac:dyDescent="0.25">
      <c r="A381" s="12" t="str">
        <f t="shared" si="11"/>
        <v>5005724PAULO RICARDO SILVACT</v>
      </c>
      <c r="B381" s="12" t="str">
        <f t="shared" si="12"/>
        <v>Novembro</v>
      </c>
      <c r="C381" s="9">
        <v>87</v>
      </c>
      <c r="D381" s="8" t="s">
        <v>1323</v>
      </c>
      <c r="E381" s="8" t="s">
        <v>664</v>
      </c>
      <c r="F381" s="8" t="s">
        <v>153</v>
      </c>
      <c r="G381" s="17">
        <v>46327</v>
      </c>
      <c r="H381" s="8" t="s">
        <v>1035</v>
      </c>
      <c r="I381" s="9">
        <v>1</v>
      </c>
      <c r="J381" s="10">
        <v>350</v>
      </c>
      <c r="K381" s="10">
        <v>3108.33</v>
      </c>
      <c r="L381" s="8"/>
      <c r="M381" s="7"/>
    </row>
    <row r="382" spans="1:13" x14ac:dyDescent="0.25">
      <c r="A382" s="12" t="str">
        <f t="shared" si="11"/>
        <v>000021655ME0001RITA CÂNDIDA DOS SANTOSDEP</v>
      </c>
      <c r="B382" s="12" t="str">
        <f t="shared" si="12"/>
        <v>Novembro</v>
      </c>
      <c r="C382" s="9">
        <v>87</v>
      </c>
      <c r="D382" s="8" t="s">
        <v>1324</v>
      </c>
      <c r="E382" s="8" t="s">
        <v>1354</v>
      </c>
      <c r="F382" s="8" t="s">
        <v>1441</v>
      </c>
      <c r="G382" s="17">
        <v>46332</v>
      </c>
      <c r="H382" s="8" t="s">
        <v>1043</v>
      </c>
      <c r="I382" s="9">
        <v>1</v>
      </c>
      <c r="J382" s="10">
        <v>900</v>
      </c>
      <c r="K382" s="10">
        <v>900</v>
      </c>
      <c r="L382" s="8"/>
      <c r="M382" s="7"/>
    </row>
    <row r="383" spans="1:13" x14ac:dyDescent="0.25">
      <c r="A383" s="12" t="str">
        <f t="shared" si="11"/>
        <v>12628OCP EXAMES OCUPACIONAIS LTDANSE</v>
      </c>
      <c r="B383" s="12" t="str">
        <f t="shared" si="12"/>
        <v>Novembro</v>
      </c>
      <c r="C383" s="9">
        <v>87</v>
      </c>
      <c r="D383" s="8" t="s">
        <v>697</v>
      </c>
      <c r="E383" s="8" t="s">
        <v>664</v>
      </c>
      <c r="F383" s="8" t="s">
        <v>140</v>
      </c>
      <c r="G383" s="17">
        <v>46332</v>
      </c>
      <c r="H383" s="8" t="s">
        <v>665</v>
      </c>
      <c r="I383" s="9">
        <v>1</v>
      </c>
      <c r="J383" s="10">
        <v>5025.66</v>
      </c>
      <c r="K383" s="10">
        <v>5925.66</v>
      </c>
      <c r="L383" s="8"/>
      <c r="M383" s="7"/>
    </row>
    <row r="384" spans="1:13" x14ac:dyDescent="0.25">
      <c r="A384" s="12" t="str">
        <f t="shared" si="11"/>
        <v>201MGS PRINTERNSE</v>
      </c>
      <c r="B384" s="12" t="str">
        <f t="shared" si="12"/>
        <v>Novembro</v>
      </c>
      <c r="C384" s="9">
        <v>87</v>
      </c>
      <c r="D384" s="8" t="s">
        <v>771</v>
      </c>
      <c r="E384" s="8" t="s">
        <v>664</v>
      </c>
      <c r="F384" s="8" t="s">
        <v>128</v>
      </c>
      <c r="G384" s="17">
        <v>46332</v>
      </c>
      <c r="H384" s="8" t="s">
        <v>665</v>
      </c>
      <c r="I384" s="9">
        <v>1</v>
      </c>
      <c r="J384" s="10">
        <v>403.95</v>
      </c>
      <c r="K384" s="10">
        <v>6329.61</v>
      </c>
      <c r="L384" s="8"/>
      <c r="M384" s="7"/>
    </row>
    <row r="385" spans="1:13" x14ac:dyDescent="0.25">
      <c r="A385" s="12" t="str">
        <f t="shared" si="11"/>
        <v>21349PANAMERICANA SUPRIMENTOS PARA INFORMATICA LTDANSE</v>
      </c>
      <c r="B385" s="12" t="str">
        <f t="shared" si="12"/>
        <v>Novembro</v>
      </c>
      <c r="C385" s="9">
        <v>87</v>
      </c>
      <c r="D385" s="8" t="s">
        <v>778</v>
      </c>
      <c r="E385" s="8" t="s">
        <v>664</v>
      </c>
      <c r="F385" s="8" t="s">
        <v>147</v>
      </c>
      <c r="G385" s="17">
        <v>46332</v>
      </c>
      <c r="H385" s="8" t="s">
        <v>665</v>
      </c>
      <c r="I385" s="9">
        <v>1</v>
      </c>
      <c r="J385" s="10">
        <v>1614.29</v>
      </c>
      <c r="K385" s="10">
        <v>7943.9</v>
      </c>
      <c r="L385" s="8"/>
      <c r="M385" s="7"/>
    </row>
    <row r="386" spans="1:13" x14ac:dyDescent="0.25">
      <c r="A386" s="12" t="str">
        <f t="shared" si="11"/>
        <v>34700OCUPACIONAL MEDICINA DO TRABALHO LTDANSE</v>
      </c>
      <c r="B386" s="12" t="str">
        <f t="shared" si="12"/>
        <v>Novembro</v>
      </c>
      <c r="C386" s="9">
        <v>87</v>
      </c>
      <c r="D386" s="8" t="s">
        <v>857</v>
      </c>
      <c r="E386" s="8" t="s">
        <v>664</v>
      </c>
      <c r="F386" s="8" t="s">
        <v>142</v>
      </c>
      <c r="G386" s="17">
        <v>46332</v>
      </c>
      <c r="H386" s="8" t="s">
        <v>665</v>
      </c>
      <c r="I386" s="9">
        <v>1</v>
      </c>
      <c r="J386" s="10">
        <v>654.91</v>
      </c>
      <c r="K386" s="10">
        <v>8598.81</v>
      </c>
      <c r="L386" s="8"/>
      <c r="M386" s="7"/>
    </row>
    <row r="387" spans="1:13" x14ac:dyDescent="0.25">
      <c r="A387" s="12" t="str">
        <f t="shared" ref="A387:A450" si="13">D387&amp;F387&amp;H387</f>
        <v>34701OCUPACIONAL MEDICINA DO TRABALHO LTDANSE</v>
      </c>
      <c r="B387" s="12" t="str">
        <f t="shared" ref="B387:B450" si="14">PROPER(TEXT($G387,"MMMM"))</f>
        <v>Novembro</v>
      </c>
      <c r="C387" s="9">
        <v>87</v>
      </c>
      <c r="D387" s="8" t="s">
        <v>858</v>
      </c>
      <c r="E387" s="8" t="s">
        <v>664</v>
      </c>
      <c r="F387" s="8" t="s">
        <v>142</v>
      </c>
      <c r="G387" s="17">
        <v>46332</v>
      </c>
      <c r="H387" s="8" t="s">
        <v>665</v>
      </c>
      <c r="I387" s="9">
        <v>1</v>
      </c>
      <c r="J387" s="10">
        <v>654.91</v>
      </c>
      <c r="K387" s="10">
        <v>9253.7199999999993</v>
      </c>
      <c r="L387" s="8"/>
      <c r="M387" s="7"/>
    </row>
    <row r="388" spans="1:13" x14ac:dyDescent="0.25">
      <c r="A388" s="12" t="str">
        <f t="shared" si="13"/>
        <v>5318MANFERRARI SERVICE LTDANSE</v>
      </c>
      <c r="B388" s="12" t="str">
        <f t="shared" si="14"/>
        <v>Novembro</v>
      </c>
      <c r="C388" s="9">
        <v>87</v>
      </c>
      <c r="D388" s="8" t="s">
        <v>908</v>
      </c>
      <c r="E388" s="8" t="s">
        <v>1354</v>
      </c>
      <c r="F388" s="8" t="s">
        <v>117</v>
      </c>
      <c r="G388" s="17">
        <v>46332</v>
      </c>
      <c r="H388" s="8" t="s">
        <v>665</v>
      </c>
      <c r="I388" s="9">
        <v>1</v>
      </c>
      <c r="J388" s="10">
        <v>196</v>
      </c>
      <c r="K388" s="10">
        <v>9449.7199999999993</v>
      </c>
      <c r="L388" s="8"/>
      <c r="M388" s="7"/>
    </row>
    <row r="389" spans="1:13" x14ac:dyDescent="0.25">
      <c r="A389" s="12" t="str">
        <f t="shared" si="13"/>
        <v>546Comportamento - Consultoria em Recursos Humanos LTDANSE</v>
      </c>
      <c r="B389" s="12" t="str">
        <f t="shared" si="14"/>
        <v>Novembro</v>
      </c>
      <c r="C389" s="9">
        <v>87</v>
      </c>
      <c r="D389" s="8" t="s">
        <v>912</v>
      </c>
      <c r="E389" s="8" t="s">
        <v>664</v>
      </c>
      <c r="F389" s="8" t="s">
        <v>913</v>
      </c>
      <c r="G389" s="17">
        <v>46332</v>
      </c>
      <c r="H389" s="8" t="s">
        <v>665</v>
      </c>
      <c r="I389" s="9">
        <v>1</v>
      </c>
      <c r="J389" s="10">
        <v>1877</v>
      </c>
      <c r="K389" s="10">
        <v>11326.72</v>
      </c>
      <c r="L389" s="8"/>
      <c r="M389" s="7"/>
    </row>
    <row r="390" spans="1:13" x14ac:dyDescent="0.25">
      <c r="A390" s="12" t="str">
        <f t="shared" si="13"/>
        <v>21131311GRUPO CASAS BAHIA SANFE</v>
      </c>
      <c r="B390" s="12" t="str">
        <f t="shared" si="14"/>
        <v>Novembro</v>
      </c>
      <c r="C390" s="9">
        <v>87</v>
      </c>
      <c r="D390" s="8" t="s">
        <v>452</v>
      </c>
      <c r="E390" s="8" t="s">
        <v>1400</v>
      </c>
      <c r="F390" s="8" t="s">
        <v>76</v>
      </c>
      <c r="G390" s="17">
        <v>46336</v>
      </c>
      <c r="H390" s="8" t="s">
        <v>380</v>
      </c>
      <c r="I390" s="9">
        <v>6</v>
      </c>
      <c r="J390" s="10">
        <v>665.56</v>
      </c>
      <c r="K390" s="10">
        <v>665.56</v>
      </c>
      <c r="L390" s="8"/>
      <c r="M390" s="7"/>
    </row>
    <row r="391" spans="1:13" x14ac:dyDescent="0.25">
      <c r="A391" s="12" t="str">
        <f t="shared" si="13"/>
        <v>53668660TICKET SOLUCOES HDFGT S/ANSE</v>
      </c>
      <c r="B391" s="12" t="str">
        <f t="shared" si="14"/>
        <v>Novembro</v>
      </c>
      <c r="C391" s="9">
        <v>87</v>
      </c>
      <c r="D391" s="8" t="s">
        <v>1325</v>
      </c>
      <c r="E391" s="8" t="s">
        <v>1354</v>
      </c>
      <c r="F391" s="8" t="s">
        <v>189</v>
      </c>
      <c r="G391" s="17">
        <v>46336</v>
      </c>
      <c r="H391" s="8" t="s">
        <v>665</v>
      </c>
      <c r="I391" s="9">
        <v>1</v>
      </c>
      <c r="J391" s="10">
        <v>48049.55</v>
      </c>
      <c r="K391" s="10">
        <v>48715.11</v>
      </c>
      <c r="L391" s="8"/>
      <c r="M391" s="7"/>
    </row>
    <row r="392" spans="1:13" x14ac:dyDescent="0.25">
      <c r="A392" s="12" t="str">
        <f t="shared" si="13"/>
        <v>IVA1262026SECRETARIA DE ADMINISTRAÇÃO DO GOVERNO DO ESTADO DE PERNAMBUCOIPV</v>
      </c>
      <c r="B392" s="12" t="str">
        <f t="shared" si="14"/>
        <v>Novembro</v>
      </c>
      <c r="C392" s="9">
        <v>87</v>
      </c>
      <c r="D392" s="8" t="s">
        <v>1143</v>
      </c>
      <c r="E392" s="8" t="s">
        <v>1723</v>
      </c>
      <c r="F392" s="8" t="s">
        <v>1744</v>
      </c>
      <c r="G392" s="17">
        <v>46336</v>
      </c>
      <c r="H392" s="8" t="s">
        <v>1144</v>
      </c>
      <c r="I392" s="9">
        <v>10</v>
      </c>
      <c r="J392" s="10">
        <v>213.97</v>
      </c>
      <c r="K392" s="10">
        <v>48929.08</v>
      </c>
      <c r="L392" s="8"/>
      <c r="M392" s="7"/>
    </row>
    <row r="393" spans="1:13" x14ac:dyDescent="0.25">
      <c r="A393" s="12" t="str">
        <f t="shared" si="13"/>
        <v>IVA1272026SECRETARIA DE ADMINISTRAÇÃO DO GOVERNO DO ESTADO DE PERNAMBUCOIPV</v>
      </c>
      <c r="B393" s="12" t="str">
        <f t="shared" si="14"/>
        <v>Novembro</v>
      </c>
      <c r="C393" s="9">
        <v>87</v>
      </c>
      <c r="D393" s="8" t="s">
        <v>1145</v>
      </c>
      <c r="E393" s="8" t="s">
        <v>1723</v>
      </c>
      <c r="F393" s="8" t="s">
        <v>1744</v>
      </c>
      <c r="G393" s="17">
        <v>46336</v>
      </c>
      <c r="H393" s="8" t="s">
        <v>1144</v>
      </c>
      <c r="I393" s="9">
        <v>10</v>
      </c>
      <c r="J393" s="10">
        <v>213.97</v>
      </c>
      <c r="K393" s="10">
        <v>49143.05</v>
      </c>
      <c r="L393" s="8"/>
      <c r="M393" s="7"/>
    </row>
    <row r="394" spans="1:13" x14ac:dyDescent="0.25">
      <c r="A394" s="12" t="str">
        <f t="shared" si="13"/>
        <v>IVA1302026SECRETARIA DE ADMINISTRAÇÃO DO GOVERNO DO ESTADO DE PERNAMBUCOIPV</v>
      </c>
      <c r="B394" s="12" t="str">
        <f t="shared" si="14"/>
        <v>Novembro</v>
      </c>
      <c r="C394" s="9">
        <v>87</v>
      </c>
      <c r="D394" s="8" t="s">
        <v>1146</v>
      </c>
      <c r="E394" s="8" t="s">
        <v>1723</v>
      </c>
      <c r="F394" s="8" t="s">
        <v>1744</v>
      </c>
      <c r="G394" s="17">
        <v>46336</v>
      </c>
      <c r="H394" s="8" t="s">
        <v>1144</v>
      </c>
      <c r="I394" s="9">
        <v>10</v>
      </c>
      <c r="J394" s="10">
        <v>213.97</v>
      </c>
      <c r="K394" s="10">
        <v>49357.02</v>
      </c>
      <c r="L394" s="8"/>
      <c r="M394" s="7"/>
    </row>
    <row r="395" spans="1:13" x14ac:dyDescent="0.25">
      <c r="A395" s="12" t="str">
        <f t="shared" si="13"/>
        <v>IVA1312026SECRETARIA DE ADMINISTRAÇÃO DO GOVERNO DO ESTADO DE PERNAMBUCOIPV</v>
      </c>
      <c r="B395" s="12" t="str">
        <f t="shared" si="14"/>
        <v>Novembro</v>
      </c>
      <c r="C395" s="9">
        <v>87</v>
      </c>
      <c r="D395" s="8" t="s">
        <v>1147</v>
      </c>
      <c r="E395" s="8" t="s">
        <v>1723</v>
      </c>
      <c r="F395" s="8" t="s">
        <v>1744</v>
      </c>
      <c r="G395" s="17">
        <v>46336</v>
      </c>
      <c r="H395" s="8" t="s">
        <v>1144</v>
      </c>
      <c r="I395" s="9">
        <v>10</v>
      </c>
      <c r="J395" s="10">
        <v>213.97</v>
      </c>
      <c r="K395" s="10">
        <v>49570.99</v>
      </c>
      <c r="L395" s="8"/>
      <c r="M395" s="7"/>
    </row>
    <row r="396" spans="1:13" x14ac:dyDescent="0.25">
      <c r="A396" s="12" t="str">
        <f t="shared" si="13"/>
        <v>IVA1492026SECRETARIA DE ADMINISTRAÇÃO DO GOVERNO DO ESTADO DE PERNAMBUCOIPV</v>
      </c>
      <c r="B396" s="12" t="str">
        <f t="shared" si="14"/>
        <v>Novembro</v>
      </c>
      <c r="C396" s="9">
        <v>87</v>
      </c>
      <c r="D396" s="8" t="s">
        <v>1148</v>
      </c>
      <c r="E396" s="8" t="s">
        <v>1723</v>
      </c>
      <c r="F396" s="8" t="s">
        <v>1744</v>
      </c>
      <c r="G396" s="17">
        <v>46336</v>
      </c>
      <c r="H396" s="8" t="s">
        <v>1144</v>
      </c>
      <c r="I396" s="9">
        <v>10</v>
      </c>
      <c r="J396" s="10">
        <v>213.97</v>
      </c>
      <c r="K396" s="10">
        <v>49784.959999999999</v>
      </c>
      <c r="L396" s="8"/>
      <c r="M396" s="7"/>
    </row>
    <row r="397" spans="1:13" x14ac:dyDescent="0.25">
      <c r="A397" s="12" t="str">
        <f t="shared" si="13"/>
        <v>IVA1512026SECRETARIA DE ADMINISTRAÇÃO DO GOVERNO DO ESTADO DE PERNAMBUCOIPV</v>
      </c>
      <c r="B397" s="12" t="str">
        <f t="shared" si="14"/>
        <v>Novembro</v>
      </c>
      <c r="C397" s="9">
        <v>87</v>
      </c>
      <c r="D397" s="8" t="s">
        <v>1149</v>
      </c>
      <c r="E397" s="8" t="s">
        <v>1723</v>
      </c>
      <c r="F397" s="8" t="s">
        <v>1744</v>
      </c>
      <c r="G397" s="17">
        <v>46336</v>
      </c>
      <c r="H397" s="8" t="s">
        <v>1144</v>
      </c>
      <c r="I397" s="9">
        <v>10</v>
      </c>
      <c r="J397" s="10">
        <v>213.97</v>
      </c>
      <c r="K397" s="10">
        <v>49998.93</v>
      </c>
      <c r="L397" s="8"/>
      <c r="M397" s="7"/>
    </row>
    <row r="398" spans="1:13" x14ac:dyDescent="0.25">
      <c r="A398" s="12" t="str">
        <f t="shared" si="13"/>
        <v>IVA1542026SECRETARIA DE ADMINISTRAÇÃO DO GOVERNO DO ESTADO DE PERNAMBUCOIPV</v>
      </c>
      <c r="B398" s="12" t="str">
        <f t="shared" si="14"/>
        <v>Novembro</v>
      </c>
      <c r="C398" s="9">
        <v>87</v>
      </c>
      <c r="D398" s="8" t="s">
        <v>1150</v>
      </c>
      <c r="E398" s="8" t="s">
        <v>1723</v>
      </c>
      <c r="F398" s="8" t="s">
        <v>1744</v>
      </c>
      <c r="G398" s="17">
        <v>46336</v>
      </c>
      <c r="H398" s="8" t="s">
        <v>1144</v>
      </c>
      <c r="I398" s="9">
        <v>10</v>
      </c>
      <c r="J398" s="10">
        <v>213.97</v>
      </c>
      <c r="K398" s="10">
        <v>50212.9</v>
      </c>
      <c r="L398" s="8"/>
      <c r="M398" s="7"/>
    </row>
    <row r="399" spans="1:13" x14ac:dyDescent="0.25">
      <c r="A399" s="12" t="str">
        <f t="shared" si="13"/>
        <v>IVA1562026SECRETARIA DE ADMINISTRAÇÃO DO GOVERNO DO ESTADO DE PERNAMBUCOIPV</v>
      </c>
      <c r="B399" s="12" t="str">
        <f t="shared" si="14"/>
        <v>Novembro</v>
      </c>
      <c r="C399" s="9">
        <v>87</v>
      </c>
      <c r="D399" s="8" t="s">
        <v>1151</v>
      </c>
      <c r="E399" s="8" t="s">
        <v>1723</v>
      </c>
      <c r="F399" s="8" t="s">
        <v>1744</v>
      </c>
      <c r="G399" s="17">
        <v>46336</v>
      </c>
      <c r="H399" s="8" t="s">
        <v>1144</v>
      </c>
      <c r="I399" s="9">
        <v>10</v>
      </c>
      <c r="J399" s="10">
        <v>213.97</v>
      </c>
      <c r="K399" s="10">
        <v>50426.87</v>
      </c>
      <c r="L399" s="8"/>
      <c r="M399" s="7"/>
    </row>
    <row r="400" spans="1:13" x14ac:dyDescent="0.25">
      <c r="A400" s="12" t="str">
        <f t="shared" si="13"/>
        <v>IVA1572026SECRETARIA DE ADMINISTRAÇÃO DO GOVERNO DO ESTADO DE PERNAMBUCOIPV</v>
      </c>
      <c r="B400" s="12" t="str">
        <f t="shared" si="14"/>
        <v>Novembro</v>
      </c>
      <c r="C400" s="9">
        <v>87</v>
      </c>
      <c r="D400" s="8" t="s">
        <v>1152</v>
      </c>
      <c r="E400" s="8" t="s">
        <v>1723</v>
      </c>
      <c r="F400" s="8" t="s">
        <v>1744</v>
      </c>
      <c r="G400" s="17">
        <v>46336</v>
      </c>
      <c r="H400" s="8" t="s">
        <v>1144</v>
      </c>
      <c r="I400" s="9">
        <v>10</v>
      </c>
      <c r="J400" s="10">
        <v>213.97</v>
      </c>
      <c r="K400" s="10">
        <v>50640.84</v>
      </c>
      <c r="L400" s="8"/>
      <c r="M400" s="7"/>
    </row>
    <row r="401" spans="1:13" x14ac:dyDescent="0.25">
      <c r="A401" s="12" t="str">
        <f t="shared" si="13"/>
        <v>IVA1582026SECRETARIA DE ADMINISTRAÇÃO DO GOVERNO DO ESTADO DE PERNAMBUCOIPV</v>
      </c>
      <c r="B401" s="12" t="str">
        <f t="shared" si="14"/>
        <v>Novembro</v>
      </c>
      <c r="C401" s="9">
        <v>87</v>
      </c>
      <c r="D401" s="8" t="s">
        <v>1153</v>
      </c>
      <c r="E401" s="8" t="s">
        <v>1723</v>
      </c>
      <c r="F401" s="8" t="s">
        <v>1744</v>
      </c>
      <c r="G401" s="17">
        <v>46336</v>
      </c>
      <c r="H401" s="8" t="s">
        <v>1144</v>
      </c>
      <c r="I401" s="9">
        <v>10</v>
      </c>
      <c r="J401" s="10">
        <v>213.97</v>
      </c>
      <c r="K401" s="10">
        <v>50854.81</v>
      </c>
      <c r="L401" s="8"/>
      <c r="M401" s="7"/>
    </row>
    <row r="402" spans="1:13" x14ac:dyDescent="0.25">
      <c r="A402" s="12" t="str">
        <f t="shared" si="13"/>
        <v>IVA1592026SECRETARIA DE ADMINISTRAÇÃO DO GOVERNO DO ESTADO DE PERNAMBUCOIPV</v>
      </c>
      <c r="B402" s="12" t="str">
        <f t="shared" si="14"/>
        <v>Novembro</v>
      </c>
      <c r="C402" s="9">
        <v>87</v>
      </c>
      <c r="D402" s="8" t="s">
        <v>1154</v>
      </c>
      <c r="E402" s="8" t="s">
        <v>1723</v>
      </c>
      <c r="F402" s="8" t="s">
        <v>1744</v>
      </c>
      <c r="G402" s="17">
        <v>46336</v>
      </c>
      <c r="H402" s="8" t="s">
        <v>1144</v>
      </c>
      <c r="I402" s="9">
        <v>10</v>
      </c>
      <c r="J402" s="10">
        <v>213.97</v>
      </c>
      <c r="K402" s="10">
        <v>51068.78</v>
      </c>
      <c r="L402" s="8"/>
      <c r="M402" s="7"/>
    </row>
    <row r="403" spans="1:13" x14ac:dyDescent="0.25">
      <c r="A403" s="12" t="str">
        <f t="shared" si="13"/>
        <v>IVA1602026SECRETARIA DE ADMINISTRAÇÃO DO GOVERNO DO ESTADO DE PERNAMBUCOIPV</v>
      </c>
      <c r="B403" s="12" t="str">
        <f t="shared" si="14"/>
        <v>Novembro</v>
      </c>
      <c r="C403" s="9">
        <v>87</v>
      </c>
      <c r="D403" s="8" t="s">
        <v>1155</v>
      </c>
      <c r="E403" s="8" t="s">
        <v>1723</v>
      </c>
      <c r="F403" s="8" t="s">
        <v>1744</v>
      </c>
      <c r="G403" s="17">
        <v>46336</v>
      </c>
      <c r="H403" s="8" t="s">
        <v>1144</v>
      </c>
      <c r="I403" s="9">
        <v>10</v>
      </c>
      <c r="J403" s="10">
        <v>213.97</v>
      </c>
      <c r="K403" s="10">
        <v>51282.75</v>
      </c>
      <c r="L403" s="8"/>
      <c r="M403" s="7"/>
    </row>
    <row r="404" spans="1:13" x14ac:dyDescent="0.25">
      <c r="A404" s="12" t="str">
        <f t="shared" si="13"/>
        <v>IVA1612026SECRETARIA DE ADMINISTRAÇÃO DO GOVERNO DO ESTADO DE PERNAMBUCOIPV</v>
      </c>
      <c r="B404" s="12" t="str">
        <f t="shared" si="14"/>
        <v>Novembro</v>
      </c>
      <c r="C404" s="9">
        <v>87</v>
      </c>
      <c r="D404" s="8" t="s">
        <v>1156</v>
      </c>
      <c r="E404" s="8" t="s">
        <v>1723</v>
      </c>
      <c r="F404" s="8" t="s">
        <v>1744</v>
      </c>
      <c r="G404" s="17">
        <v>46336</v>
      </c>
      <c r="H404" s="8" t="s">
        <v>1144</v>
      </c>
      <c r="I404" s="9">
        <v>10</v>
      </c>
      <c r="J404" s="10">
        <v>213.97</v>
      </c>
      <c r="K404" s="10">
        <v>51496.72</v>
      </c>
      <c r="L404" s="8"/>
      <c r="M404" s="7"/>
    </row>
    <row r="405" spans="1:13" x14ac:dyDescent="0.25">
      <c r="A405" s="12" t="str">
        <f t="shared" si="13"/>
        <v>IVA1622026SECRETARIA DE ADMINISTRAÇÃO DO GOVERNO DO ESTADO DE PERNAMBUCOIPV</v>
      </c>
      <c r="B405" s="12" t="str">
        <f t="shared" si="14"/>
        <v>Novembro</v>
      </c>
      <c r="C405" s="9">
        <v>87</v>
      </c>
      <c r="D405" s="8" t="s">
        <v>1157</v>
      </c>
      <c r="E405" s="8" t="s">
        <v>1723</v>
      </c>
      <c r="F405" s="8" t="s">
        <v>1744</v>
      </c>
      <c r="G405" s="17">
        <v>46336</v>
      </c>
      <c r="H405" s="8" t="s">
        <v>1144</v>
      </c>
      <c r="I405" s="9">
        <v>10</v>
      </c>
      <c r="J405" s="10">
        <v>213.97</v>
      </c>
      <c r="K405" s="10">
        <v>51710.69</v>
      </c>
      <c r="L405" s="8"/>
      <c r="M405" s="7"/>
    </row>
    <row r="406" spans="1:13" x14ac:dyDescent="0.25">
      <c r="A406" s="12" t="str">
        <f t="shared" si="13"/>
        <v>IVA1652026SECRETARIA DE ADMINISTRAÇÃO DO GOVERNO DO ESTADO DE PERNAMBUCOIPV</v>
      </c>
      <c r="B406" s="12" t="str">
        <f t="shared" si="14"/>
        <v>Novembro</v>
      </c>
      <c r="C406" s="9">
        <v>87</v>
      </c>
      <c r="D406" s="8" t="s">
        <v>1158</v>
      </c>
      <c r="E406" s="8" t="s">
        <v>1723</v>
      </c>
      <c r="F406" s="8" t="s">
        <v>1744</v>
      </c>
      <c r="G406" s="17">
        <v>46336</v>
      </c>
      <c r="H406" s="8" t="s">
        <v>1144</v>
      </c>
      <c r="I406" s="9">
        <v>10</v>
      </c>
      <c r="J406" s="10">
        <v>213.97</v>
      </c>
      <c r="K406" s="10">
        <v>51924.66</v>
      </c>
      <c r="L406" s="8"/>
      <c r="M406" s="7"/>
    </row>
    <row r="407" spans="1:13" x14ac:dyDescent="0.25">
      <c r="A407" s="12" t="str">
        <f t="shared" si="13"/>
        <v>IVA1662026SECRETARIA DE ADMINISTRAÇÃO DO GOVERNO DO ESTADO DE PERNAMBUCOIPV</v>
      </c>
      <c r="B407" s="12" t="str">
        <f t="shared" si="14"/>
        <v>Novembro</v>
      </c>
      <c r="C407" s="9">
        <v>87</v>
      </c>
      <c r="D407" s="8" t="s">
        <v>1159</v>
      </c>
      <c r="E407" s="8" t="s">
        <v>1723</v>
      </c>
      <c r="F407" s="8" t="s">
        <v>1744</v>
      </c>
      <c r="G407" s="17">
        <v>46336</v>
      </c>
      <c r="H407" s="8" t="s">
        <v>1144</v>
      </c>
      <c r="I407" s="9">
        <v>10</v>
      </c>
      <c r="J407" s="10">
        <v>213.97</v>
      </c>
      <c r="K407" s="10">
        <v>52138.63</v>
      </c>
      <c r="L407" s="8"/>
      <c r="M407" s="7"/>
    </row>
    <row r="408" spans="1:13" x14ac:dyDescent="0.25">
      <c r="A408" s="12" t="str">
        <f t="shared" si="13"/>
        <v>IVA1682026SECRETARIA DE ADMINISTRAÇÃO DO GOVERNO DO ESTADO DE PERNAMBUCOIPV</v>
      </c>
      <c r="B408" s="12" t="str">
        <f t="shared" si="14"/>
        <v>Novembro</v>
      </c>
      <c r="C408" s="9">
        <v>87</v>
      </c>
      <c r="D408" s="8" t="s">
        <v>1160</v>
      </c>
      <c r="E408" s="8" t="s">
        <v>1723</v>
      </c>
      <c r="F408" s="8" t="s">
        <v>1744</v>
      </c>
      <c r="G408" s="17">
        <v>46336</v>
      </c>
      <c r="H408" s="8" t="s">
        <v>1144</v>
      </c>
      <c r="I408" s="9">
        <v>10</v>
      </c>
      <c r="J408" s="10">
        <v>213.97</v>
      </c>
      <c r="K408" s="10">
        <v>52352.6</v>
      </c>
      <c r="L408" s="8"/>
      <c r="M408" s="7"/>
    </row>
    <row r="409" spans="1:13" x14ac:dyDescent="0.25">
      <c r="A409" s="12" t="str">
        <f t="shared" si="13"/>
        <v>IVA1712026SECRETARIA DE ADMINISTRAÇÃO DO GOVERNO DO ESTADO DE PERNAMBUCOIPV</v>
      </c>
      <c r="B409" s="12" t="str">
        <f t="shared" si="14"/>
        <v>Novembro</v>
      </c>
      <c r="C409" s="9">
        <v>87</v>
      </c>
      <c r="D409" s="8" t="s">
        <v>1161</v>
      </c>
      <c r="E409" s="8" t="s">
        <v>1723</v>
      </c>
      <c r="F409" s="8" t="s">
        <v>1744</v>
      </c>
      <c r="G409" s="17">
        <v>46336</v>
      </c>
      <c r="H409" s="8" t="s">
        <v>1144</v>
      </c>
      <c r="I409" s="9">
        <v>10</v>
      </c>
      <c r="J409" s="10">
        <v>213.97</v>
      </c>
      <c r="K409" s="10">
        <v>52566.57</v>
      </c>
      <c r="L409" s="8"/>
      <c r="M409" s="7"/>
    </row>
    <row r="410" spans="1:13" x14ac:dyDescent="0.25">
      <c r="A410" s="12" t="str">
        <f t="shared" si="13"/>
        <v>IVA1722026SECRETARIA DE ADMINISTRAÇÃO DO GOVERNO DO ESTADO DE PERNAMBUCOIPV</v>
      </c>
      <c r="B410" s="12" t="str">
        <f t="shared" si="14"/>
        <v>Novembro</v>
      </c>
      <c r="C410" s="9">
        <v>87</v>
      </c>
      <c r="D410" s="8" t="s">
        <v>1162</v>
      </c>
      <c r="E410" s="8" t="s">
        <v>1723</v>
      </c>
      <c r="F410" s="8" t="s">
        <v>1744</v>
      </c>
      <c r="G410" s="17">
        <v>46336</v>
      </c>
      <c r="H410" s="8" t="s">
        <v>1144</v>
      </c>
      <c r="I410" s="9">
        <v>10</v>
      </c>
      <c r="J410" s="10">
        <v>213.97</v>
      </c>
      <c r="K410" s="10">
        <v>52780.54</v>
      </c>
      <c r="L410" s="8"/>
      <c r="M410" s="7"/>
    </row>
    <row r="411" spans="1:13" x14ac:dyDescent="0.25">
      <c r="A411" s="12" t="str">
        <f t="shared" si="13"/>
        <v>I38972026SECRETARIA DE ADMINISTRAÇÃO DO GOVERNO DO ESTADO DE PERNAMBUCOIPV</v>
      </c>
      <c r="B411" s="12" t="str">
        <f t="shared" si="14"/>
        <v>Novembro</v>
      </c>
      <c r="C411" s="9">
        <v>87</v>
      </c>
      <c r="D411" s="8" t="s">
        <v>1167</v>
      </c>
      <c r="E411" s="8" t="s">
        <v>1723</v>
      </c>
      <c r="F411" s="8" t="s">
        <v>1744</v>
      </c>
      <c r="G411" s="17">
        <v>46342</v>
      </c>
      <c r="H411" s="8" t="s">
        <v>1144</v>
      </c>
      <c r="I411" s="9">
        <v>10</v>
      </c>
      <c r="J411" s="10">
        <v>544.78</v>
      </c>
      <c r="K411" s="10">
        <v>544.78</v>
      </c>
      <c r="L411" s="8"/>
      <c r="M411" s="7"/>
    </row>
    <row r="412" spans="1:13" x14ac:dyDescent="0.25">
      <c r="A412" s="12" t="str">
        <f t="shared" si="13"/>
        <v>I38982026SECRETARIA DE ADMINISTRAÇÃO DO GOVERNO DO ESTADO DE PERNAMBUCOIPV</v>
      </c>
      <c r="B412" s="12" t="str">
        <f t="shared" si="14"/>
        <v>Novembro</v>
      </c>
      <c r="C412" s="9">
        <v>87</v>
      </c>
      <c r="D412" s="8" t="s">
        <v>1168</v>
      </c>
      <c r="E412" s="8" t="s">
        <v>1723</v>
      </c>
      <c r="F412" s="8" t="s">
        <v>1744</v>
      </c>
      <c r="G412" s="17">
        <v>46342</v>
      </c>
      <c r="H412" s="8" t="s">
        <v>1144</v>
      </c>
      <c r="I412" s="9">
        <v>10</v>
      </c>
      <c r="J412" s="10">
        <v>544.78</v>
      </c>
      <c r="K412" s="10">
        <v>1089.56</v>
      </c>
      <c r="L412" s="8"/>
      <c r="M412" s="7"/>
    </row>
    <row r="413" spans="1:13" x14ac:dyDescent="0.25">
      <c r="A413" s="12" t="str">
        <f t="shared" si="13"/>
        <v>I38992026SECRETARIA DE ADMINISTRAÇÃO DO GOVERNO DO ESTADO DE PERNAMBUCOIPV</v>
      </c>
      <c r="B413" s="12" t="str">
        <f t="shared" si="14"/>
        <v>Novembro</v>
      </c>
      <c r="C413" s="9">
        <v>87</v>
      </c>
      <c r="D413" s="8" t="s">
        <v>1169</v>
      </c>
      <c r="E413" s="8" t="s">
        <v>1723</v>
      </c>
      <c r="F413" s="8" t="s">
        <v>1744</v>
      </c>
      <c r="G413" s="17">
        <v>46342</v>
      </c>
      <c r="H413" s="8" t="s">
        <v>1144</v>
      </c>
      <c r="I413" s="9">
        <v>10</v>
      </c>
      <c r="J413" s="10">
        <v>521.59</v>
      </c>
      <c r="K413" s="10">
        <v>1611.15</v>
      </c>
      <c r="L413" s="8"/>
      <c r="M413" s="7"/>
    </row>
    <row r="414" spans="1:13" x14ac:dyDescent="0.25">
      <c r="A414" s="12" t="str">
        <f t="shared" si="13"/>
        <v>I39002026SECRETARIA DE ADMINISTRAÇÃO DO GOVERNO DO ESTADO DE PERNAMBUCOIPV</v>
      </c>
      <c r="B414" s="12" t="str">
        <f t="shared" si="14"/>
        <v>Novembro</v>
      </c>
      <c r="C414" s="9">
        <v>87</v>
      </c>
      <c r="D414" s="8" t="s">
        <v>1170</v>
      </c>
      <c r="E414" s="8" t="s">
        <v>1723</v>
      </c>
      <c r="F414" s="8" t="s">
        <v>1744</v>
      </c>
      <c r="G414" s="17">
        <v>46342</v>
      </c>
      <c r="H414" s="8" t="s">
        <v>1144</v>
      </c>
      <c r="I414" s="9">
        <v>10</v>
      </c>
      <c r="J414" s="10">
        <v>521.59</v>
      </c>
      <c r="K414" s="10">
        <v>2132.7399999999998</v>
      </c>
      <c r="L414" s="8"/>
      <c r="M414" s="7"/>
    </row>
    <row r="415" spans="1:13" x14ac:dyDescent="0.25">
      <c r="A415" s="12" t="str">
        <f t="shared" si="13"/>
        <v>I39012026SECRETARIA DE ADMINISTRAÇÃO DO GOVERNO DO ESTADO DE PERNAMBUCOIPV</v>
      </c>
      <c r="B415" s="12" t="str">
        <f t="shared" si="14"/>
        <v>Novembro</v>
      </c>
      <c r="C415" s="9">
        <v>87</v>
      </c>
      <c r="D415" s="8" t="s">
        <v>1171</v>
      </c>
      <c r="E415" s="8" t="s">
        <v>1723</v>
      </c>
      <c r="F415" s="8" t="s">
        <v>1744</v>
      </c>
      <c r="G415" s="17">
        <v>46342</v>
      </c>
      <c r="H415" s="8" t="s">
        <v>1144</v>
      </c>
      <c r="I415" s="9">
        <v>10</v>
      </c>
      <c r="J415" s="10">
        <v>544.78</v>
      </c>
      <c r="K415" s="10">
        <v>2677.52</v>
      </c>
      <c r="L415" s="8"/>
      <c r="M415" s="7"/>
    </row>
    <row r="416" spans="1:13" x14ac:dyDescent="0.25">
      <c r="A416" s="12" t="str">
        <f t="shared" si="13"/>
        <v>I39022026SECRETARIA DE ADMINISTRAÇÃO DO GOVERNO DO ESTADO DE PERNAMBUCOIPV</v>
      </c>
      <c r="B416" s="12" t="str">
        <f t="shared" si="14"/>
        <v>Novembro</v>
      </c>
      <c r="C416" s="9">
        <v>87</v>
      </c>
      <c r="D416" s="8" t="s">
        <v>1172</v>
      </c>
      <c r="E416" s="8" t="s">
        <v>1723</v>
      </c>
      <c r="F416" s="8" t="s">
        <v>1744</v>
      </c>
      <c r="G416" s="17">
        <v>46342</v>
      </c>
      <c r="H416" s="8" t="s">
        <v>1144</v>
      </c>
      <c r="I416" s="9">
        <v>10</v>
      </c>
      <c r="J416" s="10">
        <v>544.78</v>
      </c>
      <c r="K416" s="10">
        <v>3222.3</v>
      </c>
      <c r="L416" s="8"/>
      <c r="M416" s="7"/>
    </row>
    <row r="417" spans="1:13" x14ac:dyDescent="0.25">
      <c r="A417" s="12" t="str">
        <f t="shared" si="13"/>
        <v>I39032026SECRETARIA DE ADMINISTRAÇÃO DO GOVERNO DO ESTADO DE PERNAMBUCOIPV</v>
      </c>
      <c r="B417" s="12" t="str">
        <f t="shared" si="14"/>
        <v>Novembro</v>
      </c>
      <c r="C417" s="9">
        <v>87</v>
      </c>
      <c r="D417" s="8" t="s">
        <v>1173</v>
      </c>
      <c r="E417" s="8" t="s">
        <v>1723</v>
      </c>
      <c r="F417" s="8" t="s">
        <v>1744</v>
      </c>
      <c r="G417" s="17">
        <v>46342</v>
      </c>
      <c r="H417" s="8" t="s">
        <v>1144</v>
      </c>
      <c r="I417" s="9">
        <v>10</v>
      </c>
      <c r="J417" s="10">
        <v>544.78</v>
      </c>
      <c r="K417" s="10">
        <v>3767.08</v>
      </c>
      <c r="L417" s="8"/>
      <c r="M417" s="7"/>
    </row>
    <row r="418" spans="1:13" x14ac:dyDescent="0.25">
      <c r="A418" s="12" t="str">
        <f t="shared" si="13"/>
        <v>IFL1432026SECRETARIA DE ADMINISTRAÇÃO DO GOVERNO DO ESTADO DE PERNAMBUCOIPV</v>
      </c>
      <c r="B418" s="12" t="str">
        <f t="shared" si="14"/>
        <v>Novembro</v>
      </c>
      <c r="C418" s="9">
        <v>87</v>
      </c>
      <c r="D418" s="8" t="s">
        <v>1174</v>
      </c>
      <c r="E418" s="8" t="s">
        <v>1723</v>
      </c>
      <c r="F418" s="8" t="s">
        <v>1744</v>
      </c>
      <c r="G418" s="17">
        <v>46342</v>
      </c>
      <c r="H418" s="8" t="s">
        <v>1144</v>
      </c>
      <c r="I418" s="9">
        <v>10</v>
      </c>
      <c r="J418" s="10">
        <v>247.12</v>
      </c>
      <c r="K418" s="10">
        <v>4014.2</v>
      </c>
      <c r="L418" s="8"/>
      <c r="M418" s="7"/>
    </row>
    <row r="419" spans="1:13" x14ac:dyDescent="0.25">
      <c r="A419" s="12" t="str">
        <f t="shared" si="13"/>
        <v>IFL1442026SECRETARIA DE ADMINISTRAÇÃO DO GOVERNO DO ESTADO DE PERNAMBUCOIPV</v>
      </c>
      <c r="B419" s="12" t="str">
        <f t="shared" si="14"/>
        <v>Novembro</v>
      </c>
      <c r="C419" s="9">
        <v>87</v>
      </c>
      <c r="D419" s="8" t="s">
        <v>1175</v>
      </c>
      <c r="E419" s="8" t="s">
        <v>1723</v>
      </c>
      <c r="F419" s="8" t="s">
        <v>1744</v>
      </c>
      <c r="G419" s="17">
        <v>46342</v>
      </c>
      <c r="H419" s="8" t="s">
        <v>1144</v>
      </c>
      <c r="I419" s="9">
        <v>10</v>
      </c>
      <c r="J419" s="10">
        <v>247.12</v>
      </c>
      <c r="K419" s="10">
        <v>4261.32</v>
      </c>
      <c r="L419" s="8"/>
      <c r="M419" s="7"/>
    </row>
    <row r="420" spans="1:13" x14ac:dyDescent="0.25">
      <c r="A420" s="12" t="str">
        <f t="shared" si="13"/>
        <v>IFL1452026SECRETARIA DE ADMINISTRAÇÃO DO GOVERNO DO ESTADO DE PERNAMBUCOIPV</v>
      </c>
      <c r="B420" s="12" t="str">
        <f t="shared" si="14"/>
        <v>Novembro</v>
      </c>
      <c r="C420" s="9">
        <v>87</v>
      </c>
      <c r="D420" s="8" t="s">
        <v>1176</v>
      </c>
      <c r="E420" s="8" t="s">
        <v>1723</v>
      </c>
      <c r="F420" s="8" t="s">
        <v>1744</v>
      </c>
      <c r="G420" s="17">
        <v>46342</v>
      </c>
      <c r="H420" s="8" t="s">
        <v>1144</v>
      </c>
      <c r="I420" s="9">
        <v>10</v>
      </c>
      <c r="J420" s="10">
        <v>247.12</v>
      </c>
      <c r="K420" s="10">
        <v>4508.4399999999996</v>
      </c>
      <c r="L420" s="8"/>
      <c r="M420" s="7"/>
    </row>
    <row r="421" spans="1:13" x14ac:dyDescent="0.25">
      <c r="A421" s="12" t="str">
        <f t="shared" si="13"/>
        <v>IFL322026SECRETARIA DE ADMINISTRAÇÃO DO GOVERNO DO ESTADO DE PERNAMBUCOIPV</v>
      </c>
      <c r="B421" s="12" t="str">
        <f t="shared" si="14"/>
        <v>Novembro</v>
      </c>
      <c r="C421" s="9">
        <v>87</v>
      </c>
      <c r="D421" s="8" t="s">
        <v>1177</v>
      </c>
      <c r="E421" s="8" t="s">
        <v>1723</v>
      </c>
      <c r="F421" s="8" t="s">
        <v>1744</v>
      </c>
      <c r="G421" s="17">
        <v>46342</v>
      </c>
      <c r="H421" s="8" t="s">
        <v>1144</v>
      </c>
      <c r="I421" s="9">
        <v>10</v>
      </c>
      <c r="J421" s="10">
        <v>170.26</v>
      </c>
      <c r="K421" s="10">
        <v>4678.7</v>
      </c>
      <c r="L421" s="8"/>
      <c r="M421" s="7"/>
    </row>
    <row r="422" spans="1:13" x14ac:dyDescent="0.25">
      <c r="A422" s="12" t="str">
        <f t="shared" si="13"/>
        <v>IFL332026SECRETARIA DE ADMINISTRAÇÃO DO GOVERNO DO ESTADO DE PERNAMBUCOIPV</v>
      </c>
      <c r="B422" s="12" t="str">
        <f t="shared" si="14"/>
        <v>Novembro</v>
      </c>
      <c r="C422" s="9">
        <v>87</v>
      </c>
      <c r="D422" s="8" t="s">
        <v>1178</v>
      </c>
      <c r="E422" s="8" t="s">
        <v>1723</v>
      </c>
      <c r="F422" s="8" t="s">
        <v>1744</v>
      </c>
      <c r="G422" s="17">
        <v>46342</v>
      </c>
      <c r="H422" s="8" t="s">
        <v>1144</v>
      </c>
      <c r="I422" s="9">
        <v>10</v>
      </c>
      <c r="J422" s="10">
        <v>170.26</v>
      </c>
      <c r="K422" s="10">
        <v>4848.96</v>
      </c>
      <c r="L422" s="8"/>
      <c r="M422" s="7"/>
    </row>
    <row r="423" spans="1:13" x14ac:dyDescent="0.25">
      <c r="A423" s="12" t="str">
        <f t="shared" si="13"/>
        <v>IFL342026SECRETARIA DE ADMINISTRAÇÃO DO GOVERNO DO ESTADO DE PERNAMBUCOIPV</v>
      </c>
      <c r="B423" s="12" t="str">
        <f t="shared" si="14"/>
        <v>Novembro</v>
      </c>
      <c r="C423" s="9">
        <v>87</v>
      </c>
      <c r="D423" s="8" t="s">
        <v>1179</v>
      </c>
      <c r="E423" s="8" t="s">
        <v>1723</v>
      </c>
      <c r="F423" s="8" t="s">
        <v>1744</v>
      </c>
      <c r="G423" s="17">
        <v>46342</v>
      </c>
      <c r="H423" s="8" t="s">
        <v>1144</v>
      </c>
      <c r="I423" s="9">
        <v>10</v>
      </c>
      <c r="J423" s="10">
        <v>170.26</v>
      </c>
      <c r="K423" s="10">
        <v>5019.22</v>
      </c>
      <c r="L423" s="8"/>
      <c r="M423" s="7"/>
    </row>
    <row r="424" spans="1:13" x14ac:dyDescent="0.25">
      <c r="A424" s="12" t="str">
        <f t="shared" si="13"/>
        <v>IFL352026SECRETARIA DE ADMINISTRAÇÃO DO GOVERNO DO ESTADO DE PERNAMBUCOIPV</v>
      </c>
      <c r="B424" s="12" t="str">
        <f t="shared" si="14"/>
        <v>Novembro</v>
      </c>
      <c r="C424" s="9">
        <v>87</v>
      </c>
      <c r="D424" s="8" t="s">
        <v>1180</v>
      </c>
      <c r="E424" s="8" t="s">
        <v>1723</v>
      </c>
      <c r="F424" s="8" t="s">
        <v>1744</v>
      </c>
      <c r="G424" s="17">
        <v>46342</v>
      </c>
      <c r="H424" s="8" t="s">
        <v>1144</v>
      </c>
      <c r="I424" s="9">
        <v>10</v>
      </c>
      <c r="J424" s="10">
        <v>170.26</v>
      </c>
      <c r="K424" s="10">
        <v>5189.4799999999996</v>
      </c>
      <c r="L424" s="8"/>
      <c r="M424" s="7"/>
    </row>
    <row r="425" spans="1:13" x14ac:dyDescent="0.25">
      <c r="A425" s="12" t="str">
        <f t="shared" si="13"/>
        <v>IFL362026SECRETARIA DE ADMINISTRAÇÃO DO GOVERNO DO ESTADO DE PERNAMBUCOIPV</v>
      </c>
      <c r="B425" s="12" t="str">
        <f t="shared" si="14"/>
        <v>Novembro</v>
      </c>
      <c r="C425" s="9">
        <v>87</v>
      </c>
      <c r="D425" s="8" t="s">
        <v>1181</v>
      </c>
      <c r="E425" s="8" t="s">
        <v>1723</v>
      </c>
      <c r="F425" s="8" t="s">
        <v>1744</v>
      </c>
      <c r="G425" s="17">
        <v>46342</v>
      </c>
      <c r="H425" s="8" t="s">
        <v>1144</v>
      </c>
      <c r="I425" s="9">
        <v>10</v>
      </c>
      <c r="J425" s="10">
        <v>170.26</v>
      </c>
      <c r="K425" s="10">
        <v>5359.74</v>
      </c>
      <c r="L425" s="8"/>
      <c r="M425" s="7"/>
    </row>
    <row r="426" spans="1:13" x14ac:dyDescent="0.25">
      <c r="A426" s="12" t="str">
        <f t="shared" si="13"/>
        <v>IPDG92962026SECRETARIA DE ADMINISTRAÇÃO DO GOVERNO DO ESTADO DE PERNAMBUCOIPV</v>
      </c>
      <c r="B426" s="12" t="str">
        <f t="shared" si="14"/>
        <v>Novembro</v>
      </c>
      <c r="C426" s="9">
        <v>87</v>
      </c>
      <c r="D426" s="8" t="s">
        <v>1182</v>
      </c>
      <c r="E426" s="8" t="s">
        <v>1723</v>
      </c>
      <c r="F426" s="8" t="s">
        <v>1744</v>
      </c>
      <c r="G426" s="17">
        <v>46342</v>
      </c>
      <c r="H426" s="8" t="s">
        <v>1144</v>
      </c>
      <c r="I426" s="9">
        <v>10</v>
      </c>
      <c r="J426" s="10">
        <v>323.81</v>
      </c>
      <c r="K426" s="10">
        <v>5683.55</v>
      </c>
      <c r="L426" s="8"/>
      <c r="M426" s="7"/>
    </row>
    <row r="427" spans="1:13" x14ac:dyDescent="0.25">
      <c r="A427" s="12" t="str">
        <f t="shared" si="13"/>
        <v>IVA1132026SECRETARIA DE ADMINISTRAÇÃO DO GOVERNO DO ESTADO DE PERNAMBUCOIPV</v>
      </c>
      <c r="B427" s="12" t="str">
        <f t="shared" si="14"/>
        <v>Novembro</v>
      </c>
      <c r="C427" s="9">
        <v>87</v>
      </c>
      <c r="D427" s="8" t="s">
        <v>1183</v>
      </c>
      <c r="E427" s="8" t="s">
        <v>1723</v>
      </c>
      <c r="F427" s="8" t="s">
        <v>1744</v>
      </c>
      <c r="G427" s="17">
        <v>46342</v>
      </c>
      <c r="H427" s="8" t="s">
        <v>1144</v>
      </c>
      <c r="I427" s="9">
        <v>10</v>
      </c>
      <c r="J427" s="10">
        <v>178.78</v>
      </c>
      <c r="K427" s="10">
        <v>5862.33</v>
      </c>
      <c r="L427" s="8"/>
      <c r="M427" s="7"/>
    </row>
    <row r="428" spans="1:13" x14ac:dyDescent="0.25">
      <c r="A428" s="12" t="str">
        <f t="shared" si="13"/>
        <v>IVA1142026SECRETARIA DE ADMINISTRAÇÃO DO GOVERNO DO ESTADO DE PERNAMBUCOIPV</v>
      </c>
      <c r="B428" s="12" t="str">
        <f t="shared" si="14"/>
        <v>Novembro</v>
      </c>
      <c r="C428" s="9">
        <v>87</v>
      </c>
      <c r="D428" s="8" t="s">
        <v>1184</v>
      </c>
      <c r="E428" s="8" t="s">
        <v>1723</v>
      </c>
      <c r="F428" s="8" t="s">
        <v>1744</v>
      </c>
      <c r="G428" s="17">
        <v>46342</v>
      </c>
      <c r="H428" s="8" t="s">
        <v>1144</v>
      </c>
      <c r="I428" s="9">
        <v>10</v>
      </c>
      <c r="J428" s="10">
        <v>178.78</v>
      </c>
      <c r="K428" s="10">
        <v>6041.11</v>
      </c>
      <c r="L428" s="8"/>
      <c r="M428" s="7"/>
    </row>
    <row r="429" spans="1:13" x14ac:dyDescent="0.25">
      <c r="A429" s="12" t="str">
        <f t="shared" si="13"/>
        <v>IVA1162026SECRETARIA DE ADMINISTRAÇÃO DO GOVERNO DO ESTADO DE PERNAMBUCOIPV</v>
      </c>
      <c r="B429" s="12" t="str">
        <f t="shared" si="14"/>
        <v>Novembro</v>
      </c>
      <c r="C429" s="9">
        <v>87</v>
      </c>
      <c r="D429" s="8" t="s">
        <v>1185</v>
      </c>
      <c r="E429" s="8" t="s">
        <v>1723</v>
      </c>
      <c r="F429" s="8" t="s">
        <v>1744</v>
      </c>
      <c r="G429" s="17">
        <v>46342</v>
      </c>
      <c r="H429" s="8" t="s">
        <v>1144</v>
      </c>
      <c r="I429" s="9">
        <v>10</v>
      </c>
      <c r="J429" s="10">
        <v>213.97</v>
      </c>
      <c r="K429" s="10">
        <v>6255.08</v>
      </c>
      <c r="L429" s="8"/>
      <c r="M429" s="7"/>
    </row>
    <row r="430" spans="1:13" x14ac:dyDescent="0.25">
      <c r="A430" s="12" t="str">
        <f t="shared" si="13"/>
        <v>IVA1172026SECRETARIA DE ADMINISTRAÇÃO DO GOVERNO DO ESTADO DE PERNAMBUCOIPV</v>
      </c>
      <c r="B430" s="12" t="str">
        <f t="shared" si="14"/>
        <v>Novembro</v>
      </c>
      <c r="C430" s="9">
        <v>87</v>
      </c>
      <c r="D430" s="8" t="s">
        <v>1186</v>
      </c>
      <c r="E430" s="8" t="s">
        <v>1723</v>
      </c>
      <c r="F430" s="8" t="s">
        <v>1744</v>
      </c>
      <c r="G430" s="17">
        <v>46342</v>
      </c>
      <c r="H430" s="8" t="s">
        <v>1144</v>
      </c>
      <c r="I430" s="9">
        <v>10</v>
      </c>
      <c r="J430" s="10">
        <v>213.97</v>
      </c>
      <c r="K430" s="10">
        <v>6469.05</v>
      </c>
      <c r="L430" s="8"/>
      <c r="M430" s="7"/>
    </row>
    <row r="431" spans="1:13" x14ac:dyDescent="0.25">
      <c r="A431" s="12" t="str">
        <f t="shared" si="13"/>
        <v>IVA1182026SECRETARIA DE ADMINISTRAÇÃO DO GOVERNO DO ESTADO DE PERNAMBUCOIPV</v>
      </c>
      <c r="B431" s="12" t="str">
        <f t="shared" si="14"/>
        <v>Novembro</v>
      </c>
      <c r="C431" s="9">
        <v>87</v>
      </c>
      <c r="D431" s="8" t="s">
        <v>1187</v>
      </c>
      <c r="E431" s="8" t="s">
        <v>1723</v>
      </c>
      <c r="F431" s="8" t="s">
        <v>1744</v>
      </c>
      <c r="G431" s="17">
        <v>46342</v>
      </c>
      <c r="H431" s="8" t="s">
        <v>1144</v>
      </c>
      <c r="I431" s="9">
        <v>10</v>
      </c>
      <c r="J431" s="10">
        <v>213.97</v>
      </c>
      <c r="K431" s="10">
        <v>6683.02</v>
      </c>
      <c r="L431" s="8"/>
      <c r="M431" s="7"/>
    </row>
    <row r="432" spans="1:13" x14ac:dyDescent="0.25">
      <c r="A432" s="12" t="str">
        <f t="shared" si="13"/>
        <v>IVA1192026SECRETARIA DE ADMINISTRAÇÃO DO GOVERNO DO ESTADO DE PERNAMBUCOIPV</v>
      </c>
      <c r="B432" s="12" t="str">
        <f t="shared" si="14"/>
        <v>Novembro</v>
      </c>
      <c r="C432" s="9">
        <v>87</v>
      </c>
      <c r="D432" s="8" t="s">
        <v>1188</v>
      </c>
      <c r="E432" s="8" t="s">
        <v>1723</v>
      </c>
      <c r="F432" s="8" t="s">
        <v>1744</v>
      </c>
      <c r="G432" s="17">
        <v>46342</v>
      </c>
      <c r="H432" s="8" t="s">
        <v>1144</v>
      </c>
      <c r="I432" s="9">
        <v>10</v>
      </c>
      <c r="J432" s="10">
        <v>213.97</v>
      </c>
      <c r="K432" s="10">
        <v>6896.99</v>
      </c>
      <c r="L432" s="8"/>
      <c r="M432" s="7"/>
    </row>
    <row r="433" spans="1:13" x14ac:dyDescent="0.25">
      <c r="A433" s="12" t="str">
        <f t="shared" si="13"/>
        <v>IVA1202026SECRETARIA DE ADMINISTRAÇÃO DO GOVERNO DO ESTADO DE PERNAMBUCOIPV</v>
      </c>
      <c r="B433" s="12" t="str">
        <f t="shared" si="14"/>
        <v>Novembro</v>
      </c>
      <c r="C433" s="9">
        <v>87</v>
      </c>
      <c r="D433" s="8" t="s">
        <v>1189</v>
      </c>
      <c r="E433" s="8" t="s">
        <v>1723</v>
      </c>
      <c r="F433" s="8" t="s">
        <v>1744</v>
      </c>
      <c r="G433" s="17">
        <v>46342</v>
      </c>
      <c r="H433" s="8" t="s">
        <v>1144</v>
      </c>
      <c r="I433" s="9">
        <v>10</v>
      </c>
      <c r="J433" s="10">
        <v>213.97</v>
      </c>
      <c r="K433" s="10">
        <v>7110.96</v>
      </c>
      <c r="L433" s="8"/>
      <c r="M433" s="7"/>
    </row>
    <row r="434" spans="1:13" x14ac:dyDescent="0.25">
      <c r="A434" s="12" t="str">
        <f t="shared" si="13"/>
        <v>IVA1212026SECRETARIA DE ADMINISTRAÇÃO DO GOVERNO DO ESTADO DE PERNAMBUCOIPV</v>
      </c>
      <c r="B434" s="12" t="str">
        <f t="shared" si="14"/>
        <v>Novembro</v>
      </c>
      <c r="C434" s="9">
        <v>87</v>
      </c>
      <c r="D434" s="8" t="s">
        <v>1190</v>
      </c>
      <c r="E434" s="8" t="s">
        <v>1723</v>
      </c>
      <c r="F434" s="8" t="s">
        <v>1744</v>
      </c>
      <c r="G434" s="17">
        <v>46342</v>
      </c>
      <c r="H434" s="8" t="s">
        <v>1144</v>
      </c>
      <c r="I434" s="9">
        <v>10</v>
      </c>
      <c r="J434" s="10">
        <v>213.97</v>
      </c>
      <c r="K434" s="10">
        <v>7324.93</v>
      </c>
      <c r="L434" s="8"/>
      <c r="M434" s="7"/>
    </row>
    <row r="435" spans="1:13" x14ac:dyDescent="0.25">
      <c r="A435" s="12" t="str">
        <f t="shared" si="13"/>
        <v>IVA1222026SECRETARIA DE ADMINISTRAÇÃO DO GOVERNO DO ESTADO DE PERNAMBUCOIPV</v>
      </c>
      <c r="B435" s="12" t="str">
        <f t="shared" si="14"/>
        <v>Novembro</v>
      </c>
      <c r="C435" s="9">
        <v>87</v>
      </c>
      <c r="D435" s="8" t="s">
        <v>1191</v>
      </c>
      <c r="E435" s="8" t="s">
        <v>1723</v>
      </c>
      <c r="F435" s="8" t="s">
        <v>1744</v>
      </c>
      <c r="G435" s="17">
        <v>46342</v>
      </c>
      <c r="H435" s="8" t="s">
        <v>1144</v>
      </c>
      <c r="I435" s="9">
        <v>10</v>
      </c>
      <c r="J435" s="10">
        <v>213.97</v>
      </c>
      <c r="K435" s="10">
        <v>7538.9</v>
      </c>
      <c r="L435" s="8"/>
      <c r="M435" s="7"/>
    </row>
    <row r="436" spans="1:13" x14ac:dyDescent="0.25">
      <c r="A436" s="12" t="str">
        <f t="shared" si="13"/>
        <v>IVA1232026SECRETARIA DE ADMINISTRAÇÃO DO GOVERNO DO ESTADO DE PERNAMBUCOIPV</v>
      </c>
      <c r="B436" s="12" t="str">
        <f t="shared" si="14"/>
        <v>Novembro</v>
      </c>
      <c r="C436" s="9">
        <v>87</v>
      </c>
      <c r="D436" s="8" t="s">
        <v>1192</v>
      </c>
      <c r="E436" s="8" t="s">
        <v>1723</v>
      </c>
      <c r="F436" s="8" t="s">
        <v>1744</v>
      </c>
      <c r="G436" s="17">
        <v>46342</v>
      </c>
      <c r="H436" s="8" t="s">
        <v>1144</v>
      </c>
      <c r="I436" s="9">
        <v>10</v>
      </c>
      <c r="J436" s="10">
        <v>213.97</v>
      </c>
      <c r="K436" s="10">
        <v>7752.87</v>
      </c>
      <c r="L436" s="8"/>
      <c r="M436" s="7"/>
    </row>
    <row r="437" spans="1:13" x14ac:dyDescent="0.25">
      <c r="A437" s="12" t="str">
        <f t="shared" si="13"/>
        <v>IVA1242026SECRETARIA DE ADMINISTRAÇÃO DO GOVERNO DO ESTADO DE PERNAMBUCOIPV</v>
      </c>
      <c r="B437" s="12" t="str">
        <f t="shared" si="14"/>
        <v>Novembro</v>
      </c>
      <c r="C437" s="9">
        <v>87</v>
      </c>
      <c r="D437" s="8" t="s">
        <v>1193</v>
      </c>
      <c r="E437" s="8" t="s">
        <v>1723</v>
      </c>
      <c r="F437" s="8" t="s">
        <v>1744</v>
      </c>
      <c r="G437" s="17">
        <v>46342</v>
      </c>
      <c r="H437" s="8" t="s">
        <v>1144</v>
      </c>
      <c r="I437" s="9">
        <v>10</v>
      </c>
      <c r="J437" s="10">
        <v>213.97</v>
      </c>
      <c r="K437" s="10">
        <v>7966.84</v>
      </c>
      <c r="L437" s="8"/>
      <c r="M437" s="7"/>
    </row>
    <row r="438" spans="1:13" x14ac:dyDescent="0.25">
      <c r="A438" s="12" t="str">
        <f t="shared" si="13"/>
        <v>IVA1252026SECRETARIA DE ADMINISTRAÇÃO DO GOVERNO DO ESTADO DE PERNAMBUCOIPV</v>
      </c>
      <c r="B438" s="12" t="str">
        <f t="shared" si="14"/>
        <v>Novembro</v>
      </c>
      <c r="C438" s="9">
        <v>87</v>
      </c>
      <c r="D438" s="8" t="s">
        <v>1194</v>
      </c>
      <c r="E438" s="8" t="s">
        <v>1723</v>
      </c>
      <c r="F438" s="8" t="s">
        <v>1744</v>
      </c>
      <c r="G438" s="17">
        <v>46342</v>
      </c>
      <c r="H438" s="8" t="s">
        <v>1144</v>
      </c>
      <c r="I438" s="9">
        <v>10</v>
      </c>
      <c r="J438" s="10">
        <v>213.97</v>
      </c>
      <c r="K438" s="10">
        <v>8180.81</v>
      </c>
      <c r="L438" s="8"/>
      <c r="M438" s="7"/>
    </row>
    <row r="439" spans="1:13" x14ac:dyDescent="0.25">
      <c r="A439" s="12" t="str">
        <f t="shared" si="13"/>
        <v>IVA1282026SECRETARIA DE ADMINISTRAÇÃO DO GOVERNO DO ESTADO DE PERNAMBUCOIPV</v>
      </c>
      <c r="B439" s="12" t="str">
        <f t="shared" si="14"/>
        <v>Novembro</v>
      </c>
      <c r="C439" s="9">
        <v>87</v>
      </c>
      <c r="D439" s="8" t="s">
        <v>1195</v>
      </c>
      <c r="E439" s="8" t="s">
        <v>1723</v>
      </c>
      <c r="F439" s="8" t="s">
        <v>1744</v>
      </c>
      <c r="G439" s="17">
        <v>46342</v>
      </c>
      <c r="H439" s="8" t="s">
        <v>1144</v>
      </c>
      <c r="I439" s="9">
        <v>10</v>
      </c>
      <c r="J439" s="10">
        <v>213.97</v>
      </c>
      <c r="K439" s="10">
        <v>8394.7800000000007</v>
      </c>
      <c r="L439" s="8"/>
      <c r="M439" s="7"/>
    </row>
    <row r="440" spans="1:13" x14ac:dyDescent="0.25">
      <c r="A440" s="12" t="str">
        <f t="shared" si="13"/>
        <v>IVA1292026SECRETARIA DE ADMINISTRAÇÃO DO GOVERNO DO ESTADO DE PERNAMBUCOIPV</v>
      </c>
      <c r="B440" s="12" t="str">
        <f t="shared" si="14"/>
        <v>Novembro</v>
      </c>
      <c r="C440" s="9">
        <v>87</v>
      </c>
      <c r="D440" s="8" t="s">
        <v>1196</v>
      </c>
      <c r="E440" s="8" t="s">
        <v>1723</v>
      </c>
      <c r="F440" s="8" t="s">
        <v>1744</v>
      </c>
      <c r="G440" s="17">
        <v>46342</v>
      </c>
      <c r="H440" s="8" t="s">
        <v>1144</v>
      </c>
      <c r="I440" s="9">
        <v>10</v>
      </c>
      <c r="J440" s="10">
        <v>213.97</v>
      </c>
      <c r="K440" s="10">
        <v>8608.75</v>
      </c>
      <c r="L440" s="8"/>
      <c r="M440" s="7"/>
    </row>
    <row r="441" spans="1:13" x14ac:dyDescent="0.25">
      <c r="A441" s="12" t="str">
        <f t="shared" si="13"/>
        <v>IVA1322026SECRETARIA DE ADMINISTRAÇÃO DO GOVERNO DO ESTADO DE PERNAMBUCOIPV</v>
      </c>
      <c r="B441" s="12" t="str">
        <f t="shared" si="14"/>
        <v>Novembro</v>
      </c>
      <c r="C441" s="9">
        <v>87</v>
      </c>
      <c r="D441" s="8" t="s">
        <v>1197</v>
      </c>
      <c r="E441" s="8" t="s">
        <v>1723</v>
      </c>
      <c r="F441" s="8" t="s">
        <v>1744</v>
      </c>
      <c r="G441" s="17">
        <v>46342</v>
      </c>
      <c r="H441" s="8" t="s">
        <v>1144</v>
      </c>
      <c r="I441" s="9">
        <v>10</v>
      </c>
      <c r="J441" s="10">
        <v>213.97</v>
      </c>
      <c r="K441" s="10">
        <v>8822.7199999999993</v>
      </c>
      <c r="L441" s="8"/>
      <c r="M441" s="7"/>
    </row>
    <row r="442" spans="1:13" x14ac:dyDescent="0.25">
      <c r="A442" s="12" t="str">
        <f t="shared" si="13"/>
        <v>IVA1332026SECRETARIA DE ADMINISTRAÇÃO DO GOVERNO DO ESTADO DE PERNAMBUCOIPV</v>
      </c>
      <c r="B442" s="12" t="str">
        <f t="shared" si="14"/>
        <v>Novembro</v>
      </c>
      <c r="C442" s="9">
        <v>87</v>
      </c>
      <c r="D442" s="8" t="s">
        <v>1198</v>
      </c>
      <c r="E442" s="8" t="s">
        <v>1723</v>
      </c>
      <c r="F442" s="8" t="s">
        <v>1744</v>
      </c>
      <c r="G442" s="17">
        <v>46342</v>
      </c>
      <c r="H442" s="8" t="s">
        <v>1144</v>
      </c>
      <c r="I442" s="9">
        <v>10</v>
      </c>
      <c r="J442" s="10">
        <v>213.97</v>
      </c>
      <c r="K442" s="10">
        <v>9036.69</v>
      </c>
      <c r="L442" s="8"/>
      <c r="M442" s="7"/>
    </row>
    <row r="443" spans="1:13" x14ac:dyDescent="0.25">
      <c r="A443" s="12" t="str">
        <f t="shared" si="13"/>
        <v>IVA1342026SECRETARIA DE ADMINISTRAÇÃO DO GOVERNO DO ESTADO DE PERNAMBUCOIPV</v>
      </c>
      <c r="B443" s="12" t="str">
        <f t="shared" si="14"/>
        <v>Novembro</v>
      </c>
      <c r="C443" s="9">
        <v>87</v>
      </c>
      <c r="D443" s="8" t="s">
        <v>1199</v>
      </c>
      <c r="E443" s="8" t="s">
        <v>1723</v>
      </c>
      <c r="F443" s="8" t="s">
        <v>1744</v>
      </c>
      <c r="G443" s="17">
        <v>46342</v>
      </c>
      <c r="H443" s="8" t="s">
        <v>1144</v>
      </c>
      <c r="I443" s="9">
        <v>10</v>
      </c>
      <c r="J443" s="10">
        <v>213.97</v>
      </c>
      <c r="K443" s="10">
        <v>9250.66</v>
      </c>
      <c r="L443" s="8"/>
      <c r="M443" s="7"/>
    </row>
    <row r="444" spans="1:13" x14ac:dyDescent="0.25">
      <c r="A444" s="12" t="str">
        <f t="shared" si="13"/>
        <v>IVA1352026SECRETARIA DE ADMINISTRAÇÃO DO GOVERNO DO ESTADO DE PERNAMBUCOIPV</v>
      </c>
      <c r="B444" s="12" t="str">
        <f t="shared" si="14"/>
        <v>Novembro</v>
      </c>
      <c r="C444" s="9">
        <v>87</v>
      </c>
      <c r="D444" s="8" t="s">
        <v>1200</v>
      </c>
      <c r="E444" s="8" t="s">
        <v>1723</v>
      </c>
      <c r="F444" s="8" t="s">
        <v>1744</v>
      </c>
      <c r="G444" s="17">
        <v>46342</v>
      </c>
      <c r="H444" s="8" t="s">
        <v>1144</v>
      </c>
      <c r="I444" s="9">
        <v>10</v>
      </c>
      <c r="J444" s="10">
        <v>213.97</v>
      </c>
      <c r="K444" s="10">
        <v>9464.6299999999992</v>
      </c>
      <c r="L444" s="8"/>
      <c r="M444" s="7"/>
    </row>
    <row r="445" spans="1:13" x14ac:dyDescent="0.25">
      <c r="A445" s="12" t="str">
        <f t="shared" si="13"/>
        <v>IVA1362026SECRETARIA DE ADMINISTRAÇÃO DO GOVERNO DO ESTADO DE PERNAMBUCOIPV</v>
      </c>
      <c r="B445" s="12" t="str">
        <f t="shared" si="14"/>
        <v>Novembro</v>
      </c>
      <c r="C445" s="9">
        <v>87</v>
      </c>
      <c r="D445" s="8" t="s">
        <v>1201</v>
      </c>
      <c r="E445" s="8" t="s">
        <v>1723</v>
      </c>
      <c r="F445" s="8" t="s">
        <v>1744</v>
      </c>
      <c r="G445" s="17">
        <v>46342</v>
      </c>
      <c r="H445" s="8" t="s">
        <v>1144</v>
      </c>
      <c r="I445" s="9">
        <v>10</v>
      </c>
      <c r="J445" s="10">
        <v>213.97</v>
      </c>
      <c r="K445" s="10">
        <v>9678.6</v>
      </c>
      <c r="L445" s="8"/>
      <c r="M445" s="7"/>
    </row>
    <row r="446" spans="1:13" x14ac:dyDescent="0.25">
      <c r="A446" s="12" t="str">
        <f t="shared" si="13"/>
        <v>IVA1372026SECRETARIA DE ADMINISTRAÇÃO DO GOVERNO DO ESTADO DE PERNAMBUCOIPV</v>
      </c>
      <c r="B446" s="12" t="str">
        <f t="shared" si="14"/>
        <v>Novembro</v>
      </c>
      <c r="C446" s="9">
        <v>87</v>
      </c>
      <c r="D446" s="8" t="s">
        <v>1202</v>
      </c>
      <c r="E446" s="8" t="s">
        <v>1723</v>
      </c>
      <c r="F446" s="8" t="s">
        <v>1744</v>
      </c>
      <c r="G446" s="17">
        <v>46342</v>
      </c>
      <c r="H446" s="8" t="s">
        <v>1144</v>
      </c>
      <c r="I446" s="9">
        <v>10</v>
      </c>
      <c r="J446" s="10">
        <v>213.97</v>
      </c>
      <c r="K446" s="10">
        <v>9892.57</v>
      </c>
      <c r="L446" s="8"/>
      <c r="M446" s="7"/>
    </row>
    <row r="447" spans="1:13" x14ac:dyDescent="0.25">
      <c r="A447" s="12" t="str">
        <f t="shared" si="13"/>
        <v>IVA1382026SECRETARIA DE ADMINISTRAÇÃO DO GOVERNO DO ESTADO DE PERNAMBUCOIPV</v>
      </c>
      <c r="B447" s="12" t="str">
        <f t="shared" si="14"/>
        <v>Novembro</v>
      </c>
      <c r="C447" s="9">
        <v>87</v>
      </c>
      <c r="D447" s="8" t="s">
        <v>1203</v>
      </c>
      <c r="E447" s="8" t="s">
        <v>1723</v>
      </c>
      <c r="F447" s="8" t="s">
        <v>1744</v>
      </c>
      <c r="G447" s="17">
        <v>46342</v>
      </c>
      <c r="H447" s="8" t="s">
        <v>1144</v>
      </c>
      <c r="I447" s="9">
        <v>10</v>
      </c>
      <c r="J447" s="10">
        <v>213.97</v>
      </c>
      <c r="K447" s="10">
        <v>10106.540000000001</v>
      </c>
      <c r="L447" s="8"/>
      <c r="M447" s="7"/>
    </row>
    <row r="448" spans="1:13" x14ac:dyDescent="0.25">
      <c r="A448" s="12" t="str">
        <f t="shared" si="13"/>
        <v>IVA1392026SECRETARIA DE ADMINISTRAÇÃO DO GOVERNO DO ESTADO DE PERNAMBUCOIPV</v>
      </c>
      <c r="B448" s="12" t="str">
        <f t="shared" si="14"/>
        <v>Novembro</v>
      </c>
      <c r="C448" s="9">
        <v>87</v>
      </c>
      <c r="D448" s="8" t="s">
        <v>1204</v>
      </c>
      <c r="E448" s="8" t="s">
        <v>1723</v>
      </c>
      <c r="F448" s="8" t="s">
        <v>1744</v>
      </c>
      <c r="G448" s="17">
        <v>46342</v>
      </c>
      <c r="H448" s="8" t="s">
        <v>1144</v>
      </c>
      <c r="I448" s="9">
        <v>10</v>
      </c>
      <c r="J448" s="10">
        <v>213.97</v>
      </c>
      <c r="K448" s="10">
        <v>10320.51</v>
      </c>
      <c r="L448" s="8"/>
      <c r="M448" s="7"/>
    </row>
    <row r="449" spans="1:13" x14ac:dyDescent="0.25">
      <c r="A449" s="12" t="str">
        <f t="shared" si="13"/>
        <v>IVA1402026SECRETARIA DE ADMINISTRAÇÃO DO GOVERNO DO ESTADO DE PERNAMBUCOIPV</v>
      </c>
      <c r="B449" s="12" t="str">
        <f t="shared" si="14"/>
        <v>Novembro</v>
      </c>
      <c r="C449" s="9">
        <v>87</v>
      </c>
      <c r="D449" s="8" t="s">
        <v>1205</v>
      </c>
      <c r="E449" s="8" t="s">
        <v>1723</v>
      </c>
      <c r="F449" s="8" t="s">
        <v>1744</v>
      </c>
      <c r="G449" s="17">
        <v>46342</v>
      </c>
      <c r="H449" s="8" t="s">
        <v>1144</v>
      </c>
      <c r="I449" s="9">
        <v>10</v>
      </c>
      <c r="J449" s="10">
        <v>213.97</v>
      </c>
      <c r="K449" s="10">
        <v>10534.48</v>
      </c>
      <c r="L449" s="8"/>
      <c r="M449" s="7"/>
    </row>
    <row r="450" spans="1:13" x14ac:dyDescent="0.25">
      <c r="A450" s="12" t="str">
        <f t="shared" si="13"/>
        <v>IVA1412026SECRETARIA DE ADMINISTRAÇÃO DO GOVERNO DO ESTADO DE PERNAMBUCOIPV</v>
      </c>
      <c r="B450" s="12" t="str">
        <f t="shared" si="14"/>
        <v>Novembro</v>
      </c>
      <c r="C450" s="9">
        <v>87</v>
      </c>
      <c r="D450" s="8" t="s">
        <v>1206</v>
      </c>
      <c r="E450" s="8" t="s">
        <v>1723</v>
      </c>
      <c r="F450" s="8" t="s">
        <v>1744</v>
      </c>
      <c r="G450" s="17">
        <v>46342</v>
      </c>
      <c r="H450" s="8" t="s">
        <v>1144</v>
      </c>
      <c r="I450" s="9">
        <v>10</v>
      </c>
      <c r="J450" s="10">
        <v>213.97</v>
      </c>
      <c r="K450" s="10">
        <v>10748.45</v>
      </c>
      <c r="L450" s="8"/>
      <c r="M450" s="7"/>
    </row>
    <row r="451" spans="1:13" x14ac:dyDescent="0.25">
      <c r="A451" s="12" t="str">
        <f t="shared" ref="A451:A514" si="15">D451&amp;F451&amp;H451</f>
        <v>IVA1422026SECRETARIA DE ADMINISTRAÇÃO DO GOVERNO DO ESTADO DE PERNAMBUCOIPV</v>
      </c>
      <c r="B451" s="12" t="str">
        <f t="shared" ref="B451:B499" si="16">PROPER(TEXT($G451,"MMMM"))</f>
        <v>Novembro</v>
      </c>
      <c r="C451" s="9">
        <v>87</v>
      </c>
      <c r="D451" s="8" t="s">
        <v>1207</v>
      </c>
      <c r="E451" s="8" t="s">
        <v>1723</v>
      </c>
      <c r="F451" s="8" t="s">
        <v>1744</v>
      </c>
      <c r="G451" s="17">
        <v>46342</v>
      </c>
      <c r="H451" s="8" t="s">
        <v>1144</v>
      </c>
      <c r="I451" s="9">
        <v>10</v>
      </c>
      <c r="J451" s="10">
        <v>213.97</v>
      </c>
      <c r="K451" s="10">
        <v>10962.42</v>
      </c>
      <c r="L451" s="8"/>
      <c r="M451" s="7"/>
    </row>
    <row r="452" spans="1:13" x14ac:dyDescent="0.25">
      <c r="A452" s="12" t="str">
        <f t="shared" si="15"/>
        <v>IVA1432026SECRETARIA DE ADMINISTRAÇÃO DO GOVERNO DO ESTADO DE PERNAMBUCOIPV</v>
      </c>
      <c r="B452" s="12" t="str">
        <f t="shared" si="16"/>
        <v>Novembro</v>
      </c>
      <c r="C452" s="9">
        <v>87</v>
      </c>
      <c r="D452" s="8" t="s">
        <v>1208</v>
      </c>
      <c r="E452" s="8" t="s">
        <v>1723</v>
      </c>
      <c r="F452" s="8" t="s">
        <v>1744</v>
      </c>
      <c r="G452" s="17">
        <v>46342</v>
      </c>
      <c r="H452" s="8" t="s">
        <v>1144</v>
      </c>
      <c r="I452" s="9">
        <v>10</v>
      </c>
      <c r="J452" s="10">
        <v>213.97</v>
      </c>
      <c r="K452" s="10">
        <v>11176.39</v>
      </c>
      <c r="L452" s="8"/>
      <c r="M452" s="7"/>
    </row>
    <row r="453" spans="1:13" x14ac:dyDescent="0.25">
      <c r="A453" s="12" t="str">
        <f t="shared" si="15"/>
        <v>IVA1452026SECRETARIA DE ADMINISTRAÇÃO DO GOVERNO DO ESTADO DE PERNAMBUCOIPV</v>
      </c>
      <c r="B453" s="12" t="str">
        <f t="shared" si="16"/>
        <v>Novembro</v>
      </c>
      <c r="C453" s="9">
        <v>87</v>
      </c>
      <c r="D453" s="8" t="s">
        <v>1209</v>
      </c>
      <c r="E453" s="8" t="s">
        <v>1723</v>
      </c>
      <c r="F453" s="8" t="s">
        <v>1744</v>
      </c>
      <c r="G453" s="17">
        <v>46342</v>
      </c>
      <c r="H453" s="8" t="s">
        <v>1144</v>
      </c>
      <c r="I453" s="9">
        <v>10</v>
      </c>
      <c r="J453" s="10">
        <v>213.97</v>
      </c>
      <c r="K453" s="10">
        <v>11390.36</v>
      </c>
      <c r="L453" s="8"/>
      <c r="M453" s="7"/>
    </row>
    <row r="454" spans="1:13" x14ac:dyDescent="0.25">
      <c r="A454" s="12" t="str">
        <f t="shared" si="15"/>
        <v>IVA1462026SECRETARIA DE ADMINISTRAÇÃO DO GOVERNO DO ESTADO DE PERNAMBUCOIPV</v>
      </c>
      <c r="B454" s="12" t="str">
        <f t="shared" si="16"/>
        <v>Novembro</v>
      </c>
      <c r="C454" s="9">
        <v>87</v>
      </c>
      <c r="D454" s="8" t="s">
        <v>1210</v>
      </c>
      <c r="E454" s="8" t="s">
        <v>1723</v>
      </c>
      <c r="F454" s="8" t="s">
        <v>1744</v>
      </c>
      <c r="G454" s="17">
        <v>46342</v>
      </c>
      <c r="H454" s="8" t="s">
        <v>1144</v>
      </c>
      <c r="I454" s="9">
        <v>10</v>
      </c>
      <c r="J454" s="10">
        <v>213.97</v>
      </c>
      <c r="K454" s="10">
        <v>11604.33</v>
      </c>
      <c r="L454" s="8"/>
      <c r="M454" s="7"/>
    </row>
    <row r="455" spans="1:13" x14ac:dyDescent="0.25">
      <c r="A455" s="12" t="str">
        <f t="shared" si="15"/>
        <v>IVA1472026SECRETARIA DE ADMINISTRAÇÃO DO GOVERNO DO ESTADO DE PERNAMBUCOIPV</v>
      </c>
      <c r="B455" s="12" t="str">
        <f t="shared" si="16"/>
        <v>Novembro</v>
      </c>
      <c r="C455" s="9">
        <v>87</v>
      </c>
      <c r="D455" s="8" t="s">
        <v>1211</v>
      </c>
      <c r="E455" s="8" t="s">
        <v>1723</v>
      </c>
      <c r="F455" s="8" t="s">
        <v>1744</v>
      </c>
      <c r="G455" s="17">
        <v>46342</v>
      </c>
      <c r="H455" s="8" t="s">
        <v>1144</v>
      </c>
      <c r="I455" s="9">
        <v>10</v>
      </c>
      <c r="J455" s="10">
        <v>213.97</v>
      </c>
      <c r="K455" s="10">
        <v>11818.3</v>
      </c>
      <c r="L455" s="8"/>
      <c r="M455" s="7"/>
    </row>
    <row r="456" spans="1:13" x14ac:dyDescent="0.25">
      <c r="A456" s="12" t="str">
        <f t="shared" si="15"/>
        <v>IVA1482026SECRETARIA DE ADMINISTRAÇÃO DO GOVERNO DO ESTADO DE PERNAMBUCOIPV</v>
      </c>
      <c r="B456" s="12" t="str">
        <f t="shared" si="16"/>
        <v>Novembro</v>
      </c>
      <c r="C456" s="9">
        <v>87</v>
      </c>
      <c r="D456" s="8" t="s">
        <v>1212</v>
      </c>
      <c r="E456" s="8" t="s">
        <v>1723</v>
      </c>
      <c r="F456" s="8" t="s">
        <v>1744</v>
      </c>
      <c r="G456" s="17">
        <v>46342</v>
      </c>
      <c r="H456" s="8" t="s">
        <v>1144</v>
      </c>
      <c r="I456" s="9">
        <v>10</v>
      </c>
      <c r="J456" s="10">
        <v>213.97</v>
      </c>
      <c r="K456" s="10">
        <v>12032.27</v>
      </c>
      <c r="L456" s="8"/>
      <c r="M456" s="7"/>
    </row>
    <row r="457" spans="1:13" x14ac:dyDescent="0.25">
      <c r="A457" s="12" t="str">
        <f t="shared" si="15"/>
        <v>IVA1502026SECRETARIA DE ADMINISTRAÇÃO DO GOVERNO DO ESTADO DE PERNAMBUCOIPV</v>
      </c>
      <c r="B457" s="12" t="str">
        <f t="shared" si="16"/>
        <v>Novembro</v>
      </c>
      <c r="C457" s="9">
        <v>87</v>
      </c>
      <c r="D457" s="8" t="s">
        <v>1213</v>
      </c>
      <c r="E457" s="8" t="s">
        <v>1723</v>
      </c>
      <c r="F457" s="8" t="s">
        <v>1744</v>
      </c>
      <c r="G457" s="17">
        <v>46342</v>
      </c>
      <c r="H457" s="8" t="s">
        <v>1144</v>
      </c>
      <c r="I457" s="9">
        <v>10</v>
      </c>
      <c r="J457" s="10">
        <v>213.97</v>
      </c>
      <c r="K457" s="10">
        <v>12246.24</v>
      </c>
      <c r="L457" s="8"/>
      <c r="M457" s="7"/>
    </row>
    <row r="458" spans="1:13" x14ac:dyDescent="0.25">
      <c r="A458" s="12" t="str">
        <f t="shared" si="15"/>
        <v>IVA1522026SECRETARIA DE ADMINISTRAÇÃO DO GOVERNO DO ESTADO DE PERNAMBUCOIPV</v>
      </c>
      <c r="B458" s="12" t="str">
        <f t="shared" si="16"/>
        <v>Novembro</v>
      </c>
      <c r="C458" s="9">
        <v>87</v>
      </c>
      <c r="D458" s="8" t="s">
        <v>1214</v>
      </c>
      <c r="E458" s="8" t="s">
        <v>1723</v>
      </c>
      <c r="F458" s="8" t="s">
        <v>1744</v>
      </c>
      <c r="G458" s="17">
        <v>46342</v>
      </c>
      <c r="H458" s="8" t="s">
        <v>1144</v>
      </c>
      <c r="I458" s="9">
        <v>10</v>
      </c>
      <c r="J458" s="10">
        <v>213.97</v>
      </c>
      <c r="K458" s="10">
        <v>12460.21</v>
      </c>
      <c r="L458" s="8"/>
      <c r="M458" s="7"/>
    </row>
    <row r="459" spans="1:13" x14ac:dyDescent="0.25">
      <c r="A459" s="12" t="str">
        <f t="shared" si="15"/>
        <v>IVA1532026SECRETARIA DE ADMINISTRAÇÃO DO GOVERNO DO ESTADO DE PERNAMBUCOIPV</v>
      </c>
      <c r="B459" s="12" t="str">
        <f t="shared" si="16"/>
        <v>Novembro</v>
      </c>
      <c r="C459" s="9">
        <v>87</v>
      </c>
      <c r="D459" s="8" t="s">
        <v>1215</v>
      </c>
      <c r="E459" s="8" t="s">
        <v>1723</v>
      </c>
      <c r="F459" s="8" t="s">
        <v>1744</v>
      </c>
      <c r="G459" s="17">
        <v>46342</v>
      </c>
      <c r="H459" s="8" t="s">
        <v>1144</v>
      </c>
      <c r="I459" s="9">
        <v>10</v>
      </c>
      <c r="J459" s="10">
        <v>213.97</v>
      </c>
      <c r="K459" s="10">
        <v>12674.18</v>
      </c>
      <c r="L459" s="8"/>
      <c r="M459" s="7"/>
    </row>
    <row r="460" spans="1:13" x14ac:dyDescent="0.25">
      <c r="A460" s="12" t="str">
        <f t="shared" si="15"/>
        <v>IVA1552026SECRETARIA DE ADMINISTRAÇÃO DO GOVERNO DO ESTADO DE PERNAMBUCOIPV</v>
      </c>
      <c r="B460" s="12" t="str">
        <f t="shared" si="16"/>
        <v>Novembro</v>
      </c>
      <c r="C460" s="9">
        <v>87</v>
      </c>
      <c r="D460" s="8" t="s">
        <v>1216</v>
      </c>
      <c r="E460" s="8" t="s">
        <v>1723</v>
      </c>
      <c r="F460" s="8" t="s">
        <v>1744</v>
      </c>
      <c r="G460" s="17">
        <v>46342</v>
      </c>
      <c r="H460" s="8" t="s">
        <v>1144</v>
      </c>
      <c r="I460" s="9">
        <v>10</v>
      </c>
      <c r="J460" s="10">
        <v>213.97</v>
      </c>
      <c r="K460" s="10">
        <v>12888.15</v>
      </c>
      <c r="L460" s="8"/>
      <c r="M460" s="7"/>
    </row>
    <row r="461" spans="1:13" x14ac:dyDescent="0.25">
      <c r="A461" s="12" t="str">
        <f t="shared" si="15"/>
        <v>IVA1642026SECRETARIA DE ADMINISTRAÇÃO DO GOVERNO DO ESTADO DE PERNAMBUCOIPV</v>
      </c>
      <c r="B461" s="12" t="str">
        <f t="shared" si="16"/>
        <v>Novembro</v>
      </c>
      <c r="C461" s="9">
        <v>87</v>
      </c>
      <c r="D461" s="8" t="s">
        <v>1217</v>
      </c>
      <c r="E461" s="8" t="s">
        <v>1723</v>
      </c>
      <c r="F461" s="8" t="s">
        <v>1744</v>
      </c>
      <c r="G461" s="17">
        <v>46342</v>
      </c>
      <c r="H461" s="8" t="s">
        <v>1144</v>
      </c>
      <c r="I461" s="9">
        <v>10</v>
      </c>
      <c r="J461" s="10">
        <v>213.97</v>
      </c>
      <c r="K461" s="10">
        <v>13102.12</v>
      </c>
      <c r="L461" s="8"/>
      <c r="M461" s="7"/>
    </row>
    <row r="462" spans="1:13" x14ac:dyDescent="0.25">
      <c r="A462" s="12" t="str">
        <f t="shared" si="15"/>
        <v>IVA1672026SECRETARIA DE ADMINISTRAÇÃO DO GOVERNO DO ESTADO DE PERNAMBUCOIPV</v>
      </c>
      <c r="B462" s="12" t="str">
        <f t="shared" si="16"/>
        <v>Novembro</v>
      </c>
      <c r="C462" s="9">
        <v>87</v>
      </c>
      <c r="D462" s="8" t="s">
        <v>1218</v>
      </c>
      <c r="E462" s="8" t="s">
        <v>1723</v>
      </c>
      <c r="F462" s="8" t="s">
        <v>1744</v>
      </c>
      <c r="G462" s="17">
        <v>46342</v>
      </c>
      <c r="H462" s="8" t="s">
        <v>1144</v>
      </c>
      <c r="I462" s="9">
        <v>10</v>
      </c>
      <c r="J462" s="10">
        <v>213.97</v>
      </c>
      <c r="K462" s="10">
        <v>13316.09</v>
      </c>
      <c r="L462" s="8"/>
      <c r="M462" s="7"/>
    </row>
    <row r="463" spans="1:13" x14ac:dyDescent="0.25">
      <c r="A463" s="12" t="str">
        <f t="shared" si="15"/>
        <v>IVA1692026SECRETARIA DE ADMINISTRAÇÃO DO GOVERNO DO ESTADO DE PERNAMBUCOIPV</v>
      </c>
      <c r="B463" s="12" t="str">
        <f t="shared" si="16"/>
        <v>Novembro</v>
      </c>
      <c r="C463" s="9">
        <v>87</v>
      </c>
      <c r="D463" s="8" t="s">
        <v>1219</v>
      </c>
      <c r="E463" s="8" t="s">
        <v>1723</v>
      </c>
      <c r="F463" s="8" t="s">
        <v>1744</v>
      </c>
      <c r="G463" s="17">
        <v>46342</v>
      </c>
      <c r="H463" s="8" t="s">
        <v>1144</v>
      </c>
      <c r="I463" s="9">
        <v>10</v>
      </c>
      <c r="J463" s="10">
        <v>213.97</v>
      </c>
      <c r="K463" s="10">
        <v>13530.06</v>
      </c>
      <c r="L463" s="8"/>
      <c r="M463" s="7"/>
    </row>
    <row r="464" spans="1:13" x14ac:dyDescent="0.25">
      <c r="A464" s="12" t="str">
        <f t="shared" si="15"/>
        <v>IVA1732026SECRETARIA DE ADMINISTRAÇÃO DO GOVERNO DO ESTADO DE PERNAMBUCOIPV</v>
      </c>
      <c r="B464" s="12" t="str">
        <f t="shared" si="16"/>
        <v>Novembro</v>
      </c>
      <c r="C464" s="9">
        <v>87</v>
      </c>
      <c r="D464" s="8" t="s">
        <v>1220</v>
      </c>
      <c r="E464" s="8" t="s">
        <v>1723</v>
      </c>
      <c r="F464" s="8" t="s">
        <v>1744</v>
      </c>
      <c r="G464" s="17">
        <v>46342</v>
      </c>
      <c r="H464" s="8" t="s">
        <v>1144</v>
      </c>
      <c r="I464" s="9">
        <v>10</v>
      </c>
      <c r="J464" s="10">
        <v>213.97</v>
      </c>
      <c r="K464" s="10">
        <v>13744.03</v>
      </c>
      <c r="L464" s="8"/>
      <c r="M464" s="7"/>
    </row>
    <row r="465" spans="1:13" x14ac:dyDescent="0.25">
      <c r="A465" s="12" t="str">
        <f t="shared" si="15"/>
        <v>2304479ALELO - COMPANHIA  BRASILEIRA DE SOLUCOES E SERVICOSNSE</v>
      </c>
      <c r="B465" s="12" t="str">
        <f t="shared" si="16"/>
        <v>Novembro</v>
      </c>
      <c r="C465" s="9">
        <v>87</v>
      </c>
      <c r="D465" s="8" t="s">
        <v>1326</v>
      </c>
      <c r="E465" s="8" t="s">
        <v>1354</v>
      </c>
      <c r="F465" s="8" t="s">
        <v>3230</v>
      </c>
      <c r="G465" s="17">
        <v>46345</v>
      </c>
      <c r="H465" s="8" t="s">
        <v>665</v>
      </c>
      <c r="I465" s="9">
        <v>1</v>
      </c>
      <c r="J465" s="10">
        <v>38520.86</v>
      </c>
      <c r="K465" s="10">
        <v>38520.86</v>
      </c>
      <c r="L465" s="8"/>
      <c r="M465" s="7"/>
    </row>
    <row r="466" spans="1:13" x14ac:dyDescent="0.25">
      <c r="A466" s="12" t="str">
        <f t="shared" si="15"/>
        <v>IRR245MINISTERIO DA FAZENDAFOL</v>
      </c>
      <c r="B466" s="12" t="str">
        <f t="shared" si="16"/>
        <v>Novembro</v>
      </c>
      <c r="C466" s="9">
        <v>87</v>
      </c>
      <c r="D466" s="8" t="s">
        <v>1327</v>
      </c>
      <c r="E466" s="8" t="s">
        <v>1369</v>
      </c>
      <c r="F466" s="8" t="s">
        <v>1503</v>
      </c>
      <c r="G466" s="17">
        <v>46345</v>
      </c>
      <c r="H466" s="8" t="s">
        <v>1037</v>
      </c>
      <c r="I466" s="9">
        <v>1</v>
      </c>
      <c r="J466" s="10">
        <v>3427.68</v>
      </c>
      <c r="K466" s="10">
        <v>41948.54</v>
      </c>
      <c r="L466" s="8"/>
      <c r="M466" s="7"/>
    </row>
    <row r="467" spans="1:13" x14ac:dyDescent="0.25">
      <c r="A467" s="12" t="str">
        <f t="shared" si="15"/>
        <v>8710PREVCENTER MANUTENCAO LTDANFE</v>
      </c>
      <c r="B467" s="12" t="str">
        <f t="shared" si="16"/>
        <v>Novembro</v>
      </c>
      <c r="C467" s="9">
        <v>87</v>
      </c>
      <c r="D467" s="8" t="s">
        <v>593</v>
      </c>
      <c r="E467" s="8" t="s">
        <v>664</v>
      </c>
      <c r="F467" s="8" t="s">
        <v>159</v>
      </c>
      <c r="G467" s="17">
        <v>46346</v>
      </c>
      <c r="H467" s="8" t="s">
        <v>380</v>
      </c>
      <c r="I467" s="9">
        <v>2</v>
      </c>
      <c r="J467" s="10">
        <v>820</v>
      </c>
      <c r="K467" s="10">
        <v>820</v>
      </c>
      <c r="L467" s="8"/>
      <c r="M467" s="7"/>
    </row>
    <row r="468" spans="1:13" x14ac:dyDescent="0.25">
      <c r="A468" s="12" t="str">
        <f t="shared" si="15"/>
        <v>16788MASTERCELL COMERCIO DE ELETRONICOS LTDANFE</v>
      </c>
      <c r="B468" s="12" t="str">
        <f t="shared" si="16"/>
        <v>Novembro</v>
      </c>
      <c r="C468" s="9">
        <v>87</v>
      </c>
      <c r="D468" s="8" t="s">
        <v>429</v>
      </c>
      <c r="E468" s="8" t="s">
        <v>824</v>
      </c>
      <c r="F468" s="8" t="s">
        <v>123</v>
      </c>
      <c r="G468" s="17">
        <v>46349</v>
      </c>
      <c r="H468" s="8" t="s">
        <v>380</v>
      </c>
      <c r="I468" s="9">
        <v>6</v>
      </c>
      <c r="J468" s="10">
        <v>213.66</v>
      </c>
      <c r="K468" s="10">
        <v>213.66</v>
      </c>
      <c r="L468" s="8"/>
      <c r="M468" s="7"/>
    </row>
    <row r="469" spans="1:13" x14ac:dyDescent="0.25">
      <c r="A469" s="12" t="str">
        <f t="shared" si="15"/>
        <v>21435125GRUPO CASAS BAHIA SANFE</v>
      </c>
      <c r="B469" s="12" t="str">
        <f t="shared" si="16"/>
        <v>Novembro</v>
      </c>
      <c r="C469" s="9">
        <v>87</v>
      </c>
      <c r="D469" s="8" t="s">
        <v>453</v>
      </c>
      <c r="E469" s="8" t="s">
        <v>1400</v>
      </c>
      <c r="F469" s="8" t="s">
        <v>76</v>
      </c>
      <c r="G469" s="17">
        <v>46349</v>
      </c>
      <c r="H469" s="8" t="s">
        <v>380</v>
      </c>
      <c r="I469" s="9">
        <v>6</v>
      </c>
      <c r="J469" s="10">
        <v>167.9</v>
      </c>
      <c r="K469" s="10">
        <v>381.56</v>
      </c>
      <c r="L469" s="8"/>
      <c r="M469" s="7"/>
    </row>
    <row r="470" spans="1:13" x14ac:dyDescent="0.25">
      <c r="A470" s="12" t="str">
        <f t="shared" si="15"/>
        <v>39823831VIA VAREJO S/ANFE</v>
      </c>
      <c r="B470" s="12" t="str">
        <f t="shared" si="16"/>
        <v>Novembro</v>
      </c>
      <c r="C470" s="9">
        <v>87</v>
      </c>
      <c r="D470" s="8" t="s">
        <v>531</v>
      </c>
      <c r="E470" s="8" t="s">
        <v>1400</v>
      </c>
      <c r="F470" s="8" t="s">
        <v>197</v>
      </c>
      <c r="G470" s="17">
        <v>46349</v>
      </c>
      <c r="H470" s="8" t="s">
        <v>380</v>
      </c>
      <c r="I470" s="9">
        <v>6</v>
      </c>
      <c r="J470" s="10">
        <v>134.18</v>
      </c>
      <c r="K470" s="10">
        <v>515.74</v>
      </c>
      <c r="L470" s="8"/>
      <c r="M470" s="7"/>
    </row>
    <row r="471" spans="1:13" x14ac:dyDescent="0.25">
      <c r="A471" s="12" t="str">
        <f t="shared" si="15"/>
        <v>6745898VIA VAREJÃO/SANFE</v>
      </c>
      <c r="B471" s="12" t="str">
        <f t="shared" si="16"/>
        <v>Novembro</v>
      </c>
      <c r="C471" s="9">
        <v>87</v>
      </c>
      <c r="D471" s="8" t="s">
        <v>571</v>
      </c>
      <c r="E471" s="8" t="s">
        <v>1400</v>
      </c>
      <c r="F471" s="8" t="s">
        <v>196</v>
      </c>
      <c r="G471" s="17">
        <v>46349</v>
      </c>
      <c r="H471" s="8" t="s">
        <v>380</v>
      </c>
      <c r="I471" s="9">
        <v>6</v>
      </c>
      <c r="J471" s="10">
        <v>173.62</v>
      </c>
      <c r="K471" s="10">
        <v>689.36</v>
      </c>
      <c r="L471" s="8"/>
      <c r="M471" s="7"/>
    </row>
    <row r="472" spans="1:13" x14ac:dyDescent="0.25">
      <c r="A472" s="12" t="str">
        <f t="shared" si="15"/>
        <v>IFL1152026SECRETARIA DE ADMINISTRAÇÃO DO GOVERNO DO ESTADO DE PERNAMBUCOIPV</v>
      </c>
      <c r="B472" s="12" t="str">
        <f t="shared" si="16"/>
        <v>Novembro</v>
      </c>
      <c r="C472" s="9">
        <v>87</v>
      </c>
      <c r="D472" s="8" t="s">
        <v>1253</v>
      </c>
      <c r="E472" s="8" t="s">
        <v>1723</v>
      </c>
      <c r="F472" s="8" t="s">
        <v>1744</v>
      </c>
      <c r="G472" s="17">
        <v>46349</v>
      </c>
      <c r="H472" s="8" t="s">
        <v>1144</v>
      </c>
      <c r="I472" s="9">
        <v>10</v>
      </c>
      <c r="J472" s="10">
        <v>198.61</v>
      </c>
      <c r="K472" s="10">
        <v>887.97</v>
      </c>
      <c r="L472" s="8"/>
      <c r="M472" s="7"/>
    </row>
    <row r="473" spans="1:13" x14ac:dyDescent="0.25">
      <c r="A473" s="12" t="str">
        <f t="shared" si="15"/>
        <v>IFL1162026SECRETARIA DE ADMINISTRAÇÃO DO GOVERNO DO ESTADO DE PERNAMBUCOIPV</v>
      </c>
      <c r="B473" s="12" t="str">
        <f t="shared" si="16"/>
        <v>Novembro</v>
      </c>
      <c r="C473" s="9">
        <v>87</v>
      </c>
      <c r="D473" s="8" t="s">
        <v>1254</v>
      </c>
      <c r="E473" s="8" t="s">
        <v>1723</v>
      </c>
      <c r="F473" s="8" t="s">
        <v>1744</v>
      </c>
      <c r="G473" s="17">
        <v>46349</v>
      </c>
      <c r="H473" s="8" t="s">
        <v>1144</v>
      </c>
      <c r="I473" s="9">
        <v>10</v>
      </c>
      <c r="J473" s="10">
        <v>198.61</v>
      </c>
      <c r="K473" s="10">
        <v>1086.58</v>
      </c>
      <c r="L473" s="8"/>
      <c r="M473" s="7"/>
    </row>
    <row r="474" spans="1:13" x14ac:dyDescent="0.25">
      <c r="A474" s="12" t="str">
        <f t="shared" si="15"/>
        <v>IFL1172026SECRETARIA DE ADMINISTRAÇÃO DO GOVERNO DO ESTADO DE PERNAMBUCOIPV</v>
      </c>
      <c r="B474" s="12" t="str">
        <f t="shared" si="16"/>
        <v>Novembro</v>
      </c>
      <c r="C474" s="9">
        <v>87</v>
      </c>
      <c r="D474" s="8" t="s">
        <v>1255</v>
      </c>
      <c r="E474" s="8" t="s">
        <v>1723</v>
      </c>
      <c r="F474" s="8" t="s">
        <v>1744</v>
      </c>
      <c r="G474" s="17">
        <v>46349</v>
      </c>
      <c r="H474" s="8" t="s">
        <v>1144</v>
      </c>
      <c r="I474" s="9">
        <v>10</v>
      </c>
      <c r="J474" s="10">
        <v>198.61</v>
      </c>
      <c r="K474" s="10">
        <v>1285.19</v>
      </c>
      <c r="L474" s="8"/>
      <c r="M474" s="7"/>
    </row>
    <row r="475" spans="1:13" x14ac:dyDescent="0.25">
      <c r="A475" s="12" t="str">
        <f t="shared" si="15"/>
        <v>IFL1182026SECRETARIA DE ADMINISTRAÇÃO DO GOVERNO DO ESTADO DE PERNAMBUCOIPV</v>
      </c>
      <c r="B475" s="12" t="str">
        <f t="shared" si="16"/>
        <v>Novembro</v>
      </c>
      <c r="C475" s="9">
        <v>87</v>
      </c>
      <c r="D475" s="8" t="s">
        <v>1256</v>
      </c>
      <c r="E475" s="8" t="s">
        <v>1723</v>
      </c>
      <c r="F475" s="8" t="s">
        <v>1744</v>
      </c>
      <c r="G475" s="17">
        <v>46349</v>
      </c>
      <c r="H475" s="8" t="s">
        <v>1144</v>
      </c>
      <c r="I475" s="9">
        <v>10</v>
      </c>
      <c r="J475" s="10">
        <v>198.61</v>
      </c>
      <c r="K475" s="10">
        <v>1483.8</v>
      </c>
      <c r="L475" s="8"/>
      <c r="M475" s="7"/>
    </row>
    <row r="476" spans="1:13" x14ac:dyDescent="0.25">
      <c r="A476" s="12" t="str">
        <f t="shared" si="15"/>
        <v>IVA1442026SECRETARIA DE ADMINISTRAÇÃO DO GOVERNO DO ESTADO DE PERNAMBUCOIPV</v>
      </c>
      <c r="B476" s="12" t="str">
        <f t="shared" si="16"/>
        <v>Novembro</v>
      </c>
      <c r="C476" s="9">
        <v>87</v>
      </c>
      <c r="D476" s="8" t="s">
        <v>1257</v>
      </c>
      <c r="E476" s="8" t="s">
        <v>1723</v>
      </c>
      <c r="F476" s="8" t="s">
        <v>1744</v>
      </c>
      <c r="G476" s="17">
        <v>46349</v>
      </c>
      <c r="H476" s="8" t="s">
        <v>1144</v>
      </c>
      <c r="I476" s="9">
        <v>10</v>
      </c>
      <c r="J476" s="10">
        <v>213.97</v>
      </c>
      <c r="K476" s="10">
        <v>1697.77</v>
      </c>
      <c r="L476" s="8"/>
      <c r="M476" s="7"/>
    </row>
    <row r="477" spans="1:13" x14ac:dyDescent="0.25">
      <c r="A477" s="12" t="str">
        <f t="shared" si="15"/>
        <v>IVA1742026SECRETARIA DE ADMINISTRAÇÃO DO GOVERNO DO ESTADO DE PERNAMBUCOIPV</v>
      </c>
      <c r="B477" s="12" t="str">
        <f t="shared" si="16"/>
        <v>Novembro</v>
      </c>
      <c r="C477" s="9">
        <v>87</v>
      </c>
      <c r="D477" s="8" t="s">
        <v>1287</v>
      </c>
      <c r="E477" s="8" t="s">
        <v>1723</v>
      </c>
      <c r="F477" s="8" t="s">
        <v>1744</v>
      </c>
      <c r="G477" s="17">
        <v>46351</v>
      </c>
      <c r="H477" s="8" t="s">
        <v>1144</v>
      </c>
      <c r="I477" s="9">
        <v>10</v>
      </c>
      <c r="J477" s="10">
        <v>256.89</v>
      </c>
      <c r="K477" s="10">
        <v>256.89</v>
      </c>
      <c r="L477" s="8"/>
      <c r="M477" s="7"/>
    </row>
    <row r="478" spans="1:13" x14ac:dyDescent="0.25">
      <c r="A478" s="12" t="str">
        <f t="shared" si="15"/>
        <v>2274MINAS MAQUINAS SA | NOVA LIMANFS</v>
      </c>
      <c r="B478" s="12" t="str">
        <f t="shared" si="16"/>
        <v>Novembro</v>
      </c>
      <c r="C478" s="9">
        <v>87</v>
      </c>
      <c r="D478" s="8" t="s">
        <v>640</v>
      </c>
      <c r="E478" s="8" t="s">
        <v>1354</v>
      </c>
      <c r="F478" s="8" t="s">
        <v>133</v>
      </c>
      <c r="G478" s="17">
        <v>46352</v>
      </c>
      <c r="H478" s="8" t="s">
        <v>614</v>
      </c>
      <c r="I478" s="9">
        <v>3</v>
      </c>
      <c r="J478" s="10">
        <v>987.95</v>
      </c>
      <c r="K478" s="10">
        <v>987.95</v>
      </c>
      <c r="L478" s="8"/>
      <c r="M478" s="7"/>
    </row>
    <row r="479" spans="1:13" x14ac:dyDescent="0.25">
      <c r="A479" s="12" t="str">
        <f t="shared" si="15"/>
        <v>41488MINAS MAQUINAS SA | NOVA LIMANFE</v>
      </c>
      <c r="B479" s="12" t="str">
        <f t="shared" si="16"/>
        <v>Novembro</v>
      </c>
      <c r="C479" s="9">
        <v>87</v>
      </c>
      <c r="D479" s="8" t="s">
        <v>545</v>
      </c>
      <c r="E479" s="8" t="s">
        <v>1400</v>
      </c>
      <c r="F479" s="8" t="s">
        <v>133</v>
      </c>
      <c r="G479" s="17">
        <v>46352</v>
      </c>
      <c r="H479" s="8" t="s">
        <v>380</v>
      </c>
      <c r="I479" s="9">
        <v>3</v>
      </c>
      <c r="J479" s="10">
        <v>1988.33</v>
      </c>
      <c r="K479" s="10">
        <v>2976.28</v>
      </c>
      <c r="L479" s="8"/>
      <c r="M479" s="7"/>
    </row>
    <row r="480" spans="1:13" x14ac:dyDescent="0.25">
      <c r="A480" s="12" t="str">
        <f t="shared" si="15"/>
        <v>1964MINAS MAQUINAS SA | NOVA LIMANSE</v>
      </c>
      <c r="B480" s="12" t="str">
        <f t="shared" si="16"/>
        <v>Novembro</v>
      </c>
      <c r="C480" s="9">
        <v>87</v>
      </c>
      <c r="D480" s="8" t="s">
        <v>767</v>
      </c>
      <c r="E480" s="8" t="s">
        <v>1354</v>
      </c>
      <c r="F480" s="8" t="s">
        <v>133</v>
      </c>
      <c r="G480" s="17">
        <v>46353</v>
      </c>
      <c r="H480" s="8" t="s">
        <v>665</v>
      </c>
      <c r="I480" s="9">
        <v>4</v>
      </c>
      <c r="J480" s="10">
        <v>1352.59</v>
      </c>
      <c r="K480" s="10">
        <v>1352.59</v>
      </c>
      <c r="L480" s="8"/>
      <c r="M480" s="7"/>
    </row>
    <row r="481" spans="1:13" x14ac:dyDescent="0.25">
      <c r="A481" s="12" t="str">
        <f t="shared" si="15"/>
        <v>40352MINAS MAQUINAS SA | NOVA LIMANFE</v>
      </c>
      <c r="B481" s="12" t="str">
        <f t="shared" si="16"/>
        <v>Novembro</v>
      </c>
      <c r="C481" s="9">
        <v>87</v>
      </c>
      <c r="D481" s="8" t="s">
        <v>542</v>
      </c>
      <c r="E481" s="8" t="s">
        <v>1400</v>
      </c>
      <c r="F481" s="8" t="s">
        <v>133</v>
      </c>
      <c r="G481" s="17">
        <v>46353</v>
      </c>
      <c r="H481" s="8" t="s">
        <v>380</v>
      </c>
      <c r="I481" s="9">
        <v>4</v>
      </c>
      <c r="J481" s="10">
        <v>2035.64</v>
      </c>
      <c r="K481" s="10">
        <v>3388.23</v>
      </c>
      <c r="L481" s="8"/>
      <c r="M481" s="7"/>
    </row>
    <row r="482" spans="1:13" x14ac:dyDescent="0.25">
      <c r="A482" s="12" t="str">
        <f t="shared" si="15"/>
        <v>1983MINAS MAQUINAS SA | NOVA LIMANSE</v>
      </c>
      <c r="B482" s="12" t="str">
        <f t="shared" si="16"/>
        <v>Novembro</v>
      </c>
      <c r="C482" s="9">
        <v>87</v>
      </c>
      <c r="D482" s="8" t="s">
        <v>768</v>
      </c>
      <c r="E482" s="8" t="s">
        <v>1354</v>
      </c>
      <c r="F482" s="8" t="s">
        <v>133</v>
      </c>
      <c r="G482" s="17">
        <v>46354</v>
      </c>
      <c r="H482" s="8" t="s">
        <v>665</v>
      </c>
      <c r="I482" s="9">
        <v>4</v>
      </c>
      <c r="J482" s="10">
        <v>1912.95</v>
      </c>
      <c r="K482" s="10">
        <v>1912.95</v>
      </c>
      <c r="L482" s="8"/>
      <c r="M482" s="7"/>
    </row>
    <row r="483" spans="1:13" x14ac:dyDescent="0.25">
      <c r="A483" s="12" t="str">
        <f t="shared" si="15"/>
        <v>38CASA DA SPRINTER LTDANFE</v>
      </c>
      <c r="B483" s="12" t="str">
        <f t="shared" si="16"/>
        <v>Novembro</v>
      </c>
      <c r="C483" s="9">
        <v>87</v>
      </c>
      <c r="D483" s="8" t="s">
        <v>522</v>
      </c>
      <c r="E483" s="8" t="s">
        <v>664</v>
      </c>
      <c r="F483" s="8" t="s">
        <v>205</v>
      </c>
      <c r="G483" s="17">
        <v>46354</v>
      </c>
      <c r="H483" s="8" t="s">
        <v>380</v>
      </c>
      <c r="I483" s="9">
        <v>2</v>
      </c>
      <c r="J483" s="10">
        <v>4840</v>
      </c>
      <c r="K483" s="10">
        <v>6752.95</v>
      </c>
      <c r="L483" s="8"/>
      <c r="M483" s="7"/>
    </row>
    <row r="484" spans="1:13" x14ac:dyDescent="0.25">
      <c r="A484" s="12" t="str">
        <f t="shared" si="15"/>
        <v>40425MINAS MAQUINAS SA | NOVA LIMANFE</v>
      </c>
      <c r="B484" s="12" t="str">
        <f t="shared" si="16"/>
        <v>Novembro</v>
      </c>
      <c r="C484" s="9">
        <v>87</v>
      </c>
      <c r="D484" s="8" t="s">
        <v>543</v>
      </c>
      <c r="E484" s="8" t="s">
        <v>1400</v>
      </c>
      <c r="F484" s="8" t="s">
        <v>133</v>
      </c>
      <c r="G484" s="17">
        <v>46354</v>
      </c>
      <c r="H484" s="8" t="s">
        <v>380</v>
      </c>
      <c r="I484" s="9">
        <v>4</v>
      </c>
      <c r="J484" s="10">
        <v>2063.6999999999998</v>
      </c>
      <c r="K484" s="10">
        <v>8816.65</v>
      </c>
      <c r="L484" s="8"/>
      <c r="M484" s="7"/>
    </row>
    <row r="485" spans="1:13" x14ac:dyDescent="0.25">
      <c r="A485" s="12" t="str">
        <f t="shared" si="15"/>
        <v>96CASA DA SPRINTER LTDANSE</v>
      </c>
      <c r="B485" s="12" t="str">
        <f t="shared" si="16"/>
        <v>Novembro</v>
      </c>
      <c r="C485" s="9">
        <v>87</v>
      </c>
      <c r="D485" s="8" t="s">
        <v>1017</v>
      </c>
      <c r="E485" s="8" t="s">
        <v>1354</v>
      </c>
      <c r="F485" s="8" t="s">
        <v>205</v>
      </c>
      <c r="G485" s="17">
        <v>46355</v>
      </c>
      <c r="H485" s="8" t="s">
        <v>665</v>
      </c>
      <c r="I485" s="9">
        <v>2</v>
      </c>
      <c r="J485" s="10">
        <v>790.94</v>
      </c>
      <c r="K485" s="10">
        <v>790.94</v>
      </c>
      <c r="L485" s="8"/>
      <c r="M485" s="7"/>
    </row>
    <row r="486" spans="1:13" x14ac:dyDescent="0.25">
      <c r="A486" s="12" t="str">
        <f t="shared" si="15"/>
        <v>39CASA DA SPRINTER LTDANFE</v>
      </c>
      <c r="B486" s="12" t="str">
        <f t="shared" si="16"/>
        <v>Novembro</v>
      </c>
      <c r="C486" s="9">
        <v>87</v>
      </c>
      <c r="D486" s="8" t="s">
        <v>527</v>
      </c>
      <c r="E486" s="8" t="s">
        <v>2378</v>
      </c>
      <c r="F486" s="8" t="s">
        <v>205</v>
      </c>
      <c r="G486" s="17">
        <v>46356</v>
      </c>
      <c r="H486" s="8" t="s">
        <v>380</v>
      </c>
      <c r="I486" s="9">
        <v>2</v>
      </c>
      <c r="J486" s="10">
        <v>1110</v>
      </c>
      <c r="K486" s="10">
        <v>1110</v>
      </c>
      <c r="L486" s="8"/>
      <c r="M486" s="7"/>
    </row>
    <row r="487" spans="1:13" x14ac:dyDescent="0.25">
      <c r="A487" s="12" t="str">
        <f t="shared" si="15"/>
        <v>97CASA DA SPRINTER LTDANSE</v>
      </c>
      <c r="B487" s="12" t="str">
        <f t="shared" si="16"/>
        <v>Novembro</v>
      </c>
      <c r="C487" s="9">
        <v>87</v>
      </c>
      <c r="D487" s="8" t="s">
        <v>1018</v>
      </c>
      <c r="E487" s="8" t="s">
        <v>1354</v>
      </c>
      <c r="F487" s="8" t="s">
        <v>205</v>
      </c>
      <c r="G487" s="17">
        <v>46356</v>
      </c>
      <c r="H487" s="8" t="s">
        <v>665</v>
      </c>
      <c r="I487" s="9">
        <v>2</v>
      </c>
      <c r="J487" s="10">
        <v>1888.87</v>
      </c>
      <c r="K487" s="10">
        <v>2998.87</v>
      </c>
      <c r="L487" s="8"/>
      <c r="M487" s="7"/>
    </row>
    <row r="488" spans="1:13" x14ac:dyDescent="0.25">
      <c r="A488" s="12" t="str">
        <f t="shared" si="15"/>
        <v>3295GW REFORMADORA LTDANSE</v>
      </c>
      <c r="B488" s="12" t="str">
        <f t="shared" si="16"/>
        <v>Dezembro</v>
      </c>
      <c r="C488" s="9">
        <v>87</v>
      </c>
      <c r="D488" s="8" t="s">
        <v>847</v>
      </c>
      <c r="E488" s="8" t="s">
        <v>1354</v>
      </c>
      <c r="F488" s="8" t="s">
        <v>81</v>
      </c>
      <c r="G488" s="17">
        <v>46357</v>
      </c>
      <c r="H488" s="8" t="s">
        <v>665</v>
      </c>
      <c r="I488" s="9">
        <v>3</v>
      </c>
      <c r="J488" s="10">
        <v>2058.33</v>
      </c>
      <c r="K488" s="10">
        <v>2058.33</v>
      </c>
      <c r="L488" s="8"/>
      <c r="M488" s="7"/>
    </row>
    <row r="489" spans="1:13" x14ac:dyDescent="0.25">
      <c r="A489" s="12" t="str">
        <f t="shared" si="15"/>
        <v>000021655ME0002RITA CÂNDIDA DOS SANTOSDEP</v>
      </c>
      <c r="B489" s="12" t="str">
        <f t="shared" si="16"/>
        <v>Dezembro</v>
      </c>
      <c r="C489" s="9">
        <v>87</v>
      </c>
      <c r="D489" s="8" t="s">
        <v>1328</v>
      </c>
      <c r="E489" s="8" t="s">
        <v>1354</v>
      </c>
      <c r="F489" s="8" t="s">
        <v>1441</v>
      </c>
      <c r="G489" s="17">
        <v>46362</v>
      </c>
      <c r="H489" s="8" t="s">
        <v>1043</v>
      </c>
      <c r="I489" s="9">
        <v>1</v>
      </c>
      <c r="J489" s="10">
        <v>900</v>
      </c>
      <c r="K489" s="10">
        <v>900</v>
      </c>
      <c r="L489" s="8"/>
      <c r="M489" s="7"/>
    </row>
    <row r="490" spans="1:13" x14ac:dyDescent="0.25">
      <c r="A490" s="12" t="str">
        <f t="shared" si="15"/>
        <v>16788MASTERCELL COMERCIO DE ELETRONICOS LTDANFE</v>
      </c>
      <c r="B490" s="12" t="str">
        <f t="shared" si="16"/>
        <v>Dezembro</v>
      </c>
      <c r="C490" s="9">
        <v>87</v>
      </c>
      <c r="D490" s="8" t="s">
        <v>429</v>
      </c>
      <c r="E490" s="8" t="s">
        <v>824</v>
      </c>
      <c r="F490" s="8" t="s">
        <v>123</v>
      </c>
      <c r="G490" s="17">
        <v>46377</v>
      </c>
      <c r="H490" s="8" t="s">
        <v>380</v>
      </c>
      <c r="I490" s="9">
        <v>7</v>
      </c>
      <c r="J490" s="10">
        <v>213.66</v>
      </c>
      <c r="K490" s="10">
        <v>213.66</v>
      </c>
      <c r="L490" s="8"/>
      <c r="M490" s="7"/>
    </row>
    <row r="491" spans="1:13" x14ac:dyDescent="0.25">
      <c r="A491" s="12" t="str">
        <f t="shared" si="15"/>
        <v>21435125GRUPO CASAS BAHIA SANFE</v>
      </c>
      <c r="B491" s="12" t="str">
        <f t="shared" si="16"/>
        <v>Dezembro</v>
      </c>
      <c r="C491" s="9">
        <v>87</v>
      </c>
      <c r="D491" s="8" t="s">
        <v>453</v>
      </c>
      <c r="E491" s="8" t="s">
        <v>1400</v>
      </c>
      <c r="F491" s="8" t="s">
        <v>76</v>
      </c>
      <c r="G491" s="17">
        <v>46377</v>
      </c>
      <c r="H491" s="8" t="s">
        <v>380</v>
      </c>
      <c r="I491" s="9">
        <v>7</v>
      </c>
      <c r="J491" s="10">
        <v>167.9</v>
      </c>
      <c r="K491" s="10">
        <v>381.56</v>
      </c>
      <c r="L491" s="8"/>
      <c r="M491" s="7"/>
    </row>
    <row r="492" spans="1:13" x14ac:dyDescent="0.25">
      <c r="A492" s="12" t="str">
        <f t="shared" si="15"/>
        <v>39823831VIA VAREJO S/ANFE</v>
      </c>
      <c r="B492" s="12" t="str">
        <f t="shared" si="16"/>
        <v>Dezembro</v>
      </c>
      <c r="C492" s="9">
        <v>87</v>
      </c>
      <c r="D492" s="8" t="s">
        <v>531</v>
      </c>
      <c r="E492" s="8" t="s">
        <v>1400</v>
      </c>
      <c r="F492" s="8" t="s">
        <v>197</v>
      </c>
      <c r="G492" s="17">
        <v>46377</v>
      </c>
      <c r="H492" s="8" t="s">
        <v>380</v>
      </c>
      <c r="I492" s="9">
        <v>7</v>
      </c>
      <c r="J492" s="10">
        <v>134.18</v>
      </c>
      <c r="K492" s="10">
        <v>515.74</v>
      </c>
      <c r="L492" s="8"/>
      <c r="M492" s="7"/>
    </row>
    <row r="493" spans="1:13" x14ac:dyDescent="0.25">
      <c r="A493" s="12" t="str">
        <f t="shared" si="15"/>
        <v>6745898VIA VAREJÃO/SANFE</v>
      </c>
      <c r="B493" s="12" t="str">
        <f t="shared" si="16"/>
        <v>Dezembro</v>
      </c>
      <c r="C493" s="9">
        <v>87</v>
      </c>
      <c r="D493" s="8" t="s">
        <v>571</v>
      </c>
      <c r="E493" s="8" t="s">
        <v>1400</v>
      </c>
      <c r="F493" s="8" t="s">
        <v>196</v>
      </c>
      <c r="G493" s="17">
        <v>46377</v>
      </c>
      <c r="H493" s="8" t="s">
        <v>380</v>
      </c>
      <c r="I493" s="9">
        <v>7</v>
      </c>
      <c r="J493" s="10">
        <v>173.62</v>
      </c>
      <c r="K493" s="10">
        <v>689.36</v>
      </c>
      <c r="L493" s="8"/>
      <c r="M493" s="7"/>
    </row>
    <row r="494" spans="1:13" x14ac:dyDescent="0.25">
      <c r="A494" s="12" t="str">
        <f t="shared" si="15"/>
        <v>1964MINAS MAQUINAS SA | NOVA LIMANSE</v>
      </c>
      <c r="B494" s="12" t="str">
        <f t="shared" si="16"/>
        <v>Dezembro</v>
      </c>
      <c r="C494" s="9">
        <v>87</v>
      </c>
      <c r="D494" s="8" t="s">
        <v>767</v>
      </c>
      <c r="E494" s="8" t="s">
        <v>1354</v>
      </c>
      <c r="F494" s="8" t="s">
        <v>133</v>
      </c>
      <c r="G494" s="17">
        <v>46383</v>
      </c>
      <c r="H494" s="8" t="s">
        <v>665</v>
      </c>
      <c r="I494" s="9">
        <v>5</v>
      </c>
      <c r="J494" s="10">
        <v>1352.59</v>
      </c>
      <c r="K494" s="10">
        <v>1352.59</v>
      </c>
      <c r="L494" s="8"/>
      <c r="M494" s="7"/>
    </row>
    <row r="495" spans="1:13" x14ac:dyDescent="0.25">
      <c r="A495" s="12" t="str">
        <f t="shared" si="15"/>
        <v>40352MINAS MAQUINAS SA | NOVA LIMANFE</v>
      </c>
      <c r="B495" s="12" t="str">
        <f t="shared" si="16"/>
        <v>Dezembro</v>
      </c>
      <c r="C495" s="9">
        <v>87</v>
      </c>
      <c r="D495" s="8" t="s">
        <v>542</v>
      </c>
      <c r="E495" s="8" t="s">
        <v>1400</v>
      </c>
      <c r="F495" s="8" t="s">
        <v>133</v>
      </c>
      <c r="G495" s="17">
        <v>46383</v>
      </c>
      <c r="H495" s="8" t="s">
        <v>380</v>
      </c>
      <c r="I495" s="9">
        <v>5</v>
      </c>
      <c r="J495" s="10">
        <v>2035.64</v>
      </c>
      <c r="K495" s="10">
        <v>3388.23</v>
      </c>
      <c r="L495" s="8"/>
      <c r="M495" s="7"/>
    </row>
    <row r="496" spans="1:13" x14ac:dyDescent="0.25">
      <c r="A496" s="12" t="str">
        <f t="shared" si="15"/>
        <v>1983MINAS MAQUINAS SA | NOVA LIMANSE</v>
      </c>
      <c r="B496" s="12" t="str">
        <f t="shared" si="16"/>
        <v>Dezembro</v>
      </c>
      <c r="C496" s="9">
        <v>87</v>
      </c>
      <c r="D496" s="8" t="s">
        <v>768</v>
      </c>
      <c r="E496" s="8" t="s">
        <v>1354</v>
      </c>
      <c r="F496" s="8" t="s">
        <v>133</v>
      </c>
      <c r="G496" s="17">
        <v>46384</v>
      </c>
      <c r="H496" s="8" t="s">
        <v>665</v>
      </c>
      <c r="I496" s="9">
        <v>5</v>
      </c>
      <c r="J496" s="10">
        <v>1912.95</v>
      </c>
      <c r="K496" s="10">
        <v>1912.95</v>
      </c>
      <c r="L496" s="8"/>
      <c r="M496" s="7"/>
    </row>
    <row r="497" spans="1:13" x14ac:dyDescent="0.25">
      <c r="A497" s="12" t="str">
        <f t="shared" si="15"/>
        <v>38CASA DA SPRINTER LTDANFE</v>
      </c>
      <c r="B497" s="12" t="str">
        <f t="shared" si="16"/>
        <v>Dezembro</v>
      </c>
      <c r="C497" s="9">
        <v>87</v>
      </c>
      <c r="D497" s="8" t="s">
        <v>522</v>
      </c>
      <c r="E497" s="8" t="s">
        <v>664</v>
      </c>
      <c r="F497" s="8" t="s">
        <v>205</v>
      </c>
      <c r="G497" s="17">
        <v>46384</v>
      </c>
      <c r="H497" s="8" t="s">
        <v>380</v>
      </c>
      <c r="I497" s="9">
        <v>3</v>
      </c>
      <c r="J497" s="10">
        <v>4840</v>
      </c>
      <c r="K497" s="10">
        <v>6752.95</v>
      </c>
      <c r="L497" s="8"/>
      <c r="M497" s="7"/>
    </row>
    <row r="498" spans="1:13" x14ac:dyDescent="0.25">
      <c r="A498" s="12" t="str">
        <f t="shared" si="15"/>
        <v>40425MINAS MAQUINAS SA | NOVA LIMANFE</v>
      </c>
      <c r="B498" s="12" t="str">
        <f t="shared" si="16"/>
        <v>Dezembro</v>
      </c>
      <c r="C498" s="9">
        <v>87</v>
      </c>
      <c r="D498" s="8" t="s">
        <v>543</v>
      </c>
      <c r="E498" s="8" t="s">
        <v>1400</v>
      </c>
      <c r="F498" s="8" t="s">
        <v>133</v>
      </c>
      <c r="G498" s="17">
        <v>46384</v>
      </c>
      <c r="H498" s="8" t="s">
        <v>380</v>
      </c>
      <c r="I498" s="9">
        <v>5</v>
      </c>
      <c r="J498" s="10">
        <v>2063.6999999999998</v>
      </c>
      <c r="K498" s="10">
        <v>8816.65</v>
      </c>
      <c r="L498" s="8"/>
      <c r="M498" s="7"/>
    </row>
    <row r="499" spans="1:13" x14ac:dyDescent="0.25">
      <c r="A499" s="12" t="str">
        <f t="shared" si="15"/>
        <v>96CASA DA SPRINTER LTDANSE</v>
      </c>
      <c r="B499" s="12" t="str">
        <f t="shared" si="16"/>
        <v>Dezembro</v>
      </c>
      <c r="C499" s="9">
        <v>87</v>
      </c>
      <c r="D499" s="8" t="s">
        <v>1017</v>
      </c>
      <c r="E499" s="8" t="s">
        <v>1354</v>
      </c>
      <c r="F499" s="8" t="s">
        <v>205</v>
      </c>
      <c r="G499" s="17">
        <v>46385</v>
      </c>
      <c r="H499" s="8" t="s">
        <v>665</v>
      </c>
      <c r="I499" s="9">
        <v>3</v>
      </c>
      <c r="J499" s="10">
        <v>790.96</v>
      </c>
      <c r="K499" s="10">
        <v>790.96</v>
      </c>
    </row>
    <row r="500" spans="1:13" x14ac:dyDescent="0.25">
      <c r="K500" s="7"/>
    </row>
    <row r="501" spans="1:13" x14ac:dyDescent="0.25">
      <c r="K501" s="7"/>
    </row>
    <row r="502" spans="1:13" x14ac:dyDescent="0.25">
      <c r="D502" s="8"/>
      <c r="E502" s="9"/>
      <c r="F502" s="17"/>
      <c r="G502" s="17"/>
      <c r="H502" s="18"/>
      <c r="I502" s="19"/>
      <c r="J502" s="8"/>
      <c r="K502" s="7"/>
    </row>
    <row r="503" spans="1:13" x14ac:dyDescent="0.25">
      <c r="K503" s="7"/>
    </row>
    <row r="504" spans="1:13" x14ac:dyDescent="0.25">
      <c r="D504" s="8"/>
      <c r="E504" s="9"/>
      <c r="F504" s="17"/>
      <c r="G504" s="17"/>
      <c r="H504" s="18"/>
      <c r="I504" s="19"/>
      <c r="J504" s="8"/>
      <c r="K504" s="7"/>
    </row>
    <row r="505" spans="1:13" x14ac:dyDescent="0.25">
      <c r="K505" s="7"/>
    </row>
    <row r="506" spans="1:13" x14ac:dyDescent="0.25">
      <c r="D506" s="8"/>
      <c r="E506" s="9"/>
      <c r="F506" s="17"/>
      <c r="G506" s="17"/>
      <c r="H506" s="18"/>
      <c r="I506" s="19"/>
      <c r="J506" s="8"/>
      <c r="K506" s="7"/>
    </row>
    <row r="507" spans="1:13" x14ac:dyDescent="0.25">
      <c r="K507" s="7"/>
    </row>
    <row r="508" spans="1:13" x14ac:dyDescent="0.25">
      <c r="D508" s="8"/>
      <c r="E508" s="9"/>
      <c r="F508" s="17"/>
      <c r="G508" s="17"/>
      <c r="H508" s="18"/>
      <c r="I508" s="19"/>
      <c r="J508" s="8"/>
      <c r="K508" s="7"/>
    </row>
    <row r="509" spans="1:13" x14ac:dyDescent="0.25">
      <c r="D509" s="18"/>
      <c r="E509" s="19"/>
      <c r="K509" s="7"/>
    </row>
    <row r="510" spans="1:13" x14ac:dyDescent="0.25">
      <c r="K510" s="7"/>
    </row>
    <row r="511" spans="1:13" x14ac:dyDescent="0.25">
      <c r="K511" s="7"/>
    </row>
    <row r="512" spans="1:13" x14ac:dyDescent="0.25">
      <c r="D512" s="8"/>
      <c r="E512" s="9"/>
      <c r="F512" s="17"/>
      <c r="G512" s="17"/>
      <c r="H512" s="18"/>
      <c r="I512" s="19"/>
      <c r="J512" s="8"/>
      <c r="K512" s="7"/>
    </row>
    <row r="513" spans="4:11" x14ac:dyDescent="0.25">
      <c r="D513" s="18"/>
      <c r="E513" s="19"/>
      <c r="K513" s="7"/>
    </row>
    <row r="514" spans="4:11" x14ac:dyDescent="0.25">
      <c r="K514" s="7"/>
    </row>
    <row r="515" spans="4:11" x14ac:dyDescent="0.25">
      <c r="K515" s="7"/>
    </row>
    <row r="516" spans="4:11" x14ac:dyDescent="0.25">
      <c r="D516" s="8"/>
      <c r="E516" s="9"/>
      <c r="F516" s="17"/>
      <c r="G516" s="17"/>
      <c r="H516" s="18"/>
      <c r="I516" s="19"/>
      <c r="J516" s="8"/>
      <c r="K516" s="7"/>
    </row>
    <row r="517" spans="4:11" x14ac:dyDescent="0.25">
      <c r="D517" s="18"/>
      <c r="E517" s="19"/>
      <c r="K517" s="7"/>
    </row>
    <row r="518" spans="4:11" x14ac:dyDescent="0.25">
      <c r="K518" s="7"/>
    </row>
    <row r="519" spans="4:11" x14ac:dyDescent="0.25">
      <c r="K519" s="7"/>
    </row>
    <row r="520" spans="4:11" x14ac:dyDescent="0.25">
      <c r="D520" s="8"/>
      <c r="E520" s="9"/>
      <c r="F520" s="17"/>
      <c r="G520" s="17"/>
      <c r="H520" s="18"/>
      <c r="I520" s="19"/>
      <c r="J520" s="8"/>
      <c r="K520" s="7"/>
    </row>
    <row r="521" spans="4:11" x14ac:dyDescent="0.25">
      <c r="K521" s="7"/>
    </row>
    <row r="522" spans="4:11" x14ac:dyDescent="0.25">
      <c r="D522" s="8"/>
      <c r="E522" s="9"/>
      <c r="F522" s="17"/>
      <c r="G522" s="17"/>
      <c r="H522" s="18"/>
      <c r="I522" s="19"/>
      <c r="J522" s="8"/>
      <c r="K522" s="7"/>
    </row>
    <row r="523" spans="4:11" x14ac:dyDescent="0.25">
      <c r="K523" s="7"/>
    </row>
    <row r="524" spans="4:11" x14ac:dyDescent="0.25">
      <c r="D524" s="8"/>
      <c r="E524" s="9"/>
      <c r="F524" s="17"/>
      <c r="G524" s="17"/>
      <c r="H524" s="18"/>
      <c r="I524" s="19"/>
      <c r="J524" s="8"/>
      <c r="K524" s="7"/>
    </row>
    <row r="525" spans="4:11" x14ac:dyDescent="0.25">
      <c r="K525" s="7"/>
    </row>
    <row r="526" spans="4:11" x14ac:dyDescent="0.25">
      <c r="D526" s="8"/>
      <c r="E526" s="9"/>
      <c r="F526" s="17"/>
      <c r="G526" s="17"/>
      <c r="H526" s="18"/>
      <c r="I526" s="19"/>
      <c r="J526" s="8"/>
      <c r="K526" s="7"/>
    </row>
    <row r="527" spans="4:11" x14ac:dyDescent="0.25">
      <c r="K527" s="7"/>
    </row>
    <row r="528" spans="4:11" x14ac:dyDescent="0.25">
      <c r="D528" s="8"/>
      <c r="E528" s="9"/>
      <c r="F528" s="17"/>
      <c r="G528" s="17"/>
      <c r="H528" s="18"/>
      <c r="I528" s="19"/>
      <c r="J528" s="8"/>
      <c r="K528" s="7"/>
    </row>
    <row r="529" spans="4:11" x14ac:dyDescent="0.25">
      <c r="K529" s="7"/>
    </row>
    <row r="530" spans="4:11" x14ac:dyDescent="0.25">
      <c r="D530" s="8"/>
      <c r="E530" s="9"/>
      <c r="F530" s="17"/>
      <c r="G530" s="17"/>
      <c r="H530" s="18"/>
      <c r="I530" s="19"/>
      <c r="J530" s="8"/>
      <c r="K530" s="7"/>
    </row>
    <row r="531" spans="4:11" x14ac:dyDescent="0.25">
      <c r="K531" s="7"/>
    </row>
    <row r="532" spans="4:11" x14ac:dyDescent="0.25">
      <c r="D532" s="8"/>
      <c r="E532" s="9"/>
      <c r="F532" s="17"/>
      <c r="G532" s="17"/>
      <c r="H532" s="18"/>
      <c r="I532" s="19"/>
      <c r="J532" s="8"/>
      <c r="K532" s="7"/>
    </row>
    <row r="533" spans="4:11" x14ac:dyDescent="0.25">
      <c r="K533" s="7"/>
    </row>
    <row r="534" spans="4:11" x14ac:dyDescent="0.25">
      <c r="D534" s="8"/>
      <c r="E534" s="9"/>
      <c r="F534" s="17"/>
      <c r="G534" s="17"/>
      <c r="H534" s="18"/>
      <c r="I534" s="19"/>
      <c r="J534" s="8"/>
      <c r="K534" s="7"/>
    </row>
    <row r="535" spans="4:11" x14ac:dyDescent="0.25">
      <c r="K535" s="7"/>
    </row>
    <row r="536" spans="4:11" x14ac:dyDescent="0.25">
      <c r="D536" s="8"/>
      <c r="E536" s="9"/>
      <c r="F536" s="17"/>
      <c r="G536" s="17"/>
      <c r="H536" s="18"/>
      <c r="I536" s="19"/>
      <c r="J536" s="8"/>
      <c r="K536" s="7"/>
    </row>
    <row r="537" spans="4:11" x14ac:dyDescent="0.25">
      <c r="K537" s="7"/>
    </row>
    <row r="538" spans="4:11" x14ac:dyDescent="0.25">
      <c r="D538" s="8"/>
      <c r="E538" s="9"/>
      <c r="F538" s="17"/>
      <c r="G538" s="17"/>
      <c r="H538" s="18"/>
      <c r="I538" s="19"/>
      <c r="J538" s="8"/>
      <c r="K538" s="7"/>
    </row>
    <row r="539" spans="4:11" x14ac:dyDescent="0.25">
      <c r="K539" s="7"/>
    </row>
    <row r="540" spans="4:11" x14ac:dyDescent="0.25">
      <c r="D540" s="8"/>
      <c r="E540" s="9"/>
      <c r="F540" s="17"/>
      <c r="G540" s="17"/>
      <c r="H540" s="18"/>
      <c r="I540" s="19"/>
      <c r="J540" s="8"/>
      <c r="K540" s="7"/>
    </row>
    <row r="541" spans="4:11" x14ac:dyDescent="0.25">
      <c r="K541" s="7"/>
    </row>
    <row r="542" spans="4:11" x14ac:dyDescent="0.25">
      <c r="D542" s="8"/>
      <c r="E542" s="9"/>
      <c r="F542" s="17"/>
      <c r="G542" s="17"/>
      <c r="H542" s="18"/>
      <c r="I542" s="19"/>
      <c r="J542" s="8"/>
      <c r="K542" s="7"/>
    </row>
    <row r="543" spans="4:11" x14ac:dyDescent="0.25">
      <c r="K543" s="7"/>
    </row>
    <row r="544" spans="4:11" x14ac:dyDescent="0.25">
      <c r="D544" s="8"/>
      <c r="E544" s="9"/>
      <c r="F544" s="17"/>
      <c r="G544" s="17"/>
      <c r="H544" s="18"/>
      <c r="I544" s="19"/>
      <c r="J544" s="8"/>
      <c r="K544" s="7"/>
    </row>
    <row r="545" spans="4:11" x14ac:dyDescent="0.25">
      <c r="K545" s="7"/>
    </row>
    <row r="546" spans="4:11" x14ac:dyDescent="0.25">
      <c r="D546" s="8"/>
      <c r="E546" s="9"/>
      <c r="F546" s="17"/>
      <c r="G546" s="17"/>
      <c r="H546" s="18"/>
      <c r="I546" s="19"/>
      <c r="J546" s="8"/>
      <c r="K546" s="7"/>
    </row>
    <row r="547" spans="4:11" x14ac:dyDescent="0.25">
      <c r="K547" s="7"/>
    </row>
    <row r="548" spans="4:11" x14ac:dyDescent="0.25">
      <c r="D548" s="8"/>
      <c r="E548" s="9"/>
      <c r="F548" s="17"/>
      <c r="G548" s="17"/>
      <c r="H548" s="18"/>
      <c r="I548" s="19"/>
      <c r="J548" s="8"/>
      <c r="K548" s="7"/>
    </row>
    <row r="549" spans="4:11" x14ac:dyDescent="0.25">
      <c r="K549" s="7"/>
    </row>
    <row r="550" spans="4:11" x14ac:dyDescent="0.25">
      <c r="D550" s="8"/>
      <c r="E550" s="9"/>
      <c r="F550" s="17"/>
      <c r="G550" s="17"/>
      <c r="H550" s="18"/>
      <c r="I550" s="19"/>
      <c r="J550" s="8"/>
      <c r="K550" s="7"/>
    </row>
    <row r="551" spans="4:11" x14ac:dyDescent="0.25">
      <c r="K551" s="7"/>
    </row>
    <row r="552" spans="4:11" x14ac:dyDescent="0.25">
      <c r="D552" s="8"/>
      <c r="E552" s="9"/>
      <c r="F552" s="17"/>
      <c r="G552" s="17"/>
      <c r="H552" s="18"/>
      <c r="I552" s="19"/>
      <c r="J552" s="8"/>
      <c r="K552" s="7"/>
    </row>
    <row r="553" spans="4:11" x14ac:dyDescent="0.25">
      <c r="K553" s="7"/>
    </row>
    <row r="554" spans="4:11" x14ac:dyDescent="0.25">
      <c r="D554" s="8"/>
      <c r="E554" s="9"/>
      <c r="F554" s="17"/>
      <c r="G554" s="17"/>
      <c r="H554" s="18"/>
      <c r="I554" s="19"/>
      <c r="J554" s="8"/>
      <c r="K554" s="7"/>
    </row>
    <row r="555" spans="4:11" x14ac:dyDescent="0.25">
      <c r="K555" s="7"/>
    </row>
    <row r="556" spans="4:11" x14ac:dyDescent="0.25">
      <c r="D556" s="8"/>
      <c r="E556" s="9"/>
      <c r="F556" s="17"/>
      <c r="G556" s="17"/>
      <c r="H556" s="18"/>
      <c r="I556" s="19"/>
      <c r="J556" s="8"/>
      <c r="K556" s="7"/>
    </row>
    <row r="557" spans="4:11" x14ac:dyDescent="0.25">
      <c r="K557" s="7"/>
    </row>
    <row r="558" spans="4:11" x14ac:dyDescent="0.25">
      <c r="D558" s="8"/>
      <c r="E558" s="9"/>
      <c r="F558" s="17"/>
      <c r="G558" s="17"/>
      <c r="H558" s="18"/>
      <c r="I558" s="19"/>
      <c r="J558" s="8"/>
      <c r="K558" s="7"/>
    </row>
    <row r="559" spans="4:11" x14ac:dyDescent="0.25">
      <c r="K559" s="7"/>
    </row>
    <row r="560" spans="4:11" x14ac:dyDescent="0.25">
      <c r="D560" s="8"/>
      <c r="E560" s="9"/>
      <c r="F560" s="17"/>
      <c r="G560" s="17"/>
      <c r="H560" s="18"/>
      <c r="I560" s="19"/>
      <c r="J560" s="8"/>
      <c r="K560" s="7"/>
    </row>
    <row r="561" spans="4:11" x14ac:dyDescent="0.25">
      <c r="K561" s="7"/>
    </row>
    <row r="562" spans="4:11" x14ac:dyDescent="0.25">
      <c r="D562" s="8"/>
      <c r="E562" s="9"/>
      <c r="F562" s="17"/>
      <c r="G562" s="17"/>
      <c r="H562" s="18"/>
      <c r="I562" s="19"/>
      <c r="J562" s="8"/>
      <c r="K562" s="7"/>
    </row>
    <row r="563" spans="4:11" x14ac:dyDescent="0.25">
      <c r="K563" s="7"/>
    </row>
    <row r="564" spans="4:11" x14ac:dyDescent="0.25">
      <c r="D564" s="8"/>
      <c r="E564" s="9"/>
      <c r="F564" s="17"/>
      <c r="G564" s="17"/>
      <c r="H564" s="18"/>
      <c r="I564" s="19"/>
      <c r="J564" s="8"/>
      <c r="K564" s="7"/>
    </row>
    <row r="565" spans="4:11" x14ac:dyDescent="0.25">
      <c r="K565" s="7"/>
    </row>
    <row r="566" spans="4:11" x14ac:dyDescent="0.25">
      <c r="D566" s="8"/>
      <c r="E566" s="9"/>
      <c r="F566" s="17"/>
      <c r="G566" s="17"/>
      <c r="H566" s="18"/>
      <c r="I566" s="19"/>
      <c r="J566" s="8"/>
      <c r="K566" s="7"/>
    </row>
    <row r="567" spans="4:11" x14ac:dyDescent="0.25">
      <c r="K567" s="7"/>
    </row>
    <row r="568" spans="4:11" x14ac:dyDescent="0.25">
      <c r="D568" s="8"/>
      <c r="E568" s="9"/>
      <c r="F568" s="17"/>
      <c r="G568" s="17"/>
      <c r="H568" s="18"/>
      <c r="I568" s="19"/>
      <c r="J568" s="8"/>
      <c r="K568" s="7"/>
    </row>
    <row r="569" spans="4:11" x14ac:dyDescent="0.25">
      <c r="K569" s="7"/>
    </row>
    <row r="570" spans="4:11" x14ac:dyDescent="0.25">
      <c r="D570" s="8"/>
      <c r="E570" s="9"/>
      <c r="F570" s="17"/>
      <c r="G570" s="17"/>
      <c r="H570" s="18"/>
      <c r="I570" s="19"/>
      <c r="J570" s="8"/>
      <c r="K570" s="7"/>
    </row>
    <row r="571" spans="4:11" x14ac:dyDescent="0.25">
      <c r="K571" s="7"/>
    </row>
    <row r="572" spans="4:11" x14ac:dyDescent="0.25">
      <c r="D572" s="8"/>
      <c r="E572" s="9"/>
      <c r="F572" s="17"/>
      <c r="G572" s="17"/>
      <c r="H572" s="18"/>
      <c r="I572" s="19"/>
      <c r="J572" s="8"/>
      <c r="K572" s="7"/>
    </row>
    <row r="573" spans="4:11" x14ac:dyDescent="0.25">
      <c r="K573" s="7"/>
    </row>
    <row r="574" spans="4:11" x14ac:dyDescent="0.25">
      <c r="D574" s="8"/>
      <c r="E574" s="9"/>
      <c r="F574" s="17"/>
      <c r="G574" s="17"/>
      <c r="H574" s="18"/>
      <c r="I574" s="19"/>
      <c r="J574" s="8"/>
      <c r="K574" s="7"/>
    </row>
    <row r="575" spans="4:11" x14ac:dyDescent="0.25">
      <c r="K575" s="7"/>
    </row>
    <row r="576" spans="4:11" x14ac:dyDescent="0.25">
      <c r="D576" s="8"/>
      <c r="E576" s="9"/>
      <c r="F576" s="17"/>
      <c r="G576" s="17"/>
      <c r="H576" s="18"/>
      <c r="I576" s="19"/>
      <c r="J576" s="8"/>
      <c r="K576" s="7"/>
    </row>
    <row r="577" spans="4:11" x14ac:dyDescent="0.25">
      <c r="K577" s="7"/>
    </row>
    <row r="578" spans="4:11" x14ac:dyDescent="0.25">
      <c r="D578" s="8"/>
      <c r="E578" s="9"/>
      <c r="F578" s="17"/>
      <c r="G578" s="17"/>
      <c r="H578" s="18"/>
      <c r="I578" s="19"/>
      <c r="J578" s="8"/>
      <c r="K578" s="7"/>
    </row>
    <row r="579" spans="4:11" x14ac:dyDescent="0.25">
      <c r="K579" s="7"/>
    </row>
    <row r="580" spans="4:11" x14ac:dyDescent="0.25">
      <c r="D580" s="8"/>
      <c r="E580" s="9"/>
      <c r="F580" s="17"/>
      <c r="G580" s="17"/>
      <c r="H580" s="18"/>
      <c r="I580" s="19"/>
      <c r="J580" s="8"/>
      <c r="K580" s="7"/>
    </row>
    <row r="581" spans="4:11" x14ac:dyDescent="0.25">
      <c r="K581" s="7"/>
    </row>
    <row r="582" spans="4:11" x14ac:dyDescent="0.25">
      <c r="D582" s="8"/>
      <c r="E582" s="9"/>
      <c r="F582" s="17"/>
      <c r="G582" s="17"/>
      <c r="H582" s="18"/>
      <c r="I582" s="19"/>
      <c r="J582" s="8"/>
      <c r="K582" s="7"/>
    </row>
    <row r="583" spans="4:11" x14ac:dyDescent="0.25">
      <c r="K583" s="7"/>
    </row>
    <row r="584" spans="4:11" x14ac:dyDescent="0.25">
      <c r="D584" s="8"/>
      <c r="E584" s="9"/>
      <c r="F584" s="17"/>
      <c r="G584" s="17"/>
      <c r="H584" s="18"/>
      <c r="I584" s="19"/>
      <c r="J584" s="8"/>
      <c r="K584" s="7"/>
    </row>
    <row r="585" spans="4:11" x14ac:dyDescent="0.25">
      <c r="K585" s="7"/>
    </row>
    <row r="586" spans="4:11" x14ac:dyDescent="0.25">
      <c r="D586" s="8"/>
      <c r="E586" s="9"/>
      <c r="F586" s="17"/>
      <c r="G586" s="17"/>
      <c r="H586" s="18"/>
      <c r="I586" s="19"/>
      <c r="J586" s="8"/>
      <c r="K586" s="7"/>
    </row>
    <row r="587" spans="4:11" x14ac:dyDescent="0.25">
      <c r="K587" s="7"/>
    </row>
    <row r="588" spans="4:11" x14ac:dyDescent="0.25">
      <c r="D588" s="8"/>
      <c r="E588" s="9"/>
      <c r="F588" s="17"/>
      <c r="G588" s="17"/>
      <c r="H588" s="18"/>
      <c r="I588" s="19"/>
      <c r="J588" s="8"/>
      <c r="K588" s="7"/>
    </row>
    <row r="589" spans="4:11" x14ac:dyDescent="0.25">
      <c r="K589" s="7"/>
    </row>
    <row r="590" spans="4:11" x14ac:dyDescent="0.25">
      <c r="D590" s="8"/>
      <c r="E590" s="9"/>
      <c r="F590" s="17"/>
      <c r="G590" s="17"/>
      <c r="H590" s="18"/>
      <c r="I590" s="19"/>
      <c r="J590" s="8"/>
      <c r="K590" s="7"/>
    </row>
    <row r="591" spans="4:11" x14ac:dyDescent="0.25">
      <c r="K591" s="7"/>
    </row>
    <row r="592" spans="4:11" x14ac:dyDescent="0.25">
      <c r="D592" s="8"/>
      <c r="E592" s="9"/>
      <c r="F592" s="17"/>
      <c r="G592" s="17"/>
      <c r="H592" s="18"/>
      <c r="I592" s="19"/>
      <c r="J592" s="8"/>
      <c r="K592" s="7"/>
    </row>
    <row r="593" spans="4:11" x14ac:dyDescent="0.25">
      <c r="K593" s="7"/>
    </row>
    <row r="594" spans="4:11" x14ac:dyDescent="0.25">
      <c r="D594" s="8"/>
      <c r="E594" s="9"/>
      <c r="F594" s="17"/>
      <c r="G594" s="17"/>
      <c r="H594" s="18"/>
      <c r="I594" s="19"/>
      <c r="J594" s="8"/>
      <c r="K594" s="7"/>
    </row>
    <row r="595" spans="4:11" x14ac:dyDescent="0.25">
      <c r="K595" s="7"/>
    </row>
    <row r="596" spans="4:11" x14ac:dyDescent="0.25">
      <c r="D596" s="8"/>
      <c r="E596" s="9"/>
      <c r="F596" s="17"/>
      <c r="G596" s="17"/>
      <c r="H596" s="18"/>
      <c r="I596" s="19"/>
      <c r="J596" s="8"/>
      <c r="K596" s="7"/>
    </row>
    <row r="597" spans="4:11" x14ac:dyDescent="0.25">
      <c r="K597" s="7"/>
    </row>
    <row r="598" spans="4:11" x14ac:dyDescent="0.25">
      <c r="D598" s="8"/>
      <c r="E598" s="9"/>
      <c r="F598" s="17"/>
      <c r="G598" s="17"/>
      <c r="H598" s="18"/>
      <c r="I598" s="19"/>
      <c r="J598" s="8"/>
      <c r="K598" s="7"/>
    </row>
    <row r="599" spans="4:11" x14ac:dyDescent="0.25">
      <c r="K599" s="7"/>
    </row>
    <row r="600" spans="4:11" x14ac:dyDescent="0.25">
      <c r="D600" s="8"/>
      <c r="E600" s="9"/>
      <c r="F600" s="17"/>
      <c r="G600" s="17"/>
      <c r="H600" s="18"/>
      <c r="I600" s="19"/>
      <c r="J600" s="8"/>
      <c r="K600" s="7"/>
    </row>
    <row r="601" spans="4:11" x14ac:dyDescent="0.25">
      <c r="K601" s="7"/>
    </row>
    <row r="602" spans="4:11" x14ac:dyDescent="0.25">
      <c r="D602" s="8"/>
      <c r="E602" s="9"/>
      <c r="F602" s="17"/>
      <c r="G602" s="17"/>
      <c r="H602" s="18"/>
      <c r="I602" s="19"/>
      <c r="J602" s="8"/>
      <c r="K602" s="7"/>
    </row>
    <row r="603" spans="4:11" x14ac:dyDescent="0.25">
      <c r="K603" s="7"/>
    </row>
    <row r="604" spans="4:11" x14ac:dyDescent="0.25">
      <c r="D604" s="8"/>
      <c r="E604" s="9"/>
      <c r="F604" s="17"/>
      <c r="G604" s="17"/>
      <c r="H604" s="18"/>
      <c r="I604" s="19"/>
      <c r="J604" s="8"/>
      <c r="K604" s="7"/>
    </row>
    <row r="605" spans="4:11" x14ac:dyDescent="0.25">
      <c r="K605" s="7"/>
    </row>
    <row r="606" spans="4:11" x14ac:dyDescent="0.25">
      <c r="D606" s="8"/>
      <c r="E606" s="9"/>
      <c r="F606" s="17"/>
      <c r="G606" s="17"/>
      <c r="H606" s="18"/>
      <c r="I606" s="19"/>
      <c r="J606" s="8"/>
      <c r="K606" s="7"/>
    </row>
    <row r="607" spans="4:11" x14ac:dyDescent="0.25">
      <c r="K607" s="7"/>
    </row>
    <row r="608" spans="4:11" x14ac:dyDescent="0.25">
      <c r="D608" s="8"/>
      <c r="E608" s="9"/>
      <c r="F608" s="17"/>
      <c r="G608" s="17"/>
      <c r="H608" s="18"/>
      <c r="I608" s="19"/>
      <c r="J608" s="8"/>
      <c r="K608" s="7"/>
    </row>
    <row r="609" spans="4:11" x14ac:dyDescent="0.25">
      <c r="K609" s="7"/>
    </row>
    <row r="610" spans="4:11" x14ac:dyDescent="0.25">
      <c r="D610" s="8"/>
      <c r="E610" s="9"/>
      <c r="F610" s="17"/>
      <c r="G610" s="17"/>
      <c r="H610" s="18"/>
      <c r="I610" s="19"/>
      <c r="J610" s="8"/>
      <c r="K610" s="7"/>
    </row>
    <row r="611" spans="4:11" x14ac:dyDescent="0.25">
      <c r="K611" s="7"/>
    </row>
    <row r="612" spans="4:11" x14ac:dyDescent="0.25">
      <c r="D612" s="8"/>
      <c r="E612" s="9"/>
      <c r="F612" s="17"/>
      <c r="G612" s="17"/>
      <c r="H612" s="18"/>
      <c r="I612" s="19"/>
      <c r="J612" s="8"/>
      <c r="K612" s="7"/>
    </row>
    <row r="613" spans="4:11" x14ac:dyDescent="0.25">
      <c r="K613" s="7"/>
    </row>
    <row r="614" spans="4:11" x14ac:dyDescent="0.25">
      <c r="D614" s="8"/>
      <c r="E614" s="9"/>
      <c r="F614" s="17"/>
      <c r="G614" s="17"/>
      <c r="H614" s="18"/>
      <c r="I614" s="19"/>
      <c r="J614" s="8"/>
      <c r="K614" s="7"/>
    </row>
    <row r="615" spans="4:11" x14ac:dyDescent="0.25">
      <c r="K615" s="7"/>
    </row>
    <row r="616" spans="4:11" x14ac:dyDescent="0.25">
      <c r="D616" s="8"/>
      <c r="E616" s="9"/>
      <c r="F616" s="17"/>
      <c r="G616" s="17"/>
      <c r="H616" s="18"/>
      <c r="I616" s="19"/>
      <c r="J616" s="8"/>
      <c r="K616" s="7"/>
    </row>
    <row r="617" spans="4:11" x14ac:dyDescent="0.25">
      <c r="K617" s="7"/>
    </row>
    <row r="618" spans="4:11" x14ac:dyDescent="0.25">
      <c r="D618" s="8"/>
      <c r="E618" s="9"/>
      <c r="F618" s="17"/>
      <c r="G618" s="17"/>
      <c r="H618" s="18"/>
      <c r="I618" s="19"/>
      <c r="J618" s="8"/>
      <c r="K618" s="7"/>
    </row>
    <row r="619" spans="4:11" x14ac:dyDescent="0.25">
      <c r="K619" s="7"/>
    </row>
    <row r="620" spans="4:11" x14ac:dyDescent="0.25">
      <c r="D620" s="8"/>
      <c r="E620" s="9"/>
      <c r="F620" s="17"/>
      <c r="G620" s="17"/>
      <c r="H620" s="18"/>
      <c r="I620" s="19"/>
      <c r="J620" s="8"/>
      <c r="K620" s="7"/>
    </row>
    <row r="621" spans="4:11" x14ac:dyDescent="0.25">
      <c r="K621" s="7"/>
    </row>
    <row r="622" spans="4:11" x14ac:dyDescent="0.25">
      <c r="D622" s="8"/>
      <c r="E622" s="9"/>
      <c r="F622" s="17"/>
      <c r="G622" s="17"/>
      <c r="H622" s="18"/>
      <c r="I622" s="19"/>
      <c r="J622" s="8"/>
      <c r="K622" s="7"/>
    </row>
    <row r="623" spans="4:11" x14ac:dyDescent="0.25">
      <c r="K623" s="7"/>
    </row>
    <row r="624" spans="4:11" x14ac:dyDescent="0.25">
      <c r="D624" s="8"/>
      <c r="E624" s="9"/>
      <c r="F624" s="17"/>
      <c r="G624" s="17"/>
      <c r="H624" s="18"/>
      <c r="I624" s="19"/>
      <c r="J624" s="8"/>
      <c r="K624" s="7"/>
    </row>
    <row r="625" spans="4:11" x14ac:dyDescent="0.25">
      <c r="K625" s="7"/>
    </row>
    <row r="626" spans="4:11" x14ac:dyDescent="0.25">
      <c r="D626" s="8"/>
      <c r="E626" s="9"/>
      <c r="F626" s="17"/>
      <c r="G626" s="17"/>
      <c r="H626" s="18"/>
      <c r="I626" s="19"/>
      <c r="J626" s="8"/>
      <c r="K626" s="7"/>
    </row>
    <row r="627" spans="4:11" x14ac:dyDescent="0.25">
      <c r="D627" s="18"/>
      <c r="E627" s="19"/>
      <c r="K627" s="7"/>
    </row>
    <row r="628" spans="4:11" x14ac:dyDescent="0.25">
      <c r="K628" s="7"/>
    </row>
    <row r="629" spans="4:11" x14ac:dyDescent="0.25">
      <c r="K629" s="7"/>
    </row>
    <row r="630" spans="4:11" x14ac:dyDescent="0.25">
      <c r="D630" s="8"/>
      <c r="E630" s="9"/>
      <c r="F630" s="17"/>
      <c r="G630" s="17"/>
      <c r="H630" s="18"/>
      <c r="I630" s="19"/>
      <c r="J630" s="8"/>
      <c r="K630" s="7"/>
    </row>
    <row r="631" spans="4:11" x14ac:dyDescent="0.25">
      <c r="D631" s="18"/>
      <c r="E631" s="19"/>
      <c r="K631" s="7"/>
    </row>
    <row r="632" spans="4:11" x14ac:dyDescent="0.25">
      <c r="K632" s="7"/>
    </row>
    <row r="633" spans="4:11" x14ac:dyDescent="0.25">
      <c r="K633" s="7"/>
    </row>
    <row r="634" spans="4:11" x14ac:dyDescent="0.25">
      <c r="D634" s="8"/>
      <c r="E634" s="9"/>
      <c r="F634" s="17"/>
      <c r="G634" s="17"/>
      <c r="H634" s="18"/>
      <c r="I634" s="19"/>
      <c r="J634" s="8"/>
      <c r="K634" s="7"/>
    </row>
    <row r="635" spans="4:11" x14ac:dyDescent="0.25">
      <c r="D635" s="18"/>
      <c r="E635" s="19"/>
      <c r="K635" s="7"/>
    </row>
    <row r="636" spans="4:11" x14ac:dyDescent="0.25">
      <c r="K636" s="7"/>
    </row>
    <row r="637" spans="4:11" x14ac:dyDescent="0.25">
      <c r="K637" s="7"/>
    </row>
    <row r="638" spans="4:11" x14ac:dyDescent="0.25">
      <c r="D638" s="8"/>
      <c r="E638" s="9"/>
      <c r="F638" s="17"/>
      <c r="G638" s="17"/>
      <c r="H638" s="18"/>
      <c r="I638" s="19"/>
      <c r="J638" s="8"/>
      <c r="K638" s="7"/>
    </row>
    <row r="639" spans="4:11" x14ac:dyDescent="0.25">
      <c r="D639" s="18"/>
      <c r="E639" s="19"/>
      <c r="K639" s="7"/>
    </row>
    <row r="640" spans="4:11" x14ac:dyDescent="0.25">
      <c r="K640" s="7"/>
    </row>
    <row r="641" spans="4:11" x14ac:dyDescent="0.25">
      <c r="K641" s="7"/>
    </row>
    <row r="642" spans="4:11" x14ac:dyDescent="0.25">
      <c r="D642" s="8"/>
      <c r="E642" s="9"/>
      <c r="F642" s="17"/>
      <c r="G642" s="17"/>
      <c r="H642" s="18"/>
      <c r="I642" s="19"/>
      <c r="J642" s="8"/>
      <c r="K642" s="7"/>
    </row>
    <row r="643" spans="4:11" x14ac:dyDescent="0.25">
      <c r="K643" s="7"/>
    </row>
    <row r="644" spans="4:11" x14ac:dyDescent="0.25">
      <c r="D644" s="8"/>
      <c r="E644" s="9"/>
      <c r="F644" s="17"/>
      <c r="G644" s="17"/>
      <c r="H644" s="18"/>
      <c r="I644" s="19"/>
      <c r="J644" s="8"/>
      <c r="K644" s="7"/>
    </row>
    <row r="645" spans="4:11" x14ac:dyDescent="0.25">
      <c r="K645" s="7"/>
    </row>
    <row r="646" spans="4:11" x14ac:dyDescent="0.25">
      <c r="D646" s="8"/>
      <c r="E646" s="9"/>
      <c r="F646" s="17"/>
      <c r="G646" s="17"/>
      <c r="H646" s="18"/>
      <c r="I646" s="19"/>
      <c r="J646" s="8"/>
      <c r="K646" s="7"/>
    </row>
    <row r="647" spans="4:11" x14ac:dyDescent="0.25">
      <c r="K647" s="7"/>
    </row>
    <row r="648" spans="4:11" x14ac:dyDescent="0.25">
      <c r="D648" s="8"/>
      <c r="E648" s="9"/>
      <c r="F648" s="17"/>
      <c r="G648" s="17"/>
      <c r="H648" s="18"/>
      <c r="I648" s="19"/>
      <c r="J648" s="8"/>
      <c r="K648" s="7"/>
    </row>
    <row r="649" spans="4:11" x14ac:dyDescent="0.25">
      <c r="K649" s="7"/>
    </row>
    <row r="650" spans="4:11" x14ac:dyDescent="0.25">
      <c r="D650" s="8"/>
      <c r="E650" s="9"/>
      <c r="F650" s="17"/>
      <c r="G650" s="17"/>
      <c r="H650" s="18"/>
      <c r="I650" s="19"/>
      <c r="J650" s="8"/>
      <c r="K650" s="7"/>
    </row>
    <row r="651" spans="4:11" x14ac:dyDescent="0.25">
      <c r="K651" s="7"/>
    </row>
    <row r="652" spans="4:11" x14ac:dyDescent="0.25">
      <c r="D652" s="8"/>
      <c r="E652" s="9"/>
      <c r="F652" s="17"/>
      <c r="G652" s="17"/>
      <c r="H652" s="18"/>
      <c r="I652" s="19"/>
      <c r="J652" s="8"/>
      <c r="K652" s="7"/>
    </row>
    <row r="653" spans="4:11" x14ac:dyDescent="0.25">
      <c r="K653" s="7"/>
    </row>
    <row r="654" spans="4:11" x14ac:dyDescent="0.25">
      <c r="D654" s="8"/>
      <c r="E654" s="9"/>
      <c r="F654" s="17"/>
      <c r="G654" s="17"/>
      <c r="H654" s="18"/>
      <c r="I654" s="19"/>
      <c r="J654" s="8"/>
      <c r="K654" s="7"/>
    </row>
    <row r="655" spans="4:11" x14ac:dyDescent="0.25">
      <c r="K655" s="7"/>
    </row>
    <row r="656" spans="4:11" x14ac:dyDescent="0.25">
      <c r="D656" s="8"/>
      <c r="E656" s="9"/>
      <c r="F656" s="17"/>
      <c r="G656" s="17"/>
      <c r="H656" s="18"/>
      <c r="I656" s="19"/>
      <c r="J656" s="8"/>
      <c r="K656" s="7"/>
    </row>
    <row r="657" spans="4:11" x14ac:dyDescent="0.25">
      <c r="D657" s="18"/>
      <c r="E657" s="19"/>
      <c r="K657" s="7"/>
    </row>
    <row r="658" spans="4:11" x14ac:dyDescent="0.25">
      <c r="K658" s="7"/>
    </row>
    <row r="659" spans="4:11" x14ac:dyDescent="0.25">
      <c r="K659" s="7"/>
    </row>
    <row r="660" spans="4:11" x14ac:dyDescent="0.25">
      <c r="D660" s="8"/>
      <c r="E660" s="9"/>
      <c r="F660" s="17"/>
      <c r="G660" s="17"/>
      <c r="H660" s="18"/>
      <c r="I660" s="19"/>
      <c r="J660" s="8"/>
      <c r="K660" s="7"/>
    </row>
    <row r="661" spans="4:11" x14ac:dyDescent="0.25">
      <c r="D661" s="18"/>
      <c r="E661" s="19"/>
      <c r="K661" s="7"/>
    </row>
    <row r="662" spans="4:11" x14ac:dyDescent="0.25">
      <c r="K662" s="7"/>
    </row>
    <row r="663" spans="4:11" x14ac:dyDescent="0.25">
      <c r="K663" s="7"/>
    </row>
    <row r="664" spans="4:11" x14ac:dyDescent="0.25">
      <c r="D664" s="8"/>
      <c r="E664" s="9"/>
      <c r="F664" s="17"/>
      <c r="G664" s="17"/>
      <c r="H664" s="18"/>
      <c r="I664" s="19"/>
      <c r="J664" s="8"/>
      <c r="K664" s="7"/>
    </row>
    <row r="665" spans="4:11" x14ac:dyDescent="0.25">
      <c r="D665" s="18"/>
      <c r="E665" s="19"/>
      <c r="K665" s="7"/>
    </row>
    <row r="666" spans="4:11" x14ac:dyDescent="0.25">
      <c r="K666" s="7"/>
    </row>
    <row r="667" spans="4:11" x14ac:dyDescent="0.25">
      <c r="K667" s="7"/>
    </row>
    <row r="668" spans="4:11" x14ac:dyDescent="0.25">
      <c r="D668" s="8"/>
      <c r="E668" s="9"/>
      <c r="F668" s="17"/>
      <c r="G668" s="17"/>
      <c r="H668" s="18"/>
      <c r="I668" s="19"/>
      <c r="J668" s="8"/>
      <c r="K668" s="7"/>
    </row>
    <row r="669" spans="4:11" x14ac:dyDescent="0.25">
      <c r="D669" s="18"/>
      <c r="E669" s="19"/>
      <c r="K669" s="7"/>
    </row>
    <row r="670" spans="4:11" x14ac:dyDescent="0.25">
      <c r="K670" s="7"/>
    </row>
    <row r="671" spans="4:11" x14ac:dyDescent="0.25">
      <c r="K671" s="7"/>
    </row>
    <row r="672" spans="4:11" x14ac:dyDescent="0.25">
      <c r="D672" s="8"/>
      <c r="E672" s="9"/>
      <c r="F672" s="17"/>
      <c r="G672" s="17"/>
      <c r="H672" s="18"/>
      <c r="I672" s="19"/>
      <c r="J672" s="8"/>
      <c r="K672" s="7"/>
    </row>
    <row r="673" spans="4:11" x14ac:dyDescent="0.25">
      <c r="D673" s="18"/>
      <c r="E673" s="19"/>
      <c r="K673" s="7"/>
    </row>
    <row r="674" spans="4:11" x14ac:dyDescent="0.25">
      <c r="K674" s="7"/>
    </row>
    <row r="675" spans="4:11" x14ac:dyDescent="0.25">
      <c r="K675" s="7"/>
    </row>
    <row r="676" spans="4:11" x14ac:dyDescent="0.25">
      <c r="D676" s="8"/>
      <c r="E676" s="9"/>
      <c r="F676" s="17"/>
      <c r="G676" s="17"/>
      <c r="H676" s="18"/>
      <c r="I676" s="19"/>
      <c r="J676" s="8"/>
      <c r="K676" s="7"/>
    </row>
    <row r="677" spans="4:11" x14ac:dyDescent="0.25">
      <c r="D677" s="18"/>
      <c r="E677" s="19"/>
      <c r="K677" s="7"/>
    </row>
    <row r="678" spans="4:11" x14ac:dyDescent="0.25">
      <c r="K678" s="7"/>
    </row>
    <row r="679" spans="4:11" x14ac:dyDescent="0.25">
      <c r="K679" s="7"/>
    </row>
    <row r="680" spans="4:11" x14ac:dyDescent="0.25">
      <c r="D680" s="8"/>
      <c r="E680" s="9"/>
      <c r="F680" s="17"/>
      <c r="G680" s="17"/>
      <c r="H680" s="18"/>
      <c r="I680" s="19"/>
      <c r="J680" s="8"/>
      <c r="K680" s="7"/>
    </row>
    <row r="681" spans="4:11" x14ac:dyDescent="0.25">
      <c r="D681" s="18"/>
      <c r="E681" s="19"/>
      <c r="K681" s="7"/>
    </row>
    <row r="682" spans="4:11" x14ac:dyDescent="0.25">
      <c r="K682" s="7"/>
    </row>
    <row r="683" spans="4:11" x14ac:dyDescent="0.25">
      <c r="K683" s="7"/>
    </row>
    <row r="684" spans="4:11" x14ac:dyDescent="0.25">
      <c r="D684" s="8"/>
      <c r="E684" s="9"/>
      <c r="F684" s="17"/>
      <c r="G684" s="17"/>
      <c r="H684" s="18"/>
      <c r="I684" s="19"/>
      <c r="J684" s="8"/>
      <c r="K684" s="7"/>
    </row>
    <row r="685" spans="4:11" x14ac:dyDescent="0.25">
      <c r="D685" s="18"/>
      <c r="E685" s="19"/>
      <c r="K685" s="7"/>
    </row>
    <row r="686" spans="4:11" x14ac:dyDescent="0.25">
      <c r="K686" s="7"/>
    </row>
    <row r="687" spans="4:11" x14ac:dyDescent="0.25">
      <c r="K687" s="7"/>
    </row>
    <row r="688" spans="4:11" x14ac:dyDescent="0.25">
      <c r="D688" s="8"/>
      <c r="E688" s="9"/>
      <c r="F688" s="17"/>
      <c r="G688" s="17"/>
      <c r="H688" s="18"/>
      <c r="I688" s="19"/>
      <c r="J688" s="8"/>
      <c r="K688" s="7"/>
    </row>
    <row r="689" spans="4:11" x14ac:dyDescent="0.25">
      <c r="D689" s="18"/>
      <c r="E689" s="19"/>
      <c r="K689" s="7"/>
    </row>
    <row r="690" spans="4:11" x14ac:dyDescent="0.25">
      <c r="K690" s="7"/>
    </row>
    <row r="691" spans="4:11" x14ac:dyDescent="0.25">
      <c r="K691" s="7"/>
    </row>
    <row r="692" spans="4:11" x14ac:dyDescent="0.25">
      <c r="D692" s="8"/>
      <c r="E692" s="9"/>
      <c r="F692" s="17"/>
      <c r="G692" s="17"/>
      <c r="H692" s="18"/>
      <c r="I692" s="19"/>
      <c r="J692" s="8"/>
      <c r="K692" s="7"/>
    </row>
    <row r="693" spans="4:11" x14ac:dyDescent="0.25">
      <c r="D693" s="18"/>
      <c r="E693" s="19"/>
      <c r="K693" s="7"/>
    </row>
    <row r="694" spans="4:11" x14ac:dyDescent="0.25">
      <c r="K694" s="7"/>
    </row>
    <row r="695" spans="4:11" x14ac:dyDescent="0.25">
      <c r="K695" s="7"/>
    </row>
    <row r="696" spans="4:11" x14ac:dyDescent="0.25">
      <c r="D696" s="8"/>
      <c r="E696" s="9"/>
      <c r="F696" s="17"/>
      <c r="G696" s="17"/>
      <c r="H696" s="18"/>
      <c r="I696" s="19"/>
      <c r="J696" s="8"/>
      <c r="K696" s="7"/>
    </row>
    <row r="697" spans="4:11" x14ac:dyDescent="0.25">
      <c r="D697" s="18"/>
      <c r="E697" s="19"/>
      <c r="K697" s="7"/>
    </row>
    <row r="698" spans="4:11" x14ac:dyDescent="0.25">
      <c r="K698" s="7"/>
    </row>
    <row r="699" spans="4:11" x14ac:dyDescent="0.25">
      <c r="K699" s="7"/>
    </row>
    <row r="700" spans="4:11" x14ac:dyDescent="0.25">
      <c r="D700" s="8"/>
      <c r="E700" s="9"/>
      <c r="F700" s="17"/>
      <c r="G700" s="17"/>
      <c r="H700" s="18"/>
      <c r="I700" s="19"/>
      <c r="J700" s="8"/>
      <c r="K700" s="7"/>
    </row>
    <row r="701" spans="4:11" x14ac:dyDescent="0.25">
      <c r="D701" s="18"/>
      <c r="E701" s="19"/>
      <c r="K701" s="7"/>
    </row>
    <row r="702" spans="4:11" x14ac:dyDescent="0.25">
      <c r="K702" s="7"/>
    </row>
    <row r="703" spans="4:11" x14ac:dyDescent="0.25">
      <c r="K703" s="7"/>
    </row>
    <row r="704" spans="4:11" x14ac:dyDescent="0.25">
      <c r="D704" s="8"/>
      <c r="E704" s="9"/>
      <c r="F704" s="17"/>
      <c r="G704" s="17"/>
      <c r="H704" s="18"/>
      <c r="I704" s="19"/>
      <c r="J704" s="8"/>
      <c r="K704" s="7"/>
    </row>
    <row r="705" spans="4:11" x14ac:dyDescent="0.25">
      <c r="D705" s="18"/>
      <c r="E705" s="19"/>
      <c r="K705" s="7"/>
    </row>
    <row r="706" spans="4:11" x14ac:dyDescent="0.25">
      <c r="K706" s="7"/>
    </row>
    <row r="707" spans="4:11" x14ac:dyDescent="0.25">
      <c r="K707" s="7"/>
    </row>
    <row r="708" spans="4:11" x14ac:dyDescent="0.25">
      <c r="D708" s="8"/>
      <c r="E708" s="9"/>
      <c r="F708" s="17"/>
      <c r="G708" s="17"/>
      <c r="H708" s="18"/>
      <c r="I708" s="19"/>
      <c r="J708" s="8"/>
      <c r="K708" s="7"/>
    </row>
    <row r="709" spans="4:11" x14ac:dyDescent="0.25">
      <c r="D709" s="18"/>
      <c r="E709" s="19"/>
      <c r="K709" s="7"/>
    </row>
    <row r="710" spans="4:11" x14ac:dyDescent="0.25">
      <c r="K710" s="7"/>
    </row>
    <row r="711" spans="4:11" x14ac:dyDescent="0.25">
      <c r="K711" s="7"/>
    </row>
    <row r="712" spans="4:11" x14ac:dyDescent="0.25">
      <c r="D712" s="8"/>
      <c r="E712" s="9"/>
      <c r="F712" s="17"/>
      <c r="G712" s="17"/>
      <c r="H712" s="18"/>
      <c r="I712" s="19"/>
      <c r="J712" s="8"/>
      <c r="K712" s="7"/>
    </row>
    <row r="713" spans="4:11" x14ac:dyDescent="0.25">
      <c r="D713" s="18"/>
      <c r="E713" s="19"/>
      <c r="K713" s="7"/>
    </row>
    <row r="714" spans="4:11" x14ac:dyDescent="0.25">
      <c r="K714" s="7"/>
    </row>
    <row r="715" spans="4:11" x14ac:dyDescent="0.25">
      <c r="K715" s="7"/>
    </row>
    <row r="716" spans="4:11" x14ac:dyDescent="0.25">
      <c r="D716" s="8"/>
      <c r="E716" s="9"/>
      <c r="F716" s="17"/>
      <c r="G716" s="17"/>
      <c r="H716" s="18"/>
      <c r="I716" s="19"/>
      <c r="J716" s="8"/>
      <c r="K716" s="7"/>
    </row>
    <row r="717" spans="4:11" x14ac:dyDescent="0.25">
      <c r="D717" s="18"/>
      <c r="E717" s="19"/>
      <c r="K717" s="7"/>
    </row>
    <row r="718" spans="4:11" x14ac:dyDescent="0.25">
      <c r="K718" s="7"/>
    </row>
    <row r="719" spans="4:11" x14ac:dyDescent="0.25">
      <c r="K719" s="7"/>
    </row>
    <row r="720" spans="4:11" x14ac:dyDescent="0.25">
      <c r="D720" s="8"/>
      <c r="E720" s="9"/>
      <c r="F720" s="17"/>
      <c r="G720" s="17"/>
      <c r="H720" s="18"/>
      <c r="I720" s="19"/>
      <c r="J720" s="8"/>
      <c r="K720" s="7"/>
    </row>
    <row r="721" spans="4:11" x14ac:dyDescent="0.25">
      <c r="K721" s="7"/>
    </row>
    <row r="722" spans="4:11" x14ac:dyDescent="0.25">
      <c r="D722" s="8"/>
      <c r="E722" s="9"/>
      <c r="F722" s="17"/>
      <c r="G722" s="17"/>
      <c r="H722" s="18"/>
      <c r="I722" s="19"/>
      <c r="J722" s="8"/>
      <c r="K722" s="7"/>
    </row>
    <row r="723" spans="4:11" x14ac:dyDescent="0.25">
      <c r="D723" s="18"/>
      <c r="E723" s="19"/>
      <c r="K723" s="7"/>
    </row>
    <row r="724" spans="4:11" x14ac:dyDescent="0.25">
      <c r="K724" s="7"/>
    </row>
    <row r="725" spans="4:11" x14ac:dyDescent="0.25">
      <c r="K725" s="7"/>
    </row>
    <row r="726" spans="4:11" x14ac:dyDescent="0.25">
      <c r="D726" s="8"/>
      <c r="E726" s="9"/>
      <c r="F726" s="17"/>
      <c r="G726" s="17"/>
      <c r="H726" s="18"/>
      <c r="I726" s="19"/>
      <c r="J726" s="8"/>
      <c r="K726" s="7"/>
    </row>
    <row r="727" spans="4:11" x14ac:dyDescent="0.25">
      <c r="D727" s="18"/>
      <c r="E727" s="19"/>
      <c r="K727" s="7"/>
    </row>
    <row r="728" spans="4:11" x14ac:dyDescent="0.25">
      <c r="K728" s="7"/>
    </row>
    <row r="729" spans="4:11" x14ac:dyDescent="0.25">
      <c r="K729" s="7"/>
    </row>
    <row r="730" spans="4:11" x14ac:dyDescent="0.25">
      <c r="D730" s="8"/>
      <c r="E730" s="9"/>
      <c r="F730" s="17"/>
      <c r="G730" s="17"/>
      <c r="H730" s="18"/>
      <c r="I730" s="19"/>
      <c r="J730" s="8"/>
      <c r="K730" s="7"/>
    </row>
    <row r="731" spans="4:11" x14ac:dyDescent="0.25">
      <c r="D731" s="18"/>
      <c r="E731" s="19"/>
      <c r="K731" s="7"/>
    </row>
    <row r="732" spans="4:11" x14ac:dyDescent="0.25">
      <c r="K732" s="7"/>
    </row>
    <row r="733" spans="4:11" x14ac:dyDescent="0.25">
      <c r="K733" s="7"/>
    </row>
    <row r="734" spans="4:11" x14ac:dyDescent="0.25">
      <c r="D734" s="8"/>
      <c r="E734" s="9"/>
      <c r="F734" s="17"/>
      <c r="G734" s="17"/>
      <c r="H734" s="18"/>
      <c r="I734" s="19"/>
      <c r="J734" s="8"/>
      <c r="K734" s="7"/>
    </row>
    <row r="735" spans="4:11" x14ac:dyDescent="0.25">
      <c r="D735" s="18"/>
      <c r="E735" s="19"/>
      <c r="K735" s="7"/>
    </row>
    <row r="736" spans="4:11" x14ac:dyDescent="0.25">
      <c r="K736" s="7"/>
    </row>
    <row r="737" spans="4:11" x14ac:dyDescent="0.25">
      <c r="K737" s="7"/>
    </row>
    <row r="738" spans="4:11" x14ac:dyDescent="0.25">
      <c r="D738" s="8"/>
      <c r="E738" s="9"/>
      <c r="F738" s="17"/>
      <c r="G738" s="17"/>
      <c r="H738" s="18"/>
      <c r="I738" s="19"/>
      <c r="J738" s="8"/>
      <c r="K738" s="7"/>
    </row>
    <row r="739" spans="4:11" x14ac:dyDescent="0.25">
      <c r="K739" s="7"/>
    </row>
    <row r="740" spans="4:11" x14ac:dyDescent="0.25">
      <c r="D740" s="8"/>
      <c r="E740" s="9"/>
      <c r="F740" s="17"/>
      <c r="G740" s="17"/>
      <c r="H740" s="18"/>
      <c r="I740" s="19"/>
      <c r="J740" s="8"/>
      <c r="K740" s="7"/>
    </row>
    <row r="741" spans="4:11" x14ac:dyDescent="0.25">
      <c r="K741" s="7"/>
    </row>
    <row r="742" spans="4:11" x14ac:dyDescent="0.25">
      <c r="D742" s="8"/>
      <c r="E742" s="9"/>
      <c r="F742" s="17"/>
      <c r="G742" s="17"/>
      <c r="H742" s="18"/>
      <c r="I742" s="19"/>
      <c r="J742" s="8"/>
      <c r="K742" s="7"/>
    </row>
    <row r="743" spans="4:11" x14ac:dyDescent="0.25">
      <c r="K743" s="7"/>
    </row>
    <row r="744" spans="4:11" x14ac:dyDescent="0.25">
      <c r="D744" s="8"/>
      <c r="E744" s="9"/>
      <c r="F744" s="17"/>
      <c r="G744" s="17"/>
      <c r="H744" s="18"/>
      <c r="I744" s="19"/>
      <c r="J744" s="8"/>
      <c r="K744" s="7"/>
    </row>
    <row r="745" spans="4:11" x14ac:dyDescent="0.25">
      <c r="K745" s="7"/>
    </row>
    <row r="746" spans="4:11" x14ac:dyDescent="0.25">
      <c r="D746" s="8"/>
      <c r="E746" s="9"/>
      <c r="F746" s="17"/>
      <c r="G746" s="17"/>
      <c r="H746" s="18"/>
      <c r="I746" s="19"/>
      <c r="J746" s="8"/>
      <c r="K746" s="7"/>
    </row>
    <row r="747" spans="4:11" x14ac:dyDescent="0.25">
      <c r="K747" s="7"/>
    </row>
    <row r="748" spans="4:11" x14ac:dyDescent="0.25">
      <c r="D748" s="8"/>
      <c r="E748" s="9"/>
      <c r="F748" s="17"/>
      <c r="G748" s="17"/>
      <c r="H748" s="18"/>
      <c r="I748" s="19"/>
      <c r="J748" s="8"/>
      <c r="K748" s="7"/>
    </row>
    <row r="749" spans="4:11" x14ac:dyDescent="0.25">
      <c r="K749" s="7"/>
    </row>
    <row r="750" spans="4:11" x14ac:dyDescent="0.25">
      <c r="D750" s="8"/>
      <c r="E750" s="9"/>
      <c r="F750" s="17"/>
      <c r="G750" s="17"/>
      <c r="H750" s="18"/>
      <c r="I750" s="19"/>
      <c r="J750" s="8"/>
      <c r="K750" s="7"/>
    </row>
    <row r="751" spans="4:11" x14ac:dyDescent="0.25">
      <c r="K751" s="7"/>
    </row>
    <row r="752" spans="4:11" x14ac:dyDescent="0.25">
      <c r="D752" s="8"/>
      <c r="E752" s="9"/>
      <c r="F752" s="17"/>
      <c r="G752" s="17"/>
      <c r="H752" s="18"/>
      <c r="I752" s="19"/>
      <c r="J752" s="8"/>
      <c r="K752" s="7"/>
    </row>
    <row r="753" spans="4:11" x14ac:dyDescent="0.25">
      <c r="K753" s="7"/>
    </row>
    <row r="754" spans="4:11" x14ac:dyDescent="0.25">
      <c r="D754" s="8"/>
      <c r="E754" s="9"/>
      <c r="F754" s="17"/>
      <c r="G754" s="17"/>
      <c r="H754" s="18"/>
      <c r="I754" s="19"/>
      <c r="J754" s="8"/>
      <c r="K754" s="7"/>
    </row>
    <row r="755" spans="4:11" x14ac:dyDescent="0.25">
      <c r="K755" s="7"/>
    </row>
    <row r="756" spans="4:11" x14ac:dyDescent="0.25">
      <c r="D756" s="8"/>
      <c r="E756" s="9"/>
      <c r="F756" s="17"/>
      <c r="G756" s="17"/>
      <c r="H756" s="18"/>
      <c r="I756" s="19"/>
      <c r="J756" s="8"/>
      <c r="K756" s="7"/>
    </row>
    <row r="757" spans="4:11" x14ac:dyDescent="0.25">
      <c r="K757" s="7"/>
    </row>
    <row r="758" spans="4:11" x14ac:dyDescent="0.25">
      <c r="D758" s="8"/>
      <c r="E758" s="9"/>
      <c r="F758" s="17"/>
      <c r="G758" s="17"/>
      <c r="H758" s="18"/>
      <c r="I758" s="19"/>
      <c r="J758" s="8"/>
      <c r="K758" s="7"/>
    </row>
    <row r="759" spans="4:11" x14ac:dyDescent="0.25">
      <c r="K759" s="7"/>
    </row>
    <row r="760" spans="4:11" x14ac:dyDescent="0.25">
      <c r="D760" s="8"/>
      <c r="E760" s="9"/>
      <c r="F760" s="17"/>
      <c r="G760" s="17"/>
      <c r="H760" s="18"/>
      <c r="I760" s="19"/>
      <c r="J760" s="8"/>
      <c r="K760" s="7"/>
    </row>
    <row r="761" spans="4:11" x14ac:dyDescent="0.25">
      <c r="K761" s="7"/>
    </row>
    <row r="762" spans="4:11" x14ac:dyDescent="0.25">
      <c r="D762" s="8"/>
      <c r="E762" s="9"/>
      <c r="F762" s="17"/>
      <c r="G762" s="17"/>
      <c r="H762" s="18"/>
      <c r="I762" s="19"/>
      <c r="J762" s="8"/>
      <c r="K762" s="7"/>
    </row>
    <row r="763" spans="4:11" x14ac:dyDescent="0.25">
      <c r="K763" s="7"/>
    </row>
    <row r="764" spans="4:11" x14ac:dyDescent="0.25">
      <c r="D764" s="8"/>
      <c r="E764" s="9"/>
      <c r="F764" s="17"/>
      <c r="G764" s="17"/>
      <c r="H764" s="18"/>
      <c r="I764" s="19"/>
      <c r="J764" s="8"/>
      <c r="K764" s="7"/>
    </row>
    <row r="765" spans="4:11" x14ac:dyDescent="0.25">
      <c r="D765" s="8"/>
      <c r="E765" s="9"/>
      <c r="F765" s="17"/>
      <c r="G765" s="17"/>
      <c r="H765" s="18"/>
      <c r="I765" s="19"/>
      <c r="J765" s="8"/>
      <c r="K765" s="7"/>
    </row>
    <row r="766" spans="4:11" x14ac:dyDescent="0.25">
      <c r="D766" s="8"/>
      <c r="E766" s="9"/>
      <c r="F766" s="17"/>
      <c r="G766" s="17"/>
      <c r="H766" s="18"/>
      <c r="I766" s="19"/>
      <c r="J766" s="8"/>
      <c r="K766" s="7"/>
    </row>
    <row r="767" spans="4:11" x14ac:dyDescent="0.25">
      <c r="D767" s="8"/>
      <c r="E767" s="9"/>
      <c r="F767" s="17"/>
      <c r="G767" s="17"/>
      <c r="H767" s="18"/>
      <c r="I767" s="19"/>
      <c r="J767" s="8"/>
      <c r="K767" s="7"/>
    </row>
    <row r="768" spans="4:11" x14ac:dyDescent="0.25">
      <c r="K768" s="7"/>
    </row>
    <row r="769" spans="4:11" x14ac:dyDescent="0.25">
      <c r="D769" s="8"/>
      <c r="E769" s="9"/>
      <c r="F769" s="17"/>
      <c r="G769" s="17"/>
      <c r="H769" s="18"/>
      <c r="I769" s="19"/>
      <c r="J769" s="8"/>
      <c r="K769" s="7"/>
    </row>
    <row r="770" spans="4:11" x14ac:dyDescent="0.25">
      <c r="K770" s="7"/>
    </row>
    <row r="771" spans="4:11" x14ac:dyDescent="0.25">
      <c r="D771" s="8"/>
      <c r="E771" s="9"/>
      <c r="F771" s="17"/>
      <c r="G771" s="17"/>
      <c r="H771" s="18"/>
      <c r="I771" s="19"/>
      <c r="J771" s="8"/>
      <c r="K771" s="7"/>
    </row>
    <row r="772" spans="4:11" x14ac:dyDescent="0.25">
      <c r="D772" s="18"/>
      <c r="E772" s="19"/>
      <c r="K772" s="7"/>
    </row>
    <row r="773" spans="4:11" x14ac:dyDescent="0.25">
      <c r="K773" s="7"/>
    </row>
    <row r="774" spans="4:11" x14ac:dyDescent="0.25">
      <c r="K774" s="7"/>
    </row>
    <row r="775" spans="4:11" x14ac:dyDescent="0.25">
      <c r="D775" s="8"/>
      <c r="E775" s="9"/>
      <c r="F775" s="17"/>
      <c r="G775" s="17"/>
      <c r="H775" s="18"/>
      <c r="I775" s="19"/>
      <c r="J775" s="8"/>
      <c r="K775" s="7"/>
    </row>
    <row r="776" spans="4:11" x14ac:dyDescent="0.25">
      <c r="D776" s="18"/>
      <c r="E776" s="19"/>
      <c r="K776" s="7"/>
    </row>
    <row r="777" spans="4:11" x14ac:dyDescent="0.25">
      <c r="K777" s="7"/>
    </row>
    <row r="778" spans="4:11" x14ac:dyDescent="0.25">
      <c r="K778" s="7"/>
    </row>
    <row r="779" spans="4:11" x14ac:dyDescent="0.25">
      <c r="D779" s="8"/>
      <c r="E779" s="9"/>
      <c r="F779" s="17"/>
      <c r="G779" s="17"/>
      <c r="H779" s="18"/>
      <c r="I779" s="19"/>
      <c r="J779" s="8"/>
      <c r="K779" s="7"/>
    </row>
    <row r="780" spans="4:11" x14ac:dyDescent="0.25">
      <c r="K780" s="7"/>
    </row>
    <row r="781" spans="4:11" x14ac:dyDescent="0.25">
      <c r="D781" s="8"/>
      <c r="E781" s="9"/>
      <c r="F781" s="17"/>
      <c r="G781" s="17"/>
      <c r="H781" s="18"/>
      <c r="I781" s="19"/>
      <c r="J781" s="8"/>
      <c r="K781" s="7"/>
    </row>
    <row r="782" spans="4:11" x14ac:dyDescent="0.25">
      <c r="K782" s="7"/>
    </row>
    <row r="783" spans="4:11" x14ac:dyDescent="0.25">
      <c r="D783" s="8"/>
      <c r="E783" s="9"/>
      <c r="F783" s="17"/>
      <c r="G783" s="17"/>
      <c r="H783" s="18"/>
      <c r="I783" s="19"/>
      <c r="J783" s="8"/>
      <c r="K783" s="7"/>
    </row>
    <row r="784" spans="4:11" x14ac:dyDescent="0.25">
      <c r="K784" s="7"/>
    </row>
    <row r="785" spans="4:11" x14ac:dyDescent="0.25">
      <c r="D785" s="8"/>
      <c r="E785" s="9"/>
      <c r="F785" s="17"/>
      <c r="G785" s="17"/>
      <c r="H785" s="18"/>
      <c r="I785" s="19"/>
      <c r="J785" s="8"/>
      <c r="K785" s="7"/>
    </row>
    <row r="786" spans="4:11" x14ac:dyDescent="0.25">
      <c r="K786" s="7"/>
    </row>
    <row r="787" spans="4:11" x14ac:dyDescent="0.25">
      <c r="D787" s="8"/>
      <c r="E787" s="9"/>
      <c r="F787" s="17"/>
      <c r="G787" s="17"/>
      <c r="H787" s="18"/>
      <c r="I787" s="19"/>
      <c r="J787" s="8"/>
      <c r="K787" s="7"/>
    </row>
    <row r="788" spans="4:11" x14ac:dyDescent="0.25">
      <c r="D788" s="18"/>
      <c r="E788" s="19"/>
      <c r="K788" s="7"/>
    </row>
    <row r="789" spans="4:11" x14ac:dyDescent="0.25">
      <c r="K789" s="7"/>
    </row>
    <row r="790" spans="4:11" x14ac:dyDescent="0.25">
      <c r="K790" s="7"/>
    </row>
    <row r="791" spans="4:11" x14ac:dyDescent="0.25">
      <c r="D791" s="8"/>
      <c r="E791" s="9"/>
      <c r="F791" s="17"/>
      <c r="G791" s="17"/>
      <c r="H791" s="18"/>
      <c r="I791" s="19"/>
      <c r="J791" s="8"/>
      <c r="K791" s="7"/>
    </row>
    <row r="792" spans="4:11" x14ac:dyDescent="0.25">
      <c r="D792" s="18"/>
      <c r="E792" s="19"/>
      <c r="K792" s="7"/>
    </row>
    <row r="793" spans="4:11" x14ac:dyDescent="0.25">
      <c r="K793" s="7"/>
    </row>
    <row r="794" spans="4:11" x14ac:dyDescent="0.25">
      <c r="K794" s="7"/>
    </row>
    <row r="795" spans="4:11" x14ac:dyDescent="0.25">
      <c r="D795" s="8"/>
      <c r="E795" s="9"/>
      <c r="F795" s="17"/>
      <c r="G795" s="17"/>
      <c r="H795" s="18"/>
      <c r="I795" s="19"/>
      <c r="J795" s="8"/>
      <c r="K795" s="7"/>
    </row>
    <row r="796" spans="4:11" x14ac:dyDescent="0.25">
      <c r="D796" s="18"/>
      <c r="E796" s="19"/>
      <c r="K796" s="7"/>
    </row>
    <row r="797" spans="4:11" x14ac:dyDescent="0.25">
      <c r="K797" s="7"/>
    </row>
    <row r="798" spans="4:11" x14ac:dyDescent="0.25">
      <c r="K798" s="7"/>
    </row>
    <row r="799" spans="4:11" x14ac:dyDescent="0.25">
      <c r="D799" s="8"/>
      <c r="E799" s="9"/>
      <c r="F799" s="17"/>
      <c r="G799" s="17"/>
      <c r="H799" s="18"/>
      <c r="I799" s="19"/>
      <c r="J799" s="8"/>
      <c r="K799" s="7"/>
    </row>
    <row r="800" spans="4:11" x14ac:dyDescent="0.25">
      <c r="D800" s="18"/>
      <c r="E800" s="19"/>
      <c r="K800" s="7"/>
    </row>
    <row r="801" spans="4:11" x14ac:dyDescent="0.25">
      <c r="K801" s="7"/>
    </row>
    <row r="802" spans="4:11" x14ac:dyDescent="0.25">
      <c r="K802" s="7"/>
    </row>
    <row r="803" spans="4:11" x14ac:dyDescent="0.25">
      <c r="D803" s="8"/>
      <c r="E803" s="9"/>
      <c r="F803" s="17"/>
      <c r="G803" s="17"/>
      <c r="H803" s="18"/>
      <c r="I803" s="19"/>
      <c r="J803" s="8"/>
      <c r="K803" s="7"/>
    </row>
    <row r="804" spans="4:11" x14ac:dyDescent="0.25">
      <c r="D804" s="18"/>
      <c r="E804" s="19"/>
      <c r="K804" s="7"/>
    </row>
    <row r="805" spans="4:11" x14ac:dyDescent="0.25">
      <c r="K805" s="7"/>
    </row>
    <row r="806" spans="4:11" x14ac:dyDescent="0.25">
      <c r="K806" s="7"/>
    </row>
    <row r="807" spans="4:11" x14ac:dyDescent="0.25">
      <c r="D807" s="8"/>
      <c r="E807" s="9"/>
      <c r="F807" s="17"/>
      <c r="G807" s="17"/>
      <c r="H807" s="18"/>
      <c r="I807" s="19"/>
      <c r="J807" s="8"/>
      <c r="K807" s="7"/>
    </row>
    <row r="808" spans="4:11" x14ac:dyDescent="0.25">
      <c r="D808" s="18"/>
      <c r="E808" s="19"/>
      <c r="K808" s="7"/>
    </row>
    <row r="809" spans="4:11" x14ac:dyDescent="0.25">
      <c r="K809" s="7"/>
    </row>
    <row r="810" spans="4:11" x14ac:dyDescent="0.25">
      <c r="K810" s="7"/>
    </row>
    <row r="811" spans="4:11" x14ac:dyDescent="0.25">
      <c r="D811" s="8"/>
      <c r="E811" s="9"/>
      <c r="F811" s="17"/>
      <c r="G811" s="17"/>
      <c r="H811" s="18"/>
      <c r="I811" s="19"/>
      <c r="J811" s="8"/>
      <c r="K811" s="7"/>
    </row>
    <row r="812" spans="4:11" x14ac:dyDescent="0.25">
      <c r="D812" s="18"/>
      <c r="E812" s="19"/>
      <c r="K812" s="7"/>
    </row>
    <row r="813" spans="4:11" x14ac:dyDescent="0.25">
      <c r="K813" s="7"/>
    </row>
    <row r="814" spans="4:11" x14ac:dyDescent="0.25">
      <c r="K814" s="7"/>
    </row>
    <row r="815" spans="4:11" x14ac:dyDescent="0.25">
      <c r="D815" s="8"/>
      <c r="E815" s="9"/>
      <c r="F815" s="17"/>
      <c r="G815" s="17"/>
      <c r="H815" s="18"/>
      <c r="I815" s="19"/>
      <c r="J815" s="8"/>
      <c r="K815" s="7"/>
    </row>
    <row r="816" spans="4:11" x14ac:dyDescent="0.25">
      <c r="D816" s="18"/>
      <c r="E816" s="19"/>
      <c r="K816" s="7"/>
    </row>
    <row r="817" spans="4:11" x14ac:dyDescent="0.25">
      <c r="K817" s="7"/>
    </row>
    <row r="818" spans="4:11" x14ac:dyDescent="0.25">
      <c r="K818" s="7"/>
    </row>
    <row r="819" spans="4:11" x14ac:dyDescent="0.25">
      <c r="D819" s="8"/>
      <c r="E819" s="9"/>
      <c r="F819" s="17"/>
      <c r="G819" s="17"/>
      <c r="H819" s="18"/>
      <c r="I819" s="19"/>
      <c r="J819" s="8"/>
      <c r="K819" s="7"/>
    </row>
    <row r="820" spans="4:11" x14ac:dyDescent="0.25">
      <c r="K820" s="7"/>
    </row>
    <row r="821" spans="4:11" x14ac:dyDescent="0.25">
      <c r="D821" s="8"/>
      <c r="E821" s="9"/>
      <c r="F821" s="17"/>
      <c r="G821" s="17"/>
      <c r="H821" s="18"/>
      <c r="I821" s="19"/>
      <c r="J821" s="8"/>
      <c r="K821" s="7"/>
    </row>
    <row r="822" spans="4:11" x14ac:dyDescent="0.25">
      <c r="D822" s="18"/>
      <c r="E822" s="19"/>
      <c r="K822" s="7"/>
    </row>
    <row r="823" spans="4:11" x14ac:dyDescent="0.25">
      <c r="K823" s="7"/>
    </row>
    <row r="824" spans="4:11" x14ac:dyDescent="0.25">
      <c r="K824" s="7"/>
    </row>
    <row r="825" spans="4:11" x14ac:dyDescent="0.25">
      <c r="D825" s="8"/>
      <c r="E825" s="9"/>
      <c r="F825" s="17"/>
      <c r="G825" s="17"/>
      <c r="H825" s="18"/>
      <c r="I825" s="19"/>
      <c r="J825" s="8"/>
      <c r="K825" s="7"/>
    </row>
    <row r="826" spans="4:11" x14ac:dyDescent="0.25">
      <c r="D826" s="18"/>
      <c r="E826" s="19"/>
      <c r="K826" s="7"/>
    </row>
    <row r="827" spans="4:11" x14ac:dyDescent="0.25">
      <c r="K827" s="7"/>
    </row>
    <row r="828" spans="4:11" x14ac:dyDescent="0.25">
      <c r="K828" s="7"/>
    </row>
    <row r="829" spans="4:11" x14ac:dyDescent="0.25">
      <c r="D829" s="8"/>
      <c r="E829" s="9"/>
      <c r="F829" s="17"/>
      <c r="G829" s="17"/>
      <c r="H829" s="18"/>
      <c r="I829" s="19"/>
      <c r="J829" s="8"/>
      <c r="K829" s="7"/>
    </row>
    <row r="830" spans="4:11" x14ac:dyDescent="0.25">
      <c r="D830" s="18"/>
      <c r="E830" s="19"/>
      <c r="K830" s="7"/>
    </row>
    <row r="831" spans="4:11" x14ac:dyDescent="0.25">
      <c r="K831" s="7"/>
    </row>
    <row r="832" spans="4:11" x14ac:dyDescent="0.25">
      <c r="K832" s="7"/>
    </row>
    <row r="833" spans="4:11" x14ac:dyDescent="0.25">
      <c r="D833" s="8"/>
      <c r="E833" s="9"/>
      <c r="F833" s="17"/>
      <c r="G833" s="17"/>
      <c r="H833" s="18"/>
      <c r="I833" s="19"/>
      <c r="J833" s="8"/>
      <c r="K833" s="7"/>
    </row>
    <row r="834" spans="4:11" x14ac:dyDescent="0.25">
      <c r="D834" s="18"/>
      <c r="E834" s="19"/>
      <c r="K834" s="7"/>
    </row>
    <row r="835" spans="4:11" x14ac:dyDescent="0.25">
      <c r="K835" s="7"/>
    </row>
    <row r="836" spans="4:11" x14ac:dyDescent="0.25">
      <c r="K836" s="7"/>
    </row>
    <row r="837" spans="4:11" x14ac:dyDescent="0.25">
      <c r="D837" s="8"/>
      <c r="E837" s="9"/>
      <c r="F837" s="17"/>
      <c r="G837" s="17"/>
      <c r="H837" s="18"/>
      <c r="I837" s="19"/>
      <c r="J837" s="8"/>
      <c r="K837" s="7"/>
    </row>
    <row r="838" spans="4:11" x14ac:dyDescent="0.25">
      <c r="D838" s="18"/>
      <c r="E838" s="19"/>
      <c r="K838" s="7"/>
    </row>
    <row r="839" spans="4:11" x14ac:dyDescent="0.25">
      <c r="K839" s="7"/>
    </row>
    <row r="840" spans="4:11" x14ac:dyDescent="0.25">
      <c r="K840" s="7"/>
    </row>
    <row r="841" spans="4:11" x14ac:dyDescent="0.25">
      <c r="D841" s="8"/>
      <c r="E841" s="9"/>
      <c r="F841" s="17"/>
      <c r="G841" s="17"/>
      <c r="H841" s="18"/>
      <c r="I841" s="19"/>
      <c r="J841" s="8"/>
      <c r="K841" s="7"/>
    </row>
    <row r="842" spans="4:11" x14ac:dyDescent="0.25">
      <c r="D842" s="18"/>
      <c r="E842" s="19"/>
      <c r="K842" s="7"/>
    </row>
    <row r="843" spans="4:11" x14ac:dyDescent="0.25">
      <c r="K843" s="7"/>
    </row>
    <row r="844" spans="4:11" x14ac:dyDescent="0.25">
      <c r="K844" s="7"/>
    </row>
    <row r="845" spans="4:11" x14ac:dyDescent="0.25">
      <c r="D845" s="8"/>
      <c r="E845" s="9"/>
      <c r="F845" s="17"/>
      <c r="G845" s="17"/>
      <c r="H845" s="18"/>
      <c r="I845" s="19"/>
      <c r="J845" s="8"/>
      <c r="K845" s="7"/>
    </row>
    <row r="846" spans="4:11" x14ac:dyDescent="0.25">
      <c r="D846" s="18"/>
      <c r="E846" s="19"/>
      <c r="K846" s="7"/>
    </row>
    <row r="847" spans="4:11" x14ac:dyDescent="0.25">
      <c r="K847" s="7"/>
    </row>
    <row r="848" spans="4:11" x14ac:dyDescent="0.25">
      <c r="K848" s="7"/>
    </row>
    <row r="849" spans="4:11" x14ac:dyDescent="0.25">
      <c r="D849" s="8"/>
      <c r="E849" s="9"/>
      <c r="F849" s="17"/>
      <c r="G849" s="17"/>
      <c r="H849" s="18"/>
      <c r="I849" s="19"/>
      <c r="J849" s="8"/>
      <c r="K849" s="7"/>
    </row>
    <row r="850" spans="4:11" x14ac:dyDescent="0.25">
      <c r="D850" s="18"/>
      <c r="E850" s="19"/>
      <c r="K850" s="7"/>
    </row>
    <row r="851" spans="4:11" x14ac:dyDescent="0.25">
      <c r="K851" s="7"/>
    </row>
    <row r="852" spans="4:11" x14ac:dyDescent="0.25">
      <c r="K852" s="7"/>
    </row>
    <row r="853" spans="4:11" x14ac:dyDescent="0.25">
      <c r="D853" s="8"/>
      <c r="E853" s="9"/>
      <c r="F853" s="17"/>
      <c r="G853" s="17"/>
      <c r="H853" s="18"/>
      <c r="I853" s="19"/>
      <c r="J853" s="8"/>
      <c r="K853" s="7"/>
    </row>
    <row r="854" spans="4:11" x14ac:dyDescent="0.25">
      <c r="D854" s="18"/>
      <c r="E854" s="19"/>
      <c r="K854" s="7"/>
    </row>
    <row r="855" spans="4:11" x14ac:dyDescent="0.25">
      <c r="K855" s="7"/>
    </row>
    <row r="856" spans="4:11" x14ac:dyDescent="0.25">
      <c r="K856" s="7"/>
    </row>
    <row r="857" spans="4:11" x14ac:dyDescent="0.25">
      <c r="D857" s="8"/>
      <c r="E857" s="9"/>
      <c r="F857" s="17"/>
      <c r="G857" s="17"/>
      <c r="H857" s="18"/>
      <c r="I857" s="19"/>
      <c r="J857" s="8"/>
      <c r="K857" s="7"/>
    </row>
    <row r="858" spans="4:11" x14ac:dyDescent="0.25">
      <c r="D858" s="18"/>
      <c r="E858" s="19"/>
      <c r="K858" s="7"/>
    </row>
    <row r="859" spans="4:11" x14ac:dyDescent="0.25">
      <c r="K859" s="7"/>
    </row>
    <row r="860" spans="4:11" x14ac:dyDescent="0.25">
      <c r="K860" s="7"/>
    </row>
    <row r="861" spans="4:11" x14ac:dyDescent="0.25">
      <c r="D861" s="8"/>
      <c r="E861" s="9"/>
      <c r="F861" s="17"/>
      <c r="G861" s="17"/>
      <c r="H861" s="18"/>
      <c r="I861" s="19"/>
      <c r="J861" s="8"/>
      <c r="K861" s="7"/>
    </row>
    <row r="862" spans="4:11" x14ac:dyDescent="0.25">
      <c r="K862" s="7"/>
    </row>
    <row r="863" spans="4:11" x14ac:dyDescent="0.25">
      <c r="D863" s="8"/>
      <c r="E863" s="9"/>
      <c r="F863" s="17"/>
      <c r="G863" s="17"/>
      <c r="H863" s="18"/>
      <c r="I863" s="19"/>
      <c r="J863" s="8"/>
      <c r="K863" s="7"/>
    </row>
    <row r="864" spans="4:11" x14ac:dyDescent="0.25">
      <c r="D864" s="18"/>
      <c r="E864" s="19"/>
      <c r="K864" s="7"/>
    </row>
    <row r="865" spans="4:11" x14ac:dyDescent="0.25">
      <c r="K865" s="7"/>
    </row>
    <row r="866" spans="4:11" x14ac:dyDescent="0.25">
      <c r="K866" s="7"/>
    </row>
    <row r="867" spans="4:11" x14ac:dyDescent="0.25">
      <c r="D867" s="8"/>
      <c r="E867" s="9"/>
      <c r="F867" s="17"/>
      <c r="G867" s="17"/>
      <c r="H867" s="18"/>
      <c r="I867" s="19"/>
      <c r="J867" s="8"/>
      <c r="K867" s="7"/>
    </row>
    <row r="868" spans="4:11" x14ac:dyDescent="0.25">
      <c r="D868" s="18"/>
      <c r="E868" s="19"/>
      <c r="K868" s="7"/>
    </row>
    <row r="869" spans="4:11" x14ac:dyDescent="0.25">
      <c r="K869" s="7"/>
    </row>
    <row r="870" spans="4:11" x14ac:dyDescent="0.25">
      <c r="K870" s="7"/>
    </row>
    <row r="871" spans="4:11" x14ac:dyDescent="0.25">
      <c r="D871" s="8"/>
      <c r="E871" s="9"/>
      <c r="F871" s="17"/>
      <c r="G871" s="17"/>
      <c r="H871" s="18"/>
      <c r="I871" s="19"/>
      <c r="J871" s="8"/>
      <c r="K871" s="7"/>
    </row>
    <row r="872" spans="4:11" x14ac:dyDescent="0.25">
      <c r="D872" s="18"/>
      <c r="E872" s="19"/>
      <c r="K872" s="7"/>
    </row>
    <row r="873" spans="4:11" x14ac:dyDescent="0.25">
      <c r="K873" s="7"/>
    </row>
    <row r="874" spans="4:11" x14ac:dyDescent="0.25">
      <c r="K874" s="7"/>
    </row>
    <row r="875" spans="4:11" x14ac:dyDescent="0.25">
      <c r="D875" s="8"/>
      <c r="E875" s="9"/>
      <c r="F875" s="17"/>
      <c r="G875" s="17"/>
      <c r="H875" s="18"/>
      <c r="I875" s="19"/>
      <c r="J875" s="8"/>
      <c r="K875" s="7"/>
    </row>
    <row r="876" spans="4:11" x14ac:dyDescent="0.25">
      <c r="D876" s="18"/>
      <c r="E876" s="19"/>
      <c r="K876" s="7"/>
    </row>
    <row r="877" spans="4:11" x14ac:dyDescent="0.25">
      <c r="K877" s="7"/>
    </row>
    <row r="878" spans="4:11" x14ac:dyDescent="0.25">
      <c r="K878" s="7"/>
    </row>
    <row r="879" spans="4:11" x14ac:dyDescent="0.25">
      <c r="D879" s="8"/>
      <c r="E879" s="9"/>
      <c r="F879" s="17"/>
      <c r="G879" s="17"/>
      <c r="H879" s="18"/>
      <c r="I879" s="19"/>
      <c r="J879" s="8"/>
      <c r="K879" s="7"/>
    </row>
    <row r="880" spans="4:11" x14ac:dyDescent="0.25">
      <c r="K880" s="7"/>
    </row>
    <row r="881" spans="4:11" x14ac:dyDescent="0.25">
      <c r="D881" s="8"/>
      <c r="E881" s="9"/>
      <c r="F881" s="17"/>
      <c r="G881" s="17"/>
      <c r="H881" s="18"/>
      <c r="I881" s="19"/>
      <c r="J881" s="8"/>
      <c r="K881" s="7"/>
    </row>
    <row r="882" spans="4:11" x14ac:dyDescent="0.25">
      <c r="D882" s="18"/>
      <c r="E882" s="19"/>
      <c r="K882" s="7"/>
    </row>
    <row r="883" spans="4:11" x14ac:dyDescent="0.25">
      <c r="K883" s="7"/>
    </row>
    <row r="884" spans="4:11" x14ac:dyDescent="0.25">
      <c r="K884" s="7"/>
    </row>
    <row r="885" spans="4:11" x14ac:dyDescent="0.25">
      <c r="D885" s="8"/>
      <c r="E885" s="9"/>
      <c r="F885" s="17"/>
      <c r="G885" s="17"/>
      <c r="H885" s="18"/>
      <c r="I885" s="19"/>
      <c r="J885" s="8"/>
      <c r="K885" s="7"/>
    </row>
    <row r="886" spans="4:11" x14ac:dyDescent="0.25">
      <c r="D886" s="18"/>
      <c r="E886" s="19"/>
      <c r="K886" s="7"/>
    </row>
    <row r="887" spans="4:11" x14ac:dyDescent="0.25">
      <c r="K887" s="7"/>
    </row>
    <row r="888" spans="4:11" x14ac:dyDescent="0.25">
      <c r="K888" s="7"/>
    </row>
    <row r="889" spans="4:11" x14ac:dyDescent="0.25">
      <c r="D889" s="8"/>
      <c r="E889" s="9"/>
      <c r="F889" s="17"/>
      <c r="G889" s="17"/>
      <c r="H889" s="18"/>
      <c r="I889" s="19"/>
      <c r="J889" s="8"/>
      <c r="K889" s="7"/>
    </row>
    <row r="890" spans="4:11" x14ac:dyDescent="0.25">
      <c r="D890" s="18"/>
      <c r="E890" s="19"/>
      <c r="K890" s="7"/>
    </row>
    <row r="891" spans="4:11" x14ac:dyDescent="0.25">
      <c r="K891" s="7"/>
    </row>
    <row r="892" spans="4:11" x14ac:dyDescent="0.25">
      <c r="K892" s="7"/>
    </row>
    <row r="893" spans="4:11" x14ac:dyDescent="0.25">
      <c r="D893" s="8"/>
      <c r="E893" s="9"/>
      <c r="F893" s="17"/>
      <c r="G893" s="17"/>
      <c r="H893" s="18"/>
      <c r="I893" s="19"/>
      <c r="J893" s="8"/>
      <c r="K893" s="7"/>
    </row>
    <row r="894" spans="4:11" x14ac:dyDescent="0.25">
      <c r="D894" s="18"/>
      <c r="E894" s="19"/>
      <c r="K894" s="7"/>
    </row>
    <row r="895" spans="4:11" x14ac:dyDescent="0.25">
      <c r="K895" s="7"/>
    </row>
    <row r="896" spans="4:11" x14ac:dyDescent="0.25">
      <c r="K896" s="7"/>
    </row>
    <row r="897" spans="4:11" x14ac:dyDescent="0.25">
      <c r="D897" s="8"/>
      <c r="E897" s="9"/>
      <c r="F897" s="17"/>
      <c r="G897" s="17"/>
      <c r="H897" s="18"/>
      <c r="I897" s="19"/>
      <c r="J897" s="8"/>
      <c r="K897" s="7"/>
    </row>
    <row r="898" spans="4:11" x14ac:dyDescent="0.25">
      <c r="D898" s="18"/>
      <c r="E898" s="19"/>
      <c r="K898" s="7"/>
    </row>
    <row r="899" spans="4:11" x14ac:dyDescent="0.25">
      <c r="K899" s="7"/>
    </row>
    <row r="900" spans="4:11" x14ac:dyDescent="0.25">
      <c r="K900" s="7"/>
    </row>
    <row r="901" spans="4:11" x14ac:dyDescent="0.25">
      <c r="D901" s="8"/>
      <c r="E901" s="9"/>
      <c r="F901" s="17"/>
      <c r="G901" s="17"/>
      <c r="H901" s="18"/>
      <c r="I901" s="19"/>
      <c r="J901" s="8"/>
      <c r="K901" s="7"/>
    </row>
    <row r="902" spans="4:11" x14ac:dyDescent="0.25">
      <c r="D902" s="18"/>
      <c r="E902" s="19"/>
      <c r="K902" s="7"/>
    </row>
    <row r="903" spans="4:11" x14ac:dyDescent="0.25">
      <c r="K903" s="7"/>
    </row>
    <row r="904" spans="4:11" x14ac:dyDescent="0.25">
      <c r="K904" s="7"/>
    </row>
    <row r="905" spans="4:11" x14ac:dyDescent="0.25">
      <c r="D905" s="8"/>
      <c r="E905" s="9"/>
      <c r="F905" s="17"/>
      <c r="G905" s="17"/>
      <c r="H905" s="18"/>
      <c r="I905" s="19"/>
      <c r="J905" s="8"/>
      <c r="K905" s="7"/>
    </row>
    <row r="906" spans="4:11" x14ac:dyDescent="0.25">
      <c r="D906" s="18"/>
      <c r="E906" s="19"/>
      <c r="K906" s="7"/>
    </row>
    <row r="907" spans="4:11" x14ac:dyDescent="0.25">
      <c r="K907" s="7"/>
    </row>
    <row r="908" spans="4:11" x14ac:dyDescent="0.25">
      <c r="K908" s="7"/>
    </row>
    <row r="909" spans="4:11" x14ac:dyDescent="0.25">
      <c r="D909" s="8"/>
      <c r="E909" s="9"/>
      <c r="F909" s="17"/>
      <c r="G909" s="17"/>
      <c r="H909" s="18"/>
      <c r="I909" s="19"/>
      <c r="J909" s="8"/>
      <c r="K909" s="7"/>
    </row>
    <row r="910" spans="4:11" x14ac:dyDescent="0.25">
      <c r="D910" s="18"/>
      <c r="E910" s="19"/>
      <c r="K910" s="7"/>
    </row>
    <row r="911" spans="4:11" x14ac:dyDescent="0.25">
      <c r="K911" s="7"/>
    </row>
    <row r="912" spans="4:11" x14ac:dyDescent="0.25">
      <c r="K912" s="7"/>
    </row>
    <row r="913" spans="4:11" x14ac:dyDescent="0.25">
      <c r="D913" s="8"/>
      <c r="E913" s="9"/>
      <c r="F913" s="17"/>
      <c r="G913" s="17"/>
      <c r="H913" s="18"/>
      <c r="I913" s="19"/>
      <c r="J913" s="8"/>
      <c r="K913" s="7"/>
    </row>
    <row r="914" spans="4:11" x14ac:dyDescent="0.25">
      <c r="D914" s="18"/>
      <c r="E914" s="19"/>
      <c r="K914" s="7"/>
    </row>
    <row r="915" spans="4:11" x14ac:dyDescent="0.25">
      <c r="K915" s="7"/>
    </row>
    <row r="916" spans="4:11" x14ac:dyDescent="0.25">
      <c r="K916" s="7"/>
    </row>
    <row r="917" spans="4:11" x14ac:dyDescent="0.25">
      <c r="D917" s="8"/>
      <c r="E917" s="9"/>
      <c r="F917" s="17"/>
      <c r="G917" s="17"/>
      <c r="H917" s="18"/>
      <c r="I917" s="19"/>
      <c r="J917" s="8"/>
      <c r="K917" s="7"/>
    </row>
    <row r="918" spans="4:11" x14ac:dyDescent="0.25">
      <c r="D918" s="18"/>
      <c r="E918" s="19"/>
      <c r="K918" s="7"/>
    </row>
    <row r="919" spans="4:11" x14ac:dyDescent="0.25">
      <c r="K919" s="7"/>
    </row>
    <row r="920" spans="4:11" x14ac:dyDescent="0.25">
      <c r="K920" s="7"/>
    </row>
    <row r="921" spans="4:11" x14ac:dyDescent="0.25">
      <c r="D921" s="8"/>
      <c r="E921" s="9"/>
      <c r="F921" s="17"/>
      <c r="G921" s="17"/>
      <c r="H921" s="18"/>
      <c r="I921" s="19"/>
      <c r="J921" s="8"/>
      <c r="K921" s="7"/>
    </row>
    <row r="922" spans="4:11" x14ac:dyDescent="0.25">
      <c r="D922" s="18"/>
      <c r="E922" s="19"/>
      <c r="K922" s="7"/>
    </row>
    <row r="923" spans="4:11" x14ac:dyDescent="0.25">
      <c r="K923" s="7"/>
    </row>
    <row r="924" spans="4:11" x14ac:dyDescent="0.25">
      <c r="K924" s="7"/>
    </row>
    <row r="925" spans="4:11" x14ac:dyDescent="0.25">
      <c r="D925" s="8"/>
      <c r="E925" s="9"/>
      <c r="F925" s="17"/>
      <c r="G925" s="17"/>
      <c r="H925" s="18"/>
      <c r="I925" s="19"/>
      <c r="J925" s="8"/>
      <c r="K925" s="7"/>
    </row>
    <row r="926" spans="4:11" x14ac:dyDescent="0.25">
      <c r="D926" s="18"/>
      <c r="E926" s="19"/>
      <c r="K926" s="7"/>
    </row>
    <row r="927" spans="4:11" x14ac:dyDescent="0.25">
      <c r="K927" s="7"/>
    </row>
    <row r="928" spans="4:11" x14ac:dyDescent="0.25">
      <c r="K928" s="7"/>
    </row>
    <row r="929" spans="4:11" x14ac:dyDescent="0.25">
      <c r="D929" s="8"/>
      <c r="E929" s="9"/>
      <c r="F929" s="17"/>
      <c r="G929" s="17"/>
      <c r="H929" s="18"/>
      <c r="I929" s="19"/>
      <c r="J929" s="8"/>
      <c r="K929" s="7"/>
    </row>
    <row r="930" spans="4:11" x14ac:dyDescent="0.25">
      <c r="D930" s="18"/>
      <c r="E930" s="19"/>
      <c r="K930" s="7"/>
    </row>
    <row r="931" spans="4:11" x14ac:dyDescent="0.25">
      <c r="K931" s="7"/>
    </row>
    <row r="932" spans="4:11" x14ac:dyDescent="0.25">
      <c r="K932" s="7"/>
    </row>
    <row r="933" spans="4:11" x14ac:dyDescent="0.25">
      <c r="D933" s="8"/>
      <c r="E933" s="9"/>
      <c r="F933" s="17"/>
      <c r="G933" s="17"/>
      <c r="H933" s="18"/>
      <c r="I933" s="19"/>
      <c r="J933" s="8"/>
      <c r="K933" s="7"/>
    </row>
    <row r="934" spans="4:11" x14ac:dyDescent="0.25">
      <c r="D934" s="18"/>
      <c r="E934" s="19"/>
      <c r="K934" s="7"/>
    </row>
    <row r="935" spans="4:11" x14ac:dyDescent="0.25">
      <c r="K935" s="7"/>
    </row>
    <row r="936" spans="4:11" x14ac:dyDescent="0.25">
      <c r="K936" s="7"/>
    </row>
    <row r="937" spans="4:11" x14ac:dyDescent="0.25">
      <c r="D937" s="8"/>
      <c r="E937" s="9"/>
      <c r="F937" s="17"/>
      <c r="G937" s="17"/>
      <c r="H937" s="18"/>
      <c r="I937" s="19"/>
      <c r="J937" s="8"/>
      <c r="K937" s="7"/>
    </row>
    <row r="938" spans="4:11" x14ac:dyDescent="0.25">
      <c r="D938" s="18"/>
      <c r="E938" s="19"/>
      <c r="K938" s="7"/>
    </row>
    <row r="939" spans="4:11" x14ac:dyDescent="0.25">
      <c r="K939" s="7"/>
    </row>
    <row r="940" spans="4:11" x14ac:dyDescent="0.25">
      <c r="K940" s="7"/>
    </row>
    <row r="941" spans="4:11" x14ac:dyDescent="0.25">
      <c r="D941" s="8"/>
      <c r="E941" s="9"/>
      <c r="F941" s="17"/>
      <c r="G941" s="17"/>
      <c r="H941" s="18"/>
      <c r="I941" s="19"/>
      <c r="J941" s="8"/>
      <c r="K941" s="7"/>
    </row>
    <row r="942" spans="4:11" x14ac:dyDescent="0.25">
      <c r="D942" s="18"/>
      <c r="E942" s="19"/>
      <c r="K942" s="7"/>
    </row>
    <row r="943" spans="4:11" x14ac:dyDescent="0.25">
      <c r="K943" s="7"/>
    </row>
    <row r="944" spans="4:11" x14ac:dyDescent="0.25">
      <c r="K944" s="7"/>
    </row>
    <row r="945" spans="4:11" x14ac:dyDescent="0.25">
      <c r="D945" s="8"/>
      <c r="E945" s="9"/>
      <c r="F945" s="17"/>
      <c r="G945" s="17"/>
      <c r="H945" s="18"/>
      <c r="I945" s="19"/>
      <c r="J945" s="8"/>
      <c r="K945" s="7"/>
    </row>
    <row r="946" spans="4:11" x14ac:dyDescent="0.25">
      <c r="D946" s="18"/>
      <c r="E946" s="19"/>
      <c r="K946" s="7"/>
    </row>
    <row r="947" spans="4:11" x14ac:dyDescent="0.25">
      <c r="K947" s="7"/>
    </row>
    <row r="948" spans="4:11" x14ac:dyDescent="0.25">
      <c r="K948" s="7"/>
    </row>
    <row r="949" spans="4:11" x14ac:dyDescent="0.25">
      <c r="D949" s="8"/>
      <c r="E949" s="9"/>
      <c r="F949" s="17"/>
      <c r="G949" s="17"/>
      <c r="H949" s="18"/>
      <c r="I949" s="19"/>
      <c r="J949" s="8"/>
      <c r="K949" s="7"/>
    </row>
    <row r="950" spans="4:11" x14ac:dyDescent="0.25">
      <c r="K950" s="7"/>
    </row>
    <row r="951" spans="4:11" x14ac:dyDescent="0.25">
      <c r="D951" s="8"/>
      <c r="E951" s="9"/>
      <c r="F951" s="17"/>
      <c r="G951" s="17"/>
      <c r="H951" s="18"/>
      <c r="I951" s="19"/>
      <c r="J951" s="8"/>
      <c r="K951" s="7"/>
    </row>
    <row r="952" spans="4:11" x14ac:dyDescent="0.25">
      <c r="D952" s="18"/>
      <c r="E952" s="19"/>
      <c r="K952" s="7"/>
    </row>
    <row r="953" spans="4:11" x14ac:dyDescent="0.25">
      <c r="K953" s="7"/>
    </row>
    <row r="954" spans="4:11" x14ac:dyDescent="0.25">
      <c r="K954" s="7"/>
    </row>
    <row r="955" spans="4:11" x14ac:dyDescent="0.25">
      <c r="D955" s="8"/>
      <c r="E955" s="9"/>
      <c r="F955" s="17"/>
      <c r="G955" s="17"/>
      <c r="H955" s="18"/>
      <c r="I955" s="19"/>
      <c r="J955" s="8"/>
      <c r="K955" s="7"/>
    </row>
    <row r="956" spans="4:11" x14ac:dyDescent="0.25">
      <c r="D956" s="18"/>
      <c r="E956" s="19"/>
      <c r="K956" s="7"/>
    </row>
    <row r="957" spans="4:11" x14ac:dyDescent="0.25">
      <c r="K957" s="7"/>
    </row>
    <row r="958" spans="4:11" x14ac:dyDescent="0.25">
      <c r="K958" s="7"/>
    </row>
    <row r="959" spans="4:11" x14ac:dyDescent="0.25">
      <c r="D959" s="8"/>
      <c r="E959" s="9"/>
      <c r="F959" s="17"/>
      <c r="G959" s="17"/>
      <c r="H959" s="18"/>
      <c r="I959" s="19"/>
      <c r="J959" s="8"/>
      <c r="K959" s="7"/>
    </row>
    <row r="960" spans="4:11" x14ac:dyDescent="0.25">
      <c r="K960" s="7"/>
    </row>
    <row r="961" spans="4:11" x14ac:dyDescent="0.25">
      <c r="D961" s="8"/>
      <c r="E961" s="9"/>
      <c r="F961" s="17"/>
      <c r="G961" s="17"/>
      <c r="H961" s="18"/>
      <c r="I961" s="19"/>
      <c r="J961" s="8"/>
      <c r="K961" s="7"/>
    </row>
    <row r="962" spans="4:11" x14ac:dyDescent="0.25">
      <c r="K962" s="7"/>
    </row>
    <row r="963" spans="4:11" x14ac:dyDescent="0.25">
      <c r="D963" s="8"/>
      <c r="E963" s="9"/>
      <c r="F963" s="17"/>
      <c r="G963" s="17"/>
      <c r="H963" s="18"/>
      <c r="I963" s="19"/>
      <c r="J963" s="8"/>
      <c r="K963" s="7"/>
    </row>
    <row r="964" spans="4:11" x14ac:dyDescent="0.25">
      <c r="K964" s="7"/>
    </row>
    <row r="965" spans="4:11" x14ac:dyDescent="0.25">
      <c r="D965" s="8"/>
      <c r="E965" s="9"/>
      <c r="F965" s="17"/>
      <c r="G965" s="17"/>
      <c r="H965" s="18"/>
      <c r="I965" s="19"/>
      <c r="J965" s="8"/>
      <c r="K965" s="7"/>
    </row>
    <row r="966" spans="4:11" x14ac:dyDescent="0.25">
      <c r="D966" s="18"/>
      <c r="E966" s="19"/>
      <c r="K966" s="7"/>
    </row>
    <row r="967" spans="4:11" x14ac:dyDescent="0.25">
      <c r="K967" s="7"/>
    </row>
    <row r="968" spans="4:11" x14ac:dyDescent="0.25">
      <c r="K968" s="7"/>
    </row>
    <row r="969" spans="4:11" x14ac:dyDescent="0.25">
      <c r="D969" s="8"/>
      <c r="E969" s="9"/>
      <c r="F969" s="17"/>
      <c r="G969" s="17"/>
      <c r="H969" s="18"/>
      <c r="I969" s="19"/>
      <c r="J969" s="8"/>
      <c r="K969" s="7"/>
    </row>
    <row r="970" spans="4:11" x14ac:dyDescent="0.25">
      <c r="D970" s="18"/>
      <c r="E970" s="19"/>
      <c r="K970" s="7"/>
    </row>
    <row r="971" spans="4:11" x14ac:dyDescent="0.25">
      <c r="K971" s="7"/>
    </row>
    <row r="972" spans="4:11" x14ac:dyDescent="0.25">
      <c r="K972" s="7"/>
    </row>
    <row r="973" spans="4:11" x14ac:dyDescent="0.25">
      <c r="D973" s="8"/>
      <c r="E973" s="9"/>
      <c r="F973" s="17"/>
      <c r="G973" s="17"/>
      <c r="H973" s="18"/>
      <c r="I973" s="19"/>
      <c r="J973" s="8"/>
      <c r="K973" s="7"/>
    </row>
    <row r="974" spans="4:11" x14ac:dyDescent="0.25">
      <c r="D974" s="18"/>
      <c r="E974" s="19"/>
      <c r="K974" s="7"/>
    </row>
    <row r="975" spans="4:11" x14ac:dyDescent="0.25">
      <c r="K975" s="7"/>
    </row>
    <row r="976" spans="4:11" x14ac:dyDescent="0.25">
      <c r="K976" s="7"/>
    </row>
    <row r="977" spans="4:11" x14ac:dyDescent="0.25">
      <c r="D977" s="8"/>
      <c r="E977" s="9"/>
      <c r="F977" s="17"/>
      <c r="G977" s="17"/>
      <c r="H977" s="18"/>
      <c r="I977" s="19"/>
      <c r="J977" s="8"/>
      <c r="K977" s="7"/>
    </row>
    <row r="978" spans="4:11" x14ac:dyDescent="0.25">
      <c r="D978" s="18"/>
      <c r="E978" s="19"/>
      <c r="K978" s="7"/>
    </row>
    <row r="979" spans="4:11" x14ac:dyDescent="0.25">
      <c r="K979" s="7"/>
    </row>
    <row r="980" spans="4:11" x14ac:dyDescent="0.25">
      <c r="K980" s="7"/>
    </row>
    <row r="981" spans="4:11" x14ac:dyDescent="0.25">
      <c r="D981" s="8"/>
      <c r="E981" s="9"/>
      <c r="F981" s="17"/>
      <c r="G981" s="17"/>
      <c r="H981" s="18"/>
      <c r="I981" s="19"/>
      <c r="J981" s="8"/>
      <c r="K981" s="7"/>
    </row>
    <row r="982" spans="4:11" x14ac:dyDescent="0.25">
      <c r="D982" s="8"/>
      <c r="E982" s="9"/>
      <c r="F982" s="17"/>
      <c r="G982" s="17"/>
      <c r="H982" s="18"/>
      <c r="I982" s="19"/>
      <c r="J982" s="8"/>
      <c r="K982" s="7"/>
    </row>
    <row r="983" spans="4:11" x14ac:dyDescent="0.25">
      <c r="K983" s="7"/>
    </row>
    <row r="984" spans="4:11" x14ac:dyDescent="0.25">
      <c r="D984" s="8"/>
      <c r="E984" s="9"/>
      <c r="F984" s="17"/>
      <c r="G984" s="17"/>
      <c r="H984" s="18"/>
      <c r="I984" s="19"/>
      <c r="J984" s="8"/>
      <c r="K984" s="7"/>
    </row>
    <row r="985" spans="4:11" x14ac:dyDescent="0.25">
      <c r="D985" s="8"/>
      <c r="E985" s="9"/>
      <c r="F985" s="17"/>
      <c r="G985" s="17"/>
      <c r="H985" s="18"/>
      <c r="I985" s="19"/>
      <c r="J985" s="8"/>
      <c r="K985" s="7"/>
    </row>
    <row r="986" spans="4:11" x14ac:dyDescent="0.25">
      <c r="D986" s="18"/>
      <c r="E986" s="19"/>
      <c r="K986" s="7"/>
    </row>
    <row r="987" spans="4:11" x14ac:dyDescent="0.25">
      <c r="K987" s="7"/>
    </row>
    <row r="988" spans="4:11" x14ac:dyDescent="0.25">
      <c r="K988" s="7"/>
    </row>
    <row r="989" spans="4:11" x14ac:dyDescent="0.25">
      <c r="D989" s="8"/>
      <c r="E989" s="9"/>
      <c r="F989" s="17"/>
      <c r="G989" s="17"/>
      <c r="H989" s="18"/>
      <c r="I989" s="19"/>
      <c r="J989" s="8"/>
      <c r="K989" s="7"/>
    </row>
    <row r="990" spans="4:11" x14ac:dyDescent="0.25">
      <c r="K990" s="7"/>
    </row>
    <row r="991" spans="4:11" x14ac:dyDescent="0.25">
      <c r="D991" s="8"/>
      <c r="E991" s="9"/>
      <c r="F991" s="17"/>
      <c r="G991" s="17"/>
      <c r="H991" s="18"/>
      <c r="I991" s="19"/>
      <c r="J991" s="8"/>
      <c r="K991" s="7"/>
    </row>
    <row r="992" spans="4:11" x14ac:dyDescent="0.25">
      <c r="D992" s="18"/>
      <c r="E992" s="19"/>
      <c r="K992" s="7"/>
    </row>
    <row r="993" spans="4:11" x14ac:dyDescent="0.25">
      <c r="K993" s="7"/>
    </row>
    <row r="994" spans="4:11" x14ac:dyDescent="0.25">
      <c r="K994" s="7"/>
    </row>
    <row r="995" spans="4:11" x14ac:dyDescent="0.25">
      <c r="D995" s="8"/>
      <c r="E995" s="9"/>
      <c r="F995" s="17"/>
      <c r="G995" s="17"/>
      <c r="H995" s="18"/>
      <c r="I995" s="19"/>
      <c r="J995" s="8"/>
      <c r="K995" s="7"/>
    </row>
    <row r="996" spans="4:11" x14ac:dyDescent="0.25">
      <c r="D996" s="18"/>
      <c r="E996" s="19"/>
      <c r="K996" s="7"/>
    </row>
    <row r="997" spans="4:11" x14ac:dyDescent="0.25">
      <c r="K997" s="7"/>
    </row>
    <row r="998" spans="4:11" x14ac:dyDescent="0.25">
      <c r="K998" s="7"/>
    </row>
    <row r="999" spans="4:11" x14ac:dyDescent="0.25">
      <c r="D999" s="8"/>
      <c r="E999" s="9"/>
      <c r="F999" s="17"/>
      <c r="G999" s="17"/>
      <c r="H999" s="18"/>
      <c r="I999" s="19"/>
      <c r="J999" s="8"/>
      <c r="K999" s="7"/>
    </row>
    <row r="1000" spans="4:11" x14ac:dyDescent="0.25">
      <c r="D1000" s="18"/>
      <c r="E1000" s="19"/>
      <c r="K1000" s="7"/>
    </row>
    <row r="1001" spans="4:11" x14ac:dyDescent="0.25">
      <c r="K1001" s="7"/>
    </row>
    <row r="1002" spans="4:11" x14ac:dyDescent="0.25">
      <c r="K1002" s="7"/>
    </row>
    <row r="1003" spans="4:11" x14ac:dyDescent="0.25">
      <c r="D1003" s="8"/>
      <c r="E1003" s="9"/>
      <c r="F1003" s="17"/>
      <c r="G1003" s="17"/>
      <c r="H1003" s="18"/>
      <c r="I1003" s="19"/>
      <c r="J1003" s="8"/>
      <c r="K1003" s="7"/>
    </row>
    <row r="1004" spans="4:11" x14ac:dyDescent="0.25">
      <c r="D1004" s="18"/>
      <c r="E1004" s="19"/>
      <c r="K1004" s="7"/>
    </row>
    <row r="1005" spans="4:11" x14ac:dyDescent="0.25">
      <c r="K1005" s="7"/>
    </row>
    <row r="1006" spans="4:11" x14ac:dyDescent="0.25">
      <c r="K1006" s="7"/>
    </row>
    <row r="1007" spans="4:11" x14ac:dyDescent="0.25">
      <c r="D1007" s="8"/>
      <c r="E1007" s="9"/>
      <c r="F1007" s="17"/>
      <c r="G1007" s="17"/>
      <c r="H1007" s="18"/>
      <c r="I1007" s="19"/>
      <c r="J1007" s="8"/>
      <c r="K1007" s="7"/>
    </row>
    <row r="1008" spans="4:11" x14ac:dyDescent="0.25">
      <c r="D1008" s="18"/>
      <c r="E1008" s="19"/>
      <c r="K1008" s="7"/>
    </row>
    <row r="1009" spans="4:11" x14ac:dyDescent="0.25">
      <c r="K1009" s="7"/>
    </row>
    <row r="1010" spans="4:11" x14ac:dyDescent="0.25">
      <c r="K1010" s="7"/>
    </row>
    <row r="1011" spans="4:11" x14ac:dyDescent="0.25">
      <c r="D1011" s="8"/>
      <c r="E1011" s="9"/>
      <c r="F1011" s="17"/>
      <c r="G1011" s="17"/>
      <c r="H1011" s="18"/>
      <c r="I1011" s="19"/>
      <c r="J1011" s="8"/>
      <c r="K1011" s="7"/>
    </row>
    <row r="1012" spans="4:11" x14ac:dyDescent="0.25">
      <c r="D1012" s="18"/>
      <c r="E1012" s="19"/>
      <c r="K1012" s="7"/>
    </row>
    <row r="1013" spans="4:11" x14ac:dyDescent="0.25">
      <c r="K1013" s="7"/>
    </row>
    <row r="1014" spans="4:11" x14ac:dyDescent="0.25">
      <c r="K1014" s="7"/>
    </row>
    <row r="1015" spans="4:11" x14ac:dyDescent="0.25">
      <c r="D1015" s="8"/>
      <c r="E1015" s="9"/>
      <c r="F1015" s="17"/>
      <c r="G1015" s="17"/>
      <c r="H1015" s="18"/>
      <c r="I1015" s="19"/>
      <c r="J1015" s="8"/>
      <c r="K1015" s="7"/>
    </row>
    <row r="1016" spans="4:11" x14ac:dyDescent="0.25">
      <c r="D1016" s="18"/>
      <c r="E1016" s="19"/>
      <c r="K1016" s="7"/>
    </row>
    <row r="1017" spans="4:11" x14ac:dyDescent="0.25">
      <c r="K1017" s="7"/>
    </row>
    <row r="1018" spans="4:11" x14ac:dyDescent="0.25">
      <c r="K1018" s="7"/>
    </row>
    <row r="1019" spans="4:11" x14ac:dyDescent="0.25">
      <c r="D1019" s="8"/>
      <c r="E1019" s="9"/>
      <c r="F1019" s="17"/>
      <c r="G1019" s="17"/>
      <c r="H1019" s="18"/>
      <c r="I1019" s="19"/>
      <c r="J1019" s="8"/>
      <c r="K1019" s="7"/>
    </row>
    <row r="1020" spans="4:11" x14ac:dyDescent="0.25">
      <c r="D1020" s="18"/>
      <c r="E1020" s="19"/>
      <c r="K1020" s="7"/>
    </row>
    <row r="1021" spans="4:11" x14ac:dyDescent="0.25">
      <c r="K1021" s="7"/>
    </row>
    <row r="1022" spans="4:11" x14ac:dyDescent="0.25">
      <c r="K1022" s="7"/>
    </row>
    <row r="1023" spans="4:11" x14ac:dyDescent="0.25">
      <c r="D1023" s="8"/>
      <c r="E1023" s="9"/>
      <c r="F1023" s="17"/>
      <c r="G1023" s="17"/>
      <c r="H1023" s="18"/>
      <c r="I1023" s="19"/>
      <c r="J1023" s="8"/>
      <c r="K1023" s="7"/>
    </row>
    <row r="1024" spans="4:11" x14ac:dyDescent="0.25">
      <c r="K1024" s="7"/>
    </row>
    <row r="1025" spans="4:11" x14ac:dyDescent="0.25">
      <c r="D1025" s="8"/>
      <c r="E1025" s="9"/>
      <c r="F1025" s="17"/>
      <c r="G1025" s="17"/>
      <c r="H1025" s="18"/>
      <c r="I1025" s="19"/>
      <c r="J1025" s="8"/>
      <c r="K1025" s="7"/>
    </row>
    <row r="1026" spans="4:11" x14ac:dyDescent="0.25">
      <c r="D1026" s="18"/>
      <c r="E1026" s="19"/>
      <c r="K1026" s="7"/>
    </row>
    <row r="1027" spans="4:11" x14ac:dyDescent="0.25">
      <c r="K1027" s="7"/>
    </row>
    <row r="1028" spans="4:11" x14ac:dyDescent="0.25">
      <c r="K1028" s="7"/>
    </row>
    <row r="1029" spans="4:11" x14ac:dyDescent="0.25">
      <c r="D1029" s="8"/>
      <c r="E1029" s="9"/>
      <c r="F1029" s="17"/>
      <c r="G1029" s="17"/>
      <c r="H1029" s="18"/>
      <c r="I1029" s="19"/>
      <c r="J1029" s="8"/>
      <c r="K1029" s="7"/>
    </row>
    <row r="1030" spans="4:11" x14ac:dyDescent="0.25">
      <c r="D1030" s="18"/>
      <c r="E1030" s="19"/>
      <c r="K1030" s="7"/>
    </row>
    <row r="1031" spans="4:11" x14ac:dyDescent="0.25">
      <c r="K1031" s="7"/>
    </row>
    <row r="1032" spans="4:11" x14ac:dyDescent="0.25">
      <c r="K1032" s="7"/>
    </row>
    <row r="1033" spans="4:11" x14ac:dyDescent="0.25">
      <c r="D1033" s="8"/>
      <c r="E1033" s="9"/>
      <c r="F1033" s="17"/>
      <c r="G1033" s="17"/>
      <c r="H1033" s="18"/>
      <c r="I1033" s="19"/>
      <c r="J1033" s="8"/>
      <c r="K1033" s="7"/>
    </row>
    <row r="1034" spans="4:11" x14ac:dyDescent="0.25">
      <c r="D1034" s="18"/>
      <c r="E1034" s="19"/>
      <c r="K1034" s="7"/>
    </row>
    <row r="1035" spans="4:11" x14ac:dyDescent="0.25">
      <c r="K1035" s="7"/>
    </row>
    <row r="1036" spans="4:11" x14ac:dyDescent="0.25">
      <c r="K1036" s="7"/>
    </row>
    <row r="1037" spans="4:11" x14ac:dyDescent="0.25">
      <c r="D1037" s="8"/>
      <c r="E1037" s="9"/>
      <c r="F1037" s="17"/>
      <c r="G1037" s="17"/>
      <c r="H1037" s="18"/>
      <c r="I1037" s="19"/>
      <c r="J1037" s="8"/>
      <c r="K1037" s="7"/>
    </row>
    <row r="1038" spans="4:11" x14ac:dyDescent="0.25">
      <c r="D1038" s="18"/>
      <c r="E1038" s="19"/>
      <c r="K1038" s="7"/>
    </row>
    <row r="1039" spans="4:11" x14ac:dyDescent="0.25">
      <c r="K1039" s="7"/>
    </row>
    <row r="1040" spans="4:11" x14ac:dyDescent="0.25">
      <c r="K1040" s="7"/>
    </row>
    <row r="1041" spans="4:11" x14ac:dyDescent="0.25">
      <c r="D1041" s="8"/>
      <c r="E1041" s="9"/>
      <c r="F1041" s="17"/>
      <c r="G1041" s="17"/>
      <c r="H1041" s="18"/>
      <c r="I1041" s="19"/>
      <c r="J1041" s="8"/>
      <c r="K1041" s="7"/>
    </row>
    <row r="1042" spans="4:11" x14ac:dyDescent="0.25">
      <c r="D1042" s="18"/>
      <c r="E1042" s="19"/>
      <c r="K1042" s="7"/>
    </row>
    <row r="1043" spans="4:11" x14ac:dyDescent="0.25">
      <c r="K1043" s="7"/>
    </row>
    <row r="1044" spans="4:11" x14ac:dyDescent="0.25">
      <c r="K1044" s="7"/>
    </row>
    <row r="1045" spans="4:11" x14ac:dyDescent="0.25">
      <c r="D1045" s="8"/>
      <c r="E1045" s="9"/>
      <c r="F1045" s="17"/>
      <c r="G1045" s="17"/>
      <c r="H1045" s="18"/>
      <c r="I1045" s="19"/>
      <c r="J1045" s="8"/>
      <c r="K1045" s="7"/>
    </row>
    <row r="1046" spans="4:11" x14ac:dyDescent="0.25">
      <c r="D1046" s="18"/>
      <c r="E1046" s="19"/>
      <c r="K1046" s="7"/>
    </row>
    <row r="1047" spans="4:11" x14ac:dyDescent="0.25">
      <c r="K1047" s="7"/>
    </row>
    <row r="1048" spans="4:11" x14ac:dyDescent="0.25">
      <c r="K1048" s="7"/>
    </row>
    <row r="1049" spans="4:11" x14ac:dyDescent="0.25">
      <c r="D1049" s="8"/>
      <c r="E1049" s="9"/>
      <c r="F1049" s="17"/>
      <c r="G1049" s="17"/>
      <c r="H1049" s="18"/>
      <c r="I1049" s="19"/>
      <c r="J1049" s="8"/>
      <c r="K1049" s="7"/>
    </row>
    <row r="1050" spans="4:11" x14ac:dyDescent="0.25">
      <c r="D1050" s="8"/>
      <c r="E1050" s="9"/>
      <c r="F1050" s="17"/>
      <c r="G1050" s="17"/>
      <c r="H1050" s="18"/>
      <c r="I1050" s="19"/>
      <c r="J1050" s="8"/>
      <c r="K1050" s="7"/>
    </row>
    <row r="1051" spans="4:11" x14ac:dyDescent="0.25">
      <c r="K1051" s="7"/>
    </row>
    <row r="1052" spans="4:11" x14ac:dyDescent="0.25">
      <c r="D1052" s="8"/>
      <c r="E1052" s="9"/>
      <c r="F1052" s="17"/>
      <c r="G1052" s="17"/>
      <c r="H1052" s="18"/>
      <c r="I1052" s="19"/>
      <c r="J1052" s="8"/>
      <c r="K1052" s="7"/>
    </row>
    <row r="1053" spans="4:11" x14ac:dyDescent="0.25">
      <c r="D1053" s="8"/>
      <c r="E1053" s="9"/>
      <c r="F1053" s="17"/>
      <c r="G1053" s="17"/>
      <c r="H1053" s="18"/>
      <c r="I1053" s="19"/>
      <c r="J1053" s="8"/>
      <c r="K1053" s="7"/>
    </row>
    <row r="1054" spans="4:11" x14ac:dyDescent="0.25">
      <c r="D1054" s="18"/>
      <c r="E1054" s="19"/>
      <c r="K1054" s="7"/>
    </row>
    <row r="1055" spans="4:11" x14ac:dyDescent="0.25">
      <c r="K1055" s="7"/>
    </row>
    <row r="1056" spans="4:11" x14ac:dyDescent="0.25">
      <c r="K1056" s="7"/>
    </row>
    <row r="1057" spans="4:11" x14ac:dyDescent="0.25">
      <c r="D1057" s="8"/>
      <c r="E1057" s="9"/>
      <c r="F1057" s="17"/>
      <c r="G1057" s="17"/>
      <c r="H1057" s="18"/>
      <c r="I1057" s="19"/>
      <c r="J1057" s="8"/>
      <c r="K1057" s="7"/>
    </row>
    <row r="1058" spans="4:11" x14ac:dyDescent="0.25">
      <c r="D1058" s="18"/>
      <c r="E1058" s="19"/>
      <c r="K1058" s="7"/>
    </row>
    <row r="1059" spans="4:11" x14ac:dyDescent="0.25">
      <c r="K1059" s="7"/>
    </row>
    <row r="1060" spans="4:11" x14ac:dyDescent="0.25">
      <c r="K1060" s="7"/>
    </row>
    <row r="1061" spans="4:11" x14ac:dyDescent="0.25">
      <c r="D1061" s="8"/>
      <c r="E1061" s="9"/>
      <c r="F1061" s="17"/>
      <c r="G1061" s="17"/>
      <c r="H1061" s="18"/>
      <c r="I1061" s="19"/>
      <c r="J1061" s="8"/>
      <c r="K1061" s="7"/>
    </row>
    <row r="1062" spans="4:11" x14ac:dyDescent="0.25">
      <c r="D1062" s="18"/>
      <c r="E1062" s="19"/>
      <c r="K1062" s="7"/>
    </row>
    <row r="1063" spans="4:11" x14ac:dyDescent="0.25">
      <c r="K1063" s="7"/>
    </row>
    <row r="1064" spans="4:11" x14ac:dyDescent="0.25">
      <c r="K1064" s="7"/>
    </row>
    <row r="1065" spans="4:11" x14ac:dyDescent="0.25">
      <c r="D1065" s="8"/>
      <c r="E1065" s="9"/>
      <c r="F1065" s="17"/>
      <c r="G1065" s="17"/>
      <c r="H1065" s="18"/>
      <c r="I1065" s="19"/>
      <c r="J1065" s="8"/>
      <c r="K1065" s="7"/>
    </row>
    <row r="1066" spans="4:11" x14ac:dyDescent="0.25">
      <c r="D1066" s="18"/>
      <c r="E1066" s="19"/>
      <c r="K1066" s="7"/>
    </row>
    <row r="1067" spans="4:11" x14ac:dyDescent="0.25">
      <c r="K1067" s="7"/>
    </row>
    <row r="1068" spans="4:11" x14ac:dyDescent="0.25">
      <c r="K1068" s="7"/>
    </row>
    <row r="1069" spans="4:11" x14ac:dyDescent="0.25">
      <c r="D1069" s="8"/>
      <c r="E1069" s="9"/>
      <c r="F1069" s="17"/>
      <c r="G1069" s="17"/>
      <c r="H1069" s="18"/>
      <c r="I1069" s="19"/>
      <c r="J1069" s="8"/>
      <c r="K1069" s="7"/>
    </row>
    <row r="1070" spans="4:11" x14ac:dyDescent="0.25">
      <c r="D1070" s="18"/>
      <c r="E1070" s="19"/>
      <c r="K1070" s="7"/>
    </row>
    <row r="1071" spans="4:11" x14ac:dyDescent="0.25">
      <c r="K1071" s="7"/>
    </row>
    <row r="1072" spans="4:11" x14ac:dyDescent="0.25">
      <c r="K1072" s="7"/>
    </row>
    <row r="1073" spans="4:11" x14ac:dyDescent="0.25">
      <c r="D1073" s="8"/>
      <c r="E1073" s="9"/>
      <c r="F1073" s="17"/>
      <c r="G1073" s="17"/>
      <c r="H1073" s="18"/>
      <c r="I1073" s="19"/>
      <c r="J1073" s="8"/>
      <c r="K1073" s="7"/>
    </row>
    <row r="1074" spans="4:11" x14ac:dyDescent="0.25">
      <c r="D1074" s="18"/>
      <c r="E1074" s="19"/>
      <c r="K1074" s="7"/>
    </row>
    <row r="1075" spans="4:11" x14ac:dyDescent="0.25">
      <c r="K1075" s="7"/>
    </row>
    <row r="1076" spans="4:11" x14ac:dyDescent="0.25">
      <c r="K1076" s="7"/>
    </row>
    <row r="1077" spans="4:11" x14ac:dyDescent="0.25">
      <c r="D1077" s="8"/>
      <c r="E1077" s="9"/>
      <c r="F1077" s="17"/>
      <c r="G1077" s="17"/>
      <c r="H1077" s="18"/>
      <c r="I1077" s="19"/>
      <c r="J1077" s="8"/>
      <c r="K1077" s="7"/>
    </row>
    <row r="1078" spans="4:11" x14ac:dyDescent="0.25">
      <c r="D1078" s="18"/>
      <c r="E1078" s="19"/>
      <c r="K1078" s="7"/>
    </row>
    <row r="1079" spans="4:11" x14ac:dyDescent="0.25">
      <c r="K1079" s="7"/>
    </row>
    <row r="1080" spans="4:11" x14ac:dyDescent="0.25">
      <c r="K1080" s="7"/>
    </row>
    <row r="1081" spans="4:11" x14ac:dyDescent="0.25">
      <c r="D1081" s="8"/>
      <c r="E1081" s="9"/>
      <c r="F1081" s="17"/>
      <c r="G1081" s="17"/>
      <c r="H1081" s="18"/>
      <c r="I1081" s="19"/>
      <c r="J1081" s="8"/>
      <c r="K1081" s="7"/>
    </row>
    <row r="1082" spans="4:11" x14ac:dyDescent="0.25">
      <c r="K1082" s="7"/>
    </row>
    <row r="1083" spans="4:11" x14ac:dyDescent="0.25">
      <c r="D1083" s="8"/>
      <c r="E1083" s="9"/>
      <c r="F1083" s="17"/>
      <c r="G1083" s="17"/>
      <c r="H1083" s="18"/>
      <c r="I1083" s="19"/>
      <c r="J1083" s="8"/>
      <c r="K1083" s="7"/>
    </row>
    <row r="1084" spans="4:11" x14ac:dyDescent="0.25">
      <c r="D1084" s="18"/>
      <c r="E1084" s="19"/>
      <c r="K1084" s="7"/>
    </row>
    <row r="1085" spans="4:11" x14ac:dyDescent="0.25">
      <c r="K1085" s="7"/>
    </row>
    <row r="1086" spans="4:11" x14ac:dyDescent="0.25">
      <c r="K1086" s="7"/>
    </row>
    <row r="1087" spans="4:11" x14ac:dyDescent="0.25">
      <c r="D1087" s="8"/>
      <c r="E1087" s="9"/>
      <c r="F1087" s="17"/>
      <c r="G1087" s="17"/>
      <c r="H1087" s="18"/>
      <c r="I1087" s="19"/>
      <c r="J1087" s="8"/>
      <c r="K1087" s="7"/>
    </row>
    <row r="1088" spans="4:11" x14ac:dyDescent="0.25">
      <c r="D1088" s="18"/>
      <c r="E1088" s="19"/>
      <c r="K1088" s="7"/>
    </row>
    <row r="1089" spans="4:11" x14ac:dyDescent="0.25">
      <c r="K1089" s="7"/>
    </row>
    <row r="1090" spans="4:11" x14ac:dyDescent="0.25">
      <c r="K1090" s="7"/>
    </row>
    <row r="1091" spans="4:11" x14ac:dyDescent="0.25">
      <c r="D1091" s="8"/>
      <c r="E1091" s="9"/>
      <c r="F1091" s="17"/>
      <c r="G1091" s="17"/>
      <c r="H1091" s="18"/>
      <c r="I1091" s="19"/>
      <c r="J1091" s="8"/>
      <c r="K1091" s="7"/>
    </row>
    <row r="1092" spans="4:11" x14ac:dyDescent="0.25">
      <c r="D1092" s="18"/>
      <c r="E1092" s="19"/>
      <c r="K1092" s="7"/>
    </row>
    <row r="1093" spans="4:11" x14ac:dyDescent="0.25">
      <c r="K1093" s="7"/>
    </row>
    <row r="1094" spans="4:11" x14ac:dyDescent="0.25">
      <c r="K1094" s="7"/>
    </row>
    <row r="1095" spans="4:11" x14ac:dyDescent="0.25">
      <c r="D1095" s="8"/>
      <c r="E1095" s="9"/>
      <c r="F1095" s="17"/>
      <c r="G1095" s="17"/>
      <c r="H1095" s="18"/>
      <c r="I1095" s="19"/>
      <c r="J1095" s="8"/>
      <c r="K1095" s="7"/>
    </row>
    <row r="1096" spans="4:11" x14ac:dyDescent="0.25">
      <c r="D1096" s="18"/>
      <c r="E1096" s="19"/>
      <c r="K1096" s="7"/>
    </row>
    <row r="1097" spans="4:11" x14ac:dyDescent="0.25">
      <c r="K1097" s="7"/>
    </row>
    <row r="1098" spans="4:11" x14ac:dyDescent="0.25">
      <c r="K1098" s="7"/>
    </row>
    <row r="1099" spans="4:11" x14ac:dyDescent="0.25">
      <c r="D1099" s="8"/>
      <c r="E1099" s="9"/>
      <c r="F1099" s="17"/>
      <c r="G1099" s="17"/>
      <c r="H1099" s="18"/>
      <c r="I1099" s="19"/>
      <c r="J1099" s="8"/>
      <c r="K1099" s="7"/>
    </row>
    <row r="1100" spans="4:11" x14ac:dyDescent="0.25">
      <c r="D1100" s="18"/>
      <c r="E1100" s="19"/>
      <c r="K1100" s="7"/>
    </row>
    <row r="1101" spans="4:11" x14ac:dyDescent="0.25">
      <c r="K1101" s="7"/>
    </row>
    <row r="1102" spans="4:11" x14ac:dyDescent="0.25">
      <c r="K1102" s="7"/>
    </row>
    <row r="1103" spans="4:11" x14ac:dyDescent="0.25">
      <c r="D1103" s="8"/>
      <c r="E1103" s="9"/>
      <c r="F1103" s="17"/>
      <c r="G1103" s="17"/>
      <c r="H1103" s="18"/>
      <c r="I1103" s="19"/>
      <c r="J1103" s="8"/>
      <c r="K1103" s="7"/>
    </row>
    <row r="1104" spans="4:11" x14ac:dyDescent="0.25">
      <c r="D1104" s="18"/>
      <c r="E1104" s="19"/>
      <c r="K1104" s="7"/>
    </row>
    <row r="1105" spans="4:11" x14ac:dyDescent="0.25">
      <c r="K1105" s="7"/>
    </row>
    <row r="1106" spans="4:11" x14ac:dyDescent="0.25">
      <c r="K1106" s="7"/>
    </row>
    <row r="1107" spans="4:11" x14ac:dyDescent="0.25">
      <c r="D1107" s="8"/>
      <c r="E1107" s="9"/>
      <c r="F1107" s="17"/>
      <c r="G1107" s="17"/>
      <c r="H1107" s="18"/>
      <c r="I1107" s="19"/>
      <c r="J1107" s="8"/>
      <c r="K1107" s="7"/>
    </row>
    <row r="1108" spans="4:11" x14ac:dyDescent="0.25">
      <c r="D1108" s="18"/>
      <c r="E1108" s="19"/>
      <c r="K1108" s="7"/>
    </row>
    <row r="1109" spans="4:11" x14ac:dyDescent="0.25">
      <c r="K1109" s="7"/>
    </row>
    <row r="1110" spans="4:11" x14ac:dyDescent="0.25">
      <c r="K1110" s="7"/>
    </row>
    <row r="1111" spans="4:11" x14ac:dyDescent="0.25">
      <c r="D1111" s="8"/>
      <c r="E1111" s="9"/>
      <c r="F1111" s="17"/>
      <c r="G1111" s="17"/>
      <c r="H1111" s="18"/>
      <c r="I1111" s="19"/>
      <c r="J1111" s="8"/>
      <c r="K1111" s="7"/>
    </row>
    <row r="1112" spans="4:11" x14ac:dyDescent="0.25">
      <c r="D1112" s="18"/>
      <c r="E1112" s="19"/>
      <c r="K1112" s="7"/>
    </row>
    <row r="1113" spans="4:11" x14ac:dyDescent="0.25">
      <c r="K1113" s="7"/>
    </row>
    <row r="1114" spans="4:11" x14ac:dyDescent="0.25">
      <c r="K1114" s="7"/>
    </row>
    <row r="1115" spans="4:11" x14ac:dyDescent="0.25">
      <c r="D1115" s="8"/>
      <c r="E1115" s="9"/>
      <c r="F1115" s="17"/>
      <c r="G1115" s="17"/>
      <c r="H1115" s="18"/>
      <c r="I1115" s="19"/>
      <c r="J1115" s="8"/>
      <c r="K1115" s="7"/>
    </row>
    <row r="1116" spans="4:11" x14ac:dyDescent="0.25">
      <c r="D1116" s="18"/>
      <c r="E1116" s="19"/>
      <c r="K1116" s="7"/>
    </row>
    <row r="1117" spans="4:11" x14ac:dyDescent="0.25">
      <c r="K1117" s="7"/>
    </row>
    <row r="1118" spans="4:11" x14ac:dyDescent="0.25">
      <c r="K1118" s="7"/>
    </row>
    <row r="1119" spans="4:11" x14ac:dyDescent="0.25">
      <c r="D1119" s="8"/>
      <c r="E1119" s="9"/>
      <c r="F1119" s="17"/>
      <c r="G1119" s="17"/>
      <c r="H1119" s="18"/>
      <c r="I1119" s="19"/>
      <c r="J1119" s="8"/>
      <c r="K1119" s="7"/>
    </row>
    <row r="1120" spans="4:11" x14ac:dyDescent="0.25">
      <c r="D1120" s="18"/>
      <c r="E1120" s="19"/>
      <c r="K1120" s="7"/>
    </row>
    <row r="1121" spans="4:11" x14ac:dyDescent="0.25">
      <c r="K1121" s="7"/>
    </row>
    <row r="1122" spans="4:11" x14ac:dyDescent="0.25">
      <c r="K1122" s="7"/>
    </row>
    <row r="1123" spans="4:11" x14ac:dyDescent="0.25">
      <c r="D1123" s="8"/>
      <c r="E1123" s="9"/>
      <c r="F1123" s="17"/>
      <c r="G1123" s="17"/>
      <c r="H1123" s="18"/>
      <c r="I1123" s="19"/>
      <c r="J1123" s="8"/>
      <c r="K1123" s="7"/>
    </row>
    <row r="1124" spans="4:11" x14ac:dyDescent="0.25">
      <c r="D1124" s="18"/>
      <c r="E1124" s="19"/>
      <c r="K1124" s="7"/>
    </row>
    <row r="1125" spans="4:11" x14ac:dyDescent="0.25">
      <c r="K1125" s="7"/>
    </row>
    <row r="1126" spans="4:11" x14ac:dyDescent="0.25">
      <c r="K1126" s="7"/>
    </row>
    <row r="1127" spans="4:11" x14ac:dyDescent="0.25">
      <c r="D1127" s="8"/>
      <c r="E1127" s="9"/>
      <c r="F1127" s="17"/>
      <c r="G1127" s="17"/>
      <c r="H1127" s="18"/>
      <c r="I1127" s="19"/>
      <c r="J1127" s="8"/>
      <c r="K1127" s="7"/>
    </row>
    <row r="1128" spans="4:11" x14ac:dyDescent="0.25">
      <c r="D1128" s="18"/>
      <c r="E1128" s="19"/>
      <c r="K1128" s="7"/>
    </row>
    <row r="1129" spans="4:11" x14ac:dyDescent="0.25">
      <c r="K1129" s="7"/>
    </row>
    <row r="1130" spans="4:11" x14ac:dyDescent="0.25">
      <c r="K1130" s="7"/>
    </row>
    <row r="1131" spans="4:11" x14ac:dyDescent="0.25">
      <c r="D1131" s="8"/>
      <c r="E1131" s="9"/>
      <c r="F1131" s="17"/>
      <c r="G1131" s="17"/>
      <c r="H1131" s="18"/>
      <c r="I1131" s="19"/>
      <c r="J1131" s="8"/>
      <c r="K1131" s="7"/>
    </row>
    <row r="1132" spans="4:11" x14ac:dyDescent="0.25">
      <c r="D1132" s="18"/>
      <c r="E1132" s="19"/>
      <c r="K1132" s="7"/>
    </row>
    <row r="1133" spans="4:11" x14ac:dyDescent="0.25">
      <c r="K1133" s="7"/>
    </row>
    <row r="1134" spans="4:11" x14ac:dyDescent="0.25">
      <c r="K1134" s="7"/>
    </row>
    <row r="1135" spans="4:11" x14ac:dyDescent="0.25">
      <c r="D1135" s="8"/>
      <c r="E1135" s="9"/>
      <c r="F1135" s="17"/>
      <c r="G1135" s="17"/>
      <c r="H1135" s="18"/>
      <c r="I1135" s="19"/>
      <c r="J1135" s="8"/>
      <c r="K1135" s="7"/>
    </row>
    <row r="1136" spans="4:11" x14ac:dyDescent="0.25">
      <c r="D1136" s="18"/>
      <c r="E1136" s="19"/>
      <c r="K1136" s="7"/>
    </row>
    <row r="1137" spans="4:11" x14ac:dyDescent="0.25">
      <c r="K1137" s="7"/>
    </row>
    <row r="1138" spans="4:11" x14ac:dyDescent="0.25">
      <c r="K1138" s="7"/>
    </row>
    <row r="1139" spans="4:11" x14ac:dyDescent="0.25">
      <c r="D1139" s="8"/>
      <c r="E1139" s="9"/>
      <c r="F1139" s="17"/>
      <c r="G1139" s="17"/>
      <c r="H1139" s="18"/>
      <c r="I1139" s="19"/>
      <c r="J1139" s="8"/>
      <c r="K1139" s="7"/>
    </row>
    <row r="1140" spans="4:11" x14ac:dyDescent="0.25">
      <c r="D1140" s="18"/>
      <c r="E1140" s="19"/>
      <c r="K1140" s="7"/>
    </row>
    <row r="1141" spans="4:11" x14ac:dyDescent="0.25">
      <c r="K1141" s="7"/>
    </row>
    <row r="1142" spans="4:11" x14ac:dyDescent="0.25">
      <c r="K1142" s="7"/>
    </row>
    <row r="1143" spans="4:11" x14ac:dyDescent="0.25">
      <c r="D1143" s="8"/>
      <c r="E1143" s="9"/>
      <c r="F1143" s="17"/>
      <c r="G1143" s="17"/>
      <c r="H1143" s="18"/>
      <c r="I1143" s="19"/>
      <c r="J1143" s="8"/>
      <c r="K1143" s="7"/>
    </row>
    <row r="1144" spans="4:11" x14ac:dyDescent="0.25">
      <c r="D1144" s="18"/>
      <c r="E1144" s="19"/>
      <c r="K1144" s="7"/>
    </row>
    <row r="1145" spans="4:11" x14ac:dyDescent="0.25">
      <c r="K1145" s="7"/>
    </row>
    <row r="1146" spans="4:11" x14ac:dyDescent="0.25">
      <c r="K1146" s="7"/>
    </row>
    <row r="1147" spans="4:11" x14ac:dyDescent="0.25">
      <c r="D1147" s="8"/>
      <c r="E1147" s="9"/>
      <c r="F1147" s="17"/>
      <c r="G1147" s="17"/>
      <c r="H1147" s="18"/>
      <c r="I1147" s="19"/>
      <c r="J1147" s="8"/>
      <c r="K1147" s="7"/>
    </row>
    <row r="1148" spans="4:11" x14ac:dyDescent="0.25">
      <c r="D1148" s="18"/>
      <c r="E1148" s="19"/>
      <c r="K1148" s="7"/>
    </row>
    <row r="1149" spans="4:11" x14ac:dyDescent="0.25">
      <c r="K1149" s="7"/>
    </row>
    <row r="1150" spans="4:11" x14ac:dyDescent="0.25">
      <c r="K1150" s="7"/>
    </row>
    <row r="1151" spans="4:11" x14ac:dyDescent="0.25">
      <c r="D1151" s="8"/>
      <c r="E1151" s="9"/>
      <c r="F1151" s="17"/>
      <c r="G1151" s="17"/>
      <c r="H1151" s="18"/>
      <c r="I1151" s="19"/>
      <c r="J1151" s="8"/>
      <c r="K1151" s="7"/>
    </row>
    <row r="1152" spans="4:11" x14ac:dyDescent="0.25">
      <c r="K1152" s="7"/>
    </row>
    <row r="1153" spans="4:11" x14ac:dyDescent="0.25">
      <c r="D1153" s="8"/>
      <c r="E1153" s="9"/>
      <c r="F1153" s="17"/>
      <c r="G1153" s="17"/>
      <c r="H1153" s="18"/>
      <c r="I1153" s="19"/>
      <c r="J1153" s="8"/>
      <c r="K1153" s="7"/>
    </row>
    <row r="1154" spans="4:11" x14ac:dyDescent="0.25">
      <c r="D1154" s="18"/>
      <c r="E1154" s="19"/>
      <c r="K1154" s="7"/>
    </row>
    <row r="1155" spans="4:11" x14ac:dyDescent="0.25">
      <c r="K1155" s="7"/>
    </row>
    <row r="1156" spans="4:11" x14ac:dyDescent="0.25">
      <c r="K1156" s="7"/>
    </row>
    <row r="1157" spans="4:11" x14ac:dyDescent="0.25">
      <c r="D1157" s="8"/>
      <c r="E1157" s="9"/>
      <c r="F1157" s="17"/>
      <c r="G1157" s="17"/>
      <c r="H1157" s="18"/>
      <c r="I1157" s="19"/>
      <c r="J1157" s="8"/>
      <c r="K1157" s="7"/>
    </row>
    <row r="1158" spans="4:11" x14ac:dyDescent="0.25">
      <c r="D1158" s="18"/>
      <c r="E1158" s="19"/>
      <c r="K1158" s="7"/>
    </row>
    <row r="1159" spans="4:11" x14ac:dyDescent="0.25">
      <c r="K1159" s="7"/>
    </row>
    <row r="1160" spans="4:11" x14ac:dyDescent="0.25">
      <c r="K1160" s="7"/>
    </row>
    <row r="1161" spans="4:11" x14ac:dyDescent="0.25">
      <c r="D1161" s="8"/>
      <c r="E1161" s="9"/>
      <c r="F1161" s="17"/>
      <c r="G1161" s="17"/>
      <c r="H1161" s="18"/>
      <c r="I1161" s="19"/>
      <c r="J1161" s="8"/>
      <c r="K1161" s="7"/>
    </row>
    <row r="1162" spans="4:11" x14ac:dyDescent="0.25">
      <c r="D1162" s="18"/>
      <c r="E1162" s="19"/>
      <c r="K1162" s="7"/>
    </row>
    <row r="1163" spans="4:11" x14ac:dyDescent="0.25">
      <c r="K1163" s="7"/>
    </row>
    <row r="1164" spans="4:11" x14ac:dyDescent="0.25">
      <c r="K1164" s="7"/>
    </row>
    <row r="1165" spans="4:11" x14ac:dyDescent="0.25">
      <c r="D1165" s="8"/>
      <c r="E1165" s="9"/>
      <c r="F1165" s="17"/>
      <c r="G1165" s="17"/>
      <c r="H1165" s="18"/>
      <c r="I1165" s="19"/>
      <c r="J1165" s="8"/>
      <c r="K1165" s="7"/>
    </row>
    <row r="1166" spans="4:11" x14ac:dyDescent="0.25">
      <c r="D1166" s="18"/>
      <c r="E1166" s="19"/>
      <c r="K1166" s="7"/>
    </row>
    <row r="1167" spans="4:11" x14ac:dyDescent="0.25">
      <c r="K1167" s="7"/>
    </row>
    <row r="1168" spans="4:11" x14ac:dyDescent="0.25">
      <c r="K1168" s="7"/>
    </row>
    <row r="1169" spans="4:11" x14ac:dyDescent="0.25">
      <c r="D1169" s="8"/>
      <c r="E1169" s="9"/>
      <c r="F1169" s="17"/>
      <c r="G1169" s="17"/>
      <c r="H1169" s="18"/>
      <c r="I1169" s="19"/>
      <c r="J1169" s="8"/>
      <c r="K1169" s="7"/>
    </row>
    <row r="1170" spans="4:11" x14ac:dyDescent="0.25">
      <c r="K1170" s="7"/>
    </row>
    <row r="1171" spans="4:11" x14ac:dyDescent="0.25">
      <c r="D1171" s="8"/>
      <c r="E1171" s="9"/>
      <c r="F1171" s="17"/>
      <c r="G1171" s="17"/>
      <c r="H1171" s="18"/>
      <c r="I1171" s="19"/>
      <c r="J1171" s="8"/>
      <c r="K1171" s="7"/>
    </row>
    <row r="1172" spans="4:11" x14ac:dyDescent="0.25">
      <c r="D1172" s="18"/>
      <c r="E1172" s="19"/>
      <c r="K1172" s="7"/>
    </row>
    <row r="1173" spans="4:11" x14ac:dyDescent="0.25">
      <c r="K1173" s="7"/>
    </row>
    <row r="1174" spans="4:11" x14ac:dyDescent="0.25">
      <c r="K1174" s="7"/>
    </row>
    <row r="1175" spans="4:11" x14ac:dyDescent="0.25">
      <c r="D1175" s="8"/>
      <c r="E1175" s="9"/>
      <c r="F1175" s="17"/>
      <c r="G1175" s="17"/>
      <c r="H1175" s="18"/>
      <c r="I1175" s="19"/>
      <c r="J1175" s="8"/>
      <c r="K1175" s="7"/>
    </row>
    <row r="1176" spans="4:11" x14ac:dyDescent="0.25">
      <c r="D1176" s="18"/>
      <c r="E1176" s="19"/>
      <c r="K1176" s="7"/>
    </row>
    <row r="1177" spans="4:11" x14ac:dyDescent="0.25">
      <c r="K1177" s="7"/>
    </row>
    <row r="1178" spans="4:11" x14ac:dyDescent="0.25">
      <c r="K1178" s="7"/>
    </row>
    <row r="1179" spans="4:11" x14ac:dyDescent="0.25">
      <c r="D1179" s="8"/>
      <c r="E1179" s="9"/>
      <c r="F1179" s="17"/>
      <c r="G1179" s="17"/>
      <c r="H1179" s="18"/>
      <c r="I1179" s="19"/>
      <c r="J1179" s="8"/>
      <c r="K1179" s="7"/>
    </row>
    <row r="1180" spans="4:11" x14ac:dyDescent="0.25">
      <c r="D1180" s="18"/>
      <c r="E1180" s="19"/>
      <c r="K1180" s="7"/>
    </row>
    <row r="1181" spans="4:11" x14ac:dyDescent="0.25">
      <c r="K1181" s="7"/>
    </row>
    <row r="1182" spans="4:11" x14ac:dyDescent="0.25">
      <c r="K1182" s="7"/>
    </row>
    <row r="1183" spans="4:11" x14ac:dyDescent="0.25">
      <c r="D1183" s="8"/>
      <c r="E1183" s="9"/>
      <c r="F1183" s="17"/>
      <c r="G1183" s="17"/>
      <c r="H1183" s="18"/>
      <c r="I1183" s="19"/>
      <c r="J1183" s="8"/>
      <c r="K1183" s="7"/>
    </row>
    <row r="1184" spans="4:11" x14ac:dyDescent="0.25">
      <c r="D1184" s="18"/>
      <c r="E1184" s="19"/>
      <c r="K1184" s="7"/>
    </row>
    <row r="1185" spans="4:11" x14ac:dyDescent="0.25">
      <c r="K1185" s="7"/>
    </row>
    <row r="1186" spans="4:11" x14ac:dyDescent="0.25">
      <c r="K1186" s="7"/>
    </row>
    <row r="1187" spans="4:11" x14ac:dyDescent="0.25">
      <c r="D1187" s="8"/>
      <c r="E1187" s="9"/>
      <c r="F1187" s="17"/>
      <c r="G1187" s="17"/>
      <c r="H1187" s="18"/>
      <c r="I1187" s="19"/>
      <c r="J1187" s="8"/>
      <c r="K1187" s="7"/>
    </row>
    <row r="1188" spans="4:11" x14ac:dyDescent="0.25">
      <c r="D1188" s="18"/>
      <c r="E1188" s="19"/>
      <c r="K1188" s="7"/>
    </row>
    <row r="1189" spans="4:11" x14ac:dyDescent="0.25">
      <c r="K1189" s="7"/>
    </row>
    <row r="1190" spans="4:11" x14ac:dyDescent="0.25">
      <c r="K1190" s="7"/>
    </row>
    <row r="1191" spans="4:11" x14ac:dyDescent="0.25">
      <c r="D1191" s="8"/>
      <c r="E1191" s="9"/>
      <c r="F1191" s="17"/>
      <c r="G1191" s="17"/>
      <c r="H1191" s="18"/>
      <c r="I1191" s="19"/>
      <c r="J1191" s="8"/>
      <c r="K1191" s="7"/>
    </row>
    <row r="1192" spans="4:11" x14ac:dyDescent="0.25">
      <c r="D1192" s="18"/>
      <c r="E1192" s="19"/>
      <c r="K1192" s="7"/>
    </row>
    <row r="1193" spans="4:11" x14ac:dyDescent="0.25">
      <c r="K1193" s="7"/>
    </row>
    <row r="1194" spans="4:11" x14ac:dyDescent="0.25">
      <c r="K1194" s="7"/>
    </row>
    <row r="1195" spans="4:11" x14ac:dyDescent="0.25">
      <c r="D1195" s="8"/>
      <c r="E1195" s="9"/>
      <c r="F1195" s="17"/>
      <c r="G1195" s="17"/>
      <c r="H1195" s="18"/>
      <c r="I1195" s="19"/>
      <c r="J1195" s="8"/>
      <c r="K1195" s="7"/>
    </row>
    <row r="1196" spans="4:11" x14ac:dyDescent="0.25">
      <c r="D1196" s="18"/>
      <c r="E1196" s="19"/>
      <c r="K1196" s="7"/>
    </row>
    <row r="1197" spans="4:11" x14ac:dyDescent="0.25">
      <c r="K1197" s="7"/>
    </row>
    <row r="1198" spans="4:11" x14ac:dyDescent="0.25">
      <c r="K1198" s="7"/>
    </row>
    <row r="1199" spans="4:11" x14ac:dyDescent="0.25">
      <c r="D1199" s="8"/>
      <c r="E1199" s="9"/>
      <c r="F1199" s="17"/>
      <c r="G1199" s="17"/>
      <c r="H1199" s="18"/>
      <c r="I1199" s="19"/>
      <c r="J1199" s="8"/>
      <c r="K1199" s="7"/>
    </row>
    <row r="1200" spans="4:11" x14ac:dyDescent="0.25">
      <c r="D1200" s="18"/>
      <c r="E1200" s="19"/>
      <c r="K1200" s="7"/>
    </row>
    <row r="1201" spans="4:11" x14ac:dyDescent="0.25">
      <c r="K1201" s="7"/>
    </row>
    <row r="1202" spans="4:11" x14ac:dyDescent="0.25">
      <c r="K1202" s="7"/>
    </row>
    <row r="1203" spans="4:11" x14ac:dyDescent="0.25">
      <c r="D1203" s="8"/>
      <c r="E1203" s="9"/>
      <c r="F1203" s="17"/>
      <c r="G1203" s="17"/>
      <c r="H1203" s="18"/>
      <c r="I1203" s="19"/>
      <c r="J1203" s="8"/>
      <c r="K1203" s="7"/>
    </row>
    <row r="1204" spans="4:11" x14ac:dyDescent="0.25">
      <c r="D1204" s="18"/>
      <c r="E1204" s="19"/>
      <c r="K1204" s="7"/>
    </row>
    <row r="1205" spans="4:11" x14ac:dyDescent="0.25">
      <c r="K1205" s="7"/>
    </row>
    <row r="1206" spans="4:11" x14ac:dyDescent="0.25">
      <c r="K1206" s="7"/>
    </row>
    <row r="1207" spans="4:11" x14ac:dyDescent="0.25">
      <c r="D1207" s="8"/>
      <c r="E1207" s="9"/>
      <c r="F1207" s="17"/>
      <c r="G1207" s="17"/>
      <c r="H1207" s="18"/>
      <c r="I1207" s="19"/>
      <c r="J1207" s="8"/>
      <c r="K1207" s="7"/>
    </row>
    <row r="1208" spans="4:11" x14ac:dyDescent="0.25">
      <c r="D1208" s="18"/>
      <c r="E1208" s="19"/>
      <c r="K1208" s="7"/>
    </row>
    <row r="1209" spans="4:11" x14ac:dyDescent="0.25">
      <c r="K1209" s="7"/>
    </row>
    <row r="1210" spans="4:11" x14ac:dyDescent="0.25">
      <c r="K1210" s="7"/>
    </row>
    <row r="1211" spans="4:11" x14ac:dyDescent="0.25">
      <c r="D1211" s="8"/>
      <c r="E1211" s="9"/>
      <c r="F1211" s="17"/>
      <c r="G1211" s="17"/>
      <c r="H1211" s="18"/>
      <c r="I1211" s="19"/>
      <c r="J1211" s="8"/>
      <c r="K1211" s="7"/>
    </row>
    <row r="1212" spans="4:11" x14ac:dyDescent="0.25">
      <c r="K1212" s="7"/>
    </row>
    <row r="1213" spans="4:11" x14ac:dyDescent="0.25">
      <c r="D1213" s="8"/>
      <c r="E1213" s="9"/>
      <c r="F1213" s="17"/>
      <c r="G1213" s="17"/>
      <c r="H1213" s="18"/>
      <c r="I1213" s="19"/>
      <c r="J1213" s="8"/>
      <c r="K1213" s="7"/>
    </row>
    <row r="1214" spans="4:11" x14ac:dyDescent="0.25">
      <c r="D1214" s="18"/>
      <c r="E1214" s="19"/>
      <c r="K1214" s="7"/>
    </row>
    <row r="1215" spans="4:11" x14ac:dyDescent="0.25">
      <c r="K1215" s="7"/>
    </row>
    <row r="1216" spans="4:11" x14ac:dyDescent="0.25">
      <c r="K1216" s="7"/>
    </row>
    <row r="1217" spans="4:11" x14ac:dyDescent="0.25">
      <c r="D1217" s="8"/>
      <c r="E1217" s="9"/>
      <c r="F1217" s="17"/>
      <c r="G1217" s="17"/>
      <c r="H1217" s="18"/>
      <c r="I1217" s="19"/>
      <c r="J1217" s="8"/>
      <c r="K1217" s="7"/>
    </row>
    <row r="1218" spans="4:11" x14ac:dyDescent="0.25">
      <c r="D1218" s="18"/>
      <c r="E1218" s="19"/>
      <c r="K1218" s="7"/>
    </row>
    <row r="1219" spans="4:11" x14ac:dyDescent="0.25">
      <c r="K1219" s="7"/>
    </row>
    <row r="1220" spans="4:11" x14ac:dyDescent="0.25">
      <c r="K1220" s="7"/>
    </row>
    <row r="1221" spans="4:11" x14ac:dyDescent="0.25">
      <c r="D1221" s="8"/>
      <c r="E1221" s="9"/>
      <c r="F1221" s="17"/>
      <c r="G1221" s="17"/>
      <c r="H1221" s="18"/>
      <c r="I1221" s="19"/>
      <c r="J1221" s="8"/>
      <c r="K1221" s="7"/>
    </row>
    <row r="1222" spans="4:11" x14ac:dyDescent="0.25">
      <c r="D1222" s="18"/>
      <c r="E1222" s="19"/>
      <c r="K1222" s="7"/>
    </row>
    <row r="1223" spans="4:11" x14ac:dyDescent="0.25">
      <c r="K1223" s="7"/>
    </row>
    <row r="1224" spans="4:11" x14ac:dyDescent="0.25">
      <c r="K1224" s="7"/>
    </row>
    <row r="1225" spans="4:11" x14ac:dyDescent="0.25">
      <c r="D1225" s="8"/>
      <c r="E1225" s="9"/>
      <c r="F1225" s="17"/>
      <c r="G1225" s="17"/>
      <c r="H1225" s="18"/>
      <c r="I1225" s="19"/>
      <c r="J1225" s="8"/>
      <c r="K1225" s="7"/>
    </row>
    <row r="1226" spans="4:11" x14ac:dyDescent="0.25">
      <c r="D1226" s="18"/>
      <c r="E1226" s="19"/>
      <c r="K1226" s="7"/>
    </row>
    <row r="1227" spans="4:11" x14ac:dyDescent="0.25">
      <c r="K1227" s="7"/>
    </row>
    <row r="1228" spans="4:11" x14ac:dyDescent="0.25">
      <c r="K1228" s="7"/>
    </row>
    <row r="1229" spans="4:11" x14ac:dyDescent="0.25">
      <c r="D1229" s="8"/>
      <c r="E1229" s="9"/>
      <c r="F1229" s="17"/>
      <c r="G1229" s="17"/>
      <c r="H1229" s="18"/>
      <c r="I1229" s="19"/>
      <c r="J1229" s="8"/>
      <c r="K1229" s="7"/>
    </row>
    <row r="1230" spans="4:11" x14ac:dyDescent="0.25">
      <c r="K1230" s="7"/>
    </row>
    <row r="1231" spans="4:11" x14ac:dyDescent="0.25">
      <c r="D1231" s="8"/>
      <c r="E1231" s="9"/>
      <c r="F1231" s="17"/>
      <c r="G1231" s="17"/>
      <c r="H1231" s="18"/>
      <c r="I1231" s="19"/>
      <c r="J1231" s="8"/>
      <c r="K1231" s="7"/>
    </row>
    <row r="1232" spans="4:11" x14ac:dyDescent="0.25">
      <c r="K1232" s="7"/>
    </row>
    <row r="1233" spans="4:11" x14ac:dyDescent="0.25">
      <c r="D1233" s="8"/>
      <c r="E1233" s="9"/>
      <c r="F1233" s="17"/>
      <c r="G1233" s="17"/>
      <c r="H1233" s="18"/>
      <c r="I1233" s="19"/>
      <c r="J1233" s="8"/>
      <c r="K1233" s="7"/>
    </row>
    <row r="1234" spans="4:11" x14ac:dyDescent="0.25">
      <c r="K1234" s="7"/>
    </row>
    <row r="1235" spans="4:11" x14ac:dyDescent="0.25">
      <c r="D1235" s="8"/>
      <c r="E1235" s="9"/>
      <c r="F1235" s="17"/>
      <c r="G1235" s="17"/>
      <c r="H1235" s="18"/>
      <c r="I1235" s="19"/>
      <c r="J1235" s="8"/>
      <c r="K1235" s="7"/>
    </row>
    <row r="1236" spans="4:11" x14ac:dyDescent="0.25">
      <c r="K1236" s="7"/>
    </row>
    <row r="1237" spans="4:11" x14ac:dyDescent="0.25">
      <c r="D1237" s="8"/>
      <c r="E1237" s="9"/>
      <c r="F1237" s="17"/>
      <c r="G1237" s="17"/>
      <c r="H1237" s="18"/>
      <c r="I1237" s="19"/>
      <c r="J1237" s="8"/>
      <c r="K1237" s="7"/>
    </row>
    <row r="1238" spans="4:11" x14ac:dyDescent="0.25">
      <c r="K1238" s="7"/>
    </row>
    <row r="1239" spans="4:11" x14ac:dyDescent="0.25">
      <c r="D1239" s="8"/>
      <c r="E1239" s="9"/>
      <c r="F1239" s="17"/>
      <c r="G1239" s="17"/>
      <c r="H1239" s="18"/>
      <c r="I1239" s="19"/>
      <c r="J1239" s="8"/>
      <c r="K1239" s="7"/>
    </row>
    <row r="1240" spans="4:11" x14ac:dyDescent="0.25">
      <c r="K1240" s="7"/>
    </row>
    <row r="1241" spans="4:11" x14ac:dyDescent="0.25">
      <c r="D1241" s="8"/>
      <c r="E1241" s="9"/>
      <c r="F1241" s="17"/>
      <c r="G1241" s="17"/>
      <c r="H1241" s="18"/>
      <c r="I1241" s="19"/>
      <c r="J1241" s="8"/>
      <c r="K1241" s="7"/>
    </row>
    <row r="1242" spans="4:11" x14ac:dyDescent="0.25">
      <c r="K1242" s="7"/>
    </row>
    <row r="1243" spans="4:11" x14ac:dyDescent="0.25">
      <c r="D1243" s="8"/>
      <c r="E1243" s="9"/>
      <c r="F1243" s="17"/>
      <c r="G1243" s="17"/>
      <c r="H1243" s="18"/>
      <c r="I1243" s="19"/>
      <c r="J1243" s="8"/>
      <c r="K1243" s="7"/>
    </row>
    <row r="1244" spans="4:11" x14ac:dyDescent="0.25">
      <c r="K1244" s="7"/>
    </row>
    <row r="1245" spans="4:11" x14ac:dyDescent="0.25">
      <c r="D1245" s="8"/>
      <c r="E1245" s="9"/>
      <c r="F1245" s="17"/>
      <c r="G1245" s="17"/>
      <c r="H1245" s="18"/>
      <c r="I1245" s="19"/>
      <c r="J1245" s="8"/>
      <c r="K1245" s="7"/>
    </row>
    <row r="1246" spans="4:11" x14ac:dyDescent="0.25">
      <c r="K1246" s="7"/>
    </row>
    <row r="1247" spans="4:11" x14ac:dyDescent="0.25">
      <c r="D1247" s="8"/>
      <c r="E1247" s="9"/>
      <c r="F1247" s="17"/>
      <c r="G1247" s="17"/>
      <c r="H1247" s="18"/>
      <c r="I1247" s="19"/>
      <c r="J1247" s="8"/>
      <c r="K1247" s="7"/>
    </row>
    <row r="1248" spans="4:11" x14ac:dyDescent="0.25">
      <c r="K1248" s="7"/>
    </row>
    <row r="1249" spans="4:11" x14ac:dyDescent="0.25">
      <c r="D1249" s="8"/>
      <c r="E1249" s="9"/>
      <c r="F1249" s="17"/>
      <c r="G1249" s="17"/>
      <c r="H1249" s="18"/>
      <c r="I1249" s="19"/>
      <c r="J1249" s="8"/>
      <c r="K1249" s="7"/>
    </row>
    <row r="1250" spans="4:11" x14ac:dyDescent="0.25">
      <c r="K1250" s="7"/>
    </row>
    <row r="1251" spans="4:11" x14ac:dyDescent="0.25">
      <c r="D1251" s="8"/>
      <c r="E1251" s="9"/>
      <c r="F1251" s="17"/>
      <c r="G1251" s="17"/>
      <c r="H1251" s="18"/>
      <c r="I1251" s="19"/>
      <c r="J1251" s="8"/>
      <c r="K1251" s="7"/>
    </row>
    <row r="1252" spans="4:11" x14ac:dyDescent="0.25">
      <c r="K1252" s="7"/>
    </row>
    <row r="1253" spans="4:11" x14ac:dyDescent="0.25">
      <c r="D1253" s="8"/>
      <c r="E1253" s="9"/>
      <c r="F1253" s="17"/>
      <c r="G1253" s="17"/>
      <c r="H1253" s="18"/>
      <c r="I1253" s="19"/>
      <c r="J1253" s="8"/>
      <c r="K1253" s="7"/>
    </row>
    <row r="1254" spans="4:11" x14ac:dyDescent="0.25">
      <c r="K1254" s="7"/>
    </row>
    <row r="1255" spans="4:11" x14ac:dyDescent="0.25">
      <c r="D1255" s="8"/>
      <c r="E1255" s="9"/>
      <c r="F1255" s="17"/>
      <c r="G1255" s="17"/>
      <c r="H1255" s="18"/>
      <c r="I1255" s="19"/>
      <c r="J1255" s="8"/>
      <c r="K1255" s="7"/>
    </row>
    <row r="1256" spans="4:11" x14ac:dyDescent="0.25">
      <c r="K1256" s="7"/>
    </row>
    <row r="1257" spans="4:11" x14ac:dyDescent="0.25">
      <c r="D1257" s="8"/>
      <c r="E1257" s="9"/>
      <c r="F1257" s="17"/>
      <c r="G1257" s="17"/>
      <c r="H1257" s="18"/>
      <c r="I1257" s="19"/>
      <c r="J1257" s="8"/>
      <c r="K1257" s="7"/>
    </row>
    <row r="1258" spans="4:11" x14ac:dyDescent="0.25">
      <c r="K1258" s="7"/>
    </row>
    <row r="1259" spans="4:11" x14ac:dyDescent="0.25">
      <c r="D1259" s="8"/>
      <c r="E1259" s="9"/>
      <c r="F1259" s="17"/>
      <c r="G1259" s="17"/>
      <c r="H1259" s="18"/>
      <c r="I1259" s="19"/>
      <c r="J1259" s="8"/>
      <c r="K1259" s="7"/>
    </row>
    <row r="1260" spans="4:11" x14ac:dyDescent="0.25">
      <c r="K1260" s="7"/>
    </row>
    <row r="1261" spans="4:11" x14ac:dyDescent="0.25">
      <c r="D1261" s="8"/>
      <c r="E1261" s="9"/>
      <c r="F1261" s="17"/>
      <c r="G1261" s="17"/>
      <c r="H1261" s="18"/>
      <c r="I1261" s="19"/>
      <c r="J1261" s="8"/>
      <c r="K1261" s="7"/>
    </row>
    <row r="1262" spans="4:11" x14ac:dyDescent="0.25">
      <c r="K1262" s="7"/>
    </row>
    <row r="1263" spans="4:11" x14ac:dyDescent="0.25">
      <c r="D1263" s="8"/>
      <c r="E1263" s="9"/>
      <c r="F1263" s="17"/>
      <c r="G1263" s="17"/>
      <c r="H1263" s="18"/>
      <c r="I1263" s="19"/>
      <c r="J1263" s="8"/>
      <c r="K1263" s="7"/>
    </row>
    <row r="1264" spans="4:11" x14ac:dyDescent="0.25">
      <c r="K1264" s="7"/>
    </row>
    <row r="1265" spans="4:11" x14ac:dyDescent="0.25">
      <c r="D1265" s="8"/>
      <c r="E1265" s="9"/>
      <c r="F1265" s="17"/>
      <c r="G1265" s="17"/>
      <c r="H1265" s="18"/>
      <c r="I1265" s="19"/>
      <c r="J1265" s="8"/>
      <c r="K1265" s="7"/>
    </row>
    <row r="1266" spans="4:11" x14ac:dyDescent="0.25">
      <c r="D1266" s="18"/>
      <c r="E1266" s="19"/>
      <c r="K1266" s="7"/>
    </row>
    <row r="1267" spans="4:11" x14ac:dyDescent="0.25">
      <c r="K1267" s="7"/>
    </row>
    <row r="1268" spans="4:11" x14ac:dyDescent="0.25">
      <c r="K1268" s="7"/>
    </row>
    <row r="1269" spans="4:11" x14ac:dyDescent="0.25">
      <c r="D1269" s="8"/>
      <c r="E1269" s="9"/>
      <c r="F1269" s="17"/>
      <c r="G1269" s="17"/>
      <c r="H1269" s="18"/>
      <c r="I1269" s="19"/>
      <c r="J1269" s="8"/>
      <c r="K1269" s="7"/>
    </row>
    <row r="1270" spans="4:11" x14ac:dyDescent="0.25">
      <c r="D1270" s="8"/>
      <c r="E1270" s="9"/>
      <c r="F1270" s="17"/>
      <c r="G1270" s="17"/>
      <c r="H1270" s="18"/>
      <c r="I1270" s="19"/>
      <c r="J1270" s="8"/>
      <c r="K1270" s="7"/>
    </row>
    <row r="1271" spans="4:11" x14ac:dyDescent="0.25">
      <c r="D1271" s="8"/>
      <c r="E1271" s="9"/>
      <c r="F1271" s="17"/>
      <c r="G1271" s="17"/>
      <c r="H1271" s="18"/>
      <c r="I1271" s="19"/>
      <c r="J1271" s="8"/>
      <c r="K1271" s="7"/>
    </row>
    <row r="1272" spans="4:11" x14ac:dyDescent="0.25">
      <c r="D1272" s="8"/>
      <c r="E1272" s="9"/>
      <c r="F1272" s="17"/>
      <c r="G1272" s="17"/>
      <c r="H1272" s="18"/>
      <c r="I1272" s="19"/>
      <c r="J1272" s="8"/>
      <c r="K1272" s="7"/>
    </row>
    <row r="1273" spans="4:11" x14ac:dyDescent="0.25">
      <c r="D1273" s="18"/>
      <c r="E1273" s="19"/>
      <c r="K1273" s="7"/>
    </row>
    <row r="1274" spans="4:11" x14ac:dyDescent="0.25">
      <c r="K1274" s="7"/>
    </row>
    <row r="1275" spans="4:11" x14ac:dyDescent="0.25">
      <c r="K1275" s="7"/>
    </row>
    <row r="1276" spans="4:11" x14ac:dyDescent="0.25">
      <c r="D1276" s="8"/>
      <c r="E1276" s="9"/>
      <c r="F1276" s="17"/>
      <c r="G1276" s="17"/>
      <c r="H1276" s="18"/>
      <c r="I1276" s="19"/>
      <c r="J1276" s="8"/>
      <c r="K1276" s="7"/>
    </row>
    <row r="1277" spans="4:11" x14ac:dyDescent="0.25">
      <c r="K1277" s="7"/>
    </row>
    <row r="1278" spans="4:11" x14ac:dyDescent="0.25">
      <c r="D1278" s="8"/>
      <c r="E1278" s="9"/>
      <c r="F1278" s="17"/>
      <c r="G1278" s="17"/>
      <c r="H1278" s="18"/>
      <c r="I1278" s="19"/>
      <c r="J1278" s="8"/>
      <c r="K1278" s="7"/>
    </row>
    <row r="1279" spans="4:11" x14ac:dyDescent="0.25">
      <c r="K1279" s="7"/>
    </row>
    <row r="1280" spans="4:11" x14ac:dyDescent="0.25">
      <c r="D1280" s="8"/>
      <c r="E1280" s="9"/>
      <c r="F1280" s="17"/>
      <c r="G1280" s="17"/>
      <c r="H1280" s="18"/>
      <c r="I1280" s="19"/>
      <c r="J1280" s="8"/>
      <c r="K1280" s="7"/>
    </row>
    <row r="1281" spans="4:11" x14ac:dyDescent="0.25">
      <c r="K1281" s="7"/>
    </row>
    <row r="1282" spans="4:11" x14ac:dyDescent="0.25">
      <c r="D1282" s="8"/>
      <c r="E1282" s="9"/>
      <c r="F1282" s="17"/>
      <c r="G1282" s="17"/>
      <c r="H1282" s="18"/>
      <c r="I1282" s="19"/>
      <c r="J1282" s="8"/>
      <c r="K1282" s="7"/>
    </row>
    <row r="1283" spans="4:11" x14ac:dyDescent="0.25">
      <c r="K1283" s="7"/>
    </row>
    <row r="1284" spans="4:11" x14ac:dyDescent="0.25">
      <c r="D1284" s="8"/>
      <c r="E1284" s="9"/>
      <c r="F1284" s="17"/>
      <c r="G1284" s="17"/>
      <c r="H1284" s="18"/>
      <c r="I1284" s="19"/>
      <c r="J1284" s="8"/>
      <c r="K1284" s="7"/>
    </row>
    <row r="1285" spans="4:11" x14ac:dyDescent="0.25">
      <c r="K1285" s="7"/>
    </row>
    <row r="1286" spans="4:11" x14ac:dyDescent="0.25">
      <c r="D1286" s="8"/>
      <c r="E1286" s="9"/>
      <c r="F1286" s="17"/>
      <c r="G1286" s="17"/>
      <c r="H1286" s="18"/>
      <c r="I1286" s="19"/>
      <c r="J1286" s="8"/>
      <c r="K1286" s="7"/>
    </row>
    <row r="1287" spans="4:11" x14ac:dyDescent="0.25">
      <c r="K1287" s="7"/>
    </row>
    <row r="1288" spans="4:11" x14ac:dyDescent="0.25">
      <c r="D1288" s="8"/>
      <c r="E1288" s="9"/>
      <c r="F1288" s="17"/>
      <c r="G1288" s="17"/>
      <c r="H1288" s="18"/>
      <c r="I1288" s="19"/>
      <c r="J1288" s="8"/>
      <c r="K1288" s="7"/>
    </row>
    <row r="1289" spans="4:11" x14ac:dyDescent="0.25">
      <c r="K1289" s="7"/>
    </row>
    <row r="1290" spans="4:11" x14ac:dyDescent="0.25">
      <c r="D1290" s="8"/>
      <c r="E1290" s="9"/>
      <c r="F1290" s="17"/>
      <c r="G1290" s="17"/>
      <c r="H1290" s="18"/>
      <c r="I1290" s="19"/>
      <c r="J1290" s="8"/>
      <c r="K1290" s="7"/>
    </row>
    <row r="1291" spans="4:11" x14ac:dyDescent="0.25">
      <c r="K1291" s="7"/>
    </row>
    <row r="1292" spans="4:11" x14ac:dyDescent="0.25">
      <c r="D1292" s="8"/>
      <c r="E1292" s="9"/>
      <c r="F1292" s="17"/>
      <c r="G1292" s="17"/>
      <c r="H1292" s="18"/>
      <c r="I1292" s="19"/>
      <c r="J1292" s="8"/>
      <c r="K1292" s="7"/>
    </row>
    <row r="1293" spans="4:11" x14ac:dyDescent="0.25">
      <c r="K1293" s="7"/>
    </row>
    <row r="1294" spans="4:11" x14ac:dyDescent="0.25">
      <c r="D1294" s="8"/>
      <c r="E1294" s="9"/>
      <c r="F1294" s="17"/>
      <c r="G1294" s="17"/>
      <c r="H1294" s="18"/>
      <c r="I1294" s="19"/>
      <c r="J1294" s="8"/>
      <c r="K1294" s="7"/>
    </row>
    <row r="1295" spans="4:11" x14ac:dyDescent="0.25">
      <c r="K1295" s="7"/>
    </row>
    <row r="1296" spans="4:11" x14ac:dyDescent="0.25">
      <c r="D1296" s="8"/>
      <c r="E1296" s="9"/>
      <c r="F1296" s="17"/>
      <c r="G1296" s="17"/>
      <c r="H1296" s="18"/>
      <c r="I1296" s="19"/>
      <c r="J1296" s="8"/>
      <c r="K1296" s="7"/>
    </row>
    <row r="1297" spans="4:11" x14ac:dyDescent="0.25">
      <c r="K1297" s="7"/>
    </row>
    <row r="1298" spans="4:11" x14ac:dyDescent="0.25">
      <c r="D1298" s="8"/>
      <c r="E1298" s="9"/>
      <c r="F1298" s="17"/>
      <c r="G1298" s="17"/>
      <c r="H1298" s="18"/>
      <c r="I1298" s="19"/>
      <c r="J1298" s="8"/>
      <c r="K1298" s="7"/>
    </row>
    <row r="1299" spans="4:11" x14ac:dyDescent="0.25">
      <c r="K1299" s="7"/>
    </row>
    <row r="1300" spans="4:11" x14ac:dyDescent="0.25">
      <c r="D1300" s="8"/>
      <c r="E1300" s="9"/>
      <c r="F1300" s="17"/>
      <c r="G1300" s="17"/>
      <c r="H1300" s="18"/>
      <c r="I1300" s="19"/>
      <c r="J1300" s="8"/>
      <c r="K1300" s="7"/>
    </row>
    <row r="1301" spans="4:11" x14ac:dyDescent="0.25">
      <c r="K1301" s="7"/>
    </row>
    <row r="1302" spans="4:11" x14ac:dyDescent="0.25">
      <c r="D1302" s="8"/>
      <c r="E1302" s="9"/>
      <c r="F1302" s="17"/>
      <c r="G1302" s="17"/>
      <c r="H1302" s="18"/>
      <c r="I1302" s="19"/>
      <c r="J1302" s="8"/>
      <c r="K1302" s="7"/>
    </row>
    <row r="1303" spans="4:11" x14ac:dyDescent="0.25">
      <c r="K1303" s="7"/>
    </row>
    <row r="1304" spans="4:11" x14ac:dyDescent="0.25">
      <c r="D1304" s="8"/>
      <c r="E1304" s="9"/>
      <c r="F1304" s="17"/>
      <c r="G1304" s="17"/>
      <c r="H1304" s="18"/>
      <c r="I1304" s="19"/>
      <c r="J1304" s="8"/>
      <c r="K1304" s="7"/>
    </row>
    <row r="1305" spans="4:11" x14ac:dyDescent="0.25">
      <c r="K1305" s="7"/>
    </row>
    <row r="1306" spans="4:11" x14ac:dyDescent="0.25">
      <c r="D1306" s="8"/>
      <c r="E1306" s="9"/>
      <c r="F1306" s="17"/>
      <c r="G1306" s="17"/>
      <c r="H1306" s="18"/>
      <c r="I1306" s="19"/>
      <c r="J1306" s="8"/>
      <c r="K1306" s="7"/>
    </row>
    <row r="1307" spans="4:11" x14ac:dyDescent="0.25">
      <c r="K1307" s="7"/>
    </row>
    <row r="1308" spans="4:11" x14ac:dyDescent="0.25">
      <c r="D1308" s="8"/>
      <c r="E1308" s="9"/>
      <c r="F1308" s="17"/>
      <c r="G1308" s="17"/>
      <c r="H1308" s="18"/>
      <c r="I1308" s="19"/>
      <c r="J1308" s="8"/>
      <c r="K1308" s="7"/>
    </row>
    <row r="1309" spans="4:11" x14ac:dyDescent="0.25">
      <c r="K1309" s="7"/>
    </row>
    <row r="1310" spans="4:11" x14ac:dyDescent="0.25">
      <c r="D1310" s="8"/>
      <c r="E1310" s="9"/>
      <c r="F1310" s="17"/>
      <c r="G1310" s="17"/>
      <c r="H1310" s="18"/>
      <c r="I1310" s="19"/>
      <c r="J1310" s="8"/>
      <c r="K1310" s="7"/>
    </row>
    <row r="1311" spans="4:11" x14ac:dyDescent="0.25">
      <c r="K1311" s="7"/>
    </row>
    <row r="1312" spans="4:11" x14ac:dyDescent="0.25">
      <c r="D1312" s="8"/>
      <c r="E1312" s="9"/>
      <c r="F1312" s="17"/>
      <c r="G1312" s="17"/>
      <c r="H1312" s="18"/>
      <c r="I1312" s="19"/>
      <c r="J1312" s="8"/>
      <c r="K1312" s="7"/>
    </row>
    <row r="1313" spans="4:11" x14ac:dyDescent="0.25">
      <c r="K1313" s="7"/>
    </row>
    <row r="1314" spans="4:11" x14ac:dyDescent="0.25">
      <c r="D1314" s="8"/>
      <c r="E1314" s="9"/>
      <c r="F1314" s="17"/>
      <c r="G1314" s="17"/>
      <c r="H1314" s="18"/>
      <c r="I1314" s="19"/>
      <c r="J1314" s="8"/>
      <c r="K1314" s="7"/>
    </row>
    <row r="1315" spans="4:11" x14ac:dyDescent="0.25">
      <c r="K1315" s="7"/>
    </row>
    <row r="1316" spans="4:11" x14ac:dyDescent="0.25">
      <c r="D1316" s="8"/>
      <c r="E1316" s="9"/>
      <c r="F1316" s="17"/>
      <c r="G1316" s="17"/>
      <c r="H1316" s="18"/>
      <c r="I1316" s="19"/>
      <c r="J1316" s="8"/>
      <c r="K1316" s="7"/>
    </row>
    <row r="1317" spans="4:11" x14ac:dyDescent="0.25">
      <c r="K1317" s="7"/>
    </row>
    <row r="1318" spans="4:11" x14ac:dyDescent="0.25">
      <c r="D1318" s="8"/>
      <c r="E1318" s="9"/>
      <c r="F1318" s="17"/>
      <c r="G1318" s="17"/>
      <c r="H1318" s="18"/>
      <c r="I1318" s="19"/>
      <c r="J1318" s="8"/>
      <c r="K1318" s="7"/>
    </row>
    <row r="1319" spans="4:11" x14ac:dyDescent="0.25">
      <c r="K1319" s="7"/>
    </row>
    <row r="1320" spans="4:11" x14ac:dyDescent="0.25">
      <c r="D1320" s="8"/>
      <c r="E1320" s="9"/>
      <c r="F1320" s="17"/>
      <c r="G1320" s="17"/>
      <c r="H1320" s="18"/>
      <c r="I1320" s="19"/>
      <c r="J1320" s="8"/>
      <c r="K1320" s="7"/>
    </row>
    <row r="1321" spans="4:11" x14ac:dyDescent="0.25">
      <c r="K1321" s="7"/>
    </row>
    <row r="1322" spans="4:11" x14ac:dyDescent="0.25">
      <c r="D1322" s="8"/>
      <c r="E1322" s="9"/>
      <c r="F1322" s="17"/>
      <c r="G1322" s="17"/>
      <c r="H1322" s="18"/>
      <c r="I1322" s="19"/>
      <c r="J1322" s="8"/>
      <c r="K1322" s="7"/>
    </row>
    <row r="1323" spans="4:11" x14ac:dyDescent="0.25">
      <c r="K1323" s="7"/>
    </row>
    <row r="1324" spans="4:11" x14ac:dyDescent="0.25">
      <c r="D1324" s="8"/>
      <c r="E1324" s="9"/>
      <c r="F1324" s="17"/>
      <c r="G1324" s="17"/>
      <c r="H1324" s="18"/>
      <c r="I1324" s="19"/>
      <c r="J1324" s="8"/>
      <c r="K1324" s="7"/>
    </row>
    <row r="1325" spans="4:11" x14ac:dyDescent="0.25">
      <c r="K1325" s="7"/>
    </row>
    <row r="1326" spans="4:11" x14ac:dyDescent="0.25">
      <c r="D1326" s="8"/>
      <c r="E1326" s="9"/>
      <c r="F1326" s="17"/>
      <c r="G1326" s="17"/>
      <c r="H1326" s="18"/>
      <c r="I1326" s="19"/>
      <c r="J1326" s="8"/>
      <c r="K1326" s="7"/>
    </row>
    <row r="1327" spans="4:11" x14ac:dyDescent="0.25">
      <c r="K1327" s="7"/>
    </row>
    <row r="1328" spans="4:11" x14ac:dyDescent="0.25">
      <c r="D1328" s="8"/>
      <c r="E1328" s="9"/>
      <c r="F1328" s="17"/>
      <c r="G1328" s="17"/>
      <c r="H1328" s="18"/>
      <c r="I1328" s="19"/>
      <c r="J1328" s="8"/>
      <c r="K1328" s="7"/>
    </row>
    <row r="1329" spans="4:11" x14ac:dyDescent="0.25">
      <c r="K1329" s="7"/>
    </row>
    <row r="1330" spans="4:11" x14ac:dyDescent="0.25">
      <c r="D1330" s="8"/>
      <c r="E1330" s="9"/>
      <c r="F1330" s="17"/>
      <c r="G1330" s="17"/>
      <c r="H1330" s="18"/>
      <c r="I1330" s="19"/>
      <c r="J1330" s="8"/>
      <c r="K1330" s="7"/>
    </row>
    <row r="1331" spans="4:11" x14ac:dyDescent="0.25">
      <c r="K1331" s="7"/>
    </row>
    <row r="1332" spans="4:11" x14ac:dyDescent="0.25">
      <c r="D1332" s="8"/>
      <c r="E1332" s="9"/>
      <c r="F1332" s="17"/>
      <c r="G1332" s="17"/>
      <c r="H1332" s="18"/>
      <c r="I1332" s="19"/>
      <c r="J1332" s="8"/>
      <c r="K1332" s="7"/>
    </row>
    <row r="1333" spans="4:11" x14ac:dyDescent="0.25">
      <c r="K1333" s="7"/>
    </row>
    <row r="1334" spans="4:11" x14ac:dyDescent="0.25">
      <c r="D1334" s="8"/>
      <c r="E1334" s="9"/>
      <c r="F1334" s="17"/>
      <c r="G1334" s="17"/>
      <c r="H1334" s="18"/>
      <c r="I1334" s="19"/>
      <c r="J1334" s="8"/>
      <c r="K1334" s="7"/>
    </row>
    <row r="1335" spans="4:11" x14ac:dyDescent="0.25">
      <c r="K1335" s="7"/>
    </row>
    <row r="1336" spans="4:11" x14ac:dyDescent="0.25">
      <c r="D1336" s="8"/>
      <c r="E1336" s="9"/>
      <c r="F1336" s="17"/>
      <c r="G1336" s="17"/>
      <c r="H1336" s="18"/>
      <c r="I1336" s="19"/>
      <c r="J1336" s="8"/>
      <c r="K1336" s="7"/>
    </row>
    <row r="1337" spans="4:11" x14ac:dyDescent="0.25">
      <c r="K1337" s="7"/>
    </row>
    <row r="1338" spans="4:11" x14ac:dyDescent="0.25">
      <c r="D1338" s="8"/>
      <c r="E1338" s="9"/>
      <c r="F1338" s="17"/>
      <c r="G1338" s="17"/>
      <c r="H1338" s="18"/>
      <c r="I1338" s="19"/>
      <c r="J1338" s="8"/>
      <c r="K1338" s="7"/>
    </row>
    <row r="1339" spans="4:11" x14ac:dyDescent="0.25">
      <c r="K1339" s="7"/>
    </row>
    <row r="1340" spans="4:11" x14ac:dyDescent="0.25">
      <c r="D1340" s="8"/>
      <c r="E1340" s="9"/>
      <c r="F1340" s="17"/>
      <c r="G1340" s="17"/>
      <c r="H1340" s="18"/>
      <c r="I1340" s="19"/>
      <c r="J1340" s="8"/>
      <c r="K1340" s="7"/>
    </row>
    <row r="1341" spans="4:11" x14ac:dyDescent="0.25">
      <c r="K1341" s="7"/>
    </row>
    <row r="1342" spans="4:11" x14ac:dyDescent="0.25">
      <c r="D1342" s="8"/>
      <c r="E1342" s="9"/>
      <c r="F1342" s="17"/>
      <c r="G1342" s="17"/>
      <c r="H1342" s="18"/>
      <c r="I1342" s="19"/>
      <c r="J1342" s="8"/>
      <c r="K1342" s="7"/>
    </row>
    <row r="1343" spans="4:11" x14ac:dyDescent="0.25">
      <c r="K1343" s="7"/>
    </row>
    <row r="1344" spans="4:11" x14ac:dyDescent="0.25">
      <c r="D1344" s="8"/>
      <c r="E1344" s="9"/>
      <c r="F1344" s="17"/>
      <c r="G1344" s="17"/>
      <c r="H1344" s="18"/>
      <c r="I1344" s="19"/>
      <c r="J1344" s="8"/>
      <c r="K1344" s="7"/>
    </row>
    <row r="1345" spans="4:11" x14ac:dyDescent="0.25">
      <c r="K1345" s="7"/>
    </row>
    <row r="1346" spans="4:11" x14ac:dyDescent="0.25">
      <c r="D1346" s="8"/>
      <c r="E1346" s="9"/>
      <c r="F1346" s="17"/>
      <c r="G1346" s="17"/>
      <c r="H1346" s="18"/>
      <c r="I1346" s="19"/>
      <c r="J1346" s="8"/>
      <c r="K1346" s="7"/>
    </row>
    <row r="1347" spans="4:11" x14ac:dyDescent="0.25">
      <c r="K1347" s="7"/>
    </row>
    <row r="1348" spans="4:11" x14ac:dyDescent="0.25">
      <c r="D1348" s="8"/>
      <c r="E1348" s="9"/>
      <c r="F1348" s="17"/>
      <c r="G1348" s="17"/>
      <c r="H1348" s="18"/>
      <c r="I1348" s="19"/>
      <c r="J1348" s="8"/>
      <c r="K1348" s="7"/>
    </row>
    <row r="1349" spans="4:11" x14ac:dyDescent="0.25">
      <c r="K1349" s="7"/>
    </row>
    <row r="1350" spans="4:11" x14ac:dyDescent="0.25">
      <c r="D1350" s="8"/>
      <c r="E1350" s="9"/>
      <c r="F1350" s="17"/>
      <c r="G1350" s="17"/>
      <c r="H1350" s="18"/>
      <c r="I1350" s="19"/>
      <c r="J1350" s="8"/>
      <c r="K1350" s="7"/>
    </row>
    <row r="1351" spans="4:11" x14ac:dyDescent="0.25">
      <c r="K1351" s="7"/>
    </row>
    <row r="1352" spans="4:11" x14ac:dyDescent="0.25">
      <c r="D1352" s="8"/>
      <c r="E1352" s="9"/>
      <c r="F1352" s="17"/>
      <c r="G1352" s="17"/>
      <c r="H1352" s="18"/>
      <c r="I1352" s="19"/>
      <c r="J1352" s="8"/>
      <c r="K1352" s="7"/>
    </row>
    <row r="1353" spans="4:11" x14ac:dyDescent="0.25">
      <c r="K1353" s="7"/>
    </row>
    <row r="1354" spans="4:11" x14ac:dyDescent="0.25">
      <c r="D1354" s="8"/>
      <c r="E1354" s="9"/>
      <c r="F1354" s="17"/>
      <c r="G1354" s="17"/>
      <c r="H1354" s="18"/>
      <c r="I1354" s="19"/>
      <c r="J1354" s="8"/>
      <c r="K1354" s="7"/>
    </row>
    <row r="1355" spans="4:11" x14ac:dyDescent="0.25">
      <c r="K1355" s="7"/>
    </row>
    <row r="1356" spans="4:11" x14ac:dyDescent="0.25">
      <c r="D1356" s="8"/>
      <c r="E1356" s="9"/>
      <c r="F1356" s="17"/>
      <c r="G1356" s="17"/>
      <c r="H1356" s="18"/>
      <c r="I1356" s="19"/>
      <c r="J1356" s="8"/>
      <c r="K1356" s="7"/>
    </row>
    <row r="1357" spans="4:11" x14ac:dyDescent="0.25">
      <c r="K1357" s="7"/>
    </row>
    <row r="1358" spans="4:11" x14ac:dyDescent="0.25">
      <c r="D1358" s="8"/>
      <c r="E1358" s="9"/>
      <c r="F1358" s="17"/>
      <c r="G1358" s="17"/>
      <c r="H1358" s="18"/>
      <c r="I1358" s="19"/>
      <c r="J1358" s="8"/>
      <c r="K1358" s="7"/>
    </row>
    <row r="1359" spans="4:11" x14ac:dyDescent="0.25">
      <c r="K1359" s="7"/>
    </row>
    <row r="1360" spans="4:11" x14ac:dyDescent="0.25">
      <c r="D1360" s="8"/>
      <c r="E1360" s="9"/>
      <c r="F1360" s="17"/>
      <c r="G1360" s="17"/>
      <c r="H1360" s="18"/>
      <c r="I1360" s="19"/>
      <c r="J1360" s="8"/>
      <c r="K1360" s="7"/>
    </row>
    <row r="1361" spans="4:11" x14ac:dyDescent="0.25">
      <c r="K1361" s="7"/>
    </row>
    <row r="1362" spans="4:11" x14ac:dyDescent="0.25">
      <c r="D1362" s="8"/>
      <c r="E1362" s="9"/>
      <c r="F1362" s="17"/>
      <c r="G1362" s="17"/>
      <c r="H1362" s="18"/>
      <c r="I1362" s="19"/>
      <c r="J1362" s="8"/>
      <c r="K1362" s="7"/>
    </row>
    <row r="1363" spans="4:11" x14ac:dyDescent="0.25">
      <c r="K1363" s="7"/>
    </row>
    <row r="1364" spans="4:11" x14ac:dyDescent="0.25">
      <c r="D1364" s="8"/>
      <c r="E1364" s="9"/>
      <c r="F1364" s="17"/>
      <c r="G1364" s="17"/>
      <c r="H1364" s="18"/>
      <c r="I1364" s="19"/>
      <c r="J1364" s="8"/>
      <c r="K1364" s="7"/>
    </row>
    <row r="1365" spans="4:11" x14ac:dyDescent="0.25">
      <c r="K1365" s="7"/>
    </row>
    <row r="1366" spans="4:11" x14ac:dyDescent="0.25">
      <c r="D1366" s="8"/>
      <c r="E1366" s="9"/>
      <c r="F1366" s="17"/>
      <c r="G1366" s="17"/>
      <c r="H1366" s="18"/>
      <c r="I1366" s="19"/>
      <c r="J1366" s="8"/>
      <c r="K1366" s="7"/>
    </row>
    <row r="1367" spans="4:11" x14ac:dyDescent="0.25">
      <c r="K1367" s="7"/>
    </row>
    <row r="1368" spans="4:11" x14ac:dyDescent="0.25">
      <c r="D1368" s="8"/>
      <c r="E1368" s="9"/>
      <c r="F1368" s="17"/>
      <c r="G1368" s="17"/>
      <c r="H1368" s="18"/>
      <c r="I1368" s="19"/>
      <c r="J1368" s="8"/>
      <c r="K1368" s="7"/>
    </row>
    <row r="1369" spans="4:11" x14ac:dyDescent="0.25">
      <c r="K1369" s="7"/>
    </row>
    <row r="1370" spans="4:11" x14ac:dyDescent="0.25">
      <c r="D1370" s="8"/>
      <c r="E1370" s="9"/>
      <c r="F1370" s="17"/>
      <c r="G1370" s="17"/>
      <c r="H1370" s="18"/>
      <c r="I1370" s="19"/>
      <c r="J1370" s="8"/>
      <c r="K1370" s="7"/>
    </row>
    <row r="1371" spans="4:11" x14ac:dyDescent="0.25">
      <c r="K1371" s="7"/>
    </row>
    <row r="1372" spans="4:11" x14ac:dyDescent="0.25">
      <c r="D1372" s="8"/>
      <c r="E1372" s="9"/>
      <c r="F1372" s="17"/>
      <c r="G1372" s="17"/>
      <c r="H1372" s="18"/>
      <c r="I1372" s="19"/>
      <c r="J1372" s="8"/>
      <c r="K1372" s="7"/>
    </row>
    <row r="1373" spans="4:11" x14ac:dyDescent="0.25">
      <c r="K1373" s="7"/>
    </row>
    <row r="1374" spans="4:11" x14ac:dyDescent="0.25">
      <c r="D1374" s="8"/>
      <c r="E1374" s="9"/>
      <c r="F1374" s="17"/>
      <c r="G1374" s="17"/>
      <c r="H1374" s="18"/>
      <c r="I1374" s="19"/>
      <c r="J1374" s="8"/>
      <c r="K1374" s="7"/>
    </row>
    <row r="1375" spans="4:11" x14ac:dyDescent="0.25">
      <c r="K1375" s="7"/>
    </row>
    <row r="1376" spans="4:11" x14ac:dyDescent="0.25">
      <c r="D1376" s="8"/>
      <c r="E1376" s="9"/>
      <c r="F1376" s="17"/>
      <c r="G1376" s="17"/>
      <c r="H1376" s="18"/>
      <c r="I1376" s="19"/>
      <c r="J1376" s="8"/>
      <c r="K1376" s="7"/>
    </row>
    <row r="1377" spans="4:11" x14ac:dyDescent="0.25">
      <c r="K1377" s="7"/>
    </row>
    <row r="1378" spans="4:11" x14ac:dyDescent="0.25">
      <c r="D1378" s="8"/>
      <c r="E1378" s="9"/>
      <c r="F1378" s="17"/>
      <c r="G1378" s="17"/>
      <c r="H1378" s="18"/>
      <c r="I1378" s="19"/>
      <c r="J1378" s="8"/>
      <c r="K1378" s="7"/>
    </row>
    <row r="1379" spans="4:11" x14ac:dyDescent="0.25">
      <c r="K1379" s="7"/>
    </row>
    <row r="1380" spans="4:11" x14ac:dyDescent="0.25">
      <c r="D1380" s="8"/>
      <c r="E1380" s="9"/>
      <c r="F1380" s="17"/>
      <c r="G1380" s="17"/>
      <c r="H1380" s="18"/>
      <c r="I1380" s="19"/>
      <c r="J1380" s="8"/>
      <c r="K1380" s="7"/>
    </row>
    <row r="1381" spans="4:11" x14ac:dyDescent="0.25">
      <c r="K1381" s="7"/>
    </row>
    <row r="1382" spans="4:11" x14ac:dyDescent="0.25">
      <c r="D1382" s="8"/>
      <c r="E1382" s="9"/>
      <c r="F1382" s="17"/>
      <c r="G1382" s="17"/>
      <c r="H1382" s="18"/>
      <c r="I1382" s="19"/>
      <c r="J1382" s="8"/>
      <c r="K1382" s="7"/>
    </row>
    <row r="1383" spans="4:11" x14ac:dyDescent="0.25">
      <c r="D1383" s="18"/>
      <c r="E1383" s="19"/>
      <c r="K1383" s="7"/>
    </row>
    <row r="1384" spans="4:11" x14ac:dyDescent="0.25">
      <c r="K1384" s="7"/>
    </row>
    <row r="1385" spans="4:11" x14ac:dyDescent="0.25">
      <c r="K1385" s="7"/>
    </row>
    <row r="1386" spans="4:11" x14ac:dyDescent="0.25">
      <c r="D1386" s="8"/>
      <c r="E1386" s="9"/>
      <c r="F1386" s="17"/>
      <c r="G1386" s="17"/>
      <c r="H1386" s="18"/>
      <c r="I1386" s="19"/>
      <c r="J1386" s="8"/>
      <c r="K1386" s="7"/>
    </row>
    <row r="1387" spans="4:11" x14ac:dyDescent="0.25">
      <c r="D1387" s="8"/>
      <c r="E1387" s="9"/>
      <c r="F1387" s="17"/>
      <c r="G1387" s="17"/>
      <c r="H1387" s="18"/>
      <c r="I1387" s="19"/>
      <c r="J1387" s="8"/>
      <c r="K1387" s="7"/>
    </row>
    <row r="1388" spans="4:11" x14ac:dyDescent="0.25">
      <c r="D1388" s="8"/>
      <c r="E1388" s="9"/>
      <c r="F1388" s="17"/>
      <c r="G1388" s="17"/>
      <c r="H1388" s="18"/>
      <c r="I1388" s="19"/>
      <c r="J1388" s="8"/>
      <c r="K1388" s="7"/>
    </row>
    <row r="1389" spans="4:11" x14ac:dyDescent="0.25">
      <c r="D1389" s="8"/>
      <c r="E1389" s="9"/>
      <c r="F1389" s="17"/>
      <c r="G1389" s="17"/>
      <c r="H1389" s="18"/>
      <c r="I1389" s="19"/>
      <c r="J1389" s="8"/>
      <c r="K1389" s="7"/>
    </row>
    <row r="1390" spans="4:11" x14ac:dyDescent="0.25">
      <c r="D1390" s="18"/>
      <c r="E1390" s="19"/>
      <c r="K1390" s="7"/>
    </row>
    <row r="1391" spans="4:11" x14ac:dyDescent="0.25">
      <c r="K1391" s="7"/>
    </row>
    <row r="1392" spans="4:11" x14ac:dyDescent="0.25">
      <c r="K1392" s="7"/>
    </row>
    <row r="1393" spans="4:11" x14ac:dyDescent="0.25">
      <c r="D1393" s="8"/>
      <c r="E1393" s="9"/>
      <c r="F1393" s="17"/>
      <c r="G1393" s="17"/>
      <c r="H1393" s="18"/>
      <c r="I1393" s="19"/>
      <c r="J1393" s="8"/>
      <c r="K1393" s="7"/>
    </row>
    <row r="1394" spans="4:11" x14ac:dyDescent="0.25">
      <c r="D1394" s="18"/>
      <c r="E1394" s="19"/>
      <c r="K1394" s="7"/>
    </row>
    <row r="1395" spans="4:11" x14ac:dyDescent="0.25">
      <c r="K1395" s="7"/>
    </row>
    <row r="1396" spans="4:11" x14ac:dyDescent="0.25">
      <c r="K1396" s="7"/>
    </row>
    <row r="1397" spans="4:11" x14ac:dyDescent="0.25">
      <c r="D1397" s="8"/>
      <c r="E1397" s="9"/>
      <c r="F1397" s="17"/>
      <c r="G1397" s="17"/>
      <c r="H1397" s="18"/>
      <c r="I1397" s="19"/>
      <c r="J1397" s="8"/>
      <c r="K1397" s="7"/>
    </row>
    <row r="1398" spans="4:11" x14ac:dyDescent="0.25">
      <c r="D1398" s="18"/>
      <c r="E1398" s="19"/>
      <c r="K1398" s="7"/>
    </row>
    <row r="1399" spans="4:11" x14ac:dyDescent="0.25">
      <c r="K1399" s="7"/>
    </row>
    <row r="1400" spans="4:11" x14ac:dyDescent="0.25">
      <c r="K1400" s="7"/>
    </row>
    <row r="1401" spans="4:11" x14ac:dyDescent="0.25">
      <c r="D1401" s="8"/>
      <c r="E1401" s="9"/>
      <c r="F1401" s="17"/>
      <c r="G1401" s="17"/>
      <c r="H1401" s="18"/>
      <c r="I1401" s="19"/>
      <c r="J1401" s="8"/>
      <c r="K1401" s="7"/>
    </row>
    <row r="1402" spans="4:11" x14ac:dyDescent="0.25">
      <c r="D1402" s="18"/>
      <c r="E1402" s="19"/>
      <c r="K1402" s="7"/>
    </row>
    <row r="1403" spans="4:11" x14ac:dyDescent="0.25">
      <c r="K1403" s="7"/>
    </row>
    <row r="1404" spans="4:11" x14ac:dyDescent="0.25">
      <c r="K1404" s="7"/>
    </row>
    <row r="1405" spans="4:11" x14ac:dyDescent="0.25">
      <c r="D1405" s="8"/>
      <c r="E1405" s="9"/>
      <c r="F1405" s="17"/>
      <c r="G1405" s="17"/>
      <c r="H1405" s="18"/>
      <c r="I1405" s="19"/>
      <c r="J1405" s="8"/>
      <c r="K1405" s="7"/>
    </row>
    <row r="1406" spans="4:11" x14ac:dyDescent="0.25">
      <c r="D1406" s="18"/>
      <c r="E1406" s="19"/>
      <c r="K1406" s="7"/>
    </row>
    <row r="1407" spans="4:11" x14ac:dyDescent="0.25">
      <c r="K1407" s="7"/>
    </row>
    <row r="1408" spans="4:11" x14ac:dyDescent="0.25">
      <c r="K1408" s="7"/>
    </row>
    <row r="1409" spans="4:11" x14ac:dyDescent="0.25">
      <c r="D1409" s="8"/>
      <c r="E1409" s="9"/>
      <c r="F1409" s="17"/>
      <c r="G1409" s="17"/>
      <c r="H1409" s="18"/>
      <c r="I1409" s="19"/>
      <c r="J1409" s="8"/>
      <c r="K1409" s="7"/>
    </row>
    <row r="1410" spans="4:11" x14ac:dyDescent="0.25">
      <c r="K1410" s="7"/>
    </row>
    <row r="1411" spans="4:11" x14ac:dyDescent="0.25">
      <c r="D1411" s="8"/>
      <c r="E1411" s="9"/>
      <c r="F1411" s="17"/>
      <c r="G1411" s="17"/>
      <c r="H1411" s="18"/>
      <c r="I1411" s="19"/>
      <c r="J1411" s="8"/>
      <c r="K1411" s="7"/>
    </row>
    <row r="1412" spans="4:11" x14ac:dyDescent="0.25">
      <c r="K1412" s="7"/>
    </row>
    <row r="1413" spans="4:11" x14ac:dyDescent="0.25">
      <c r="D1413" s="8"/>
      <c r="E1413" s="9"/>
      <c r="F1413" s="17"/>
      <c r="G1413" s="17"/>
      <c r="H1413" s="18"/>
      <c r="I1413" s="19"/>
      <c r="J1413" s="8"/>
      <c r="K1413" s="7"/>
    </row>
    <row r="1414" spans="4:11" x14ac:dyDescent="0.25">
      <c r="K1414" s="7"/>
    </row>
    <row r="1415" spans="4:11" x14ac:dyDescent="0.25">
      <c r="D1415" s="8"/>
      <c r="E1415" s="9"/>
      <c r="F1415" s="17"/>
      <c r="G1415" s="17"/>
      <c r="H1415" s="18"/>
      <c r="I1415" s="19"/>
      <c r="J1415" s="8"/>
      <c r="K1415" s="7"/>
    </row>
    <row r="1416" spans="4:11" x14ac:dyDescent="0.25">
      <c r="K1416" s="7"/>
    </row>
    <row r="1417" spans="4:11" x14ac:dyDescent="0.25">
      <c r="D1417" s="8"/>
      <c r="E1417" s="9"/>
      <c r="F1417" s="17"/>
      <c r="G1417" s="17"/>
      <c r="H1417" s="18"/>
      <c r="I1417" s="19"/>
      <c r="J1417" s="8"/>
      <c r="K1417" s="7"/>
    </row>
    <row r="1418" spans="4:11" x14ac:dyDescent="0.25">
      <c r="D1418" s="18"/>
      <c r="E1418" s="19"/>
      <c r="K1418" s="7"/>
    </row>
    <row r="1419" spans="4:11" x14ac:dyDescent="0.25">
      <c r="K1419" s="7"/>
    </row>
    <row r="1420" spans="4:11" x14ac:dyDescent="0.25">
      <c r="K1420" s="7"/>
    </row>
    <row r="1421" spans="4:11" x14ac:dyDescent="0.25">
      <c r="D1421" s="8"/>
      <c r="E1421" s="9"/>
      <c r="F1421" s="17"/>
      <c r="G1421" s="17"/>
      <c r="H1421" s="18"/>
      <c r="I1421" s="19"/>
      <c r="J1421" s="8"/>
      <c r="K1421" s="7"/>
    </row>
    <row r="1422" spans="4:11" x14ac:dyDescent="0.25">
      <c r="D1422" s="18"/>
      <c r="E1422" s="19"/>
      <c r="K1422" s="7"/>
    </row>
    <row r="1423" spans="4:11" x14ac:dyDescent="0.25">
      <c r="K1423" s="7"/>
    </row>
    <row r="1424" spans="4:11" x14ac:dyDescent="0.25">
      <c r="K1424" s="7"/>
    </row>
    <row r="1425" spans="4:11" x14ac:dyDescent="0.25">
      <c r="D1425" s="8"/>
      <c r="E1425" s="9"/>
      <c r="F1425" s="17"/>
      <c r="G1425" s="17"/>
      <c r="H1425" s="18"/>
      <c r="I1425" s="19"/>
      <c r="J1425" s="8"/>
      <c r="K1425" s="7"/>
    </row>
    <row r="1426" spans="4:11" x14ac:dyDescent="0.25">
      <c r="D1426" s="18"/>
      <c r="E1426" s="19"/>
      <c r="K1426" s="7"/>
    </row>
    <row r="1427" spans="4:11" x14ac:dyDescent="0.25">
      <c r="K1427" s="7"/>
    </row>
    <row r="1428" spans="4:11" x14ac:dyDescent="0.25">
      <c r="K1428" s="7"/>
    </row>
    <row r="1429" spans="4:11" x14ac:dyDescent="0.25">
      <c r="D1429" s="8"/>
      <c r="E1429" s="9"/>
      <c r="F1429" s="17"/>
      <c r="G1429" s="17"/>
      <c r="H1429" s="18"/>
      <c r="I1429" s="19"/>
      <c r="J1429" s="8"/>
      <c r="K1429" s="7"/>
    </row>
    <row r="1430" spans="4:11" x14ac:dyDescent="0.25">
      <c r="D1430" s="18"/>
      <c r="E1430" s="19"/>
      <c r="K1430" s="7"/>
    </row>
    <row r="1431" spans="4:11" x14ac:dyDescent="0.25">
      <c r="K1431" s="7"/>
    </row>
    <row r="1432" spans="4:11" x14ac:dyDescent="0.25">
      <c r="K1432" s="7"/>
    </row>
    <row r="1433" spans="4:11" x14ac:dyDescent="0.25">
      <c r="D1433" s="8"/>
      <c r="E1433" s="9"/>
      <c r="F1433" s="17"/>
      <c r="G1433" s="17"/>
      <c r="H1433" s="18"/>
      <c r="I1433" s="19"/>
      <c r="J1433" s="8"/>
      <c r="K1433" s="7"/>
    </row>
    <row r="1434" spans="4:11" x14ac:dyDescent="0.25">
      <c r="D1434" s="8"/>
      <c r="E1434" s="9"/>
      <c r="F1434" s="17"/>
      <c r="G1434" s="17"/>
      <c r="H1434" s="18"/>
      <c r="I1434" s="19"/>
      <c r="J1434" s="8"/>
      <c r="K1434" s="7"/>
    </row>
    <row r="1435" spans="4:11" x14ac:dyDescent="0.25">
      <c r="K1435" s="7"/>
    </row>
    <row r="1436" spans="4:11" x14ac:dyDescent="0.25">
      <c r="D1436" s="8"/>
      <c r="E1436" s="9"/>
      <c r="F1436" s="17"/>
      <c r="G1436" s="17"/>
      <c r="H1436" s="18"/>
      <c r="I1436" s="19"/>
      <c r="J1436" s="8"/>
      <c r="K1436" s="7"/>
    </row>
    <row r="1437" spans="4:11" x14ac:dyDescent="0.25">
      <c r="D1437" s="8"/>
      <c r="E1437" s="9"/>
      <c r="F1437" s="17"/>
      <c r="G1437" s="17"/>
      <c r="H1437" s="18"/>
      <c r="I1437" s="19"/>
      <c r="J1437" s="8"/>
      <c r="K1437" s="7"/>
    </row>
    <row r="1438" spans="4:11" x14ac:dyDescent="0.25">
      <c r="D1438" s="18"/>
      <c r="E1438" s="19"/>
      <c r="K1438" s="7"/>
    </row>
    <row r="1439" spans="4:11" x14ac:dyDescent="0.25">
      <c r="K1439" s="7"/>
    </row>
    <row r="1440" spans="4:11" x14ac:dyDescent="0.25">
      <c r="K1440" s="7"/>
    </row>
    <row r="1441" spans="4:11" x14ac:dyDescent="0.25">
      <c r="D1441" s="8"/>
      <c r="E1441" s="9"/>
      <c r="F1441" s="17"/>
      <c r="G1441" s="17"/>
      <c r="H1441" s="18"/>
      <c r="I1441" s="19"/>
      <c r="J1441" s="8"/>
      <c r="K1441" s="7"/>
    </row>
    <row r="1442" spans="4:11" x14ac:dyDescent="0.25">
      <c r="K1442" s="7"/>
    </row>
    <row r="1443" spans="4:11" x14ac:dyDescent="0.25">
      <c r="D1443" s="8"/>
      <c r="E1443" s="9"/>
      <c r="F1443" s="17"/>
      <c r="G1443" s="17"/>
      <c r="H1443" s="18"/>
      <c r="I1443" s="19"/>
      <c r="J1443" s="8"/>
      <c r="K1443" s="7"/>
    </row>
    <row r="1444" spans="4:11" x14ac:dyDescent="0.25">
      <c r="D1444" s="18"/>
      <c r="E1444" s="19"/>
      <c r="K1444" s="7"/>
    </row>
    <row r="1445" spans="4:11" x14ac:dyDescent="0.25">
      <c r="K1445" s="7"/>
    </row>
    <row r="1446" spans="4:11" x14ac:dyDescent="0.25">
      <c r="K1446" s="7"/>
    </row>
    <row r="1447" spans="4:11" x14ac:dyDescent="0.25">
      <c r="D1447" s="8"/>
      <c r="E1447" s="9"/>
      <c r="F1447" s="17"/>
      <c r="G1447" s="17"/>
      <c r="H1447" s="18"/>
      <c r="I1447" s="19"/>
      <c r="J1447" s="8"/>
      <c r="K1447" s="7"/>
    </row>
    <row r="1448" spans="4:11" x14ac:dyDescent="0.25">
      <c r="D1448" s="8"/>
      <c r="E1448" s="9"/>
      <c r="F1448" s="17"/>
      <c r="G1448" s="17"/>
      <c r="H1448" s="18"/>
      <c r="I1448" s="19"/>
      <c r="J1448" s="8"/>
      <c r="K1448" s="7"/>
    </row>
    <row r="1449" spans="4:11" x14ac:dyDescent="0.25">
      <c r="D1449" s="18"/>
      <c r="E1449" s="19"/>
      <c r="K1449" s="7"/>
    </row>
    <row r="1450" spans="4:11" x14ac:dyDescent="0.25">
      <c r="K1450" s="7"/>
    </row>
    <row r="1451" spans="4:11" x14ac:dyDescent="0.25">
      <c r="K1451" s="7"/>
    </row>
    <row r="1452" spans="4:11" x14ac:dyDescent="0.25">
      <c r="D1452" s="8"/>
      <c r="E1452" s="9"/>
      <c r="F1452" s="17"/>
      <c r="G1452" s="17"/>
      <c r="H1452" s="18"/>
      <c r="I1452" s="19"/>
      <c r="J1452" s="8"/>
      <c r="K1452" s="7"/>
    </row>
    <row r="1453" spans="4:11" x14ac:dyDescent="0.25">
      <c r="K1453" s="7"/>
    </row>
    <row r="1454" spans="4:11" x14ac:dyDescent="0.25">
      <c r="D1454" s="8"/>
      <c r="E1454" s="9"/>
      <c r="F1454" s="17"/>
      <c r="G1454" s="17"/>
      <c r="H1454" s="18"/>
      <c r="I1454" s="19"/>
      <c r="J1454" s="8"/>
      <c r="K1454" s="7"/>
    </row>
    <row r="1455" spans="4:11" x14ac:dyDescent="0.25">
      <c r="D1455" s="18"/>
      <c r="E1455" s="19"/>
      <c r="K1455" s="7"/>
    </row>
    <row r="1456" spans="4:11" x14ac:dyDescent="0.25">
      <c r="K1456" s="7"/>
    </row>
    <row r="1457" spans="4:11" x14ac:dyDescent="0.25">
      <c r="K1457" s="7"/>
    </row>
    <row r="1458" spans="4:11" x14ac:dyDescent="0.25">
      <c r="D1458" s="8"/>
      <c r="E1458" s="9"/>
      <c r="F1458" s="17"/>
      <c r="G1458" s="17"/>
      <c r="H1458" s="18"/>
      <c r="I1458" s="19"/>
      <c r="J1458" s="8"/>
      <c r="K1458" s="7"/>
    </row>
    <row r="1459" spans="4:11" x14ac:dyDescent="0.25">
      <c r="D1459" s="8"/>
      <c r="E1459" s="9"/>
      <c r="F1459" s="17"/>
      <c r="G1459" s="17"/>
      <c r="H1459" s="18"/>
      <c r="I1459" s="19"/>
      <c r="J1459" s="8"/>
      <c r="K1459" s="7"/>
    </row>
    <row r="1460" spans="4:11" x14ac:dyDescent="0.25">
      <c r="D1460" s="18"/>
      <c r="E1460" s="19"/>
      <c r="K1460" s="7"/>
    </row>
    <row r="1461" spans="4:11" x14ac:dyDescent="0.25">
      <c r="K1461" s="7"/>
    </row>
    <row r="1462" spans="4:11" x14ac:dyDescent="0.25">
      <c r="K1462" s="7"/>
    </row>
    <row r="1463" spans="4:11" x14ac:dyDescent="0.25">
      <c r="D1463" s="8"/>
      <c r="E1463" s="9"/>
      <c r="F1463" s="17"/>
      <c r="G1463" s="17"/>
      <c r="H1463" s="18"/>
      <c r="I1463" s="19"/>
      <c r="J1463" s="8"/>
      <c r="K1463" s="7"/>
    </row>
    <row r="1464" spans="4:11" x14ac:dyDescent="0.25">
      <c r="K1464" s="7"/>
    </row>
    <row r="1465" spans="4:11" x14ac:dyDescent="0.25">
      <c r="D1465" s="8"/>
      <c r="E1465" s="9"/>
      <c r="F1465" s="17"/>
      <c r="G1465" s="17"/>
      <c r="H1465" s="18"/>
      <c r="I1465" s="19"/>
      <c r="J1465" s="8"/>
      <c r="K1465" s="7"/>
    </row>
    <row r="1466" spans="4:11" x14ac:dyDescent="0.25">
      <c r="D1466" s="18"/>
      <c r="E1466" s="19"/>
      <c r="K1466" s="7"/>
    </row>
    <row r="1467" spans="4:11" x14ac:dyDescent="0.25">
      <c r="K1467" s="7"/>
    </row>
    <row r="1468" spans="4:11" x14ac:dyDescent="0.25">
      <c r="K1468" s="7"/>
    </row>
    <row r="1469" spans="4:11" x14ac:dyDescent="0.25">
      <c r="D1469" s="8"/>
      <c r="E1469" s="9"/>
      <c r="F1469" s="17"/>
      <c r="G1469" s="17"/>
      <c r="H1469" s="18"/>
      <c r="I1469" s="19"/>
      <c r="J1469" s="8"/>
      <c r="K1469" s="7"/>
    </row>
    <row r="1470" spans="4:11" x14ac:dyDescent="0.25">
      <c r="D1470" s="18"/>
      <c r="E1470" s="19"/>
      <c r="K1470" s="7"/>
    </row>
    <row r="1471" spans="4:11" x14ac:dyDescent="0.25">
      <c r="K1471" s="7"/>
    </row>
    <row r="1472" spans="4:11" x14ac:dyDescent="0.25">
      <c r="K1472" s="7"/>
    </row>
    <row r="1473" spans="4:11" x14ac:dyDescent="0.25">
      <c r="D1473" s="8"/>
      <c r="E1473" s="9"/>
      <c r="F1473" s="17"/>
      <c r="G1473" s="17"/>
      <c r="H1473" s="18"/>
      <c r="I1473" s="19"/>
      <c r="J1473" s="8"/>
      <c r="K1473" s="7"/>
    </row>
    <row r="1474" spans="4:11" x14ac:dyDescent="0.25">
      <c r="D1474" s="18"/>
      <c r="E1474" s="19"/>
      <c r="K1474" s="7"/>
    </row>
    <row r="1475" spans="4:11" x14ac:dyDescent="0.25">
      <c r="K1475" s="7"/>
    </row>
    <row r="1476" spans="4:11" x14ac:dyDescent="0.25">
      <c r="K1476" s="7"/>
    </row>
    <row r="1477" spans="4:11" x14ac:dyDescent="0.25">
      <c r="D1477" s="8"/>
      <c r="E1477" s="9"/>
      <c r="F1477" s="17"/>
      <c r="G1477" s="17"/>
      <c r="H1477" s="18"/>
      <c r="I1477" s="19"/>
      <c r="J1477" s="8"/>
      <c r="K1477" s="7"/>
    </row>
    <row r="1478" spans="4:11" x14ac:dyDescent="0.25">
      <c r="D1478" s="18"/>
      <c r="E1478" s="19"/>
      <c r="K1478" s="7"/>
    </row>
    <row r="1479" spans="4:11" x14ac:dyDescent="0.25">
      <c r="K1479" s="7"/>
    </row>
    <row r="1480" spans="4:11" x14ac:dyDescent="0.25">
      <c r="K1480" s="7"/>
    </row>
    <row r="1481" spans="4:11" x14ac:dyDescent="0.25">
      <c r="D1481" s="8"/>
      <c r="E1481" s="9"/>
      <c r="F1481" s="17"/>
      <c r="G1481" s="17"/>
      <c r="H1481" s="18"/>
      <c r="I1481" s="19"/>
      <c r="J1481" s="8"/>
      <c r="K1481" s="7"/>
    </row>
    <row r="1482" spans="4:11" x14ac:dyDescent="0.25">
      <c r="D1482" s="18"/>
      <c r="E1482" s="19"/>
      <c r="K1482" s="7"/>
    </row>
    <row r="1483" spans="4:11" x14ac:dyDescent="0.25">
      <c r="K1483" s="7"/>
    </row>
    <row r="1484" spans="4:11" x14ac:dyDescent="0.25">
      <c r="K1484" s="7"/>
    </row>
    <row r="1485" spans="4:11" x14ac:dyDescent="0.25">
      <c r="D1485" s="8"/>
      <c r="E1485" s="9"/>
      <c r="F1485" s="17"/>
      <c r="G1485" s="17"/>
      <c r="H1485" s="18"/>
      <c r="I1485" s="19"/>
      <c r="J1485" s="8"/>
      <c r="K1485" s="7"/>
    </row>
    <row r="1486" spans="4:11" x14ac:dyDescent="0.25">
      <c r="D1486" s="18"/>
      <c r="E1486" s="19"/>
      <c r="K1486" s="7"/>
    </row>
    <row r="1487" spans="4:11" x14ac:dyDescent="0.25">
      <c r="K1487" s="7"/>
    </row>
    <row r="1488" spans="4:11" x14ac:dyDescent="0.25">
      <c r="K1488" s="7"/>
    </row>
    <row r="1489" spans="4:11" x14ac:dyDescent="0.25">
      <c r="D1489" s="8"/>
      <c r="E1489" s="9"/>
      <c r="F1489" s="17"/>
      <c r="G1489" s="17"/>
      <c r="H1489" s="18"/>
      <c r="I1489" s="19"/>
      <c r="J1489" s="8"/>
      <c r="K1489" s="7"/>
    </row>
    <row r="1490" spans="4:11" x14ac:dyDescent="0.25">
      <c r="D1490" s="18"/>
      <c r="E1490" s="19"/>
      <c r="K1490" s="7"/>
    </row>
    <row r="1491" spans="4:11" x14ac:dyDescent="0.25">
      <c r="K1491" s="7"/>
    </row>
    <row r="1492" spans="4:11" x14ac:dyDescent="0.25">
      <c r="K1492" s="7"/>
    </row>
    <row r="1493" spans="4:11" x14ac:dyDescent="0.25">
      <c r="D1493" s="8"/>
      <c r="E1493" s="9"/>
      <c r="F1493" s="17"/>
      <c r="G1493" s="17"/>
      <c r="H1493" s="18"/>
      <c r="I1493" s="19"/>
      <c r="J1493" s="8"/>
      <c r="K1493" s="7"/>
    </row>
    <row r="1494" spans="4:11" x14ac:dyDescent="0.25">
      <c r="K1494" s="7"/>
    </row>
    <row r="1495" spans="4:11" x14ac:dyDescent="0.25">
      <c r="D1495" s="8"/>
      <c r="E1495" s="9"/>
      <c r="F1495" s="17"/>
      <c r="G1495" s="17"/>
      <c r="H1495" s="18"/>
      <c r="I1495" s="19"/>
      <c r="J1495" s="8"/>
      <c r="K1495" s="7"/>
    </row>
    <row r="1496" spans="4:11" x14ac:dyDescent="0.25">
      <c r="D1496" s="18"/>
      <c r="E1496" s="19"/>
      <c r="K1496" s="7"/>
    </row>
    <row r="1497" spans="4:11" x14ac:dyDescent="0.25">
      <c r="K1497" s="7"/>
    </row>
    <row r="1498" spans="4:11" x14ac:dyDescent="0.25">
      <c r="K1498" s="7"/>
    </row>
    <row r="1499" spans="4:11" x14ac:dyDescent="0.25">
      <c r="D1499" s="8"/>
      <c r="E1499" s="9"/>
      <c r="F1499" s="17"/>
      <c r="G1499" s="17"/>
      <c r="H1499" s="18"/>
      <c r="I1499" s="19"/>
      <c r="J1499" s="8"/>
      <c r="K1499" s="7"/>
    </row>
    <row r="1500" spans="4:11" x14ac:dyDescent="0.25">
      <c r="D1500" s="8"/>
      <c r="E1500" s="9"/>
      <c r="F1500" s="17"/>
      <c r="G1500" s="17"/>
      <c r="H1500" s="18"/>
      <c r="I1500" s="19"/>
      <c r="J1500" s="8"/>
      <c r="K1500" s="7"/>
    </row>
    <row r="1501" spans="4:11" x14ac:dyDescent="0.25">
      <c r="D1501" s="18"/>
      <c r="E1501" s="19"/>
      <c r="K1501" s="7"/>
    </row>
    <row r="1502" spans="4:11" x14ac:dyDescent="0.25">
      <c r="K1502" s="7"/>
    </row>
    <row r="1503" spans="4:11" x14ac:dyDescent="0.25">
      <c r="K1503" s="7"/>
    </row>
    <row r="1504" spans="4:11" x14ac:dyDescent="0.25">
      <c r="D1504" s="8"/>
      <c r="E1504" s="9"/>
      <c r="F1504" s="17"/>
      <c r="G1504" s="17"/>
      <c r="H1504" s="18"/>
      <c r="I1504" s="19"/>
      <c r="J1504" s="8"/>
      <c r="K1504" s="7"/>
    </row>
    <row r="1505" spans="4:11" x14ac:dyDescent="0.25">
      <c r="K1505" s="7"/>
    </row>
    <row r="1506" spans="4:11" x14ac:dyDescent="0.25">
      <c r="D1506" s="8"/>
      <c r="E1506" s="9"/>
      <c r="F1506" s="17"/>
      <c r="G1506" s="17"/>
      <c r="H1506" s="18"/>
      <c r="I1506" s="19"/>
      <c r="J1506" s="8"/>
      <c r="K1506" s="7"/>
    </row>
    <row r="1507" spans="4:11" x14ac:dyDescent="0.25">
      <c r="D1507" s="18"/>
      <c r="E1507" s="19"/>
      <c r="K1507" s="7"/>
    </row>
    <row r="1508" spans="4:11" x14ac:dyDescent="0.25">
      <c r="K1508" s="7"/>
    </row>
    <row r="1509" spans="4:11" x14ac:dyDescent="0.25">
      <c r="K1509" s="7"/>
    </row>
    <row r="1510" spans="4:11" x14ac:dyDescent="0.25">
      <c r="D1510" s="8"/>
      <c r="E1510" s="9"/>
      <c r="F1510" s="17"/>
      <c r="G1510" s="17"/>
      <c r="H1510" s="18"/>
      <c r="I1510" s="19"/>
      <c r="J1510" s="8"/>
      <c r="K1510" s="7"/>
    </row>
    <row r="1511" spans="4:11" x14ac:dyDescent="0.25">
      <c r="D1511" s="8"/>
      <c r="E1511" s="9"/>
      <c r="F1511" s="17"/>
      <c r="G1511" s="17"/>
      <c r="H1511" s="18"/>
      <c r="I1511" s="19"/>
      <c r="J1511" s="8"/>
      <c r="K1511" s="7"/>
    </row>
    <row r="1512" spans="4:11" x14ac:dyDescent="0.25">
      <c r="D1512" s="18"/>
      <c r="E1512" s="19"/>
      <c r="K1512" s="7"/>
    </row>
    <row r="1513" spans="4:11" x14ac:dyDescent="0.25">
      <c r="K1513" s="7"/>
    </row>
  </sheetData>
  <autoFilter ref="A1:L1513" xr:uid="{46F663CF-187E-4273-A1DB-581C660F847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Relação de NF's</vt:lpstr>
      <vt:lpstr>Fornecedores</vt:lpstr>
      <vt:lpstr>Doc's Pagos | Rodopar 108</vt:lpstr>
      <vt:lpstr>Doc Há Pagar | Rodopar 1015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Moutinho Albino</dc:creator>
  <cp:lastModifiedBy>Gabriel Moutinho Albino</cp:lastModifiedBy>
  <dcterms:created xsi:type="dcterms:W3CDTF">2026-10-06T18:09:16Z</dcterms:created>
  <dcterms:modified xsi:type="dcterms:W3CDTF">2026-10-09T19:40:05Z</dcterms:modified>
</cp:coreProperties>
</file>